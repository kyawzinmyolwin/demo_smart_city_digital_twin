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E7E5268F-CD30-48C4-B8D3-2975AE792A5A}" xr6:coauthVersionLast="47" xr6:coauthVersionMax="47" xr10:uidLastSave="{00000000-0000-0000-0000-000000000000}"/>
  <bookViews>
    <workbookView xWindow="-18510" yWindow="-3405" windowWidth="18150" windowHeight="1548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J42" i="6" s="1"/>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5" i="6"/>
  <c r="J46" i="6"/>
  <c r="J41" i="6"/>
  <c r="J47"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07" i="6"/>
  <c r="Q75" i="6"/>
  <c r="Q67" i="6"/>
  <c r="Q282" i="6"/>
  <c r="Q250" i="6"/>
  <c r="Q226" i="6"/>
  <c r="Q218" i="6"/>
  <c r="Q202" i="6"/>
  <c r="Q162" i="6"/>
  <c r="Q106" i="6"/>
  <c r="Q90" i="6"/>
  <c r="Q50" i="6"/>
  <c r="Q280" i="6"/>
  <c r="Q268" i="6"/>
  <c r="Q216" i="6"/>
  <c r="Q177" i="6"/>
  <c r="Q140" i="6"/>
  <c r="Q88" i="6"/>
  <c r="Q110" i="6"/>
  <c r="Q71" i="6"/>
  <c r="Q300" i="6"/>
  <c r="Q254" i="6"/>
  <c r="Q190" i="6"/>
  <c r="Q137" i="6"/>
  <c r="Q73" i="6"/>
  <c r="Q48" i="6"/>
  <c r="Q302" i="6"/>
  <c r="Q263" i="6"/>
  <c r="Q238" i="6"/>
  <c r="Q199"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31" i="4" l="1"/>
  <c r="I145" i="4"/>
  <c r="I487" i="4"/>
  <c r="I335" i="4"/>
  <c r="I449" i="4"/>
  <c r="I259" i="4"/>
  <c r="I69" i="4"/>
  <c r="I411" i="4"/>
  <c r="I373" i="4"/>
  <c r="I183" i="4"/>
  <c r="I297" i="4"/>
  <c r="I639" i="4"/>
  <c r="I601" i="4"/>
  <c r="I107" i="4"/>
  <c r="I221" i="4"/>
  <c r="I563" i="4"/>
  <c r="I525" i="4"/>
  <c r="I791" i="4"/>
  <c r="I753" i="4"/>
  <c r="I1247" i="4"/>
  <c r="I1285" i="4"/>
  <c r="I1361" i="4"/>
  <c r="I715" i="4"/>
  <c r="I677" i="4"/>
  <c r="I981" i="4"/>
  <c r="I1171" i="4"/>
  <c r="I1209" i="4"/>
  <c r="I943" i="4"/>
  <c r="I905" i="4"/>
  <c r="I1095" i="4"/>
  <c r="I1133" i="4"/>
  <c r="I867" i="4"/>
  <c r="I829" i="4"/>
  <c r="I1019" i="4"/>
  <c r="I1323" i="4"/>
  <c r="I1057" i="4"/>
  <c r="I1513" i="4"/>
  <c r="I1817" i="4"/>
  <c r="I1627" i="4"/>
  <c r="I1931" i="4"/>
  <c r="I2007" i="4"/>
  <c r="I2121" i="4"/>
  <c r="I1741" i="4"/>
  <c r="I1551" i="4"/>
  <c r="I1855" i="4"/>
  <c r="I2235" i="4"/>
  <c r="I2045" i="4"/>
  <c r="I1665" i="4"/>
  <c r="I1969" i="4"/>
  <c r="I1475" i="4"/>
  <c r="I1779" i="4"/>
  <c r="I2159" i="4"/>
  <c r="I2273" i="4"/>
  <c r="I1437" i="4"/>
  <c r="I1589" i="4"/>
  <c r="I1893" i="4"/>
  <c r="I1399" i="4"/>
  <c r="I1703" i="4"/>
  <c r="I2083" i="4"/>
  <c r="I2197" i="4"/>
  <c r="Q43" i="6"/>
  <c r="I34" i="4"/>
  <c r="I338" i="4"/>
  <c r="I224" i="4"/>
  <c r="I452" i="4"/>
  <c r="I414" i="4"/>
  <c r="I718" i="4"/>
  <c r="I262" i="4"/>
  <c r="I148" i="4"/>
  <c r="I376" i="4"/>
  <c r="I642" i="4"/>
  <c r="I186" i="4"/>
  <c r="I72" i="4"/>
  <c r="I604" i="4"/>
  <c r="I566" i="4"/>
  <c r="I110" i="4"/>
  <c r="I300" i="4"/>
  <c r="I528" i="4"/>
  <c r="I490" i="4"/>
  <c r="I756" i="4"/>
  <c r="I984" i="4"/>
  <c r="I1136" i="4"/>
  <c r="I1250" i="4"/>
  <c r="I946" i="4"/>
  <c r="I680" i="4"/>
  <c r="I1060" i="4"/>
  <c r="I1174" i="4"/>
  <c r="I870" i="4"/>
  <c r="I908" i="4"/>
  <c r="I1288" i="4"/>
  <c r="I1098" i="4"/>
  <c r="I794" i="4"/>
  <c r="I832" i="4"/>
  <c r="I1212" i="4"/>
  <c r="I1022" i="4"/>
  <c r="I1554" i="4"/>
  <c r="I1858" i="4"/>
  <c r="I1364" i="4"/>
  <c r="I1668" i="4"/>
  <c r="I1972" i="4"/>
  <c r="I2048" i="4"/>
  <c r="I2162" i="4"/>
  <c r="I1478" i="4"/>
  <c r="I1782" i="4"/>
  <c r="I1326" i="4"/>
  <c r="I1592" i="4"/>
  <c r="I1896" i="4"/>
  <c r="I2276" i="4"/>
  <c r="I2086" i="4"/>
  <c r="I1402" i="4"/>
  <c r="I1706" i="4"/>
  <c r="I1516" i="4"/>
  <c r="I1820" i="4"/>
  <c r="I2200" i="4"/>
  <c r="I2010" i="4"/>
  <c r="I1630" i="4"/>
  <c r="I1934" i="4"/>
  <c r="I1440" i="4"/>
  <c r="I1744" i="4"/>
  <c r="I2124" i="4"/>
  <c r="I2238" i="4"/>
  <c r="I255" i="4"/>
  <c r="I65" i="4"/>
  <c r="I407" i="4"/>
  <c r="I369" i="4"/>
  <c r="I179" i="4"/>
  <c r="I293" i="4"/>
  <c r="I635" i="4"/>
  <c r="I597" i="4"/>
  <c r="I103" i="4"/>
  <c r="I217" i="4"/>
  <c r="I331" i="4"/>
  <c r="I559" i="4"/>
  <c r="I521" i="4"/>
  <c r="I27" i="4"/>
  <c r="I141" i="4"/>
  <c r="I483" i="4"/>
  <c r="I445" i="4"/>
  <c r="I711" i="4"/>
  <c r="I673" i="4"/>
  <c r="I977" i="4"/>
  <c r="I1167" i="4"/>
  <c r="I1205" i="4"/>
  <c r="I939" i="4"/>
  <c r="I901" i="4"/>
  <c r="I1091" i="4"/>
  <c r="I1129" i="4"/>
  <c r="I1509" i="4"/>
  <c r="I863" i="4"/>
  <c r="I825" i="4"/>
  <c r="I1015" i="4"/>
  <c r="I1319" i="4"/>
  <c r="I1053" i="4"/>
  <c r="I1433" i="4"/>
  <c r="I787" i="4"/>
  <c r="I749" i="4"/>
  <c r="I1243" i="4"/>
  <c r="I1281" i="4"/>
  <c r="I1357" i="4"/>
  <c r="I1737" i="4"/>
  <c r="I1547" i="4"/>
  <c r="I1851" i="4"/>
  <c r="I2231" i="4"/>
  <c r="I2041" i="4"/>
  <c r="I1661" i="4"/>
  <c r="I1965" i="4"/>
  <c r="I1471" i="4"/>
  <c r="I1775" i="4"/>
  <c r="I2155" i="4"/>
  <c r="I2269" i="4"/>
  <c r="I1585" i="4"/>
  <c r="I1889" i="4"/>
  <c r="I1395" i="4"/>
  <c r="I1699" i="4"/>
  <c r="I2003" i="4"/>
  <c r="I2079" i="4"/>
  <c r="I2193" i="4"/>
  <c r="I1813" i="4"/>
  <c r="I1623" i="4"/>
  <c r="I1927" i="4"/>
  <c r="I2117" i="4"/>
  <c r="I82" i="4"/>
  <c r="I272" i="4"/>
  <c r="I500" i="4"/>
  <c r="I462" i="4"/>
  <c r="I6" i="4"/>
  <c r="I310" i="4"/>
  <c r="I196" i="4"/>
  <c r="I424" i="4"/>
  <c r="I386" i="4"/>
  <c r="I690" i="4"/>
  <c r="I234" i="4"/>
  <c r="I120" i="4"/>
  <c r="I348" i="4"/>
  <c r="I652" i="4"/>
  <c r="I614" i="4"/>
  <c r="I158" i="4"/>
  <c r="I44" i="4"/>
  <c r="I576" i="4"/>
  <c r="I538" i="4"/>
  <c r="I766" i="4"/>
  <c r="I804" i="4"/>
  <c r="I1184" i="4"/>
  <c r="I1298" i="4"/>
  <c r="I994" i="4"/>
  <c r="I728" i="4"/>
  <c r="I1108" i="4"/>
  <c r="I956" i="4"/>
  <c r="I1222" i="4"/>
  <c r="I918" i="4"/>
  <c r="I1032" i="4"/>
  <c r="I1146" i="4"/>
  <c r="I842" i="4"/>
  <c r="I880" i="4"/>
  <c r="I1260" i="4"/>
  <c r="I1070" i="4"/>
  <c r="I1602" i="4"/>
  <c r="I1906" i="4"/>
  <c r="I1412" i="4"/>
  <c r="I1716" i="4"/>
  <c r="I2096" i="4"/>
  <c r="I2210" i="4"/>
  <c r="I1526" i="4"/>
  <c r="I1830" i="4"/>
  <c r="I1336" i="4"/>
  <c r="I1640" i="4"/>
  <c r="I1944" i="4"/>
  <c r="I2020" i="4"/>
  <c r="I2134" i="4"/>
  <c r="I1450" i="4"/>
  <c r="I1754" i="4"/>
  <c r="I1564" i="4"/>
  <c r="I1868" i="4"/>
  <c r="I2248" i="4"/>
  <c r="I2058" i="4"/>
  <c r="I1374" i="4"/>
  <c r="I1678" i="4"/>
  <c r="I1982" i="4"/>
  <c r="I1488" i="4"/>
  <c r="I1792" i="4"/>
  <c r="I2172" i="4"/>
  <c r="I18" i="4"/>
  <c r="I322" i="4"/>
  <c r="I208" i="4"/>
  <c r="I436" i="4"/>
  <c r="I398" i="4"/>
  <c r="I702" i="4"/>
  <c r="I246" i="4"/>
  <c r="I132" i="4"/>
  <c r="I360" i="4"/>
  <c r="I626" i="4"/>
  <c r="I170" i="4"/>
  <c r="I56" i="4"/>
  <c r="I588" i="4"/>
  <c r="I550" i="4"/>
  <c r="I94" i="4"/>
  <c r="I284" i="4"/>
  <c r="I512" i="4"/>
  <c r="I474" i="4"/>
  <c r="I740" i="4"/>
  <c r="I1120" i="4"/>
  <c r="I1234" i="4"/>
  <c r="I930" i="4"/>
  <c r="I664" i="4"/>
  <c r="I1044" i="4"/>
  <c r="I1158" i="4"/>
  <c r="I854" i="4"/>
  <c r="I892" i="4"/>
  <c r="I1272" i="4"/>
  <c r="I1082" i="4"/>
  <c r="I778" i="4"/>
  <c r="I816" i="4"/>
  <c r="I968" i="4"/>
  <c r="I1196" i="4"/>
  <c r="I1006" i="4"/>
  <c r="I1310" i="4"/>
  <c r="I1538" i="4"/>
  <c r="I1842" i="4"/>
  <c r="I1348" i="4"/>
  <c r="I1652" i="4"/>
  <c r="I1956" i="4"/>
  <c r="I2032" i="4"/>
  <c r="I2146" i="4"/>
  <c r="I1462" i="4"/>
  <c r="I1766" i="4"/>
  <c r="I1576" i="4"/>
  <c r="I1880" i="4"/>
  <c r="I2260" i="4"/>
  <c r="I2070" i="4"/>
  <c r="I1386" i="4"/>
  <c r="I1690" i="4"/>
  <c r="I1994" i="4"/>
  <c r="I1500" i="4"/>
  <c r="I1804" i="4"/>
  <c r="I2184" i="4"/>
  <c r="I1614" i="4"/>
  <c r="I1918" i="4"/>
  <c r="I1424" i="4"/>
  <c r="I1728" i="4"/>
  <c r="I2108" i="4"/>
  <c r="I2222" i="4"/>
  <c r="I290" i="4"/>
  <c r="I176" i="4"/>
  <c r="I404" i="4"/>
  <c r="I328" i="4"/>
  <c r="I366" i="4"/>
  <c r="I670" i="4"/>
  <c r="I214" i="4"/>
  <c r="I100" i="4"/>
  <c r="I632" i="4"/>
  <c r="I594" i="4"/>
  <c r="I138" i="4"/>
  <c r="I24" i="4"/>
  <c r="I556" i="4"/>
  <c r="I518" i="4"/>
  <c r="I62" i="4"/>
  <c r="I252" i="4"/>
  <c r="I480" i="4"/>
  <c r="I442" i="4"/>
  <c r="I746" i="4"/>
  <c r="I974" i="4"/>
  <c r="I708" i="4"/>
  <c r="I1088" i="4"/>
  <c r="I1202" i="4"/>
  <c r="I898" i="4"/>
  <c r="I936" i="4"/>
  <c r="I1012" i="4"/>
  <c r="I1316" i="4"/>
  <c r="I1126" i="4"/>
  <c r="I822" i="4"/>
  <c r="I860" i="4"/>
  <c r="I1240" i="4"/>
  <c r="I1050" i="4"/>
  <c r="I784" i="4"/>
  <c r="I1164" i="4"/>
  <c r="I1278" i="4"/>
  <c r="I1506" i="4"/>
  <c r="I1810" i="4"/>
  <c r="I1620" i="4"/>
  <c r="I1924" i="4"/>
  <c r="I2114" i="4"/>
  <c r="I1430" i="4"/>
  <c r="I1734" i="4"/>
  <c r="I1544" i="4"/>
  <c r="I1848" i="4"/>
  <c r="I2228" i="4"/>
  <c r="I2038" i="4"/>
  <c r="I1354" i="4"/>
  <c r="I1658" i="4"/>
  <c r="I1962" i="4"/>
  <c r="I1468" i="4"/>
  <c r="I1772" i="4"/>
  <c r="I2152" i="4"/>
  <c r="I2266" i="4"/>
  <c r="I1582" i="4"/>
  <c r="I1886" i="4"/>
  <c r="I1392" i="4"/>
  <c r="I1696" i="4"/>
  <c r="I2000" i="4"/>
  <c r="I2076" i="4"/>
  <c r="I2190" i="4"/>
  <c r="Q42" i="6"/>
  <c r="I223" i="4"/>
  <c r="I33" i="4"/>
  <c r="I337" i="4"/>
  <c r="I375" i="4"/>
  <c r="I641" i="4"/>
  <c r="I147" i="4"/>
  <c r="I261" i="4"/>
  <c r="I603" i="4"/>
  <c r="I565" i="4"/>
  <c r="I71" i="4"/>
  <c r="I185" i="4"/>
  <c r="I299" i="4"/>
  <c r="I527" i="4"/>
  <c r="I489" i="4"/>
  <c r="I109" i="4"/>
  <c r="I451" i="4"/>
  <c r="I413" i="4"/>
  <c r="I679" i="4"/>
  <c r="I983" i="4"/>
  <c r="I945" i="4"/>
  <c r="I1135" i="4"/>
  <c r="I1173" i="4"/>
  <c r="I907" i="4"/>
  <c r="I869" i="4"/>
  <c r="I1059" i="4"/>
  <c r="I1097" i="4"/>
  <c r="I1477" i="4"/>
  <c r="I831" i="4"/>
  <c r="I793" i="4"/>
  <c r="I1287" i="4"/>
  <c r="I1021" i="4"/>
  <c r="I1401" i="4"/>
  <c r="I755" i="4"/>
  <c r="I717" i="4"/>
  <c r="I1211" i="4"/>
  <c r="I1249" i="4"/>
  <c r="I1705" i="4"/>
  <c r="I1515" i="4"/>
  <c r="I1819" i="4"/>
  <c r="I2199" i="4"/>
  <c r="I2009" i="4"/>
  <c r="I1629" i="4"/>
  <c r="I1933" i="4"/>
  <c r="I1439" i="4"/>
  <c r="I1743" i="4"/>
  <c r="I2123" i="4"/>
  <c r="I2237" i="4"/>
  <c r="I1553" i="4"/>
  <c r="I1857" i="4"/>
  <c r="I1363" i="4"/>
  <c r="I1667" i="4"/>
  <c r="I1971" i="4"/>
  <c r="I2047" i="4"/>
  <c r="I2161" i="4"/>
  <c r="I1781" i="4"/>
  <c r="I1325" i="4"/>
  <c r="I1591" i="4"/>
  <c r="I1895" i="4"/>
  <c r="I2275" i="4"/>
  <c r="I2085" i="4"/>
  <c r="I79" i="4"/>
  <c r="I193" i="4"/>
  <c r="I535" i="4"/>
  <c r="I497" i="4"/>
  <c r="I3" i="4"/>
  <c r="I117" i="4"/>
  <c r="I459" i="4"/>
  <c r="I421" i="4"/>
  <c r="I231" i="4"/>
  <c r="I41" i="4"/>
  <c r="I383" i="4"/>
  <c r="I345" i="4"/>
  <c r="I649" i="4"/>
  <c r="I155" i="4"/>
  <c r="I269" i="4"/>
  <c r="I307" i="4"/>
  <c r="I611" i="4"/>
  <c r="I573" i="4"/>
  <c r="I839" i="4"/>
  <c r="I801" i="4"/>
  <c r="I1295" i="4"/>
  <c r="I1029" i="4"/>
  <c r="I1409" i="4"/>
  <c r="I763" i="4"/>
  <c r="I725" i="4"/>
  <c r="I1219" i="4"/>
  <c r="I1257" i="4"/>
  <c r="I1333" i="4"/>
  <c r="I687" i="4"/>
  <c r="I991" i="4"/>
  <c r="I953" i="4"/>
  <c r="I1143" i="4"/>
  <c r="I1181" i="4"/>
  <c r="I915" i="4"/>
  <c r="I877" i="4"/>
  <c r="I1067" i="4"/>
  <c r="I1105" i="4"/>
  <c r="I1561" i="4"/>
  <c r="I1865" i="4"/>
  <c r="I1371" i="4"/>
  <c r="I1675" i="4"/>
  <c r="I1979" i="4"/>
  <c r="I2055" i="4"/>
  <c r="I2169" i="4"/>
  <c r="I1789" i="4"/>
  <c r="I1599" i="4"/>
  <c r="I1903" i="4"/>
  <c r="I2093" i="4"/>
  <c r="I1713" i="4"/>
  <c r="I1523" i="4"/>
  <c r="I1827" i="4"/>
  <c r="I2207" i="4"/>
  <c r="I2017" i="4"/>
  <c r="I1485" i="4"/>
  <c r="I1637" i="4"/>
  <c r="I1941" i="4"/>
  <c r="I1447" i="4"/>
  <c r="I1751" i="4"/>
  <c r="I2131" i="4"/>
  <c r="I2245" i="4"/>
  <c r="I271" i="4"/>
  <c r="I81" i="4"/>
  <c r="I423" i="4"/>
  <c r="I385" i="4"/>
  <c r="I195" i="4"/>
  <c r="I5" i="4"/>
  <c r="I309" i="4"/>
  <c r="I347" i="4"/>
  <c r="I651" i="4"/>
  <c r="I613" i="4"/>
  <c r="I119" i="4"/>
  <c r="I233" i="4"/>
  <c r="I575" i="4"/>
  <c r="I537" i="4"/>
  <c r="I43" i="4"/>
  <c r="I157" i="4"/>
  <c r="I499" i="4"/>
  <c r="I461" i="4"/>
  <c r="I727" i="4"/>
  <c r="I689" i="4"/>
  <c r="I993" i="4"/>
  <c r="I1183" i="4"/>
  <c r="I1221" i="4"/>
  <c r="I955" i="4"/>
  <c r="I917" i="4"/>
  <c r="I1107" i="4"/>
  <c r="I1145" i="4"/>
  <c r="I879" i="4"/>
  <c r="I841" i="4"/>
  <c r="I1031" i="4"/>
  <c r="I1069" i="4"/>
  <c r="I803" i="4"/>
  <c r="I765" i="4"/>
  <c r="I1259" i="4"/>
  <c r="I1297" i="4"/>
  <c r="I1373" i="4"/>
  <c r="I1449" i="4"/>
  <c r="I1753" i="4"/>
  <c r="I1563" i="4"/>
  <c r="I1867" i="4"/>
  <c r="I2247" i="4"/>
  <c r="I2057" i="4"/>
  <c r="I1677" i="4"/>
  <c r="I1981" i="4"/>
  <c r="I1487" i="4"/>
  <c r="I1791" i="4"/>
  <c r="I2171" i="4"/>
  <c r="I1601" i="4"/>
  <c r="I1905" i="4"/>
  <c r="I1411" i="4"/>
  <c r="I1715" i="4"/>
  <c r="I2095" i="4"/>
  <c r="I2209" i="4"/>
  <c r="I1525" i="4"/>
  <c r="I1829" i="4"/>
  <c r="I1335" i="4"/>
  <c r="I1639" i="4"/>
  <c r="I1943" i="4"/>
  <c r="I2019" i="4"/>
  <c r="I2133" i="4"/>
  <c r="Q41" i="6"/>
  <c r="I146" i="4"/>
  <c r="I32" i="4"/>
  <c r="I564" i="4"/>
  <c r="I526" i="4"/>
  <c r="I70" i="4"/>
  <c r="I260" i="4"/>
  <c r="I488" i="4"/>
  <c r="I336" i="4"/>
  <c r="I450" i="4"/>
  <c r="I298" i="4"/>
  <c r="I184" i="4"/>
  <c r="I412" i="4"/>
  <c r="I374" i="4"/>
  <c r="I678" i="4"/>
  <c r="I222" i="4"/>
  <c r="I108" i="4"/>
  <c r="I640" i="4"/>
  <c r="I602" i="4"/>
  <c r="I830" i="4"/>
  <c r="I868" i="4"/>
  <c r="I1248" i="4"/>
  <c r="I1058" i="4"/>
  <c r="I792" i="4"/>
  <c r="I1172" i="4"/>
  <c r="I944" i="4"/>
  <c r="I1286" i="4"/>
  <c r="I754" i="4"/>
  <c r="I982" i="4"/>
  <c r="I716" i="4"/>
  <c r="I1096" i="4"/>
  <c r="I1210" i="4"/>
  <c r="I906" i="4"/>
  <c r="I1020" i="4"/>
  <c r="I1324" i="4"/>
  <c r="I1134" i="4"/>
  <c r="I1362" i="4"/>
  <c r="I1666" i="4"/>
  <c r="I1970" i="4"/>
  <c r="I1476" i="4"/>
  <c r="I1780" i="4"/>
  <c r="I2160" i="4"/>
  <c r="I2274" i="4"/>
  <c r="I1590" i="4"/>
  <c r="I1894" i="4"/>
  <c r="I1400" i="4"/>
  <c r="I1704" i="4"/>
  <c r="I2084" i="4"/>
  <c r="I2198" i="4"/>
  <c r="I1514" i="4"/>
  <c r="I1818" i="4"/>
  <c r="I1628" i="4"/>
  <c r="I1932" i="4"/>
  <c r="I2008" i="4"/>
  <c r="I2122" i="4"/>
  <c r="I1438" i="4"/>
  <c r="I1742" i="4"/>
  <c r="I1552" i="4"/>
  <c r="I1856" i="4"/>
  <c r="I2236" i="4"/>
  <c r="I2046" i="4"/>
  <c r="I178" i="4"/>
  <c r="I64" i="4"/>
  <c r="I596" i="4"/>
  <c r="I558" i="4"/>
  <c r="I102" i="4"/>
  <c r="I520" i="4"/>
  <c r="I482" i="4"/>
  <c r="I26" i="4"/>
  <c r="I330" i="4"/>
  <c r="I216" i="4"/>
  <c r="I292" i="4"/>
  <c r="I444" i="4"/>
  <c r="I406" i="4"/>
  <c r="I710" i="4"/>
  <c r="I254" i="4"/>
  <c r="I140" i="4"/>
  <c r="I368" i="4"/>
  <c r="I634" i="4"/>
  <c r="I862" i="4"/>
  <c r="I900" i="4"/>
  <c r="I1280" i="4"/>
  <c r="I1090" i="4"/>
  <c r="I786" i="4"/>
  <c r="I824" i="4"/>
  <c r="I1204" i="4"/>
  <c r="I1014" i="4"/>
  <c r="I1318" i="4"/>
  <c r="I748" i="4"/>
  <c r="I1128" i="4"/>
  <c r="I1242" i="4"/>
  <c r="I938" i="4"/>
  <c r="I672" i="4"/>
  <c r="I1052" i="4"/>
  <c r="I976" i="4"/>
  <c r="I1166" i="4"/>
  <c r="I1394" i="4"/>
  <c r="I1698" i="4"/>
  <c r="I2002" i="4"/>
  <c r="I1508" i="4"/>
  <c r="I1812" i="4"/>
  <c r="I2192" i="4"/>
  <c r="I1622" i="4"/>
  <c r="I1926" i="4"/>
  <c r="I1432" i="4"/>
  <c r="I1736" i="4"/>
  <c r="I2116" i="4"/>
  <c r="I2230" i="4"/>
  <c r="I1546" i="4"/>
  <c r="I1850" i="4"/>
  <c r="I1356" i="4"/>
  <c r="I1660" i="4"/>
  <c r="I1964" i="4"/>
  <c r="I2040" i="4"/>
  <c r="I2154" i="4"/>
  <c r="I1470" i="4"/>
  <c r="I1774" i="4"/>
  <c r="I1584" i="4"/>
  <c r="I1888" i="4"/>
  <c r="I2268" i="4"/>
  <c r="I2078" i="4"/>
  <c r="I127" i="4"/>
  <c r="I241" i="4"/>
  <c r="I583" i="4"/>
  <c r="I545" i="4"/>
  <c r="I51" i="4"/>
  <c r="I165" i="4"/>
  <c r="I507" i="4"/>
  <c r="I469" i="4"/>
  <c r="I279" i="4"/>
  <c r="I89" i="4"/>
  <c r="I431" i="4"/>
  <c r="I393" i="4"/>
  <c r="I203" i="4"/>
  <c r="I13" i="4"/>
  <c r="I317" i="4"/>
  <c r="I355" i="4"/>
  <c r="I621" i="4"/>
  <c r="I887" i="4"/>
  <c r="I849" i="4"/>
  <c r="I1039" i="4"/>
  <c r="I1077" i="4"/>
  <c r="I811" i="4"/>
  <c r="I773" i="4"/>
  <c r="I1267" i="4"/>
  <c r="I1001" i="4"/>
  <c r="I1305" i="4"/>
  <c r="I1381" i="4"/>
  <c r="I735" i="4"/>
  <c r="I697" i="4"/>
  <c r="I1191" i="4"/>
  <c r="I1229" i="4"/>
  <c r="I659" i="4"/>
  <c r="I963" i="4"/>
  <c r="I925" i="4"/>
  <c r="I1115" i="4"/>
  <c r="I1153" i="4"/>
  <c r="I1609" i="4"/>
  <c r="I1913" i="4"/>
  <c r="I1419" i="4"/>
  <c r="I1723" i="4"/>
  <c r="I2103" i="4"/>
  <c r="I2217" i="4"/>
  <c r="I1533" i="4"/>
  <c r="I1837" i="4"/>
  <c r="I1343" i="4"/>
  <c r="I1647" i="4"/>
  <c r="I1951" i="4"/>
  <c r="I2027" i="4"/>
  <c r="I2141" i="4"/>
  <c r="I1457" i="4"/>
  <c r="I1761" i="4"/>
  <c r="I1571" i="4"/>
  <c r="I1875" i="4"/>
  <c r="I2255" i="4"/>
  <c r="I2065" i="4"/>
  <c r="I1685" i="4"/>
  <c r="I1989" i="4"/>
  <c r="I1495" i="4"/>
  <c r="I1799" i="4"/>
  <c r="I2179" i="4"/>
  <c r="I162" i="4"/>
  <c r="I48" i="4"/>
  <c r="I580" i="4"/>
  <c r="I542" i="4"/>
  <c r="I86" i="4"/>
  <c r="I276" i="4"/>
  <c r="I504" i="4"/>
  <c r="I466" i="4"/>
  <c r="I10" i="4"/>
  <c r="I314" i="4"/>
  <c r="I200" i="4"/>
  <c r="I428" i="4"/>
  <c r="I390" i="4"/>
  <c r="I694" i="4"/>
  <c r="I238" i="4"/>
  <c r="I124" i="4"/>
  <c r="I352" i="4"/>
  <c r="I618" i="4"/>
  <c r="I846" i="4"/>
  <c r="I884" i="4"/>
  <c r="I1264" i="4"/>
  <c r="I1074" i="4"/>
  <c r="I770" i="4"/>
  <c r="I808" i="4"/>
  <c r="I1188" i="4"/>
  <c r="I998" i="4"/>
  <c r="I1302" i="4"/>
  <c r="I732" i="4"/>
  <c r="I1112" i="4"/>
  <c r="I960" i="4"/>
  <c r="I1226" i="4"/>
  <c r="I922" i="4"/>
  <c r="I656" i="4"/>
  <c r="I1036" i="4"/>
  <c r="I1150" i="4"/>
  <c r="I1378" i="4"/>
  <c r="I1682" i="4"/>
  <c r="I1986" i="4"/>
  <c r="I1492" i="4"/>
  <c r="I1796" i="4"/>
  <c r="I2176" i="4"/>
  <c r="I1606" i="4"/>
  <c r="I1910" i="4"/>
  <c r="I1416" i="4"/>
  <c r="I1720" i="4"/>
  <c r="I2100" i="4"/>
  <c r="I2214" i="4"/>
  <c r="I1530" i="4"/>
  <c r="I1834" i="4"/>
  <c r="I1340" i="4"/>
  <c r="I1644" i="4"/>
  <c r="I1948" i="4"/>
  <c r="I2024" i="4"/>
  <c r="I2138" i="4"/>
  <c r="I1454" i="4"/>
  <c r="I1758" i="4"/>
  <c r="I1568" i="4"/>
  <c r="I1872" i="4"/>
  <c r="I2252" i="4"/>
  <c r="I2062" i="4"/>
  <c r="I159" i="4"/>
  <c r="I273" i="4"/>
  <c r="I615" i="4"/>
  <c r="I577" i="4"/>
  <c r="I83" i="4"/>
  <c r="I197" i="4"/>
  <c r="I539" i="4"/>
  <c r="I311" i="4"/>
  <c r="I501" i="4"/>
  <c r="I7" i="4"/>
  <c r="I121" i="4"/>
  <c r="I463" i="4"/>
  <c r="I425" i="4"/>
  <c r="I235" i="4"/>
  <c r="I45" i="4"/>
  <c r="I387" i="4"/>
  <c r="I349" i="4"/>
  <c r="I653" i="4"/>
  <c r="I919" i="4"/>
  <c r="I881" i="4"/>
  <c r="I1071" i="4"/>
  <c r="I1109" i="4"/>
  <c r="I843" i="4"/>
  <c r="I805" i="4"/>
  <c r="I995" i="4"/>
  <c r="I1299" i="4"/>
  <c r="I1033" i="4"/>
  <c r="I1413" i="4"/>
  <c r="I767" i="4"/>
  <c r="I729" i="4"/>
  <c r="I1223" i="4"/>
  <c r="I1261" i="4"/>
  <c r="I1337" i="4"/>
  <c r="I691" i="4"/>
  <c r="I957" i="4"/>
  <c r="I1147" i="4"/>
  <c r="I1185" i="4"/>
  <c r="I1489" i="4"/>
  <c r="I1641" i="4"/>
  <c r="I1945" i="4"/>
  <c r="I1451" i="4"/>
  <c r="I1755" i="4"/>
  <c r="I2135" i="4"/>
  <c r="I2249" i="4"/>
  <c r="I1565" i="4"/>
  <c r="I1869" i="4"/>
  <c r="I1375" i="4"/>
  <c r="I1679" i="4"/>
  <c r="I1983" i="4"/>
  <c r="I2059" i="4"/>
  <c r="I2173" i="4"/>
  <c r="I1793" i="4"/>
  <c r="I1603" i="4"/>
  <c r="I1907" i="4"/>
  <c r="I2097" i="4"/>
  <c r="I1717" i="4"/>
  <c r="I1527" i="4"/>
  <c r="I1831" i="4"/>
  <c r="I2211" i="4"/>
  <c r="I2021" i="4"/>
  <c r="I210" i="4"/>
  <c r="I96" i="4"/>
  <c r="I628" i="4"/>
  <c r="I590" i="4"/>
  <c r="I134" i="4"/>
  <c r="I20" i="4"/>
  <c r="I552" i="4"/>
  <c r="I514" i="4"/>
  <c r="I58" i="4"/>
  <c r="I248" i="4"/>
  <c r="I324" i="4"/>
  <c r="I476" i="4"/>
  <c r="I438" i="4"/>
  <c r="I286" i="4"/>
  <c r="I172" i="4"/>
  <c r="I400" i="4"/>
  <c r="I362" i="4"/>
  <c r="I666" i="4"/>
  <c r="I894" i="4"/>
  <c r="I1008" i="4"/>
  <c r="I1312" i="4"/>
  <c r="I1122" i="4"/>
  <c r="I742" i="4"/>
  <c r="I818" i="4"/>
  <c r="I856" i="4"/>
  <c r="I932" i="4"/>
  <c r="I1236" i="4"/>
  <c r="I1046" i="4"/>
  <c r="I780" i="4"/>
  <c r="I1160" i="4"/>
  <c r="I1274" i="4"/>
  <c r="I970" i="4"/>
  <c r="I704" i="4"/>
  <c r="I1084" i="4"/>
  <c r="I1198" i="4"/>
  <c r="I1426" i="4"/>
  <c r="I1730" i="4"/>
  <c r="I1540" i="4"/>
  <c r="I1844" i="4"/>
  <c r="I2224" i="4"/>
  <c r="I2034" i="4"/>
  <c r="I1350" i="4"/>
  <c r="I1654" i="4"/>
  <c r="I1958" i="4"/>
  <c r="I1464" i="4"/>
  <c r="I1768" i="4"/>
  <c r="I2148" i="4"/>
  <c r="I2262" i="4"/>
  <c r="I1578" i="4"/>
  <c r="I1882" i="4"/>
  <c r="I1388" i="4"/>
  <c r="I1692" i="4"/>
  <c r="I1996" i="4"/>
  <c r="I2072" i="4"/>
  <c r="I2186" i="4"/>
  <c r="I1502" i="4"/>
  <c r="I1806" i="4"/>
  <c r="I1616" i="4"/>
  <c r="I1920" i="4"/>
  <c r="I2110" i="4"/>
  <c r="I98" i="4"/>
  <c r="I288" i="4"/>
  <c r="I516" i="4"/>
  <c r="I478" i="4"/>
  <c r="I22" i="4"/>
  <c r="I326" i="4"/>
  <c r="I212" i="4"/>
  <c r="I440" i="4"/>
  <c r="I402" i="4"/>
  <c r="I706" i="4"/>
  <c r="I250" i="4"/>
  <c r="I136" i="4"/>
  <c r="I364" i="4"/>
  <c r="I630" i="4"/>
  <c r="I174" i="4"/>
  <c r="I60" i="4"/>
  <c r="I592" i="4"/>
  <c r="I554" i="4"/>
  <c r="I782" i="4"/>
  <c r="I820" i="4"/>
  <c r="I1200" i="4"/>
  <c r="I1010" i="4"/>
  <c r="I1314" i="4"/>
  <c r="I744" i="4"/>
  <c r="I1124" i="4"/>
  <c r="I1238" i="4"/>
  <c r="I934" i="4"/>
  <c r="I668" i="4"/>
  <c r="I1048" i="4"/>
  <c r="I972" i="4"/>
  <c r="I1162" i="4"/>
  <c r="I858" i="4"/>
  <c r="I896" i="4"/>
  <c r="I1276" i="4"/>
  <c r="I1086" i="4"/>
  <c r="I1618" i="4"/>
  <c r="I1922" i="4"/>
  <c r="I1428" i="4"/>
  <c r="I1732" i="4"/>
  <c r="I2112" i="4"/>
  <c r="I2226" i="4"/>
  <c r="I1542" i="4"/>
  <c r="I1846" i="4"/>
  <c r="I1352" i="4"/>
  <c r="I1656" i="4"/>
  <c r="I1960" i="4"/>
  <c r="I2036" i="4"/>
  <c r="I2150" i="4"/>
  <c r="I1466" i="4"/>
  <c r="I1770" i="4"/>
  <c r="I1580" i="4"/>
  <c r="I1884" i="4"/>
  <c r="I2264" i="4"/>
  <c r="I2074" i="4"/>
  <c r="I1390" i="4"/>
  <c r="I1694" i="4"/>
  <c r="I1998" i="4"/>
  <c r="I1504" i="4"/>
  <c r="I1808" i="4"/>
  <c r="I2188" i="4"/>
  <c r="I2" i="4"/>
  <c r="I306" i="4"/>
  <c r="I192" i="4"/>
  <c r="I420" i="4"/>
  <c r="I382" i="4"/>
  <c r="I686" i="4"/>
  <c r="I230" i="4"/>
  <c r="I116" i="4"/>
  <c r="I344" i="4"/>
  <c r="I648" i="4"/>
  <c r="I610" i="4"/>
  <c r="I154" i="4"/>
  <c r="I40" i="4"/>
  <c r="I572" i="4"/>
  <c r="I534" i="4"/>
  <c r="I78" i="4"/>
  <c r="I268" i="4"/>
  <c r="I496" i="4"/>
  <c r="I458" i="4"/>
  <c r="I762" i="4"/>
  <c r="I990" i="4"/>
  <c r="I724" i="4"/>
  <c r="I1104" i="4"/>
  <c r="I1218" i="4"/>
  <c r="I914" i="4"/>
  <c r="I1028" i="4"/>
  <c r="I1142" i="4"/>
  <c r="I838" i="4"/>
  <c r="I876" i="4"/>
  <c r="I952" i="4"/>
  <c r="I1256" i="4"/>
  <c r="I1066" i="4"/>
  <c r="I800" i="4"/>
  <c r="I1180" i="4"/>
  <c r="I1294" i="4"/>
  <c r="I1522" i="4"/>
  <c r="I1826" i="4"/>
  <c r="I1332" i="4"/>
  <c r="I1636" i="4"/>
  <c r="I1940" i="4"/>
  <c r="I2016" i="4"/>
  <c r="I2130" i="4"/>
  <c r="I1446" i="4"/>
  <c r="I1750" i="4"/>
  <c r="I1560" i="4"/>
  <c r="I1864" i="4"/>
  <c r="I2244" i="4"/>
  <c r="I2054" i="4"/>
  <c r="I1370" i="4"/>
  <c r="I1674" i="4"/>
  <c r="I1978" i="4"/>
  <c r="I1484" i="4"/>
  <c r="I1788" i="4"/>
  <c r="I2168" i="4"/>
  <c r="I1598" i="4"/>
  <c r="I1902" i="4"/>
  <c r="I1408" i="4"/>
  <c r="I1712" i="4"/>
  <c r="I2092" i="4"/>
  <c r="I2206" i="4"/>
  <c r="I242" i="4"/>
  <c r="I128" i="4"/>
  <c r="I356" i="4"/>
  <c r="I622" i="4"/>
  <c r="I166" i="4"/>
  <c r="I52" i="4"/>
  <c r="I584" i="4"/>
  <c r="I546" i="4"/>
  <c r="I90" i="4"/>
  <c r="I280" i="4"/>
  <c r="I508" i="4"/>
  <c r="I470" i="4"/>
  <c r="I14" i="4"/>
  <c r="I318" i="4"/>
  <c r="I204" i="4"/>
  <c r="I432" i="4"/>
  <c r="I394" i="4"/>
  <c r="I698" i="4"/>
  <c r="I926" i="4"/>
  <c r="I660" i="4"/>
  <c r="I1040" i="4"/>
  <c r="I1154" i="4"/>
  <c r="I850" i="4"/>
  <c r="I888" i="4"/>
  <c r="I1268" i="4"/>
  <c r="I1078" i="4"/>
  <c r="I774" i="4"/>
  <c r="I812" i="4"/>
  <c r="I1192" i="4"/>
  <c r="I1002" i="4"/>
  <c r="I1306" i="4"/>
  <c r="I736" i="4"/>
  <c r="I964" i="4"/>
  <c r="I1116" i="4"/>
  <c r="I1230" i="4"/>
  <c r="I1458" i="4"/>
  <c r="I1762" i="4"/>
  <c r="I1572" i="4"/>
  <c r="I1876" i="4"/>
  <c r="I2256" i="4"/>
  <c r="I2066" i="4"/>
  <c r="I1382" i="4"/>
  <c r="I1686" i="4"/>
  <c r="I1990" i="4"/>
  <c r="I1496" i="4"/>
  <c r="I1800" i="4"/>
  <c r="I2180" i="4"/>
  <c r="I1610" i="4"/>
  <c r="I1914" i="4"/>
  <c r="I1420" i="4"/>
  <c r="I1724" i="4"/>
  <c r="I2104" i="4"/>
  <c r="I2218" i="4"/>
  <c r="I1534" i="4"/>
  <c r="I1838" i="4"/>
  <c r="I1344" i="4"/>
  <c r="I1648" i="4"/>
  <c r="I1952" i="4"/>
  <c r="I2028" i="4"/>
  <c r="I2142" i="4"/>
  <c r="I239" i="4"/>
  <c r="I49" i="4"/>
  <c r="I315" i="4"/>
  <c r="I391" i="4"/>
  <c r="I353" i="4"/>
  <c r="I163" i="4"/>
  <c r="I277" i="4"/>
  <c r="I619" i="4"/>
  <c r="I581" i="4"/>
  <c r="I87" i="4"/>
  <c r="I201" i="4"/>
  <c r="I543" i="4"/>
  <c r="I505" i="4"/>
  <c r="I11" i="4"/>
  <c r="I125" i="4"/>
  <c r="I467" i="4"/>
  <c r="I429" i="4"/>
  <c r="I695" i="4"/>
  <c r="I657" i="4"/>
  <c r="I961" i="4"/>
  <c r="I1151" i="4"/>
  <c r="I1189" i="4"/>
  <c r="I923" i="4"/>
  <c r="I885" i="4"/>
  <c r="I1075" i="4"/>
  <c r="I1113" i="4"/>
  <c r="I1493" i="4"/>
  <c r="I847" i="4"/>
  <c r="I809" i="4"/>
  <c r="I999" i="4"/>
  <c r="I1303" i="4"/>
  <c r="I1037" i="4"/>
  <c r="I1417" i="4"/>
  <c r="I771" i="4"/>
  <c r="I733" i="4"/>
  <c r="I1227" i="4"/>
  <c r="I1265" i="4"/>
  <c r="I1341" i="4"/>
  <c r="I1721" i="4"/>
  <c r="I1531" i="4"/>
  <c r="I1835" i="4"/>
  <c r="I2215" i="4"/>
  <c r="I2025" i="4"/>
  <c r="I1645" i="4"/>
  <c r="I1949" i="4"/>
  <c r="I1455" i="4"/>
  <c r="I1759" i="4"/>
  <c r="I2139" i="4"/>
  <c r="I2253" i="4"/>
  <c r="I1569" i="4"/>
  <c r="I1873" i="4"/>
  <c r="I1379" i="4"/>
  <c r="I1683" i="4"/>
  <c r="I1987" i="4"/>
  <c r="I2063" i="4"/>
  <c r="I2177" i="4"/>
  <c r="I1797" i="4"/>
  <c r="I1607" i="4"/>
  <c r="I1911" i="4"/>
  <c r="I2101" i="4"/>
  <c r="Q44" i="6"/>
  <c r="I111" i="4"/>
  <c r="I225" i="4"/>
  <c r="I567" i="4"/>
  <c r="I529" i="4"/>
  <c r="I35" i="4"/>
  <c r="I149" i="4"/>
  <c r="I491" i="4"/>
  <c r="I453" i="4"/>
  <c r="I263" i="4"/>
  <c r="I73" i="4"/>
  <c r="I415" i="4"/>
  <c r="I377" i="4"/>
  <c r="I187" i="4"/>
  <c r="I301" i="4"/>
  <c r="I339" i="4"/>
  <c r="I643" i="4"/>
  <c r="I605" i="4"/>
  <c r="I871" i="4"/>
  <c r="I833" i="4"/>
  <c r="I1023" i="4"/>
  <c r="I1327" i="4"/>
  <c r="I1061" i="4"/>
  <c r="I1441" i="4"/>
  <c r="I795" i="4"/>
  <c r="I757" i="4"/>
  <c r="I1251" i="4"/>
  <c r="I1289" i="4"/>
  <c r="I1365" i="4"/>
  <c r="I719" i="4"/>
  <c r="I681" i="4"/>
  <c r="I985" i="4"/>
  <c r="I1175" i="4"/>
  <c r="I1213" i="4"/>
  <c r="I947" i="4"/>
  <c r="I909" i="4"/>
  <c r="I1099" i="4"/>
  <c r="I1137" i="4"/>
  <c r="I1593" i="4"/>
  <c r="I1897" i="4"/>
  <c r="I1403" i="4"/>
  <c r="I1707" i="4"/>
  <c r="I2087" i="4"/>
  <c r="I2201" i="4"/>
  <c r="I1517" i="4"/>
  <c r="I1821" i="4"/>
  <c r="I1631" i="4"/>
  <c r="I1935" i="4"/>
  <c r="I2011" i="4"/>
  <c r="I2125" i="4"/>
  <c r="I1745" i="4"/>
  <c r="I1555" i="4"/>
  <c r="I1859" i="4"/>
  <c r="I2239" i="4"/>
  <c r="I2049" i="4"/>
  <c r="I1669" i="4"/>
  <c r="I1973" i="4"/>
  <c r="I1479" i="4"/>
  <c r="I1783" i="4"/>
  <c r="I2163" i="4"/>
  <c r="I2277" i="4"/>
  <c r="I274" i="4"/>
  <c r="I160" i="4"/>
  <c r="I388" i="4"/>
  <c r="I350" i="4"/>
  <c r="I654" i="4"/>
  <c r="I198" i="4"/>
  <c r="I84" i="4"/>
  <c r="I616" i="4"/>
  <c r="I578" i="4"/>
  <c r="I122" i="4"/>
  <c r="I8" i="4"/>
  <c r="I540" i="4"/>
  <c r="I312" i="4"/>
  <c r="I502" i="4"/>
  <c r="I46" i="4"/>
  <c r="I236" i="4"/>
  <c r="I464" i="4"/>
  <c r="I426" i="4"/>
  <c r="I730" i="4"/>
  <c r="I958" i="4"/>
  <c r="I692" i="4"/>
  <c r="I1072" i="4"/>
  <c r="I1186" i="4"/>
  <c r="I882" i="4"/>
  <c r="I920" i="4"/>
  <c r="I996" i="4"/>
  <c r="I1300" i="4"/>
  <c r="I1110" i="4"/>
  <c r="I806" i="4"/>
  <c r="I844" i="4"/>
  <c r="I1224" i="4"/>
  <c r="I1034" i="4"/>
  <c r="I768" i="4"/>
  <c r="I1148" i="4"/>
  <c r="I1262" i="4"/>
  <c r="I1490" i="4"/>
  <c r="I1794" i="4"/>
  <c r="I1604" i="4"/>
  <c r="I1908" i="4"/>
  <c r="I2098" i="4"/>
  <c r="I1414" i="4"/>
  <c r="I1718" i="4"/>
  <c r="I1528" i="4"/>
  <c r="I1832" i="4"/>
  <c r="I2212" i="4"/>
  <c r="I2022" i="4"/>
  <c r="I1338" i="4"/>
  <c r="I1642" i="4"/>
  <c r="I1946" i="4"/>
  <c r="I1452" i="4"/>
  <c r="I1756" i="4"/>
  <c r="I2136" i="4"/>
  <c r="I2250" i="4"/>
  <c r="I1566" i="4"/>
  <c r="I1870" i="4"/>
  <c r="I1376" i="4"/>
  <c r="I1680" i="4"/>
  <c r="I1984" i="4"/>
  <c r="I2060" i="4"/>
  <c r="I2174" i="4"/>
  <c r="I191" i="4"/>
  <c r="I305" i="4"/>
  <c r="I343" i="4"/>
  <c r="I647" i="4"/>
  <c r="I609" i="4"/>
  <c r="I115" i="4"/>
  <c r="I229" i="4"/>
  <c r="I571" i="4"/>
  <c r="I533" i="4"/>
  <c r="I39" i="4"/>
  <c r="I153" i="4"/>
  <c r="I495" i="4"/>
  <c r="I457" i="4"/>
  <c r="I267" i="4"/>
  <c r="I77" i="4"/>
  <c r="I419" i="4"/>
  <c r="I381" i="4"/>
  <c r="I951" i="4"/>
  <c r="I913" i="4"/>
  <c r="I1103" i="4"/>
  <c r="I1141" i="4"/>
  <c r="I875" i="4"/>
  <c r="I837" i="4"/>
  <c r="I1027" i="4"/>
  <c r="I1065" i="4"/>
  <c r="I1445" i="4"/>
  <c r="I799" i="4"/>
  <c r="I761" i="4"/>
  <c r="I1255" i="4"/>
  <c r="I1293" i="4"/>
  <c r="I1369" i="4"/>
  <c r="I723" i="4"/>
  <c r="I685" i="4"/>
  <c r="I989" i="4"/>
  <c r="I1179" i="4"/>
  <c r="I1217" i="4"/>
  <c r="I1673" i="4"/>
  <c r="I1977" i="4"/>
  <c r="I1483" i="4"/>
  <c r="I1787" i="4"/>
  <c r="I2167" i="4"/>
  <c r="I2281" i="4"/>
  <c r="I1597" i="4"/>
  <c r="I1901" i="4"/>
  <c r="I1407" i="4"/>
  <c r="I1711" i="4"/>
  <c r="I2091" i="4"/>
  <c r="I2205" i="4"/>
  <c r="I1521" i="4"/>
  <c r="I1825" i="4"/>
  <c r="I1331" i="4"/>
  <c r="I1635" i="4"/>
  <c r="I1939" i="4"/>
  <c r="I2015" i="4"/>
  <c r="I2129" i="4"/>
  <c r="I1749" i="4"/>
  <c r="I1559" i="4"/>
  <c r="I1863" i="4"/>
  <c r="I2243" i="4"/>
  <c r="I2053" i="4"/>
  <c r="I194" i="4"/>
  <c r="I80" i="4"/>
  <c r="I308" i="4"/>
  <c r="I612" i="4"/>
  <c r="I574" i="4"/>
  <c r="I118" i="4"/>
  <c r="I4" i="4"/>
  <c r="I536" i="4"/>
  <c r="I498" i="4"/>
  <c r="I42" i="4"/>
  <c r="I232" i="4"/>
  <c r="I460" i="4"/>
  <c r="I422" i="4"/>
  <c r="I726" i="4"/>
  <c r="I270" i="4"/>
  <c r="I156" i="4"/>
  <c r="I384" i="4"/>
  <c r="I346" i="4"/>
  <c r="I650" i="4"/>
  <c r="I878" i="4"/>
  <c r="I916" i="4"/>
  <c r="I1296" i="4"/>
  <c r="I992" i="4"/>
  <c r="I1106" i="4"/>
  <c r="I802" i="4"/>
  <c r="I840" i="4"/>
  <c r="I1220" i="4"/>
  <c r="I1030" i="4"/>
  <c r="I764" i="4"/>
  <c r="I1144" i="4"/>
  <c r="I1258" i="4"/>
  <c r="I954" i="4"/>
  <c r="I688" i="4"/>
  <c r="I1068" i="4"/>
  <c r="I1182" i="4"/>
  <c r="I1410" i="4"/>
  <c r="I1714" i="4"/>
  <c r="I1524" i="4"/>
  <c r="I1828" i="4"/>
  <c r="I2208" i="4"/>
  <c r="I2018" i="4"/>
  <c r="I1334" i="4"/>
  <c r="I1638" i="4"/>
  <c r="I1942" i="4"/>
  <c r="I1448" i="4"/>
  <c r="I1752" i="4"/>
  <c r="I2132" i="4"/>
  <c r="I2246" i="4"/>
  <c r="I1562" i="4"/>
  <c r="I1866" i="4"/>
  <c r="I1372" i="4"/>
  <c r="I1676" i="4"/>
  <c r="I1980" i="4"/>
  <c r="I2056" i="4"/>
  <c r="I2170" i="4"/>
  <c r="I1486" i="4"/>
  <c r="I1790" i="4"/>
  <c r="I1600" i="4"/>
  <c r="I1904" i="4"/>
  <c r="I2094" i="4"/>
  <c r="I50" i="4"/>
  <c r="I240" i="4"/>
  <c r="I468" i="4"/>
  <c r="I430" i="4"/>
  <c r="I734" i="4"/>
  <c r="I278" i="4"/>
  <c r="I164" i="4"/>
  <c r="I316" i="4"/>
  <c r="I392" i="4"/>
  <c r="I354" i="4"/>
  <c r="I658" i="4"/>
  <c r="I202" i="4"/>
  <c r="I88" i="4"/>
  <c r="I620" i="4"/>
  <c r="I582" i="4"/>
  <c r="I126" i="4"/>
  <c r="I12" i="4"/>
  <c r="I544" i="4"/>
  <c r="I506" i="4"/>
  <c r="I772" i="4"/>
  <c r="I1152" i="4"/>
  <c r="I1266" i="4"/>
  <c r="I962" i="4"/>
  <c r="I696" i="4"/>
  <c r="I1076" i="4"/>
  <c r="I1190" i="4"/>
  <c r="I886" i="4"/>
  <c r="I924" i="4"/>
  <c r="I1000" i="4"/>
  <c r="I1304" i="4"/>
  <c r="I1114" i="4"/>
  <c r="I810" i="4"/>
  <c r="I848" i="4"/>
  <c r="I1228" i="4"/>
  <c r="I1038" i="4"/>
  <c r="I1570" i="4"/>
  <c r="I1874" i="4"/>
  <c r="I1380" i="4"/>
  <c r="I1684" i="4"/>
  <c r="I1988" i="4"/>
  <c r="I2064" i="4"/>
  <c r="I2178" i="4"/>
  <c r="I1494" i="4"/>
  <c r="I1798" i="4"/>
  <c r="I1608" i="4"/>
  <c r="I1912" i="4"/>
  <c r="I2102" i="4"/>
  <c r="I1418" i="4"/>
  <c r="I1722" i="4"/>
  <c r="I1532" i="4"/>
  <c r="I1836" i="4"/>
  <c r="I2216" i="4"/>
  <c r="I2026" i="4"/>
  <c r="I1342" i="4"/>
  <c r="I1646" i="4"/>
  <c r="I1950" i="4"/>
  <c r="I1456" i="4"/>
  <c r="I1760" i="4"/>
  <c r="I2140" i="4"/>
  <c r="I2254" i="4"/>
  <c r="I15" i="4"/>
  <c r="I129" i="4"/>
  <c r="I471" i="4"/>
  <c r="I433" i="4"/>
  <c r="I243" i="4"/>
  <c r="I53" i="4"/>
  <c r="I395" i="4"/>
  <c r="I357" i="4"/>
  <c r="I167" i="4"/>
  <c r="I281" i="4"/>
  <c r="I623" i="4"/>
  <c r="I319" i="4"/>
  <c r="I585" i="4"/>
  <c r="I91" i="4"/>
  <c r="I205" i="4"/>
  <c r="I547" i="4"/>
  <c r="I509" i="4"/>
  <c r="I775" i="4"/>
  <c r="I737" i="4"/>
  <c r="I1231" i="4"/>
  <c r="I1269" i="4"/>
  <c r="I1345" i="4"/>
  <c r="I699" i="4"/>
  <c r="I661" i="4"/>
  <c r="I965" i="4"/>
  <c r="I1155" i="4"/>
  <c r="I1193" i="4"/>
  <c r="I927" i="4"/>
  <c r="I889" i="4"/>
  <c r="I1079" i="4"/>
  <c r="I1117" i="4"/>
  <c r="I851" i="4"/>
  <c r="I813" i="4"/>
  <c r="I1003" i="4"/>
  <c r="I1307" i="4"/>
  <c r="I1041" i="4"/>
  <c r="I1801" i="4"/>
  <c r="I1611" i="4"/>
  <c r="I1915" i="4"/>
  <c r="I2105" i="4"/>
  <c r="I1497" i="4"/>
  <c r="I1725" i="4"/>
  <c r="I1535" i="4"/>
  <c r="I1839" i="4"/>
  <c r="I2219" i="4"/>
  <c r="I2029" i="4"/>
  <c r="I1421" i="4"/>
  <c r="I1649" i="4"/>
  <c r="I1953" i="4"/>
  <c r="I1459" i="4"/>
  <c r="I1763" i="4"/>
  <c r="I2143" i="4"/>
  <c r="I2257" i="4"/>
  <c r="I1573" i="4"/>
  <c r="I1877" i="4"/>
  <c r="I1383" i="4"/>
  <c r="I1687" i="4"/>
  <c r="I1991" i="4"/>
  <c r="I2067" i="4"/>
  <c r="I2181" i="4"/>
  <c r="I113" i="4"/>
  <c r="I455" i="4"/>
  <c r="I303" i="4"/>
  <c r="I417" i="4"/>
  <c r="I227" i="4"/>
  <c r="I37" i="4"/>
  <c r="I379" i="4"/>
  <c r="I341" i="4"/>
  <c r="I645" i="4"/>
  <c r="I151" i="4"/>
  <c r="I265" i="4"/>
  <c r="I607" i="4"/>
  <c r="I569" i="4"/>
  <c r="I75" i="4"/>
  <c r="I189" i="4"/>
  <c r="I531" i="4"/>
  <c r="I493" i="4"/>
  <c r="I759" i="4"/>
  <c r="I721" i="4"/>
  <c r="I1215" i="4"/>
  <c r="I1253" i="4"/>
  <c r="I1329" i="4"/>
  <c r="I683" i="4"/>
  <c r="I987" i="4"/>
  <c r="I949" i="4"/>
  <c r="I1139" i="4"/>
  <c r="I1177" i="4"/>
  <c r="I911" i="4"/>
  <c r="I873" i="4"/>
  <c r="I1063" i="4"/>
  <c r="I1101" i="4"/>
  <c r="I835" i="4"/>
  <c r="I797" i="4"/>
  <c r="I1291" i="4"/>
  <c r="I1025" i="4"/>
  <c r="I1785" i="4"/>
  <c r="I1595" i="4"/>
  <c r="I1899" i="4"/>
  <c r="I2279" i="4"/>
  <c r="I2089" i="4"/>
  <c r="I1405" i="4"/>
  <c r="I1709" i="4"/>
  <c r="I1519" i="4"/>
  <c r="I1823" i="4"/>
  <c r="I2203" i="4"/>
  <c r="I2013" i="4"/>
  <c r="I1481" i="4"/>
  <c r="I1633" i="4"/>
  <c r="I1937" i="4"/>
  <c r="I1443" i="4"/>
  <c r="I1747" i="4"/>
  <c r="I2127" i="4"/>
  <c r="I2241" i="4"/>
  <c r="I1557" i="4"/>
  <c r="I1861" i="4"/>
  <c r="I1367" i="4"/>
  <c r="I1671" i="4"/>
  <c r="I1975" i="4"/>
  <c r="I2051" i="4"/>
  <c r="I2165" i="4"/>
  <c r="Q47" i="6"/>
  <c r="I114" i="4"/>
  <c r="I532" i="4"/>
  <c r="I494" i="4"/>
  <c r="I38" i="4"/>
  <c r="I228" i="4"/>
  <c r="I456" i="4"/>
  <c r="I304" i="4"/>
  <c r="I418" i="4"/>
  <c r="I722" i="4"/>
  <c r="I266" i="4"/>
  <c r="I152" i="4"/>
  <c r="I380" i="4"/>
  <c r="I342" i="4"/>
  <c r="I646" i="4"/>
  <c r="I190" i="4"/>
  <c r="I76" i="4"/>
  <c r="I608" i="4"/>
  <c r="I570" i="4"/>
  <c r="I798" i="4"/>
  <c r="I836" i="4"/>
  <c r="I1216" i="4"/>
  <c r="I1026" i="4"/>
  <c r="I760" i="4"/>
  <c r="I1140" i="4"/>
  <c r="I1254" i="4"/>
  <c r="I950" i="4"/>
  <c r="I684" i="4"/>
  <c r="I1064" i="4"/>
  <c r="I1178" i="4"/>
  <c r="I874" i="4"/>
  <c r="I912" i="4"/>
  <c r="I1292" i="4"/>
  <c r="I988" i="4"/>
  <c r="I1102" i="4"/>
  <c r="I1330" i="4"/>
  <c r="I1634" i="4"/>
  <c r="I1938" i="4"/>
  <c r="I1444" i="4"/>
  <c r="I1748" i="4"/>
  <c r="I2128" i="4"/>
  <c r="I2242" i="4"/>
  <c r="I1558" i="4"/>
  <c r="I1862" i="4"/>
  <c r="I1368" i="4"/>
  <c r="I1672" i="4"/>
  <c r="I1976" i="4"/>
  <c r="I2052" i="4"/>
  <c r="I2166" i="4"/>
  <c r="I1482" i="4"/>
  <c r="I1786" i="4"/>
  <c r="I1596" i="4"/>
  <c r="I1900" i="4"/>
  <c r="I2280" i="4"/>
  <c r="I2090" i="4"/>
  <c r="I1406" i="4"/>
  <c r="I1710" i="4"/>
  <c r="I1520" i="4"/>
  <c r="I1824" i="4"/>
  <c r="I2204" i="4"/>
  <c r="I2014" i="4"/>
  <c r="I47" i="4"/>
  <c r="I161" i="4"/>
  <c r="I503" i="4"/>
  <c r="I465" i="4"/>
  <c r="I275" i="4"/>
  <c r="I85" i="4"/>
  <c r="I427" i="4"/>
  <c r="I389" i="4"/>
  <c r="I199" i="4"/>
  <c r="I9" i="4"/>
  <c r="I313" i="4"/>
  <c r="I351" i="4"/>
  <c r="I617" i="4"/>
  <c r="I123" i="4"/>
  <c r="I237" i="4"/>
  <c r="I579" i="4"/>
  <c r="I541" i="4"/>
  <c r="I807" i="4"/>
  <c r="I769" i="4"/>
  <c r="I1263" i="4"/>
  <c r="I997" i="4"/>
  <c r="I1301" i="4"/>
  <c r="I1377" i="4"/>
  <c r="I731" i="4"/>
  <c r="I693" i="4"/>
  <c r="I1187" i="4"/>
  <c r="I1225" i="4"/>
  <c r="I655" i="4"/>
  <c r="I959" i="4"/>
  <c r="I921" i="4"/>
  <c r="I1111" i="4"/>
  <c r="I1149" i="4"/>
  <c r="I883" i="4"/>
  <c r="I845" i="4"/>
  <c r="I1035" i="4"/>
  <c r="I1073" i="4"/>
  <c r="I1529" i="4"/>
  <c r="I1833" i="4"/>
  <c r="I1339" i="4"/>
  <c r="I1643" i="4"/>
  <c r="I1947" i="4"/>
  <c r="I2023" i="4"/>
  <c r="I2137" i="4"/>
  <c r="I1453" i="4"/>
  <c r="I1757" i="4"/>
  <c r="I1567" i="4"/>
  <c r="I1871" i="4"/>
  <c r="I2251" i="4"/>
  <c r="I2061" i="4"/>
  <c r="I1681" i="4"/>
  <c r="I1985" i="4"/>
  <c r="I1491" i="4"/>
  <c r="I1795" i="4"/>
  <c r="I2175" i="4"/>
  <c r="I1605" i="4"/>
  <c r="I1909" i="4"/>
  <c r="I1415" i="4"/>
  <c r="I1719" i="4"/>
  <c r="I2099" i="4"/>
  <c r="I2213" i="4"/>
  <c r="I287" i="4"/>
  <c r="I97" i="4"/>
  <c r="I439" i="4"/>
  <c r="I401" i="4"/>
  <c r="I211" i="4"/>
  <c r="I21" i="4"/>
  <c r="I325" i="4"/>
  <c r="I363" i="4"/>
  <c r="I629" i="4"/>
  <c r="I135" i="4"/>
  <c r="I249" i="4"/>
  <c r="I591" i="4"/>
  <c r="I553" i="4"/>
  <c r="I59" i="4"/>
  <c r="I173" i="4"/>
  <c r="I515" i="4"/>
  <c r="I477" i="4"/>
  <c r="I743" i="4"/>
  <c r="I705" i="4"/>
  <c r="I1199" i="4"/>
  <c r="I1237" i="4"/>
  <c r="I667" i="4"/>
  <c r="I971" i="4"/>
  <c r="I933" i="4"/>
  <c r="I1123" i="4"/>
  <c r="I1161" i="4"/>
  <c r="I895" i="4"/>
  <c r="I857" i="4"/>
  <c r="I1047" i="4"/>
  <c r="I1085" i="4"/>
  <c r="I819" i="4"/>
  <c r="I781" i="4"/>
  <c r="I1275" i="4"/>
  <c r="I1009" i="4"/>
  <c r="I1313" i="4"/>
  <c r="I1389" i="4"/>
  <c r="I1769" i="4"/>
  <c r="I1579" i="4"/>
  <c r="I1883" i="4"/>
  <c r="I2263" i="4"/>
  <c r="I2073" i="4"/>
  <c r="I1693" i="4"/>
  <c r="I1997" i="4"/>
  <c r="I1503" i="4"/>
  <c r="I1807" i="4"/>
  <c r="I2187" i="4"/>
  <c r="I1617" i="4"/>
  <c r="I1921" i="4"/>
  <c r="I1427" i="4"/>
  <c r="I1731" i="4"/>
  <c r="I2111" i="4"/>
  <c r="I2225" i="4"/>
  <c r="I1465" i="4"/>
  <c r="I1541" i="4"/>
  <c r="I1845" i="4"/>
  <c r="I1351" i="4"/>
  <c r="I1655" i="4"/>
  <c r="I1959" i="4"/>
  <c r="I2035" i="4"/>
  <c r="I2149" i="4"/>
  <c r="I63" i="4"/>
  <c r="I177" i="4"/>
  <c r="I519" i="4"/>
  <c r="I481" i="4"/>
  <c r="I101" i="4"/>
  <c r="I291" i="4"/>
  <c r="I443" i="4"/>
  <c r="I405" i="4"/>
  <c r="I215" i="4"/>
  <c r="I25" i="4"/>
  <c r="I329" i="4"/>
  <c r="I367" i="4"/>
  <c r="I633" i="4"/>
  <c r="I139" i="4"/>
  <c r="I253" i="4"/>
  <c r="I595" i="4"/>
  <c r="I557" i="4"/>
  <c r="I823" i="4"/>
  <c r="I785" i="4"/>
  <c r="I1279" i="4"/>
  <c r="I1013" i="4"/>
  <c r="I1317" i="4"/>
  <c r="I1393" i="4"/>
  <c r="I747" i="4"/>
  <c r="I709" i="4"/>
  <c r="I1203" i="4"/>
  <c r="I1241" i="4"/>
  <c r="I671" i="4"/>
  <c r="I975" i="4"/>
  <c r="I937" i="4"/>
  <c r="I1127" i="4"/>
  <c r="I1165" i="4"/>
  <c r="I899" i="4"/>
  <c r="I861" i="4"/>
  <c r="I1051" i="4"/>
  <c r="I1089" i="4"/>
  <c r="I1469" i="4"/>
  <c r="I1545" i="4"/>
  <c r="I1849" i="4"/>
  <c r="I1355" i="4"/>
  <c r="I1659" i="4"/>
  <c r="I1963" i="4"/>
  <c r="I2039" i="4"/>
  <c r="I2153" i="4"/>
  <c r="I1773" i="4"/>
  <c r="I1583" i="4"/>
  <c r="I1887" i="4"/>
  <c r="I2267" i="4"/>
  <c r="I2077" i="4"/>
  <c r="I1697" i="4"/>
  <c r="I2001" i="4"/>
  <c r="I1507" i="4"/>
  <c r="I1811" i="4"/>
  <c r="I2191" i="4"/>
  <c r="I1621" i="4"/>
  <c r="I1925" i="4"/>
  <c r="I1431" i="4"/>
  <c r="I1735" i="4"/>
  <c r="I2115" i="4"/>
  <c r="I2229" i="4"/>
  <c r="I258" i="4"/>
  <c r="I144" i="4"/>
  <c r="I372" i="4"/>
  <c r="I296" i="4"/>
  <c r="I638" i="4"/>
  <c r="I182" i="4"/>
  <c r="I68" i="4"/>
  <c r="I600" i="4"/>
  <c r="I562" i="4"/>
  <c r="I106" i="4"/>
  <c r="I524" i="4"/>
  <c r="I486" i="4"/>
  <c r="I30" i="4"/>
  <c r="I334" i="4"/>
  <c r="I220" i="4"/>
  <c r="I448" i="4"/>
  <c r="I410" i="4"/>
  <c r="I714" i="4"/>
  <c r="I942" i="4"/>
  <c r="I676" i="4"/>
  <c r="I980" i="4"/>
  <c r="I1056" i="4"/>
  <c r="I1170" i="4"/>
  <c r="I866" i="4"/>
  <c r="I904" i="4"/>
  <c r="I1284" i="4"/>
  <c r="I1094" i="4"/>
  <c r="I790" i="4"/>
  <c r="I828" i="4"/>
  <c r="I1208" i="4"/>
  <c r="I1018" i="4"/>
  <c r="I1322" i="4"/>
  <c r="I752" i="4"/>
  <c r="I1132" i="4"/>
  <c r="I1246" i="4"/>
  <c r="I1474" i="4"/>
  <c r="I1778" i="4"/>
  <c r="I1588" i="4"/>
  <c r="I1892" i="4"/>
  <c r="I2272" i="4"/>
  <c r="I2082" i="4"/>
  <c r="I1398" i="4"/>
  <c r="I1702" i="4"/>
  <c r="I1512" i="4"/>
  <c r="I1816" i="4"/>
  <c r="I2196" i="4"/>
  <c r="I2006" i="4"/>
  <c r="I1626" i="4"/>
  <c r="I1930" i="4"/>
  <c r="I1436" i="4"/>
  <c r="I1740" i="4"/>
  <c r="I2120" i="4"/>
  <c r="I2234" i="4"/>
  <c r="I1550" i="4"/>
  <c r="I1854" i="4"/>
  <c r="I1360" i="4"/>
  <c r="I1664" i="4"/>
  <c r="I1968" i="4"/>
  <c r="I2044" i="4"/>
  <c r="I2158" i="4"/>
  <c r="Q45" i="6"/>
  <c r="I226" i="4"/>
  <c r="I112" i="4"/>
  <c r="I340" i="4"/>
  <c r="I644" i="4"/>
  <c r="I606" i="4"/>
  <c r="I150" i="4"/>
  <c r="I36" i="4"/>
  <c r="I568" i="4"/>
  <c r="I530" i="4"/>
  <c r="I74" i="4"/>
  <c r="I264" i="4"/>
  <c r="I492" i="4"/>
  <c r="I454" i="4"/>
  <c r="I302" i="4"/>
  <c r="I188" i="4"/>
  <c r="I416" i="4"/>
  <c r="I378" i="4"/>
  <c r="I682" i="4"/>
  <c r="I910" i="4"/>
  <c r="I1024" i="4"/>
  <c r="I1138" i="4"/>
  <c r="I834" i="4"/>
  <c r="I872" i="4"/>
  <c r="I1252" i="4"/>
  <c r="I1062" i="4"/>
  <c r="I796" i="4"/>
  <c r="I948" i="4"/>
  <c r="I1176" i="4"/>
  <c r="I1290" i="4"/>
  <c r="I758" i="4"/>
  <c r="I986" i="4"/>
  <c r="I720" i="4"/>
  <c r="I1100" i="4"/>
  <c r="I1214" i="4"/>
  <c r="I1442" i="4"/>
  <c r="I1746" i="4"/>
  <c r="I1556" i="4"/>
  <c r="I1860" i="4"/>
  <c r="I2240" i="4"/>
  <c r="I2050" i="4"/>
  <c r="I1366" i="4"/>
  <c r="I1670" i="4"/>
  <c r="I1974" i="4"/>
  <c r="I1480" i="4"/>
  <c r="I1784" i="4"/>
  <c r="I2164" i="4"/>
  <c r="I2278" i="4"/>
  <c r="I1594" i="4"/>
  <c r="I1898" i="4"/>
  <c r="I1404" i="4"/>
  <c r="I1708" i="4"/>
  <c r="I2088" i="4"/>
  <c r="I2202" i="4"/>
  <c r="I1518" i="4"/>
  <c r="I1822" i="4"/>
  <c r="I1328" i="4"/>
  <c r="I1632" i="4"/>
  <c r="I1936" i="4"/>
  <c r="I2012" i="4"/>
  <c r="I2126" i="4"/>
  <c r="I207" i="4"/>
  <c r="I17" i="4"/>
  <c r="I321" i="4"/>
  <c r="I359" i="4"/>
  <c r="I625" i="4"/>
  <c r="I131" i="4"/>
  <c r="I245" i="4"/>
  <c r="I587" i="4"/>
  <c r="I549" i="4"/>
  <c r="I55" i="4"/>
  <c r="I169" i="4"/>
  <c r="I511" i="4"/>
  <c r="I473" i="4"/>
  <c r="I283" i="4"/>
  <c r="I93" i="4"/>
  <c r="I435" i="4"/>
  <c r="I397" i="4"/>
  <c r="I663" i="4"/>
  <c r="I967" i="4"/>
  <c r="I929" i="4"/>
  <c r="I1119" i="4"/>
  <c r="I1157" i="4"/>
  <c r="I891" i="4"/>
  <c r="I853" i="4"/>
  <c r="I1043" i="4"/>
  <c r="I1081" i="4"/>
  <c r="I1461" i="4"/>
  <c r="I815" i="4"/>
  <c r="I777" i="4"/>
  <c r="I1271" i="4"/>
  <c r="I1005" i="4"/>
  <c r="I1309" i="4"/>
  <c r="I1385" i="4"/>
  <c r="I739" i="4"/>
  <c r="I701" i="4"/>
  <c r="I1195" i="4"/>
  <c r="I1233" i="4"/>
  <c r="I1689" i="4"/>
  <c r="I1993" i="4"/>
  <c r="I1499" i="4"/>
  <c r="I1803" i="4"/>
  <c r="I2183" i="4"/>
  <c r="I1613" i="4"/>
  <c r="I1917" i="4"/>
  <c r="I1423" i="4"/>
  <c r="I1727" i="4"/>
  <c r="I2107" i="4"/>
  <c r="I2221" i="4"/>
  <c r="I1537" i="4"/>
  <c r="I1841" i="4"/>
  <c r="I1347" i="4"/>
  <c r="I1651" i="4"/>
  <c r="I1955" i="4"/>
  <c r="I2031" i="4"/>
  <c r="I2145" i="4"/>
  <c r="I1765" i="4"/>
  <c r="I1575" i="4"/>
  <c r="I1879" i="4"/>
  <c r="I2259" i="4"/>
  <c r="I2069" i="4"/>
  <c r="I175" i="4"/>
  <c r="I289" i="4"/>
  <c r="I631" i="4"/>
  <c r="I593" i="4"/>
  <c r="I99" i="4"/>
  <c r="I213" i="4"/>
  <c r="I555" i="4"/>
  <c r="I517" i="4"/>
  <c r="I23" i="4"/>
  <c r="I137" i="4"/>
  <c r="I479" i="4"/>
  <c r="I441" i="4"/>
  <c r="I251" i="4"/>
  <c r="I61" i="4"/>
  <c r="I403" i="4"/>
  <c r="I327" i="4"/>
  <c r="I365" i="4"/>
  <c r="I935" i="4"/>
  <c r="I897" i="4"/>
  <c r="I1087" i="4"/>
  <c r="I1125" i="4"/>
  <c r="I859" i="4"/>
  <c r="I821" i="4"/>
  <c r="I1011" i="4"/>
  <c r="I1315" i="4"/>
  <c r="I1049" i="4"/>
  <c r="I1429" i="4"/>
  <c r="I783" i="4"/>
  <c r="I745" i="4"/>
  <c r="I1239" i="4"/>
  <c r="I1277" i="4"/>
  <c r="I1353" i="4"/>
  <c r="I707" i="4"/>
  <c r="I669" i="4"/>
  <c r="I973" i="4"/>
  <c r="I1163" i="4"/>
  <c r="I1201" i="4"/>
  <c r="I1657" i="4"/>
  <c r="I1961" i="4"/>
  <c r="I1467" i="4"/>
  <c r="I1771" i="4"/>
  <c r="I2151" i="4"/>
  <c r="I2265" i="4"/>
  <c r="I1581" i="4"/>
  <c r="I1885" i="4"/>
  <c r="I1391" i="4"/>
  <c r="I1695" i="4"/>
  <c r="I1999" i="4"/>
  <c r="I2075" i="4"/>
  <c r="I2189" i="4"/>
  <c r="I1809" i="4"/>
  <c r="I1619" i="4"/>
  <c r="I1923" i="4"/>
  <c r="I2113" i="4"/>
  <c r="I1505" i="4"/>
  <c r="I1733" i="4"/>
  <c r="I1543" i="4"/>
  <c r="I1847" i="4"/>
  <c r="I2227" i="4"/>
  <c r="I2037" i="4"/>
  <c r="I130" i="4"/>
  <c r="I16" i="4"/>
  <c r="I548" i="4"/>
  <c r="I510" i="4"/>
  <c r="I54" i="4"/>
  <c r="I244" i="4"/>
  <c r="I472" i="4"/>
  <c r="I434" i="4"/>
  <c r="I282" i="4"/>
  <c r="I168" i="4"/>
  <c r="I396" i="4"/>
  <c r="I358" i="4"/>
  <c r="I662" i="4"/>
  <c r="I206" i="4"/>
  <c r="I92" i="4"/>
  <c r="I624" i="4"/>
  <c r="I320" i="4"/>
  <c r="I586" i="4"/>
  <c r="I738" i="4"/>
  <c r="I814" i="4"/>
  <c r="I852" i="4"/>
  <c r="I1232" i="4"/>
  <c r="I1042" i="4"/>
  <c r="I776" i="4"/>
  <c r="I1156" i="4"/>
  <c r="I1270" i="4"/>
  <c r="I966" i="4"/>
  <c r="I700" i="4"/>
  <c r="I1080" i="4"/>
  <c r="I1194" i="4"/>
  <c r="I890" i="4"/>
  <c r="I928" i="4"/>
  <c r="I1004" i="4"/>
  <c r="I1308" i="4"/>
  <c r="I1118" i="4"/>
  <c r="I1346" i="4"/>
  <c r="I1650" i="4"/>
  <c r="I1954" i="4"/>
  <c r="I1460" i="4"/>
  <c r="I1764" i="4"/>
  <c r="I2144" i="4"/>
  <c r="I2258" i="4"/>
  <c r="I1574" i="4"/>
  <c r="I1878" i="4"/>
  <c r="I1384" i="4"/>
  <c r="I1688" i="4"/>
  <c r="I1992" i="4"/>
  <c r="I2068" i="4"/>
  <c r="I2182" i="4"/>
  <c r="I1498" i="4"/>
  <c r="I1802" i="4"/>
  <c r="I1612" i="4"/>
  <c r="I1916" i="4"/>
  <c r="I2106" i="4"/>
  <c r="I1422" i="4"/>
  <c r="I1726" i="4"/>
  <c r="I1536" i="4"/>
  <c r="I1840" i="4"/>
  <c r="I2220" i="4"/>
  <c r="I2030" i="4"/>
  <c r="I143" i="4"/>
  <c r="I257" i="4"/>
  <c r="I599" i="4"/>
  <c r="I561" i="4"/>
  <c r="I67" i="4"/>
  <c r="I181" i="4"/>
  <c r="I523" i="4"/>
  <c r="I485" i="4"/>
  <c r="I105" i="4"/>
  <c r="I447" i="4"/>
  <c r="I409" i="4"/>
  <c r="I219" i="4"/>
  <c r="I29" i="4"/>
  <c r="I333" i="4"/>
  <c r="I371" i="4"/>
  <c r="I295" i="4"/>
  <c r="I637" i="4"/>
  <c r="I903" i="4"/>
  <c r="I865" i="4"/>
  <c r="I1055" i="4"/>
  <c r="I1093" i="4"/>
  <c r="I827" i="4"/>
  <c r="I789" i="4"/>
  <c r="I1283" i="4"/>
  <c r="I1017" i="4"/>
  <c r="I1397" i="4"/>
  <c r="I751" i="4"/>
  <c r="I713" i="4"/>
  <c r="I1207" i="4"/>
  <c r="I1245" i="4"/>
  <c r="I675" i="4"/>
  <c r="I979" i="4"/>
  <c r="I941" i="4"/>
  <c r="I1131" i="4"/>
  <c r="I1169" i="4"/>
  <c r="I1321" i="4"/>
  <c r="I1625" i="4"/>
  <c r="I1929" i="4"/>
  <c r="I1435" i="4"/>
  <c r="I1739" i="4"/>
  <c r="I2119" i="4"/>
  <c r="I2233" i="4"/>
  <c r="I1473" i="4"/>
  <c r="I1549" i="4"/>
  <c r="I1853" i="4"/>
  <c r="I1359" i="4"/>
  <c r="I1663" i="4"/>
  <c r="I1967" i="4"/>
  <c r="I2043" i="4"/>
  <c r="I2157" i="4"/>
  <c r="I1777" i="4"/>
  <c r="I1587" i="4"/>
  <c r="I1891" i="4"/>
  <c r="I2271" i="4"/>
  <c r="I2081" i="4"/>
  <c r="I1701" i="4"/>
  <c r="I1511" i="4"/>
  <c r="I1815" i="4"/>
  <c r="I2195" i="4"/>
  <c r="I2005" i="4"/>
  <c r="I95" i="4"/>
  <c r="I209" i="4"/>
  <c r="I551" i="4"/>
  <c r="I513" i="4"/>
  <c r="I19" i="4"/>
  <c r="I133" i="4"/>
  <c r="I323" i="4"/>
  <c r="I475" i="4"/>
  <c r="I437" i="4"/>
  <c r="I247" i="4"/>
  <c r="I57" i="4"/>
  <c r="I399" i="4"/>
  <c r="I361" i="4"/>
  <c r="I171" i="4"/>
  <c r="I285" i="4"/>
  <c r="I627" i="4"/>
  <c r="I589" i="4"/>
  <c r="I855" i="4"/>
  <c r="I817" i="4"/>
  <c r="I1007" i="4"/>
  <c r="I1311" i="4"/>
  <c r="I1045" i="4"/>
  <c r="I1425" i="4"/>
  <c r="I779" i="4"/>
  <c r="I741" i="4"/>
  <c r="I1235" i="4"/>
  <c r="I1273" i="4"/>
  <c r="I1349" i="4"/>
  <c r="I703" i="4"/>
  <c r="I665" i="4"/>
  <c r="I969" i="4"/>
  <c r="I1159" i="4"/>
  <c r="I1197" i="4"/>
  <c r="I931" i="4"/>
  <c r="I893" i="4"/>
  <c r="I1083" i="4"/>
  <c r="I1121" i="4"/>
  <c r="I1577" i="4"/>
  <c r="I1881" i="4"/>
  <c r="I1387" i="4"/>
  <c r="I1691" i="4"/>
  <c r="I1995" i="4"/>
  <c r="I2071" i="4"/>
  <c r="I2185" i="4"/>
  <c r="I1805" i="4"/>
  <c r="I1615" i="4"/>
  <c r="I1919" i="4"/>
  <c r="I2109" i="4"/>
  <c r="I1501" i="4"/>
  <c r="I1729" i="4"/>
  <c r="I1539" i="4"/>
  <c r="I1843" i="4"/>
  <c r="I2223" i="4"/>
  <c r="I2033" i="4"/>
  <c r="I1653" i="4"/>
  <c r="I1957" i="4"/>
  <c r="I1463" i="4"/>
  <c r="I1767" i="4"/>
  <c r="I2147" i="4"/>
  <c r="I2261" i="4"/>
  <c r="I66" i="4"/>
  <c r="I256" i="4"/>
  <c r="I484" i="4"/>
  <c r="I446" i="4"/>
  <c r="I750" i="4"/>
  <c r="I294" i="4"/>
  <c r="I180" i="4"/>
  <c r="I408" i="4"/>
  <c r="I370" i="4"/>
  <c r="I674" i="4"/>
  <c r="I218" i="4"/>
  <c r="I104" i="4"/>
  <c r="I636" i="4"/>
  <c r="I598" i="4"/>
  <c r="I142" i="4"/>
  <c r="I28" i="4"/>
  <c r="I332" i="4"/>
  <c r="I560" i="4"/>
  <c r="I522" i="4"/>
  <c r="I788" i="4"/>
  <c r="I1168" i="4"/>
  <c r="I940" i="4"/>
  <c r="I1282" i="4"/>
  <c r="I978" i="4"/>
  <c r="I712" i="4"/>
  <c r="I1092" i="4"/>
  <c r="I1206" i="4"/>
  <c r="I902" i="4"/>
  <c r="I1016" i="4"/>
  <c r="I1320" i="4"/>
  <c r="I1130" i="4"/>
  <c r="I826" i="4"/>
  <c r="I864" i="4"/>
  <c r="I1244" i="4"/>
  <c r="I1054" i="4"/>
  <c r="I1586" i="4"/>
  <c r="I1890" i="4"/>
  <c r="I1396" i="4"/>
  <c r="I1700" i="4"/>
  <c r="I2080" i="4"/>
  <c r="I2194" i="4"/>
  <c r="I1510" i="4"/>
  <c r="I1814" i="4"/>
  <c r="I1624" i="4"/>
  <c r="I1928" i="4"/>
  <c r="I2004" i="4"/>
  <c r="I2118" i="4"/>
  <c r="I1434" i="4"/>
  <c r="I1738" i="4"/>
  <c r="I1548" i="4"/>
  <c r="I1852" i="4"/>
  <c r="I2232" i="4"/>
  <c r="I2042" i="4"/>
  <c r="I1358" i="4"/>
  <c r="I1662" i="4"/>
  <c r="I1966" i="4"/>
  <c r="I1472" i="4"/>
  <c r="I1776" i="4"/>
  <c r="I2156" i="4"/>
  <c r="I2270"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<sst xmlns="http://schemas.openxmlformats.org/spreadsheetml/2006/main" count="23702" uniqueCount="200">
  <si>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</si>
  <si>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</si>
  <si>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</si>
  <si>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</si>
  <si>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</si>
  <si>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</si>
  <si>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</si>
  <si>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</si>
  <si>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</si>
  <si>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</si>
  <si>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</si>
  <si>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</si>
  <si>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</si>
  <si>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</si>
  <si>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</si>
  <si>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</si>
  <si>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</si>
  <si>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</si>
  <si>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</si>
  <si>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</si>
  <si>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</si>
  <si>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</si>
  <si>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</si>
  <si>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</si>
  <si>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</si>
  <si>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</si>
  <si>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</si>
  <si>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</si>
  <si>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</si>
  <si>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</si>
  <si>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</si>
  <si>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</si>
  <si>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</si>
  <si>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</si>
  <si>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</si>
  <si>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</si>
  <si>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</si>
  <si>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</si>
  <si>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</si>
  <si>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</si>
  <si>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</si>
  <si>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</si>
  <si>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</si>
  <si>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</si>
  <si>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</si>
  <si>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</si>
  <si>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</si>
  <si>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</si>
  <si>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</si>
  <si>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</si>
  <si>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</si>
  <si>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</si>
  <si>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</si>
  <si>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</si>
  <si>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</si>
  <si>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</si>
  <si>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</si>
  <si>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</si>
  <si>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</si>
  <si>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</si>
  <si>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</si>
  <si>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</si>
  <si>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</si>
  <si>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</si>
  <si>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</si>
  <si>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</si>
  <si>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</si>
  <si>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</si>
  <si>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</si>
  <si>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</si>
  <si>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</si>
  <si>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</si>
  <si>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</si>
  <si>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</si>
  <si>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</si>
  <si>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</si>
  <si>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</si>
  <si>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</si>
  <si>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</si>
  <si>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</si>
  <si>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</si>
  <si>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</si>
  <si>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</si>
  <si>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</si>
  <si>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</si>
  <si>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</si>
  <si>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</si>
  <si>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</si>
  <si>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Deans Avenue_Riccarton Road_Riccarton Avenue_Intersection</t>
  </si>
  <si>
    <t>Lights</t>
  </si>
  <si>
    <t>Buses</t>
  </si>
  <si>
    <t>Single-Unit Trucks</t>
  </si>
  <si>
    <t>Articulated Trucks</t>
  </si>
  <si>
    <t>Bicycles On Road</t>
  </si>
  <si>
    <t>Deans Avenue North</t>
  </si>
  <si>
    <t>Riccarton Avenue East</t>
  </si>
  <si>
    <t>Deans Avenue South</t>
  </si>
  <si>
    <t>Riccarton Road West</t>
  </si>
  <si>
    <t>Left into Riccarton Avenue East</t>
  </si>
  <si>
    <t>Thru to Deans Avenue South</t>
  </si>
  <si>
    <t>Right into Riccarton Road West</t>
  </si>
  <si>
    <t>Left into Deans Avenue South</t>
  </si>
  <si>
    <t>Thru to Riccarton Road West</t>
  </si>
  <si>
    <t>Right into Deans Avenue North</t>
  </si>
  <si>
    <t>Left into Riccarton Road West</t>
  </si>
  <si>
    <t>Thru to Deans Avenue North</t>
  </si>
  <si>
    <t>Right into Riccarton Avenue East</t>
  </si>
  <si>
    <t>Left into Deans Avenue North</t>
  </si>
  <si>
    <t>Thru to Riccarton Avenue East</t>
  </si>
  <si>
    <t>Right into Deans Avenue South</t>
  </si>
  <si>
    <t>INT</t>
  </si>
  <si>
    <t>Deans Avenue_Riccarton Road_Riccarton Avenue_Intersection      Fine      31/05/2022</t>
  </si>
  <si>
    <t>Deans Avenue North Total</t>
  </si>
  <si>
    <t>Riccarton Avenue East Total</t>
  </si>
  <si>
    <t>Deans Avenue South Total</t>
  </si>
  <si>
    <t>Riccarton Road West Total</t>
  </si>
  <si>
    <t>Left into Riccarton Avenue East Total</t>
  </si>
  <si>
    <t>Thru to Deans Avenue South Total</t>
  </si>
  <si>
    <t>Right into Riccarton Road West Total</t>
  </si>
  <si>
    <t>Left into Deans Avenue South Total</t>
  </si>
  <si>
    <t>Thru to Riccarton Road West Total</t>
  </si>
  <si>
    <t>Right into Deans Avenue North Total</t>
  </si>
  <si>
    <t>Left into Riccarton Road West Total</t>
  </si>
  <si>
    <t>Thru to Deans Avenue North Total</t>
  </si>
  <si>
    <t>Right into Riccarton Avenue East Total</t>
  </si>
  <si>
    <t>Left into Deans Avenue North Total</t>
  </si>
  <si>
    <t>Thru to Riccarton Avenue East Total</t>
  </si>
  <si>
    <t>Right into Deans Avenue South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</si>
  <si>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</si>
  <si>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</si>
  <si>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</si>
  <si>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</si>
  <si>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</si>
  <si>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</si>
  <si>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</si>
  <si>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</si>
  <si>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</si>
  <si>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</si>
  <si>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</si>
  <si>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</si>
  <si>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</si>
  <si>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</si>
  <si>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</si>
  <si>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</si>
  <si>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</si>
  <si>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</si>
  <si>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</si>
  <si>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</si>
  <si>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</si>
  <si>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</si>
  <si>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</si>
  <si>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</si>
  <si>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</si>
  <si>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</si>
  <si>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</si>
  <si>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</si>
  <si>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</si>
  <si>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</si>
  <si>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</si>
  <si>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</si>
  <si>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</si>
  <si>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</si>
  <si>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</si>
  <si>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</si>
  <si>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</si>
  <si>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</si>
  <si>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</si>
  <si>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</si>
  <si>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</si>
  <si>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</si>
  <si>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</si>
  <si>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</si>
  <si>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</si>
  <si>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</si>
  <si>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</si>
  <si>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</si>
  <si>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</si>
  <si>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</si>
  <si>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</si>
  <si>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</si>
  <si>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</si>
  <si>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</si>
  <si>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</si>
  <si>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</si>
  <si>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</si>
  <si>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</si>
  <si>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Deans Ave Northbound</t>
  </si>
  <si>
    <t>Riccarton Ave</t>
  </si>
  <si>
    <t>Deans Ave Southbound</t>
  </si>
  <si>
    <t>Classification</t>
  </si>
  <si>
    <t>Road</t>
  </si>
  <si>
    <t>Type</t>
  </si>
  <si>
    <t>Project</t>
  </si>
  <si>
    <t>Site Code</t>
  </si>
  <si>
    <t>05/31/2022</t>
  </si>
  <si>
    <t>Start Date</t>
  </si>
  <si>
    <t>CCC I2076 Deans Ave - Riccarton Ave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</si>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</sst>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EAD0896-FACD-4C3E-9328-BF441B0E002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Road_Riccarton Avenue_Intersection_31-05-2022 -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146</c:v>
                </c:pt>
                <c:pt idx="1">
                  <c:v>203</c:v>
                </c:pt>
                <c:pt idx="2">
                  <c:v>209</c:v>
                </c:pt>
                <c:pt idx="3">
                  <c:v>275</c:v>
                </c:pt>
                <c:pt idx="4">
                  <c:v>385</c:v>
                </c:pt>
                <c:pt idx="5">
                  <c:v>392</c:v>
                </c:pt>
                <c:pt idx="6">
                  <c:v>368</c:v>
                </c:pt>
                <c:pt idx="7">
                  <c:v>399</c:v>
                </c:pt>
                <c:pt idx="8">
                  <c:v>429</c:v>
                </c:pt>
                <c:pt idx="9">
                  <c:v>380</c:v>
                </c:pt>
                <c:pt idx="10">
                  <c:v>291</c:v>
                </c:pt>
                <c:pt idx="11">
                  <c:v>230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55</c:v>
                </c:pt>
                <c:pt idx="1">
                  <c:v>37</c:v>
                </c:pt>
                <c:pt idx="2">
                  <c:v>57</c:v>
                </c:pt>
                <c:pt idx="3">
                  <c:v>95</c:v>
                </c:pt>
                <c:pt idx="4">
                  <c:v>115</c:v>
                </c:pt>
                <c:pt idx="5">
                  <c:v>118</c:v>
                </c:pt>
                <c:pt idx="6">
                  <c:v>125</c:v>
                </c:pt>
                <c:pt idx="7">
                  <c:v>157</c:v>
                </c:pt>
                <c:pt idx="8">
                  <c:v>112</c:v>
                </c:pt>
                <c:pt idx="9">
                  <c:v>127</c:v>
                </c:pt>
                <c:pt idx="10">
                  <c:v>78</c:v>
                </c:pt>
                <c:pt idx="11">
                  <c:v>126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47</c:v>
                </c:pt>
                <c:pt idx="1">
                  <c:v>45</c:v>
                </c:pt>
                <c:pt idx="2">
                  <c:v>68</c:v>
                </c:pt>
                <c:pt idx="3">
                  <c:v>75</c:v>
                </c:pt>
                <c:pt idx="4">
                  <c:v>86</c:v>
                </c:pt>
                <c:pt idx="5">
                  <c:v>121</c:v>
                </c:pt>
                <c:pt idx="6">
                  <c:v>89</c:v>
                </c:pt>
                <c:pt idx="7">
                  <c:v>116</c:v>
                </c:pt>
                <c:pt idx="8">
                  <c:v>105</c:v>
                </c:pt>
                <c:pt idx="9">
                  <c:v>96</c:v>
                </c:pt>
                <c:pt idx="10">
                  <c:v>91</c:v>
                </c:pt>
                <c:pt idx="11">
                  <c:v>66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60</c:v>
                </c:pt>
                <c:pt idx="1">
                  <c:v>89</c:v>
                </c:pt>
                <c:pt idx="2">
                  <c:v>96</c:v>
                </c:pt>
                <c:pt idx="3">
                  <c:v>117</c:v>
                </c:pt>
                <c:pt idx="4">
                  <c:v>137</c:v>
                </c:pt>
                <c:pt idx="5">
                  <c:v>173</c:v>
                </c:pt>
                <c:pt idx="6">
                  <c:v>201</c:v>
                </c:pt>
                <c:pt idx="7">
                  <c:v>163</c:v>
                </c:pt>
                <c:pt idx="8">
                  <c:v>150</c:v>
                </c:pt>
                <c:pt idx="9">
                  <c:v>152</c:v>
                </c:pt>
                <c:pt idx="10">
                  <c:v>139</c:v>
                </c:pt>
                <c:pt idx="11">
                  <c:v>142</c:v>
                </c:pt>
              </c:numCache>
            </c:numRef>
          </c:val>
          <c:smooth val="0"/>
          <c:extLst>
            <c:ext xmlns:c16="http://schemas.microsoft.com/office/drawing/2014/chart" uri="{C3380CC4-5D6E-409C-BE32-E72D297353CC}">
              <c16:uniqueId val="{00000000-E241-46C0-B7D9-02E96FA8A85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Road_Riccarton Avenue_Intersection_31-05-2022 -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82</c:v>
                </c:pt>
                <c:pt idx="1">
                  <c:v>88</c:v>
                </c:pt>
                <c:pt idx="2">
                  <c:v>106</c:v>
                </c:pt>
                <c:pt idx="3">
                  <c:v>160</c:v>
                </c:pt>
                <c:pt idx="4">
                  <c:v>185</c:v>
                </c:pt>
                <c:pt idx="5">
                  <c:v>201</c:v>
                </c:pt>
                <c:pt idx="6">
                  <c:v>210</c:v>
                </c:pt>
                <c:pt idx="7">
                  <c:v>242</c:v>
                </c:pt>
                <c:pt idx="8">
                  <c:v>196</c:v>
                </c:pt>
                <c:pt idx="9">
                  <c:v>194</c:v>
                </c:pt>
                <c:pt idx="10">
                  <c:v>165</c:v>
                </c:pt>
                <c:pt idx="11">
                  <c:v>176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81</c:v>
                </c:pt>
                <c:pt idx="1">
                  <c:v>101</c:v>
                </c:pt>
                <c:pt idx="2">
                  <c:v>107</c:v>
                </c:pt>
                <c:pt idx="3">
                  <c:v>125</c:v>
                </c:pt>
                <c:pt idx="4">
                  <c:v>195</c:v>
                </c:pt>
                <c:pt idx="5">
                  <c:v>191</c:v>
                </c:pt>
                <c:pt idx="6">
                  <c:v>179</c:v>
                </c:pt>
                <c:pt idx="7">
                  <c:v>193</c:v>
                </c:pt>
                <c:pt idx="8">
                  <c:v>196</c:v>
                </c:pt>
                <c:pt idx="9">
                  <c:v>179</c:v>
                </c:pt>
                <c:pt idx="10">
                  <c:v>130</c:v>
                </c:pt>
                <c:pt idx="11">
                  <c:v>109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91</c:v>
                </c:pt>
                <c:pt idx="1">
                  <c:v>112</c:v>
                </c:pt>
                <c:pt idx="2">
                  <c:v>135</c:v>
                </c:pt>
                <c:pt idx="3">
                  <c:v>167</c:v>
                </c:pt>
                <c:pt idx="4">
                  <c:v>218</c:v>
                </c:pt>
                <c:pt idx="5">
                  <c:v>257</c:v>
                </c:pt>
                <c:pt idx="6">
                  <c:v>261</c:v>
                </c:pt>
                <c:pt idx="7">
                  <c:v>238</c:v>
                </c:pt>
                <c:pt idx="8">
                  <c:v>231</c:v>
                </c:pt>
                <c:pt idx="9">
                  <c:v>230</c:v>
                </c:pt>
                <c:pt idx="10">
                  <c:v>162</c:v>
                </c:pt>
                <c:pt idx="11">
                  <c:v>168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54</c:v>
                </c:pt>
                <c:pt idx="1">
                  <c:v>73</c:v>
                </c:pt>
                <c:pt idx="2">
                  <c:v>82</c:v>
                </c:pt>
                <c:pt idx="3">
                  <c:v>110</c:v>
                </c:pt>
                <c:pt idx="4">
                  <c:v>125</c:v>
                </c:pt>
                <c:pt idx="5">
                  <c:v>155</c:v>
                </c:pt>
                <c:pt idx="6">
                  <c:v>133</c:v>
                </c:pt>
                <c:pt idx="7">
                  <c:v>162</c:v>
                </c:pt>
                <c:pt idx="8">
                  <c:v>173</c:v>
                </c:pt>
                <c:pt idx="9">
                  <c:v>152</c:v>
                </c:pt>
                <c:pt idx="10">
                  <c:v>142</c:v>
                </c:pt>
                <c:pt idx="11">
                  <c:v>111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Road_Riccarton Avenue_Intersection_31-05-2022 -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308</c:v>
                </c:pt>
                <c:pt idx="1">
                  <c:v>374</c:v>
                </c:pt>
                <c:pt idx="2">
                  <c:v>430</c:v>
                </c:pt>
                <c:pt idx="3">
                  <c:v>562</c:v>
                </c:pt>
                <c:pt idx="4">
                  <c:v>723</c:v>
                </c:pt>
                <c:pt idx="5">
                  <c:v>804</c:v>
                </c:pt>
                <c:pt idx="6">
                  <c:v>783</c:v>
                </c:pt>
                <c:pt idx="7">
                  <c:v>835</c:v>
                </c:pt>
                <c:pt idx="8">
                  <c:v>796</c:v>
                </c:pt>
                <c:pt idx="9">
                  <c:v>755</c:v>
                </c:pt>
                <c:pt idx="10">
                  <c:v>599</c:v>
                </c:pt>
                <c:pt idx="11">
                  <c:v>564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Road_Riccarton Avenue_Intersection_31-05-2022 -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308</c:v>
                </c:pt>
                <c:pt idx="1">
                  <c:v>374</c:v>
                </c:pt>
                <c:pt idx="2">
                  <c:v>430</c:v>
                </c:pt>
                <c:pt idx="3">
                  <c:v>562</c:v>
                </c:pt>
                <c:pt idx="4">
                  <c:v>723</c:v>
                </c:pt>
                <c:pt idx="5">
                  <c:v>804</c:v>
                </c:pt>
                <c:pt idx="6">
                  <c:v>783</c:v>
                </c:pt>
                <c:pt idx="7">
                  <c:v>835</c:v>
                </c:pt>
                <c:pt idx="8">
                  <c:v>796</c:v>
                </c:pt>
                <c:pt idx="9">
                  <c:v>755</c:v>
                </c:pt>
                <c:pt idx="10">
                  <c:v>599</c:v>
                </c:pt>
                <c:pt idx="11">
                  <c:v>564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804</c:v>
                </c:pt>
                <c:pt idx="6">
                  <c:v>783</c:v>
                </c:pt>
                <c:pt idx="7">
                  <c:v>835</c:v>
                </c:pt>
                <c:pt idx="8">
                  <c:v>796</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268867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16</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1260046296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884"/>
    </cacheField>
    <cacheField name="Peak" numFmtId="0">
      <sharedItems containsSemiMixedTypes="0" containsString="0" containsNumber="1" containsInteger="1" minValue="0" maxValue="88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12725810187" createdVersion="5" refreshedVersion="8" minRefreshableVersion="3" recordCount="2280" xr:uid="{00000000-000A-0000-FFFF-FFFF01000000}">
  <cacheSource type="worksheet">
    <worksheetSource name="tblPivotData"/>
  </cacheSource>
  <cacheFields count="9">
    <cacheField name="Approach" numFmtId="0">
      <sharedItems count="7">
        <s v="Deans Avenue North"/>
        <s v="Riccarton Avenue East"/>
        <s v="Deans Avenue South"/>
        <s v="Riccarton Road West"/>
        <s v="Great south Rd (North)" u="1"/>
        <s v="Great south Rd (South)" u="1"/>
        <s v="Grange Rd" u="1"/>
      </sharedItems>
    </cacheField>
    <cacheField name="Movement" numFmtId="0">
      <sharedItems count="20">
        <s v="Left into Riccarton Avenue East"/>
        <s v="Thru to Deans Avenue South"/>
        <s v="Right into Riccarton Road West"/>
        <s v="Left into Deans Avenue South"/>
        <s v="Thru to Riccarton Road West"/>
        <s v="Right into Deans Avenue North"/>
        <s v="Left into Riccarton Road West"/>
        <s v="Thru to Deans Avenue North"/>
        <s v="Right into Riccarton Avenue East"/>
        <s v="Left into Deans Avenue North"/>
        <s v="Thru to Riccarton Avenue East"/>
        <s v="Right into Deans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Avenue East"/>
        <s v="Deans Avenue South"/>
        <s v="Riccarton Road West"/>
        <s v="Deans Avenue North"/>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179"/>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8"/>
    <n v="0"/>
  </r>
  <r>
    <x v="0"/>
    <x v="1"/>
    <n v="374"/>
    <n v="0"/>
  </r>
  <r>
    <x v="0"/>
    <x v="2"/>
    <n v="430"/>
    <n v="0"/>
  </r>
  <r>
    <x v="0"/>
    <x v="3"/>
    <n v="562"/>
    <n v="0"/>
  </r>
  <r>
    <x v="0"/>
    <x v="4"/>
    <n v="723"/>
    <n v="0"/>
  </r>
  <r>
    <x v="0"/>
    <x v="5"/>
    <n v="804"/>
    <n v="804"/>
  </r>
  <r>
    <x v="0"/>
    <x v="6"/>
    <n v="783"/>
    <n v="783"/>
  </r>
  <r>
    <x v="0"/>
    <x v="7"/>
    <n v="835"/>
    <n v="835"/>
  </r>
  <r>
    <x v="0"/>
    <x v="8"/>
    <n v="796"/>
    <n v="796"/>
  </r>
  <r>
    <x v="0"/>
    <x v="9"/>
    <n v="755"/>
    <n v="0"/>
  </r>
  <r>
    <x v="0"/>
    <x v="10"/>
    <n v="599"/>
    <n v="0"/>
  </r>
  <r>
    <x v="0"/>
    <x v="11"/>
    <n v="564"/>
    <n v="0"/>
  </r>
  <r>
    <x v="1"/>
    <x v="12"/>
    <n v="543"/>
    <n v="0"/>
  </r>
  <r>
    <x v="1"/>
    <x v="13"/>
    <n v="580"/>
    <n v="0"/>
  </r>
  <r>
    <x v="1"/>
    <x v="14"/>
    <n v="583"/>
    <n v="0"/>
  </r>
  <r>
    <x v="1"/>
    <x v="15"/>
    <n v="681"/>
    <n v="0"/>
  </r>
  <r>
    <x v="1"/>
    <x v="16"/>
    <n v="623"/>
    <n v="0"/>
  </r>
  <r>
    <x v="1"/>
    <x v="17"/>
    <n v="666"/>
    <n v="0"/>
  </r>
  <r>
    <x v="1"/>
    <x v="18"/>
    <n v="641"/>
    <n v="641"/>
  </r>
  <r>
    <x v="1"/>
    <x v="19"/>
    <n v="638"/>
    <n v="638"/>
  </r>
  <r>
    <x v="1"/>
    <x v="20"/>
    <n v="641"/>
    <n v="641"/>
  </r>
  <r>
    <x v="1"/>
    <x v="21"/>
    <n v="726"/>
    <n v="726"/>
  </r>
  <r>
    <x v="1"/>
    <x v="22"/>
    <n v="635"/>
    <n v="0"/>
  </r>
  <r>
    <x v="1"/>
    <x v="23"/>
    <n v="618"/>
    <n v="0"/>
  </r>
  <r>
    <x v="2"/>
    <x v="24"/>
    <n v="731"/>
    <n v="0"/>
  </r>
  <r>
    <x v="2"/>
    <x v="25"/>
    <n v="788"/>
    <n v="0"/>
  </r>
  <r>
    <x v="2"/>
    <x v="26"/>
    <n v="706"/>
    <n v="0"/>
  </r>
  <r>
    <x v="2"/>
    <x v="27"/>
    <n v="769"/>
    <n v="0"/>
  </r>
  <r>
    <x v="2"/>
    <x v="28"/>
    <n v="734"/>
    <n v="0"/>
  </r>
  <r>
    <x v="2"/>
    <x v="29"/>
    <n v="766"/>
    <n v="0"/>
  </r>
  <r>
    <x v="2"/>
    <x v="30"/>
    <n v="884"/>
    <n v="884"/>
  </r>
  <r>
    <x v="2"/>
    <x v="31"/>
    <n v="854"/>
    <n v="854"/>
  </r>
  <r>
    <x v="2"/>
    <x v="32"/>
    <n v="844"/>
    <n v="844"/>
  </r>
  <r>
    <x v="2"/>
    <x v="33"/>
    <n v="855"/>
    <n v="855"/>
  </r>
  <r>
    <x v="2"/>
    <x v="34"/>
    <n v="823"/>
    <n v="0"/>
  </r>
  <r>
    <x v="2"/>
    <x v="35"/>
    <n v="702"/>
    <n v="0"/>
  </r>
  <r>
    <x v="2"/>
    <x v="36"/>
    <n v="578"/>
    <n v="0"/>
  </r>
  <r>
    <x v="2"/>
    <x v="37"/>
    <n v="54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0">
  <r>
    <x v="0"/>
    <x v="0"/>
    <x v="0"/>
    <x v="0"/>
    <x v="0"/>
    <x v="0"/>
    <n v="52"/>
    <x v="0"/>
    <x v="0"/>
  </r>
  <r>
    <x v="0"/>
    <x v="0"/>
    <x v="0"/>
    <x v="0"/>
    <x v="0"/>
    <x v="1"/>
    <n v="61"/>
    <x v="1"/>
    <x v="0"/>
  </r>
  <r>
    <x v="0"/>
    <x v="0"/>
    <x v="0"/>
    <x v="0"/>
    <x v="0"/>
    <x v="2"/>
    <n v="69"/>
    <x v="2"/>
    <x v="0"/>
  </r>
  <r>
    <x v="0"/>
    <x v="0"/>
    <x v="0"/>
    <x v="0"/>
    <x v="0"/>
    <x v="3"/>
    <n v="99"/>
    <x v="3"/>
    <x v="0"/>
  </r>
  <r>
    <x v="0"/>
    <x v="0"/>
    <x v="0"/>
    <x v="0"/>
    <x v="0"/>
    <x v="4"/>
    <n v="127"/>
    <x v="4"/>
    <x v="0"/>
  </r>
  <r>
    <x v="0"/>
    <x v="0"/>
    <x v="0"/>
    <x v="0"/>
    <x v="0"/>
    <x v="5"/>
    <n v="125"/>
    <x v="5"/>
    <x v="1"/>
  </r>
  <r>
    <x v="0"/>
    <x v="0"/>
    <x v="0"/>
    <x v="0"/>
    <x v="0"/>
    <x v="6"/>
    <n v="129"/>
    <x v="6"/>
    <x v="1"/>
  </r>
  <r>
    <x v="0"/>
    <x v="0"/>
    <x v="0"/>
    <x v="0"/>
    <x v="0"/>
    <x v="7"/>
    <n v="130"/>
    <x v="7"/>
    <x v="1"/>
  </r>
  <r>
    <x v="0"/>
    <x v="0"/>
    <x v="0"/>
    <x v="0"/>
    <x v="0"/>
    <x v="8"/>
    <n v="139"/>
    <x v="8"/>
    <x v="1"/>
  </r>
  <r>
    <x v="0"/>
    <x v="0"/>
    <x v="0"/>
    <x v="0"/>
    <x v="0"/>
    <x v="9"/>
    <n v="127"/>
    <x v="9"/>
    <x v="0"/>
  </r>
  <r>
    <x v="0"/>
    <x v="0"/>
    <x v="0"/>
    <x v="0"/>
    <x v="0"/>
    <x v="10"/>
    <n v="84"/>
    <x v="10"/>
    <x v="0"/>
  </r>
  <r>
    <x v="0"/>
    <x v="0"/>
    <x v="0"/>
    <x v="0"/>
    <x v="0"/>
    <x v="11"/>
    <n v="77"/>
    <x v="11"/>
    <x v="0"/>
  </r>
  <r>
    <x v="0"/>
    <x v="0"/>
    <x v="0"/>
    <x v="0"/>
    <x v="1"/>
    <x v="12"/>
    <n v="49"/>
    <x v="12"/>
    <x v="0"/>
  </r>
  <r>
    <x v="0"/>
    <x v="0"/>
    <x v="0"/>
    <x v="0"/>
    <x v="1"/>
    <x v="13"/>
    <n v="72"/>
    <x v="13"/>
    <x v="0"/>
  </r>
  <r>
    <x v="0"/>
    <x v="0"/>
    <x v="0"/>
    <x v="0"/>
    <x v="1"/>
    <x v="14"/>
    <n v="74"/>
    <x v="14"/>
    <x v="0"/>
  </r>
  <r>
    <x v="0"/>
    <x v="0"/>
    <x v="0"/>
    <x v="0"/>
    <x v="1"/>
    <x v="15"/>
    <n v="72"/>
    <x v="15"/>
    <x v="0"/>
  </r>
  <r>
    <x v="0"/>
    <x v="0"/>
    <x v="0"/>
    <x v="0"/>
    <x v="1"/>
    <x v="16"/>
    <n v="60"/>
    <x v="16"/>
    <x v="0"/>
  </r>
  <r>
    <x v="0"/>
    <x v="0"/>
    <x v="0"/>
    <x v="0"/>
    <x v="1"/>
    <x v="17"/>
    <n v="63"/>
    <x v="17"/>
    <x v="0"/>
  </r>
  <r>
    <x v="0"/>
    <x v="0"/>
    <x v="0"/>
    <x v="0"/>
    <x v="1"/>
    <x v="18"/>
    <n v="59"/>
    <x v="18"/>
    <x v="1"/>
  </r>
  <r>
    <x v="0"/>
    <x v="0"/>
    <x v="0"/>
    <x v="0"/>
    <x v="1"/>
    <x v="19"/>
    <n v="59"/>
    <x v="19"/>
    <x v="1"/>
  </r>
  <r>
    <x v="0"/>
    <x v="0"/>
    <x v="0"/>
    <x v="0"/>
    <x v="1"/>
    <x v="20"/>
    <n v="70"/>
    <x v="20"/>
    <x v="1"/>
  </r>
  <r>
    <x v="0"/>
    <x v="0"/>
    <x v="0"/>
    <x v="0"/>
    <x v="1"/>
    <x v="21"/>
    <n v="90"/>
    <x v="21"/>
    <x v="1"/>
  </r>
  <r>
    <x v="0"/>
    <x v="0"/>
    <x v="0"/>
    <x v="0"/>
    <x v="1"/>
    <x v="22"/>
    <n v="69"/>
    <x v="22"/>
    <x v="0"/>
  </r>
  <r>
    <x v="0"/>
    <x v="0"/>
    <x v="0"/>
    <x v="0"/>
    <x v="1"/>
    <x v="23"/>
    <n v="89"/>
    <x v="23"/>
    <x v="0"/>
  </r>
  <r>
    <x v="0"/>
    <x v="0"/>
    <x v="0"/>
    <x v="0"/>
    <x v="2"/>
    <x v="24"/>
    <n v="86"/>
    <x v="24"/>
    <x v="0"/>
  </r>
  <r>
    <x v="0"/>
    <x v="0"/>
    <x v="0"/>
    <x v="0"/>
    <x v="2"/>
    <x v="25"/>
    <n v="97"/>
    <x v="25"/>
    <x v="0"/>
  </r>
  <r>
    <x v="0"/>
    <x v="0"/>
    <x v="0"/>
    <x v="0"/>
    <x v="2"/>
    <x v="26"/>
    <n v="82"/>
    <x v="26"/>
    <x v="0"/>
  </r>
  <r>
    <x v="0"/>
    <x v="0"/>
    <x v="0"/>
    <x v="0"/>
    <x v="2"/>
    <x v="27"/>
    <n v="92"/>
    <x v="27"/>
    <x v="0"/>
  </r>
  <r>
    <x v="0"/>
    <x v="0"/>
    <x v="0"/>
    <x v="0"/>
    <x v="2"/>
    <x v="28"/>
    <n v="89"/>
    <x v="28"/>
    <x v="0"/>
  </r>
  <r>
    <x v="0"/>
    <x v="0"/>
    <x v="0"/>
    <x v="0"/>
    <x v="2"/>
    <x v="29"/>
    <n v="96"/>
    <x v="29"/>
    <x v="0"/>
  </r>
  <r>
    <x v="0"/>
    <x v="0"/>
    <x v="0"/>
    <x v="0"/>
    <x v="2"/>
    <x v="30"/>
    <n v="94"/>
    <x v="30"/>
    <x v="1"/>
  </r>
  <r>
    <x v="0"/>
    <x v="0"/>
    <x v="0"/>
    <x v="0"/>
    <x v="2"/>
    <x v="31"/>
    <n v="99"/>
    <x v="31"/>
    <x v="1"/>
  </r>
  <r>
    <x v="0"/>
    <x v="0"/>
    <x v="0"/>
    <x v="0"/>
    <x v="2"/>
    <x v="32"/>
    <n v="85"/>
    <x v="32"/>
    <x v="1"/>
  </r>
  <r>
    <x v="0"/>
    <x v="0"/>
    <x v="0"/>
    <x v="0"/>
    <x v="2"/>
    <x v="33"/>
    <n v="98"/>
    <x v="33"/>
    <x v="1"/>
  </r>
  <r>
    <x v="0"/>
    <x v="0"/>
    <x v="0"/>
    <x v="0"/>
    <x v="2"/>
    <x v="34"/>
    <n v="85"/>
    <x v="34"/>
    <x v="0"/>
  </r>
  <r>
    <x v="0"/>
    <x v="0"/>
    <x v="0"/>
    <x v="0"/>
    <x v="2"/>
    <x v="35"/>
    <n v="83"/>
    <x v="35"/>
    <x v="0"/>
  </r>
  <r>
    <x v="0"/>
    <x v="0"/>
    <x v="0"/>
    <x v="0"/>
    <x v="2"/>
    <x v="36"/>
    <n v="56"/>
    <x v="36"/>
    <x v="0"/>
  </r>
  <r>
    <x v="0"/>
    <x v="0"/>
    <x v="0"/>
    <x v="0"/>
    <x v="2"/>
    <x v="37"/>
    <n v="55"/>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1"/>
  </r>
  <r>
    <x v="0"/>
    <x v="0"/>
    <x v="0"/>
    <x v="1"/>
    <x v="0"/>
    <x v="6"/>
    <n v="1"/>
    <x v="6"/>
    <x v="1"/>
  </r>
  <r>
    <x v="0"/>
    <x v="0"/>
    <x v="0"/>
    <x v="1"/>
    <x v="0"/>
    <x v="7"/>
    <n v="0"/>
    <x v="7"/>
    <x v="1"/>
  </r>
  <r>
    <x v="0"/>
    <x v="0"/>
    <x v="0"/>
    <x v="1"/>
    <x v="0"/>
    <x v="8"/>
    <n v="1"/>
    <x v="8"/>
    <x v="1"/>
  </r>
  <r>
    <x v="0"/>
    <x v="0"/>
    <x v="0"/>
    <x v="1"/>
    <x v="0"/>
    <x v="9"/>
    <n v="0"/>
    <x v="9"/>
    <x v="0"/>
  </r>
  <r>
    <x v="0"/>
    <x v="0"/>
    <x v="0"/>
    <x v="1"/>
    <x v="0"/>
    <x v="10"/>
    <n v="0"/>
    <x v="10"/>
    <x v="0"/>
  </r>
  <r>
    <x v="0"/>
    <x v="0"/>
    <x v="0"/>
    <x v="1"/>
    <x v="0"/>
    <x v="11"/>
    <n v="0"/>
    <x v="11"/>
    <x v="0"/>
  </r>
  <r>
    <x v="0"/>
    <x v="0"/>
    <x v="0"/>
    <x v="1"/>
    <x v="1"/>
    <x v="12"/>
    <n v="1"/>
    <x v="12"/>
    <x v="0"/>
  </r>
  <r>
    <x v="0"/>
    <x v="0"/>
    <x v="0"/>
    <x v="1"/>
    <x v="1"/>
    <x v="13"/>
    <n v="0"/>
    <x v="13"/>
    <x v="0"/>
  </r>
  <r>
    <x v="0"/>
    <x v="0"/>
    <x v="0"/>
    <x v="1"/>
    <x v="1"/>
    <x v="14"/>
    <n v="0"/>
    <x v="14"/>
    <x v="0"/>
  </r>
  <r>
    <x v="0"/>
    <x v="0"/>
    <x v="0"/>
    <x v="1"/>
    <x v="1"/>
    <x v="15"/>
    <n v="0"/>
    <x v="15"/>
    <x v="0"/>
  </r>
  <r>
    <x v="0"/>
    <x v="0"/>
    <x v="0"/>
    <x v="1"/>
    <x v="1"/>
    <x v="16"/>
    <n v="0"/>
    <x v="16"/>
    <x v="0"/>
  </r>
  <r>
    <x v="0"/>
    <x v="0"/>
    <x v="0"/>
    <x v="1"/>
    <x v="1"/>
    <x v="17"/>
    <n v="0"/>
    <x v="17"/>
    <x v="0"/>
  </r>
  <r>
    <x v="0"/>
    <x v="0"/>
    <x v="0"/>
    <x v="1"/>
    <x v="1"/>
    <x v="18"/>
    <n v="1"/>
    <x v="18"/>
    <x v="1"/>
  </r>
  <r>
    <x v="0"/>
    <x v="0"/>
    <x v="0"/>
    <x v="1"/>
    <x v="1"/>
    <x v="19"/>
    <n v="0"/>
    <x v="19"/>
    <x v="1"/>
  </r>
  <r>
    <x v="0"/>
    <x v="0"/>
    <x v="0"/>
    <x v="1"/>
    <x v="1"/>
    <x v="20"/>
    <n v="0"/>
    <x v="20"/>
    <x v="1"/>
  </r>
  <r>
    <x v="0"/>
    <x v="0"/>
    <x v="0"/>
    <x v="1"/>
    <x v="1"/>
    <x v="21"/>
    <n v="0"/>
    <x v="21"/>
    <x v="1"/>
  </r>
  <r>
    <x v="0"/>
    <x v="0"/>
    <x v="0"/>
    <x v="1"/>
    <x v="1"/>
    <x v="22"/>
    <n v="0"/>
    <x v="22"/>
    <x v="0"/>
  </r>
  <r>
    <x v="0"/>
    <x v="0"/>
    <x v="0"/>
    <x v="1"/>
    <x v="1"/>
    <x v="23"/>
    <n v="0"/>
    <x v="23"/>
    <x v="0"/>
  </r>
  <r>
    <x v="0"/>
    <x v="0"/>
    <x v="0"/>
    <x v="1"/>
    <x v="2"/>
    <x v="24"/>
    <n v="0"/>
    <x v="24"/>
    <x v="0"/>
  </r>
  <r>
    <x v="0"/>
    <x v="0"/>
    <x v="0"/>
    <x v="1"/>
    <x v="2"/>
    <x v="25"/>
    <n v="1"/>
    <x v="25"/>
    <x v="0"/>
  </r>
  <r>
    <x v="0"/>
    <x v="0"/>
    <x v="0"/>
    <x v="1"/>
    <x v="2"/>
    <x v="26"/>
    <n v="0"/>
    <x v="26"/>
    <x v="0"/>
  </r>
  <r>
    <x v="0"/>
    <x v="0"/>
    <x v="0"/>
    <x v="1"/>
    <x v="2"/>
    <x v="27"/>
    <n v="0"/>
    <x v="27"/>
    <x v="0"/>
  </r>
  <r>
    <x v="0"/>
    <x v="0"/>
    <x v="0"/>
    <x v="1"/>
    <x v="2"/>
    <x v="28"/>
    <n v="0"/>
    <x v="28"/>
    <x v="0"/>
  </r>
  <r>
    <x v="0"/>
    <x v="0"/>
    <x v="0"/>
    <x v="1"/>
    <x v="2"/>
    <x v="29"/>
    <n v="0"/>
    <x v="29"/>
    <x v="0"/>
  </r>
  <r>
    <x v="0"/>
    <x v="0"/>
    <x v="0"/>
    <x v="1"/>
    <x v="2"/>
    <x v="30"/>
    <n v="0"/>
    <x v="30"/>
    <x v="1"/>
  </r>
  <r>
    <x v="0"/>
    <x v="0"/>
    <x v="0"/>
    <x v="1"/>
    <x v="2"/>
    <x v="31"/>
    <n v="0"/>
    <x v="31"/>
    <x v="1"/>
  </r>
  <r>
    <x v="0"/>
    <x v="0"/>
    <x v="0"/>
    <x v="1"/>
    <x v="2"/>
    <x v="32"/>
    <n v="0"/>
    <x v="32"/>
    <x v="1"/>
  </r>
  <r>
    <x v="0"/>
    <x v="0"/>
    <x v="0"/>
    <x v="1"/>
    <x v="2"/>
    <x v="33"/>
    <n v="2"/>
    <x v="33"/>
    <x v="1"/>
  </r>
  <r>
    <x v="0"/>
    <x v="0"/>
    <x v="0"/>
    <x v="1"/>
    <x v="2"/>
    <x v="34"/>
    <n v="0"/>
    <x v="34"/>
    <x v="0"/>
  </r>
  <r>
    <x v="0"/>
    <x v="0"/>
    <x v="0"/>
    <x v="1"/>
    <x v="2"/>
    <x v="35"/>
    <n v="0"/>
    <x v="35"/>
    <x v="0"/>
  </r>
  <r>
    <x v="0"/>
    <x v="0"/>
    <x v="0"/>
    <x v="1"/>
    <x v="2"/>
    <x v="36"/>
    <n v="0"/>
    <x v="36"/>
    <x v="0"/>
  </r>
  <r>
    <x v="0"/>
    <x v="0"/>
    <x v="0"/>
    <x v="1"/>
    <x v="2"/>
    <x v="37"/>
    <n v="0"/>
    <x v="37"/>
    <x v="0"/>
  </r>
  <r>
    <x v="0"/>
    <x v="0"/>
    <x v="0"/>
    <x v="2"/>
    <x v="0"/>
    <x v="0"/>
    <n v="0"/>
    <x v="0"/>
    <x v="0"/>
  </r>
  <r>
    <x v="0"/>
    <x v="0"/>
    <x v="0"/>
    <x v="2"/>
    <x v="0"/>
    <x v="1"/>
    <n v="1"/>
    <x v="1"/>
    <x v="0"/>
  </r>
  <r>
    <x v="0"/>
    <x v="0"/>
    <x v="0"/>
    <x v="2"/>
    <x v="0"/>
    <x v="2"/>
    <n v="1"/>
    <x v="2"/>
    <x v="0"/>
  </r>
  <r>
    <x v="0"/>
    <x v="0"/>
    <x v="0"/>
    <x v="2"/>
    <x v="0"/>
    <x v="3"/>
    <n v="0"/>
    <x v="3"/>
    <x v="0"/>
  </r>
  <r>
    <x v="0"/>
    <x v="0"/>
    <x v="0"/>
    <x v="2"/>
    <x v="0"/>
    <x v="4"/>
    <n v="0"/>
    <x v="4"/>
    <x v="0"/>
  </r>
  <r>
    <x v="0"/>
    <x v="0"/>
    <x v="0"/>
    <x v="2"/>
    <x v="0"/>
    <x v="5"/>
    <n v="0"/>
    <x v="5"/>
    <x v="1"/>
  </r>
  <r>
    <x v="0"/>
    <x v="0"/>
    <x v="0"/>
    <x v="2"/>
    <x v="0"/>
    <x v="6"/>
    <n v="0"/>
    <x v="6"/>
    <x v="1"/>
  </r>
  <r>
    <x v="0"/>
    <x v="0"/>
    <x v="0"/>
    <x v="2"/>
    <x v="0"/>
    <x v="7"/>
    <n v="1"/>
    <x v="7"/>
    <x v="1"/>
  </r>
  <r>
    <x v="0"/>
    <x v="0"/>
    <x v="0"/>
    <x v="2"/>
    <x v="0"/>
    <x v="8"/>
    <n v="1"/>
    <x v="8"/>
    <x v="1"/>
  </r>
  <r>
    <x v="0"/>
    <x v="0"/>
    <x v="0"/>
    <x v="2"/>
    <x v="0"/>
    <x v="9"/>
    <n v="2"/>
    <x v="9"/>
    <x v="0"/>
  </r>
  <r>
    <x v="0"/>
    <x v="0"/>
    <x v="0"/>
    <x v="2"/>
    <x v="0"/>
    <x v="10"/>
    <n v="2"/>
    <x v="10"/>
    <x v="0"/>
  </r>
  <r>
    <x v="0"/>
    <x v="0"/>
    <x v="0"/>
    <x v="2"/>
    <x v="0"/>
    <x v="11"/>
    <n v="1"/>
    <x v="11"/>
    <x v="0"/>
  </r>
  <r>
    <x v="0"/>
    <x v="0"/>
    <x v="0"/>
    <x v="2"/>
    <x v="1"/>
    <x v="12"/>
    <n v="2"/>
    <x v="12"/>
    <x v="0"/>
  </r>
  <r>
    <x v="0"/>
    <x v="0"/>
    <x v="0"/>
    <x v="2"/>
    <x v="1"/>
    <x v="13"/>
    <n v="1"/>
    <x v="13"/>
    <x v="0"/>
  </r>
  <r>
    <x v="0"/>
    <x v="0"/>
    <x v="0"/>
    <x v="2"/>
    <x v="1"/>
    <x v="14"/>
    <n v="5"/>
    <x v="14"/>
    <x v="0"/>
  </r>
  <r>
    <x v="0"/>
    <x v="0"/>
    <x v="0"/>
    <x v="2"/>
    <x v="1"/>
    <x v="15"/>
    <n v="3"/>
    <x v="15"/>
    <x v="0"/>
  </r>
  <r>
    <x v="0"/>
    <x v="0"/>
    <x v="0"/>
    <x v="2"/>
    <x v="1"/>
    <x v="16"/>
    <n v="1"/>
    <x v="16"/>
    <x v="0"/>
  </r>
  <r>
    <x v="0"/>
    <x v="0"/>
    <x v="0"/>
    <x v="2"/>
    <x v="1"/>
    <x v="17"/>
    <n v="1"/>
    <x v="17"/>
    <x v="0"/>
  </r>
  <r>
    <x v="0"/>
    <x v="0"/>
    <x v="0"/>
    <x v="2"/>
    <x v="1"/>
    <x v="18"/>
    <n v="1"/>
    <x v="18"/>
    <x v="1"/>
  </r>
  <r>
    <x v="0"/>
    <x v="0"/>
    <x v="0"/>
    <x v="2"/>
    <x v="1"/>
    <x v="19"/>
    <n v="0"/>
    <x v="19"/>
    <x v="1"/>
  </r>
  <r>
    <x v="0"/>
    <x v="0"/>
    <x v="0"/>
    <x v="2"/>
    <x v="1"/>
    <x v="20"/>
    <n v="0"/>
    <x v="20"/>
    <x v="1"/>
  </r>
  <r>
    <x v="0"/>
    <x v="0"/>
    <x v="0"/>
    <x v="2"/>
    <x v="1"/>
    <x v="21"/>
    <n v="5"/>
    <x v="21"/>
    <x v="1"/>
  </r>
  <r>
    <x v="0"/>
    <x v="0"/>
    <x v="0"/>
    <x v="2"/>
    <x v="1"/>
    <x v="22"/>
    <n v="2"/>
    <x v="22"/>
    <x v="0"/>
  </r>
  <r>
    <x v="0"/>
    <x v="0"/>
    <x v="0"/>
    <x v="2"/>
    <x v="1"/>
    <x v="23"/>
    <n v="1"/>
    <x v="23"/>
    <x v="0"/>
  </r>
  <r>
    <x v="0"/>
    <x v="0"/>
    <x v="0"/>
    <x v="2"/>
    <x v="2"/>
    <x v="24"/>
    <n v="0"/>
    <x v="24"/>
    <x v="0"/>
  </r>
  <r>
    <x v="0"/>
    <x v="0"/>
    <x v="0"/>
    <x v="2"/>
    <x v="2"/>
    <x v="25"/>
    <n v="1"/>
    <x v="25"/>
    <x v="0"/>
  </r>
  <r>
    <x v="0"/>
    <x v="0"/>
    <x v="0"/>
    <x v="2"/>
    <x v="2"/>
    <x v="26"/>
    <n v="0"/>
    <x v="26"/>
    <x v="0"/>
  </r>
  <r>
    <x v="0"/>
    <x v="0"/>
    <x v="0"/>
    <x v="2"/>
    <x v="2"/>
    <x v="27"/>
    <n v="0"/>
    <x v="27"/>
    <x v="0"/>
  </r>
  <r>
    <x v="0"/>
    <x v="0"/>
    <x v="0"/>
    <x v="2"/>
    <x v="2"/>
    <x v="28"/>
    <n v="0"/>
    <x v="28"/>
    <x v="0"/>
  </r>
  <r>
    <x v="0"/>
    <x v="0"/>
    <x v="0"/>
    <x v="2"/>
    <x v="2"/>
    <x v="29"/>
    <n v="4"/>
    <x v="29"/>
    <x v="0"/>
  </r>
  <r>
    <x v="0"/>
    <x v="0"/>
    <x v="0"/>
    <x v="2"/>
    <x v="2"/>
    <x v="30"/>
    <n v="1"/>
    <x v="30"/>
    <x v="1"/>
  </r>
  <r>
    <x v="0"/>
    <x v="0"/>
    <x v="0"/>
    <x v="2"/>
    <x v="2"/>
    <x v="31"/>
    <n v="1"/>
    <x v="31"/>
    <x v="1"/>
  </r>
  <r>
    <x v="0"/>
    <x v="0"/>
    <x v="0"/>
    <x v="2"/>
    <x v="2"/>
    <x v="32"/>
    <n v="3"/>
    <x v="32"/>
    <x v="1"/>
  </r>
  <r>
    <x v="0"/>
    <x v="0"/>
    <x v="0"/>
    <x v="2"/>
    <x v="2"/>
    <x v="33"/>
    <n v="2"/>
    <x v="33"/>
    <x v="1"/>
  </r>
  <r>
    <x v="0"/>
    <x v="0"/>
    <x v="0"/>
    <x v="2"/>
    <x v="2"/>
    <x v="34"/>
    <n v="3"/>
    <x v="34"/>
    <x v="0"/>
  </r>
  <r>
    <x v="0"/>
    <x v="0"/>
    <x v="0"/>
    <x v="2"/>
    <x v="2"/>
    <x v="35"/>
    <n v="2"/>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1"/>
  </r>
  <r>
    <x v="0"/>
    <x v="0"/>
    <x v="0"/>
    <x v="3"/>
    <x v="0"/>
    <x v="6"/>
    <n v="0"/>
    <x v="6"/>
    <x v="1"/>
  </r>
  <r>
    <x v="0"/>
    <x v="0"/>
    <x v="0"/>
    <x v="3"/>
    <x v="0"/>
    <x v="7"/>
    <n v="0"/>
    <x v="7"/>
    <x v="1"/>
  </r>
  <r>
    <x v="0"/>
    <x v="0"/>
    <x v="0"/>
    <x v="3"/>
    <x v="0"/>
    <x v="8"/>
    <n v="0"/>
    <x v="8"/>
    <x v="1"/>
  </r>
  <r>
    <x v="0"/>
    <x v="0"/>
    <x v="0"/>
    <x v="3"/>
    <x v="0"/>
    <x v="9"/>
    <n v="0"/>
    <x v="9"/>
    <x v="0"/>
  </r>
  <r>
    <x v="0"/>
    <x v="0"/>
    <x v="0"/>
    <x v="3"/>
    <x v="0"/>
    <x v="10"/>
    <n v="0"/>
    <x v="10"/>
    <x v="0"/>
  </r>
  <r>
    <x v="0"/>
    <x v="0"/>
    <x v="0"/>
    <x v="3"/>
    <x v="0"/>
    <x v="11"/>
    <n v="0"/>
    <x v="11"/>
    <x v="0"/>
  </r>
  <r>
    <x v="0"/>
    <x v="0"/>
    <x v="0"/>
    <x v="3"/>
    <x v="1"/>
    <x v="12"/>
    <n v="1"/>
    <x v="12"/>
    <x v="0"/>
  </r>
  <r>
    <x v="0"/>
    <x v="0"/>
    <x v="0"/>
    <x v="3"/>
    <x v="1"/>
    <x v="13"/>
    <n v="0"/>
    <x v="13"/>
    <x v="0"/>
  </r>
  <r>
    <x v="0"/>
    <x v="0"/>
    <x v="0"/>
    <x v="3"/>
    <x v="1"/>
    <x v="14"/>
    <n v="0"/>
    <x v="14"/>
    <x v="0"/>
  </r>
  <r>
    <x v="0"/>
    <x v="0"/>
    <x v="0"/>
    <x v="3"/>
    <x v="1"/>
    <x v="15"/>
    <n v="0"/>
    <x v="15"/>
    <x v="0"/>
  </r>
  <r>
    <x v="0"/>
    <x v="0"/>
    <x v="0"/>
    <x v="3"/>
    <x v="1"/>
    <x v="16"/>
    <n v="0"/>
    <x v="16"/>
    <x v="0"/>
  </r>
  <r>
    <x v="0"/>
    <x v="0"/>
    <x v="0"/>
    <x v="3"/>
    <x v="1"/>
    <x v="17"/>
    <n v="0"/>
    <x v="17"/>
    <x v="0"/>
  </r>
  <r>
    <x v="0"/>
    <x v="0"/>
    <x v="0"/>
    <x v="3"/>
    <x v="1"/>
    <x v="18"/>
    <n v="0"/>
    <x v="18"/>
    <x v="1"/>
  </r>
  <r>
    <x v="0"/>
    <x v="0"/>
    <x v="0"/>
    <x v="3"/>
    <x v="1"/>
    <x v="19"/>
    <n v="0"/>
    <x v="19"/>
    <x v="1"/>
  </r>
  <r>
    <x v="0"/>
    <x v="0"/>
    <x v="0"/>
    <x v="3"/>
    <x v="1"/>
    <x v="20"/>
    <n v="0"/>
    <x v="20"/>
    <x v="1"/>
  </r>
  <r>
    <x v="0"/>
    <x v="0"/>
    <x v="0"/>
    <x v="3"/>
    <x v="1"/>
    <x v="21"/>
    <n v="0"/>
    <x v="21"/>
    <x v="1"/>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1"/>
  </r>
  <r>
    <x v="0"/>
    <x v="0"/>
    <x v="0"/>
    <x v="3"/>
    <x v="2"/>
    <x v="31"/>
    <n v="0"/>
    <x v="31"/>
    <x v="1"/>
  </r>
  <r>
    <x v="0"/>
    <x v="0"/>
    <x v="0"/>
    <x v="3"/>
    <x v="2"/>
    <x v="32"/>
    <n v="1"/>
    <x v="32"/>
    <x v="1"/>
  </r>
  <r>
    <x v="0"/>
    <x v="0"/>
    <x v="0"/>
    <x v="3"/>
    <x v="2"/>
    <x v="33"/>
    <n v="0"/>
    <x v="33"/>
    <x v="1"/>
  </r>
  <r>
    <x v="0"/>
    <x v="0"/>
    <x v="0"/>
    <x v="3"/>
    <x v="2"/>
    <x v="34"/>
    <n v="0"/>
    <x v="34"/>
    <x v="0"/>
  </r>
  <r>
    <x v="0"/>
    <x v="0"/>
    <x v="0"/>
    <x v="3"/>
    <x v="2"/>
    <x v="35"/>
    <n v="0"/>
    <x v="35"/>
    <x v="0"/>
  </r>
  <r>
    <x v="0"/>
    <x v="0"/>
    <x v="0"/>
    <x v="3"/>
    <x v="2"/>
    <x v="36"/>
    <n v="0"/>
    <x v="36"/>
    <x v="0"/>
  </r>
  <r>
    <x v="0"/>
    <x v="0"/>
    <x v="0"/>
    <x v="3"/>
    <x v="2"/>
    <x v="37"/>
    <n v="0"/>
    <x v="37"/>
    <x v="0"/>
  </r>
  <r>
    <x v="0"/>
    <x v="0"/>
    <x v="0"/>
    <x v="4"/>
    <x v="0"/>
    <x v="0"/>
    <n v="1"/>
    <x v="0"/>
    <x v="0"/>
  </r>
  <r>
    <x v="0"/>
    <x v="0"/>
    <x v="0"/>
    <x v="4"/>
    <x v="0"/>
    <x v="1"/>
    <n v="0"/>
    <x v="1"/>
    <x v="0"/>
  </r>
  <r>
    <x v="0"/>
    <x v="0"/>
    <x v="0"/>
    <x v="4"/>
    <x v="0"/>
    <x v="2"/>
    <n v="0"/>
    <x v="2"/>
    <x v="0"/>
  </r>
  <r>
    <x v="0"/>
    <x v="0"/>
    <x v="0"/>
    <x v="4"/>
    <x v="0"/>
    <x v="3"/>
    <n v="0"/>
    <x v="3"/>
    <x v="0"/>
  </r>
  <r>
    <x v="0"/>
    <x v="0"/>
    <x v="0"/>
    <x v="4"/>
    <x v="0"/>
    <x v="4"/>
    <n v="6"/>
    <x v="4"/>
    <x v="0"/>
  </r>
  <r>
    <x v="0"/>
    <x v="0"/>
    <x v="0"/>
    <x v="4"/>
    <x v="0"/>
    <x v="5"/>
    <n v="4"/>
    <x v="5"/>
    <x v="1"/>
  </r>
  <r>
    <x v="0"/>
    <x v="0"/>
    <x v="0"/>
    <x v="4"/>
    <x v="0"/>
    <x v="6"/>
    <n v="1"/>
    <x v="6"/>
    <x v="1"/>
  </r>
  <r>
    <x v="0"/>
    <x v="0"/>
    <x v="0"/>
    <x v="4"/>
    <x v="0"/>
    <x v="7"/>
    <n v="2"/>
    <x v="7"/>
    <x v="1"/>
  </r>
  <r>
    <x v="0"/>
    <x v="0"/>
    <x v="0"/>
    <x v="4"/>
    <x v="0"/>
    <x v="8"/>
    <n v="0"/>
    <x v="8"/>
    <x v="1"/>
  </r>
  <r>
    <x v="0"/>
    <x v="0"/>
    <x v="0"/>
    <x v="4"/>
    <x v="0"/>
    <x v="9"/>
    <n v="0"/>
    <x v="9"/>
    <x v="0"/>
  </r>
  <r>
    <x v="0"/>
    <x v="0"/>
    <x v="0"/>
    <x v="4"/>
    <x v="0"/>
    <x v="10"/>
    <n v="1"/>
    <x v="10"/>
    <x v="0"/>
  </r>
  <r>
    <x v="0"/>
    <x v="0"/>
    <x v="0"/>
    <x v="4"/>
    <x v="0"/>
    <x v="11"/>
    <n v="1"/>
    <x v="11"/>
    <x v="0"/>
  </r>
  <r>
    <x v="0"/>
    <x v="0"/>
    <x v="0"/>
    <x v="4"/>
    <x v="1"/>
    <x v="12"/>
    <n v="0"/>
    <x v="12"/>
    <x v="0"/>
  </r>
  <r>
    <x v="0"/>
    <x v="0"/>
    <x v="0"/>
    <x v="4"/>
    <x v="1"/>
    <x v="13"/>
    <n v="0"/>
    <x v="13"/>
    <x v="0"/>
  </r>
  <r>
    <x v="0"/>
    <x v="0"/>
    <x v="0"/>
    <x v="4"/>
    <x v="1"/>
    <x v="14"/>
    <n v="0"/>
    <x v="14"/>
    <x v="0"/>
  </r>
  <r>
    <x v="0"/>
    <x v="0"/>
    <x v="0"/>
    <x v="4"/>
    <x v="1"/>
    <x v="15"/>
    <n v="0"/>
    <x v="15"/>
    <x v="0"/>
  </r>
  <r>
    <x v="0"/>
    <x v="0"/>
    <x v="0"/>
    <x v="4"/>
    <x v="1"/>
    <x v="16"/>
    <n v="0"/>
    <x v="16"/>
    <x v="0"/>
  </r>
  <r>
    <x v="0"/>
    <x v="0"/>
    <x v="0"/>
    <x v="4"/>
    <x v="1"/>
    <x v="17"/>
    <n v="0"/>
    <x v="17"/>
    <x v="0"/>
  </r>
  <r>
    <x v="0"/>
    <x v="0"/>
    <x v="0"/>
    <x v="4"/>
    <x v="1"/>
    <x v="18"/>
    <n v="0"/>
    <x v="18"/>
    <x v="1"/>
  </r>
  <r>
    <x v="0"/>
    <x v="0"/>
    <x v="0"/>
    <x v="4"/>
    <x v="1"/>
    <x v="19"/>
    <n v="0"/>
    <x v="19"/>
    <x v="1"/>
  </r>
  <r>
    <x v="0"/>
    <x v="0"/>
    <x v="0"/>
    <x v="4"/>
    <x v="1"/>
    <x v="20"/>
    <n v="0"/>
    <x v="20"/>
    <x v="1"/>
  </r>
  <r>
    <x v="0"/>
    <x v="0"/>
    <x v="0"/>
    <x v="4"/>
    <x v="1"/>
    <x v="21"/>
    <n v="0"/>
    <x v="21"/>
    <x v="1"/>
  </r>
  <r>
    <x v="0"/>
    <x v="0"/>
    <x v="0"/>
    <x v="4"/>
    <x v="1"/>
    <x v="22"/>
    <n v="2"/>
    <x v="22"/>
    <x v="0"/>
  </r>
  <r>
    <x v="0"/>
    <x v="0"/>
    <x v="0"/>
    <x v="4"/>
    <x v="1"/>
    <x v="23"/>
    <n v="0"/>
    <x v="23"/>
    <x v="0"/>
  </r>
  <r>
    <x v="0"/>
    <x v="0"/>
    <x v="0"/>
    <x v="4"/>
    <x v="2"/>
    <x v="24"/>
    <n v="0"/>
    <x v="24"/>
    <x v="0"/>
  </r>
  <r>
    <x v="0"/>
    <x v="0"/>
    <x v="0"/>
    <x v="4"/>
    <x v="2"/>
    <x v="25"/>
    <n v="0"/>
    <x v="25"/>
    <x v="0"/>
  </r>
  <r>
    <x v="0"/>
    <x v="0"/>
    <x v="0"/>
    <x v="4"/>
    <x v="2"/>
    <x v="26"/>
    <n v="0"/>
    <x v="26"/>
    <x v="0"/>
  </r>
  <r>
    <x v="0"/>
    <x v="0"/>
    <x v="0"/>
    <x v="4"/>
    <x v="2"/>
    <x v="27"/>
    <n v="0"/>
    <x v="27"/>
    <x v="0"/>
  </r>
  <r>
    <x v="0"/>
    <x v="0"/>
    <x v="0"/>
    <x v="4"/>
    <x v="2"/>
    <x v="28"/>
    <n v="1"/>
    <x v="28"/>
    <x v="0"/>
  </r>
  <r>
    <x v="0"/>
    <x v="0"/>
    <x v="0"/>
    <x v="4"/>
    <x v="2"/>
    <x v="29"/>
    <n v="0"/>
    <x v="29"/>
    <x v="0"/>
  </r>
  <r>
    <x v="0"/>
    <x v="0"/>
    <x v="0"/>
    <x v="4"/>
    <x v="2"/>
    <x v="30"/>
    <n v="0"/>
    <x v="30"/>
    <x v="1"/>
  </r>
  <r>
    <x v="0"/>
    <x v="0"/>
    <x v="0"/>
    <x v="4"/>
    <x v="2"/>
    <x v="31"/>
    <n v="0"/>
    <x v="31"/>
    <x v="1"/>
  </r>
  <r>
    <x v="0"/>
    <x v="0"/>
    <x v="0"/>
    <x v="4"/>
    <x v="2"/>
    <x v="32"/>
    <n v="0"/>
    <x v="32"/>
    <x v="1"/>
  </r>
  <r>
    <x v="0"/>
    <x v="0"/>
    <x v="0"/>
    <x v="4"/>
    <x v="2"/>
    <x v="33"/>
    <n v="0"/>
    <x v="33"/>
    <x v="1"/>
  </r>
  <r>
    <x v="0"/>
    <x v="0"/>
    <x v="0"/>
    <x v="4"/>
    <x v="2"/>
    <x v="34"/>
    <n v="0"/>
    <x v="34"/>
    <x v="0"/>
  </r>
  <r>
    <x v="0"/>
    <x v="0"/>
    <x v="0"/>
    <x v="4"/>
    <x v="2"/>
    <x v="35"/>
    <n v="0"/>
    <x v="35"/>
    <x v="0"/>
  </r>
  <r>
    <x v="0"/>
    <x v="0"/>
    <x v="0"/>
    <x v="4"/>
    <x v="2"/>
    <x v="36"/>
    <n v="0"/>
    <x v="36"/>
    <x v="0"/>
  </r>
  <r>
    <x v="0"/>
    <x v="0"/>
    <x v="0"/>
    <x v="4"/>
    <x v="2"/>
    <x v="37"/>
    <n v="0"/>
    <x v="37"/>
    <x v="0"/>
  </r>
  <r>
    <x v="0"/>
    <x v="1"/>
    <x v="1"/>
    <x v="0"/>
    <x v="0"/>
    <x v="0"/>
    <n v="63"/>
    <x v="0"/>
    <x v="0"/>
  </r>
  <r>
    <x v="0"/>
    <x v="1"/>
    <x v="1"/>
    <x v="0"/>
    <x v="0"/>
    <x v="1"/>
    <n v="87"/>
    <x v="1"/>
    <x v="0"/>
  </r>
  <r>
    <x v="0"/>
    <x v="1"/>
    <x v="1"/>
    <x v="0"/>
    <x v="0"/>
    <x v="2"/>
    <n v="79"/>
    <x v="2"/>
    <x v="0"/>
  </r>
  <r>
    <x v="0"/>
    <x v="1"/>
    <x v="1"/>
    <x v="0"/>
    <x v="0"/>
    <x v="3"/>
    <n v="99"/>
    <x v="3"/>
    <x v="0"/>
  </r>
  <r>
    <x v="0"/>
    <x v="1"/>
    <x v="1"/>
    <x v="0"/>
    <x v="0"/>
    <x v="4"/>
    <n v="174"/>
    <x v="4"/>
    <x v="0"/>
  </r>
  <r>
    <x v="0"/>
    <x v="1"/>
    <x v="1"/>
    <x v="0"/>
    <x v="0"/>
    <x v="5"/>
    <n v="169"/>
    <x v="5"/>
    <x v="1"/>
  </r>
  <r>
    <x v="0"/>
    <x v="1"/>
    <x v="1"/>
    <x v="0"/>
    <x v="0"/>
    <x v="6"/>
    <n v="149"/>
    <x v="6"/>
    <x v="1"/>
  </r>
  <r>
    <x v="0"/>
    <x v="1"/>
    <x v="1"/>
    <x v="0"/>
    <x v="0"/>
    <x v="7"/>
    <n v="166"/>
    <x v="7"/>
    <x v="1"/>
  </r>
  <r>
    <x v="0"/>
    <x v="1"/>
    <x v="1"/>
    <x v="0"/>
    <x v="0"/>
    <x v="8"/>
    <n v="173"/>
    <x v="8"/>
    <x v="1"/>
  </r>
  <r>
    <x v="0"/>
    <x v="1"/>
    <x v="1"/>
    <x v="0"/>
    <x v="0"/>
    <x v="9"/>
    <n v="153"/>
    <x v="9"/>
    <x v="0"/>
  </r>
  <r>
    <x v="0"/>
    <x v="1"/>
    <x v="1"/>
    <x v="0"/>
    <x v="0"/>
    <x v="10"/>
    <n v="108"/>
    <x v="10"/>
    <x v="0"/>
  </r>
  <r>
    <x v="0"/>
    <x v="1"/>
    <x v="1"/>
    <x v="0"/>
    <x v="0"/>
    <x v="11"/>
    <n v="89"/>
    <x v="11"/>
    <x v="0"/>
  </r>
  <r>
    <x v="0"/>
    <x v="1"/>
    <x v="1"/>
    <x v="0"/>
    <x v="1"/>
    <x v="12"/>
    <n v="91"/>
    <x v="12"/>
    <x v="0"/>
  </r>
  <r>
    <x v="0"/>
    <x v="1"/>
    <x v="1"/>
    <x v="0"/>
    <x v="1"/>
    <x v="13"/>
    <n v="96"/>
    <x v="13"/>
    <x v="0"/>
  </r>
  <r>
    <x v="0"/>
    <x v="1"/>
    <x v="1"/>
    <x v="0"/>
    <x v="1"/>
    <x v="14"/>
    <n v="75"/>
    <x v="14"/>
    <x v="0"/>
  </r>
  <r>
    <x v="0"/>
    <x v="1"/>
    <x v="1"/>
    <x v="0"/>
    <x v="1"/>
    <x v="15"/>
    <n v="110"/>
    <x v="15"/>
    <x v="0"/>
  </r>
  <r>
    <x v="0"/>
    <x v="1"/>
    <x v="1"/>
    <x v="0"/>
    <x v="1"/>
    <x v="16"/>
    <n v="89"/>
    <x v="16"/>
    <x v="0"/>
  </r>
  <r>
    <x v="0"/>
    <x v="1"/>
    <x v="1"/>
    <x v="0"/>
    <x v="1"/>
    <x v="17"/>
    <n v="94"/>
    <x v="17"/>
    <x v="0"/>
  </r>
  <r>
    <x v="0"/>
    <x v="1"/>
    <x v="1"/>
    <x v="0"/>
    <x v="1"/>
    <x v="18"/>
    <n v="105"/>
    <x v="18"/>
    <x v="1"/>
  </r>
  <r>
    <x v="0"/>
    <x v="1"/>
    <x v="1"/>
    <x v="0"/>
    <x v="1"/>
    <x v="19"/>
    <n v="96"/>
    <x v="19"/>
    <x v="1"/>
  </r>
  <r>
    <x v="0"/>
    <x v="1"/>
    <x v="1"/>
    <x v="0"/>
    <x v="1"/>
    <x v="20"/>
    <n v="94"/>
    <x v="20"/>
    <x v="1"/>
  </r>
  <r>
    <x v="0"/>
    <x v="1"/>
    <x v="1"/>
    <x v="0"/>
    <x v="1"/>
    <x v="21"/>
    <n v="93"/>
    <x v="21"/>
    <x v="1"/>
  </r>
  <r>
    <x v="0"/>
    <x v="1"/>
    <x v="1"/>
    <x v="0"/>
    <x v="1"/>
    <x v="22"/>
    <n v="90"/>
    <x v="22"/>
    <x v="0"/>
  </r>
  <r>
    <x v="0"/>
    <x v="1"/>
    <x v="1"/>
    <x v="0"/>
    <x v="1"/>
    <x v="23"/>
    <n v="101"/>
    <x v="23"/>
    <x v="0"/>
  </r>
  <r>
    <x v="0"/>
    <x v="1"/>
    <x v="1"/>
    <x v="0"/>
    <x v="2"/>
    <x v="24"/>
    <n v="81"/>
    <x v="24"/>
    <x v="0"/>
  </r>
  <r>
    <x v="0"/>
    <x v="1"/>
    <x v="1"/>
    <x v="0"/>
    <x v="2"/>
    <x v="25"/>
    <n v="108"/>
    <x v="25"/>
    <x v="0"/>
  </r>
  <r>
    <x v="0"/>
    <x v="1"/>
    <x v="1"/>
    <x v="0"/>
    <x v="2"/>
    <x v="26"/>
    <n v="74"/>
    <x v="26"/>
    <x v="0"/>
  </r>
  <r>
    <x v="0"/>
    <x v="1"/>
    <x v="1"/>
    <x v="0"/>
    <x v="2"/>
    <x v="27"/>
    <n v="109"/>
    <x v="27"/>
    <x v="0"/>
  </r>
  <r>
    <x v="0"/>
    <x v="1"/>
    <x v="1"/>
    <x v="0"/>
    <x v="2"/>
    <x v="28"/>
    <n v="86"/>
    <x v="28"/>
    <x v="0"/>
  </r>
  <r>
    <x v="0"/>
    <x v="1"/>
    <x v="1"/>
    <x v="0"/>
    <x v="2"/>
    <x v="29"/>
    <n v="79"/>
    <x v="29"/>
    <x v="0"/>
  </r>
  <r>
    <x v="0"/>
    <x v="1"/>
    <x v="1"/>
    <x v="0"/>
    <x v="2"/>
    <x v="30"/>
    <n v="93"/>
    <x v="30"/>
    <x v="1"/>
  </r>
  <r>
    <x v="0"/>
    <x v="1"/>
    <x v="1"/>
    <x v="0"/>
    <x v="2"/>
    <x v="31"/>
    <n v="120"/>
    <x v="31"/>
    <x v="1"/>
  </r>
  <r>
    <x v="0"/>
    <x v="1"/>
    <x v="1"/>
    <x v="0"/>
    <x v="2"/>
    <x v="32"/>
    <n v="106"/>
    <x v="32"/>
    <x v="1"/>
  </r>
  <r>
    <x v="0"/>
    <x v="1"/>
    <x v="1"/>
    <x v="0"/>
    <x v="2"/>
    <x v="33"/>
    <n v="111"/>
    <x v="33"/>
    <x v="1"/>
  </r>
  <r>
    <x v="0"/>
    <x v="1"/>
    <x v="1"/>
    <x v="0"/>
    <x v="2"/>
    <x v="34"/>
    <n v="95"/>
    <x v="34"/>
    <x v="0"/>
  </r>
  <r>
    <x v="0"/>
    <x v="1"/>
    <x v="1"/>
    <x v="0"/>
    <x v="2"/>
    <x v="35"/>
    <n v="114"/>
    <x v="35"/>
    <x v="0"/>
  </r>
  <r>
    <x v="0"/>
    <x v="1"/>
    <x v="1"/>
    <x v="0"/>
    <x v="2"/>
    <x v="36"/>
    <n v="69"/>
    <x v="36"/>
    <x v="0"/>
  </r>
  <r>
    <x v="0"/>
    <x v="1"/>
    <x v="1"/>
    <x v="0"/>
    <x v="2"/>
    <x v="37"/>
    <n v="67"/>
    <x v="3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1"/>
  </r>
  <r>
    <x v="0"/>
    <x v="1"/>
    <x v="1"/>
    <x v="1"/>
    <x v="0"/>
    <x v="6"/>
    <n v="0"/>
    <x v="6"/>
    <x v="1"/>
  </r>
  <r>
    <x v="0"/>
    <x v="1"/>
    <x v="1"/>
    <x v="1"/>
    <x v="0"/>
    <x v="7"/>
    <n v="0"/>
    <x v="7"/>
    <x v="1"/>
  </r>
  <r>
    <x v="0"/>
    <x v="1"/>
    <x v="1"/>
    <x v="1"/>
    <x v="0"/>
    <x v="8"/>
    <n v="1"/>
    <x v="8"/>
    <x v="1"/>
  </r>
  <r>
    <x v="0"/>
    <x v="1"/>
    <x v="1"/>
    <x v="1"/>
    <x v="0"/>
    <x v="9"/>
    <n v="1"/>
    <x v="9"/>
    <x v="0"/>
  </r>
  <r>
    <x v="0"/>
    <x v="1"/>
    <x v="1"/>
    <x v="1"/>
    <x v="0"/>
    <x v="10"/>
    <n v="1"/>
    <x v="10"/>
    <x v="0"/>
  </r>
  <r>
    <x v="0"/>
    <x v="1"/>
    <x v="1"/>
    <x v="1"/>
    <x v="0"/>
    <x v="11"/>
    <n v="0"/>
    <x v="11"/>
    <x v="0"/>
  </r>
  <r>
    <x v="0"/>
    <x v="1"/>
    <x v="1"/>
    <x v="1"/>
    <x v="1"/>
    <x v="12"/>
    <n v="0"/>
    <x v="12"/>
    <x v="0"/>
  </r>
  <r>
    <x v="0"/>
    <x v="1"/>
    <x v="1"/>
    <x v="1"/>
    <x v="1"/>
    <x v="13"/>
    <n v="0"/>
    <x v="13"/>
    <x v="0"/>
  </r>
  <r>
    <x v="0"/>
    <x v="1"/>
    <x v="1"/>
    <x v="1"/>
    <x v="1"/>
    <x v="14"/>
    <n v="0"/>
    <x v="14"/>
    <x v="0"/>
  </r>
  <r>
    <x v="0"/>
    <x v="1"/>
    <x v="1"/>
    <x v="1"/>
    <x v="1"/>
    <x v="15"/>
    <n v="0"/>
    <x v="15"/>
    <x v="0"/>
  </r>
  <r>
    <x v="0"/>
    <x v="1"/>
    <x v="1"/>
    <x v="1"/>
    <x v="1"/>
    <x v="16"/>
    <n v="0"/>
    <x v="16"/>
    <x v="0"/>
  </r>
  <r>
    <x v="0"/>
    <x v="1"/>
    <x v="1"/>
    <x v="1"/>
    <x v="1"/>
    <x v="17"/>
    <n v="0"/>
    <x v="17"/>
    <x v="0"/>
  </r>
  <r>
    <x v="0"/>
    <x v="1"/>
    <x v="1"/>
    <x v="1"/>
    <x v="1"/>
    <x v="18"/>
    <n v="0"/>
    <x v="18"/>
    <x v="1"/>
  </r>
  <r>
    <x v="0"/>
    <x v="1"/>
    <x v="1"/>
    <x v="1"/>
    <x v="1"/>
    <x v="19"/>
    <n v="0"/>
    <x v="19"/>
    <x v="1"/>
  </r>
  <r>
    <x v="0"/>
    <x v="1"/>
    <x v="1"/>
    <x v="1"/>
    <x v="1"/>
    <x v="20"/>
    <n v="15"/>
    <x v="20"/>
    <x v="1"/>
  </r>
  <r>
    <x v="0"/>
    <x v="1"/>
    <x v="1"/>
    <x v="1"/>
    <x v="1"/>
    <x v="21"/>
    <n v="3"/>
    <x v="21"/>
    <x v="1"/>
  </r>
  <r>
    <x v="0"/>
    <x v="1"/>
    <x v="1"/>
    <x v="1"/>
    <x v="1"/>
    <x v="22"/>
    <n v="0"/>
    <x v="22"/>
    <x v="0"/>
  </r>
  <r>
    <x v="0"/>
    <x v="1"/>
    <x v="1"/>
    <x v="1"/>
    <x v="1"/>
    <x v="23"/>
    <n v="0"/>
    <x v="23"/>
    <x v="0"/>
  </r>
  <r>
    <x v="0"/>
    <x v="1"/>
    <x v="1"/>
    <x v="1"/>
    <x v="2"/>
    <x v="24"/>
    <n v="1"/>
    <x v="24"/>
    <x v="0"/>
  </r>
  <r>
    <x v="0"/>
    <x v="1"/>
    <x v="1"/>
    <x v="1"/>
    <x v="2"/>
    <x v="25"/>
    <n v="2"/>
    <x v="25"/>
    <x v="0"/>
  </r>
  <r>
    <x v="0"/>
    <x v="1"/>
    <x v="1"/>
    <x v="1"/>
    <x v="2"/>
    <x v="26"/>
    <n v="0"/>
    <x v="26"/>
    <x v="0"/>
  </r>
  <r>
    <x v="0"/>
    <x v="1"/>
    <x v="1"/>
    <x v="1"/>
    <x v="2"/>
    <x v="27"/>
    <n v="2"/>
    <x v="27"/>
    <x v="0"/>
  </r>
  <r>
    <x v="0"/>
    <x v="1"/>
    <x v="1"/>
    <x v="1"/>
    <x v="2"/>
    <x v="28"/>
    <n v="0"/>
    <x v="28"/>
    <x v="0"/>
  </r>
  <r>
    <x v="0"/>
    <x v="1"/>
    <x v="1"/>
    <x v="1"/>
    <x v="2"/>
    <x v="29"/>
    <n v="0"/>
    <x v="29"/>
    <x v="0"/>
  </r>
  <r>
    <x v="0"/>
    <x v="1"/>
    <x v="1"/>
    <x v="1"/>
    <x v="2"/>
    <x v="30"/>
    <n v="0"/>
    <x v="30"/>
    <x v="1"/>
  </r>
  <r>
    <x v="0"/>
    <x v="1"/>
    <x v="1"/>
    <x v="1"/>
    <x v="2"/>
    <x v="31"/>
    <n v="0"/>
    <x v="31"/>
    <x v="1"/>
  </r>
  <r>
    <x v="0"/>
    <x v="1"/>
    <x v="1"/>
    <x v="1"/>
    <x v="2"/>
    <x v="32"/>
    <n v="1"/>
    <x v="32"/>
    <x v="1"/>
  </r>
  <r>
    <x v="0"/>
    <x v="1"/>
    <x v="1"/>
    <x v="1"/>
    <x v="2"/>
    <x v="33"/>
    <n v="0"/>
    <x v="33"/>
    <x v="1"/>
  </r>
  <r>
    <x v="0"/>
    <x v="1"/>
    <x v="1"/>
    <x v="1"/>
    <x v="2"/>
    <x v="34"/>
    <n v="0"/>
    <x v="34"/>
    <x v="0"/>
  </r>
  <r>
    <x v="0"/>
    <x v="1"/>
    <x v="1"/>
    <x v="1"/>
    <x v="2"/>
    <x v="35"/>
    <n v="0"/>
    <x v="35"/>
    <x v="0"/>
  </r>
  <r>
    <x v="0"/>
    <x v="1"/>
    <x v="1"/>
    <x v="1"/>
    <x v="2"/>
    <x v="36"/>
    <n v="0"/>
    <x v="36"/>
    <x v="0"/>
  </r>
  <r>
    <x v="0"/>
    <x v="1"/>
    <x v="1"/>
    <x v="1"/>
    <x v="2"/>
    <x v="37"/>
    <n v="0"/>
    <x v="37"/>
    <x v="0"/>
  </r>
  <r>
    <x v="0"/>
    <x v="1"/>
    <x v="1"/>
    <x v="2"/>
    <x v="0"/>
    <x v="0"/>
    <n v="2"/>
    <x v="0"/>
    <x v="0"/>
  </r>
  <r>
    <x v="0"/>
    <x v="1"/>
    <x v="1"/>
    <x v="2"/>
    <x v="0"/>
    <x v="1"/>
    <n v="3"/>
    <x v="1"/>
    <x v="0"/>
  </r>
  <r>
    <x v="0"/>
    <x v="1"/>
    <x v="1"/>
    <x v="2"/>
    <x v="0"/>
    <x v="2"/>
    <n v="4"/>
    <x v="2"/>
    <x v="0"/>
  </r>
  <r>
    <x v="0"/>
    <x v="1"/>
    <x v="1"/>
    <x v="2"/>
    <x v="0"/>
    <x v="3"/>
    <n v="4"/>
    <x v="3"/>
    <x v="0"/>
  </r>
  <r>
    <x v="0"/>
    <x v="1"/>
    <x v="1"/>
    <x v="2"/>
    <x v="0"/>
    <x v="4"/>
    <n v="1"/>
    <x v="4"/>
    <x v="0"/>
  </r>
  <r>
    <x v="0"/>
    <x v="1"/>
    <x v="1"/>
    <x v="2"/>
    <x v="0"/>
    <x v="5"/>
    <n v="3"/>
    <x v="5"/>
    <x v="1"/>
  </r>
  <r>
    <x v="0"/>
    <x v="1"/>
    <x v="1"/>
    <x v="2"/>
    <x v="0"/>
    <x v="6"/>
    <n v="2"/>
    <x v="6"/>
    <x v="1"/>
  </r>
  <r>
    <x v="0"/>
    <x v="1"/>
    <x v="1"/>
    <x v="2"/>
    <x v="0"/>
    <x v="7"/>
    <n v="4"/>
    <x v="7"/>
    <x v="1"/>
  </r>
  <r>
    <x v="0"/>
    <x v="1"/>
    <x v="1"/>
    <x v="2"/>
    <x v="0"/>
    <x v="8"/>
    <n v="2"/>
    <x v="8"/>
    <x v="1"/>
  </r>
  <r>
    <x v="0"/>
    <x v="1"/>
    <x v="1"/>
    <x v="2"/>
    <x v="0"/>
    <x v="9"/>
    <n v="3"/>
    <x v="9"/>
    <x v="0"/>
  </r>
  <r>
    <x v="0"/>
    <x v="1"/>
    <x v="1"/>
    <x v="2"/>
    <x v="0"/>
    <x v="10"/>
    <n v="3"/>
    <x v="10"/>
    <x v="0"/>
  </r>
  <r>
    <x v="0"/>
    <x v="1"/>
    <x v="1"/>
    <x v="2"/>
    <x v="0"/>
    <x v="11"/>
    <n v="2"/>
    <x v="11"/>
    <x v="0"/>
  </r>
  <r>
    <x v="0"/>
    <x v="1"/>
    <x v="1"/>
    <x v="2"/>
    <x v="1"/>
    <x v="12"/>
    <n v="1"/>
    <x v="12"/>
    <x v="0"/>
  </r>
  <r>
    <x v="0"/>
    <x v="1"/>
    <x v="1"/>
    <x v="2"/>
    <x v="1"/>
    <x v="13"/>
    <n v="0"/>
    <x v="13"/>
    <x v="0"/>
  </r>
  <r>
    <x v="0"/>
    <x v="1"/>
    <x v="1"/>
    <x v="2"/>
    <x v="1"/>
    <x v="14"/>
    <n v="2"/>
    <x v="14"/>
    <x v="0"/>
  </r>
  <r>
    <x v="0"/>
    <x v="1"/>
    <x v="1"/>
    <x v="2"/>
    <x v="1"/>
    <x v="15"/>
    <n v="3"/>
    <x v="15"/>
    <x v="0"/>
  </r>
  <r>
    <x v="0"/>
    <x v="1"/>
    <x v="1"/>
    <x v="2"/>
    <x v="1"/>
    <x v="16"/>
    <n v="0"/>
    <x v="16"/>
    <x v="0"/>
  </r>
  <r>
    <x v="0"/>
    <x v="1"/>
    <x v="1"/>
    <x v="2"/>
    <x v="1"/>
    <x v="17"/>
    <n v="0"/>
    <x v="17"/>
    <x v="0"/>
  </r>
  <r>
    <x v="0"/>
    <x v="1"/>
    <x v="1"/>
    <x v="2"/>
    <x v="1"/>
    <x v="18"/>
    <n v="1"/>
    <x v="18"/>
    <x v="1"/>
  </r>
  <r>
    <x v="0"/>
    <x v="1"/>
    <x v="1"/>
    <x v="2"/>
    <x v="1"/>
    <x v="19"/>
    <n v="2"/>
    <x v="19"/>
    <x v="1"/>
  </r>
  <r>
    <x v="0"/>
    <x v="1"/>
    <x v="1"/>
    <x v="2"/>
    <x v="1"/>
    <x v="20"/>
    <n v="0"/>
    <x v="20"/>
    <x v="1"/>
  </r>
  <r>
    <x v="0"/>
    <x v="1"/>
    <x v="1"/>
    <x v="2"/>
    <x v="1"/>
    <x v="21"/>
    <n v="1"/>
    <x v="21"/>
    <x v="1"/>
  </r>
  <r>
    <x v="0"/>
    <x v="1"/>
    <x v="1"/>
    <x v="2"/>
    <x v="1"/>
    <x v="22"/>
    <n v="2"/>
    <x v="22"/>
    <x v="0"/>
  </r>
  <r>
    <x v="0"/>
    <x v="1"/>
    <x v="1"/>
    <x v="2"/>
    <x v="1"/>
    <x v="23"/>
    <n v="1"/>
    <x v="23"/>
    <x v="0"/>
  </r>
  <r>
    <x v="0"/>
    <x v="1"/>
    <x v="1"/>
    <x v="2"/>
    <x v="2"/>
    <x v="24"/>
    <n v="3"/>
    <x v="24"/>
    <x v="0"/>
  </r>
  <r>
    <x v="0"/>
    <x v="1"/>
    <x v="1"/>
    <x v="2"/>
    <x v="2"/>
    <x v="25"/>
    <n v="1"/>
    <x v="25"/>
    <x v="0"/>
  </r>
  <r>
    <x v="0"/>
    <x v="1"/>
    <x v="1"/>
    <x v="2"/>
    <x v="2"/>
    <x v="26"/>
    <n v="2"/>
    <x v="26"/>
    <x v="0"/>
  </r>
  <r>
    <x v="0"/>
    <x v="1"/>
    <x v="1"/>
    <x v="2"/>
    <x v="2"/>
    <x v="27"/>
    <n v="1"/>
    <x v="27"/>
    <x v="0"/>
  </r>
  <r>
    <x v="0"/>
    <x v="1"/>
    <x v="1"/>
    <x v="2"/>
    <x v="2"/>
    <x v="28"/>
    <n v="0"/>
    <x v="28"/>
    <x v="0"/>
  </r>
  <r>
    <x v="0"/>
    <x v="1"/>
    <x v="1"/>
    <x v="2"/>
    <x v="2"/>
    <x v="29"/>
    <n v="0"/>
    <x v="29"/>
    <x v="0"/>
  </r>
  <r>
    <x v="0"/>
    <x v="1"/>
    <x v="1"/>
    <x v="2"/>
    <x v="2"/>
    <x v="30"/>
    <n v="1"/>
    <x v="30"/>
    <x v="1"/>
  </r>
  <r>
    <x v="0"/>
    <x v="1"/>
    <x v="1"/>
    <x v="2"/>
    <x v="2"/>
    <x v="31"/>
    <n v="2"/>
    <x v="31"/>
    <x v="1"/>
  </r>
  <r>
    <x v="0"/>
    <x v="1"/>
    <x v="1"/>
    <x v="2"/>
    <x v="2"/>
    <x v="32"/>
    <n v="1"/>
    <x v="32"/>
    <x v="1"/>
  </r>
  <r>
    <x v="0"/>
    <x v="1"/>
    <x v="1"/>
    <x v="2"/>
    <x v="2"/>
    <x v="33"/>
    <n v="1"/>
    <x v="33"/>
    <x v="1"/>
  </r>
  <r>
    <x v="0"/>
    <x v="1"/>
    <x v="1"/>
    <x v="2"/>
    <x v="2"/>
    <x v="34"/>
    <n v="0"/>
    <x v="34"/>
    <x v="0"/>
  </r>
  <r>
    <x v="0"/>
    <x v="1"/>
    <x v="1"/>
    <x v="2"/>
    <x v="2"/>
    <x v="35"/>
    <n v="0"/>
    <x v="35"/>
    <x v="0"/>
  </r>
  <r>
    <x v="0"/>
    <x v="1"/>
    <x v="1"/>
    <x v="2"/>
    <x v="2"/>
    <x v="36"/>
    <n v="0"/>
    <x v="36"/>
    <x v="0"/>
  </r>
  <r>
    <x v="0"/>
    <x v="1"/>
    <x v="1"/>
    <x v="2"/>
    <x v="2"/>
    <x v="37"/>
    <n v="1"/>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1"/>
  </r>
  <r>
    <x v="0"/>
    <x v="1"/>
    <x v="1"/>
    <x v="3"/>
    <x v="0"/>
    <x v="6"/>
    <n v="0"/>
    <x v="6"/>
    <x v="1"/>
  </r>
  <r>
    <x v="0"/>
    <x v="1"/>
    <x v="1"/>
    <x v="3"/>
    <x v="0"/>
    <x v="7"/>
    <n v="1"/>
    <x v="7"/>
    <x v="1"/>
  </r>
  <r>
    <x v="0"/>
    <x v="1"/>
    <x v="1"/>
    <x v="3"/>
    <x v="0"/>
    <x v="8"/>
    <n v="0"/>
    <x v="8"/>
    <x v="1"/>
  </r>
  <r>
    <x v="0"/>
    <x v="1"/>
    <x v="1"/>
    <x v="3"/>
    <x v="0"/>
    <x v="9"/>
    <n v="0"/>
    <x v="9"/>
    <x v="0"/>
  </r>
  <r>
    <x v="0"/>
    <x v="1"/>
    <x v="1"/>
    <x v="3"/>
    <x v="0"/>
    <x v="10"/>
    <n v="1"/>
    <x v="10"/>
    <x v="0"/>
  </r>
  <r>
    <x v="0"/>
    <x v="1"/>
    <x v="1"/>
    <x v="3"/>
    <x v="0"/>
    <x v="11"/>
    <n v="0"/>
    <x v="11"/>
    <x v="0"/>
  </r>
  <r>
    <x v="0"/>
    <x v="1"/>
    <x v="1"/>
    <x v="3"/>
    <x v="1"/>
    <x v="12"/>
    <n v="0"/>
    <x v="12"/>
    <x v="0"/>
  </r>
  <r>
    <x v="0"/>
    <x v="1"/>
    <x v="1"/>
    <x v="3"/>
    <x v="1"/>
    <x v="13"/>
    <n v="0"/>
    <x v="13"/>
    <x v="0"/>
  </r>
  <r>
    <x v="0"/>
    <x v="1"/>
    <x v="1"/>
    <x v="3"/>
    <x v="1"/>
    <x v="14"/>
    <n v="0"/>
    <x v="14"/>
    <x v="0"/>
  </r>
  <r>
    <x v="0"/>
    <x v="1"/>
    <x v="1"/>
    <x v="3"/>
    <x v="1"/>
    <x v="15"/>
    <n v="1"/>
    <x v="15"/>
    <x v="0"/>
  </r>
  <r>
    <x v="0"/>
    <x v="1"/>
    <x v="1"/>
    <x v="3"/>
    <x v="1"/>
    <x v="16"/>
    <n v="0"/>
    <x v="16"/>
    <x v="0"/>
  </r>
  <r>
    <x v="0"/>
    <x v="1"/>
    <x v="1"/>
    <x v="3"/>
    <x v="1"/>
    <x v="17"/>
    <n v="0"/>
    <x v="17"/>
    <x v="0"/>
  </r>
  <r>
    <x v="0"/>
    <x v="1"/>
    <x v="1"/>
    <x v="3"/>
    <x v="1"/>
    <x v="18"/>
    <n v="0"/>
    <x v="18"/>
    <x v="1"/>
  </r>
  <r>
    <x v="0"/>
    <x v="1"/>
    <x v="1"/>
    <x v="3"/>
    <x v="1"/>
    <x v="19"/>
    <n v="0"/>
    <x v="19"/>
    <x v="1"/>
  </r>
  <r>
    <x v="0"/>
    <x v="1"/>
    <x v="1"/>
    <x v="3"/>
    <x v="1"/>
    <x v="20"/>
    <n v="1"/>
    <x v="20"/>
    <x v="1"/>
  </r>
  <r>
    <x v="0"/>
    <x v="1"/>
    <x v="1"/>
    <x v="3"/>
    <x v="1"/>
    <x v="21"/>
    <n v="0"/>
    <x v="21"/>
    <x v="1"/>
  </r>
  <r>
    <x v="0"/>
    <x v="1"/>
    <x v="1"/>
    <x v="3"/>
    <x v="1"/>
    <x v="22"/>
    <n v="0"/>
    <x v="22"/>
    <x v="0"/>
  </r>
  <r>
    <x v="0"/>
    <x v="1"/>
    <x v="1"/>
    <x v="3"/>
    <x v="1"/>
    <x v="23"/>
    <n v="0"/>
    <x v="23"/>
    <x v="0"/>
  </r>
  <r>
    <x v="0"/>
    <x v="1"/>
    <x v="1"/>
    <x v="3"/>
    <x v="2"/>
    <x v="24"/>
    <n v="0"/>
    <x v="24"/>
    <x v="0"/>
  </r>
  <r>
    <x v="0"/>
    <x v="1"/>
    <x v="1"/>
    <x v="3"/>
    <x v="2"/>
    <x v="25"/>
    <n v="0"/>
    <x v="25"/>
    <x v="0"/>
  </r>
  <r>
    <x v="0"/>
    <x v="1"/>
    <x v="1"/>
    <x v="3"/>
    <x v="2"/>
    <x v="26"/>
    <n v="1"/>
    <x v="26"/>
    <x v="0"/>
  </r>
  <r>
    <x v="0"/>
    <x v="1"/>
    <x v="1"/>
    <x v="3"/>
    <x v="2"/>
    <x v="27"/>
    <n v="0"/>
    <x v="27"/>
    <x v="0"/>
  </r>
  <r>
    <x v="0"/>
    <x v="1"/>
    <x v="1"/>
    <x v="3"/>
    <x v="2"/>
    <x v="28"/>
    <n v="0"/>
    <x v="28"/>
    <x v="0"/>
  </r>
  <r>
    <x v="0"/>
    <x v="1"/>
    <x v="1"/>
    <x v="3"/>
    <x v="2"/>
    <x v="29"/>
    <n v="0"/>
    <x v="29"/>
    <x v="0"/>
  </r>
  <r>
    <x v="0"/>
    <x v="1"/>
    <x v="1"/>
    <x v="3"/>
    <x v="2"/>
    <x v="30"/>
    <n v="0"/>
    <x v="30"/>
    <x v="1"/>
  </r>
  <r>
    <x v="0"/>
    <x v="1"/>
    <x v="1"/>
    <x v="3"/>
    <x v="2"/>
    <x v="31"/>
    <n v="0"/>
    <x v="31"/>
    <x v="1"/>
  </r>
  <r>
    <x v="0"/>
    <x v="1"/>
    <x v="1"/>
    <x v="3"/>
    <x v="2"/>
    <x v="32"/>
    <n v="0"/>
    <x v="32"/>
    <x v="1"/>
  </r>
  <r>
    <x v="0"/>
    <x v="1"/>
    <x v="1"/>
    <x v="3"/>
    <x v="2"/>
    <x v="33"/>
    <n v="0"/>
    <x v="33"/>
    <x v="1"/>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0"/>
    <x v="1"/>
    <x v="0"/>
  </r>
  <r>
    <x v="0"/>
    <x v="1"/>
    <x v="1"/>
    <x v="4"/>
    <x v="0"/>
    <x v="2"/>
    <n v="0"/>
    <x v="2"/>
    <x v="0"/>
  </r>
  <r>
    <x v="0"/>
    <x v="1"/>
    <x v="1"/>
    <x v="4"/>
    <x v="0"/>
    <x v="3"/>
    <n v="0"/>
    <x v="3"/>
    <x v="0"/>
  </r>
  <r>
    <x v="0"/>
    <x v="1"/>
    <x v="1"/>
    <x v="4"/>
    <x v="0"/>
    <x v="4"/>
    <n v="0"/>
    <x v="4"/>
    <x v="0"/>
  </r>
  <r>
    <x v="0"/>
    <x v="1"/>
    <x v="1"/>
    <x v="4"/>
    <x v="0"/>
    <x v="5"/>
    <n v="1"/>
    <x v="5"/>
    <x v="1"/>
  </r>
  <r>
    <x v="0"/>
    <x v="1"/>
    <x v="1"/>
    <x v="4"/>
    <x v="0"/>
    <x v="6"/>
    <n v="0"/>
    <x v="6"/>
    <x v="1"/>
  </r>
  <r>
    <x v="0"/>
    <x v="1"/>
    <x v="1"/>
    <x v="4"/>
    <x v="0"/>
    <x v="7"/>
    <n v="0"/>
    <x v="7"/>
    <x v="1"/>
  </r>
  <r>
    <x v="0"/>
    <x v="1"/>
    <x v="1"/>
    <x v="4"/>
    <x v="0"/>
    <x v="8"/>
    <n v="1"/>
    <x v="8"/>
    <x v="1"/>
  </r>
  <r>
    <x v="0"/>
    <x v="1"/>
    <x v="1"/>
    <x v="4"/>
    <x v="0"/>
    <x v="9"/>
    <n v="7"/>
    <x v="9"/>
    <x v="0"/>
  </r>
  <r>
    <x v="0"/>
    <x v="1"/>
    <x v="1"/>
    <x v="4"/>
    <x v="0"/>
    <x v="10"/>
    <n v="0"/>
    <x v="10"/>
    <x v="0"/>
  </r>
  <r>
    <x v="0"/>
    <x v="1"/>
    <x v="1"/>
    <x v="4"/>
    <x v="0"/>
    <x v="11"/>
    <n v="0"/>
    <x v="11"/>
    <x v="0"/>
  </r>
  <r>
    <x v="0"/>
    <x v="1"/>
    <x v="1"/>
    <x v="4"/>
    <x v="1"/>
    <x v="12"/>
    <n v="0"/>
    <x v="12"/>
    <x v="0"/>
  </r>
  <r>
    <x v="0"/>
    <x v="1"/>
    <x v="1"/>
    <x v="4"/>
    <x v="1"/>
    <x v="13"/>
    <n v="0"/>
    <x v="13"/>
    <x v="0"/>
  </r>
  <r>
    <x v="0"/>
    <x v="1"/>
    <x v="1"/>
    <x v="4"/>
    <x v="1"/>
    <x v="14"/>
    <n v="0"/>
    <x v="14"/>
    <x v="0"/>
  </r>
  <r>
    <x v="0"/>
    <x v="1"/>
    <x v="1"/>
    <x v="4"/>
    <x v="1"/>
    <x v="15"/>
    <n v="0"/>
    <x v="15"/>
    <x v="0"/>
  </r>
  <r>
    <x v="0"/>
    <x v="1"/>
    <x v="1"/>
    <x v="4"/>
    <x v="1"/>
    <x v="16"/>
    <n v="0"/>
    <x v="16"/>
    <x v="0"/>
  </r>
  <r>
    <x v="0"/>
    <x v="1"/>
    <x v="1"/>
    <x v="4"/>
    <x v="1"/>
    <x v="17"/>
    <n v="0"/>
    <x v="17"/>
    <x v="0"/>
  </r>
  <r>
    <x v="0"/>
    <x v="1"/>
    <x v="1"/>
    <x v="4"/>
    <x v="1"/>
    <x v="18"/>
    <n v="1"/>
    <x v="18"/>
    <x v="1"/>
  </r>
  <r>
    <x v="0"/>
    <x v="1"/>
    <x v="1"/>
    <x v="4"/>
    <x v="1"/>
    <x v="19"/>
    <n v="0"/>
    <x v="19"/>
    <x v="1"/>
  </r>
  <r>
    <x v="0"/>
    <x v="1"/>
    <x v="1"/>
    <x v="4"/>
    <x v="1"/>
    <x v="20"/>
    <n v="0"/>
    <x v="20"/>
    <x v="1"/>
  </r>
  <r>
    <x v="0"/>
    <x v="1"/>
    <x v="1"/>
    <x v="4"/>
    <x v="1"/>
    <x v="21"/>
    <n v="0"/>
    <x v="21"/>
    <x v="1"/>
  </r>
  <r>
    <x v="0"/>
    <x v="1"/>
    <x v="1"/>
    <x v="4"/>
    <x v="1"/>
    <x v="22"/>
    <n v="0"/>
    <x v="22"/>
    <x v="0"/>
  </r>
  <r>
    <x v="0"/>
    <x v="1"/>
    <x v="1"/>
    <x v="4"/>
    <x v="1"/>
    <x v="23"/>
    <n v="0"/>
    <x v="23"/>
    <x v="0"/>
  </r>
  <r>
    <x v="0"/>
    <x v="1"/>
    <x v="1"/>
    <x v="4"/>
    <x v="2"/>
    <x v="24"/>
    <n v="0"/>
    <x v="24"/>
    <x v="0"/>
  </r>
  <r>
    <x v="0"/>
    <x v="1"/>
    <x v="1"/>
    <x v="4"/>
    <x v="2"/>
    <x v="25"/>
    <n v="0"/>
    <x v="25"/>
    <x v="0"/>
  </r>
  <r>
    <x v="0"/>
    <x v="1"/>
    <x v="1"/>
    <x v="4"/>
    <x v="2"/>
    <x v="26"/>
    <n v="0"/>
    <x v="26"/>
    <x v="0"/>
  </r>
  <r>
    <x v="0"/>
    <x v="1"/>
    <x v="1"/>
    <x v="4"/>
    <x v="2"/>
    <x v="27"/>
    <n v="1"/>
    <x v="27"/>
    <x v="0"/>
  </r>
  <r>
    <x v="0"/>
    <x v="1"/>
    <x v="1"/>
    <x v="4"/>
    <x v="2"/>
    <x v="28"/>
    <n v="0"/>
    <x v="28"/>
    <x v="0"/>
  </r>
  <r>
    <x v="0"/>
    <x v="1"/>
    <x v="1"/>
    <x v="4"/>
    <x v="2"/>
    <x v="29"/>
    <n v="0"/>
    <x v="29"/>
    <x v="0"/>
  </r>
  <r>
    <x v="0"/>
    <x v="1"/>
    <x v="1"/>
    <x v="4"/>
    <x v="2"/>
    <x v="30"/>
    <n v="0"/>
    <x v="30"/>
    <x v="1"/>
  </r>
  <r>
    <x v="0"/>
    <x v="1"/>
    <x v="1"/>
    <x v="4"/>
    <x v="2"/>
    <x v="31"/>
    <n v="0"/>
    <x v="31"/>
    <x v="1"/>
  </r>
  <r>
    <x v="0"/>
    <x v="1"/>
    <x v="1"/>
    <x v="4"/>
    <x v="2"/>
    <x v="32"/>
    <n v="0"/>
    <x v="32"/>
    <x v="1"/>
  </r>
  <r>
    <x v="0"/>
    <x v="1"/>
    <x v="1"/>
    <x v="4"/>
    <x v="2"/>
    <x v="33"/>
    <n v="0"/>
    <x v="33"/>
    <x v="1"/>
  </r>
  <r>
    <x v="0"/>
    <x v="1"/>
    <x v="1"/>
    <x v="4"/>
    <x v="2"/>
    <x v="34"/>
    <n v="0"/>
    <x v="34"/>
    <x v="0"/>
  </r>
  <r>
    <x v="0"/>
    <x v="1"/>
    <x v="1"/>
    <x v="4"/>
    <x v="2"/>
    <x v="35"/>
    <n v="0"/>
    <x v="35"/>
    <x v="0"/>
  </r>
  <r>
    <x v="0"/>
    <x v="1"/>
    <x v="1"/>
    <x v="4"/>
    <x v="2"/>
    <x v="36"/>
    <n v="0"/>
    <x v="36"/>
    <x v="0"/>
  </r>
  <r>
    <x v="0"/>
    <x v="1"/>
    <x v="1"/>
    <x v="4"/>
    <x v="2"/>
    <x v="37"/>
    <n v="0"/>
    <x v="37"/>
    <x v="0"/>
  </r>
  <r>
    <x v="0"/>
    <x v="2"/>
    <x v="2"/>
    <x v="0"/>
    <x v="0"/>
    <x v="0"/>
    <n v="28"/>
    <x v="0"/>
    <x v="0"/>
  </r>
  <r>
    <x v="0"/>
    <x v="2"/>
    <x v="2"/>
    <x v="0"/>
    <x v="0"/>
    <x v="1"/>
    <n v="49"/>
    <x v="1"/>
    <x v="0"/>
  </r>
  <r>
    <x v="0"/>
    <x v="2"/>
    <x v="2"/>
    <x v="0"/>
    <x v="0"/>
    <x v="2"/>
    <n v="56"/>
    <x v="2"/>
    <x v="0"/>
  </r>
  <r>
    <x v="0"/>
    <x v="2"/>
    <x v="2"/>
    <x v="0"/>
    <x v="0"/>
    <x v="3"/>
    <n v="72"/>
    <x v="3"/>
    <x v="0"/>
  </r>
  <r>
    <x v="0"/>
    <x v="2"/>
    <x v="2"/>
    <x v="0"/>
    <x v="0"/>
    <x v="4"/>
    <n v="74"/>
    <x v="4"/>
    <x v="0"/>
  </r>
  <r>
    <x v="0"/>
    <x v="2"/>
    <x v="2"/>
    <x v="0"/>
    <x v="0"/>
    <x v="5"/>
    <n v="88"/>
    <x v="5"/>
    <x v="1"/>
  </r>
  <r>
    <x v="0"/>
    <x v="2"/>
    <x v="2"/>
    <x v="0"/>
    <x v="0"/>
    <x v="6"/>
    <n v="86"/>
    <x v="6"/>
    <x v="1"/>
  </r>
  <r>
    <x v="0"/>
    <x v="2"/>
    <x v="2"/>
    <x v="0"/>
    <x v="0"/>
    <x v="7"/>
    <n v="94"/>
    <x v="7"/>
    <x v="1"/>
  </r>
  <r>
    <x v="0"/>
    <x v="2"/>
    <x v="2"/>
    <x v="0"/>
    <x v="0"/>
    <x v="8"/>
    <n v="107"/>
    <x v="8"/>
    <x v="1"/>
  </r>
  <r>
    <x v="0"/>
    <x v="2"/>
    <x v="2"/>
    <x v="0"/>
    <x v="0"/>
    <x v="9"/>
    <n v="86"/>
    <x v="9"/>
    <x v="0"/>
  </r>
  <r>
    <x v="0"/>
    <x v="2"/>
    <x v="2"/>
    <x v="0"/>
    <x v="0"/>
    <x v="10"/>
    <n v="90"/>
    <x v="10"/>
    <x v="0"/>
  </r>
  <r>
    <x v="0"/>
    <x v="2"/>
    <x v="2"/>
    <x v="0"/>
    <x v="0"/>
    <x v="11"/>
    <n v="58"/>
    <x v="11"/>
    <x v="0"/>
  </r>
  <r>
    <x v="0"/>
    <x v="2"/>
    <x v="2"/>
    <x v="0"/>
    <x v="1"/>
    <x v="12"/>
    <n v="55"/>
    <x v="12"/>
    <x v="0"/>
  </r>
  <r>
    <x v="0"/>
    <x v="2"/>
    <x v="2"/>
    <x v="0"/>
    <x v="1"/>
    <x v="13"/>
    <n v="63"/>
    <x v="13"/>
    <x v="0"/>
  </r>
  <r>
    <x v="0"/>
    <x v="2"/>
    <x v="2"/>
    <x v="0"/>
    <x v="1"/>
    <x v="14"/>
    <n v="70"/>
    <x v="14"/>
    <x v="0"/>
  </r>
  <r>
    <x v="0"/>
    <x v="2"/>
    <x v="2"/>
    <x v="0"/>
    <x v="1"/>
    <x v="15"/>
    <n v="76"/>
    <x v="15"/>
    <x v="0"/>
  </r>
  <r>
    <x v="0"/>
    <x v="2"/>
    <x v="2"/>
    <x v="0"/>
    <x v="1"/>
    <x v="16"/>
    <n v="61"/>
    <x v="16"/>
    <x v="0"/>
  </r>
  <r>
    <x v="0"/>
    <x v="2"/>
    <x v="2"/>
    <x v="0"/>
    <x v="1"/>
    <x v="17"/>
    <n v="60"/>
    <x v="17"/>
    <x v="0"/>
  </r>
  <r>
    <x v="0"/>
    <x v="2"/>
    <x v="2"/>
    <x v="0"/>
    <x v="1"/>
    <x v="18"/>
    <n v="77"/>
    <x v="18"/>
    <x v="1"/>
  </r>
  <r>
    <x v="0"/>
    <x v="2"/>
    <x v="2"/>
    <x v="0"/>
    <x v="1"/>
    <x v="19"/>
    <n v="69"/>
    <x v="19"/>
    <x v="1"/>
  </r>
  <r>
    <x v="0"/>
    <x v="2"/>
    <x v="2"/>
    <x v="0"/>
    <x v="1"/>
    <x v="20"/>
    <n v="55"/>
    <x v="20"/>
    <x v="1"/>
  </r>
  <r>
    <x v="0"/>
    <x v="2"/>
    <x v="2"/>
    <x v="0"/>
    <x v="1"/>
    <x v="21"/>
    <n v="63"/>
    <x v="21"/>
    <x v="1"/>
  </r>
  <r>
    <x v="0"/>
    <x v="2"/>
    <x v="2"/>
    <x v="0"/>
    <x v="1"/>
    <x v="22"/>
    <n v="72"/>
    <x v="22"/>
    <x v="0"/>
  </r>
  <r>
    <x v="0"/>
    <x v="2"/>
    <x v="2"/>
    <x v="0"/>
    <x v="1"/>
    <x v="23"/>
    <n v="61"/>
    <x v="23"/>
    <x v="0"/>
  </r>
  <r>
    <x v="0"/>
    <x v="2"/>
    <x v="2"/>
    <x v="0"/>
    <x v="2"/>
    <x v="24"/>
    <n v="50"/>
    <x v="24"/>
    <x v="0"/>
  </r>
  <r>
    <x v="0"/>
    <x v="2"/>
    <x v="2"/>
    <x v="0"/>
    <x v="2"/>
    <x v="25"/>
    <n v="68"/>
    <x v="25"/>
    <x v="0"/>
  </r>
  <r>
    <x v="0"/>
    <x v="2"/>
    <x v="2"/>
    <x v="0"/>
    <x v="2"/>
    <x v="26"/>
    <n v="79"/>
    <x v="26"/>
    <x v="0"/>
  </r>
  <r>
    <x v="0"/>
    <x v="2"/>
    <x v="2"/>
    <x v="0"/>
    <x v="2"/>
    <x v="27"/>
    <n v="89"/>
    <x v="27"/>
    <x v="0"/>
  </r>
  <r>
    <x v="0"/>
    <x v="2"/>
    <x v="2"/>
    <x v="0"/>
    <x v="2"/>
    <x v="28"/>
    <n v="52"/>
    <x v="28"/>
    <x v="0"/>
  </r>
  <r>
    <x v="0"/>
    <x v="2"/>
    <x v="2"/>
    <x v="0"/>
    <x v="2"/>
    <x v="29"/>
    <n v="60"/>
    <x v="29"/>
    <x v="0"/>
  </r>
  <r>
    <x v="0"/>
    <x v="2"/>
    <x v="2"/>
    <x v="0"/>
    <x v="2"/>
    <x v="30"/>
    <n v="71"/>
    <x v="30"/>
    <x v="1"/>
  </r>
  <r>
    <x v="0"/>
    <x v="2"/>
    <x v="2"/>
    <x v="0"/>
    <x v="2"/>
    <x v="31"/>
    <n v="50"/>
    <x v="31"/>
    <x v="1"/>
  </r>
  <r>
    <x v="0"/>
    <x v="2"/>
    <x v="2"/>
    <x v="0"/>
    <x v="2"/>
    <x v="32"/>
    <n v="73"/>
    <x v="32"/>
    <x v="1"/>
  </r>
  <r>
    <x v="0"/>
    <x v="2"/>
    <x v="2"/>
    <x v="0"/>
    <x v="2"/>
    <x v="33"/>
    <n v="63"/>
    <x v="33"/>
    <x v="1"/>
  </r>
  <r>
    <x v="0"/>
    <x v="2"/>
    <x v="2"/>
    <x v="0"/>
    <x v="2"/>
    <x v="34"/>
    <n v="76"/>
    <x v="34"/>
    <x v="0"/>
  </r>
  <r>
    <x v="0"/>
    <x v="2"/>
    <x v="2"/>
    <x v="0"/>
    <x v="2"/>
    <x v="35"/>
    <n v="61"/>
    <x v="35"/>
    <x v="0"/>
  </r>
  <r>
    <x v="0"/>
    <x v="2"/>
    <x v="2"/>
    <x v="0"/>
    <x v="2"/>
    <x v="36"/>
    <n v="68"/>
    <x v="36"/>
    <x v="0"/>
  </r>
  <r>
    <x v="0"/>
    <x v="2"/>
    <x v="2"/>
    <x v="0"/>
    <x v="2"/>
    <x v="37"/>
    <n v="53"/>
    <x v="37"/>
    <x v="0"/>
  </r>
  <r>
    <x v="0"/>
    <x v="2"/>
    <x v="2"/>
    <x v="1"/>
    <x v="0"/>
    <x v="0"/>
    <n v="0"/>
    <x v="0"/>
    <x v="0"/>
  </r>
  <r>
    <x v="0"/>
    <x v="2"/>
    <x v="2"/>
    <x v="1"/>
    <x v="0"/>
    <x v="1"/>
    <n v="1"/>
    <x v="1"/>
    <x v="0"/>
  </r>
  <r>
    <x v="0"/>
    <x v="2"/>
    <x v="2"/>
    <x v="1"/>
    <x v="0"/>
    <x v="2"/>
    <n v="0"/>
    <x v="2"/>
    <x v="0"/>
  </r>
  <r>
    <x v="0"/>
    <x v="2"/>
    <x v="2"/>
    <x v="1"/>
    <x v="0"/>
    <x v="3"/>
    <n v="1"/>
    <x v="3"/>
    <x v="0"/>
  </r>
  <r>
    <x v="0"/>
    <x v="2"/>
    <x v="2"/>
    <x v="1"/>
    <x v="0"/>
    <x v="4"/>
    <n v="0"/>
    <x v="4"/>
    <x v="0"/>
  </r>
  <r>
    <x v="0"/>
    <x v="2"/>
    <x v="2"/>
    <x v="1"/>
    <x v="0"/>
    <x v="5"/>
    <n v="1"/>
    <x v="5"/>
    <x v="1"/>
  </r>
  <r>
    <x v="0"/>
    <x v="2"/>
    <x v="2"/>
    <x v="1"/>
    <x v="0"/>
    <x v="6"/>
    <n v="0"/>
    <x v="6"/>
    <x v="1"/>
  </r>
  <r>
    <x v="0"/>
    <x v="2"/>
    <x v="2"/>
    <x v="1"/>
    <x v="0"/>
    <x v="7"/>
    <n v="1"/>
    <x v="7"/>
    <x v="1"/>
  </r>
  <r>
    <x v="0"/>
    <x v="2"/>
    <x v="2"/>
    <x v="1"/>
    <x v="0"/>
    <x v="8"/>
    <n v="0"/>
    <x v="8"/>
    <x v="1"/>
  </r>
  <r>
    <x v="0"/>
    <x v="2"/>
    <x v="2"/>
    <x v="1"/>
    <x v="0"/>
    <x v="9"/>
    <n v="1"/>
    <x v="9"/>
    <x v="0"/>
  </r>
  <r>
    <x v="0"/>
    <x v="2"/>
    <x v="2"/>
    <x v="1"/>
    <x v="0"/>
    <x v="10"/>
    <n v="0"/>
    <x v="10"/>
    <x v="0"/>
  </r>
  <r>
    <x v="0"/>
    <x v="2"/>
    <x v="2"/>
    <x v="1"/>
    <x v="0"/>
    <x v="11"/>
    <n v="1"/>
    <x v="11"/>
    <x v="0"/>
  </r>
  <r>
    <x v="0"/>
    <x v="2"/>
    <x v="2"/>
    <x v="1"/>
    <x v="1"/>
    <x v="12"/>
    <n v="0"/>
    <x v="12"/>
    <x v="0"/>
  </r>
  <r>
    <x v="0"/>
    <x v="2"/>
    <x v="2"/>
    <x v="1"/>
    <x v="1"/>
    <x v="13"/>
    <n v="1"/>
    <x v="13"/>
    <x v="0"/>
  </r>
  <r>
    <x v="0"/>
    <x v="2"/>
    <x v="2"/>
    <x v="1"/>
    <x v="1"/>
    <x v="14"/>
    <n v="0"/>
    <x v="14"/>
    <x v="0"/>
  </r>
  <r>
    <x v="0"/>
    <x v="2"/>
    <x v="2"/>
    <x v="1"/>
    <x v="1"/>
    <x v="15"/>
    <n v="1"/>
    <x v="15"/>
    <x v="0"/>
  </r>
  <r>
    <x v="0"/>
    <x v="2"/>
    <x v="2"/>
    <x v="1"/>
    <x v="1"/>
    <x v="16"/>
    <n v="0"/>
    <x v="16"/>
    <x v="0"/>
  </r>
  <r>
    <x v="0"/>
    <x v="2"/>
    <x v="2"/>
    <x v="1"/>
    <x v="1"/>
    <x v="17"/>
    <n v="1"/>
    <x v="17"/>
    <x v="0"/>
  </r>
  <r>
    <x v="0"/>
    <x v="2"/>
    <x v="2"/>
    <x v="1"/>
    <x v="1"/>
    <x v="18"/>
    <n v="1"/>
    <x v="18"/>
    <x v="1"/>
  </r>
  <r>
    <x v="0"/>
    <x v="2"/>
    <x v="2"/>
    <x v="1"/>
    <x v="1"/>
    <x v="19"/>
    <n v="1"/>
    <x v="19"/>
    <x v="1"/>
  </r>
  <r>
    <x v="0"/>
    <x v="2"/>
    <x v="2"/>
    <x v="1"/>
    <x v="1"/>
    <x v="20"/>
    <n v="0"/>
    <x v="20"/>
    <x v="1"/>
  </r>
  <r>
    <x v="0"/>
    <x v="2"/>
    <x v="2"/>
    <x v="1"/>
    <x v="1"/>
    <x v="21"/>
    <n v="1"/>
    <x v="21"/>
    <x v="1"/>
  </r>
  <r>
    <x v="0"/>
    <x v="2"/>
    <x v="2"/>
    <x v="1"/>
    <x v="1"/>
    <x v="22"/>
    <n v="0"/>
    <x v="22"/>
    <x v="0"/>
  </r>
  <r>
    <x v="0"/>
    <x v="2"/>
    <x v="2"/>
    <x v="1"/>
    <x v="1"/>
    <x v="23"/>
    <n v="1"/>
    <x v="23"/>
    <x v="0"/>
  </r>
  <r>
    <x v="0"/>
    <x v="2"/>
    <x v="2"/>
    <x v="1"/>
    <x v="2"/>
    <x v="24"/>
    <n v="0"/>
    <x v="24"/>
    <x v="0"/>
  </r>
  <r>
    <x v="0"/>
    <x v="2"/>
    <x v="2"/>
    <x v="1"/>
    <x v="2"/>
    <x v="25"/>
    <n v="0"/>
    <x v="25"/>
    <x v="0"/>
  </r>
  <r>
    <x v="0"/>
    <x v="2"/>
    <x v="2"/>
    <x v="1"/>
    <x v="2"/>
    <x v="26"/>
    <n v="1"/>
    <x v="26"/>
    <x v="0"/>
  </r>
  <r>
    <x v="0"/>
    <x v="2"/>
    <x v="2"/>
    <x v="1"/>
    <x v="2"/>
    <x v="27"/>
    <n v="0"/>
    <x v="27"/>
    <x v="0"/>
  </r>
  <r>
    <x v="0"/>
    <x v="2"/>
    <x v="2"/>
    <x v="1"/>
    <x v="2"/>
    <x v="28"/>
    <n v="1"/>
    <x v="28"/>
    <x v="0"/>
  </r>
  <r>
    <x v="0"/>
    <x v="2"/>
    <x v="2"/>
    <x v="1"/>
    <x v="2"/>
    <x v="29"/>
    <n v="1"/>
    <x v="29"/>
    <x v="0"/>
  </r>
  <r>
    <x v="0"/>
    <x v="2"/>
    <x v="2"/>
    <x v="1"/>
    <x v="2"/>
    <x v="30"/>
    <n v="0"/>
    <x v="30"/>
    <x v="1"/>
  </r>
  <r>
    <x v="0"/>
    <x v="2"/>
    <x v="2"/>
    <x v="1"/>
    <x v="2"/>
    <x v="31"/>
    <n v="1"/>
    <x v="31"/>
    <x v="1"/>
  </r>
  <r>
    <x v="0"/>
    <x v="2"/>
    <x v="2"/>
    <x v="1"/>
    <x v="2"/>
    <x v="32"/>
    <n v="0"/>
    <x v="32"/>
    <x v="1"/>
  </r>
  <r>
    <x v="0"/>
    <x v="2"/>
    <x v="2"/>
    <x v="1"/>
    <x v="2"/>
    <x v="33"/>
    <n v="1"/>
    <x v="33"/>
    <x v="1"/>
  </r>
  <r>
    <x v="0"/>
    <x v="2"/>
    <x v="2"/>
    <x v="1"/>
    <x v="2"/>
    <x v="34"/>
    <n v="0"/>
    <x v="34"/>
    <x v="0"/>
  </r>
  <r>
    <x v="0"/>
    <x v="2"/>
    <x v="2"/>
    <x v="1"/>
    <x v="2"/>
    <x v="35"/>
    <n v="1"/>
    <x v="35"/>
    <x v="0"/>
  </r>
  <r>
    <x v="0"/>
    <x v="2"/>
    <x v="2"/>
    <x v="1"/>
    <x v="2"/>
    <x v="36"/>
    <n v="0"/>
    <x v="36"/>
    <x v="0"/>
  </r>
  <r>
    <x v="0"/>
    <x v="2"/>
    <x v="2"/>
    <x v="1"/>
    <x v="2"/>
    <x v="37"/>
    <n v="0"/>
    <x v="37"/>
    <x v="0"/>
  </r>
  <r>
    <x v="0"/>
    <x v="2"/>
    <x v="2"/>
    <x v="2"/>
    <x v="0"/>
    <x v="0"/>
    <n v="0"/>
    <x v="0"/>
    <x v="0"/>
  </r>
  <r>
    <x v="0"/>
    <x v="2"/>
    <x v="2"/>
    <x v="2"/>
    <x v="0"/>
    <x v="1"/>
    <n v="1"/>
    <x v="1"/>
    <x v="0"/>
  </r>
  <r>
    <x v="0"/>
    <x v="2"/>
    <x v="2"/>
    <x v="2"/>
    <x v="0"/>
    <x v="2"/>
    <n v="0"/>
    <x v="2"/>
    <x v="0"/>
  </r>
  <r>
    <x v="0"/>
    <x v="2"/>
    <x v="2"/>
    <x v="2"/>
    <x v="0"/>
    <x v="3"/>
    <n v="0"/>
    <x v="3"/>
    <x v="0"/>
  </r>
  <r>
    <x v="0"/>
    <x v="2"/>
    <x v="2"/>
    <x v="2"/>
    <x v="0"/>
    <x v="4"/>
    <n v="3"/>
    <x v="4"/>
    <x v="0"/>
  </r>
  <r>
    <x v="0"/>
    <x v="2"/>
    <x v="2"/>
    <x v="2"/>
    <x v="0"/>
    <x v="5"/>
    <n v="0"/>
    <x v="5"/>
    <x v="1"/>
  </r>
  <r>
    <x v="0"/>
    <x v="2"/>
    <x v="2"/>
    <x v="2"/>
    <x v="0"/>
    <x v="6"/>
    <n v="0"/>
    <x v="6"/>
    <x v="1"/>
  </r>
  <r>
    <x v="0"/>
    <x v="2"/>
    <x v="2"/>
    <x v="2"/>
    <x v="0"/>
    <x v="7"/>
    <n v="0"/>
    <x v="7"/>
    <x v="1"/>
  </r>
  <r>
    <x v="0"/>
    <x v="2"/>
    <x v="2"/>
    <x v="2"/>
    <x v="0"/>
    <x v="8"/>
    <n v="3"/>
    <x v="8"/>
    <x v="1"/>
  </r>
  <r>
    <x v="0"/>
    <x v="2"/>
    <x v="2"/>
    <x v="2"/>
    <x v="0"/>
    <x v="9"/>
    <n v="0"/>
    <x v="9"/>
    <x v="0"/>
  </r>
  <r>
    <x v="0"/>
    <x v="2"/>
    <x v="2"/>
    <x v="2"/>
    <x v="0"/>
    <x v="10"/>
    <n v="1"/>
    <x v="10"/>
    <x v="0"/>
  </r>
  <r>
    <x v="0"/>
    <x v="2"/>
    <x v="2"/>
    <x v="2"/>
    <x v="0"/>
    <x v="11"/>
    <n v="1"/>
    <x v="11"/>
    <x v="0"/>
  </r>
  <r>
    <x v="0"/>
    <x v="2"/>
    <x v="2"/>
    <x v="2"/>
    <x v="1"/>
    <x v="12"/>
    <n v="1"/>
    <x v="12"/>
    <x v="0"/>
  </r>
  <r>
    <x v="0"/>
    <x v="2"/>
    <x v="2"/>
    <x v="2"/>
    <x v="1"/>
    <x v="13"/>
    <n v="1"/>
    <x v="13"/>
    <x v="0"/>
  </r>
  <r>
    <x v="0"/>
    <x v="2"/>
    <x v="2"/>
    <x v="2"/>
    <x v="1"/>
    <x v="14"/>
    <n v="3"/>
    <x v="14"/>
    <x v="0"/>
  </r>
  <r>
    <x v="0"/>
    <x v="2"/>
    <x v="2"/>
    <x v="2"/>
    <x v="1"/>
    <x v="15"/>
    <n v="3"/>
    <x v="15"/>
    <x v="0"/>
  </r>
  <r>
    <x v="0"/>
    <x v="2"/>
    <x v="2"/>
    <x v="2"/>
    <x v="1"/>
    <x v="16"/>
    <n v="0"/>
    <x v="16"/>
    <x v="0"/>
  </r>
  <r>
    <x v="0"/>
    <x v="2"/>
    <x v="2"/>
    <x v="2"/>
    <x v="1"/>
    <x v="17"/>
    <n v="1"/>
    <x v="17"/>
    <x v="0"/>
  </r>
  <r>
    <x v="0"/>
    <x v="2"/>
    <x v="2"/>
    <x v="2"/>
    <x v="1"/>
    <x v="18"/>
    <n v="0"/>
    <x v="18"/>
    <x v="1"/>
  </r>
  <r>
    <x v="0"/>
    <x v="2"/>
    <x v="2"/>
    <x v="2"/>
    <x v="1"/>
    <x v="19"/>
    <n v="1"/>
    <x v="19"/>
    <x v="1"/>
  </r>
  <r>
    <x v="0"/>
    <x v="2"/>
    <x v="2"/>
    <x v="2"/>
    <x v="1"/>
    <x v="20"/>
    <n v="1"/>
    <x v="20"/>
    <x v="1"/>
  </r>
  <r>
    <x v="0"/>
    <x v="2"/>
    <x v="2"/>
    <x v="2"/>
    <x v="1"/>
    <x v="21"/>
    <n v="1"/>
    <x v="21"/>
    <x v="1"/>
  </r>
  <r>
    <x v="0"/>
    <x v="2"/>
    <x v="2"/>
    <x v="2"/>
    <x v="1"/>
    <x v="22"/>
    <n v="0"/>
    <x v="22"/>
    <x v="0"/>
  </r>
  <r>
    <x v="0"/>
    <x v="2"/>
    <x v="2"/>
    <x v="2"/>
    <x v="1"/>
    <x v="23"/>
    <n v="0"/>
    <x v="23"/>
    <x v="0"/>
  </r>
  <r>
    <x v="0"/>
    <x v="2"/>
    <x v="2"/>
    <x v="2"/>
    <x v="2"/>
    <x v="24"/>
    <n v="0"/>
    <x v="24"/>
    <x v="0"/>
  </r>
  <r>
    <x v="0"/>
    <x v="2"/>
    <x v="2"/>
    <x v="2"/>
    <x v="2"/>
    <x v="25"/>
    <n v="0"/>
    <x v="25"/>
    <x v="0"/>
  </r>
  <r>
    <x v="0"/>
    <x v="2"/>
    <x v="2"/>
    <x v="2"/>
    <x v="2"/>
    <x v="26"/>
    <n v="0"/>
    <x v="26"/>
    <x v="0"/>
  </r>
  <r>
    <x v="0"/>
    <x v="2"/>
    <x v="2"/>
    <x v="2"/>
    <x v="2"/>
    <x v="27"/>
    <n v="2"/>
    <x v="27"/>
    <x v="0"/>
  </r>
  <r>
    <x v="0"/>
    <x v="2"/>
    <x v="2"/>
    <x v="2"/>
    <x v="2"/>
    <x v="28"/>
    <n v="3"/>
    <x v="28"/>
    <x v="0"/>
  </r>
  <r>
    <x v="0"/>
    <x v="2"/>
    <x v="2"/>
    <x v="2"/>
    <x v="2"/>
    <x v="29"/>
    <n v="1"/>
    <x v="29"/>
    <x v="0"/>
  </r>
  <r>
    <x v="0"/>
    <x v="2"/>
    <x v="2"/>
    <x v="2"/>
    <x v="2"/>
    <x v="30"/>
    <n v="1"/>
    <x v="30"/>
    <x v="1"/>
  </r>
  <r>
    <x v="0"/>
    <x v="2"/>
    <x v="2"/>
    <x v="2"/>
    <x v="2"/>
    <x v="31"/>
    <n v="0"/>
    <x v="31"/>
    <x v="1"/>
  </r>
  <r>
    <x v="0"/>
    <x v="2"/>
    <x v="2"/>
    <x v="2"/>
    <x v="2"/>
    <x v="32"/>
    <n v="0"/>
    <x v="32"/>
    <x v="1"/>
  </r>
  <r>
    <x v="0"/>
    <x v="2"/>
    <x v="2"/>
    <x v="2"/>
    <x v="2"/>
    <x v="33"/>
    <n v="0"/>
    <x v="33"/>
    <x v="1"/>
  </r>
  <r>
    <x v="0"/>
    <x v="2"/>
    <x v="2"/>
    <x v="2"/>
    <x v="2"/>
    <x v="34"/>
    <n v="0"/>
    <x v="34"/>
    <x v="0"/>
  </r>
  <r>
    <x v="0"/>
    <x v="2"/>
    <x v="2"/>
    <x v="2"/>
    <x v="2"/>
    <x v="35"/>
    <n v="0"/>
    <x v="35"/>
    <x v="0"/>
  </r>
  <r>
    <x v="0"/>
    <x v="2"/>
    <x v="2"/>
    <x v="2"/>
    <x v="2"/>
    <x v="36"/>
    <n v="0"/>
    <x v="36"/>
    <x v="0"/>
  </r>
  <r>
    <x v="0"/>
    <x v="2"/>
    <x v="2"/>
    <x v="2"/>
    <x v="2"/>
    <x v="37"/>
    <n v="0"/>
    <x v="37"/>
    <x v="0"/>
  </r>
  <r>
    <x v="0"/>
    <x v="2"/>
    <x v="2"/>
    <x v="3"/>
    <x v="0"/>
    <x v="0"/>
    <n v="0"/>
    <x v="0"/>
    <x v="0"/>
  </r>
  <r>
    <x v="0"/>
    <x v="2"/>
    <x v="2"/>
    <x v="3"/>
    <x v="0"/>
    <x v="1"/>
    <n v="0"/>
    <x v="1"/>
    <x v="0"/>
  </r>
  <r>
    <x v="0"/>
    <x v="2"/>
    <x v="2"/>
    <x v="3"/>
    <x v="0"/>
    <x v="2"/>
    <n v="0"/>
    <x v="2"/>
    <x v="0"/>
  </r>
  <r>
    <x v="0"/>
    <x v="2"/>
    <x v="2"/>
    <x v="3"/>
    <x v="0"/>
    <x v="3"/>
    <n v="0"/>
    <x v="3"/>
    <x v="0"/>
  </r>
  <r>
    <x v="0"/>
    <x v="2"/>
    <x v="2"/>
    <x v="3"/>
    <x v="0"/>
    <x v="4"/>
    <n v="0"/>
    <x v="4"/>
    <x v="0"/>
  </r>
  <r>
    <x v="0"/>
    <x v="2"/>
    <x v="2"/>
    <x v="3"/>
    <x v="0"/>
    <x v="5"/>
    <n v="0"/>
    <x v="5"/>
    <x v="1"/>
  </r>
  <r>
    <x v="0"/>
    <x v="2"/>
    <x v="2"/>
    <x v="3"/>
    <x v="0"/>
    <x v="6"/>
    <n v="0"/>
    <x v="6"/>
    <x v="1"/>
  </r>
  <r>
    <x v="0"/>
    <x v="2"/>
    <x v="2"/>
    <x v="3"/>
    <x v="0"/>
    <x v="7"/>
    <n v="0"/>
    <x v="7"/>
    <x v="1"/>
  </r>
  <r>
    <x v="0"/>
    <x v="2"/>
    <x v="2"/>
    <x v="3"/>
    <x v="0"/>
    <x v="8"/>
    <n v="0"/>
    <x v="8"/>
    <x v="1"/>
  </r>
  <r>
    <x v="0"/>
    <x v="2"/>
    <x v="2"/>
    <x v="3"/>
    <x v="0"/>
    <x v="9"/>
    <n v="0"/>
    <x v="9"/>
    <x v="0"/>
  </r>
  <r>
    <x v="0"/>
    <x v="2"/>
    <x v="2"/>
    <x v="3"/>
    <x v="0"/>
    <x v="10"/>
    <n v="0"/>
    <x v="10"/>
    <x v="0"/>
  </r>
  <r>
    <x v="0"/>
    <x v="2"/>
    <x v="2"/>
    <x v="3"/>
    <x v="0"/>
    <x v="11"/>
    <n v="0"/>
    <x v="11"/>
    <x v="0"/>
  </r>
  <r>
    <x v="0"/>
    <x v="2"/>
    <x v="2"/>
    <x v="3"/>
    <x v="1"/>
    <x v="12"/>
    <n v="0"/>
    <x v="12"/>
    <x v="0"/>
  </r>
  <r>
    <x v="0"/>
    <x v="2"/>
    <x v="2"/>
    <x v="3"/>
    <x v="1"/>
    <x v="13"/>
    <n v="0"/>
    <x v="13"/>
    <x v="0"/>
  </r>
  <r>
    <x v="0"/>
    <x v="2"/>
    <x v="2"/>
    <x v="3"/>
    <x v="1"/>
    <x v="14"/>
    <n v="0"/>
    <x v="14"/>
    <x v="0"/>
  </r>
  <r>
    <x v="0"/>
    <x v="2"/>
    <x v="2"/>
    <x v="3"/>
    <x v="1"/>
    <x v="15"/>
    <n v="0"/>
    <x v="15"/>
    <x v="0"/>
  </r>
  <r>
    <x v="0"/>
    <x v="2"/>
    <x v="2"/>
    <x v="3"/>
    <x v="1"/>
    <x v="16"/>
    <n v="0"/>
    <x v="16"/>
    <x v="0"/>
  </r>
  <r>
    <x v="0"/>
    <x v="2"/>
    <x v="2"/>
    <x v="3"/>
    <x v="1"/>
    <x v="17"/>
    <n v="0"/>
    <x v="17"/>
    <x v="0"/>
  </r>
  <r>
    <x v="0"/>
    <x v="2"/>
    <x v="2"/>
    <x v="3"/>
    <x v="1"/>
    <x v="18"/>
    <n v="0"/>
    <x v="18"/>
    <x v="1"/>
  </r>
  <r>
    <x v="0"/>
    <x v="2"/>
    <x v="2"/>
    <x v="3"/>
    <x v="1"/>
    <x v="19"/>
    <n v="0"/>
    <x v="19"/>
    <x v="1"/>
  </r>
  <r>
    <x v="0"/>
    <x v="2"/>
    <x v="2"/>
    <x v="3"/>
    <x v="1"/>
    <x v="20"/>
    <n v="0"/>
    <x v="20"/>
    <x v="1"/>
  </r>
  <r>
    <x v="0"/>
    <x v="2"/>
    <x v="2"/>
    <x v="3"/>
    <x v="1"/>
    <x v="21"/>
    <n v="0"/>
    <x v="21"/>
    <x v="1"/>
  </r>
  <r>
    <x v="0"/>
    <x v="2"/>
    <x v="2"/>
    <x v="3"/>
    <x v="1"/>
    <x v="22"/>
    <n v="0"/>
    <x v="22"/>
    <x v="0"/>
  </r>
  <r>
    <x v="0"/>
    <x v="2"/>
    <x v="2"/>
    <x v="3"/>
    <x v="1"/>
    <x v="23"/>
    <n v="0"/>
    <x v="23"/>
    <x v="0"/>
  </r>
  <r>
    <x v="0"/>
    <x v="2"/>
    <x v="2"/>
    <x v="3"/>
    <x v="2"/>
    <x v="24"/>
    <n v="0"/>
    <x v="24"/>
    <x v="0"/>
  </r>
  <r>
    <x v="0"/>
    <x v="2"/>
    <x v="2"/>
    <x v="3"/>
    <x v="2"/>
    <x v="25"/>
    <n v="0"/>
    <x v="25"/>
    <x v="0"/>
  </r>
  <r>
    <x v="0"/>
    <x v="2"/>
    <x v="2"/>
    <x v="3"/>
    <x v="2"/>
    <x v="26"/>
    <n v="0"/>
    <x v="26"/>
    <x v="0"/>
  </r>
  <r>
    <x v="0"/>
    <x v="2"/>
    <x v="2"/>
    <x v="3"/>
    <x v="2"/>
    <x v="27"/>
    <n v="0"/>
    <x v="27"/>
    <x v="0"/>
  </r>
  <r>
    <x v="0"/>
    <x v="2"/>
    <x v="2"/>
    <x v="3"/>
    <x v="2"/>
    <x v="28"/>
    <n v="0"/>
    <x v="28"/>
    <x v="0"/>
  </r>
  <r>
    <x v="0"/>
    <x v="2"/>
    <x v="2"/>
    <x v="3"/>
    <x v="2"/>
    <x v="29"/>
    <n v="0"/>
    <x v="29"/>
    <x v="0"/>
  </r>
  <r>
    <x v="0"/>
    <x v="2"/>
    <x v="2"/>
    <x v="3"/>
    <x v="2"/>
    <x v="30"/>
    <n v="0"/>
    <x v="30"/>
    <x v="1"/>
  </r>
  <r>
    <x v="0"/>
    <x v="2"/>
    <x v="2"/>
    <x v="3"/>
    <x v="2"/>
    <x v="31"/>
    <n v="0"/>
    <x v="31"/>
    <x v="1"/>
  </r>
  <r>
    <x v="0"/>
    <x v="2"/>
    <x v="2"/>
    <x v="3"/>
    <x v="2"/>
    <x v="32"/>
    <n v="0"/>
    <x v="32"/>
    <x v="1"/>
  </r>
  <r>
    <x v="0"/>
    <x v="2"/>
    <x v="2"/>
    <x v="3"/>
    <x v="2"/>
    <x v="33"/>
    <n v="0"/>
    <x v="33"/>
    <x v="1"/>
  </r>
  <r>
    <x v="0"/>
    <x v="2"/>
    <x v="2"/>
    <x v="3"/>
    <x v="2"/>
    <x v="34"/>
    <n v="0"/>
    <x v="34"/>
    <x v="0"/>
  </r>
  <r>
    <x v="0"/>
    <x v="2"/>
    <x v="2"/>
    <x v="3"/>
    <x v="2"/>
    <x v="35"/>
    <n v="0"/>
    <x v="35"/>
    <x v="0"/>
  </r>
  <r>
    <x v="0"/>
    <x v="2"/>
    <x v="2"/>
    <x v="3"/>
    <x v="2"/>
    <x v="36"/>
    <n v="0"/>
    <x v="36"/>
    <x v="0"/>
  </r>
  <r>
    <x v="0"/>
    <x v="2"/>
    <x v="2"/>
    <x v="3"/>
    <x v="2"/>
    <x v="37"/>
    <n v="0"/>
    <x v="37"/>
    <x v="0"/>
  </r>
  <r>
    <x v="0"/>
    <x v="2"/>
    <x v="2"/>
    <x v="4"/>
    <x v="0"/>
    <x v="0"/>
    <n v="0"/>
    <x v="0"/>
    <x v="0"/>
  </r>
  <r>
    <x v="0"/>
    <x v="2"/>
    <x v="2"/>
    <x v="4"/>
    <x v="0"/>
    <x v="1"/>
    <n v="0"/>
    <x v="1"/>
    <x v="0"/>
  </r>
  <r>
    <x v="0"/>
    <x v="2"/>
    <x v="2"/>
    <x v="4"/>
    <x v="0"/>
    <x v="2"/>
    <n v="0"/>
    <x v="2"/>
    <x v="0"/>
  </r>
  <r>
    <x v="0"/>
    <x v="2"/>
    <x v="2"/>
    <x v="4"/>
    <x v="0"/>
    <x v="3"/>
    <n v="0"/>
    <x v="3"/>
    <x v="0"/>
  </r>
  <r>
    <x v="0"/>
    <x v="2"/>
    <x v="2"/>
    <x v="4"/>
    <x v="0"/>
    <x v="4"/>
    <n v="0"/>
    <x v="4"/>
    <x v="0"/>
  </r>
  <r>
    <x v="0"/>
    <x v="2"/>
    <x v="2"/>
    <x v="4"/>
    <x v="0"/>
    <x v="5"/>
    <n v="1"/>
    <x v="5"/>
    <x v="1"/>
  </r>
  <r>
    <x v="0"/>
    <x v="2"/>
    <x v="2"/>
    <x v="4"/>
    <x v="0"/>
    <x v="6"/>
    <n v="0"/>
    <x v="6"/>
    <x v="1"/>
  </r>
  <r>
    <x v="0"/>
    <x v="2"/>
    <x v="2"/>
    <x v="4"/>
    <x v="0"/>
    <x v="7"/>
    <n v="0"/>
    <x v="7"/>
    <x v="1"/>
  </r>
  <r>
    <x v="0"/>
    <x v="2"/>
    <x v="2"/>
    <x v="4"/>
    <x v="0"/>
    <x v="8"/>
    <n v="1"/>
    <x v="8"/>
    <x v="1"/>
  </r>
  <r>
    <x v="0"/>
    <x v="2"/>
    <x v="2"/>
    <x v="4"/>
    <x v="0"/>
    <x v="9"/>
    <n v="0"/>
    <x v="9"/>
    <x v="0"/>
  </r>
  <r>
    <x v="0"/>
    <x v="2"/>
    <x v="2"/>
    <x v="4"/>
    <x v="0"/>
    <x v="10"/>
    <n v="0"/>
    <x v="10"/>
    <x v="0"/>
  </r>
  <r>
    <x v="0"/>
    <x v="2"/>
    <x v="2"/>
    <x v="4"/>
    <x v="0"/>
    <x v="11"/>
    <n v="0"/>
    <x v="11"/>
    <x v="0"/>
  </r>
  <r>
    <x v="0"/>
    <x v="2"/>
    <x v="2"/>
    <x v="4"/>
    <x v="1"/>
    <x v="12"/>
    <n v="0"/>
    <x v="12"/>
    <x v="0"/>
  </r>
  <r>
    <x v="0"/>
    <x v="2"/>
    <x v="2"/>
    <x v="4"/>
    <x v="1"/>
    <x v="13"/>
    <n v="0"/>
    <x v="13"/>
    <x v="0"/>
  </r>
  <r>
    <x v="0"/>
    <x v="2"/>
    <x v="2"/>
    <x v="4"/>
    <x v="1"/>
    <x v="14"/>
    <n v="0"/>
    <x v="14"/>
    <x v="0"/>
  </r>
  <r>
    <x v="0"/>
    <x v="2"/>
    <x v="2"/>
    <x v="4"/>
    <x v="1"/>
    <x v="15"/>
    <n v="0"/>
    <x v="15"/>
    <x v="0"/>
  </r>
  <r>
    <x v="0"/>
    <x v="2"/>
    <x v="2"/>
    <x v="4"/>
    <x v="1"/>
    <x v="16"/>
    <n v="0"/>
    <x v="16"/>
    <x v="0"/>
  </r>
  <r>
    <x v="0"/>
    <x v="2"/>
    <x v="2"/>
    <x v="4"/>
    <x v="1"/>
    <x v="17"/>
    <n v="0"/>
    <x v="17"/>
    <x v="0"/>
  </r>
  <r>
    <x v="0"/>
    <x v="2"/>
    <x v="2"/>
    <x v="4"/>
    <x v="1"/>
    <x v="18"/>
    <n v="0"/>
    <x v="18"/>
    <x v="1"/>
  </r>
  <r>
    <x v="0"/>
    <x v="2"/>
    <x v="2"/>
    <x v="4"/>
    <x v="1"/>
    <x v="19"/>
    <n v="0"/>
    <x v="19"/>
    <x v="1"/>
  </r>
  <r>
    <x v="0"/>
    <x v="2"/>
    <x v="2"/>
    <x v="4"/>
    <x v="1"/>
    <x v="20"/>
    <n v="1"/>
    <x v="20"/>
    <x v="1"/>
  </r>
  <r>
    <x v="0"/>
    <x v="2"/>
    <x v="2"/>
    <x v="4"/>
    <x v="1"/>
    <x v="21"/>
    <n v="0"/>
    <x v="21"/>
    <x v="1"/>
  </r>
  <r>
    <x v="0"/>
    <x v="2"/>
    <x v="2"/>
    <x v="4"/>
    <x v="1"/>
    <x v="22"/>
    <n v="0"/>
    <x v="22"/>
    <x v="0"/>
  </r>
  <r>
    <x v="0"/>
    <x v="2"/>
    <x v="2"/>
    <x v="4"/>
    <x v="1"/>
    <x v="23"/>
    <n v="0"/>
    <x v="23"/>
    <x v="0"/>
  </r>
  <r>
    <x v="0"/>
    <x v="2"/>
    <x v="2"/>
    <x v="4"/>
    <x v="2"/>
    <x v="24"/>
    <n v="0"/>
    <x v="24"/>
    <x v="0"/>
  </r>
  <r>
    <x v="0"/>
    <x v="2"/>
    <x v="2"/>
    <x v="4"/>
    <x v="2"/>
    <x v="25"/>
    <n v="0"/>
    <x v="25"/>
    <x v="0"/>
  </r>
  <r>
    <x v="0"/>
    <x v="2"/>
    <x v="2"/>
    <x v="4"/>
    <x v="2"/>
    <x v="26"/>
    <n v="0"/>
    <x v="26"/>
    <x v="0"/>
  </r>
  <r>
    <x v="0"/>
    <x v="2"/>
    <x v="2"/>
    <x v="4"/>
    <x v="2"/>
    <x v="27"/>
    <n v="0"/>
    <x v="27"/>
    <x v="0"/>
  </r>
  <r>
    <x v="0"/>
    <x v="2"/>
    <x v="2"/>
    <x v="4"/>
    <x v="2"/>
    <x v="28"/>
    <n v="0"/>
    <x v="28"/>
    <x v="0"/>
  </r>
  <r>
    <x v="0"/>
    <x v="2"/>
    <x v="2"/>
    <x v="4"/>
    <x v="2"/>
    <x v="29"/>
    <n v="0"/>
    <x v="29"/>
    <x v="0"/>
  </r>
  <r>
    <x v="0"/>
    <x v="2"/>
    <x v="2"/>
    <x v="4"/>
    <x v="2"/>
    <x v="30"/>
    <n v="0"/>
    <x v="30"/>
    <x v="1"/>
  </r>
  <r>
    <x v="0"/>
    <x v="2"/>
    <x v="2"/>
    <x v="4"/>
    <x v="2"/>
    <x v="31"/>
    <n v="0"/>
    <x v="31"/>
    <x v="1"/>
  </r>
  <r>
    <x v="0"/>
    <x v="2"/>
    <x v="2"/>
    <x v="4"/>
    <x v="2"/>
    <x v="32"/>
    <n v="0"/>
    <x v="32"/>
    <x v="1"/>
  </r>
  <r>
    <x v="0"/>
    <x v="2"/>
    <x v="2"/>
    <x v="4"/>
    <x v="2"/>
    <x v="33"/>
    <n v="0"/>
    <x v="33"/>
    <x v="1"/>
  </r>
  <r>
    <x v="0"/>
    <x v="2"/>
    <x v="2"/>
    <x v="4"/>
    <x v="2"/>
    <x v="34"/>
    <n v="0"/>
    <x v="34"/>
    <x v="0"/>
  </r>
  <r>
    <x v="0"/>
    <x v="2"/>
    <x v="2"/>
    <x v="4"/>
    <x v="2"/>
    <x v="35"/>
    <n v="0"/>
    <x v="35"/>
    <x v="0"/>
  </r>
  <r>
    <x v="0"/>
    <x v="2"/>
    <x v="2"/>
    <x v="4"/>
    <x v="2"/>
    <x v="36"/>
    <n v="0"/>
    <x v="36"/>
    <x v="0"/>
  </r>
  <r>
    <x v="0"/>
    <x v="2"/>
    <x v="2"/>
    <x v="4"/>
    <x v="2"/>
    <x v="37"/>
    <n v="0"/>
    <x v="37"/>
    <x v="0"/>
  </r>
  <r>
    <x v="1"/>
    <x v="3"/>
    <x v="1"/>
    <x v="0"/>
    <x v="0"/>
    <x v="0"/>
    <n v="8"/>
    <x v="0"/>
    <x v="0"/>
  </r>
  <r>
    <x v="1"/>
    <x v="3"/>
    <x v="1"/>
    <x v="0"/>
    <x v="0"/>
    <x v="1"/>
    <n v="7"/>
    <x v="1"/>
    <x v="0"/>
  </r>
  <r>
    <x v="1"/>
    <x v="3"/>
    <x v="1"/>
    <x v="0"/>
    <x v="0"/>
    <x v="2"/>
    <n v="14"/>
    <x v="2"/>
    <x v="0"/>
  </r>
  <r>
    <x v="1"/>
    <x v="3"/>
    <x v="1"/>
    <x v="0"/>
    <x v="0"/>
    <x v="3"/>
    <n v="10"/>
    <x v="3"/>
    <x v="0"/>
  </r>
  <r>
    <x v="1"/>
    <x v="3"/>
    <x v="1"/>
    <x v="0"/>
    <x v="0"/>
    <x v="4"/>
    <n v="10"/>
    <x v="4"/>
    <x v="0"/>
  </r>
  <r>
    <x v="1"/>
    <x v="3"/>
    <x v="1"/>
    <x v="0"/>
    <x v="0"/>
    <x v="5"/>
    <n v="11"/>
    <x v="5"/>
    <x v="1"/>
  </r>
  <r>
    <x v="1"/>
    <x v="3"/>
    <x v="1"/>
    <x v="0"/>
    <x v="0"/>
    <x v="6"/>
    <n v="10"/>
    <x v="6"/>
    <x v="1"/>
  </r>
  <r>
    <x v="1"/>
    <x v="3"/>
    <x v="1"/>
    <x v="0"/>
    <x v="0"/>
    <x v="7"/>
    <n v="6"/>
    <x v="7"/>
    <x v="1"/>
  </r>
  <r>
    <x v="1"/>
    <x v="3"/>
    <x v="1"/>
    <x v="0"/>
    <x v="0"/>
    <x v="8"/>
    <n v="11"/>
    <x v="8"/>
    <x v="1"/>
  </r>
  <r>
    <x v="1"/>
    <x v="3"/>
    <x v="1"/>
    <x v="0"/>
    <x v="0"/>
    <x v="9"/>
    <n v="10"/>
    <x v="9"/>
    <x v="0"/>
  </r>
  <r>
    <x v="1"/>
    <x v="3"/>
    <x v="1"/>
    <x v="0"/>
    <x v="0"/>
    <x v="10"/>
    <n v="6"/>
    <x v="10"/>
    <x v="0"/>
  </r>
  <r>
    <x v="1"/>
    <x v="3"/>
    <x v="1"/>
    <x v="0"/>
    <x v="0"/>
    <x v="11"/>
    <n v="10"/>
    <x v="11"/>
    <x v="0"/>
  </r>
  <r>
    <x v="1"/>
    <x v="3"/>
    <x v="1"/>
    <x v="0"/>
    <x v="1"/>
    <x v="12"/>
    <n v="14"/>
    <x v="12"/>
    <x v="0"/>
  </r>
  <r>
    <x v="1"/>
    <x v="3"/>
    <x v="1"/>
    <x v="0"/>
    <x v="1"/>
    <x v="13"/>
    <n v="11"/>
    <x v="13"/>
    <x v="0"/>
  </r>
  <r>
    <x v="1"/>
    <x v="3"/>
    <x v="1"/>
    <x v="0"/>
    <x v="1"/>
    <x v="14"/>
    <n v="15"/>
    <x v="14"/>
    <x v="0"/>
  </r>
  <r>
    <x v="1"/>
    <x v="3"/>
    <x v="1"/>
    <x v="0"/>
    <x v="1"/>
    <x v="15"/>
    <n v="16"/>
    <x v="15"/>
    <x v="0"/>
  </r>
  <r>
    <x v="1"/>
    <x v="3"/>
    <x v="1"/>
    <x v="0"/>
    <x v="1"/>
    <x v="16"/>
    <n v="10"/>
    <x v="16"/>
    <x v="0"/>
  </r>
  <r>
    <x v="1"/>
    <x v="3"/>
    <x v="1"/>
    <x v="0"/>
    <x v="1"/>
    <x v="17"/>
    <n v="11"/>
    <x v="17"/>
    <x v="0"/>
  </r>
  <r>
    <x v="1"/>
    <x v="3"/>
    <x v="1"/>
    <x v="0"/>
    <x v="1"/>
    <x v="18"/>
    <n v="11"/>
    <x v="18"/>
    <x v="1"/>
  </r>
  <r>
    <x v="1"/>
    <x v="3"/>
    <x v="1"/>
    <x v="0"/>
    <x v="1"/>
    <x v="19"/>
    <n v="12"/>
    <x v="19"/>
    <x v="1"/>
  </r>
  <r>
    <x v="1"/>
    <x v="3"/>
    <x v="1"/>
    <x v="0"/>
    <x v="1"/>
    <x v="20"/>
    <n v="16"/>
    <x v="20"/>
    <x v="1"/>
  </r>
  <r>
    <x v="1"/>
    <x v="3"/>
    <x v="1"/>
    <x v="0"/>
    <x v="1"/>
    <x v="21"/>
    <n v="16"/>
    <x v="21"/>
    <x v="1"/>
  </r>
  <r>
    <x v="1"/>
    <x v="3"/>
    <x v="1"/>
    <x v="0"/>
    <x v="1"/>
    <x v="22"/>
    <n v="11"/>
    <x v="22"/>
    <x v="0"/>
  </r>
  <r>
    <x v="1"/>
    <x v="3"/>
    <x v="1"/>
    <x v="0"/>
    <x v="1"/>
    <x v="23"/>
    <n v="6"/>
    <x v="23"/>
    <x v="0"/>
  </r>
  <r>
    <x v="1"/>
    <x v="3"/>
    <x v="1"/>
    <x v="0"/>
    <x v="2"/>
    <x v="24"/>
    <n v="22"/>
    <x v="24"/>
    <x v="0"/>
  </r>
  <r>
    <x v="1"/>
    <x v="3"/>
    <x v="1"/>
    <x v="0"/>
    <x v="2"/>
    <x v="25"/>
    <n v="18"/>
    <x v="25"/>
    <x v="0"/>
  </r>
  <r>
    <x v="1"/>
    <x v="3"/>
    <x v="1"/>
    <x v="0"/>
    <x v="2"/>
    <x v="26"/>
    <n v="16"/>
    <x v="26"/>
    <x v="0"/>
  </r>
  <r>
    <x v="1"/>
    <x v="3"/>
    <x v="1"/>
    <x v="0"/>
    <x v="2"/>
    <x v="27"/>
    <n v="9"/>
    <x v="27"/>
    <x v="0"/>
  </r>
  <r>
    <x v="1"/>
    <x v="3"/>
    <x v="1"/>
    <x v="0"/>
    <x v="2"/>
    <x v="28"/>
    <n v="13"/>
    <x v="28"/>
    <x v="0"/>
  </r>
  <r>
    <x v="1"/>
    <x v="3"/>
    <x v="1"/>
    <x v="0"/>
    <x v="2"/>
    <x v="29"/>
    <n v="12"/>
    <x v="29"/>
    <x v="0"/>
  </r>
  <r>
    <x v="1"/>
    <x v="3"/>
    <x v="1"/>
    <x v="0"/>
    <x v="2"/>
    <x v="30"/>
    <n v="11"/>
    <x v="30"/>
    <x v="1"/>
  </r>
  <r>
    <x v="1"/>
    <x v="3"/>
    <x v="1"/>
    <x v="0"/>
    <x v="2"/>
    <x v="31"/>
    <n v="11"/>
    <x v="31"/>
    <x v="1"/>
  </r>
  <r>
    <x v="1"/>
    <x v="3"/>
    <x v="1"/>
    <x v="0"/>
    <x v="2"/>
    <x v="32"/>
    <n v="8"/>
    <x v="32"/>
    <x v="1"/>
  </r>
  <r>
    <x v="1"/>
    <x v="3"/>
    <x v="1"/>
    <x v="0"/>
    <x v="2"/>
    <x v="33"/>
    <n v="13"/>
    <x v="33"/>
    <x v="1"/>
  </r>
  <r>
    <x v="1"/>
    <x v="3"/>
    <x v="1"/>
    <x v="0"/>
    <x v="2"/>
    <x v="34"/>
    <n v="15"/>
    <x v="34"/>
    <x v="0"/>
  </r>
  <r>
    <x v="1"/>
    <x v="3"/>
    <x v="1"/>
    <x v="0"/>
    <x v="2"/>
    <x v="35"/>
    <n v="11"/>
    <x v="35"/>
    <x v="0"/>
  </r>
  <r>
    <x v="1"/>
    <x v="3"/>
    <x v="1"/>
    <x v="0"/>
    <x v="2"/>
    <x v="36"/>
    <n v="5"/>
    <x v="36"/>
    <x v="0"/>
  </r>
  <r>
    <x v="1"/>
    <x v="3"/>
    <x v="1"/>
    <x v="0"/>
    <x v="2"/>
    <x v="37"/>
    <n v="7"/>
    <x v="37"/>
    <x v="0"/>
  </r>
  <r>
    <x v="1"/>
    <x v="3"/>
    <x v="1"/>
    <x v="1"/>
    <x v="0"/>
    <x v="0"/>
    <n v="0"/>
    <x v="0"/>
    <x v="0"/>
  </r>
  <r>
    <x v="1"/>
    <x v="3"/>
    <x v="1"/>
    <x v="1"/>
    <x v="0"/>
    <x v="1"/>
    <n v="0"/>
    <x v="1"/>
    <x v="0"/>
  </r>
  <r>
    <x v="1"/>
    <x v="3"/>
    <x v="1"/>
    <x v="1"/>
    <x v="0"/>
    <x v="2"/>
    <n v="0"/>
    <x v="2"/>
    <x v="0"/>
  </r>
  <r>
    <x v="1"/>
    <x v="3"/>
    <x v="1"/>
    <x v="1"/>
    <x v="0"/>
    <x v="3"/>
    <n v="0"/>
    <x v="3"/>
    <x v="0"/>
  </r>
  <r>
    <x v="1"/>
    <x v="3"/>
    <x v="1"/>
    <x v="1"/>
    <x v="0"/>
    <x v="4"/>
    <n v="0"/>
    <x v="4"/>
    <x v="0"/>
  </r>
  <r>
    <x v="1"/>
    <x v="3"/>
    <x v="1"/>
    <x v="1"/>
    <x v="0"/>
    <x v="5"/>
    <n v="0"/>
    <x v="5"/>
    <x v="1"/>
  </r>
  <r>
    <x v="1"/>
    <x v="3"/>
    <x v="1"/>
    <x v="1"/>
    <x v="0"/>
    <x v="6"/>
    <n v="0"/>
    <x v="6"/>
    <x v="1"/>
  </r>
  <r>
    <x v="1"/>
    <x v="3"/>
    <x v="1"/>
    <x v="1"/>
    <x v="0"/>
    <x v="7"/>
    <n v="0"/>
    <x v="7"/>
    <x v="1"/>
  </r>
  <r>
    <x v="1"/>
    <x v="3"/>
    <x v="1"/>
    <x v="1"/>
    <x v="0"/>
    <x v="8"/>
    <n v="0"/>
    <x v="8"/>
    <x v="1"/>
  </r>
  <r>
    <x v="1"/>
    <x v="3"/>
    <x v="1"/>
    <x v="1"/>
    <x v="0"/>
    <x v="9"/>
    <n v="0"/>
    <x v="9"/>
    <x v="0"/>
  </r>
  <r>
    <x v="1"/>
    <x v="3"/>
    <x v="1"/>
    <x v="1"/>
    <x v="0"/>
    <x v="10"/>
    <n v="0"/>
    <x v="10"/>
    <x v="0"/>
  </r>
  <r>
    <x v="1"/>
    <x v="3"/>
    <x v="1"/>
    <x v="1"/>
    <x v="0"/>
    <x v="11"/>
    <n v="0"/>
    <x v="11"/>
    <x v="0"/>
  </r>
  <r>
    <x v="1"/>
    <x v="3"/>
    <x v="1"/>
    <x v="1"/>
    <x v="1"/>
    <x v="12"/>
    <n v="0"/>
    <x v="12"/>
    <x v="0"/>
  </r>
  <r>
    <x v="1"/>
    <x v="3"/>
    <x v="1"/>
    <x v="1"/>
    <x v="1"/>
    <x v="13"/>
    <n v="0"/>
    <x v="13"/>
    <x v="0"/>
  </r>
  <r>
    <x v="1"/>
    <x v="3"/>
    <x v="1"/>
    <x v="1"/>
    <x v="1"/>
    <x v="14"/>
    <n v="0"/>
    <x v="14"/>
    <x v="0"/>
  </r>
  <r>
    <x v="1"/>
    <x v="3"/>
    <x v="1"/>
    <x v="1"/>
    <x v="1"/>
    <x v="15"/>
    <n v="0"/>
    <x v="15"/>
    <x v="0"/>
  </r>
  <r>
    <x v="1"/>
    <x v="3"/>
    <x v="1"/>
    <x v="1"/>
    <x v="1"/>
    <x v="16"/>
    <n v="0"/>
    <x v="16"/>
    <x v="0"/>
  </r>
  <r>
    <x v="1"/>
    <x v="3"/>
    <x v="1"/>
    <x v="1"/>
    <x v="1"/>
    <x v="17"/>
    <n v="0"/>
    <x v="17"/>
    <x v="0"/>
  </r>
  <r>
    <x v="1"/>
    <x v="3"/>
    <x v="1"/>
    <x v="1"/>
    <x v="1"/>
    <x v="18"/>
    <n v="0"/>
    <x v="18"/>
    <x v="1"/>
  </r>
  <r>
    <x v="1"/>
    <x v="3"/>
    <x v="1"/>
    <x v="1"/>
    <x v="1"/>
    <x v="19"/>
    <n v="1"/>
    <x v="19"/>
    <x v="1"/>
  </r>
  <r>
    <x v="1"/>
    <x v="3"/>
    <x v="1"/>
    <x v="1"/>
    <x v="1"/>
    <x v="20"/>
    <n v="6"/>
    <x v="20"/>
    <x v="1"/>
  </r>
  <r>
    <x v="1"/>
    <x v="3"/>
    <x v="1"/>
    <x v="1"/>
    <x v="1"/>
    <x v="21"/>
    <n v="1"/>
    <x v="21"/>
    <x v="1"/>
  </r>
  <r>
    <x v="1"/>
    <x v="3"/>
    <x v="1"/>
    <x v="1"/>
    <x v="1"/>
    <x v="22"/>
    <n v="1"/>
    <x v="22"/>
    <x v="0"/>
  </r>
  <r>
    <x v="1"/>
    <x v="3"/>
    <x v="1"/>
    <x v="1"/>
    <x v="1"/>
    <x v="23"/>
    <n v="0"/>
    <x v="23"/>
    <x v="0"/>
  </r>
  <r>
    <x v="1"/>
    <x v="3"/>
    <x v="1"/>
    <x v="1"/>
    <x v="2"/>
    <x v="24"/>
    <n v="0"/>
    <x v="24"/>
    <x v="0"/>
  </r>
  <r>
    <x v="1"/>
    <x v="3"/>
    <x v="1"/>
    <x v="1"/>
    <x v="2"/>
    <x v="25"/>
    <n v="0"/>
    <x v="25"/>
    <x v="0"/>
  </r>
  <r>
    <x v="1"/>
    <x v="3"/>
    <x v="1"/>
    <x v="1"/>
    <x v="2"/>
    <x v="26"/>
    <n v="0"/>
    <x v="26"/>
    <x v="0"/>
  </r>
  <r>
    <x v="1"/>
    <x v="3"/>
    <x v="1"/>
    <x v="1"/>
    <x v="2"/>
    <x v="27"/>
    <n v="0"/>
    <x v="27"/>
    <x v="0"/>
  </r>
  <r>
    <x v="1"/>
    <x v="3"/>
    <x v="1"/>
    <x v="1"/>
    <x v="2"/>
    <x v="28"/>
    <n v="0"/>
    <x v="28"/>
    <x v="0"/>
  </r>
  <r>
    <x v="1"/>
    <x v="3"/>
    <x v="1"/>
    <x v="1"/>
    <x v="2"/>
    <x v="29"/>
    <n v="0"/>
    <x v="29"/>
    <x v="0"/>
  </r>
  <r>
    <x v="1"/>
    <x v="3"/>
    <x v="1"/>
    <x v="1"/>
    <x v="2"/>
    <x v="30"/>
    <n v="0"/>
    <x v="30"/>
    <x v="1"/>
  </r>
  <r>
    <x v="1"/>
    <x v="3"/>
    <x v="1"/>
    <x v="1"/>
    <x v="2"/>
    <x v="31"/>
    <n v="1"/>
    <x v="31"/>
    <x v="1"/>
  </r>
  <r>
    <x v="1"/>
    <x v="3"/>
    <x v="1"/>
    <x v="1"/>
    <x v="2"/>
    <x v="32"/>
    <n v="1"/>
    <x v="32"/>
    <x v="1"/>
  </r>
  <r>
    <x v="1"/>
    <x v="3"/>
    <x v="1"/>
    <x v="1"/>
    <x v="2"/>
    <x v="33"/>
    <n v="0"/>
    <x v="33"/>
    <x v="1"/>
  </r>
  <r>
    <x v="1"/>
    <x v="3"/>
    <x v="1"/>
    <x v="1"/>
    <x v="2"/>
    <x v="34"/>
    <n v="0"/>
    <x v="34"/>
    <x v="0"/>
  </r>
  <r>
    <x v="1"/>
    <x v="3"/>
    <x v="1"/>
    <x v="1"/>
    <x v="2"/>
    <x v="35"/>
    <n v="0"/>
    <x v="35"/>
    <x v="0"/>
  </r>
  <r>
    <x v="1"/>
    <x v="3"/>
    <x v="1"/>
    <x v="1"/>
    <x v="2"/>
    <x v="36"/>
    <n v="0"/>
    <x v="36"/>
    <x v="0"/>
  </r>
  <r>
    <x v="1"/>
    <x v="3"/>
    <x v="1"/>
    <x v="1"/>
    <x v="2"/>
    <x v="37"/>
    <n v="0"/>
    <x v="37"/>
    <x v="0"/>
  </r>
  <r>
    <x v="1"/>
    <x v="3"/>
    <x v="1"/>
    <x v="2"/>
    <x v="0"/>
    <x v="0"/>
    <n v="1"/>
    <x v="0"/>
    <x v="0"/>
  </r>
  <r>
    <x v="1"/>
    <x v="3"/>
    <x v="1"/>
    <x v="2"/>
    <x v="0"/>
    <x v="1"/>
    <n v="0"/>
    <x v="1"/>
    <x v="0"/>
  </r>
  <r>
    <x v="1"/>
    <x v="3"/>
    <x v="1"/>
    <x v="2"/>
    <x v="0"/>
    <x v="2"/>
    <n v="0"/>
    <x v="2"/>
    <x v="0"/>
  </r>
  <r>
    <x v="1"/>
    <x v="3"/>
    <x v="1"/>
    <x v="2"/>
    <x v="0"/>
    <x v="3"/>
    <n v="0"/>
    <x v="3"/>
    <x v="0"/>
  </r>
  <r>
    <x v="1"/>
    <x v="3"/>
    <x v="1"/>
    <x v="2"/>
    <x v="0"/>
    <x v="4"/>
    <n v="0"/>
    <x v="4"/>
    <x v="0"/>
  </r>
  <r>
    <x v="1"/>
    <x v="3"/>
    <x v="1"/>
    <x v="2"/>
    <x v="0"/>
    <x v="5"/>
    <n v="0"/>
    <x v="5"/>
    <x v="1"/>
  </r>
  <r>
    <x v="1"/>
    <x v="3"/>
    <x v="1"/>
    <x v="2"/>
    <x v="0"/>
    <x v="6"/>
    <n v="0"/>
    <x v="6"/>
    <x v="1"/>
  </r>
  <r>
    <x v="1"/>
    <x v="3"/>
    <x v="1"/>
    <x v="2"/>
    <x v="0"/>
    <x v="7"/>
    <n v="0"/>
    <x v="7"/>
    <x v="1"/>
  </r>
  <r>
    <x v="1"/>
    <x v="3"/>
    <x v="1"/>
    <x v="2"/>
    <x v="0"/>
    <x v="8"/>
    <n v="1"/>
    <x v="8"/>
    <x v="1"/>
  </r>
  <r>
    <x v="1"/>
    <x v="3"/>
    <x v="1"/>
    <x v="2"/>
    <x v="0"/>
    <x v="9"/>
    <n v="0"/>
    <x v="9"/>
    <x v="0"/>
  </r>
  <r>
    <x v="1"/>
    <x v="3"/>
    <x v="1"/>
    <x v="2"/>
    <x v="0"/>
    <x v="10"/>
    <n v="0"/>
    <x v="10"/>
    <x v="0"/>
  </r>
  <r>
    <x v="1"/>
    <x v="3"/>
    <x v="1"/>
    <x v="2"/>
    <x v="0"/>
    <x v="11"/>
    <n v="0"/>
    <x v="11"/>
    <x v="0"/>
  </r>
  <r>
    <x v="1"/>
    <x v="3"/>
    <x v="1"/>
    <x v="2"/>
    <x v="1"/>
    <x v="12"/>
    <n v="0"/>
    <x v="12"/>
    <x v="0"/>
  </r>
  <r>
    <x v="1"/>
    <x v="3"/>
    <x v="1"/>
    <x v="2"/>
    <x v="1"/>
    <x v="13"/>
    <n v="0"/>
    <x v="13"/>
    <x v="0"/>
  </r>
  <r>
    <x v="1"/>
    <x v="3"/>
    <x v="1"/>
    <x v="2"/>
    <x v="1"/>
    <x v="14"/>
    <n v="0"/>
    <x v="14"/>
    <x v="0"/>
  </r>
  <r>
    <x v="1"/>
    <x v="3"/>
    <x v="1"/>
    <x v="2"/>
    <x v="1"/>
    <x v="15"/>
    <n v="0"/>
    <x v="15"/>
    <x v="0"/>
  </r>
  <r>
    <x v="1"/>
    <x v="3"/>
    <x v="1"/>
    <x v="2"/>
    <x v="1"/>
    <x v="16"/>
    <n v="1"/>
    <x v="16"/>
    <x v="0"/>
  </r>
  <r>
    <x v="1"/>
    <x v="3"/>
    <x v="1"/>
    <x v="2"/>
    <x v="1"/>
    <x v="17"/>
    <n v="0"/>
    <x v="17"/>
    <x v="0"/>
  </r>
  <r>
    <x v="1"/>
    <x v="3"/>
    <x v="1"/>
    <x v="2"/>
    <x v="1"/>
    <x v="18"/>
    <n v="0"/>
    <x v="18"/>
    <x v="1"/>
  </r>
  <r>
    <x v="1"/>
    <x v="3"/>
    <x v="1"/>
    <x v="2"/>
    <x v="1"/>
    <x v="19"/>
    <n v="0"/>
    <x v="19"/>
    <x v="1"/>
  </r>
  <r>
    <x v="1"/>
    <x v="3"/>
    <x v="1"/>
    <x v="2"/>
    <x v="1"/>
    <x v="20"/>
    <n v="0"/>
    <x v="20"/>
    <x v="1"/>
  </r>
  <r>
    <x v="1"/>
    <x v="3"/>
    <x v="1"/>
    <x v="2"/>
    <x v="1"/>
    <x v="21"/>
    <n v="0"/>
    <x v="21"/>
    <x v="1"/>
  </r>
  <r>
    <x v="1"/>
    <x v="3"/>
    <x v="1"/>
    <x v="2"/>
    <x v="1"/>
    <x v="22"/>
    <n v="0"/>
    <x v="22"/>
    <x v="0"/>
  </r>
  <r>
    <x v="1"/>
    <x v="3"/>
    <x v="1"/>
    <x v="2"/>
    <x v="1"/>
    <x v="23"/>
    <n v="0"/>
    <x v="23"/>
    <x v="0"/>
  </r>
  <r>
    <x v="1"/>
    <x v="3"/>
    <x v="1"/>
    <x v="2"/>
    <x v="2"/>
    <x v="24"/>
    <n v="1"/>
    <x v="24"/>
    <x v="0"/>
  </r>
  <r>
    <x v="1"/>
    <x v="3"/>
    <x v="1"/>
    <x v="2"/>
    <x v="2"/>
    <x v="25"/>
    <n v="2"/>
    <x v="25"/>
    <x v="0"/>
  </r>
  <r>
    <x v="1"/>
    <x v="3"/>
    <x v="1"/>
    <x v="2"/>
    <x v="2"/>
    <x v="26"/>
    <n v="0"/>
    <x v="26"/>
    <x v="0"/>
  </r>
  <r>
    <x v="1"/>
    <x v="3"/>
    <x v="1"/>
    <x v="2"/>
    <x v="2"/>
    <x v="27"/>
    <n v="0"/>
    <x v="27"/>
    <x v="0"/>
  </r>
  <r>
    <x v="1"/>
    <x v="3"/>
    <x v="1"/>
    <x v="2"/>
    <x v="2"/>
    <x v="28"/>
    <n v="0"/>
    <x v="28"/>
    <x v="0"/>
  </r>
  <r>
    <x v="1"/>
    <x v="3"/>
    <x v="1"/>
    <x v="2"/>
    <x v="2"/>
    <x v="29"/>
    <n v="0"/>
    <x v="29"/>
    <x v="0"/>
  </r>
  <r>
    <x v="1"/>
    <x v="3"/>
    <x v="1"/>
    <x v="2"/>
    <x v="2"/>
    <x v="30"/>
    <n v="0"/>
    <x v="30"/>
    <x v="1"/>
  </r>
  <r>
    <x v="1"/>
    <x v="3"/>
    <x v="1"/>
    <x v="2"/>
    <x v="2"/>
    <x v="31"/>
    <n v="0"/>
    <x v="31"/>
    <x v="1"/>
  </r>
  <r>
    <x v="1"/>
    <x v="3"/>
    <x v="1"/>
    <x v="2"/>
    <x v="2"/>
    <x v="32"/>
    <n v="1"/>
    <x v="32"/>
    <x v="1"/>
  </r>
  <r>
    <x v="1"/>
    <x v="3"/>
    <x v="1"/>
    <x v="2"/>
    <x v="2"/>
    <x v="33"/>
    <n v="0"/>
    <x v="33"/>
    <x v="1"/>
  </r>
  <r>
    <x v="1"/>
    <x v="3"/>
    <x v="1"/>
    <x v="2"/>
    <x v="2"/>
    <x v="34"/>
    <n v="0"/>
    <x v="34"/>
    <x v="0"/>
  </r>
  <r>
    <x v="1"/>
    <x v="3"/>
    <x v="1"/>
    <x v="2"/>
    <x v="2"/>
    <x v="35"/>
    <n v="1"/>
    <x v="35"/>
    <x v="0"/>
  </r>
  <r>
    <x v="1"/>
    <x v="3"/>
    <x v="1"/>
    <x v="2"/>
    <x v="2"/>
    <x v="36"/>
    <n v="1"/>
    <x v="36"/>
    <x v="0"/>
  </r>
  <r>
    <x v="1"/>
    <x v="3"/>
    <x v="1"/>
    <x v="2"/>
    <x v="2"/>
    <x v="37"/>
    <n v="0"/>
    <x v="37"/>
    <x v="0"/>
  </r>
  <r>
    <x v="1"/>
    <x v="3"/>
    <x v="1"/>
    <x v="3"/>
    <x v="0"/>
    <x v="0"/>
    <n v="0"/>
    <x v="0"/>
    <x v="0"/>
  </r>
  <r>
    <x v="1"/>
    <x v="3"/>
    <x v="1"/>
    <x v="3"/>
    <x v="0"/>
    <x v="1"/>
    <n v="0"/>
    <x v="1"/>
    <x v="0"/>
  </r>
  <r>
    <x v="1"/>
    <x v="3"/>
    <x v="1"/>
    <x v="3"/>
    <x v="0"/>
    <x v="2"/>
    <n v="0"/>
    <x v="2"/>
    <x v="0"/>
  </r>
  <r>
    <x v="1"/>
    <x v="3"/>
    <x v="1"/>
    <x v="3"/>
    <x v="0"/>
    <x v="3"/>
    <n v="0"/>
    <x v="3"/>
    <x v="0"/>
  </r>
  <r>
    <x v="1"/>
    <x v="3"/>
    <x v="1"/>
    <x v="3"/>
    <x v="0"/>
    <x v="4"/>
    <n v="0"/>
    <x v="4"/>
    <x v="0"/>
  </r>
  <r>
    <x v="1"/>
    <x v="3"/>
    <x v="1"/>
    <x v="3"/>
    <x v="0"/>
    <x v="5"/>
    <n v="0"/>
    <x v="5"/>
    <x v="1"/>
  </r>
  <r>
    <x v="1"/>
    <x v="3"/>
    <x v="1"/>
    <x v="3"/>
    <x v="0"/>
    <x v="6"/>
    <n v="0"/>
    <x v="6"/>
    <x v="1"/>
  </r>
  <r>
    <x v="1"/>
    <x v="3"/>
    <x v="1"/>
    <x v="3"/>
    <x v="0"/>
    <x v="7"/>
    <n v="0"/>
    <x v="7"/>
    <x v="1"/>
  </r>
  <r>
    <x v="1"/>
    <x v="3"/>
    <x v="1"/>
    <x v="3"/>
    <x v="0"/>
    <x v="8"/>
    <n v="0"/>
    <x v="8"/>
    <x v="1"/>
  </r>
  <r>
    <x v="1"/>
    <x v="3"/>
    <x v="1"/>
    <x v="3"/>
    <x v="0"/>
    <x v="9"/>
    <n v="0"/>
    <x v="9"/>
    <x v="0"/>
  </r>
  <r>
    <x v="1"/>
    <x v="3"/>
    <x v="1"/>
    <x v="3"/>
    <x v="0"/>
    <x v="10"/>
    <n v="0"/>
    <x v="10"/>
    <x v="0"/>
  </r>
  <r>
    <x v="1"/>
    <x v="3"/>
    <x v="1"/>
    <x v="3"/>
    <x v="0"/>
    <x v="11"/>
    <n v="0"/>
    <x v="11"/>
    <x v="0"/>
  </r>
  <r>
    <x v="1"/>
    <x v="3"/>
    <x v="1"/>
    <x v="3"/>
    <x v="1"/>
    <x v="12"/>
    <n v="0"/>
    <x v="12"/>
    <x v="0"/>
  </r>
  <r>
    <x v="1"/>
    <x v="3"/>
    <x v="1"/>
    <x v="3"/>
    <x v="1"/>
    <x v="13"/>
    <n v="0"/>
    <x v="13"/>
    <x v="0"/>
  </r>
  <r>
    <x v="1"/>
    <x v="3"/>
    <x v="1"/>
    <x v="3"/>
    <x v="1"/>
    <x v="14"/>
    <n v="0"/>
    <x v="14"/>
    <x v="0"/>
  </r>
  <r>
    <x v="1"/>
    <x v="3"/>
    <x v="1"/>
    <x v="3"/>
    <x v="1"/>
    <x v="15"/>
    <n v="0"/>
    <x v="15"/>
    <x v="0"/>
  </r>
  <r>
    <x v="1"/>
    <x v="3"/>
    <x v="1"/>
    <x v="3"/>
    <x v="1"/>
    <x v="16"/>
    <n v="0"/>
    <x v="16"/>
    <x v="0"/>
  </r>
  <r>
    <x v="1"/>
    <x v="3"/>
    <x v="1"/>
    <x v="3"/>
    <x v="1"/>
    <x v="17"/>
    <n v="0"/>
    <x v="17"/>
    <x v="0"/>
  </r>
  <r>
    <x v="1"/>
    <x v="3"/>
    <x v="1"/>
    <x v="3"/>
    <x v="1"/>
    <x v="18"/>
    <n v="0"/>
    <x v="18"/>
    <x v="1"/>
  </r>
  <r>
    <x v="1"/>
    <x v="3"/>
    <x v="1"/>
    <x v="3"/>
    <x v="1"/>
    <x v="19"/>
    <n v="0"/>
    <x v="19"/>
    <x v="1"/>
  </r>
  <r>
    <x v="1"/>
    <x v="3"/>
    <x v="1"/>
    <x v="3"/>
    <x v="1"/>
    <x v="20"/>
    <n v="0"/>
    <x v="20"/>
    <x v="1"/>
  </r>
  <r>
    <x v="1"/>
    <x v="3"/>
    <x v="1"/>
    <x v="3"/>
    <x v="1"/>
    <x v="21"/>
    <n v="0"/>
    <x v="21"/>
    <x v="1"/>
  </r>
  <r>
    <x v="1"/>
    <x v="3"/>
    <x v="1"/>
    <x v="3"/>
    <x v="1"/>
    <x v="22"/>
    <n v="0"/>
    <x v="22"/>
    <x v="0"/>
  </r>
  <r>
    <x v="1"/>
    <x v="3"/>
    <x v="1"/>
    <x v="3"/>
    <x v="1"/>
    <x v="23"/>
    <n v="0"/>
    <x v="23"/>
    <x v="0"/>
  </r>
  <r>
    <x v="1"/>
    <x v="3"/>
    <x v="1"/>
    <x v="3"/>
    <x v="2"/>
    <x v="24"/>
    <n v="0"/>
    <x v="24"/>
    <x v="0"/>
  </r>
  <r>
    <x v="1"/>
    <x v="3"/>
    <x v="1"/>
    <x v="3"/>
    <x v="2"/>
    <x v="25"/>
    <n v="0"/>
    <x v="25"/>
    <x v="0"/>
  </r>
  <r>
    <x v="1"/>
    <x v="3"/>
    <x v="1"/>
    <x v="3"/>
    <x v="2"/>
    <x v="26"/>
    <n v="0"/>
    <x v="26"/>
    <x v="0"/>
  </r>
  <r>
    <x v="1"/>
    <x v="3"/>
    <x v="1"/>
    <x v="3"/>
    <x v="2"/>
    <x v="27"/>
    <n v="0"/>
    <x v="27"/>
    <x v="0"/>
  </r>
  <r>
    <x v="1"/>
    <x v="3"/>
    <x v="1"/>
    <x v="3"/>
    <x v="2"/>
    <x v="28"/>
    <n v="0"/>
    <x v="28"/>
    <x v="0"/>
  </r>
  <r>
    <x v="1"/>
    <x v="3"/>
    <x v="1"/>
    <x v="3"/>
    <x v="2"/>
    <x v="29"/>
    <n v="0"/>
    <x v="29"/>
    <x v="0"/>
  </r>
  <r>
    <x v="1"/>
    <x v="3"/>
    <x v="1"/>
    <x v="3"/>
    <x v="2"/>
    <x v="30"/>
    <n v="0"/>
    <x v="30"/>
    <x v="1"/>
  </r>
  <r>
    <x v="1"/>
    <x v="3"/>
    <x v="1"/>
    <x v="3"/>
    <x v="2"/>
    <x v="31"/>
    <n v="0"/>
    <x v="31"/>
    <x v="1"/>
  </r>
  <r>
    <x v="1"/>
    <x v="3"/>
    <x v="1"/>
    <x v="3"/>
    <x v="2"/>
    <x v="32"/>
    <n v="0"/>
    <x v="32"/>
    <x v="1"/>
  </r>
  <r>
    <x v="1"/>
    <x v="3"/>
    <x v="1"/>
    <x v="3"/>
    <x v="2"/>
    <x v="33"/>
    <n v="0"/>
    <x v="33"/>
    <x v="1"/>
  </r>
  <r>
    <x v="1"/>
    <x v="3"/>
    <x v="1"/>
    <x v="3"/>
    <x v="2"/>
    <x v="34"/>
    <n v="0"/>
    <x v="34"/>
    <x v="0"/>
  </r>
  <r>
    <x v="1"/>
    <x v="3"/>
    <x v="1"/>
    <x v="3"/>
    <x v="2"/>
    <x v="35"/>
    <n v="0"/>
    <x v="35"/>
    <x v="0"/>
  </r>
  <r>
    <x v="1"/>
    <x v="3"/>
    <x v="1"/>
    <x v="3"/>
    <x v="2"/>
    <x v="36"/>
    <n v="0"/>
    <x v="36"/>
    <x v="0"/>
  </r>
  <r>
    <x v="1"/>
    <x v="3"/>
    <x v="1"/>
    <x v="3"/>
    <x v="2"/>
    <x v="37"/>
    <n v="0"/>
    <x v="37"/>
    <x v="0"/>
  </r>
  <r>
    <x v="1"/>
    <x v="3"/>
    <x v="1"/>
    <x v="4"/>
    <x v="0"/>
    <x v="0"/>
    <n v="0"/>
    <x v="0"/>
    <x v="0"/>
  </r>
  <r>
    <x v="1"/>
    <x v="3"/>
    <x v="1"/>
    <x v="4"/>
    <x v="0"/>
    <x v="1"/>
    <n v="0"/>
    <x v="1"/>
    <x v="0"/>
  </r>
  <r>
    <x v="1"/>
    <x v="3"/>
    <x v="1"/>
    <x v="4"/>
    <x v="0"/>
    <x v="2"/>
    <n v="0"/>
    <x v="2"/>
    <x v="0"/>
  </r>
  <r>
    <x v="1"/>
    <x v="3"/>
    <x v="1"/>
    <x v="4"/>
    <x v="0"/>
    <x v="3"/>
    <n v="0"/>
    <x v="3"/>
    <x v="0"/>
  </r>
  <r>
    <x v="1"/>
    <x v="3"/>
    <x v="1"/>
    <x v="4"/>
    <x v="0"/>
    <x v="4"/>
    <n v="0"/>
    <x v="4"/>
    <x v="0"/>
  </r>
  <r>
    <x v="1"/>
    <x v="3"/>
    <x v="1"/>
    <x v="4"/>
    <x v="0"/>
    <x v="5"/>
    <n v="0"/>
    <x v="5"/>
    <x v="1"/>
  </r>
  <r>
    <x v="1"/>
    <x v="3"/>
    <x v="1"/>
    <x v="4"/>
    <x v="0"/>
    <x v="6"/>
    <n v="0"/>
    <x v="6"/>
    <x v="1"/>
  </r>
  <r>
    <x v="1"/>
    <x v="3"/>
    <x v="1"/>
    <x v="4"/>
    <x v="0"/>
    <x v="7"/>
    <n v="0"/>
    <x v="7"/>
    <x v="1"/>
  </r>
  <r>
    <x v="1"/>
    <x v="3"/>
    <x v="1"/>
    <x v="4"/>
    <x v="0"/>
    <x v="8"/>
    <n v="0"/>
    <x v="8"/>
    <x v="1"/>
  </r>
  <r>
    <x v="1"/>
    <x v="3"/>
    <x v="1"/>
    <x v="4"/>
    <x v="0"/>
    <x v="9"/>
    <n v="0"/>
    <x v="9"/>
    <x v="0"/>
  </r>
  <r>
    <x v="1"/>
    <x v="3"/>
    <x v="1"/>
    <x v="4"/>
    <x v="0"/>
    <x v="10"/>
    <n v="0"/>
    <x v="10"/>
    <x v="0"/>
  </r>
  <r>
    <x v="1"/>
    <x v="3"/>
    <x v="1"/>
    <x v="4"/>
    <x v="0"/>
    <x v="11"/>
    <n v="0"/>
    <x v="11"/>
    <x v="0"/>
  </r>
  <r>
    <x v="1"/>
    <x v="3"/>
    <x v="1"/>
    <x v="4"/>
    <x v="1"/>
    <x v="12"/>
    <n v="1"/>
    <x v="12"/>
    <x v="0"/>
  </r>
  <r>
    <x v="1"/>
    <x v="3"/>
    <x v="1"/>
    <x v="4"/>
    <x v="1"/>
    <x v="13"/>
    <n v="0"/>
    <x v="13"/>
    <x v="0"/>
  </r>
  <r>
    <x v="1"/>
    <x v="3"/>
    <x v="1"/>
    <x v="4"/>
    <x v="1"/>
    <x v="14"/>
    <n v="0"/>
    <x v="14"/>
    <x v="0"/>
  </r>
  <r>
    <x v="1"/>
    <x v="3"/>
    <x v="1"/>
    <x v="4"/>
    <x v="1"/>
    <x v="15"/>
    <n v="0"/>
    <x v="15"/>
    <x v="0"/>
  </r>
  <r>
    <x v="1"/>
    <x v="3"/>
    <x v="1"/>
    <x v="4"/>
    <x v="1"/>
    <x v="16"/>
    <n v="0"/>
    <x v="16"/>
    <x v="0"/>
  </r>
  <r>
    <x v="1"/>
    <x v="3"/>
    <x v="1"/>
    <x v="4"/>
    <x v="1"/>
    <x v="17"/>
    <n v="0"/>
    <x v="17"/>
    <x v="0"/>
  </r>
  <r>
    <x v="1"/>
    <x v="3"/>
    <x v="1"/>
    <x v="4"/>
    <x v="1"/>
    <x v="18"/>
    <n v="0"/>
    <x v="18"/>
    <x v="1"/>
  </r>
  <r>
    <x v="1"/>
    <x v="3"/>
    <x v="1"/>
    <x v="4"/>
    <x v="1"/>
    <x v="19"/>
    <n v="0"/>
    <x v="19"/>
    <x v="1"/>
  </r>
  <r>
    <x v="1"/>
    <x v="3"/>
    <x v="1"/>
    <x v="4"/>
    <x v="1"/>
    <x v="20"/>
    <n v="0"/>
    <x v="20"/>
    <x v="1"/>
  </r>
  <r>
    <x v="1"/>
    <x v="3"/>
    <x v="1"/>
    <x v="4"/>
    <x v="1"/>
    <x v="21"/>
    <n v="0"/>
    <x v="21"/>
    <x v="1"/>
  </r>
  <r>
    <x v="1"/>
    <x v="3"/>
    <x v="1"/>
    <x v="4"/>
    <x v="1"/>
    <x v="22"/>
    <n v="0"/>
    <x v="22"/>
    <x v="0"/>
  </r>
  <r>
    <x v="1"/>
    <x v="3"/>
    <x v="1"/>
    <x v="4"/>
    <x v="1"/>
    <x v="23"/>
    <n v="0"/>
    <x v="23"/>
    <x v="0"/>
  </r>
  <r>
    <x v="1"/>
    <x v="3"/>
    <x v="1"/>
    <x v="4"/>
    <x v="2"/>
    <x v="24"/>
    <n v="0"/>
    <x v="24"/>
    <x v="0"/>
  </r>
  <r>
    <x v="1"/>
    <x v="3"/>
    <x v="1"/>
    <x v="4"/>
    <x v="2"/>
    <x v="25"/>
    <n v="0"/>
    <x v="25"/>
    <x v="0"/>
  </r>
  <r>
    <x v="1"/>
    <x v="3"/>
    <x v="1"/>
    <x v="4"/>
    <x v="2"/>
    <x v="26"/>
    <n v="0"/>
    <x v="26"/>
    <x v="0"/>
  </r>
  <r>
    <x v="1"/>
    <x v="3"/>
    <x v="1"/>
    <x v="4"/>
    <x v="2"/>
    <x v="27"/>
    <n v="0"/>
    <x v="27"/>
    <x v="0"/>
  </r>
  <r>
    <x v="1"/>
    <x v="3"/>
    <x v="1"/>
    <x v="4"/>
    <x v="2"/>
    <x v="28"/>
    <n v="0"/>
    <x v="28"/>
    <x v="0"/>
  </r>
  <r>
    <x v="1"/>
    <x v="3"/>
    <x v="1"/>
    <x v="4"/>
    <x v="2"/>
    <x v="29"/>
    <n v="0"/>
    <x v="29"/>
    <x v="0"/>
  </r>
  <r>
    <x v="1"/>
    <x v="3"/>
    <x v="1"/>
    <x v="4"/>
    <x v="2"/>
    <x v="30"/>
    <n v="0"/>
    <x v="30"/>
    <x v="1"/>
  </r>
  <r>
    <x v="1"/>
    <x v="3"/>
    <x v="1"/>
    <x v="4"/>
    <x v="2"/>
    <x v="31"/>
    <n v="0"/>
    <x v="31"/>
    <x v="1"/>
  </r>
  <r>
    <x v="1"/>
    <x v="3"/>
    <x v="1"/>
    <x v="4"/>
    <x v="2"/>
    <x v="32"/>
    <n v="0"/>
    <x v="32"/>
    <x v="1"/>
  </r>
  <r>
    <x v="1"/>
    <x v="3"/>
    <x v="1"/>
    <x v="4"/>
    <x v="2"/>
    <x v="33"/>
    <n v="0"/>
    <x v="33"/>
    <x v="1"/>
  </r>
  <r>
    <x v="1"/>
    <x v="3"/>
    <x v="1"/>
    <x v="4"/>
    <x v="2"/>
    <x v="34"/>
    <n v="0"/>
    <x v="34"/>
    <x v="0"/>
  </r>
  <r>
    <x v="1"/>
    <x v="3"/>
    <x v="1"/>
    <x v="4"/>
    <x v="2"/>
    <x v="35"/>
    <n v="0"/>
    <x v="35"/>
    <x v="0"/>
  </r>
  <r>
    <x v="1"/>
    <x v="3"/>
    <x v="1"/>
    <x v="4"/>
    <x v="2"/>
    <x v="36"/>
    <n v="0"/>
    <x v="36"/>
    <x v="0"/>
  </r>
  <r>
    <x v="1"/>
    <x v="3"/>
    <x v="1"/>
    <x v="4"/>
    <x v="2"/>
    <x v="37"/>
    <n v="0"/>
    <x v="37"/>
    <x v="0"/>
  </r>
  <r>
    <x v="1"/>
    <x v="4"/>
    <x v="2"/>
    <x v="0"/>
    <x v="0"/>
    <x v="0"/>
    <n v="20"/>
    <x v="0"/>
    <x v="0"/>
  </r>
  <r>
    <x v="1"/>
    <x v="4"/>
    <x v="2"/>
    <x v="0"/>
    <x v="0"/>
    <x v="1"/>
    <n v="16"/>
    <x v="1"/>
    <x v="0"/>
  </r>
  <r>
    <x v="1"/>
    <x v="4"/>
    <x v="2"/>
    <x v="0"/>
    <x v="0"/>
    <x v="2"/>
    <n v="19"/>
    <x v="2"/>
    <x v="0"/>
  </r>
  <r>
    <x v="1"/>
    <x v="4"/>
    <x v="2"/>
    <x v="0"/>
    <x v="0"/>
    <x v="3"/>
    <n v="24"/>
    <x v="3"/>
    <x v="0"/>
  </r>
  <r>
    <x v="1"/>
    <x v="4"/>
    <x v="2"/>
    <x v="0"/>
    <x v="0"/>
    <x v="4"/>
    <n v="28"/>
    <x v="4"/>
    <x v="0"/>
  </r>
  <r>
    <x v="1"/>
    <x v="4"/>
    <x v="2"/>
    <x v="0"/>
    <x v="0"/>
    <x v="5"/>
    <n v="45"/>
    <x v="5"/>
    <x v="1"/>
  </r>
  <r>
    <x v="1"/>
    <x v="4"/>
    <x v="2"/>
    <x v="0"/>
    <x v="0"/>
    <x v="6"/>
    <n v="28"/>
    <x v="6"/>
    <x v="1"/>
  </r>
  <r>
    <x v="1"/>
    <x v="4"/>
    <x v="2"/>
    <x v="0"/>
    <x v="0"/>
    <x v="7"/>
    <n v="44"/>
    <x v="7"/>
    <x v="1"/>
  </r>
  <r>
    <x v="1"/>
    <x v="4"/>
    <x v="2"/>
    <x v="0"/>
    <x v="0"/>
    <x v="8"/>
    <n v="39"/>
    <x v="8"/>
    <x v="1"/>
  </r>
  <r>
    <x v="1"/>
    <x v="4"/>
    <x v="2"/>
    <x v="0"/>
    <x v="0"/>
    <x v="9"/>
    <n v="38"/>
    <x v="9"/>
    <x v="0"/>
  </r>
  <r>
    <x v="1"/>
    <x v="4"/>
    <x v="2"/>
    <x v="0"/>
    <x v="0"/>
    <x v="10"/>
    <n v="32"/>
    <x v="10"/>
    <x v="0"/>
  </r>
  <r>
    <x v="1"/>
    <x v="4"/>
    <x v="2"/>
    <x v="0"/>
    <x v="0"/>
    <x v="11"/>
    <n v="29"/>
    <x v="11"/>
    <x v="0"/>
  </r>
  <r>
    <x v="1"/>
    <x v="4"/>
    <x v="2"/>
    <x v="0"/>
    <x v="1"/>
    <x v="12"/>
    <n v="42"/>
    <x v="12"/>
    <x v="0"/>
  </r>
  <r>
    <x v="1"/>
    <x v="4"/>
    <x v="2"/>
    <x v="0"/>
    <x v="1"/>
    <x v="13"/>
    <n v="33"/>
    <x v="13"/>
    <x v="0"/>
  </r>
  <r>
    <x v="1"/>
    <x v="4"/>
    <x v="2"/>
    <x v="0"/>
    <x v="1"/>
    <x v="14"/>
    <n v="38"/>
    <x v="14"/>
    <x v="0"/>
  </r>
  <r>
    <x v="1"/>
    <x v="4"/>
    <x v="2"/>
    <x v="0"/>
    <x v="1"/>
    <x v="15"/>
    <n v="40"/>
    <x v="15"/>
    <x v="0"/>
  </r>
  <r>
    <x v="1"/>
    <x v="4"/>
    <x v="2"/>
    <x v="0"/>
    <x v="1"/>
    <x v="16"/>
    <n v="42"/>
    <x v="16"/>
    <x v="0"/>
  </r>
  <r>
    <x v="1"/>
    <x v="4"/>
    <x v="2"/>
    <x v="0"/>
    <x v="1"/>
    <x v="17"/>
    <n v="52"/>
    <x v="17"/>
    <x v="0"/>
  </r>
  <r>
    <x v="1"/>
    <x v="4"/>
    <x v="2"/>
    <x v="0"/>
    <x v="1"/>
    <x v="18"/>
    <n v="58"/>
    <x v="18"/>
    <x v="1"/>
  </r>
  <r>
    <x v="1"/>
    <x v="4"/>
    <x v="2"/>
    <x v="0"/>
    <x v="1"/>
    <x v="19"/>
    <n v="44"/>
    <x v="19"/>
    <x v="1"/>
  </r>
  <r>
    <x v="1"/>
    <x v="4"/>
    <x v="2"/>
    <x v="0"/>
    <x v="1"/>
    <x v="20"/>
    <n v="40"/>
    <x v="20"/>
    <x v="1"/>
  </r>
  <r>
    <x v="1"/>
    <x v="4"/>
    <x v="2"/>
    <x v="0"/>
    <x v="1"/>
    <x v="21"/>
    <n v="54"/>
    <x v="21"/>
    <x v="1"/>
  </r>
  <r>
    <x v="1"/>
    <x v="4"/>
    <x v="2"/>
    <x v="0"/>
    <x v="1"/>
    <x v="22"/>
    <n v="43"/>
    <x v="22"/>
    <x v="0"/>
  </r>
  <r>
    <x v="1"/>
    <x v="4"/>
    <x v="2"/>
    <x v="0"/>
    <x v="1"/>
    <x v="23"/>
    <n v="39"/>
    <x v="23"/>
    <x v="0"/>
  </r>
  <r>
    <x v="1"/>
    <x v="4"/>
    <x v="2"/>
    <x v="0"/>
    <x v="2"/>
    <x v="24"/>
    <n v="57"/>
    <x v="24"/>
    <x v="0"/>
  </r>
  <r>
    <x v="1"/>
    <x v="4"/>
    <x v="2"/>
    <x v="0"/>
    <x v="2"/>
    <x v="25"/>
    <n v="64"/>
    <x v="25"/>
    <x v="0"/>
  </r>
  <r>
    <x v="1"/>
    <x v="4"/>
    <x v="2"/>
    <x v="0"/>
    <x v="2"/>
    <x v="26"/>
    <n v="53"/>
    <x v="26"/>
    <x v="0"/>
  </r>
  <r>
    <x v="1"/>
    <x v="4"/>
    <x v="2"/>
    <x v="0"/>
    <x v="2"/>
    <x v="27"/>
    <n v="51"/>
    <x v="27"/>
    <x v="0"/>
  </r>
  <r>
    <x v="1"/>
    <x v="4"/>
    <x v="2"/>
    <x v="0"/>
    <x v="2"/>
    <x v="28"/>
    <n v="50"/>
    <x v="28"/>
    <x v="0"/>
  </r>
  <r>
    <x v="1"/>
    <x v="4"/>
    <x v="2"/>
    <x v="0"/>
    <x v="2"/>
    <x v="29"/>
    <n v="61"/>
    <x v="29"/>
    <x v="0"/>
  </r>
  <r>
    <x v="1"/>
    <x v="4"/>
    <x v="2"/>
    <x v="0"/>
    <x v="2"/>
    <x v="30"/>
    <n v="83"/>
    <x v="30"/>
    <x v="1"/>
  </r>
  <r>
    <x v="1"/>
    <x v="4"/>
    <x v="2"/>
    <x v="0"/>
    <x v="2"/>
    <x v="31"/>
    <n v="72"/>
    <x v="31"/>
    <x v="1"/>
  </r>
  <r>
    <x v="1"/>
    <x v="4"/>
    <x v="2"/>
    <x v="0"/>
    <x v="2"/>
    <x v="32"/>
    <n v="74"/>
    <x v="32"/>
    <x v="1"/>
  </r>
  <r>
    <x v="1"/>
    <x v="4"/>
    <x v="2"/>
    <x v="0"/>
    <x v="2"/>
    <x v="33"/>
    <n v="90"/>
    <x v="33"/>
    <x v="1"/>
  </r>
  <r>
    <x v="1"/>
    <x v="4"/>
    <x v="2"/>
    <x v="0"/>
    <x v="2"/>
    <x v="34"/>
    <n v="66"/>
    <x v="34"/>
    <x v="0"/>
  </r>
  <r>
    <x v="1"/>
    <x v="4"/>
    <x v="2"/>
    <x v="0"/>
    <x v="2"/>
    <x v="35"/>
    <n v="39"/>
    <x v="35"/>
    <x v="0"/>
  </r>
  <r>
    <x v="1"/>
    <x v="4"/>
    <x v="2"/>
    <x v="0"/>
    <x v="2"/>
    <x v="36"/>
    <n v="32"/>
    <x v="36"/>
    <x v="0"/>
  </r>
  <r>
    <x v="1"/>
    <x v="4"/>
    <x v="2"/>
    <x v="0"/>
    <x v="2"/>
    <x v="37"/>
    <n v="41"/>
    <x v="37"/>
    <x v="0"/>
  </r>
  <r>
    <x v="1"/>
    <x v="4"/>
    <x v="2"/>
    <x v="1"/>
    <x v="0"/>
    <x v="0"/>
    <n v="2"/>
    <x v="0"/>
    <x v="0"/>
  </r>
  <r>
    <x v="1"/>
    <x v="4"/>
    <x v="2"/>
    <x v="1"/>
    <x v="0"/>
    <x v="1"/>
    <n v="3"/>
    <x v="1"/>
    <x v="0"/>
  </r>
  <r>
    <x v="1"/>
    <x v="4"/>
    <x v="2"/>
    <x v="1"/>
    <x v="0"/>
    <x v="2"/>
    <n v="3"/>
    <x v="2"/>
    <x v="0"/>
  </r>
  <r>
    <x v="1"/>
    <x v="4"/>
    <x v="2"/>
    <x v="1"/>
    <x v="0"/>
    <x v="3"/>
    <n v="3"/>
    <x v="3"/>
    <x v="0"/>
  </r>
  <r>
    <x v="1"/>
    <x v="4"/>
    <x v="2"/>
    <x v="1"/>
    <x v="0"/>
    <x v="4"/>
    <n v="4"/>
    <x v="4"/>
    <x v="0"/>
  </r>
  <r>
    <x v="1"/>
    <x v="4"/>
    <x v="2"/>
    <x v="1"/>
    <x v="0"/>
    <x v="5"/>
    <n v="4"/>
    <x v="5"/>
    <x v="1"/>
  </r>
  <r>
    <x v="1"/>
    <x v="4"/>
    <x v="2"/>
    <x v="1"/>
    <x v="0"/>
    <x v="6"/>
    <n v="3"/>
    <x v="6"/>
    <x v="1"/>
  </r>
  <r>
    <x v="1"/>
    <x v="4"/>
    <x v="2"/>
    <x v="1"/>
    <x v="0"/>
    <x v="7"/>
    <n v="5"/>
    <x v="7"/>
    <x v="1"/>
  </r>
  <r>
    <x v="1"/>
    <x v="4"/>
    <x v="2"/>
    <x v="1"/>
    <x v="0"/>
    <x v="8"/>
    <n v="4"/>
    <x v="8"/>
    <x v="1"/>
  </r>
  <r>
    <x v="1"/>
    <x v="4"/>
    <x v="2"/>
    <x v="1"/>
    <x v="0"/>
    <x v="9"/>
    <n v="2"/>
    <x v="9"/>
    <x v="0"/>
  </r>
  <r>
    <x v="1"/>
    <x v="4"/>
    <x v="2"/>
    <x v="1"/>
    <x v="0"/>
    <x v="10"/>
    <n v="5"/>
    <x v="10"/>
    <x v="0"/>
  </r>
  <r>
    <x v="1"/>
    <x v="4"/>
    <x v="2"/>
    <x v="1"/>
    <x v="0"/>
    <x v="11"/>
    <n v="1"/>
    <x v="11"/>
    <x v="0"/>
  </r>
  <r>
    <x v="1"/>
    <x v="4"/>
    <x v="2"/>
    <x v="1"/>
    <x v="1"/>
    <x v="12"/>
    <n v="3"/>
    <x v="12"/>
    <x v="0"/>
  </r>
  <r>
    <x v="1"/>
    <x v="4"/>
    <x v="2"/>
    <x v="1"/>
    <x v="1"/>
    <x v="13"/>
    <n v="2"/>
    <x v="13"/>
    <x v="0"/>
  </r>
  <r>
    <x v="1"/>
    <x v="4"/>
    <x v="2"/>
    <x v="1"/>
    <x v="1"/>
    <x v="14"/>
    <n v="3"/>
    <x v="14"/>
    <x v="0"/>
  </r>
  <r>
    <x v="1"/>
    <x v="4"/>
    <x v="2"/>
    <x v="1"/>
    <x v="1"/>
    <x v="15"/>
    <n v="4"/>
    <x v="15"/>
    <x v="0"/>
  </r>
  <r>
    <x v="1"/>
    <x v="4"/>
    <x v="2"/>
    <x v="1"/>
    <x v="1"/>
    <x v="16"/>
    <n v="4"/>
    <x v="16"/>
    <x v="0"/>
  </r>
  <r>
    <x v="1"/>
    <x v="4"/>
    <x v="2"/>
    <x v="1"/>
    <x v="1"/>
    <x v="17"/>
    <n v="1"/>
    <x v="17"/>
    <x v="0"/>
  </r>
  <r>
    <x v="1"/>
    <x v="4"/>
    <x v="2"/>
    <x v="1"/>
    <x v="1"/>
    <x v="18"/>
    <n v="3"/>
    <x v="18"/>
    <x v="1"/>
  </r>
  <r>
    <x v="1"/>
    <x v="4"/>
    <x v="2"/>
    <x v="1"/>
    <x v="1"/>
    <x v="19"/>
    <n v="4"/>
    <x v="19"/>
    <x v="1"/>
  </r>
  <r>
    <x v="1"/>
    <x v="4"/>
    <x v="2"/>
    <x v="1"/>
    <x v="1"/>
    <x v="20"/>
    <n v="3"/>
    <x v="20"/>
    <x v="1"/>
  </r>
  <r>
    <x v="1"/>
    <x v="4"/>
    <x v="2"/>
    <x v="1"/>
    <x v="1"/>
    <x v="21"/>
    <n v="2"/>
    <x v="21"/>
    <x v="1"/>
  </r>
  <r>
    <x v="1"/>
    <x v="4"/>
    <x v="2"/>
    <x v="1"/>
    <x v="1"/>
    <x v="22"/>
    <n v="5"/>
    <x v="22"/>
    <x v="0"/>
  </r>
  <r>
    <x v="1"/>
    <x v="4"/>
    <x v="2"/>
    <x v="1"/>
    <x v="1"/>
    <x v="23"/>
    <n v="1"/>
    <x v="23"/>
    <x v="0"/>
  </r>
  <r>
    <x v="1"/>
    <x v="4"/>
    <x v="2"/>
    <x v="1"/>
    <x v="2"/>
    <x v="24"/>
    <n v="3"/>
    <x v="24"/>
    <x v="0"/>
  </r>
  <r>
    <x v="1"/>
    <x v="4"/>
    <x v="2"/>
    <x v="1"/>
    <x v="2"/>
    <x v="25"/>
    <n v="5"/>
    <x v="25"/>
    <x v="0"/>
  </r>
  <r>
    <x v="1"/>
    <x v="4"/>
    <x v="2"/>
    <x v="1"/>
    <x v="2"/>
    <x v="26"/>
    <n v="2"/>
    <x v="26"/>
    <x v="0"/>
  </r>
  <r>
    <x v="1"/>
    <x v="4"/>
    <x v="2"/>
    <x v="1"/>
    <x v="2"/>
    <x v="27"/>
    <n v="5"/>
    <x v="27"/>
    <x v="0"/>
  </r>
  <r>
    <x v="1"/>
    <x v="4"/>
    <x v="2"/>
    <x v="1"/>
    <x v="2"/>
    <x v="28"/>
    <n v="5"/>
    <x v="28"/>
    <x v="0"/>
  </r>
  <r>
    <x v="1"/>
    <x v="4"/>
    <x v="2"/>
    <x v="1"/>
    <x v="2"/>
    <x v="29"/>
    <n v="2"/>
    <x v="29"/>
    <x v="0"/>
  </r>
  <r>
    <x v="1"/>
    <x v="4"/>
    <x v="2"/>
    <x v="1"/>
    <x v="2"/>
    <x v="30"/>
    <n v="4"/>
    <x v="30"/>
    <x v="1"/>
  </r>
  <r>
    <x v="1"/>
    <x v="4"/>
    <x v="2"/>
    <x v="1"/>
    <x v="2"/>
    <x v="31"/>
    <n v="6"/>
    <x v="31"/>
    <x v="1"/>
  </r>
  <r>
    <x v="1"/>
    <x v="4"/>
    <x v="2"/>
    <x v="1"/>
    <x v="2"/>
    <x v="32"/>
    <n v="3"/>
    <x v="32"/>
    <x v="1"/>
  </r>
  <r>
    <x v="1"/>
    <x v="4"/>
    <x v="2"/>
    <x v="1"/>
    <x v="2"/>
    <x v="33"/>
    <n v="5"/>
    <x v="33"/>
    <x v="1"/>
  </r>
  <r>
    <x v="1"/>
    <x v="4"/>
    <x v="2"/>
    <x v="1"/>
    <x v="2"/>
    <x v="34"/>
    <n v="2"/>
    <x v="34"/>
    <x v="0"/>
  </r>
  <r>
    <x v="1"/>
    <x v="4"/>
    <x v="2"/>
    <x v="1"/>
    <x v="2"/>
    <x v="35"/>
    <n v="4"/>
    <x v="35"/>
    <x v="0"/>
  </r>
  <r>
    <x v="1"/>
    <x v="4"/>
    <x v="2"/>
    <x v="1"/>
    <x v="2"/>
    <x v="36"/>
    <n v="3"/>
    <x v="36"/>
    <x v="0"/>
  </r>
  <r>
    <x v="1"/>
    <x v="4"/>
    <x v="2"/>
    <x v="1"/>
    <x v="2"/>
    <x v="37"/>
    <n v="5"/>
    <x v="37"/>
    <x v="0"/>
  </r>
  <r>
    <x v="1"/>
    <x v="4"/>
    <x v="2"/>
    <x v="2"/>
    <x v="0"/>
    <x v="0"/>
    <n v="0"/>
    <x v="0"/>
    <x v="0"/>
  </r>
  <r>
    <x v="1"/>
    <x v="4"/>
    <x v="2"/>
    <x v="2"/>
    <x v="0"/>
    <x v="1"/>
    <n v="0"/>
    <x v="1"/>
    <x v="0"/>
  </r>
  <r>
    <x v="1"/>
    <x v="4"/>
    <x v="2"/>
    <x v="2"/>
    <x v="0"/>
    <x v="2"/>
    <n v="0"/>
    <x v="2"/>
    <x v="0"/>
  </r>
  <r>
    <x v="1"/>
    <x v="4"/>
    <x v="2"/>
    <x v="2"/>
    <x v="0"/>
    <x v="3"/>
    <n v="2"/>
    <x v="3"/>
    <x v="0"/>
  </r>
  <r>
    <x v="1"/>
    <x v="4"/>
    <x v="2"/>
    <x v="2"/>
    <x v="0"/>
    <x v="4"/>
    <n v="0"/>
    <x v="4"/>
    <x v="0"/>
  </r>
  <r>
    <x v="1"/>
    <x v="4"/>
    <x v="2"/>
    <x v="2"/>
    <x v="0"/>
    <x v="5"/>
    <n v="1"/>
    <x v="5"/>
    <x v="1"/>
  </r>
  <r>
    <x v="1"/>
    <x v="4"/>
    <x v="2"/>
    <x v="2"/>
    <x v="0"/>
    <x v="6"/>
    <n v="3"/>
    <x v="6"/>
    <x v="1"/>
  </r>
  <r>
    <x v="1"/>
    <x v="4"/>
    <x v="2"/>
    <x v="2"/>
    <x v="0"/>
    <x v="7"/>
    <n v="1"/>
    <x v="7"/>
    <x v="1"/>
  </r>
  <r>
    <x v="1"/>
    <x v="4"/>
    <x v="2"/>
    <x v="2"/>
    <x v="0"/>
    <x v="8"/>
    <n v="2"/>
    <x v="8"/>
    <x v="1"/>
  </r>
  <r>
    <x v="1"/>
    <x v="4"/>
    <x v="2"/>
    <x v="2"/>
    <x v="0"/>
    <x v="9"/>
    <n v="2"/>
    <x v="9"/>
    <x v="0"/>
  </r>
  <r>
    <x v="1"/>
    <x v="4"/>
    <x v="2"/>
    <x v="2"/>
    <x v="0"/>
    <x v="10"/>
    <n v="1"/>
    <x v="10"/>
    <x v="0"/>
  </r>
  <r>
    <x v="1"/>
    <x v="4"/>
    <x v="2"/>
    <x v="2"/>
    <x v="0"/>
    <x v="11"/>
    <n v="2"/>
    <x v="11"/>
    <x v="0"/>
  </r>
  <r>
    <x v="1"/>
    <x v="4"/>
    <x v="2"/>
    <x v="2"/>
    <x v="1"/>
    <x v="12"/>
    <n v="0"/>
    <x v="12"/>
    <x v="0"/>
  </r>
  <r>
    <x v="1"/>
    <x v="4"/>
    <x v="2"/>
    <x v="2"/>
    <x v="1"/>
    <x v="13"/>
    <n v="0"/>
    <x v="13"/>
    <x v="0"/>
  </r>
  <r>
    <x v="1"/>
    <x v="4"/>
    <x v="2"/>
    <x v="2"/>
    <x v="1"/>
    <x v="14"/>
    <n v="1"/>
    <x v="14"/>
    <x v="0"/>
  </r>
  <r>
    <x v="1"/>
    <x v="4"/>
    <x v="2"/>
    <x v="2"/>
    <x v="1"/>
    <x v="15"/>
    <n v="0"/>
    <x v="15"/>
    <x v="0"/>
  </r>
  <r>
    <x v="1"/>
    <x v="4"/>
    <x v="2"/>
    <x v="2"/>
    <x v="1"/>
    <x v="16"/>
    <n v="0"/>
    <x v="16"/>
    <x v="0"/>
  </r>
  <r>
    <x v="1"/>
    <x v="4"/>
    <x v="2"/>
    <x v="2"/>
    <x v="1"/>
    <x v="17"/>
    <n v="1"/>
    <x v="17"/>
    <x v="0"/>
  </r>
  <r>
    <x v="1"/>
    <x v="4"/>
    <x v="2"/>
    <x v="2"/>
    <x v="1"/>
    <x v="18"/>
    <n v="1"/>
    <x v="18"/>
    <x v="1"/>
  </r>
  <r>
    <x v="1"/>
    <x v="4"/>
    <x v="2"/>
    <x v="2"/>
    <x v="1"/>
    <x v="19"/>
    <n v="1"/>
    <x v="19"/>
    <x v="1"/>
  </r>
  <r>
    <x v="1"/>
    <x v="4"/>
    <x v="2"/>
    <x v="2"/>
    <x v="1"/>
    <x v="20"/>
    <n v="0"/>
    <x v="20"/>
    <x v="1"/>
  </r>
  <r>
    <x v="1"/>
    <x v="4"/>
    <x v="2"/>
    <x v="2"/>
    <x v="1"/>
    <x v="21"/>
    <n v="1"/>
    <x v="21"/>
    <x v="1"/>
  </r>
  <r>
    <x v="1"/>
    <x v="4"/>
    <x v="2"/>
    <x v="2"/>
    <x v="1"/>
    <x v="22"/>
    <n v="2"/>
    <x v="22"/>
    <x v="0"/>
  </r>
  <r>
    <x v="1"/>
    <x v="4"/>
    <x v="2"/>
    <x v="2"/>
    <x v="1"/>
    <x v="23"/>
    <n v="0"/>
    <x v="23"/>
    <x v="0"/>
  </r>
  <r>
    <x v="1"/>
    <x v="4"/>
    <x v="2"/>
    <x v="2"/>
    <x v="2"/>
    <x v="24"/>
    <n v="0"/>
    <x v="24"/>
    <x v="0"/>
  </r>
  <r>
    <x v="1"/>
    <x v="4"/>
    <x v="2"/>
    <x v="2"/>
    <x v="2"/>
    <x v="25"/>
    <n v="1"/>
    <x v="25"/>
    <x v="0"/>
  </r>
  <r>
    <x v="1"/>
    <x v="4"/>
    <x v="2"/>
    <x v="2"/>
    <x v="2"/>
    <x v="26"/>
    <n v="0"/>
    <x v="26"/>
    <x v="0"/>
  </r>
  <r>
    <x v="1"/>
    <x v="4"/>
    <x v="2"/>
    <x v="2"/>
    <x v="2"/>
    <x v="27"/>
    <n v="0"/>
    <x v="27"/>
    <x v="0"/>
  </r>
  <r>
    <x v="1"/>
    <x v="4"/>
    <x v="2"/>
    <x v="2"/>
    <x v="2"/>
    <x v="28"/>
    <n v="0"/>
    <x v="28"/>
    <x v="0"/>
  </r>
  <r>
    <x v="1"/>
    <x v="4"/>
    <x v="2"/>
    <x v="2"/>
    <x v="2"/>
    <x v="29"/>
    <n v="0"/>
    <x v="29"/>
    <x v="0"/>
  </r>
  <r>
    <x v="1"/>
    <x v="4"/>
    <x v="2"/>
    <x v="2"/>
    <x v="2"/>
    <x v="30"/>
    <n v="0"/>
    <x v="30"/>
    <x v="1"/>
  </r>
  <r>
    <x v="1"/>
    <x v="4"/>
    <x v="2"/>
    <x v="2"/>
    <x v="2"/>
    <x v="31"/>
    <n v="1"/>
    <x v="31"/>
    <x v="1"/>
  </r>
  <r>
    <x v="1"/>
    <x v="4"/>
    <x v="2"/>
    <x v="2"/>
    <x v="2"/>
    <x v="32"/>
    <n v="2"/>
    <x v="32"/>
    <x v="1"/>
  </r>
  <r>
    <x v="1"/>
    <x v="4"/>
    <x v="2"/>
    <x v="2"/>
    <x v="2"/>
    <x v="33"/>
    <n v="1"/>
    <x v="33"/>
    <x v="1"/>
  </r>
  <r>
    <x v="1"/>
    <x v="4"/>
    <x v="2"/>
    <x v="2"/>
    <x v="2"/>
    <x v="34"/>
    <n v="1"/>
    <x v="34"/>
    <x v="0"/>
  </r>
  <r>
    <x v="1"/>
    <x v="4"/>
    <x v="2"/>
    <x v="2"/>
    <x v="2"/>
    <x v="35"/>
    <n v="0"/>
    <x v="35"/>
    <x v="0"/>
  </r>
  <r>
    <x v="1"/>
    <x v="4"/>
    <x v="2"/>
    <x v="2"/>
    <x v="2"/>
    <x v="36"/>
    <n v="0"/>
    <x v="36"/>
    <x v="0"/>
  </r>
  <r>
    <x v="1"/>
    <x v="4"/>
    <x v="2"/>
    <x v="2"/>
    <x v="2"/>
    <x v="37"/>
    <n v="0"/>
    <x v="37"/>
    <x v="0"/>
  </r>
  <r>
    <x v="1"/>
    <x v="4"/>
    <x v="2"/>
    <x v="3"/>
    <x v="0"/>
    <x v="0"/>
    <n v="0"/>
    <x v="0"/>
    <x v="0"/>
  </r>
  <r>
    <x v="1"/>
    <x v="4"/>
    <x v="2"/>
    <x v="3"/>
    <x v="0"/>
    <x v="1"/>
    <n v="0"/>
    <x v="1"/>
    <x v="0"/>
  </r>
  <r>
    <x v="1"/>
    <x v="4"/>
    <x v="2"/>
    <x v="3"/>
    <x v="0"/>
    <x v="2"/>
    <n v="0"/>
    <x v="2"/>
    <x v="0"/>
  </r>
  <r>
    <x v="1"/>
    <x v="4"/>
    <x v="2"/>
    <x v="3"/>
    <x v="0"/>
    <x v="3"/>
    <n v="0"/>
    <x v="3"/>
    <x v="0"/>
  </r>
  <r>
    <x v="1"/>
    <x v="4"/>
    <x v="2"/>
    <x v="3"/>
    <x v="0"/>
    <x v="4"/>
    <n v="0"/>
    <x v="4"/>
    <x v="0"/>
  </r>
  <r>
    <x v="1"/>
    <x v="4"/>
    <x v="2"/>
    <x v="3"/>
    <x v="0"/>
    <x v="5"/>
    <n v="0"/>
    <x v="5"/>
    <x v="1"/>
  </r>
  <r>
    <x v="1"/>
    <x v="4"/>
    <x v="2"/>
    <x v="3"/>
    <x v="0"/>
    <x v="6"/>
    <n v="0"/>
    <x v="6"/>
    <x v="1"/>
  </r>
  <r>
    <x v="1"/>
    <x v="4"/>
    <x v="2"/>
    <x v="3"/>
    <x v="0"/>
    <x v="7"/>
    <n v="0"/>
    <x v="7"/>
    <x v="1"/>
  </r>
  <r>
    <x v="1"/>
    <x v="4"/>
    <x v="2"/>
    <x v="3"/>
    <x v="0"/>
    <x v="8"/>
    <n v="0"/>
    <x v="8"/>
    <x v="1"/>
  </r>
  <r>
    <x v="1"/>
    <x v="4"/>
    <x v="2"/>
    <x v="3"/>
    <x v="0"/>
    <x v="9"/>
    <n v="0"/>
    <x v="9"/>
    <x v="0"/>
  </r>
  <r>
    <x v="1"/>
    <x v="4"/>
    <x v="2"/>
    <x v="3"/>
    <x v="0"/>
    <x v="10"/>
    <n v="0"/>
    <x v="10"/>
    <x v="0"/>
  </r>
  <r>
    <x v="1"/>
    <x v="4"/>
    <x v="2"/>
    <x v="3"/>
    <x v="0"/>
    <x v="11"/>
    <n v="0"/>
    <x v="11"/>
    <x v="0"/>
  </r>
  <r>
    <x v="1"/>
    <x v="4"/>
    <x v="2"/>
    <x v="3"/>
    <x v="1"/>
    <x v="12"/>
    <n v="0"/>
    <x v="12"/>
    <x v="0"/>
  </r>
  <r>
    <x v="1"/>
    <x v="4"/>
    <x v="2"/>
    <x v="3"/>
    <x v="1"/>
    <x v="13"/>
    <n v="0"/>
    <x v="13"/>
    <x v="0"/>
  </r>
  <r>
    <x v="1"/>
    <x v="4"/>
    <x v="2"/>
    <x v="3"/>
    <x v="1"/>
    <x v="14"/>
    <n v="0"/>
    <x v="14"/>
    <x v="0"/>
  </r>
  <r>
    <x v="1"/>
    <x v="4"/>
    <x v="2"/>
    <x v="3"/>
    <x v="1"/>
    <x v="15"/>
    <n v="0"/>
    <x v="15"/>
    <x v="0"/>
  </r>
  <r>
    <x v="1"/>
    <x v="4"/>
    <x v="2"/>
    <x v="3"/>
    <x v="1"/>
    <x v="16"/>
    <n v="0"/>
    <x v="16"/>
    <x v="0"/>
  </r>
  <r>
    <x v="1"/>
    <x v="4"/>
    <x v="2"/>
    <x v="3"/>
    <x v="1"/>
    <x v="17"/>
    <n v="0"/>
    <x v="17"/>
    <x v="0"/>
  </r>
  <r>
    <x v="1"/>
    <x v="4"/>
    <x v="2"/>
    <x v="3"/>
    <x v="1"/>
    <x v="18"/>
    <n v="1"/>
    <x v="18"/>
    <x v="1"/>
  </r>
  <r>
    <x v="1"/>
    <x v="4"/>
    <x v="2"/>
    <x v="3"/>
    <x v="1"/>
    <x v="19"/>
    <n v="0"/>
    <x v="19"/>
    <x v="1"/>
  </r>
  <r>
    <x v="1"/>
    <x v="4"/>
    <x v="2"/>
    <x v="3"/>
    <x v="1"/>
    <x v="20"/>
    <n v="0"/>
    <x v="20"/>
    <x v="1"/>
  </r>
  <r>
    <x v="1"/>
    <x v="4"/>
    <x v="2"/>
    <x v="3"/>
    <x v="1"/>
    <x v="21"/>
    <n v="0"/>
    <x v="21"/>
    <x v="1"/>
  </r>
  <r>
    <x v="1"/>
    <x v="4"/>
    <x v="2"/>
    <x v="3"/>
    <x v="1"/>
    <x v="22"/>
    <n v="0"/>
    <x v="22"/>
    <x v="0"/>
  </r>
  <r>
    <x v="1"/>
    <x v="4"/>
    <x v="2"/>
    <x v="3"/>
    <x v="1"/>
    <x v="23"/>
    <n v="0"/>
    <x v="23"/>
    <x v="0"/>
  </r>
  <r>
    <x v="1"/>
    <x v="4"/>
    <x v="2"/>
    <x v="3"/>
    <x v="2"/>
    <x v="24"/>
    <n v="0"/>
    <x v="24"/>
    <x v="0"/>
  </r>
  <r>
    <x v="1"/>
    <x v="4"/>
    <x v="2"/>
    <x v="3"/>
    <x v="2"/>
    <x v="25"/>
    <n v="0"/>
    <x v="25"/>
    <x v="0"/>
  </r>
  <r>
    <x v="1"/>
    <x v="4"/>
    <x v="2"/>
    <x v="3"/>
    <x v="2"/>
    <x v="26"/>
    <n v="0"/>
    <x v="26"/>
    <x v="0"/>
  </r>
  <r>
    <x v="1"/>
    <x v="4"/>
    <x v="2"/>
    <x v="3"/>
    <x v="2"/>
    <x v="27"/>
    <n v="0"/>
    <x v="27"/>
    <x v="0"/>
  </r>
  <r>
    <x v="1"/>
    <x v="4"/>
    <x v="2"/>
    <x v="3"/>
    <x v="2"/>
    <x v="28"/>
    <n v="0"/>
    <x v="28"/>
    <x v="0"/>
  </r>
  <r>
    <x v="1"/>
    <x v="4"/>
    <x v="2"/>
    <x v="3"/>
    <x v="2"/>
    <x v="29"/>
    <n v="0"/>
    <x v="29"/>
    <x v="0"/>
  </r>
  <r>
    <x v="1"/>
    <x v="4"/>
    <x v="2"/>
    <x v="3"/>
    <x v="2"/>
    <x v="30"/>
    <n v="0"/>
    <x v="30"/>
    <x v="1"/>
  </r>
  <r>
    <x v="1"/>
    <x v="4"/>
    <x v="2"/>
    <x v="3"/>
    <x v="2"/>
    <x v="31"/>
    <n v="0"/>
    <x v="31"/>
    <x v="1"/>
  </r>
  <r>
    <x v="1"/>
    <x v="4"/>
    <x v="2"/>
    <x v="3"/>
    <x v="2"/>
    <x v="32"/>
    <n v="0"/>
    <x v="32"/>
    <x v="1"/>
  </r>
  <r>
    <x v="1"/>
    <x v="4"/>
    <x v="2"/>
    <x v="3"/>
    <x v="2"/>
    <x v="33"/>
    <n v="0"/>
    <x v="33"/>
    <x v="1"/>
  </r>
  <r>
    <x v="1"/>
    <x v="4"/>
    <x v="2"/>
    <x v="3"/>
    <x v="2"/>
    <x v="34"/>
    <n v="0"/>
    <x v="34"/>
    <x v="0"/>
  </r>
  <r>
    <x v="1"/>
    <x v="4"/>
    <x v="2"/>
    <x v="3"/>
    <x v="2"/>
    <x v="35"/>
    <n v="0"/>
    <x v="35"/>
    <x v="0"/>
  </r>
  <r>
    <x v="1"/>
    <x v="4"/>
    <x v="2"/>
    <x v="3"/>
    <x v="2"/>
    <x v="36"/>
    <n v="0"/>
    <x v="36"/>
    <x v="0"/>
  </r>
  <r>
    <x v="1"/>
    <x v="4"/>
    <x v="2"/>
    <x v="3"/>
    <x v="2"/>
    <x v="37"/>
    <n v="0"/>
    <x v="37"/>
    <x v="0"/>
  </r>
  <r>
    <x v="1"/>
    <x v="4"/>
    <x v="2"/>
    <x v="4"/>
    <x v="0"/>
    <x v="0"/>
    <n v="0"/>
    <x v="0"/>
    <x v="0"/>
  </r>
  <r>
    <x v="1"/>
    <x v="4"/>
    <x v="2"/>
    <x v="4"/>
    <x v="0"/>
    <x v="1"/>
    <n v="0"/>
    <x v="1"/>
    <x v="0"/>
  </r>
  <r>
    <x v="1"/>
    <x v="4"/>
    <x v="2"/>
    <x v="4"/>
    <x v="0"/>
    <x v="2"/>
    <n v="0"/>
    <x v="2"/>
    <x v="0"/>
  </r>
  <r>
    <x v="1"/>
    <x v="4"/>
    <x v="2"/>
    <x v="4"/>
    <x v="0"/>
    <x v="3"/>
    <n v="0"/>
    <x v="3"/>
    <x v="0"/>
  </r>
  <r>
    <x v="1"/>
    <x v="4"/>
    <x v="2"/>
    <x v="4"/>
    <x v="0"/>
    <x v="4"/>
    <n v="1"/>
    <x v="4"/>
    <x v="0"/>
  </r>
  <r>
    <x v="1"/>
    <x v="4"/>
    <x v="2"/>
    <x v="4"/>
    <x v="0"/>
    <x v="5"/>
    <n v="2"/>
    <x v="5"/>
    <x v="1"/>
  </r>
  <r>
    <x v="1"/>
    <x v="4"/>
    <x v="2"/>
    <x v="4"/>
    <x v="0"/>
    <x v="6"/>
    <n v="4"/>
    <x v="6"/>
    <x v="1"/>
  </r>
  <r>
    <x v="1"/>
    <x v="4"/>
    <x v="2"/>
    <x v="4"/>
    <x v="0"/>
    <x v="7"/>
    <n v="1"/>
    <x v="7"/>
    <x v="1"/>
  </r>
  <r>
    <x v="1"/>
    <x v="4"/>
    <x v="2"/>
    <x v="4"/>
    <x v="0"/>
    <x v="8"/>
    <n v="4"/>
    <x v="8"/>
    <x v="1"/>
  </r>
  <r>
    <x v="1"/>
    <x v="4"/>
    <x v="2"/>
    <x v="4"/>
    <x v="0"/>
    <x v="9"/>
    <n v="3"/>
    <x v="9"/>
    <x v="0"/>
  </r>
  <r>
    <x v="1"/>
    <x v="4"/>
    <x v="2"/>
    <x v="4"/>
    <x v="0"/>
    <x v="10"/>
    <n v="0"/>
    <x v="10"/>
    <x v="0"/>
  </r>
  <r>
    <x v="1"/>
    <x v="4"/>
    <x v="2"/>
    <x v="4"/>
    <x v="0"/>
    <x v="11"/>
    <n v="0"/>
    <x v="11"/>
    <x v="0"/>
  </r>
  <r>
    <x v="1"/>
    <x v="4"/>
    <x v="2"/>
    <x v="4"/>
    <x v="1"/>
    <x v="12"/>
    <n v="0"/>
    <x v="12"/>
    <x v="0"/>
  </r>
  <r>
    <x v="1"/>
    <x v="4"/>
    <x v="2"/>
    <x v="4"/>
    <x v="1"/>
    <x v="13"/>
    <n v="0"/>
    <x v="13"/>
    <x v="0"/>
  </r>
  <r>
    <x v="1"/>
    <x v="4"/>
    <x v="2"/>
    <x v="4"/>
    <x v="1"/>
    <x v="14"/>
    <n v="0"/>
    <x v="14"/>
    <x v="0"/>
  </r>
  <r>
    <x v="1"/>
    <x v="4"/>
    <x v="2"/>
    <x v="4"/>
    <x v="1"/>
    <x v="15"/>
    <n v="0"/>
    <x v="15"/>
    <x v="0"/>
  </r>
  <r>
    <x v="1"/>
    <x v="4"/>
    <x v="2"/>
    <x v="4"/>
    <x v="1"/>
    <x v="16"/>
    <n v="0"/>
    <x v="16"/>
    <x v="0"/>
  </r>
  <r>
    <x v="1"/>
    <x v="4"/>
    <x v="2"/>
    <x v="4"/>
    <x v="1"/>
    <x v="17"/>
    <n v="2"/>
    <x v="17"/>
    <x v="0"/>
  </r>
  <r>
    <x v="1"/>
    <x v="4"/>
    <x v="2"/>
    <x v="4"/>
    <x v="1"/>
    <x v="18"/>
    <n v="0"/>
    <x v="18"/>
    <x v="1"/>
  </r>
  <r>
    <x v="1"/>
    <x v="4"/>
    <x v="2"/>
    <x v="4"/>
    <x v="1"/>
    <x v="19"/>
    <n v="0"/>
    <x v="19"/>
    <x v="1"/>
  </r>
  <r>
    <x v="1"/>
    <x v="4"/>
    <x v="2"/>
    <x v="4"/>
    <x v="1"/>
    <x v="20"/>
    <n v="3"/>
    <x v="20"/>
    <x v="1"/>
  </r>
  <r>
    <x v="1"/>
    <x v="4"/>
    <x v="2"/>
    <x v="4"/>
    <x v="1"/>
    <x v="21"/>
    <n v="1"/>
    <x v="21"/>
    <x v="1"/>
  </r>
  <r>
    <x v="1"/>
    <x v="4"/>
    <x v="2"/>
    <x v="4"/>
    <x v="1"/>
    <x v="22"/>
    <n v="0"/>
    <x v="22"/>
    <x v="0"/>
  </r>
  <r>
    <x v="1"/>
    <x v="4"/>
    <x v="2"/>
    <x v="4"/>
    <x v="1"/>
    <x v="23"/>
    <n v="0"/>
    <x v="23"/>
    <x v="0"/>
  </r>
  <r>
    <x v="1"/>
    <x v="4"/>
    <x v="2"/>
    <x v="4"/>
    <x v="2"/>
    <x v="24"/>
    <n v="1"/>
    <x v="24"/>
    <x v="0"/>
  </r>
  <r>
    <x v="1"/>
    <x v="4"/>
    <x v="2"/>
    <x v="4"/>
    <x v="2"/>
    <x v="25"/>
    <n v="0"/>
    <x v="25"/>
    <x v="0"/>
  </r>
  <r>
    <x v="1"/>
    <x v="4"/>
    <x v="2"/>
    <x v="4"/>
    <x v="2"/>
    <x v="26"/>
    <n v="1"/>
    <x v="26"/>
    <x v="0"/>
  </r>
  <r>
    <x v="1"/>
    <x v="4"/>
    <x v="2"/>
    <x v="4"/>
    <x v="2"/>
    <x v="27"/>
    <n v="0"/>
    <x v="27"/>
    <x v="0"/>
  </r>
  <r>
    <x v="1"/>
    <x v="4"/>
    <x v="2"/>
    <x v="4"/>
    <x v="2"/>
    <x v="28"/>
    <n v="0"/>
    <x v="28"/>
    <x v="0"/>
  </r>
  <r>
    <x v="1"/>
    <x v="4"/>
    <x v="2"/>
    <x v="4"/>
    <x v="2"/>
    <x v="29"/>
    <n v="2"/>
    <x v="29"/>
    <x v="0"/>
  </r>
  <r>
    <x v="1"/>
    <x v="4"/>
    <x v="2"/>
    <x v="4"/>
    <x v="2"/>
    <x v="30"/>
    <n v="0"/>
    <x v="30"/>
    <x v="1"/>
  </r>
  <r>
    <x v="1"/>
    <x v="4"/>
    <x v="2"/>
    <x v="4"/>
    <x v="2"/>
    <x v="31"/>
    <n v="0"/>
    <x v="31"/>
    <x v="1"/>
  </r>
  <r>
    <x v="1"/>
    <x v="4"/>
    <x v="2"/>
    <x v="4"/>
    <x v="2"/>
    <x v="32"/>
    <n v="8"/>
    <x v="32"/>
    <x v="1"/>
  </r>
  <r>
    <x v="1"/>
    <x v="4"/>
    <x v="2"/>
    <x v="4"/>
    <x v="2"/>
    <x v="33"/>
    <n v="3"/>
    <x v="33"/>
    <x v="1"/>
  </r>
  <r>
    <x v="1"/>
    <x v="4"/>
    <x v="2"/>
    <x v="4"/>
    <x v="2"/>
    <x v="34"/>
    <n v="1"/>
    <x v="34"/>
    <x v="0"/>
  </r>
  <r>
    <x v="1"/>
    <x v="4"/>
    <x v="2"/>
    <x v="4"/>
    <x v="2"/>
    <x v="35"/>
    <n v="3"/>
    <x v="35"/>
    <x v="0"/>
  </r>
  <r>
    <x v="1"/>
    <x v="4"/>
    <x v="2"/>
    <x v="4"/>
    <x v="2"/>
    <x v="36"/>
    <n v="0"/>
    <x v="36"/>
    <x v="0"/>
  </r>
  <r>
    <x v="1"/>
    <x v="4"/>
    <x v="2"/>
    <x v="4"/>
    <x v="2"/>
    <x v="37"/>
    <n v="0"/>
    <x v="37"/>
    <x v="0"/>
  </r>
  <r>
    <x v="1"/>
    <x v="5"/>
    <x v="3"/>
    <x v="0"/>
    <x v="0"/>
    <x v="0"/>
    <n v="16"/>
    <x v="0"/>
    <x v="0"/>
  </r>
  <r>
    <x v="1"/>
    <x v="5"/>
    <x v="3"/>
    <x v="0"/>
    <x v="0"/>
    <x v="1"/>
    <n v="18"/>
    <x v="1"/>
    <x v="0"/>
  </r>
  <r>
    <x v="1"/>
    <x v="5"/>
    <x v="3"/>
    <x v="0"/>
    <x v="0"/>
    <x v="2"/>
    <n v="32"/>
    <x v="2"/>
    <x v="0"/>
  </r>
  <r>
    <x v="1"/>
    <x v="5"/>
    <x v="3"/>
    <x v="0"/>
    <x v="0"/>
    <x v="3"/>
    <n v="35"/>
    <x v="3"/>
    <x v="0"/>
  </r>
  <r>
    <x v="1"/>
    <x v="5"/>
    <x v="3"/>
    <x v="0"/>
    <x v="0"/>
    <x v="4"/>
    <n v="43"/>
    <x v="4"/>
    <x v="0"/>
  </r>
  <r>
    <x v="1"/>
    <x v="5"/>
    <x v="3"/>
    <x v="0"/>
    <x v="0"/>
    <x v="5"/>
    <n v="57"/>
    <x v="5"/>
    <x v="1"/>
  </r>
  <r>
    <x v="1"/>
    <x v="5"/>
    <x v="3"/>
    <x v="0"/>
    <x v="0"/>
    <x v="6"/>
    <n v="41"/>
    <x v="6"/>
    <x v="1"/>
  </r>
  <r>
    <x v="1"/>
    <x v="5"/>
    <x v="3"/>
    <x v="0"/>
    <x v="0"/>
    <x v="7"/>
    <n v="57"/>
    <x v="7"/>
    <x v="1"/>
  </r>
  <r>
    <x v="1"/>
    <x v="5"/>
    <x v="3"/>
    <x v="0"/>
    <x v="0"/>
    <x v="8"/>
    <n v="43"/>
    <x v="8"/>
    <x v="1"/>
  </r>
  <r>
    <x v="1"/>
    <x v="5"/>
    <x v="3"/>
    <x v="0"/>
    <x v="0"/>
    <x v="9"/>
    <n v="41"/>
    <x v="9"/>
    <x v="0"/>
  </r>
  <r>
    <x v="1"/>
    <x v="5"/>
    <x v="3"/>
    <x v="0"/>
    <x v="0"/>
    <x v="10"/>
    <n v="47"/>
    <x v="10"/>
    <x v="0"/>
  </r>
  <r>
    <x v="1"/>
    <x v="5"/>
    <x v="3"/>
    <x v="0"/>
    <x v="0"/>
    <x v="11"/>
    <n v="23"/>
    <x v="11"/>
    <x v="0"/>
  </r>
  <r>
    <x v="1"/>
    <x v="5"/>
    <x v="3"/>
    <x v="0"/>
    <x v="1"/>
    <x v="12"/>
    <n v="40"/>
    <x v="12"/>
    <x v="0"/>
  </r>
  <r>
    <x v="1"/>
    <x v="5"/>
    <x v="3"/>
    <x v="0"/>
    <x v="1"/>
    <x v="13"/>
    <n v="45"/>
    <x v="13"/>
    <x v="0"/>
  </r>
  <r>
    <x v="1"/>
    <x v="5"/>
    <x v="3"/>
    <x v="0"/>
    <x v="1"/>
    <x v="14"/>
    <n v="46"/>
    <x v="14"/>
    <x v="0"/>
  </r>
  <r>
    <x v="1"/>
    <x v="5"/>
    <x v="3"/>
    <x v="0"/>
    <x v="1"/>
    <x v="15"/>
    <n v="37"/>
    <x v="15"/>
    <x v="0"/>
  </r>
  <r>
    <x v="1"/>
    <x v="5"/>
    <x v="3"/>
    <x v="0"/>
    <x v="1"/>
    <x v="16"/>
    <n v="61"/>
    <x v="16"/>
    <x v="0"/>
  </r>
  <r>
    <x v="1"/>
    <x v="5"/>
    <x v="3"/>
    <x v="0"/>
    <x v="1"/>
    <x v="17"/>
    <n v="41"/>
    <x v="17"/>
    <x v="0"/>
  </r>
  <r>
    <x v="1"/>
    <x v="5"/>
    <x v="3"/>
    <x v="0"/>
    <x v="1"/>
    <x v="18"/>
    <n v="40"/>
    <x v="18"/>
    <x v="1"/>
  </r>
  <r>
    <x v="1"/>
    <x v="5"/>
    <x v="3"/>
    <x v="0"/>
    <x v="1"/>
    <x v="19"/>
    <n v="52"/>
    <x v="19"/>
    <x v="1"/>
  </r>
  <r>
    <x v="1"/>
    <x v="5"/>
    <x v="3"/>
    <x v="0"/>
    <x v="1"/>
    <x v="20"/>
    <n v="41"/>
    <x v="20"/>
    <x v="1"/>
  </r>
  <r>
    <x v="1"/>
    <x v="5"/>
    <x v="3"/>
    <x v="0"/>
    <x v="1"/>
    <x v="21"/>
    <n v="66"/>
    <x v="21"/>
    <x v="1"/>
  </r>
  <r>
    <x v="1"/>
    <x v="5"/>
    <x v="3"/>
    <x v="0"/>
    <x v="1"/>
    <x v="22"/>
    <n v="44"/>
    <x v="22"/>
    <x v="0"/>
  </r>
  <r>
    <x v="1"/>
    <x v="5"/>
    <x v="3"/>
    <x v="0"/>
    <x v="1"/>
    <x v="23"/>
    <n v="49"/>
    <x v="23"/>
    <x v="0"/>
  </r>
  <r>
    <x v="1"/>
    <x v="5"/>
    <x v="3"/>
    <x v="0"/>
    <x v="2"/>
    <x v="24"/>
    <n v="74"/>
    <x v="24"/>
    <x v="0"/>
  </r>
  <r>
    <x v="1"/>
    <x v="5"/>
    <x v="3"/>
    <x v="0"/>
    <x v="2"/>
    <x v="25"/>
    <n v="74"/>
    <x v="25"/>
    <x v="0"/>
  </r>
  <r>
    <x v="1"/>
    <x v="5"/>
    <x v="3"/>
    <x v="0"/>
    <x v="2"/>
    <x v="26"/>
    <n v="61"/>
    <x v="26"/>
    <x v="0"/>
  </r>
  <r>
    <x v="1"/>
    <x v="5"/>
    <x v="3"/>
    <x v="0"/>
    <x v="2"/>
    <x v="27"/>
    <n v="74"/>
    <x v="27"/>
    <x v="0"/>
  </r>
  <r>
    <x v="1"/>
    <x v="5"/>
    <x v="3"/>
    <x v="0"/>
    <x v="2"/>
    <x v="28"/>
    <n v="88"/>
    <x v="28"/>
    <x v="0"/>
  </r>
  <r>
    <x v="1"/>
    <x v="5"/>
    <x v="3"/>
    <x v="0"/>
    <x v="2"/>
    <x v="29"/>
    <n v="84"/>
    <x v="29"/>
    <x v="0"/>
  </r>
  <r>
    <x v="1"/>
    <x v="5"/>
    <x v="3"/>
    <x v="0"/>
    <x v="2"/>
    <x v="30"/>
    <n v="119"/>
    <x v="30"/>
    <x v="1"/>
  </r>
  <r>
    <x v="1"/>
    <x v="5"/>
    <x v="3"/>
    <x v="0"/>
    <x v="2"/>
    <x v="31"/>
    <n v="99"/>
    <x v="31"/>
    <x v="1"/>
  </r>
  <r>
    <x v="1"/>
    <x v="5"/>
    <x v="3"/>
    <x v="0"/>
    <x v="2"/>
    <x v="32"/>
    <n v="113"/>
    <x v="32"/>
    <x v="1"/>
  </r>
  <r>
    <x v="1"/>
    <x v="5"/>
    <x v="3"/>
    <x v="0"/>
    <x v="2"/>
    <x v="33"/>
    <n v="105"/>
    <x v="33"/>
    <x v="1"/>
  </r>
  <r>
    <x v="1"/>
    <x v="5"/>
    <x v="3"/>
    <x v="0"/>
    <x v="2"/>
    <x v="34"/>
    <n v="105"/>
    <x v="34"/>
    <x v="0"/>
  </r>
  <r>
    <x v="1"/>
    <x v="5"/>
    <x v="3"/>
    <x v="0"/>
    <x v="2"/>
    <x v="35"/>
    <n v="63"/>
    <x v="35"/>
    <x v="0"/>
  </r>
  <r>
    <x v="1"/>
    <x v="5"/>
    <x v="3"/>
    <x v="0"/>
    <x v="2"/>
    <x v="36"/>
    <n v="54"/>
    <x v="36"/>
    <x v="0"/>
  </r>
  <r>
    <x v="1"/>
    <x v="5"/>
    <x v="3"/>
    <x v="0"/>
    <x v="2"/>
    <x v="37"/>
    <n v="43"/>
    <x v="37"/>
    <x v="0"/>
  </r>
  <r>
    <x v="1"/>
    <x v="5"/>
    <x v="3"/>
    <x v="1"/>
    <x v="0"/>
    <x v="0"/>
    <n v="0"/>
    <x v="0"/>
    <x v="0"/>
  </r>
  <r>
    <x v="1"/>
    <x v="5"/>
    <x v="3"/>
    <x v="1"/>
    <x v="0"/>
    <x v="1"/>
    <n v="0"/>
    <x v="1"/>
    <x v="0"/>
  </r>
  <r>
    <x v="1"/>
    <x v="5"/>
    <x v="3"/>
    <x v="1"/>
    <x v="0"/>
    <x v="2"/>
    <n v="0"/>
    <x v="2"/>
    <x v="0"/>
  </r>
  <r>
    <x v="1"/>
    <x v="5"/>
    <x v="3"/>
    <x v="1"/>
    <x v="0"/>
    <x v="3"/>
    <n v="1"/>
    <x v="3"/>
    <x v="0"/>
  </r>
  <r>
    <x v="1"/>
    <x v="5"/>
    <x v="3"/>
    <x v="1"/>
    <x v="0"/>
    <x v="4"/>
    <n v="0"/>
    <x v="4"/>
    <x v="0"/>
  </r>
  <r>
    <x v="1"/>
    <x v="5"/>
    <x v="3"/>
    <x v="1"/>
    <x v="0"/>
    <x v="5"/>
    <n v="1"/>
    <x v="5"/>
    <x v="1"/>
  </r>
  <r>
    <x v="1"/>
    <x v="5"/>
    <x v="3"/>
    <x v="1"/>
    <x v="0"/>
    <x v="6"/>
    <n v="0"/>
    <x v="6"/>
    <x v="1"/>
  </r>
  <r>
    <x v="1"/>
    <x v="5"/>
    <x v="3"/>
    <x v="1"/>
    <x v="0"/>
    <x v="7"/>
    <n v="1"/>
    <x v="7"/>
    <x v="1"/>
  </r>
  <r>
    <x v="1"/>
    <x v="5"/>
    <x v="3"/>
    <x v="1"/>
    <x v="0"/>
    <x v="8"/>
    <n v="0"/>
    <x v="8"/>
    <x v="1"/>
  </r>
  <r>
    <x v="1"/>
    <x v="5"/>
    <x v="3"/>
    <x v="1"/>
    <x v="0"/>
    <x v="9"/>
    <n v="0"/>
    <x v="9"/>
    <x v="0"/>
  </r>
  <r>
    <x v="1"/>
    <x v="5"/>
    <x v="3"/>
    <x v="1"/>
    <x v="0"/>
    <x v="10"/>
    <n v="0"/>
    <x v="10"/>
    <x v="0"/>
  </r>
  <r>
    <x v="1"/>
    <x v="5"/>
    <x v="3"/>
    <x v="1"/>
    <x v="0"/>
    <x v="11"/>
    <n v="0"/>
    <x v="11"/>
    <x v="0"/>
  </r>
  <r>
    <x v="1"/>
    <x v="5"/>
    <x v="3"/>
    <x v="1"/>
    <x v="1"/>
    <x v="12"/>
    <n v="0"/>
    <x v="12"/>
    <x v="0"/>
  </r>
  <r>
    <x v="1"/>
    <x v="5"/>
    <x v="3"/>
    <x v="1"/>
    <x v="1"/>
    <x v="13"/>
    <n v="0"/>
    <x v="13"/>
    <x v="0"/>
  </r>
  <r>
    <x v="1"/>
    <x v="5"/>
    <x v="3"/>
    <x v="1"/>
    <x v="1"/>
    <x v="14"/>
    <n v="0"/>
    <x v="14"/>
    <x v="0"/>
  </r>
  <r>
    <x v="1"/>
    <x v="5"/>
    <x v="3"/>
    <x v="1"/>
    <x v="1"/>
    <x v="15"/>
    <n v="0"/>
    <x v="15"/>
    <x v="0"/>
  </r>
  <r>
    <x v="1"/>
    <x v="5"/>
    <x v="3"/>
    <x v="1"/>
    <x v="1"/>
    <x v="16"/>
    <n v="0"/>
    <x v="16"/>
    <x v="0"/>
  </r>
  <r>
    <x v="1"/>
    <x v="5"/>
    <x v="3"/>
    <x v="1"/>
    <x v="1"/>
    <x v="17"/>
    <n v="0"/>
    <x v="17"/>
    <x v="0"/>
  </r>
  <r>
    <x v="1"/>
    <x v="5"/>
    <x v="3"/>
    <x v="1"/>
    <x v="1"/>
    <x v="18"/>
    <n v="0"/>
    <x v="18"/>
    <x v="1"/>
  </r>
  <r>
    <x v="1"/>
    <x v="5"/>
    <x v="3"/>
    <x v="1"/>
    <x v="1"/>
    <x v="19"/>
    <n v="0"/>
    <x v="19"/>
    <x v="1"/>
  </r>
  <r>
    <x v="1"/>
    <x v="5"/>
    <x v="3"/>
    <x v="1"/>
    <x v="1"/>
    <x v="20"/>
    <n v="0"/>
    <x v="20"/>
    <x v="1"/>
  </r>
  <r>
    <x v="1"/>
    <x v="5"/>
    <x v="3"/>
    <x v="1"/>
    <x v="1"/>
    <x v="21"/>
    <n v="1"/>
    <x v="21"/>
    <x v="1"/>
  </r>
  <r>
    <x v="1"/>
    <x v="5"/>
    <x v="3"/>
    <x v="1"/>
    <x v="1"/>
    <x v="22"/>
    <n v="1"/>
    <x v="22"/>
    <x v="0"/>
  </r>
  <r>
    <x v="1"/>
    <x v="5"/>
    <x v="3"/>
    <x v="1"/>
    <x v="1"/>
    <x v="23"/>
    <n v="0"/>
    <x v="23"/>
    <x v="0"/>
  </r>
  <r>
    <x v="1"/>
    <x v="5"/>
    <x v="3"/>
    <x v="1"/>
    <x v="2"/>
    <x v="24"/>
    <n v="1"/>
    <x v="24"/>
    <x v="0"/>
  </r>
  <r>
    <x v="1"/>
    <x v="5"/>
    <x v="3"/>
    <x v="1"/>
    <x v="2"/>
    <x v="25"/>
    <n v="0"/>
    <x v="25"/>
    <x v="0"/>
  </r>
  <r>
    <x v="1"/>
    <x v="5"/>
    <x v="3"/>
    <x v="1"/>
    <x v="2"/>
    <x v="26"/>
    <n v="0"/>
    <x v="26"/>
    <x v="0"/>
  </r>
  <r>
    <x v="1"/>
    <x v="5"/>
    <x v="3"/>
    <x v="1"/>
    <x v="2"/>
    <x v="27"/>
    <n v="0"/>
    <x v="27"/>
    <x v="0"/>
  </r>
  <r>
    <x v="1"/>
    <x v="5"/>
    <x v="3"/>
    <x v="1"/>
    <x v="2"/>
    <x v="28"/>
    <n v="0"/>
    <x v="28"/>
    <x v="0"/>
  </r>
  <r>
    <x v="1"/>
    <x v="5"/>
    <x v="3"/>
    <x v="1"/>
    <x v="2"/>
    <x v="29"/>
    <n v="0"/>
    <x v="29"/>
    <x v="0"/>
  </r>
  <r>
    <x v="1"/>
    <x v="5"/>
    <x v="3"/>
    <x v="1"/>
    <x v="2"/>
    <x v="30"/>
    <n v="0"/>
    <x v="30"/>
    <x v="1"/>
  </r>
  <r>
    <x v="1"/>
    <x v="5"/>
    <x v="3"/>
    <x v="1"/>
    <x v="2"/>
    <x v="31"/>
    <n v="0"/>
    <x v="31"/>
    <x v="1"/>
  </r>
  <r>
    <x v="1"/>
    <x v="5"/>
    <x v="3"/>
    <x v="1"/>
    <x v="2"/>
    <x v="32"/>
    <n v="0"/>
    <x v="32"/>
    <x v="1"/>
  </r>
  <r>
    <x v="1"/>
    <x v="5"/>
    <x v="3"/>
    <x v="1"/>
    <x v="2"/>
    <x v="33"/>
    <n v="0"/>
    <x v="33"/>
    <x v="1"/>
  </r>
  <r>
    <x v="1"/>
    <x v="5"/>
    <x v="3"/>
    <x v="1"/>
    <x v="2"/>
    <x v="34"/>
    <n v="0"/>
    <x v="34"/>
    <x v="0"/>
  </r>
  <r>
    <x v="1"/>
    <x v="5"/>
    <x v="3"/>
    <x v="1"/>
    <x v="2"/>
    <x v="35"/>
    <n v="0"/>
    <x v="35"/>
    <x v="0"/>
  </r>
  <r>
    <x v="1"/>
    <x v="5"/>
    <x v="3"/>
    <x v="1"/>
    <x v="2"/>
    <x v="36"/>
    <n v="0"/>
    <x v="36"/>
    <x v="0"/>
  </r>
  <r>
    <x v="1"/>
    <x v="5"/>
    <x v="3"/>
    <x v="1"/>
    <x v="2"/>
    <x v="37"/>
    <n v="0"/>
    <x v="37"/>
    <x v="0"/>
  </r>
  <r>
    <x v="1"/>
    <x v="5"/>
    <x v="3"/>
    <x v="2"/>
    <x v="0"/>
    <x v="0"/>
    <n v="0"/>
    <x v="0"/>
    <x v="0"/>
  </r>
  <r>
    <x v="1"/>
    <x v="5"/>
    <x v="3"/>
    <x v="2"/>
    <x v="0"/>
    <x v="1"/>
    <n v="1"/>
    <x v="1"/>
    <x v="0"/>
  </r>
  <r>
    <x v="1"/>
    <x v="5"/>
    <x v="3"/>
    <x v="2"/>
    <x v="0"/>
    <x v="2"/>
    <n v="0"/>
    <x v="2"/>
    <x v="0"/>
  </r>
  <r>
    <x v="1"/>
    <x v="5"/>
    <x v="3"/>
    <x v="2"/>
    <x v="0"/>
    <x v="3"/>
    <n v="0"/>
    <x v="3"/>
    <x v="0"/>
  </r>
  <r>
    <x v="1"/>
    <x v="5"/>
    <x v="3"/>
    <x v="2"/>
    <x v="0"/>
    <x v="4"/>
    <n v="0"/>
    <x v="4"/>
    <x v="0"/>
  </r>
  <r>
    <x v="1"/>
    <x v="5"/>
    <x v="3"/>
    <x v="2"/>
    <x v="0"/>
    <x v="5"/>
    <n v="0"/>
    <x v="5"/>
    <x v="1"/>
  </r>
  <r>
    <x v="1"/>
    <x v="5"/>
    <x v="3"/>
    <x v="2"/>
    <x v="0"/>
    <x v="6"/>
    <n v="0"/>
    <x v="6"/>
    <x v="1"/>
  </r>
  <r>
    <x v="1"/>
    <x v="5"/>
    <x v="3"/>
    <x v="2"/>
    <x v="0"/>
    <x v="7"/>
    <n v="1"/>
    <x v="7"/>
    <x v="1"/>
  </r>
  <r>
    <x v="1"/>
    <x v="5"/>
    <x v="3"/>
    <x v="2"/>
    <x v="0"/>
    <x v="8"/>
    <n v="1"/>
    <x v="8"/>
    <x v="1"/>
  </r>
  <r>
    <x v="1"/>
    <x v="5"/>
    <x v="3"/>
    <x v="2"/>
    <x v="0"/>
    <x v="9"/>
    <n v="0"/>
    <x v="9"/>
    <x v="0"/>
  </r>
  <r>
    <x v="1"/>
    <x v="5"/>
    <x v="3"/>
    <x v="2"/>
    <x v="0"/>
    <x v="10"/>
    <n v="0"/>
    <x v="10"/>
    <x v="0"/>
  </r>
  <r>
    <x v="1"/>
    <x v="5"/>
    <x v="3"/>
    <x v="2"/>
    <x v="0"/>
    <x v="11"/>
    <n v="1"/>
    <x v="11"/>
    <x v="0"/>
  </r>
  <r>
    <x v="1"/>
    <x v="5"/>
    <x v="3"/>
    <x v="2"/>
    <x v="1"/>
    <x v="12"/>
    <n v="0"/>
    <x v="12"/>
    <x v="0"/>
  </r>
  <r>
    <x v="1"/>
    <x v="5"/>
    <x v="3"/>
    <x v="2"/>
    <x v="1"/>
    <x v="13"/>
    <n v="0"/>
    <x v="13"/>
    <x v="0"/>
  </r>
  <r>
    <x v="1"/>
    <x v="5"/>
    <x v="3"/>
    <x v="2"/>
    <x v="1"/>
    <x v="14"/>
    <n v="4"/>
    <x v="14"/>
    <x v="0"/>
  </r>
  <r>
    <x v="1"/>
    <x v="5"/>
    <x v="3"/>
    <x v="2"/>
    <x v="1"/>
    <x v="15"/>
    <n v="1"/>
    <x v="15"/>
    <x v="0"/>
  </r>
  <r>
    <x v="1"/>
    <x v="5"/>
    <x v="3"/>
    <x v="2"/>
    <x v="1"/>
    <x v="16"/>
    <n v="3"/>
    <x v="16"/>
    <x v="0"/>
  </r>
  <r>
    <x v="1"/>
    <x v="5"/>
    <x v="3"/>
    <x v="2"/>
    <x v="1"/>
    <x v="17"/>
    <n v="0"/>
    <x v="17"/>
    <x v="0"/>
  </r>
  <r>
    <x v="1"/>
    <x v="5"/>
    <x v="3"/>
    <x v="2"/>
    <x v="1"/>
    <x v="18"/>
    <n v="0"/>
    <x v="18"/>
    <x v="1"/>
  </r>
  <r>
    <x v="1"/>
    <x v="5"/>
    <x v="3"/>
    <x v="2"/>
    <x v="1"/>
    <x v="19"/>
    <n v="0"/>
    <x v="19"/>
    <x v="1"/>
  </r>
  <r>
    <x v="1"/>
    <x v="5"/>
    <x v="3"/>
    <x v="2"/>
    <x v="1"/>
    <x v="20"/>
    <n v="1"/>
    <x v="20"/>
    <x v="1"/>
  </r>
  <r>
    <x v="1"/>
    <x v="5"/>
    <x v="3"/>
    <x v="2"/>
    <x v="1"/>
    <x v="21"/>
    <n v="1"/>
    <x v="21"/>
    <x v="1"/>
  </r>
  <r>
    <x v="1"/>
    <x v="5"/>
    <x v="3"/>
    <x v="2"/>
    <x v="1"/>
    <x v="22"/>
    <n v="1"/>
    <x v="22"/>
    <x v="0"/>
  </r>
  <r>
    <x v="1"/>
    <x v="5"/>
    <x v="3"/>
    <x v="2"/>
    <x v="1"/>
    <x v="23"/>
    <n v="1"/>
    <x v="23"/>
    <x v="0"/>
  </r>
  <r>
    <x v="1"/>
    <x v="5"/>
    <x v="3"/>
    <x v="2"/>
    <x v="2"/>
    <x v="24"/>
    <n v="0"/>
    <x v="24"/>
    <x v="0"/>
  </r>
  <r>
    <x v="1"/>
    <x v="5"/>
    <x v="3"/>
    <x v="2"/>
    <x v="2"/>
    <x v="25"/>
    <n v="0"/>
    <x v="25"/>
    <x v="0"/>
  </r>
  <r>
    <x v="1"/>
    <x v="5"/>
    <x v="3"/>
    <x v="2"/>
    <x v="2"/>
    <x v="26"/>
    <n v="1"/>
    <x v="26"/>
    <x v="0"/>
  </r>
  <r>
    <x v="1"/>
    <x v="5"/>
    <x v="3"/>
    <x v="2"/>
    <x v="2"/>
    <x v="27"/>
    <n v="1"/>
    <x v="27"/>
    <x v="0"/>
  </r>
  <r>
    <x v="1"/>
    <x v="5"/>
    <x v="3"/>
    <x v="2"/>
    <x v="2"/>
    <x v="28"/>
    <n v="1"/>
    <x v="28"/>
    <x v="0"/>
  </r>
  <r>
    <x v="1"/>
    <x v="5"/>
    <x v="3"/>
    <x v="2"/>
    <x v="2"/>
    <x v="29"/>
    <n v="0"/>
    <x v="29"/>
    <x v="0"/>
  </r>
  <r>
    <x v="1"/>
    <x v="5"/>
    <x v="3"/>
    <x v="2"/>
    <x v="2"/>
    <x v="30"/>
    <n v="0"/>
    <x v="30"/>
    <x v="1"/>
  </r>
  <r>
    <x v="1"/>
    <x v="5"/>
    <x v="3"/>
    <x v="2"/>
    <x v="2"/>
    <x v="31"/>
    <n v="1"/>
    <x v="31"/>
    <x v="1"/>
  </r>
  <r>
    <x v="1"/>
    <x v="5"/>
    <x v="3"/>
    <x v="2"/>
    <x v="2"/>
    <x v="32"/>
    <n v="1"/>
    <x v="32"/>
    <x v="1"/>
  </r>
  <r>
    <x v="1"/>
    <x v="5"/>
    <x v="3"/>
    <x v="2"/>
    <x v="2"/>
    <x v="33"/>
    <n v="0"/>
    <x v="33"/>
    <x v="1"/>
  </r>
  <r>
    <x v="1"/>
    <x v="5"/>
    <x v="3"/>
    <x v="2"/>
    <x v="2"/>
    <x v="34"/>
    <n v="0"/>
    <x v="34"/>
    <x v="0"/>
  </r>
  <r>
    <x v="1"/>
    <x v="5"/>
    <x v="3"/>
    <x v="2"/>
    <x v="2"/>
    <x v="35"/>
    <n v="0"/>
    <x v="35"/>
    <x v="0"/>
  </r>
  <r>
    <x v="1"/>
    <x v="5"/>
    <x v="3"/>
    <x v="2"/>
    <x v="2"/>
    <x v="36"/>
    <n v="2"/>
    <x v="36"/>
    <x v="0"/>
  </r>
  <r>
    <x v="1"/>
    <x v="5"/>
    <x v="3"/>
    <x v="2"/>
    <x v="2"/>
    <x v="37"/>
    <n v="0"/>
    <x v="37"/>
    <x v="0"/>
  </r>
  <r>
    <x v="1"/>
    <x v="5"/>
    <x v="3"/>
    <x v="3"/>
    <x v="0"/>
    <x v="0"/>
    <n v="0"/>
    <x v="0"/>
    <x v="0"/>
  </r>
  <r>
    <x v="1"/>
    <x v="5"/>
    <x v="3"/>
    <x v="3"/>
    <x v="0"/>
    <x v="1"/>
    <n v="0"/>
    <x v="1"/>
    <x v="0"/>
  </r>
  <r>
    <x v="1"/>
    <x v="5"/>
    <x v="3"/>
    <x v="3"/>
    <x v="0"/>
    <x v="2"/>
    <n v="0"/>
    <x v="2"/>
    <x v="0"/>
  </r>
  <r>
    <x v="1"/>
    <x v="5"/>
    <x v="3"/>
    <x v="3"/>
    <x v="0"/>
    <x v="3"/>
    <n v="0"/>
    <x v="3"/>
    <x v="0"/>
  </r>
  <r>
    <x v="1"/>
    <x v="5"/>
    <x v="3"/>
    <x v="3"/>
    <x v="0"/>
    <x v="4"/>
    <n v="0"/>
    <x v="4"/>
    <x v="0"/>
  </r>
  <r>
    <x v="1"/>
    <x v="5"/>
    <x v="3"/>
    <x v="3"/>
    <x v="0"/>
    <x v="5"/>
    <n v="0"/>
    <x v="5"/>
    <x v="1"/>
  </r>
  <r>
    <x v="1"/>
    <x v="5"/>
    <x v="3"/>
    <x v="3"/>
    <x v="0"/>
    <x v="6"/>
    <n v="0"/>
    <x v="6"/>
    <x v="1"/>
  </r>
  <r>
    <x v="1"/>
    <x v="5"/>
    <x v="3"/>
    <x v="3"/>
    <x v="0"/>
    <x v="7"/>
    <n v="0"/>
    <x v="7"/>
    <x v="1"/>
  </r>
  <r>
    <x v="1"/>
    <x v="5"/>
    <x v="3"/>
    <x v="3"/>
    <x v="0"/>
    <x v="8"/>
    <n v="0"/>
    <x v="8"/>
    <x v="1"/>
  </r>
  <r>
    <x v="1"/>
    <x v="5"/>
    <x v="3"/>
    <x v="3"/>
    <x v="0"/>
    <x v="9"/>
    <n v="0"/>
    <x v="9"/>
    <x v="0"/>
  </r>
  <r>
    <x v="1"/>
    <x v="5"/>
    <x v="3"/>
    <x v="3"/>
    <x v="0"/>
    <x v="10"/>
    <n v="0"/>
    <x v="10"/>
    <x v="0"/>
  </r>
  <r>
    <x v="1"/>
    <x v="5"/>
    <x v="3"/>
    <x v="3"/>
    <x v="0"/>
    <x v="11"/>
    <n v="0"/>
    <x v="11"/>
    <x v="0"/>
  </r>
  <r>
    <x v="1"/>
    <x v="5"/>
    <x v="3"/>
    <x v="3"/>
    <x v="1"/>
    <x v="12"/>
    <n v="0"/>
    <x v="12"/>
    <x v="0"/>
  </r>
  <r>
    <x v="1"/>
    <x v="5"/>
    <x v="3"/>
    <x v="3"/>
    <x v="1"/>
    <x v="13"/>
    <n v="0"/>
    <x v="13"/>
    <x v="0"/>
  </r>
  <r>
    <x v="1"/>
    <x v="5"/>
    <x v="3"/>
    <x v="3"/>
    <x v="1"/>
    <x v="14"/>
    <n v="0"/>
    <x v="14"/>
    <x v="0"/>
  </r>
  <r>
    <x v="1"/>
    <x v="5"/>
    <x v="3"/>
    <x v="3"/>
    <x v="1"/>
    <x v="15"/>
    <n v="0"/>
    <x v="15"/>
    <x v="0"/>
  </r>
  <r>
    <x v="1"/>
    <x v="5"/>
    <x v="3"/>
    <x v="3"/>
    <x v="1"/>
    <x v="16"/>
    <n v="0"/>
    <x v="16"/>
    <x v="0"/>
  </r>
  <r>
    <x v="1"/>
    <x v="5"/>
    <x v="3"/>
    <x v="3"/>
    <x v="1"/>
    <x v="17"/>
    <n v="0"/>
    <x v="17"/>
    <x v="0"/>
  </r>
  <r>
    <x v="1"/>
    <x v="5"/>
    <x v="3"/>
    <x v="3"/>
    <x v="1"/>
    <x v="18"/>
    <n v="0"/>
    <x v="18"/>
    <x v="1"/>
  </r>
  <r>
    <x v="1"/>
    <x v="5"/>
    <x v="3"/>
    <x v="3"/>
    <x v="1"/>
    <x v="19"/>
    <n v="0"/>
    <x v="19"/>
    <x v="1"/>
  </r>
  <r>
    <x v="1"/>
    <x v="5"/>
    <x v="3"/>
    <x v="3"/>
    <x v="1"/>
    <x v="20"/>
    <n v="0"/>
    <x v="20"/>
    <x v="1"/>
  </r>
  <r>
    <x v="1"/>
    <x v="5"/>
    <x v="3"/>
    <x v="3"/>
    <x v="1"/>
    <x v="21"/>
    <n v="0"/>
    <x v="21"/>
    <x v="1"/>
  </r>
  <r>
    <x v="1"/>
    <x v="5"/>
    <x v="3"/>
    <x v="3"/>
    <x v="1"/>
    <x v="22"/>
    <n v="0"/>
    <x v="22"/>
    <x v="0"/>
  </r>
  <r>
    <x v="1"/>
    <x v="5"/>
    <x v="3"/>
    <x v="3"/>
    <x v="1"/>
    <x v="23"/>
    <n v="0"/>
    <x v="23"/>
    <x v="0"/>
  </r>
  <r>
    <x v="1"/>
    <x v="5"/>
    <x v="3"/>
    <x v="3"/>
    <x v="2"/>
    <x v="24"/>
    <n v="0"/>
    <x v="24"/>
    <x v="0"/>
  </r>
  <r>
    <x v="1"/>
    <x v="5"/>
    <x v="3"/>
    <x v="3"/>
    <x v="2"/>
    <x v="25"/>
    <n v="0"/>
    <x v="25"/>
    <x v="0"/>
  </r>
  <r>
    <x v="1"/>
    <x v="5"/>
    <x v="3"/>
    <x v="3"/>
    <x v="2"/>
    <x v="26"/>
    <n v="0"/>
    <x v="26"/>
    <x v="0"/>
  </r>
  <r>
    <x v="1"/>
    <x v="5"/>
    <x v="3"/>
    <x v="3"/>
    <x v="2"/>
    <x v="27"/>
    <n v="0"/>
    <x v="27"/>
    <x v="0"/>
  </r>
  <r>
    <x v="1"/>
    <x v="5"/>
    <x v="3"/>
    <x v="3"/>
    <x v="2"/>
    <x v="28"/>
    <n v="0"/>
    <x v="28"/>
    <x v="0"/>
  </r>
  <r>
    <x v="1"/>
    <x v="5"/>
    <x v="3"/>
    <x v="3"/>
    <x v="2"/>
    <x v="29"/>
    <n v="0"/>
    <x v="29"/>
    <x v="0"/>
  </r>
  <r>
    <x v="1"/>
    <x v="5"/>
    <x v="3"/>
    <x v="3"/>
    <x v="2"/>
    <x v="30"/>
    <n v="0"/>
    <x v="30"/>
    <x v="1"/>
  </r>
  <r>
    <x v="1"/>
    <x v="5"/>
    <x v="3"/>
    <x v="3"/>
    <x v="2"/>
    <x v="31"/>
    <n v="0"/>
    <x v="31"/>
    <x v="1"/>
  </r>
  <r>
    <x v="1"/>
    <x v="5"/>
    <x v="3"/>
    <x v="3"/>
    <x v="2"/>
    <x v="32"/>
    <n v="0"/>
    <x v="32"/>
    <x v="1"/>
  </r>
  <r>
    <x v="1"/>
    <x v="5"/>
    <x v="3"/>
    <x v="3"/>
    <x v="2"/>
    <x v="33"/>
    <n v="0"/>
    <x v="33"/>
    <x v="1"/>
  </r>
  <r>
    <x v="1"/>
    <x v="5"/>
    <x v="3"/>
    <x v="3"/>
    <x v="2"/>
    <x v="34"/>
    <n v="0"/>
    <x v="34"/>
    <x v="0"/>
  </r>
  <r>
    <x v="1"/>
    <x v="5"/>
    <x v="3"/>
    <x v="3"/>
    <x v="2"/>
    <x v="35"/>
    <n v="0"/>
    <x v="35"/>
    <x v="0"/>
  </r>
  <r>
    <x v="1"/>
    <x v="5"/>
    <x v="3"/>
    <x v="3"/>
    <x v="2"/>
    <x v="36"/>
    <n v="0"/>
    <x v="36"/>
    <x v="0"/>
  </r>
  <r>
    <x v="1"/>
    <x v="5"/>
    <x v="3"/>
    <x v="3"/>
    <x v="2"/>
    <x v="37"/>
    <n v="0"/>
    <x v="37"/>
    <x v="0"/>
  </r>
  <r>
    <x v="1"/>
    <x v="5"/>
    <x v="3"/>
    <x v="4"/>
    <x v="0"/>
    <x v="0"/>
    <n v="0"/>
    <x v="0"/>
    <x v="0"/>
  </r>
  <r>
    <x v="1"/>
    <x v="5"/>
    <x v="3"/>
    <x v="4"/>
    <x v="0"/>
    <x v="1"/>
    <n v="0"/>
    <x v="1"/>
    <x v="0"/>
  </r>
  <r>
    <x v="1"/>
    <x v="5"/>
    <x v="3"/>
    <x v="4"/>
    <x v="0"/>
    <x v="2"/>
    <n v="0"/>
    <x v="2"/>
    <x v="0"/>
  </r>
  <r>
    <x v="1"/>
    <x v="5"/>
    <x v="3"/>
    <x v="4"/>
    <x v="0"/>
    <x v="3"/>
    <n v="0"/>
    <x v="3"/>
    <x v="0"/>
  </r>
  <r>
    <x v="1"/>
    <x v="5"/>
    <x v="3"/>
    <x v="4"/>
    <x v="0"/>
    <x v="4"/>
    <n v="0"/>
    <x v="4"/>
    <x v="0"/>
  </r>
  <r>
    <x v="1"/>
    <x v="5"/>
    <x v="3"/>
    <x v="4"/>
    <x v="0"/>
    <x v="5"/>
    <n v="0"/>
    <x v="5"/>
    <x v="1"/>
  </r>
  <r>
    <x v="1"/>
    <x v="5"/>
    <x v="3"/>
    <x v="4"/>
    <x v="0"/>
    <x v="6"/>
    <n v="0"/>
    <x v="6"/>
    <x v="1"/>
  </r>
  <r>
    <x v="1"/>
    <x v="5"/>
    <x v="3"/>
    <x v="4"/>
    <x v="0"/>
    <x v="7"/>
    <n v="0"/>
    <x v="7"/>
    <x v="1"/>
  </r>
  <r>
    <x v="1"/>
    <x v="5"/>
    <x v="3"/>
    <x v="4"/>
    <x v="0"/>
    <x v="8"/>
    <n v="0"/>
    <x v="8"/>
    <x v="1"/>
  </r>
  <r>
    <x v="1"/>
    <x v="5"/>
    <x v="3"/>
    <x v="4"/>
    <x v="0"/>
    <x v="9"/>
    <n v="0"/>
    <x v="9"/>
    <x v="0"/>
  </r>
  <r>
    <x v="1"/>
    <x v="5"/>
    <x v="3"/>
    <x v="4"/>
    <x v="0"/>
    <x v="10"/>
    <n v="0"/>
    <x v="10"/>
    <x v="0"/>
  </r>
  <r>
    <x v="1"/>
    <x v="5"/>
    <x v="3"/>
    <x v="4"/>
    <x v="0"/>
    <x v="11"/>
    <n v="0"/>
    <x v="11"/>
    <x v="0"/>
  </r>
  <r>
    <x v="1"/>
    <x v="5"/>
    <x v="3"/>
    <x v="4"/>
    <x v="1"/>
    <x v="12"/>
    <n v="0"/>
    <x v="12"/>
    <x v="0"/>
  </r>
  <r>
    <x v="1"/>
    <x v="5"/>
    <x v="3"/>
    <x v="4"/>
    <x v="1"/>
    <x v="13"/>
    <n v="0"/>
    <x v="13"/>
    <x v="0"/>
  </r>
  <r>
    <x v="1"/>
    <x v="5"/>
    <x v="3"/>
    <x v="4"/>
    <x v="1"/>
    <x v="14"/>
    <n v="0"/>
    <x v="14"/>
    <x v="0"/>
  </r>
  <r>
    <x v="1"/>
    <x v="5"/>
    <x v="3"/>
    <x v="4"/>
    <x v="1"/>
    <x v="15"/>
    <n v="0"/>
    <x v="15"/>
    <x v="0"/>
  </r>
  <r>
    <x v="1"/>
    <x v="5"/>
    <x v="3"/>
    <x v="4"/>
    <x v="1"/>
    <x v="16"/>
    <n v="0"/>
    <x v="16"/>
    <x v="0"/>
  </r>
  <r>
    <x v="1"/>
    <x v="5"/>
    <x v="3"/>
    <x v="4"/>
    <x v="1"/>
    <x v="17"/>
    <n v="0"/>
    <x v="17"/>
    <x v="0"/>
  </r>
  <r>
    <x v="1"/>
    <x v="5"/>
    <x v="3"/>
    <x v="4"/>
    <x v="1"/>
    <x v="18"/>
    <n v="0"/>
    <x v="18"/>
    <x v="1"/>
  </r>
  <r>
    <x v="1"/>
    <x v="5"/>
    <x v="3"/>
    <x v="4"/>
    <x v="1"/>
    <x v="19"/>
    <n v="0"/>
    <x v="19"/>
    <x v="1"/>
  </r>
  <r>
    <x v="1"/>
    <x v="5"/>
    <x v="3"/>
    <x v="4"/>
    <x v="1"/>
    <x v="20"/>
    <n v="0"/>
    <x v="20"/>
    <x v="1"/>
  </r>
  <r>
    <x v="1"/>
    <x v="5"/>
    <x v="3"/>
    <x v="4"/>
    <x v="1"/>
    <x v="21"/>
    <n v="0"/>
    <x v="21"/>
    <x v="1"/>
  </r>
  <r>
    <x v="1"/>
    <x v="5"/>
    <x v="3"/>
    <x v="4"/>
    <x v="1"/>
    <x v="22"/>
    <n v="0"/>
    <x v="22"/>
    <x v="0"/>
  </r>
  <r>
    <x v="1"/>
    <x v="5"/>
    <x v="3"/>
    <x v="4"/>
    <x v="1"/>
    <x v="23"/>
    <n v="0"/>
    <x v="23"/>
    <x v="0"/>
  </r>
  <r>
    <x v="1"/>
    <x v="5"/>
    <x v="3"/>
    <x v="4"/>
    <x v="2"/>
    <x v="24"/>
    <n v="0"/>
    <x v="24"/>
    <x v="0"/>
  </r>
  <r>
    <x v="1"/>
    <x v="5"/>
    <x v="3"/>
    <x v="4"/>
    <x v="2"/>
    <x v="25"/>
    <n v="0"/>
    <x v="25"/>
    <x v="0"/>
  </r>
  <r>
    <x v="1"/>
    <x v="5"/>
    <x v="3"/>
    <x v="4"/>
    <x v="2"/>
    <x v="26"/>
    <n v="0"/>
    <x v="26"/>
    <x v="0"/>
  </r>
  <r>
    <x v="1"/>
    <x v="5"/>
    <x v="3"/>
    <x v="4"/>
    <x v="2"/>
    <x v="27"/>
    <n v="0"/>
    <x v="27"/>
    <x v="0"/>
  </r>
  <r>
    <x v="1"/>
    <x v="5"/>
    <x v="3"/>
    <x v="4"/>
    <x v="2"/>
    <x v="28"/>
    <n v="1"/>
    <x v="28"/>
    <x v="0"/>
  </r>
  <r>
    <x v="1"/>
    <x v="5"/>
    <x v="3"/>
    <x v="4"/>
    <x v="2"/>
    <x v="29"/>
    <n v="0"/>
    <x v="29"/>
    <x v="0"/>
  </r>
  <r>
    <x v="1"/>
    <x v="5"/>
    <x v="3"/>
    <x v="4"/>
    <x v="2"/>
    <x v="30"/>
    <n v="0"/>
    <x v="30"/>
    <x v="1"/>
  </r>
  <r>
    <x v="1"/>
    <x v="5"/>
    <x v="3"/>
    <x v="4"/>
    <x v="2"/>
    <x v="31"/>
    <n v="0"/>
    <x v="31"/>
    <x v="1"/>
  </r>
  <r>
    <x v="1"/>
    <x v="5"/>
    <x v="3"/>
    <x v="4"/>
    <x v="2"/>
    <x v="32"/>
    <n v="0"/>
    <x v="32"/>
    <x v="1"/>
  </r>
  <r>
    <x v="1"/>
    <x v="5"/>
    <x v="3"/>
    <x v="4"/>
    <x v="2"/>
    <x v="33"/>
    <n v="0"/>
    <x v="33"/>
    <x v="1"/>
  </r>
  <r>
    <x v="1"/>
    <x v="5"/>
    <x v="3"/>
    <x v="4"/>
    <x v="2"/>
    <x v="34"/>
    <n v="0"/>
    <x v="34"/>
    <x v="0"/>
  </r>
  <r>
    <x v="1"/>
    <x v="5"/>
    <x v="3"/>
    <x v="4"/>
    <x v="2"/>
    <x v="35"/>
    <n v="0"/>
    <x v="35"/>
    <x v="0"/>
  </r>
  <r>
    <x v="1"/>
    <x v="5"/>
    <x v="3"/>
    <x v="4"/>
    <x v="2"/>
    <x v="36"/>
    <n v="0"/>
    <x v="36"/>
    <x v="0"/>
  </r>
  <r>
    <x v="1"/>
    <x v="5"/>
    <x v="3"/>
    <x v="4"/>
    <x v="2"/>
    <x v="37"/>
    <n v="0"/>
    <x v="37"/>
    <x v="0"/>
  </r>
  <r>
    <x v="2"/>
    <x v="6"/>
    <x v="2"/>
    <x v="0"/>
    <x v="0"/>
    <x v="0"/>
    <n v="3"/>
    <x v="0"/>
    <x v="0"/>
  </r>
  <r>
    <x v="2"/>
    <x v="6"/>
    <x v="2"/>
    <x v="0"/>
    <x v="0"/>
    <x v="1"/>
    <n v="3"/>
    <x v="1"/>
    <x v="0"/>
  </r>
  <r>
    <x v="2"/>
    <x v="6"/>
    <x v="2"/>
    <x v="0"/>
    <x v="0"/>
    <x v="2"/>
    <n v="3"/>
    <x v="2"/>
    <x v="0"/>
  </r>
  <r>
    <x v="2"/>
    <x v="6"/>
    <x v="2"/>
    <x v="0"/>
    <x v="0"/>
    <x v="3"/>
    <n v="8"/>
    <x v="3"/>
    <x v="0"/>
  </r>
  <r>
    <x v="2"/>
    <x v="6"/>
    <x v="2"/>
    <x v="0"/>
    <x v="0"/>
    <x v="4"/>
    <n v="15"/>
    <x v="4"/>
    <x v="0"/>
  </r>
  <r>
    <x v="2"/>
    <x v="6"/>
    <x v="2"/>
    <x v="0"/>
    <x v="0"/>
    <x v="5"/>
    <n v="11"/>
    <x v="5"/>
    <x v="1"/>
  </r>
  <r>
    <x v="2"/>
    <x v="6"/>
    <x v="2"/>
    <x v="0"/>
    <x v="0"/>
    <x v="6"/>
    <n v="8"/>
    <x v="6"/>
    <x v="1"/>
  </r>
  <r>
    <x v="2"/>
    <x v="6"/>
    <x v="2"/>
    <x v="0"/>
    <x v="0"/>
    <x v="7"/>
    <n v="16"/>
    <x v="7"/>
    <x v="1"/>
  </r>
  <r>
    <x v="2"/>
    <x v="6"/>
    <x v="2"/>
    <x v="0"/>
    <x v="0"/>
    <x v="8"/>
    <n v="13"/>
    <x v="8"/>
    <x v="1"/>
  </r>
  <r>
    <x v="2"/>
    <x v="6"/>
    <x v="2"/>
    <x v="0"/>
    <x v="0"/>
    <x v="9"/>
    <n v="20"/>
    <x v="9"/>
    <x v="0"/>
  </r>
  <r>
    <x v="2"/>
    <x v="6"/>
    <x v="2"/>
    <x v="0"/>
    <x v="0"/>
    <x v="10"/>
    <n v="13"/>
    <x v="10"/>
    <x v="0"/>
  </r>
  <r>
    <x v="2"/>
    <x v="6"/>
    <x v="2"/>
    <x v="0"/>
    <x v="0"/>
    <x v="11"/>
    <n v="19"/>
    <x v="11"/>
    <x v="0"/>
  </r>
  <r>
    <x v="2"/>
    <x v="6"/>
    <x v="2"/>
    <x v="0"/>
    <x v="1"/>
    <x v="12"/>
    <n v="22"/>
    <x v="12"/>
    <x v="0"/>
  </r>
  <r>
    <x v="2"/>
    <x v="6"/>
    <x v="2"/>
    <x v="0"/>
    <x v="1"/>
    <x v="13"/>
    <n v="19"/>
    <x v="13"/>
    <x v="0"/>
  </r>
  <r>
    <x v="2"/>
    <x v="6"/>
    <x v="2"/>
    <x v="0"/>
    <x v="1"/>
    <x v="14"/>
    <n v="20"/>
    <x v="14"/>
    <x v="0"/>
  </r>
  <r>
    <x v="2"/>
    <x v="6"/>
    <x v="2"/>
    <x v="0"/>
    <x v="1"/>
    <x v="15"/>
    <n v="36"/>
    <x v="15"/>
    <x v="0"/>
  </r>
  <r>
    <x v="2"/>
    <x v="6"/>
    <x v="2"/>
    <x v="0"/>
    <x v="1"/>
    <x v="16"/>
    <n v="25"/>
    <x v="16"/>
    <x v="0"/>
  </r>
  <r>
    <x v="2"/>
    <x v="6"/>
    <x v="2"/>
    <x v="0"/>
    <x v="1"/>
    <x v="17"/>
    <n v="33"/>
    <x v="17"/>
    <x v="0"/>
  </r>
  <r>
    <x v="2"/>
    <x v="6"/>
    <x v="2"/>
    <x v="0"/>
    <x v="1"/>
    <x v="18"/>
    <n v="29"/>
    <x v="18"/>
    <x v="1"/>
  </r>
  <r>
    <x v="2"/>
    <x v="6"/>
    <x v="2"/>
    <x v="0"/>
    <x v="1"/>
    <x v="19"/>
    <n v="22"/>
    <x v="19"/>
    <x v="1"/>
  </r>
  <r>
    <x v="2"/>
    <x v="6"/>
    <x v="2"/>
    <x v="0"/>
    <x v="1"/>
    <x v="20"/>
    <n v="32"/>
    <x v="20"/>
    <x v="1"/>
  </r>
  <r>
    <x v="2"/>
    <x v="6"/>
    <x v="2"/>
    <x v="0"/>
    <x v="1"/>
    <x v="21"/>
    <n v="28"/>
    <x v="21"/>
    <x v="1"/>
  </r>
  <r>
    <x v="2"/>
    <x v="6"/>
    <x v="2"/>
    <x v="0"/>
    <x v="1"/>
    <x v="22"/>
    <n v="22"/>
    <x v="22"/>
    <x v="0"/>
  </r>
  <r>
    <x v="2"/>
    <x v="6"/>
    <x v="2"/>
    <x v="0"/>
    <x v="1"/>
    <x v="23"/>
    <n v="22"/>
    <x v="23"/>
    <x v="0"/>
  </r>
  <r>
    <x v="2"/>
    <x v="6"/>
    <x v="2"/>
    <x v="0"/>
    <x v="2"/>
    <x v="24"/>
    <n v="20"/>
    <x v="24"/>
    <x v="0"/>
  </r>
  <r>
    <x v="2"/>
    <x v="6"/>
    <x v="2"/>
    <x v="0"/>
    <x v="2"/>
    <x v="25"/>
    <n v="23"/>
    <x v="25"/>
    <x v="0"/>
  </r>
  <r>
    <x v="2"/>
    <x v="6"/>
    <x v="2"/>
    <x v="0"/>
    <x v="2"/>
    <x v="26"/>
    <n v="23"/>
    <x v="26"/>
    <x v="0"/>
  </r>
  <r>
    <x v="2"/>
    <x v="6"/>
    <x v="2"/>
    <x v="0"/>
    <x v="2"/>
    <x v="27"/>
    <n v="19"/>
    <x v="27"/>
    <x v="0"/>
  </r>
  <r>
    <x v="2"/>
    <x v="6"/>
    <x v="2"/>
    <x v="0"/>
    <x v="2"/>
    <x v="28"/>
    <n v="19"/>
    <x v="28"/>
    <x v="0"/>
  </r>
  <r>
    <x v="2"/>
    <x v="6"/>
    <x v="2"/>
    <x v="0"/>
    <x v="2"/>
    <x v="29"/>
    <n v="26"/>
    <x v="29"/>
    <x v="0"/>
  </r>
  <r>
    <x v="2"/>
    <x v="6"/>
    <x v="2"/>
    <x v="0"/>
    <x v="2"/>
    <x v="30"/>
    <n v="21"/>
    <x v="30"/>
    <x v="1"/>
  </r>
  <r>
    <x v="2"/>
    <x v="6"/>
    <x v="2"/>
    <x v="0"/>
    <x v="2"/>
    <x v="31"/>
    <n v="24"/>
    <x v="31"/>
    <x v="1"/>
  </r>
  <r>
    <x v="2"/>
    <x v="6"/>
    <x v="2"/>
    <x v="0"/>
    <x v="2"/>
    <x v="32"/>
    <n v="13"/>
    <x v="32"/>
    <x v="1"/>
  </r>
  <r>
    <x v="2"/>
    <x v="6"/>
    <x v="2"/>
    <x v="0"/>
    <x v="2"/>
    <x v="33"/>
    <n v="18"/>
    <x v="33"/>
    <x v="1"/>
  </r>
  <r>
    <x v="2"/>
    <x v="6"/>
    <x v="2"/>
    <x v="0"/>
    <x v="2"/>
    <x v="34"/>
    <n v="13"/>
    <x v="34"/>
    <x v="0"/>
  </r>
  <r>
    <x v="2"/>
    <x v="6"/>
    <x v="2"/>
    <x v="0"/>
    <x v="2"/>
    <x v="35"/>
    <n v="23"/>
    <x v="35"/>
    <x v="0"/>
  </r>
  <r>
    <x v="2"/>
    <x v="6"/>
    <x v="2"/>
    <x v="0"/>
    <x v="2"/>
    <x v="36"/>
    <n v="13"/>
    <x v="36"/>
    <x v="0"/>
  </r>
  <r>
    <x v="2"/>
    <x v="6"/>
    <x v="2"/>
    <x v="0"/>
    <x v="2"/>
    <x v="37"/>
    <n v="25"/>
    <x v="37"/>
    <x v="0"/>
  </r>
  <r>
    <x v="2"/>
    <x v="6"/>
    <x v="2"/>
    <x v="1"/>
    <x v="0"/>
    <x v="0"/>
    <n v="0"/>
    <x v="0"/>
    <x v="0"/>
  </r>
  <r>
    <x v="2"/>
    <x v="6"/>
    <x v="2"/>
    <x v="1"/>
    <x v="0"/>
    <x v="1"/>
    <n v="0"/>
    <x v="1"/>
    <x v="0"/>
  </r>
  <r>
    <x v="2"/>
    <x v="6"/>
    <x v="2"/>
    <x v="1"/>
    <x v="0"/>
    <x v="2"/>
    <n v="0"/>
    <x v="2"/>
    <x v="0"/>
  </r>
  <r>
    <x v="2"/>
    <x v="6"/>
    <x v="2"/>
    <x v="1"/>
    <x v="0"/>
    <x v="3"/>
    <n v="0"/>
    <x v="3"/>
    <x v="0"/>
  </r>
  <r>
    <x v="2"/>
    <x v="6"/>
    <x v="2"/>
    <x v="1"/>
    <x v="0"/>
    <x v="4"/>
    <n v="0"/>
    <x v="4"/>
    <x v="0"/>
  </r>
  <r>
    <x v="2"/>
    <x v="6"/>
    <x v="2"/>
    <x v="1"/>
    <x v="0"/>
    <x v="5"/>
    <n v="0"/>
    <x v="5"/>
    <x v="1"/>
  </r>
  <r>
    <x v="2"/>
    <x v="6"/>
    <x v="2"/>
    <x v="1"/>
    <x v="0"/>
    <x v="6"/>
    <n v="0"/>
    <x v="6"/>
    <x v="1"/>
  </r>
  <r>
    <x v="2"/>
    <x v="6"/>
    <x v="2"/>
    <x v="1"/>
    <x v="0"/>
    <x v="7"/>
    <n v="0"/>
    <x v="7"/>
    <x v="1"/>
  </r>
  <r>
    <x v="2"/>
    <x v="6"/>
    <x v="2"/>
    <x v="1"/>
    <x v="0"/>
    <x v="8"/>
    <n v="0"/>
    <x v="8"/>
    <x v="1"/>
  </r>
  <r>
    <x v="2"/>
    <x v="6"/>
    <x v="2"/>
    <x v="1"/>
    <x v="0"/>
    <x v="9"/>
    <n v="0"/>
    <x v="9"/>
    <x v="0"/>
  </r>
  <r>
    <x v="2"/>
    <x v="6"/>
    <x v="2"/>
    <x v="1"/>
    <x v="0"/>
    <x v="10"/>
    <n v="0"/>
    <x v="10"/>
    <x v="0"/>
  </r>
  <r>
    <x v="2"/>
    <x v="6"/>
    <x v="2"/>
    <x v="1"/>
    <x v="0"/>
    <x v="11"/>
    <n v="0"/>
    <x v="11"/>
    <x v="0"/>
  </r>
  <r>
    <x v="2"/>
    <x v="6"/>
    <x v="2"/>
    <x v="1"/>
    <x v="1"/>
    <x v="12"/>
    <n v="0"/>
    <x v="12"/>
    <x v="0"/>
  </r>
  <r>
    <x v="2"/>
    <x v="6"/>
    <x v="2"/>
    <x v="1"/>
    <x v="1"/>
    <x v="13"/>
    <n v="0"/>
    <x v="13"/>
    <x v="0"/>
  </r>
  <r>
    <x v="2"/>
    <x v="6"/>
    <x v="2"/>
    <x v="1"/>
    <x v="1"/>
    <x v="14"/>
    <n v="0"/>
    <x v="14"/>
    <x v="0"/>
  </r>
  <r>
    <x v="2"/>
    <x v="6"/>
    <x v="2"/>
    <x v="1"/>
    <x v="1"/>
    <x v="15"/>
    <n v="0"/>
    <x v="15"/>
    <x v="0"/>
  </r>
  <r>
    <x v="2"/>
    <x v="6"/>
    <x v="2"/>
    <x v="1"/>
    <x v="1"/>
    <x v="16"/>
    <n v="0"/>
    <x v="16"/>
    <x v="0"/>
  </r>
  <r>
    <x v="2"/>
    <x v="6"/>
    <x v="2"/>
    <x v="1"/>
    <x v="1"/>
    <x v="17"/>
    <n v="0"/>
    <x v="17"/>
    <x v="0"/>
  </r>
  <r>
    <x v="2"/>
    <x v="6"/>
    <x v="2"/>
    <x v="1"/>
    <x v="1"/>
    <x v="18"/>
    <n v="0"/>
    <x v="18"/>
    <x v="1"/>
  </r>
  <r>
    <x v="2"/>
    <x v="6"/>
    <x v="2"/>
    <x v="1"/>
    <x v="1"/>
    <x v="19"/>
    <n v="0"/>
    <x v="19"/>
    <x v="1"/>
  </r>
  <r>
    <x v="2"/>
    <x v="6"/>
    <x v="2"/>
    <x v="1"/>
    <x v="1"/>
    <x v="20"/>
    <n v="0"/>
    <x v="20"/>
    <x v="1"/>
  </r>
  <r>
    <x v="2"/>
    <x v="6"/>
    <x v="2"/>
    <x v="1"/>
    <x v="1"/>
    <x v="21"/>
    <n v="0"/>
    <x v="21"/>
    <x v="1"/>
  </r>
  <r>
    <x v="2"/>
    <x v="6"/>
    <x v="2"/>
    <x v="1"/>
    <x v="1"/>
    <x v="22"/>
    <n v="0"/>
    <x v="22"/>
    <x v="0"/>
  </r>
  <r>
    <x v="2"/>
    <x v="6"/>
    <x v="2"/>
    <x v="1"/>
    <x v="1"/>
    <x v="23"/>
    <n v="0"/>
    <x v="23"/>
    <x v="0"/>
  </r>
  <r>
    <x v="2"/>
    <x v="6"/>
    <x v="2"/>
    <x v="1"/>
    <x v="2"/>
    <x v="24"/>
    <n v="0"/>
    <x v="24"/>
    <x v="0"/>
  </r>
  <r>
    <x v="2"/>
    <x v="6"/>
    <x v="2"/>
    <x v="1"/>
    <x v="2"/>
    <x v="25"/>
    <n v="0"/>
    <x v="25"/>
    <x v="0"/>
  </r>
  <r>
    <x v="2"/>
    <x v="6"/>
    <x v="2"/>
    <x v="1"/>
    <x v="2"/>
    <x v="26"/>
    <n v="0"/>
    <x v="26"/>
    <x v="0"/>
  </r>
  <r>
    <x v="2"/>
    <x v="6"/>
    <x v="2"/>
    <x v="1"/>
    <x v="2"/>
    <x v="27"/>
    <n v="0"/>
    <x v="27"/>
    <x v="0"/>
  </r>
  <r>
    <x v="2"/>
    <x v="6"/>
    <x v="2"/>
    <x v="1"/>
    <x v="2"/>
    <x v="28"/>
    <n v="0"/>
    <x v="28"/>
    <x v="0"/>
  </r>
  <r>
    <x v="2"/>
    <x v="6"/>
    <x v="2"/>
    <x v="1"/>
    <x v="2"/>
    <x v="29"/>
    <n v="0"/>
    <x v="29"/>
    <x v="0"/>
  </r>
  <r>
    <x v="2"/>
    <x v="6"/>
    <x v="2"/>
    <x v="1"/>
    <x v="2"/>
    <x v="30"/>
    <n v="0"/>
    <x v="30"/>
    <x v="1"/>
  </r>
  <r>
    <x v="2"/>
    <x v="6"/>
    <x v="2"/>
    <x v="1"/>
    <x v="2"/>
    <x v="31"/>
    <n v="1"/>
    <x v="31"/>
    <x v="1"/>
  </r>
  <r>
    <x v="2"/>
    <x v="6"/>
    <x v="2"/>
    <x v="1"/>
    <x v="2"/>
    <x v="32"/>
    <n v="0"/>
    <x v="32"/>
    <x v="1"/>
  </r>
  <r>
    <x v="2"/>
    <x v="6"/>
    <x v="2"/>
    <x v="1"/>
    <x v="2"/>
    <x v="33"/>
    <n v="0"/>
    <x v="33"/>
    <x v="1"/>
  </r>
  <r>
    <x v="2"/>
    <x v="6"/>
    <x v="2"/>
    <x v="1"/>
    <x v="2"/>
    <x v="34"/>
    <n v="0"/>
    <x v="34"/>
    <x v="0"/>
  </r>
  <r>
    <x v="2"/>
    <x v="6"/>
    <x v="2"/>
    <x v="1"/>
    <x v="2"/>
    <x v="35"/>
    <n v="0"/>
    <x v="35"/>
    <x v="0"/>
  </r>
  <r>
    <x v="2"/>
    <x v="6"/>
    <x v="2"/>
    <x v="1"/>
    <x v="2"/>
    <x v="36"/>
    <n v="0"/>
    <x v="36"/>
    <x v="0"/>
  </r>
  <r>
    <x v="2"/>
    <x v="6"/>
    <x v="2"/>
    <x v="1"/>
    <x v="2"/>
    <x v="37"/>
    <n v="0"/>
    <x v="37"/>
    <x v="0"/>
  </r>
  <r>
    <x v="2"/>
    <x v="6"/>
    <x v="2"/>
    <x v="2"/>
    <x v="0"/>
    <x v="0"/>
    <n v="0"/>
    <x v="0"/>
    <x v="0"/>
  </r>
  <r>
    <x v="2"/>
    <x v="6"/>
    <x v="2"/>
    <x v="2"/>
    <x v="0"/>
    <x v="1"/>
    <n v="0"/>
    <x v="1"/>
    <x v="0"/>
  </r>
  <r>
    <x v="2"/>
    <x v="6"/>
    <x v="2"/>
    <x v="2"/>
    <x v="0"/>
    <x v="2"/>
    <n v="0"/>
    <x v="2"/>
    <x v="0"/>
  </r>
  <r>
    <x v="2"/>
    <x v="6"/>
    <x v="2"/>
    <x v="2"/>
    <x v="0"/>
    <x v="3"/>
    <n v="0"/>
    <x v="3"/>
    <x v="0"/>
  </r>
  <r>
    <x v="2"/>
    <x v="6"/>
    <x v="2"/>
    <x v="2"/>
    <x v="0"/>
    <x v="4"/>
    <n v="0"/>
    <x v="4"/>
    <x v="0"/>
  </r>
  <r>
    <x v="2"/>
    <x v="6"/>
    <x v="2"/>
    <x v="2"/>
    <x v="0"/>
    <x v="5"/>
    <n v="2"/>
    <x v="5"/>
    <x v="1"/>
  </r>
  <r>
    <x v="2"/>
    <x v="6"/>
    <x v="2"/>
    <x v="2"/>
    <x v="0"/>
    <x v="6"/>
    <n v="1"/>
    <x v="6"/>
    <x v="1"/>
  </r>
  <r>
    <x v="2"/>
    <x v="6"/>
    <x v="2"/>
    <x v="2"/>
    <x v="0"/>
    <x v="7"/>
    <n v="0"/>
    <x v="7"/>
    <x v="1"/>
  </r>
  <r>
    <x v="2"/>
    <x v="6"/>
    <x v="2"/>
    <x v="2"/>
    <x v="0"/>
    <x v="8"/>
    <n v="0"/>
    <x v="8"/>
    <x v="1"/>
  </r>
  <r>
    <x v="2"/>
    <x v="6"/>
    <x v="2"/>
    <x v="2"/>
    <x v="0"/>
    <x v="9"/>
    <n v="0"/>
    <x v="9"/>
    <x v="0"/>
  </r>
  <r>
    <x v="2"/>
    <x v="6"/>
    <x v="2"/>
    <x v="2"/>
    <x v="0"/>
    <x v="10"/>
    <n v="0"/>
    <x v="10"/>
    <x v="0"/>
  </r>
  <r>
    <x v="2"/>
    <x v="6"/>
    <x v="2"/>
    <x v="2"/>
    <x v="0"/>
    <x v="11"/>
    <n v="0"/>
    <x v="11"/>
    <x v="0"/>
  </r>
  <r>
    <x v="2"/>
    <x v="6"/>
    <x v="2"/>
    <x v="2"/>
    <x v="1"/>
    <x v="12"/>
    <n v="0"/>
    <x v="12"/>
    <x v="0"/>
  </r>
  <r>
    <x v="2"/>
    <x v="6"/>
    <x v="2"/>
    <x v="2"/>
    <x v="1"/>
    <x v="13"/>
    <n v="1"/>
    <x v="13"/>
    <x v="0"/>
  </r>
  <r>
    <x v="2"/>
    <x v="6"/>
    <x v="2"/>
    <x v="2"/>
    <x v="1"/>
    <x v="14"/>
    <n v="1"/>
    <x v="14"/>
    <x v="0"/>
  </r>
  <r>
    <x v="2"/>
    <x v="6"/>
    <x v="2"/>
    <x v="2"/>
    <x v="1"/>
    <x v="15"/>
    <n v="1"/>
    <x v="15"/>
    <x v="0"/>
  </r>
  <r>
    <x v="2"/>
    <x v="6"/>
    <x v="2"/>
    <x v="2"/>
    <x v="1"/>
    <x v="16"/>
    <n v="1"/>
    <x v="16"/>
    <x v="0"/>
  </r>
  <r>
    <x v="2"/>
    <x v="6"/>
    <x v="2"/>
    <x v="2"/>
    <x v="1"/>
    <x v="17"/>
    <n v="0"/>
    <x v="17"/>
    <x v="0"/>
  </r>
  <r>
    <x v="2"/>
    <x v="6"/>
    <x v="2"/>
    <x v="2"/>
    <x v="1"/>
    <x v="18"/>
    <n v="1"/>
    <x v="18"/>
    <x v="1"/>
  </r>
  <r>
    <x v="2"/>
    <x v="6"/>
    <x v="2"/>
    <x v="2"/>
    <x v="1"/>
    <x v="19"/>
    <n v="1"/>
    <x v="19"/>
    <x v="1"/>
  </r>
  <r>
    <x v="2"/>
    <x v="6"/>
    <x v="2"/>
    <x v="2"/>
    <x v="1"/>
    <x v="20"/>
    <n v="0"/>
    <x v="20"/>
    <x v="1"/>
  </r>
  <r>
    <x v="2"/>
    <x v="6"/>
    <x v="2"/>
    <x v="2"/>
    <x v="1"/>
    <x v="21"/>
    <n v="0"/>
    <x v="21"/>
    <x v="1"/>
  </r>
  <r>
    <x v="2"/>
    <x v="6"/>
    <x v="2"/>
    <x v="2"/>
    <x v="1"/>
    <x v="22"/>
    <n v="0"/>
    <x v="22"/>
    <x v="0"/>
  </r>
  <r>
    <x v="2"/>
    <x v="6"/>
    <x v="2"/>
    <x v="2"/>
    <x v="1"/>
    <x v="23"/>
    <n v="0"/>
    <x v="23"/>
    <x v="0"/>
  </r>
  <r>
    <x v="2"/>
    <x v="6"/>
    <x v="2"/>
    <x v="2"/>
    <x v="2"/>
    <x v="24"/>
    <n v="0"/>
    <x v="24"/>
    <x v="0"/>
  </r>
  <r>
    <x v="2"/>
    <x v="6"/>
    <x v="2"/>
    <x v="2"/>
    <x v="2"/>
    <x v="25"/>
    <n v="0"/>
    <x v="25"/>
    <x v="0"/>
  </r>
  <r>
    <x v="2"/>
    <x v="6"/>
    <x v="2"/>
    <x v="2"/>
    <x v="2"/>
    <x v="26"/>
    <n v="0"/>
    <x v="26"/>
    <x v="0"/>
  </r>
  <r>
    <x v="2"/>
    <x v="6"/>
    <x v="2"/>
    <x v="2"/>
    <x v="2"/>
    <x v="27"/>
    <n v="0"/>
    <x v="27"/>
    <x v="0"/>
  </r>
  <r>
    <x v="2"/>
    <x v="6"/>
    <x v="2"/>
    <x v="2"/>
    <x v="2"/>
    <x v="28"/>
    <n v="1"/>
    <x v="28"/>
    <x v="0"/>
  </r>
  <r>
    <x v="2"/>
    <x v="6"/>
    <x v="2"/>
    <x v="2"/>
    <x v="2"/>
    <x v="29"/>
    <n v="0"/>
    <x v="29"/>
    <x v="0"/>
  </r>
  <r>
    <x v="2"/>
    <x v="6"/>
    <x v="2"/>
    <x v="2"/>
    <x v="2"/>
    <x v="30"/>
    <n v="0"/>
    <x v="30"/>
    <x v="1"/>
  </r>
  <r>
    <x v="2"/>
    <x v="6"/>
    <x v="2"/>
    <x v="2"/>
    <x v="2"/>
    <x v="31"/>
    <n v="0"/>
    <x v="31"/>
    <x v="1"/>
  </r>
  <r>
    <x v="2"/>
    <x v="6"/>
    <x v="2"/>
    <x v="2"/>
    <x v="2"/>
    <x v="32"/>
    <n v="0"/>
    <x v="32"/>
    <x v="1"/>
  </r>
  <r>
    <x v="2"/>
    <x v="6"/>
    <x v="2"/>
    <x v="2"/>
    <x v="2"/>
    <x v="33"/>
    <n v="0"/>
    <x v="33"/>
    <x v="1"/>
  </r>
  <r>
    <x v="2"/>
    <x v="6"/>
    <x v="2"/>
    <x v="2"/>
    <x v="2"/>
    <x v="34"/>
    <n v="0"/>
    <x v="34"/>
    <x v="0"/>
  </r>
  <r>
    <x v="2"/>
    <x v="6"/>
    <x v="2"/>
    <x v="2"/>
    <x v="2"/>
    <x v="35"/>
    <n v="2"/>
    <x v="35"/>
    <x v="0"/>
  </r>
  <r>
    <x v="2"/>
    <x v="6"/>
    <x v="2"/>
    <x v="2"/>
    <x v="2"/>
    <x v="36"/>
    <n v="0"/>
    <x v="36"/>
    <x v="0"/>
  </r>
  <r>
    <x v="2"/>
    <x v="6"/>
    <x v="2"/>
    <x v="2"/>
    <x v="2"/>
    <x v="37"/>
    <n v="0"/>
    <x v="37"/>
    <x v="0"/>
  </r>
  <r>
    <x v="2"/>
    <x v="6"/>
    <x v="2"/>
    <x v="3"/>
    <x v="0"/>
    <x v="0"/>
    <n v="1"/>
    <x v="0"/>
    <x v="0"/>
  </r>
  <r>
    <x v="2"/>
    <x v="6"/>
    <x v="2"/>
    <x v="3"/>
    <x v="0"/>
    <x v="1"/>
    <n v="0"/>
    <x v="1"/>
    <x v="0"/>
  </r>
  <r>
    <x v="2"/>
    <x v="6"/>
    <x v="2"/>
    <x v="3"/>
    <x v="0"/>
    <x v="2"/>
    <n v="0"/>
    <x v="2"/>
    <x v="0"/>
  </r>
  <r>
    <x v="2"/>
    <x v="6"/>
    <x v="2"/>
    <x v="3"/>
    <x v="0"/>
    <x v="3"/>
    <n v="0"/>
    <x v="3"/>
    <x v="0"/>
  </r>
  <r>
    <x v="2"/>
    <x v="6"/>
    <x v="2"/>
    <x v="3"/>
    <x v="0"/>
    <x v="4"/>
    <n v="0"/>
    <x v="4"/>
    <x v="0"/>
  </r>
  <r>
    <x v="2"/>
    <x v="6"/>
    <x v="2"/>
    <x v="3"/>
    <x v="0"/>
    <x v="5"/>
    <n v="0"/>
    <x v="5"/>
    <x v="1"/>
  </r>
  <r>
    <x v="2"/>
    <x v="6"/>
    <x v="2"/>
    <x v="3"/>
    <x v="0"/>
    <x v="6"/>
    <n v="0"/>
    <x v="6"/>
    <x v="1"/>
  </r>
  <r>
    <x v="2"/>
    <x v="6"/>
    <x v="2"/>
    <x v="3"/>
    <x v="0"/>
    <x v="7"/>
    <n v="0"/>
    <x v="7"/>
    <x v="1"/>
  </r>
  <r>
    <x v="2"/>
    <x v="6"/>
    <x v="2"/>
    <x v="3"/>
    <x v="0"/>
    <x v="8"/>
    <n v="0"/>
    <x v="8"/>
    <x v="1"/>
  </r>
  <r>
    <x v="2"/>
    <x v="6"/>
    <x v="2"/>
    <x v="3"/>
    <x v="0"/>
    <x v="9"/>
    <n v="0"/>
    <x v="9"/>
    <x v="0"/>
  </r>
  <r>
    <x v="2"/>
    <x v="6"/>
    <x v="2"/>
    <x v="3"/>
    <x v="0"/>
    <x v="10"/>
    <n v="0"/>
    <x v="10"/>
    <x v="0"/>
  </r>
  <r>
    <x v="2"/>
    <x v="6"/>
    <x v="2"/>
    <x v="3"/>
    <x v="0"/>
    <x v="11"/>
    <n v="0"/>
    <x v="11"/>
    <x v="0"/>
  </r>
  <r>
    <x v="2"/>
    <x v="6"/>
    <x v="2"/>
    <x v="3"/>
    <x v="1"/>
    <x v="12"/>
    <n v="0"/>
    <x v="12"/>
    <x v="0"/>
  </r>
  <r>
    <x v="2"/>
    <x v="6"/>
    <x v="2"/>
    <x v="3"/>
    <x v="1"/>
    <x v="13"/>
    <n v="0"/>
    <x v="13"/>
    <x v="0"/>
  </r>
  <r>
    <x v="2"/>
    <x v="6"/>
    <x v="2"/>
    <x v="3"/>
    <x v="1"/>
    <x v="14"/>
    <n v="0"/>
    <x v="14"/>
    <x v="0"/>
  </r>
  <r>
    <x v="2"/>
    <x v="6"/>
    <x v="2"/>
    <x v="3"/>
    <x v="1"/>
    <x v="15"/>
    <n v="0"/>
    <x v="15"/>
    <x v="0"/>
  </r>
  <r>
    <x v="2"/>
    <x v="6"/>
    <x v="2"/>
    <x v="3"/>
    <x v="1"/>
    <x v="16"/>
    <n v="0"/>
    <x v="16"/>
    <x v="0"/>
  </r>
  <r>
    <x v="2"/>
    <x v="6"/>
    <x v="2"/>
    <x v="3"/>
    <x v="1"/>
    <x v="17"/>
    <n v="0"/>
    <x v="17"/>
    <x v="0"/>
  </r>
  <r>
    <x v="2"/>
    <x v="6"/>
    <x v="2"/>
    <x v="3"/>
    <x v="1"/>
    <x v="18"/>
    <n v="0"/>
    <x v="18"/>
    <x v="1"/>
  </r>
  <r>
    <x v="2"/>
    <x v="6"/>
    <x v="2"/>
    <x v="3"/>
    <x v="1"/>
    <x v="19"/>
    <n v="0"/>
    <x v="19"/>
    <x v="1"/>
  </r>
  <r>
    <x v="2"/>
    <x v="6"/>
    <x v="2"/>
    <x v="3"/>
    <x v="1"/>
    <x v="20"/>
    <n v="0"/>
    <x v="20"/>
    <x v="1"/>
  </r>
  <r>
    <x v="2"/>
    <x v="6"/>
    <x v="2"/>
    <x v="3"/>
    <x v="1"/>
    <x v="21"/>
    <n v="0"/>
    <x v="21"/>
    <x v="1"/>
  </r>
  <r>
    <x v="2"/>
    <x v="6"/>
    <x v="2"/>
    <x v="3"/>
    <x v="1"/>
    <x v="22"/>
    <n v="0"/>
    <x v="22"/>
    <x v="0"/>
  </r>
  <r>
    <x v="2"/>
    <x v="6"/>
    <x v="2"/>
    <x v="3"/>
    <x v="1"/>
    <x v="23"/>
    <n v="0"/>
    <x v="23"/>
    <x v="0"/>
  </r>
  <r>
    <x v="2"/>
    <x v="6"/>
    <x v="2"/>
    <x v="3"/>
    <x v="2"/>
    <x v="24"/>
    <n v="0"/>
    <x v="24"/>
    <x v="0"/>
  </r>
  <r>
    <x v="2"/>
    <x v="6"/>
    <x v="2"/>
    <x v="3"/>
    <x v="2"/>
    <x v="25"/>
    <n v="0"/>
    <x v="25"/>
    <x v="0"/>
  </r>
  <r>
    <x v="2"/>
    <x v="6"/>
    <x v="2"/>
    <x v="3"/>
    <x v="2"/>
    <x v="26"/>
    <n v="0"/>
    <x v="26"/>
    <x v="0"/>
  </r>
  <r>
    <x v="2"/>
    <x v="6"/>
    <x v="2"/>
    <x v="3"/>
    <x v="2"/>
    <x v="27"/>
    <n v="0"/>
    <x v="27"/>
    <x v="0"/>
  </r>
  <r>
    <x v="2"/>
    <x v="6"/>
    <x v="2"/>
    <x v="3"/>
    <x v="2"/>
    <x v="28"/>
    <n v="0"/>
    <x v="28"/>
    <x v="0"/>
  </r>
  <r>
    <x v="2"/>
    <x v="6"/>
    <x v="2"/>
    <x v="3"/>
    <x v="2"/>
    <x v="29"/>
    <n v="0"/>
    <x v="29"/>
    <x v="0"/>
  </r>
  <r>
    <x v="2"/>
    <x v="6"/>
    <x v="2"/>
    <x v="3"/>
    <x v="2"/>
    <x v="30"/>
    <n v="0"/>
    <x v="30"/>
    <x v="1"/>
  </r>
  <r>
    <x v="2"/>
    <x v="6"/>
    <x v="2"/>
    <x v="3"/>
    <x v="2"/>
    <x v="31"/>
    <n v="0"/>
    <x v="31"/>
    <x v="1"/>
  </r>
  <r>
    <x v="2"/>
    <x v="6"/>
    <x v="2"/>
    <x v="3"/>
    <x v="2"/>
    <x v="32"/>
    <n v="0"/>
    <x v="32"/>
    <x v="1"/>
  </r>
  <r>
    <x v="2"/>
    <x v="6"/>
    <x v="2"/>
    <x v="3"/>
    <x v="2"/>
    <x v="33"/>
    <n v="0"/>
    <x v="33"/>
    <x v="1"/>
  </r>
  <r>
    <x v="2"/>
    <x v="6"/>
    <x v="2"/>
    <x v="3"/>
    <x v="2"/>
    <x v="34"/>
    <n v="0"/>
    <x v="34"/>
    <x v="0"/>
  </r>
  <r>
    <x v="2"/>
    <x v="6"/>
    <x v="2"/>
    <x v="3"/>
    <x v="2"/>
    <x v="35"/>
    <n v="0"/>
    <x v="35"/>
    <x v="0"/>
  </r>
  <r>
    <x v="2"/>
    <x v="6"/>
    <x v="2"/>
    <x v="3"/>
    <x v="2"/>
    <x v="36"/>
    <n v="0"/>
    <x v="36"/>
    <x v="0"/>
  </r>
  <r>
    <x v="2"/>
    <x v="6"/>
    <x v="2"/>
    <x v="3"/>
    <x v="2"/>
    <x v="37"/>
    <n v="0"/>
    <x v="37"/>
    <x v="0"/>
  </r>
  <r>
    <x v="2"/>
    <x v="6"/>
    <x v="2"/>
    <x v="4"/>
    <x v="0"/>
    <x v="0"/>
    <n v="0"/>
    <x v="0"/>
    <x v="0"/>
  </r>
  <r>
    <x v="2"/>
    <x v="6"/>
    <x v="2"/>
    <x v="4"/>
    <x v="0"/>
    <x v="1"/>
    <n v="0"/>
    <x v="1"/>
    <x v="0"/>
  </r>
  <r>
    <x v="2"/>
    <x v="6"/>
    <x v="2"/>
    <x v="4"/>
    <x v="0"/>
    <x v="2"/>
    <n v="1"/>
    <x v="2"/>
    <x v="0"/>
  </r>
  <r>
    <x v="2"/>
    <x v="6"/>
    <x v="2"/>
    <x v="4"/>
    <x v="0"/>
    <x v="3"/>
    <n v="0"/>
    <x v="3"/>
    <x v="0"/>
  </r>
  <r>
    <x v="2"/>
    <x v="6"/>
    <x v="2"/>
    <x v="4"/>
    <x v="0"/>
    <x v="4"/>
    <n v="0"/>
    <x v="4"/>
    <x v="0"/>
  </r>
  <r>
    <x v="2"/>
    <x v="6"/>
    <x v="2"/>
    <x v="4"/>
    <x v="0"/>
    <x v="5"/>
    <n v="0"/>
    <x v="5"/>
    <x v="1"/>
  </r>
  <r>
    <x v="2"/>
    <x v="6"/>
    <x v="2"/>
    <x v="4"/>
    <x v="0"/>
    <x v="6"/>
    <n v="0"/>
    <x v="6"/>
    <x v="1"/>
  </r>
  <r>
    <x v="2"/>
    <x v="6"/>
    <x v="2"/>
    <x v="4"/>
    <x v="0"/>
    <x v="7"/>
    <n v="0"/>
    <x v="7"/>
    <x v="1"/>
  </r>
  <r>
    <x v="2"/>
    <x v="6"/>
    <x v="2"/>
    <x v="4"/>
    <x v="0"/>
    <x v="8"/>
    <n v="0"/>
    <x v="8"/>
    <x v="1"/>
  </r>
  <r>
    <x v="2"/>
    <x v="6"/>
    <x v="2"/>
    <x v="4"/>
    <x v="0"/>
    <x v="9"/>
    <n v="0"/>
    <x v="9"/>
    <x v="0"/>
  </r>
  <r>
    <x v="2"/>
    <x v="6"/>
    <x v="2"/>
    <x v="4"/>
    <x v="0"/>
    <x v="10"/>
    <n v="0"/>
    <x v="10"/>
    <x v="0"/>
  </r>
  <r>
    <x v="2"/>
    <x v="6"/>
    <x v="2"/>
    <x v="4"/>
    <x v="0"/>
    <x v="11"/>
    <n v="0"/>
    <x v="11"/>
    <x v="0"/>
  </r>
  <r>
    <x v="2"/>
    <x v="6"/>
    <x v="2"/>
    <x v="4"/>
    <x v="1"/>
    <x v="12"/>
    <n v="0"/>
    <x v="12"/>
    <x v="0"/>
  </r>
  <r>
    <x v="2"/>
    <x v="6"/>
    <x v="2"/>
    <x v="4"/>
    <x v="1"/>
    <x v="13"/>
    <n v="0"/>
    <x v="13"/>
    <x v="0"/>
  </r>
  <r>
    <x v="2"/>
    <x v="6"/>
    <x v="2"/>
    <x v="4"/>
    <x v="1"/>
    <x v="14"/>
    <n v="0"/>
    <x v="14"/>
    <x v="0"/>
  </r>
  <r>
    <x v="2"/>
    <x v="6"/>
    <x v="2"/>
    <x v="4"/>
    <x v="1"/>
    <x v="15"/>
    <n v="0"/>
    <x v="15"/>
    <x v="0"/>
  </r>
  <r>
    <x v="2"/>
    <x v="6"/>
    <x v="2"/>
    <x v="4"/>
    <x v="1"/>
    <x v="16"/>
    <n v="0"/>
    <x v="16"/>
    <x v="0"/>
  </r>
  <r>
    <x v="2"/>
    <x v="6"/>
    <x v="2"/>
    <x v="4"/>
    <x v="1"/>
    <x v="17"/>
    <n v="0"/>
    <x v="17"/>
    <x v="0"/>
  </r>
  <r>
    <x v="2"/>
    <x v="6"/>
    <x v="2"/>
    <x v="4"/>
    <x v="1"/>
    <x v="18"/>
    <n v="0"/>
    <x v="18"/>
    <x v="1"/>
  </r>
  <r>
    <x v="2"/>
    <x v="6"/>
    <x v="2"/>
    <x v="4"/>
    <x v="1"/>
    <x v="19"/>
    <n v="0"/>
    <x v="19"/>
    <x v="1"/>
  </r>
  <r>
    <x v="2"/>
    <x v="6"/>
    <x v="2"/>
    <x v="4"/>
    <x v="1"/>
    <x v="20"/>
    <n v="0"/>
    <x v="20"/>
    <x v="1"/>
  </r>
  <r>
    <x v="2"/>
    <x v="6"/>
    <x v="2"/>
    <x v="4"/>
    <x v="1"/>
    <x v="21"/>
    <n v="0"/>
    <x v="21"/>
    <x v="1"/>
  </r>
  <r>
    <x v="2"/>
    <x v="6"/>
    <x v="2"/>
    <x v="4"/>
    <x v="1"/>
    <x v="22"/>
    <n v="0"/>
    <x v="22"/>
    <x v="0"/>
  </r>
  <r>
    <x v="2"/>
    <x v="6"/>
    <x v="2"/>
    <x v="4"/>
    <x v="1"/>
    <x v="23"/>
    <n v="0"/>
    <x v="23"/>
    <x v="0"/>
  </r>
  <r>
    <x v="2"/>
    <x v="6"/>
    <x v="2"/>
    <x v="4"/>
    <x v="2"/>
    <x v="24"/>
    <n v="1"/>
    <x v="24"/>
    <x v="0"/>
  </r>
  <r>
    <x v="2"/>
    <x v="6"/>
    <x v="2"/>
    <x v="4"/>
    <x v="2"/>
    <x v="25"/>
    <n v="0"/>
    <x v="25"/>
    <x v="0"/>
  </r>
  <r>
    <x v="2"/>
    <x v="6"/>
    <x v="2"/>
    <x v="4"/>
    <x v="2"/>
    <x v="26"/>
    <n v="0"/>
    <x v="26"/>
    <x v="0"/>
  </r>
  <r>
    <x v="2"/>
    <x v="6"/>
    <x v="2"/>
    <x v="4"/>
    <x v="2"/>
    <x v="27"/>
    <n v="0"/>
    <x v="27"/>
    <x v="0"/>
  </r>
  <r>
    <x v="2"/>
    <x v="6"/>
    <x v="2"/>
    <x v="4"/>
    <x v="2"/>
    <x v="28"/>
    <n v="0"/>
    <x v="28"/>
    <x v="0"/>
  </r>
  <r>
    <x v="2"/>
    <x v="6"/>
    <x v="2"/>
    <x v="4"/>
    <x v="2"/>
    <x v="29"/>
    <n v="0"/>
    <x v="29"/>
    <x v="0"/>
  </r>
  <r>
    <x v="2"/>
    <x v="6"/>
    <x v="2"/>
    <x v="4"/>
    <x v="2"/>
    <x v="30"/>
    <n v="0"/>
    <x v="30"/>
    <x v="1"/>
  </r>
  <r>
    <x v="2"/>
    <x v="6"/>
    <x v="2"/>
    <x v="4"/>
    <x v="2"/>
    <x v="31"/>
    <n v="0"/>
    <x v="31"/>
    <x v="1"/>
  </r>
  <r>
    <x v="2"/>
    <x v="6"/>
    <x v="2"/>
    <x v="4"/>
    <x v="2"/>
    <x v="32"/>
    <n v="0"/>
    <x v="32"/>
    <x v="1"/>
  </r>
  <r>
    <x v="2"/>
    <x v="6"/>
    <x v="2"/>
    <x v="4"/>
    <x v="2"/>
    <x v="33"/>
    <n v="0"/>
    <x v="33"/>
    <x v="1"/>
  </r>
  <r>
    <x v="2"/>
    <x v="6"/>
    <x v="2"/>
    <x v="4"/>
    <x v="2"/>
    <x v="34"/>
    <n v="0"/>
    <x v="34"/>
    <x v="0"/>
  </r>
  <r>
    <x v="2"/>
    <x v="6"/>
    <x v="2"/>
    <x v="4"/>
    <x v="2"/>
    <x v="35"/>
    <n v="0"/>
    <x v="35"/>
    <x v="0"/>
  </r>
  <r>
    <x v="2"/>
    <x v="6"/>
    <x v="2"/>
    <x v="4"/>
    <x v="2"/>
    <x v="36"/>
    <n v="0"/>
    <x v="36"/>
    <x v="0"/>
  </r>
  <r>
    <x v="2"/>
    <x v="6"/>
    <x v="2"/>
    <x v="4"/>
    <x v="2"/>
    <x v="37"/>
    <n v="0"/>
    <x v="37"/>
    <x v="0"/>
  </r>
  <r>
    <x v="2"/>
    <x v="7"/>
    <x v="3"/>
    <x v="0"/>
    <x v="0"/>
    <x v="0"/>
    <n v="44"/>
    <x v="0"/>
    <x v="0"/>
  </r>
  <r>
    <x v="2"/>
    <x v="7"/>
    <x v="3"/>
    <x v="0"/>
    <x v="0"/>
    <x v="1"/>
    <n v="29"/>
    <x v="1"/>
    <x v="0"/>
  </r>
  <r>
    <x v="2"/>
    <x v="7"/>
    <x v="3"/>
    <x v="0"/>
    <x v="0"/>
    <x v="2"/>
    <n v="46"/>
    <x v="2"/>
    <x v="0"/>
  </r>
  <r>
    <x v="2"/>
    <x v="7"/>
    <x v="3"/>
    <x v="0"/>
    <x v="0"/>
    <x v="3"/>
    <n v="75"/>
    <x v="3"/>
    <x v="0"/>
  </r>
  <r>
    <x v="2"/>
    <x v="7"/>
    <x v="3"/>
    <x v="0"/>
    <x v="0"/>
    <x v="4"/>
    <n v="94"/>
    <x v="4"/>
    <x v="0"/>
  </r>
  <r>
    <x v="2"/>
    <x v="7"/>
    <x v="3"/>
    <x v="0"/>
    <x v="0"/>
    <x v="5"/>
    <n v="86"/>
    <x v="5"/>
    <x v="1"/>
  </r>
  <r>
    <x v="2"/>
    <x v="7"/>
    <x v="3"/>
    <x v="0"/>
    <x v="0"/>
    <x v="6"/>
    <n v="99"/>
    <x v="6"/>
    <x v="1"/>
  </r>
  <r>
    <x v="2"/>
    <x v="7"/>
    <x v="3"/>
    <x v="0"/>
    <x v="0"/>
    <x v="7"/>
    <n v="122"/>
    <x v="7"/>
    <x v="1"/>
  </r>
  <r>
    <x v="2"/>
    <x v="7"/>
    <x v="3"/>
    <x v="0"/>
    <x v="0"/>
    <x v="8"/>
    <n v="90"/>
    <x v="8"/>
    <x v="1"/>
  </r>
  <r>
    <x v="2"/>
    <x v="7"/>
    <x v="3"/>
    <x v="0"/>
    <x v="0"/>
    <x v="9"/>
    <n v="99"/>
    <x v="9"/>
    <x v="0"/>
  </r>
  <r>
    <x v="2"/>
    <x v="7"/>
    <x v="3"/>
    <x v="0"/>
    <x v="0"/>
    <x v="10"/>
    <n v="54"/>
    <x v="10"/>
    <x v="0"/>
  </r>
  <r>
    <x v="2"/>
    <x v="7"/>
    <x v="3"/>
    <x v="0"/>
    <x v="0"/>
    <x v="11"/>
    <n v="87"/>
    <x v="11"/>
    <x v="0"/>
  </r>
  <r>
    <x v="2"/>
    <x v="7"/>
    <x v="3"/>
    <x v="0"/>
    <x v="1"/>
    <x v="12"/>
    <n v="84"/>
    <x v="12"/>
    <x v="0"/>
  </r>
  <r>
    <x v="2"/>
    <x v="7"/>
    <x v="3"/>
    <x v="0"/>
    <x v="1"/>
    <x v="13"/>
    <n v="79"/>
    <x v="13"/>
    <x v="0"/>
  </r>
  <r>
    <x v="2"/>
    <x v="7"/>
    <x v="3"/>
    <x v="0"/>
    <x v="1"/>
    <x v="14"/>
    <n v="88"/>
    <x v="14"/>
    <x v="0"/>
  </r>
  <r>
    <x v="2"/>
    <x v="7"/>
    <x v="3"/>
    <x v="0"/>
    <x v="1"/>
    <x v="15"/>
    <n v="114"/>
    <x v="15"/>
    <x v="0"/>
  </r>
  <r>
    <x v="2"/>
    <x v="7"/>
    <x v="3"/>
    <x v="0"/>
    <x v="1"/>
    <x v="16"/>
    <n v="98"/>
    <x v="16"/>
    <x v="0"/>
  </r>
  <r>
    <x v="2"/>
    <x v="7"/>
    <x v="3"/>
    <x v="0"/>
    <x v="1"/>
    <x v="17"/>
    <n v="117"/>
    <x v="17"/>
    <x v="0"/>
  </r>
  <r>
    <x v="2"/>
    <x v="7"/>
    <x v="3"/>
    <x v="0"/>
    <x v="1"/>
    <x v="18"/>
    <n v="87"/>
    <x v="18"/>
    <x v="1"/>
  </r>
  <r>
    <x v="2"/>
    <x v="7"/>
    <x v="3"/>
    <x v="0"/>
    <x v="1"/>
    <x v="19"/>
    <n v="79"/>
    <x v="19"/>
    <x v="1"/>
  </r>
  <r>
    <x v="2"/>
    <x v="7"/>
    <x v="3"/>
    <x v="0"/>
    <x v="1"/>
    <x v="20"/>
    <n v="106"/>
    <x v="20"/>
    <x v="1"/>
  </r>
  <r>
    <x v="2"/>
    <x v="7"/>
    <x v="3"/>
    <x v="0"/>
    <x v="1"/>
    <x v="21"/>
    <n v="109"/>
    <x v="21"/>
    <x v="1"/>
  </r>
  <r>
    <x v="2"/>
    <x v="7"/>
    <x v="3"/>
    <x v="0"/>
    <x v="1"/>
    <x v="22"/>
    <n v="98"/>
    <x v="22"/>
    <x v="0"/>
  </r>
  <r>
    <x v="2"/>
    <x v="7"/>
    <x v="3"/>
    <x v="0"/>
    <x v="1"/>
    <x v="23"/>
    <n v="84"/>
    <x v="23"/>
    <x v="0"/>
  </r>
  <r>
    <x v="2"/>
    <x v="7"/>
    <x v="3"/>
    <x v="0"/>
    <x v="2"/>
    <x v="24"/>
    <n v="150"/>
    <x v="24"/>
    <x v="0"/>
  </r>
  <r>
    <x v="2"/>
    <x v="7"/>
    <x v="3"/>
    <x v="0"/>
    <x v="2"/>
    <x v="25"/>
    <n v="120"/>
    <x v="25"/>
    <x v="0"/>
  </r>
  <r>
    <x v="2"/>
    <x v="7"/>
    <x v="3"/>
    <x v="0"/>
    <x v="2"/>
    <x v="26"/>
    <n v="123"/>
    <x v="26"/>
    <x v="0"/>
  </r>
  <r>
    <x v="2"/>
    <x v="7"/>
    <x v="3"/>
    <x v="0"/>
    <x v="2"/>
    <x v="27"/>
    <n v="136"/>
    <x v="27"/>
    <x v="0"/>
  </r>
  <r>
    <x v="2"/>
    <x v="7"/>
    <x v="3"/>
    <x v="0"/>
    <x v="2"/>
    <x v="28"/>
    <n v="136"/>
    <x v="28"/>
    <x v="0"/>
  </r>
  <r>
    <x v="2"/>
    <x v="7"/>
    <x v="3"/>
    <x v="0"/>
    <x v="2"/>
    <x v="29"/>
    <n v="171"/>
    <x v="29"/>
    <x v="0"/>
  </r>
  <r>
    <x v="2"/>
    <x v="7"/>
    <x v="3"/>
    <x v="0"/>
    <x v="2"/>
    <x v="30"/>
    <n v="179"/>
    <x v="30"/>
    <x v="1"/>
  </r>
  <r>
    <x v="2"/>
    <x v="7"/>
    <x v="3"/>
    <x v="0"/>
    <x v="2"/>
    <x v="31"/>
    <n v="151"/>
    <x v="31"/>
    <x v="1"/>
  </r>
  <r>
    <x v="2"/>
    <x v="7"/>
    <x v="3"/>
    <x v="0"/>
    <x v="2"/>
    <x v="32"/>
    <n v="142"/>
    <x v="32"/>
    <x v="1"/>
  </r>
  <r>
    <x v="2"/>
    <x v="7"/>
    <x v="3"/>
    <x v="0"/>
    <x v="2"/>
    <x v="33"/>
    <n v="155"/>
    <x v="33"/>
    <x v="1"/>
  </r>
  <r>
    <x v="2"/>
    <x v="7"/>
    <x v="3"/>
    <x v="0"/>
    <x v="2"/>
    <x v="34"/>
    <n v="170"/>
    <x v="34"/>
    <x v="0"/>
  </r>
  <r>
    <x v="2"/>
    <x v="7"/>
    <x v="3"/>
    <x v="0"/>
    <x v="2"/>
    <x v="35"/>
    <n v="108"/>
    <x v="35"/>
    <x v="0"/>
  </r>
  <r>
    <x v="2"/>
    <x v="7"/>
    <x v="3"/>
    <x v="0"/>
    <x v="2"/>
    <x v="36"/>
    <n v="95"/>
    <x v="36"/>
    <x v="0"/>
  </r>
  <r>
    <x v="2"/>
    <x v="7"/>
    <x v="3"/>
    <x v="0"/>
    <x v="2"/>
    <x v="37"/>
    <n v="85"/>
    <x v="37"/>
    <x v="0"/>
  </r>
  <r>
    <x v="2"/>
    <x v="7"/>
    <x v="3"/>
    <x v="1"/>
    <x v="0"/>
    <x v="0"/>
    <n v="0"/>
    <x v="0"/>
    <x v="0"/>
  </r>
  <r>
    <x v="2"/>
    <x v="7"/>
    <x v="3"/>
    <x v="1"/>
    <x v="0"/>
    <x v="1"/>
    <n v="0"/>
    <x v="1"/>
    <x v="0"/>
  </r>
  <r>
    <x v="2"/>
    <x v="7"/>
    <x v="3"/>
    <x v="1"/>
    <x v="0"/>
    <x v="2"/>
    <n v="0"/>
    <x v="2"/>
    <x v="0"/>
  </r>
  <r>
    <x v="2"/>
    <x v="7"/>
    <x v="3"/>
    <x v="1"/>
    <x v="0"/>
    <x v="3"/>
    <n v="0"/>
    <x v="3"/>
    <x v="0"/>
  </r>
  <r>
    <x v="2"/>
    <x v="7"/>
    <x v="3"/>
    <x v="1"/>
    <x v="0"/>
    <x v="4"/>
    <n v="0"/>
    <x v="4"/>
    <x v="0"/>
  </r>
  <r>
    <x v="2"/>
    <x v="7"/>
    <x v="3"/>
    <x v="1"/>
    <x v="0"/>
    <x v="5"/>
    <n v="0"/>
    <x v="5"/>
    <x v="1"/>
  </r>
  <r>
    <x v="2"/>
    <x v="7"/>
    <x v="3"/>
    <x v="1"/>
    <x v="0"/>
    <x v="6"/>
    <n v="0"/>
    <x v="6"/>
    <x v="1"/>
  </r>
  <r>
    <x v="2"/>
    <x v="7"/>
    <x v="3"/>
    <x v="1"/>
    <x v="0"/>
    <x v="7"/>
    <n v="1"/>
    <x v="7"/>
    <x v="1"/>
  </r>
  <r>
    <x v="2"/>
    <x v="7"/>
    <x v="3"/>
    <x v="1"/>
    <x v="0"/>
    <x v="8"/>
    <n v="0"/>
    <x v="8"/>
    <x v="1"/>
  </r>
  <r>
    <x v="2"/>
    <x v="7"/>
    <x v="3"/>
    <x v="1"/>
    <x v="0"/>
    <x v="9"/>
    <n v="1"/>
    <x v="9"/>
    <x v="0"/>
  </r>
  <r>
    <x v="2"/>
    <x v="7"/>
    <x v="3"/>
    <x v="1"/>
    <x v="0"/>
    <x v="10"/>
    <n v="0"/>
    <x v="10"/>
    <x v="0"/>
  </r>
  <r>
    <x v="2"/>
    <x v="7"/>
    <x v="3"/>
    <x v="1"/>
    <x v="0"/>
    <x v="11"/>
    <n v="0"/>
    <x v="11"/>
    <x v="0"/>
  </r>
  <r>
    <x v="2"/>
    <x v="7"/>
    <x v="3"/>
    <x v="1"/>
    <x v="1"/>
    <x v="12"/>
    <n v="0"/>
    <x v="12"/>
    <x v="0"/>
  </r>
  <r>
    <x v="2"/>
    <x v="7"/>
    <x v="3"/>
    <x v="1"/>
    <x v="1"/>
    <x v="13"/>
    <n v="0"/>
    <x v="13"/>
    <x v="0"/>
  </r>
  <r>
    <x v="2"/>
    <x v="7"/>
    <x v="3"/>
    <x v="1"/>
    <x v="1"/>
    <x v="14"/>
    <n v="0"/>
    <x v="14"/>
    <x v="0"/>
  </r>
  <r>
    <x v="2"/>
    <x v="7"/>
    <x v="3"/>
    <x v="1"/>
    <x v="1"/>
    <x v="15"/>
    <n v="0"/>
    <x v="15"/>
    <x v="0"/>
  </r>
  <r>
    <x v="2"/>
    <x v="7"/>
    <x v="3"/>
    <x v="1"/>
    <x v="1"/>
    <x v="16"/>
    <n v="3"/>
    <x v="16"/>
    <x v="0"/>
  </r>
  <r>
    <x v="2"/>
    <x v="7"/>
    <x v="3"/>
    <x v="1"/>
    <x v="1"/>
    <x v="17"/>
    <n v="0"/>
    <x v="17"/>
    <x v="0"/>
  </r>
  <r>
    <x v="2"/>
    <x v="7"/>
    <x v="3"/>
    <x v="1"/>
    <x v="1"/>
    <x v="18"/>
    <n v="0"/>
    <x v="18"/>
    <x v="1"/>
  </r>
  <r>
    <x v="2"/>
    <x v="7"/>
    <x v="3"/>
    <x v="1"/>
    <x v="1"/>
    <x v="19"/>
    <n v="0"/>
    <x v="19"/>
    <x v="1"/>
  </r>
  <r>
    <x v="2"/>
    <x v="7"/>
    <x v="3"/>
    <x v="1"/>
    <x v="1"/>
    <x v="20"/>
    <n v="1"/>
    <x v="20"/>
    <x v="1"/>
  </r>
  <r>
    <x v="2"/>
    <x v="7"/>
    <x v="3"/>
    <x v="1"/>
    <x v="1"/>
    <x v="21"/>
    <n v="1"/>
    <x v="21"/>
    <x v="1"/>
  </r>
  <r>
    <x v="2"/>
    <x v="7"/>
    <x v="3"/>
    <x v="1"/>
    <x v="1"/>
    <x v="22"/>
    <n v="0"/>
    <x v="22"/>
    <x v="0"/>
  </r>
  <r>
    <x v="2"/>
    <x v="7"/>
    <x v="3"/>
    <x v="1"/>
    <x v="1"/>
    <x v="23"/>
    <n v="0"/>
    <x v="23"/>
    <x v="0"/>
  </r>
  <r>
    <x v="2"/>
    <x v="7"/>
    <x v="3"/>
    <x v="1"/>
    <x v="2"/>
    <x v="24"/>
    <n v="0"/>
    <x v="24"/>
    <x v="0"/>
  </r>
  <r>
    <x v="2"/>
    <x v="7"/>
    <x v="3"/>
    <x v="1"/>
    <x v="2"/>
    <x v="25"/>
    <n v="0"/>
    <x v="25"/>
    <x v="0"/>
  </r>
  <r>
    <x v="2"/>
    <x v="7"/>
    <x v="3"/>
    <x v="1"/>
    <x v="2"/>
    <x v="26"/>
    <n v="0"/>
    <x v="26"/>
    <x v="0"/>
  </r>
  <r>
    <x v="2"/>
    <x v="7"/>
    <x v="3"/>
    <x v="1"/>
    <x v="2"/>
    <x v="27"/>
    <n v="0"/>
    <x v="27"/>
    <x v="0"/>
  </r>
  <r>
    <x v="2"/>
    <x v="7"/>
    <x v="3"/>
    <x v="1"/>
    <x v="2"/>
    <x v="28"/>
    <n v="0"/>
    <x v="28"/>
    <x v="0"/>
  </r>
  <r>
    <x v="2"/>
    <x v="7"/>
    <x v="3"/>
    <x v="1"/>
    <x v="2"/>
    <x v="29"/>
    <n v="0"/>
    <x v="29"/>
    <x v="0"/>
  </r>
  <r>
    <x v="2"/>
    <x v="7"/>
    <x v="3"/>
    <x v="1"/>
    <x v="2"/>
    <x v="30"/>
    <n v="0"/>
    <x v="30"/>
    <x v="1"/>
  </r>
  <r>
    <x v="2"/>
    <x v="7"/>
    <x v="3"/>
    <x v="1"/>
    <x v="2"/>
    <x v="31"/>
    <n v="0"/>
    <x v="31"/>
    <x v="1"/>
  </r>
  <r>
    <x v="2"/>
    <x v="7"/>
    <x v="3"/>
    <x v="1"/>
    <x v="2"/>
    <x v="32"/>
    <n v="0"/>
    <x v="32"/>
    <x v="1"/>
  </r>
  <r>
    <x v="2"/>
    <x v="7"/>
    <x v="3"/>
    <x v="1"/>
    <x v="2"/>
    <x v="33"/>
    <n v="0"/>
    <x v="33"/>
    <x v="1"/>
  </r>
  <r>
    <x v="2"/>
    <x v="7"/>
    <x v="3"/>
    <x v="1"/>
    <x v="2"/>
    <x v="34"/>
    <n v="0"/>
    <x v="34"/>
    <x v="0"/>
  </r>
  <r>
    <x v="2"/>
    <x v="7"/>
    <x v="3"/>
    <x v="1"/>
    <x v="2"/>
    <x v="35"/>
    <n v="0"/>
    <x v="35"/>
    <x v="0"/>
  </r>
  <r>
    <x v="2"/>
    <x v="7"/>
    <x v="3"/>
    <x v="1"/>
    <x v="2"/>
    <x v="36"/>
    <n v="0"/>
    <x v="36"/>
    <x v="0"/>
  </r>
  <r>
    <x v="2"/>
    <x v="7"/>
    <x v="3"/>
    <x v="1"/>
    <x v="2"/>
    <x v="37"/>
    <n v="0"/>
    <x v="37"/>
    <x v="0"/>
  </r>
  <r>
    <x v="2"/>
    <x v="7"/>
    <x v="3"/>
    <x v="2"/>
    <x v="0"/>
    <x v="0"/>
    <n v="2"/>
    <x v="0"/>
    <x v="0"/>
  </r>
  <r>
    <x v="2"/>
    <x v="7"/>
    <x v="3"/>
    <x v="2"/>
    <x v="0"/>
    <x v="1"/>
    <n v="1"/>
    <x v="1"/>
    <x v="0"/>
  </r>
  <r>
    <x v="2"/>
    <x v="7"/>
    <x v="3"/>
    <x v="2"/>
    <x v="0"/>
    <x v="2"/>
    <n v="0"/>
    <x v="2"/>
    <x v="0"/>
  </r>
  <r>
    <x v="2"/>
    <x v="7"/>
    <x v="3"/>
    <x v="2"/>
    <x v="0"/>
    <x v="3"/>
    <n v="2"/>
    <x v="3"/>
    <x v="0"/>
  </r>
  <r>
    <x v="2"/>
    <x v="7"/>
    <x v="3"/>
    <x v="2"/>
    <x v="0"/>
    <x v="4"/>
    <n v="2"/>
    <x v="4"/>
    <x v="0"/>
  </r>
  <r>
    <x v="2"/>
    <x v="7"/>
    <x v="3"/>
    <x v="2"/>
    <x v="0"/>
    <x v="5"/>
    <n v="5"/>
    <x v="5"/>
    <x v="1"/>
  </r>
  <r>
    <x v="2"/>
    <x v="7"/>
    <x v="3"/>
    <x v="2"/>
    <x v="0"/>
    <x v="6"/>
    <n v="1"/>
    <x v="6"/>
    <x v="1"/>
  </r>
  <r>
    <x v="2"/>
    <x v="7"/>
    <x v="3"/>
    <x v="2"/>
    <x v="0"/>
    <x v="7"/>
    <n v="0"/>
    <x v="7"/>
    <x v="1"/>
  </r>
  <r>
    <x v="2"/>
    <x v="7"/>
    <x v="3"/>
    <x v="2"/>
    <x v="0"/>
    <x v="8"/>
    <n v="1"/>
    <x v="8"/>
    <x v="1"/>
  </r>
  <r>
    <x v="2"/>
    <x v="7"/>
    <x v="3"/>
    <x v="2"/>
    <x v="0"/>
    <x v="9"/>
    <n v="0"/>
    <x v="9"/>
    <x v="0"/>
  </r>
  <r>
    <x v="2"/>
    <x v="7"/>
    <x v="3"/>
    <x v="2"/>
    <x v="0"/>
    <x v="10"/>
    <n v="5"/>
    <x v="10"/>
    <x v="0"/>
  </r>
  <r>
    <x v="2"/>
    <x v="7"/>
    <x v="3"/>
    <x v="2"/>
    <x v="0"/>
    <x v="11"/>
    <n v="3"/>
    <x v="11"/>
    <x v="0"/>
  </r>
  <r>
    <x v="2"/>
    <x v="7"/>
    <x v="3"/>
    <x v="2"/>
    <x v="1"/>
    <x v="12"/>
    <n v="0"/>
    <x v="12"/>
    <x v="0"/>
  </r>
  <r>
    <x v="2"/>
    <x v="7"/>
    <x v="3"/>
    <x v="2"/>
    <x v="1"/>
    <x v="13"/>
    <n v="2"/>
    <x v="13"/>
    <x v="0"/>
  </r>
  <r>
    <x v="2"/>
    <x v="7"/>
    <x v="3"/>
    <x v="2"/>
    <x v="1"/>
    <x v="14"/>
    <n v="2"/>
    <x v="14"/>
    <x v="0"/>
  </r>
  <r>
    <x v="2"/>
    <x v="7"/>
    <x v="3"/>
    <x v="2"/>
    <x v="1"/>
    <x v="15"/>
    <n v="3"/>
    <x v="15"/>
    <x v="0"/>
  </r>
  <r>
    <x v="2"/>
    <x v="7"/>
    <x v="3"/>
    <x v="2"/>
    <x v="1"/>
    <x v="16"/>
    <n v="0"/>
    <x v="16"/>
    <x v="0"/>
  </r>
  <r>
    <x v="2"/>
    <x v="7"/>
    <x v="3"/>
    <x v="2"/>
    <x v="1"/>
    <x v="17"/>
    <n v="0"/>
    <x v="17"/>
    <x v="0"/>
  </r>
  <r>
    <x v="2"/>
    <x v="7"/>
    <x v="3"/>
    <x v="2"/>
    <x v="1"/>
    <x v="18"/>
    <n v="2"/>
    <x v="18"/>
    <x v="1"/>
  </r>
  <r>
    <x v="2"/>
    <x v="7"/>
    <x v="3"/>
    <x v="2"/>
    <x v="1"/>
    <x v="19"/>
    <n v="1"/>
    <x v="19"/>
    <x v="1"/>
  </r>
  <r>
    <x v="2"/>
    <x v="7"/>
    <x v="3"/>
    <x v="2"/>
    <x v="1"/>
    <x v="20"/>
    <n v="1"/>
    <x v="20"/>
    <x v="1"/>
  </r>
  <r>
    <x v="2"/>
    <x v="7"/>
    <x v="3"/>
    <x v="2"/>
    <x v="1"/>
    <x v="21"/>
    <n v="3"/>
    <x v="21"/>
    <x v="1"/>
  </r>
  <r>
    <x v="2"/>
    <x v="7"/>
    <x v="3"/>
    <x v="2"/>
    <x v="1"/>
    <x v="22"/>
    <n v="2"/>
    <x v="22"/>
    <x v="0"/>
  </r>
  <r>
    <x v="2"/>
    <x v="7"/>
    <x v="3"/>
    <x v="2"/>
    <x v="1"/>
    <x v="23"/>
    <n v="3"/>
    <x v="23"/>
    <x v="0"/>
  </r>
  <r>
    <x v="2"/>
    <x v="7"/>
    <x v="3"/>
    <x v="2"/>
    <x v="2"/>
    <x v="24"/>
    <n v="0"/>
    <x v="24"/>
    <x v="0"/>
  </r>
  <r>
    <x v="2"/>
    <x v="7"/>
    <x v="3"/>
    <x v="2"/>
    <x v="2"/>
    <x v="25"/>
    <n v="2"/>
    <x v="25"/>
    <x v="0"/>
  </r>
  <r>
    <x v="2"/>
    <x v="7"/>
    <x v="3"/>
    <x v="2"/>
    <x v="2"/>
    <x v="26"/>
    <n v="0"/>
    <x v="26"/>
    <x v="0"/>
  </r>
  <r>
    <x v="2"/>
    <x v="7"/>
    <x v="3"/>
    <x v="2"/>
    <x v="2"/>
    <x v="27"/>
    <n v="1"/>
    <x v="27"/>
    <x v="0"/>
  </r>
  <r>
    <x v="2"/>
    <x v="7"/>
    <x v="3"/>
    <x v="2"/>
    <x v="2"/>
    <x v="28"/>
    <n v="0"/>
    <x v="28"/>
    <x v="0"/>
  </r>
  <r>
    <x v="2"/>
    <x v="7"/>
    <x v="3"/>
    <x v="2"/>
    <x v="2"/>
    <x v="29"/>
    <n v="0"/>
    <x v="29"/>
    <x v="0"/>
  </r>
  <r>
    <x v="2"/>
    <x v="7"/>
    <x v="3"/>
    <x v="2"/>
    <x v="2"/>
    <x v="30"/>
    <n v="1"/>
    <x v="30"/>
    <x v="1"/>
  </r>
  <r>
    <x v="2"/>
    <x v="7"/>
    <x v="3"/>
    <x v="2"/>
    <x v="2"/>
    <x v="31"/>
    <n v="1"/>
    <x v="31"/>
    <x v="1"/>
  </r>
  <r>
    <x v="2"/>
    <x v="7"/>
    <x v="3"/>
    <x v="2"/>
    <x v="2"/>
    <x v="32"/>
    <n v="3"/>
    <x v="32"/>
    <x v="1"/>
  </r>
  <r>
    <x v="2"/>
    <x v="7"/>
    <x v="3"/>
    <x v="2"/>
    <x v="2"/>
    <x v="33"/>
    <n v="0"/>
    <x v="33"/>
    <x v="1"/>
  </r>
  <r>
    <x v="2"/>
    <x v="7"/>
    <x v="3"/>
    <x v="2"/>
    <x v="2"/>
    <x v="34"/>
    <n v="0"/>
    <x v="34"/>
    <x v="0"/>
  </r>
  <r>
    <x v="2"/>
    <x v="7"/>
    <x v="3"/>
    <x v="2"/>
    <x v="2"/>
    <x v="35"/>
    <n v="0"/>
    <x v="35"/>
    <x v="0"/>
  </r>
  <r>
    <x v="2"/>
    <x v="7"/>
    <x v="3"/>
    <x v="2"/>
    <x v="2"/>
    <x v="36"/>
    <n v="3"/>
    <x v="36"/>
    <x v="0"/>
  </r>
  <r>
    <x v="2"/>
    <x v="7"/>
    <x v="3"/>
    <x v="2"/>
    <x v="2"/>
    <x v="37"/>
    <n v="0"/>
    <x v="37"/>
    <x v="0"/>
  </r>
  <r>
    <x v="2"/>
    <x v="7"/>
    <x v="3"/>
    <x v="3"/>
    <x v="0"/>
    <x v="0"/>
    <n v="1"/>
    <x v="0"/>
    <x v="0"/>
  </r>
  <r>
    <x v="2"/>
    <x v="7"/>
    <x v="3"/>
    <x v="3"/>
    <x v="0"/>
    <x v="1"/>
    <n v="0"/>
    <x v="1"/>
    <x v="0"/>
  </r>
  <r>
    <x v="2"/>
    <x v="7"/>
    <x v="3"/>
    <x v="3"/>
    <x v="0"/>
    <x v="2"/>
    <n v="0"/>
    <x v="2"/>
    <x v="0"/>
  </r>
  <r>
    <x v="2"/>
    <x v="7"/>
    <x v="3"/>
    <x v="3"/>
    <x v="0"/>
    <x v="3"/>
    <n v="0"/>
    <x v="3"/>
    <x v="0"/>
  </r>
  <r>
    <x v="2"/>
    <x v="7"/>
    <x v="3"/>
    <x v="3"/>
    <x v="0"/>
    <x v="4"/>
    <n v="0"/>
    <x v="4"/>
    <x v="0"/>
  </r>
  <r>
    <x v="2"/>
    <x v="7"/>
    <x v="3"/>
    <x v="3"/>
    <x v="0"/>
    <x v="5"/>
    <n v="1"/>
    <x v="5"/>
    <x v="1"/>
  </r>
  <r>
    <x v="2"/>
    <x v="7"/>
    <x v="3"/>
    <x v="3"/>
    <x v="0"/>
    <x v="6"/>
    <n v="0"/>
    <x v="6"/>
    <x v="1"/>
  </r>
  <r>
    <x v="2"/>
    <x v="7"/>
    <x v="3"/>
    <x v="3"/>
    <x v="0"/>
    <x v="7"/>
    <n v="0"/>
    <x v="7"/>
    <x v="1"/>
  </r>
  <r>
    <x v="2"/>
    <x v="7"/>
    <x v="3"/>
    <x v="3"/>
    <x v="0"/>
    <x v="8"/>
    <n v="0"/>
    <x v="8"/>
    <x v="1"/>
  </r>
  <r>
    <x v="2"/>
    <x v="7"/>
    <x v="3"/>
    <x v="3"/>
    <x v="0"/>
    <x v="9"/>
    <n v="0"/>
    <x v="9"/>
    <x v="0"/>
  </r>
  <r>
    <x v="2"/>
    <x v="7"/>
    <x v="3"/>
    <x v="3"/>
    <x v="0"/>
    <x v="10"/>
    <n v="0"/>
    <x v="10"/>
    <x v="0"/>
  </r>
  <r>
    <x v="2"/>
    <x v="7"/>
    <x v="3"/>
    <x v="3"/>
    <x v="0"/>
    <x v="11"/>
    <n v="0"/>
    <x v="11"/>
    <x v="0"/>
  </r>
  <r>
    <x v="2"/>
    <x v="7"/>
    <x v="3"/>
    <x v="3"/>
    <x v="1"/>
    <x v="12"/>
    <n v="1"/>
    <x v="12"/>
    <x v="0"/>
  </r>
  <r>
    <x v="2"/>
    <x v="7"/>
    <x v="3"/>
    <x v="3"/>
    <x v="1"/>
    <x v="13"/>
    <n v="1"/>
    <x v="13"/>
    <x v="0"/>
  </r>
  <r>
    <x v="2"/>
    <x v="7"/>
    <x v="3"/>
    <x v="3"/>
    <x v="1"/>
    <x v="14"/>
    <n v="0"/>
    <x v="14"/>
    <x v="0"/>
  </r>
  <r>
    <x v="2"/>
    <x v="7"/>
    <x v="3"/>
    <x v="3"/>
    <x v="1"/>
    <x v="15"/>
    <n v="0"/>
    <x v="15"/>
    <x v="0"/>
  </r>
  <r>
    <x v="2"/>
    <x v="7"/>
    <x v="3"/>
    <x v="3"/>
    <x v="1"/>
    <x v="16"/>
    <n v="0"/>
    <x v="16"/>
    <x v="0"/>
  </r>
  <r>
    <x v="2"/>
    <x v="7"/>
    <x v="3"/>
    <x v="3"/>
    <x v="1"/>
    <x v="17"/>
    <n v="0"/>
    <x v="17"/>
    <x v="0"/>
  </r>
  <r>
    <x v="2"/>
    <x v="7"/>
    <x v="3"/>
    <x v="3"/>
    <x v="1"/>
    <x v="18"/>
    <n v="0"/>
    <x v="18"/>
    <x v="1"/>
  </r>
  <r>
    <x v="2"/>
    <x v="7"/>
    <x v="3"/>
    <x v="3"/>
    <x v="1"/>
    <x v="19"/>
    <n v="0"/>
    <x v="19"/>
    <x v="1"/>
  </r>
  <r>
    <x v="2"/>
    <x v="7"/>
    <x v="3"/>
    <x v="3"/>
    <x v="1"/>
    <x v="20"/>
    <n v="0"/>
    <x v="20"/>
    <x v="1"/>
  </r>
  <r>
    <x v="2"/>
    <x v="7"/>
    <x v="3"/>
    <x v="3"/>
    <x v="1"/>
    <x v="21"/>
    <n v="0"/>
    <x v="21"/>
    <x v="1"/>
  </r>
  <r>
    <x v="2"/>
    <x v="7"/>
    <x v="3"/>
    <x v="3"/>
    <x v="1"/>
    <x v="22"/>
    <n v="0"/>
    <x v="22"/>
    <x v="0"/>
  </r>
  <r>
    <x v="2"/>
    <x v="7"/>
    <x v="3"/>
    <x v="3"/>
    <x v="1"/>
    <x v="23"/>
    <n v="0"/>
    <x v="23"/>
    <x v="0"/>
  </r>
  <r>
    <x v="2"/>
    <x v="7"/>
    <x v="3"/>
    <x v="3"/>
    <x v="2"/>
    <x v="24"/>
    <n v="0"/>
    <x v="24"/>
    <x v="0"/>
  </r>
  <r>
    <x v="2"/>
    <x v="7"/>
    <x v="3"/>
    <x v="3"/>
    <x v="2"/>
    <x v="25"/>
    <n v="0"/>
    <x v="25"/>
    <x v="0"/>
  </r>
  <r>
    <x v="2"/>
    <x v="7"/>
    <x v="3"/>
    <x v="3"/>
    <x v="2"/>
    <x v="26"/>
    <n v="0"/>
    <x v="26"/>
    <x v="0"/>
  </r>
  <r>
    <x v="2"/>
    <x v="7"/>
    <x v="3"/>
    <x v="3"/>
    <x v="2"/>
    <x v="27"/>
    <n v="0"/>
    <x v="27"/>
    <x v="0"/>
  </r>
  <r>
    <x v="2"/>
    <x v="7"/>
    <x v="3"/>
    <x v="3"/>
    <x v="2"/>
    <x v="28"/>
    <n v="0"/>
    <x v="28"/>
    <x v="0"/>
  </r>
  <r>
    <x v="2"/>
    <x v="7"/>
    <x v="3"/>
    <x v="3"/>
    <x v="2"/>
    <x v="29"/>
    <n v="0"/>
    <x v="29"/>
    <x v="0"/>
  </r>
  <r>
    <x v="2"/>
    <x v="7"/>
    <x v="3"/>
    <x v="3"/>
    <x v="2"/>
    <x v="30"/>
    <n v="0"/>
    <x v="30"/>
    <x v="1"/>
  </r>
  <r>
    <x v="2"/>
    <x v="7"/>
    <x v="3"/>
    <x v="3"/>
    <x v="2"/>
    <x v="31"/>
    <n v="0"/>
    <x v="31"/>
    <x v="1"/>
  </r>
  <r>
    <x v="2"/>
    <x v="7"/>
    <x v="3"/>
    <x v="3"/>
    <x v="2"/>
    <x v="32"/>
    <n v="0"/>
    <x v="32"/>
    <x v="1"/>
  </r>
  <r>
    <x v="2"/>
    <x v="7"/>
    <x v="3"/>
    <x v="3"/>
    <x v="2"/>
    <x v="33"/>
    <n v="0"/>
    <x v="33"/>
    <x v="1"/>
  </r>
  <r>
    <x v="2"/>
    <x v="7"/>
    <x v="3"/>
    <x v="3"/>
    <x v="2"/>
    <x v="34"/>
    <n v="0"/>
    <x v="34"/>
    <x v="0"/>
  </r>
  <r>
    <x v="2"/>
    <x v="7"/>
    <x v="3"/>
    <x v="3"/>
    <x v="2"/>
    <x v="35"/>
    <n v="0"/>
    <x v="35"/>
    <x v="0"/>
  </r>
  <r>
    <x v="2"/>
    <x v="7"/>
    <x v="3"/>
    <x v="3"/>
    <x v="2"/>
    <x v="36"/>
    <n v="0"/>
    <x v="36"/>
    <x v="0"/>
  </r>
  <r>
    <x v="2"/>
    <x v="7"/>
    <x v="3"/>
    <x v="3"/>
    <x v="2"/>
    <x v="37"/>
    <n v="0"/>
    <x v="37"/>
    <x v="0"/>
  </r>
  <r>
    <x v="2"/>
    <x v="7"/>
    <x v="3"/>
    <x v="4"/>
    <x v="0"/>
    <x v="0"/>
    <n v="0"/>
    <x v="0"/>
    <x v="0"/>
  </r>
  <r>
    <x v="2"/>
    <x v="7"/>
    <x v="3"/>
    <x v="4"/>
    <x v="0"/>
    <x v="1"/>
    <n v="0"/>
    <x v="1"/>
    <x v="0"/>
  </r>
  <r>
    <x v="2"/>
    <x v="7"/>
    <x v="3"/>
    <x v="4"/>
    <x v="0"/>
    <x v="2"/>
    <n v="0"/>
    <x v="2"/>
    <x v="0"/>
  </r>
  <r>
    <x v="2"/>
    <x v="7"/>
    <x v="3"/>
    <x v="4"/>
    <x v="0"/>
    <x v="3"/>
    <n v="0"/>
    <x v="3"/>
    <x v="0"/>
  </r>
  <r>
    <x v="2"/>
    <x v="7"/>
    <x v="3"/>
    <x v="4"/>
    <x v="0"/>
    <x v="4"/>
    <n v="0"/>
    <x v="4"/>
    <x v="0"/>
  </r>
  <r>
    <x v="2"/>
    <x v="7"/>
    <x v="3"/>
    <x v="4"/>
    <x v="0"/>
    <x v="5"/>
    <n v="0"/>
    <x v="5"/>
    <x v="1"/>
  </r>
  <r>
    <x v="2"/>
    <x v="7"/>
    <x v="3"/>
    <x v="4"/>
    <x v="0"/>
    <x v="6"/>
    <n v="0"/>
    <x v="6"/>
    <x v="1"/>
  </r>
  <r>
    <x v="2"/>
    <x v="7"/>
    <x v="3"/>
    <x v="4"/>
    <x v="0"/>
    <x v="7"/>
    <n v="0"/>
    <x v="7"/>
    <x v="1"/>
  </r>
  <r>
    <x v="2"/>
    <x v="7"/>
    <x v="3"/>
    <x v="4"/>
    <x v="0"/>
    <x v="8"/>
    <n v="0"/>
    <x v="8"/>
    <x v="1"/>
  </r>
  <r>
    <x v="2"/>
    <x v="7"/>
    <x v="3"/>
    <x v="4"/>
    <x v="0"/>
    <x v="9"/>
    <n v="0"/>
    <x v="9"/>
    <x v="0"/>
  </r>
  <r>
    <x v="2"/>
    <x v="7"/>
    <x v="3"/>
    <x v="4"/>
    <x v="0"/>
    <x v="10"/>
    <n v="0"/>
    <x v="10"/>
    <x v="0"/>
  </r>
  <r>
    <x v="2"/>
    <x v="7"/>
    <x v="3"/>
    <x v="4"/>
    <x v="0"/>
    <x v="11"/>
    <n v="0"/>
    <x v="11"/>
    <x v="0"/>
  </r>
  <r>
    <x v="2"/>
    <x v="7"/>
    <x v="3"/>
    <x v="4"/>
    <x v="1"/>
    <x v="12"/>
    <n v="0"/>
    <x v="12"/>
    <x v="0"/>
  </r>
  <r>
    <x v="2"/>
    <x v="7"/>
    <x v="3"/>
    <x v="4"/>
    <x v="1"/>
    <x v="13"/>
    <n v="0"/>
    <x v="13"/>
    <x v="0"/>
  </r>
  <r>
    <x v="2"/>
    <x v="7"/>
    <x v="3"/>
    <x v="4"/>
    <x v="1"/>
    <x v="14"/>
    <n v="0"/>
    <x v="14"/>
    <x v="0"/>
  </r>
  <r>
    <x v="2"/>
    <x v="7"/>
    <x v="3"/>
    <x v="4"/>
    <x v="1"/>
    <x v="15"/>
    <n v="0"/>
    <x v="15"/>
    <x v="0"/>
  </r>
  <r>
    <x v="2"/>
    <x v="7"/>
    <x v="3"/>
    <x v="4"/>
    <x v="1"/>
    <x v="16"/>
    <n v="0"/>
    <x v="16"/>
    <x v="0"/>
  </r>
  <r>
    <x v="2"/>
    <x v="7"/>
    <x v="3"/>
    <x v="4"/>
    <x v="1"/>
    <x v="17"/>
    <n v="0"/>
    <x v="17"/>
    <x v="0"/>
  </r>
  <r>
    <x v="2"/>
    <x v="7"/>
    <x v="3"/>
    <x v="4"/>
    <x v="1"/>
    <x v="18"/>
    <n v="0"/>
    <x v="18"/>
    <x v="1"/>
  </r>
  <r>
    <x v="2"/>
    <x v="7"/>
    <x v="3"/>
    <x v="4"/>
    <x v="1"/>
    <x v="19"/>
    <n v="0"/>
    <x v="19"/>
    <x v="1"/>
  </r>
  <r>
    <x v="2"/>
    <x v="7"/>
    <x v="3"/>
    <x v="4"/>
    <x v="1"/>
    <x v="20"/>
    <n v="0"/>
    <x v="20"/>
    <x v="1"/>
  </r>
  <r>
    <x v="2"/>
    <x v="7"/>
    <x v="3"/>
    <x v="4"/>
    <x v="1"/>
    <x v="21"/>
    <n v="0"/>
    <x v="21"/>
    <x v="1"/>
  </r>
  <r>
    <x v="2"/>
    <x v="7"/>
    <x v="3"/>
    <x v="4"/>
    <x v="1"/>
    <x v="22"/>
    <n v="0"/>
    <x v="22"/>
    <x v="0"/>
  </r>
  <r>
    <x v="2"/>
    <x v="7"/>
    <x v="3"/>
    <x v="4"/>
    <x v="1"/>
    <x v="23"/>
    <n v="0"/>
    <x v="23"/>
    <x v="0"/>
  </r>
  <r>
    <x v="2"/>
    <x v="7"/>
    <x v="3"/>
    <x v="4"/>
    <x v="2"/>
    <x v="24"/>
    <n v="0"/>
    <x v="24"/>
    <x v="0"/>
  </r>
  <r>
    <x v="2"/>
    <x v="7"/>
    <x v="3"/>
    <x v="4"/>
    <x v="2"/>
    <x v="25"/>
    <n v="0"/>
    <x v="25"/>
    <x v="0"/>
  </r>
  <r>
    <x v="2"/>
    <x v="7"/>
    <x v="3"/>
    <x v="4"/>
    <x v="2"/>
    <x v="26"/>
    <n v="0"/>
    <x v="26"/>
    <x v="0"/>
  </r>
  <r>
    <x v="2"/>
    <x v="7"/>
    <x v="3"/>
    <x v="4"/>
    <x v="2"/>
    <x v="27"/>
    <n v="0"/>
    <x v="27"/>
    <x v="0"/>
  </r>
  <r>
    <x v="2"/>
    <x v="7"/>
    <x v="3"/>
    <x v="4"/>
    <x v="2"/>
    <x v="28"/>
    <n v="1"/>
    <x v="28"/>
    <x v="0"/>
  </r>
  <r>
    <x v="2"/>
    <x v="7"/>
    <x v="3"/>
    <x v="4"/>
    <x v="2"/>
    <x v="29"/>
    <n v="1"/>
    <x v="29"/>
    <x v="0"/>
  </r>
  <r>
    <x v="2"/>
    <x v="7"/>
    <x v="3"/>
    <x v="4"/>
    <x v="2"/>
    <x v="30"/>
    <n v="0"/>
    <x v="30"/>
    <x v="1"/>
  </r>
  <r>
    <x v="2"/>
    <x v="7"/>
    <x v="3"/>
    <x v="4"/>
    <x v="2"/>
    <x v="31"/>
    <n v="0"/>
    <x v="31"/>
    <x v="1"/>
  </r>
  <r>
    <x v="2"/>
    <x v="7"/>
    <x v="3"/>
    <x v="4"/>
    <x v="2"/>
    <x v="32"/>
    <n v="0"/>
    <x v="32"/>
    <x v="1"/>
  </r>
  <r>
    <x v="2"/>
    <x v="7"/>
    <x v="3"/>
    <x v="4"/>
    <x v="2"/>
    <x v="33"/>
    <n v="1"/>
    <x v="33"/>
    <x v="1"/>
  </r>
  <r>
    <x v="2"/>
    <x v="7"/>
    <x v="3"/>
    <x v="4"/>
    <x v="2"/>
    <x v="34"/>
    <n v="0"/>
    <x v="34"/>
    <x v="0"/>
  </r>
  <r>
    <x v="2"/>
    <x v="7"/>
    <x v="3"/>
    <x v="4"/>
    <x v="2"/>
    <x v="35"/>
    <n v="0"/>
    <x v="35"/>
    <x v="0"/>
  </r>
  <r>
    <x v="2"/>
    <x v="7"/>
    <x v="3"/>
    <x v="4"/>
    <x v="2"/>
    <x v="36"/>
    <n v="1"/>
    <x v="36"/>
    <x v="0"/>
  </r>
  <r>
    <x v="2"/>
    <x v="7"/>
    <x v="3"/>
    <x v="4"/>
    <x v="2"/>
    <x v="37"/>
    <n v="0"/>
    <x v="37"/>
    <x v="0"/>
  </r>
  <r>
    <x v="2"/>
    <x v="8"/>
    <x v="0"/>
    <x v="0"/>
    <x v="0"/>
    <x v="0"/>
    <n v="4"/>
    <x v="0"/>
    <x v="0"/>
  </r>
  <r>
    <x v="2"/>
    <x v="8"/>
    <x v="0"/>
    <x v="0"/>
    <x v="0"/>
    <x v="1"/>
    <n v="4"/>
    <x v="1"/>
    <x v="0"/>
  </r>
  <r>
    <x v="2"/>
    <x v="8"/>
    <x v="0"/>
    <x v="0"/>
    <x v="0"/>
    <x v="2"/>
    <n v="7"/>
    <x v="2"/>
    <x v="0"/>
  </r>
  <r>
    <x v="2"/>
    <x v="8"/>
    <x v="0"/>
    <x v="0"/>
    <x v="0"/>
    <x v="3"/>
    <n v="10"/>
    <x v="3"/>
    <x v="0"/>
  </r>
  <r>
    <x v="2"/>
    <x v="8"/>
    <x v="0"/>
    <x v="0"/>
    <x v="0"/>
    <x v="4"/>
    <n v="4"/>
    <x v="4"/>
    <x v="0"/>
  </r>
  <r>
    <x v="2"/>
    <x v="8"/>
    <x v="0"/>
    <x v="0"/>
    <x v="0"/>
    <x v="5"/>
    <n v="13"/>
    <x v="5"/>
    <x v="1"/>
  </r>
  <r>
    <x v="2"/>
    <x v="8"/>
    <x v="0"/>
    <x v="0"/>
    <x v="0"/>
    <x v="6"/>
    <n v="16"/>
    <x v="6"/>
    <x v="1"/>
  </r>
  <r>
    <x v="2"/>
    <x v="8"/>
    <x v="0"/>
    <x v="0"/>
    <x v="0"/>
    <x v="7"/>
    <n v="17"/>
    <x v="7"/>
    <x v="1"/>
  </r>
  <r>
    <x v="2"/>
    <x v="8"/>
    <x v="0"/>
    <x v="0"/>
    <x v="0"/>
    <x v="8"/>
    <n v="8"/>
    <x v="8"/>
    <x v="1"/>
  </r>
  <r>
    <x v="2"/>
    <x v="8"/>
    <x v="0"/>
    <x v="0"/>
    <x v="0"/>
    <x v="9"/>
    <n v="7"/>
    <x v="9"/>
    <x v="0"/>
  </r>
  <r>
    <x v="2"/>
    <x v="8"/>
    <x v="0"/>
    <x v="0"/>
    <x v="0"/>
    <x v="10"/>
    <n v="6"/>
    <x v="10"/>
    <x v="0"/>
  </r>
  <r>
    <x v="2"/>
    <x v="8"/>
    <x v="0"/>
    <x v="0"/>
    <x v="0"/>
    <x v="11"/>
    <n v="16"/>
    <x v="11"/>
    <x v="0"/>
  </r>
  <r>
    <x v="2"/>
    <x v="8"/>
    <x v="0"/>
    <x v="0"/>
    <x v="1"/>
    <x v="12"/>
    <n v="14"/>
    <x v="12"/>
    <x v="0"/>
  </r>
  <r>
    <x v="2"/>
    <x v="8"/>
    <x v="0"/>
    <x v="0"/>
    <x v="1"/>
    <x v="13"/>
    <n v="8"/>
    <x v="13"/>
    <x v="0"/>
  </r>
  <r>
    <x v="2"/>
    <x v="8"/>
    <x v="0"/>
    <x v="0"/>
    <x v="1"/>
    <x v="14"/>
    <n v="8"/>
    <x v="14"/>
    <x v="0"/>
  </r>
  <r>
    <x v="2"/>
    <x v="8"/>
    <x v="0"/>
    <x v="0"/>
    <x v="1"/>
    <x v="15"/>
    <n v="11"/>
    <x v="15"/>
    <x v="0"/>
  </r>
  <r>
    <x v="2"/>
    <x v="8"/>
    <x v="0"/>
    <x v="0"/>
    <x v="1"/>
    <x v="16"/>
    <n v="11"/>
    <x v="16"/>
    <x v="0"/>
  </r>
  <r>
    <x v="2"/>
    <x v="8"/>
    <x v="0"/>
    <x v="0"/>
    <x v="1"/>
    <x v="17"/>
    <n v="17"/>
    <x v="17"/>
    <x v="0"/>
  </r>
  <r>
    <x v="2"/>
    <x v="8"/>
    <x v="0"/>
    <x v="0"/>
    <x v="1"/>
    <x v="18"/>
    <n v="9"/>
    <x v="18"/>
    <x v="1"/>
  </r>
  <r>
    <x v="2"/>
    <x v="8"/>
    <x v="0"/>
    <x v="0"/>
    <x v="1"/>
    <x v="19"/>
    <n v="20"/>
    <x v="19"/>
    <x v="1"/>
  </r>
  <r>
    <x v="2"/>
    <x v="8"/>
    <x v="0"/>
    <x v="0"/>
    <x v="1"/>
    <x v="20"/>
    <n v="10"/>
    <x v="20"/>
    <x v="1"/>
  </r>
  <r>
    <x v="2"/>
    <x v="8"/>
    <x v="0"/>
    <x v="0"/>
    <x v="1"/>
    <x v="21"/>
    <n v="11"/>
    <x v="21"/>
    <x v="1"/>
  </r>
  <r>
    <x v="2"/>
    <x v="8"/>
    <x v="0"/>
    <x v="0"/>
    <x v="1"/>
    <x v="22"/>
    <n v="19"/>
    <x v="22"/>
    <x v="0"/>
  </r>
  <r>
    <x v="2"/>
    <x v="8"/>
    <x v="0"/>
    <x v="0"/>
    <x v="1"/>
    <x v="23"/>
    <n v="12"/>
    <x v="23"/>
    <x v="0"/>
  </r>
  <r>
    <x v="2"/>
    <x v="8"/>
    <x v="0"/>
    <x v="0"/>
    <x v="2"/>
    <x v="24"/>
    <n v="10"/>
    <x v="24"/>
    <x v="0"/>
  </r>
  <r>
    <x v="2"/>
    <x v="8"/>
    <x v="0"/>
    <x v="0"/>
    <x v="2"/>
    <x v="25"/>
    <n v="19"/>
    <x v="25"/>
    <x v="0"/>
  </r>
  <r>
    <x v="2"/>
    <x v="8"/>
    <x v="0"/>
    <x v="0"/>
    <x v="2"/>
    <x v="26"/>
    <n v="14"/>
    <x v="26"/>
    <x v="0"/>
  </r>
  <r>
    <x v="2"/>
    <x v="8"/>
    <x v="0"/>
    <x v="0"/>
    <x v="2"/>
    <x v="27"/>
    <n v="11"/>
    <x v="27"/>
    <x v="0"/>
  </r>
  <r>
    <x v="2"/>
    <x v="8"/>
    <x v="0"/>
    <x v="0"/>
    <x v="2"/>
    <x v="28"/>
    <n v="12"/>
    <x v="28"/>
    <x v="0"/>
  </r>
  <r>
    <x v="2"/>
    <x v="8"/>
    <x v="0"/>
    <x v="0"/>
    <x v="2"/>
    <x v="29"/>
    <n v="12"/>
    <x v="29"/>
    <x v="0"/>
  </r>
  <r>
    <x v="2"/>
    <x v="8"/>
    <x v="0"/>
    <x v="0"/>
    <x v="2"/>
    <x v="30"/>
    <n v="16"/>
    <x v="30"/>
    <x v="1"/>
  </r>
  <r>
    <x v="2"/>
    <x v="8"/>
    <x v="0"/>
    <x v="0"/>
    <x v="2"/>
    <x v="31"/>
    <n v="8"/>
    <x v="31"/>
    <x v="1"/>
  </r>
  <r>
    <x v="2"/>
    <x v="8"/>
    <x v="0"/>
    <x v="0"/>
    <x v="2"/>
    <x v="32"/>
    <n v="10"/>
    <x v="32"/>
    <x v="1"/>
  </r>
  <r>
    <x v="2"/>
    <x v="8"/>
    <x v="0"/>
    <x v="0"/>
    <x v="2"/>
    <x v="33"/>
    <n v="17"/>
    <x v="33"/>
    <x v="1"/>
  </r>
  <r>
    <x v="2"/>
    <x v="8"/>
    <x v="0"/>
    <x v="0"/>
    <x v="2"/>
    <x v="34"/>
    <n v="15"/>
    <x v="34"/>
    <x v="0"/>
  </r>
  <r>
    <x v="2"/>
    <x v="8"/>
    <x v="0"/>
    <x v="0"/>
    <x v="2"/>
    <x v="35"/>
    <n v="13"/>
    <x v="35"/>
    <x v="0"/>
  </r>
  <r>
    <x v="2"/>
    <x v="8"/>
    <x v="0"/>
    <x v="0"/>
    <x v="2"/>
    <x v="36"/>
    <n v="7"/>
    <x v="36"/>
    <x v="0"/>
  </r>
  <r>
    <x v="2"/>
    <x v="8"/>
    <x v="0"/>
    <x v="0"/>
    <x v="2"/>
    <x v="37"/>
    <n v="7"/>
    <x v="37"/>
    <x v="0"/>
  </r>
  <r>
    <x v="2"/>
    <x v="8"/>
    <x v="0"/>
    <x v="1"/>
    <x v="0"/>
    <x v="0"/>
    <n v="0"/>
    <x v="0"/>
    <x v="0"/>
  </r>
  <r>
    <x v="2"/>
    <x v="8"/>
    <x v="0"/>
    <x v="1"/>
    <x v="0"/>
    <x v="1"/>
    <n v="0"/>
    <x v="1"/>
    <x v="0"/>
  </r>
  <r>
    <x v="2"/>
    <x v="8"/>
    <x v="0"/>
    <x v="1"/>
    <x v="0"/>
    <x v="2"/>
    <n v="0"/>
    <x v="2"/>
    <x v="0"/>
  </r>
  <r>
    <x v="2"/>
    <x v="8"/>
    <x v="0"/>
    <x v="1"/>
    <x v="0"/>
    <x v="3"/>
    <n v="0"/>
    <x v="3"/>
    <x v="0"/>
  </r>
  <r>
    <x v="2"/>
    <x v="8"/>
    <x v="0"/>
    <x v="1"/>
    <x v="0"/>
    <x v="4"/>
    <n v="0"/>
    <x v="4"/>
    <x v="0"/>
  </r>
  <r>
    <x v="2"/>
    <x v="8"/>
    <x v="0"/>
    <x v="1"/>
    <x v="0"/>
    <x v="5"/>
    <n v="0"/>
    <x v="5"/>
    <x v="1"/>
  </r>
  <r>
    <x v="2"/>
    <x v="8"/>
    <x v="0"/>
    <x v="1"/>
    <x v="0"/>
    <x v="6"/>
    <n v="0"/>
    <x v="6"/>
    <x v="1"/>
  </r>
  <r>
    <x v="2"/>
    <x v="8"/>
    <x v="0"/>
    <x v="1"/>
    <x v="0"/>
    <x v="7"/>
    <n v="0"/>
    <x v="7"/>
    <x v="1"/>
  </r>
  <r>
    <x v="2"/>
    <x v="8"/>
    <x v="0"/>
    <x v="1"/>
    <x v="0"/>
    <x v="8"/>
    <n v="0"/>
    <x v="8"/>
    <x v="1"/>
  </r>
  <r>
    <x v="2"/>
    <x v="8"/>
    <x v="0"/>
    <x v="1"/>
    <x v="0"/>
    <x v="9"/>
    <n v="0"/>
    <x v="9"/>
    <x v="0"/>
  </r>
  <r>
    <x v="2"/>
    <x v="8"/>
    <x v="0"/>
    <x v="1"/>
    <x v="0"/>
    <x v="10"/>
    <n v="0"/>
    <x v="10"/>
    <x v="0"/>
  </r>
  <r>
    <x v="2"/>
    <x v="8"/>
    <x v="0"/>
    <x v="1"/>
    <x v="0"/>
    <x v="11"/>
    <n v="0"/>
    <x v="11"/>
    <x v="0"/>
  </r>
  <r>
    <x v="2"/>
    <x v="8"/>
    <x v="0"/>
    <x v="1"/>
    <x v="1"/>
    <x v="12"/>
    <n v="0"/>
    <x v="12"/>
    <x v="0"/>
  </r>
  <r>
    <x v="2"/>
    <x v="8"/>
    <x v="0"/>
    <x v="1"/>
    <x v="1"/>
    <x v="13"/>
    <n v="0"/>
    <x v="13"/>
    <x v="0"/>
  </r>
  <r>
    <x v="2"/>
    <x v="8"/>
    <x v="0"/>
    <x v="1"/>
    <x v="1"/>
    <x v="14"/>
    <n v="0"/>
    <x v="14"/>
    <x v="0"/>
  </r>
  <r>
    <x v="2"/>
    <x v="8"/>
    <x v="0"/>
    <x v="1"/>
    <x v="1"/>
    <x v="15"/>
    <n v="0"/>
    <x v="15"/>
    <x v="0"/>
  </r>
  <r>
    <x v="2"/>
    <x v="8"/>
    <x v="0"/>
    <x v="1"/>
    <x v="1"/>
    <x v="16"/>
    <n v="0"/>
    <x v="16"/>
    <x v="0"/>
  </r>
  <r>
    <x v="2"/>
    <x v="8"/>
    <x v="0"/>
    <x v="1"/>
    <x v="1"/>
    <x v="17"/>
    <n v="0"/>
    <x v="17"/>
    <x v="0"/>
  </r>
  <r>
    <x v="2"/>
    <x v="8"/>
    <x v="0"/>
    <x v="1"/>
    <x v="1"/>
    <x v="18"/>
    <n v="0"/>
    <x v="18"/>
    <x v="1"/>
  </r>
  <r>
    <x v="2"/>
    <x v="8"/>
    <x v="0"/>
    <x v="1"/>
    <x v="1"/>
    <x v="19"/>
    <n v="0"/>
    <x v="19"/>
    <x v="1"/>
  </r>
  <r>
    <x v="2"/>
    <x v="8"/>
    <x v="0"/>
    <x v="1"/>
    <x v="1"/>
    <x v="20"/>
    <n v="0"/>
    <x v="20"/>
    <x v="1"/>
  </r>
  <r>
    <x v="2"/>
    <x v="8"/>
    <x v="0"/>
    <x v="1"/>
    <x v="1"/>
    <x v="21"/>
    <n v="0"/>
    <x v="21"/>
    <x v="1"/>
  </r>
  <r>
    <x v="2"/>
    <x v="8"/>
    <x v="0"/>
    <x v="1"/>
    <x v="1"/>
    <x v="22"/>
    <n v="0"/>
    <x v="22"/>
    <x v="0"/>
  </r>
  <r>
    <x v="2"/>
    <x v="8"/>
    <x v="0"/>
    <x v="1"/>
    <x v="1"/>
    <x v="23"/>
    <n v="0"/>
    <x v="23"/>
    <x v="0"/>
  </r>
  <r>
    <x v="2"/>
    <x v="8"/>
    <x v="0"/>
    <x v="1"/>
    <x v="2"/>
    <x v="24"/>
    <n v="1"/>
    <x v="24"/>
    <x v="0"/>
  </r>
  <r>
    <x v="2"/>
    <x v="8"/>
    <x v="0"/>
    <x v="1"/>
    <x v="2"/>
    <x v="25"/>
    <n v="1"/>
    <x v="25"/>
    <x v="0"/>
  </r>
  <r>
    <x v="2"/>
    <x v="8"/>
    <x v="0"/>
    <x v="1"/>
    <x v="2"/>
    <x v="26"/>
    <n v="0"/>
    <x v="26"/>
    <x v="0"/>
  </r>
  <r>
    <x v="2"/>
    <x v="8"/>
    <x v="0"/>
    <x v="1"/>
    <x v="2"/>
    <x v="27"/>
    <n v="1"/>
    <x v="27"/>
    <x v="0"/>
  </r>
  <r>
    <x v="2"/>
    <x v="8"/>
    <x v="0"/>
    <x v="1"/>
    <x v="2"/>
    <x v="28"/>
    <n v="0"/>
    <x v="28"/>
    <x v="0"/>
  </r>
  <r>
    <x v="2"/>
    <x v="8"/>
    <x v="0"/>
    <x v="1"/>
    <x v="2"/>
    <x v="29"/>
    <n v="0"/>
    <x v="29"/>
    <x v="0"/>
  </r>
  <r>
    <x v="2"/>
    <x v="8"/>
    <x v="0"/>
    <x v="1"/>
    <x v="2"/>
    <x v="30"/>
    <n v="0"/>
    <x v="30"/>
    <x v="1"/>
  </r>
  <r>
    <x v="2"/>
    <x v="8"/>
    <x v="0"/>
    <x v="1"/>
    <x v="2"/>
    <x v="31"/>
    <n v="0"/>
    <x v="31"/>
    <x v="1"/>
  </r>
  <r>
    <x v="2"/>
    <x v="8"/>
    <x v="0"/>
    <x v="1"/>
    <x v="2"/>
    <x v="32"/>
    <n v="0"/>
    <x v="32"/>
    <x v="1"/>
  </r>
  <r>
    <x v="2"/>
    <x v="8"/>
    <x v="0"/>
    <x v="1"/>
    <x v="2"/>
    <x v="33"/>
    <n v="0"/>
    <x v="33"/>
    <x v="1"/>
  </r>
  <r>
    <x v="2"/>
    <x v="8"/>
    <x v="0"/>
    <x v="1"/>
    <x v="2"/>
    <x v="34"/>
    <n v="0"/>
    <x v="34"/>
    <x v="0"/>
  </r>
  <r>
    <x v="2"/>
    <x v="8"/>
    <x v="0"/>
    <x v="1"/>
    <x v="2"/>
    <x v="35"/>
    <n v="0"/>
    <x v="35"/>
    <x v="0"/>
  </r>
  <r>
    <x v="2"/>
    <x v="8"/>
    <x v="0"/>
    <x v="1"/>
    <x v="2"/>
    <x v="36"/>
    <n v="0"/>
    <x v="36"/>
    <x v="0"/>
  </r>
  <r>
    <x v="2"/>
    <x v="8"/>
    <x v="0"/>
    <x v="1"/>
    <x v="2"/>
    <x v="37"/>
    <n v="0"/>
    <x v="37"/>
    <x v="0"/>
  </r>
  <r>
    <x v="2"/>
    <x v="8"/>
    <x v="0"/>
    <x v="2"/>
    <x v="0"/>
    <x v="0"/>
    <n v="0"/>
    <x v="0"/>
    <x v="0"/>
  </r>
  <r>
    <x v="2"/>
    <x v="8"/>
    <x v="0"/>
    <x v="2"/>
    <x v="0"/>
    <x v="1"/>
    <n v="0"/>
    <x v="1"/>
    <x v="0"/>
  </r>
  <r>
    <x v="2"/>
    <x v="8"/>
    <x v="0"/>
    <x v="2"/>
    <x v="0"/>
    <x v="2"/>
    <n v="0"/>
    <x v="2"/>
    <x v="0"/>
  </r>
  <r>
    <x v="2"/>
    <x v="8"/>
    <x v="0"/>
    <x v="2"/>
    <x v="0"/>
    <x v="3"/>
    <n v="0"/>
    <x v="3"/>
    <x v="0"/>
  </r>
  <r>
    <x v="2"/>
    <x v="8"/>
    <x v="0"/>
    <x v="2"/>
    <x v="0"/>
    <x v="4"/>
    <n v="0"/>
    <x v="4"/>
    <x v="0"/>
  </r>
  <r>
    <x v="2"/>
    <x v="8"/>
    <x v="0"/>
    <x v="2"/>
    <x v="0"/>
    <x v="5"/>
    <n v="0"/>
    <x v="5"/>
    <x v="1"/>
  </r>
  <r>
    <x v="2"/>
    <x v="8"/>
    <x v="0"/>
    <x v="2"/>
    <x v="0"/>
    <x v="6"/>
    <n v="0"/>
    <x v="6"/>
    <x v="1"/>
  </r>
  <r>
    <x v="2"/>
    <x v="8"/>
    <x v="0"/>
    <x v="2"/>
    <x v="0"/>
    <x v="7"/>
    <n v="1"/>
    <x v="7"/>
    <x v="1"/>
  </r>
  <r>
    <x v="2"/>
    <x v="8"/>
    <x v="0"/>
    <x v="2"/>
    <x v="0"/>
    <x v="8"/>
    <n v="0"/>
    <x v="8"/>
    <x v="1"/>
  </r>
  <r>
    <x v="2"/>
    <x v="8"/>
    <x v="0"/>
    <x v="2"/>
    <x v="0"/>
    <x v="9"/>
    <n v="0"/>
    <x v="9"/>
    <x v="0"/>
  </r>
  <r>
    <x v="2"/>
    <x v="8"/>
    <x v="0"/>
    <x v="2"/>
    <x v="0"/>
    <x v="10"/>
    <n v="0"/>
    <x v="10"/>
    <x v="0"/>
  </r>
  <r>
    <x v="2"/>
    <x v="8"/>
    <x v="0"/>
    <x v="2"/>
    <x v="0"/>
    <x v="11"/>
    <n v="1"/>
    <x v="11"/>
    <x v="0"/>
  </r>
  <r>
    <x v="2"/>
    <x v="8"/>
    <x v="0"/>
    <x v="2"/>
    <x v="1"/>
    <x v="12"/>
    <n v="0"/>
    <x v="12"/>
    <x v="0"/>
  </r>
  <r>
    <x v="2"/>
    <x v="8"/>
    <x v="0"/>
    <x v="2"/>
    <x v="1"/>
    <x v="13"/>
    <n v="0"/>
    <x v="13"/>
    <x v="0"/>
  </r>
  <r>
    <x v="2"/>
    <x v="8"/>
    <x v="0"/>
    <x v="2"/>
    <x v="1"/>
    <x v="14"/>
    <n v="0"/>
    <x v="14"/>
    <x v="0"/>
  </r>
  <r>
    <x v="2"/>
    <x v="8"/>
    <x v="0"/>
    <x v="2"/>
    <x v="1"/>
    <x v="15"/>
    <n v="0"/>
    <x v="15"/>
    <x v="0"/>
  </r>
  <r>
    <x v="2"/>
    <x v="8"/>
    <x v="0"/>
    <x v="2"/>
    <x v="1"/>
    <x v="16"/>
    <n v="0"/>
    <x v="16"/>
    <x v="0"/>
  </r>
  <r>
    <x v="2"/>
    <x v="8"/>
    <x v="0"/>
    <x v="2"/>
    <x v="1"/>
    <x v="17"/>
    <n v="0"/>
    <x v="17"/>
    <x v="0"/>
  </r>
  <r>
    <x v="2"/>
    <x v="8"/>
    <x v="0"/>
    <x v="2"/>
    <x v="1"/>
    <x v="18"/>
    <n v="0"/>
    <x v="18"/>
    <x v="1"/>
  </r>
  <r>
    <x v="2"/>
    <x v="8"/>
    <x v="0"/>
    <x v="2"/>
    <x v="1"/>
    <x v="19"/>
    <n v="0"/>
    <x v="19"/>
    <x v="1"/>
  </r>
  <r>
    <x v="2"/>
    <x v="8"/>
    <x v="0"/>
    <x v="2"/>
    <x v="1"/>
    <x v="20"/>
    <n v="0"/>
    <x v="20"/>
    <x v="1"/>
  </r>
  <r>
    <x v="2"/>
    <x v="8"/>
    <x v="0"/>
    <x v="2"/>
    <x v="1"/>
    <x v="21"/>
    <n v="0"/>
    <x v="21"/>
    <x v="1"/>
  </r>
  <r>
    <x v="2"/>
    <x v="8"/>
    <x v="0"/>
    <x v="2"/>
    <x v="1"/>
    <x v="22"/>
    <n v="0"/>
    <x v="22"/>
    <x v="0"/>
  </r>
  <r>
    <x v="2"/>
    <x v="8"/>
    <x v="0"/>
    <x v="2"/>
    <x v="1"/>
    <x v="23"/>
    <n v="2"/>
    <x v="23"/>
    <x v="0"/>
  </r>
  <r>
    <x v="2"/>
    <x v="8"/>
    <x v="0"/>
    <x v="2"/>
    <x v="2"/>
    <x v="24"/>
    <n v="0"/>
    <x v="24"/>
    <x v="0"/>
  </r>
  <r>
    <x v="2"/>
    <x v="8"/>
    <x v="0"/>
    <x v="2"/>
    <x v="2"/>
    <x v="25"/>
    <n v="0"/>
    <x v="25"/>
    <x v="0"/>
  </r>
  <r>
    <x v="2"/>
    <x v="8"/>
    <x v="0"/>
    <x v="2"/>
    <x v="2"/>
    <x v="26"/>
    <n v="0"/>
    <x v="26"/>
    <x v="0"/>
  </r>
  <r>
    <x v="2"/>
    <x v="8"/>
    <x v="0"/>
    <x v="2"/>
    <x v="2"/>
    <x v="27"/>
    <n v="1"/>
    <x v="27"/>
    <x v="0"/>
  </r>
  <r>
    <x v="2"/>
    <x v="8"/>
    <x v="0"/>
    <x v="2"/>
    <x v="2"/>
    <x v="28"/>
    <n v="0"/>
    <x v="28"/>
    <x v="0"/>
  </r>
  <r>
    <x v="2"/>
    <x v="8"/>
    <x v="0"/>
    <x v="2"/>
    <x v="2"/>
    <x v="29"/>
    <n v="0"/>
    <x v="29"/>
    <x v="0"/>
  </r>
  <r>
    <x v="2"/>
    <x v="8"/>
    <x v="0"/>
    <x v="2"/>
    <x v="2"/>
    <x v="30"/>
    <n v="0"/>
    <x v="30"/>
    <x v="1"/>
  </r>
  <r>
    <x v="2"/>
    <x v="8"/>
    <x v="0"/>
    <x v="2"/>
    <x v="2"/>
    <x v="31"/>
    <n v="0"/>
    <x v="31"/>
    <x v="1"/>
  </r>
  <r>
    <x v="2"/>
    <x v="8"/>
    <x v="0"/>
    <x v="2"/>
    <x v="2"/>
    <x v="32"/>
    <n v="0"/>
    <x v="32"/>
    <x v="1"/>
  </r>
  <r>
    <x v="2"/>
    <x v="8"/>
    <x v="0"/>
    <x v="2"/>
    <x v="2"/>
    <x v="33"/>
    <n v="1"/>
    <x v="33"/>
    <x v="1"/>
  </r>
  <r>
    <x v="2"/>
    <x v="8"/>
    <x v="0"/>
    <x v="2"/>
    <x v="2"/>
    <x v="34"/>
    <n v="1"/>
    <x v="34"/>
    <x v="0"/>
  </r>
  <r>
    <x v="2"/>
    <x v="8"/>
    <x v="0"/>
    <x v="2"/>
    <x v="2"/>
    <x v="35"/>
    <n v="0"/>
    <x v="35"/>
    <x v="0"/>
  </r>
  <r>
    <x v="2"/>
    <x v="8"/>
    <x v="0"/>
    <x v="2"/>
    <x v="2"/>
    <x v="36"/>
    <n v="0"/>
    <x v="36"/>
    <x v="0"/>
  </r>
  <r>
    <x v="2"/>
    <x v="8"/>
    <x v="0"/>
    <x v="2"/>
    <x v="2"/>
    <x v="37"/>
    <n v="0"/>
    <x v="37"/>
    <x v="0"/>
  </r>
  <r>
    <x v="2"/>
    <x v="8"/>
    <x v="0"/>
    <x v="3"/>
    <x v="0"/>
    <x v="0"/>
    <n v="0"/>
    <x v="0"/>
    <x v="0"/>
  </r>
  <r>
    <x v="2"/>
    <x v="8"/>
    <x v="0"/>
    <x v="3"/>
    <x v="0"/>
    <x v="1"/>
    <n v="0"/>
    <x v="1"/>
    <x v="0"/>
  </r>
  <r>
    <x v="2"/>
    <x v="8"/>
    <x v="0"/>
    <x v="3"/>
    <x v="0"/>
    <x v="2"/>
    <n v="0"/>
    <x v="2"/>
    <x v="0"/>
  </r>
  <r>
    <x v="2"/>
    <x v="8"/>
    <x v="0"/>
    <x v="3"/>
    <x v="0"/>
    <x v="3"/>
    <n v="0"/>
    <x v="3"/>
    <x v="0"/>
  </r>
  <r>
    <x v="2"/>
    <x v="8"/>
    <x v="0"/>
    <x v="3"/>
    <x v="0"/>
    <x v="4"/>
    <n v="0"/>
    <x v="4"/>
    <x v="0"/>
  </r>
  <r>
    <x v="2"/>
    <x v="8"/>
    <x v="0"/>
    <x v="3"/>
    <x v="0"/>
    <x v="5"/>
    <n v="0"/>
    <x v="5"/>
    <x v="1"/>
  </r>
  <r>
    <x v="2"/>
    <x v="8"/>
    <x v="0"/>
    <x v="3"/>
    <x v="0"/>
    <x v="6"/>
    <n v="0"/>
    <x v="6"/>
    <x v="1"/>
  </r>
  <r>
    <x v="2"/>
    <x v="8"/>
    <x v="0"/>
    <x v="3"/>
    <x v="0"/>
    <x v="7"/>
    <n v="0"/>
    <x v="7"/>
    <x v="1"/>
  </r>
  <r>
    <x v="2"/>
    <x v="8"/>
    <x v="0"/>
    <x v="3"/>
    <x v="0"/>
    <x v="8"/>
    <n v="0"/>
    <x v="8"/>
    <x v="1"/>
  </r>
  <r>
    <x v="2"/>
    <x v="8"/>
    <x v="0"/>
    <x v="3"/>
    <x v="0"/>
    <x v="9"/>
    <n v="0"/>
    <x v="9"/>
    <x v="0"/>
  </r>
  <r>
    <x v="2"/>
    <x v="8"/>
    <x v="0"/>
    <x v="3"/>
    <x v="0"/>
    <x v="10"/>
    <n v="0"/>
    <x v="10"/>
    <x v="0"/>
  </r>
  <r>
    <x v="2"/>
    <x v="8"/>
    <x v="0"/>
    <x v="3"/>
    <x v="0"/>
    <x v="11"/>
    <n v="0"/>
    <x v="11"/>
    <x v="0"/>
  </r>
  <r>
    <x v="2"/>
    <x v="8"/>
    <x v="0"/>
    <x v="3"/>
    <x v="1"/>
    <x v="12"/>
    <n v="0"/>
    <x v="12"/>
    <x v="0"/>
  </r>
  <r>
    <x v="2"/>
    <x v="8"/>
    <x v="0"/>
    <x v="3"/>
    <x v="1"/>
    <x v="13"/>
    <n v="0"/>
    <x v="13"/>
    <x v="0"/>
  </r>
  <r>
    <x v="2"/>
    <x v="8"/>
    <x v="0"/>
    <x v="3"/>
    <x v="1"/>
    <x v="14"/>
    <n v="0"/>
    <x v="14"/>
    <x v="0"/>
  </r>
  <r>
    <x v="2"/>
    <x v="8"/>
    <x v="0"/>
    <x v="3"/>
    <x v="1"/>
    <x v="15"/>
    <n v="0"/>
    <x v="15"/>
    <x v="0"/>
  </r>
  <r>
    <x v="2"/>
    <x v="8"/>
    <x v="0"/>
    <x v="3"/>
    <x v="1"/>
    <x v="16"/>
    <n v="0"/>
    <x v="16"/>
    <x v="0"/>
  </r>
  <r>
    <x v="2"/>
    <x v="8"/>
    <x v="0"/>
    <x v="3"/>
    <x v="1"/>
    <x v="17"/>
    <n v="0"/>
    <x v="17"/>
    <x v="0"/>
  </r>
  <r>
    <x v="2"/>
    <x v="8"/>
    <x v="0"/>
    <x v="3"/>
    <x v="1"/>
    <x v="18"/>
    <n v="0"/>
    <x v="18"/>
    <x v="1"/>
  </r>
  <r>
    <x v="2"/>
    <x v="8"/>
    <x v="0"/>
    <x v="3"/>
    <x v="1"/>
    <x v="19"/>
    <n v="0"/>
    <x v="19"/>
    <x v="1"/>
  </r>
  <r>
    <x v="2"/>
    <x v="8"/>
    <x v="0"/>
    <x v="3"/>
    <x v="1"/>
    <x v="20"/>
    <n v="0"/>
    <x v="20"/>
    <x v="1"/>
  </r>
  <r>
    <x v="2"/>
    <x v="8"/>
    <x v="0"/>
    <x v="3"/>
    <x v="1"/>
    <x v="21"/>
    <n v="0"/>
    <x v="21"/>
    <x v="1"/>
  </r>
  <r>
    <x v="2"/>
    <x v="8"/>
    <x v="0"/>
    <x v="3"/>
    <x v="1"/>
    <x v="22"/>
    <n v="0"/>
    <x v="22"/>
    <x v="0"/>
  </r>
  <r>
    <x v="2"/>
    <x v="8"/>
    <x v="0"/>
    <x v="3"/>
    <x v="1"/>
    <x v="23"/>
    <n v="0"/>
    <x v="23"/>
    <x v="0"/>
  </r>
  <r>
    <x v="2"/>
    <x v="8"/>
    <x v="0"/>
    <x v="3"/>
    <x v="2"/>
    <x v="24"/>
    <n v="0"/>
    <x v="24"/>
    <x v="0"/>
  </r>
  <r>
    <x v="2"/>
    <x v="8"/>
    <x v="0"/>
    <x v="3"/>
    <x v="2"/>
    <x v="25"/>
    <n v="0"/>
    <x v="25"/>
    <x v="0"/>
  </r>
  <r>
    <x v="2"/>
    <x v="8"/>
    <x v="0"/>
    <x v="3"/>
    <x v="2"/>
    <x v="26"/>
    <n v="0"/>
    <x v="26"/>
    <x v="0"/>
  </r>
  <r>
    <x v="2"/>
    <x v="8"/>
    <x v="0"/>
    <x v="3"/>
    <x v="2"/>
    <x v="27"/>
    <n v="0"/>
    <x v="27"/>
    <x v="0"/>
  </r>
  <r>
    <x v="2"/>
    <x v="8"/>
    <x v="0"/>
    <x v="3"/>
    <x v="2"/>
    <x v="28"/>
    <n v="0"/>
    <x v="28"/>
    <x v="0"/>
  </r>
  <r>
    <x v="2"/>
    <x v="8"/>
    <x v="0"/>
    <x v="3"/>
    <x v="2"/>
    <x v="29"/>
    <n v="0"/>
    <x v="29"/>
    <x v="0"/>
  </r>
  <r>
    <x v="2"/>
    <x v="8"/>
    <x v="0"/>
    <x v="3"/>
    <x v="2"/>
    <x v="30"/>
    <n v="0"/>
    <x v="30"/>
    <x v="1"/>
  </r>
  <r>
    <x v="2"/>
    <x v="8"/>
    <x v="0"/>
    <x v="3"/>
    <x v="2"/>
    <x v="31"/>
    <n v="0"/>
    <x v="31"/>
    <x v="1"/>
  </r>
  <r>
    <x v="2"/>
    <x v="8"/>
    <x v="0"/>
    <x v="3"/>
    <x v="2"/>
    <x v="32"/>
    <n v="0"/>
    <x v="32"/>
    <x v="1"/>
  </r>
  <r>
    <x v="2"/>
    <x v="8"/>
    <x v="0"/>
    <x v="3"/>
    <x v="2"/>
    <x v="33"/>
    <n v="0"/>
    <x v="33"/>
    <x v="1"/>
  </r>
  <r>
    <x v="2"/>
    <x v="8"/>
    <x v="0"/>
    <x v="3"/>
    <x v="2"/>
    <x v="34"/>
    <n v="0"/>
    <x v="34"/>
    <x v="0"/>
  </r>
  <r>
    <x v="2"/>
    <x v="8"/>
    <x v="0"/>
    <x v="3"/>
    <x v="2"/>
    <x v="35"/>
    <n v="0"/>
    <x v="35"/>
    <x v="0"/>
  </r>
  <r>
    <x v="2"/>
    <x v="8"/>
    <x v="0"/>
    <x v="3"/>
    <x v="2"/>
    <x v="36"/>
    <n v="0"/>
    <x v="36"/>
    <x v="0"/>
  </r>
  <r>
    <x v="2"/>
    <x v="8"/>
    <x v="0"/>
    <x v="3"/>
    <x v="2"/>
    <x v="37"/>
    <n v="0"/>
    <x v="37"/>
    <x v="0"/>
  </r>
  <r>
    <x v="2"/>
    <x v="8"/>
    <x v="0"/>
    <x v="4"/>
    <x v="0"/>
    <x v="0"/>
    <n v="0"/>
    <x v="0"/>
    <x v="0"/>
  </r>
  <r>
    <x v="2"/>
    <x v="8"/>
    <x v="0"/>
    <x v="4"/>
    <x v="0"/>
    <x v="1"/>
    <n v="0"/>
    <x v="1"/>
    <x v="0"/>
  </r>
  <r>
    <x v="2"/>
    <x v="8"/>
    <x v="0"/>
    <x v="4"/>
    <x v="0"/>
    <x v="2"/>
    <n v="0"/>
    <x v="2"/>
    <x v="0"/>
  </r>
  <r>
    <x v="2"/>
    <x v="8"/>
    <x v="0"/>
    <x v="4"/>
    <x v="0"/>
    <x v="3"/>
    <n v="0"/>
    <x v="3"/>
    <x v="0"/>
  </r>
  <r>
    <x v="2"/>
    <x v="8"/>
    <x v="0"/>
    <x v="4"/>
    <x v="0"/>
    <x v="4"/>
    <n v="0"/>
    <x v="4"/>
    <x v="0"/>
  </r>
  <r>
    <x v="2"/>
    <x v="8"/>
    <x v="0"/>
    <x v="4"/>
    <x v="0"/>
    <x v="5"/>
    <n v="0"/>
    <x v="5"/>
    <x v="1"/>
  </r>
  <r>
    <x v="2"/>
    <x v="8"/>
    <x v="0"/>
    <x v="4"/>
    <x v="0"/>
    <x v="6"/>
    <n v="0"/>
    <x v="6"/>
    <x v="1"/>
  </r>
  <r>
    <x v="2"/>
    <x v="8"/>
    <x v="0"/>
    <x v="4"/>
    <x v="0"/>
    <x v="7"/>
    <n v="0"/>
    <x v="7"/>
    <x v="1"/>
  </r>
  <r>
    <x v="2"/>
    <x v="8"/>
    <x v="0"/>
    <x v="4"/>
    <x v="0"/>
    <x v="8"/>
    <n v="0"/>
    <x v="8"/>
    <x v="1"/>
  </r>
  <r>
    <x v="2"/>
    <x v="8"/>
    <x v="0"/>
    <x v="4"/>
    <x v="0"/>
    <x v="9"/>
    <n v="0"/>
    <x v="9"/>
    <x v="0"/>
  </r>
  <r>
    <x v="2"/>
    <x v="8"/>
    <x v="0"/>
    <x v="4"/>
    <x v="0"/>
    <x v="10"/>
    <n v="0"/>
    <x v="10"/>
    <x v="0"/>
  </r>
  <r>
    <x v="2"/>
    <x v="8"/>
    <x v="0"/>
    <x v="4"/>
    <x v="0"/>
    <x v="11"/>
    <n v="0"/>
    <x v="11"/>
    <x v="0"/>
  </r>
  <r>
    <x v="2"/>
    <x v="8"/>
    <x v="0"/>
    <x v="4"/>
    <x v="1"/>
    <x v="12"/>
    <n v="0"/>
    <x v="12"/>
    <x v="0"/>
  </r>
  <r>
    <x v="2"/>
    <x v="8"/>
    <x v="0"/>
    <x v="4"/>
    <x v="1"/>
    <x v="13"/>
    <n v="0"/>
    <x v="13"/>
    <x v="0"/>
  </r>
  <r>
    <x v="2"/>
    <x v="8"/>
    <x v="0"/>
    <x v="4"/>
    <x v="1"/>
    <x v="14"/>
    <n v="0"/>
    <x v="14"/>
    <x v="0"/>
  </r>
  <r>
    <x v="2"/>
    <x v="8"/>
    <x v="0"/>
    <x v="4"/>
    <x v="1"/>
    <x v="15"/>
    <n v="0"/>
    <x v="15"/>
    <x v="0"/>
  </r>
  <r>
    <x v="2"/>
    <x v="8"/>
    <x v="0"/>
    <x v="4"/>
    <x v="1"/>
    <x v="16"/>
    <n v="0"/>
    <x v="16"/>
    <x v="0"/>
  </r>
  <r>
    <x v="2"/>
    <x v="8"/>
    <x v="0"/>
    <x v="4"/>
    <x v="1"/>
    <x v="17"/>
    <n v="0"/>
    <x v="17"/>
    <x v="0"/>
  </r>
  <r>
    <x v="2"/>
    <x v="8"/>
    <x v="0"/>
    <x v="4"/>
    <x v="1"/>
    <x v="18"/>
    <n v="0"/>
    <x v="18"/>
    <x v="1"/>
  </r>
  <r>
    <x v="2"/>
    <x v="8"/>
    <x v="0"/>
    <x v="4"/>
    <x v="1"/>
    <x v="19"/>
    <n v="0"/>
    <x v="19"/>
    <x v="1"/>
  </r>
  <r>
    <x v="2"/>
    <x v="8"/>
    <x v="0"/>
    <x v="4"/>
    <x v="1"/>
    <x v="20"/>
    <n v="0"/>
    <x v="20"/>
    <x v="1"/>
  </r>
  <r>
    <x v="2"/>
    <x v="8"/>
    <x v="0"/>
    <x v="4"/>
    <x v="1"/>
    <x v="21"/>
    <n v="0"/>
    <x v="21"/>
    <x v="1"/>
  </r>
  <r>
    <x v="2"/>
    <x v="8"/>
    <x v="0"/>
    <x v="4"/>
    <x v="1"/>
    <x v="22"/>
    <n v="0"/>
    <x v="22"/>
    <x v="0"/>
  </r>
  <r>
    <x v="2"/>
    <x v="8"/>
    <x v="0"/>
    <x v="4"/>
    <x v="1"/>
    <x v="23"/>
    <n v="0"/>
    <x v="23"/>
    <x v="0"/>
  </r>
  <r>
    <x v="2"/>
    <x v="8"/>
    <x v="0"/>
    <x v="4"/>
    <x v="2"/>
    <x v="24"/>
    <n v="0"/>
    <x v="24"/>
    <x v="0"/>
  </r>
  <r>
    <x v="2"/>
    <x v="8"/>
    <x v="0"/>
    <x v="4"/>
    <x v="2"/>
    <x v="25"/>
    <n v="0"/>
    <x v="25"/>
    <x v="0"/>
  </r>
  <r>
    <x v="2"/>
    <x v="8"/>
    <x v="0"/>
    <x v="4"/>
    <x v="2"/>
    <x v="26"/>
    <n v="0"/>
    <x v="26"/>
    <x v="0"/>
  </r>
  <r>
    <x v="2"/>
    <x v="8"/>
    <x v="0"/>
    <x v="4"/>
    <x v="2"/>
    <x v="27"/>
    <n v="0"/>
    <x v="27"/>
    <x v="0"/>
  </r>
  <r>
    <x v="2"/>
    <x v="8"/>
    <x v="0"/>
    <x v="4"/>
    <x v="2"/>
    <x v="28"/>
    <n v="0"/>
    <x v="28"/>
    <x v="0"/>
  </r>
  <r>
    <x v="2"/>
    <x v="8"/>
    <x v="0"/>
    <x v="4"/>
    <x v="2"/>
    <x v="29"/>
    <n v="0"/>
    <x v="29"/>
    <x v="0"/>
  </r>
  <r>
    <x v="2"/>
    <x v="8"/>
    <x v="0"/>
    <x v="4"/>
    <x v="2"/>
    <x v="30"/>
    <n v="0"/>
    <x v="30"/>
    <x v="1"/>
  </r>
  <r>
    <x v="2"/>
    <x v="8"/>
    <x v="0"/>
    <x v="4"/>
    <x v="2"/>
    <x v="31"/>
    <n v="0"/>
    <x v="31"/>
    <x v="1"/>
  </r>
  <r>
    <x v="2"/>
    <x v="8"/>
    <x v="0"/>
    <x v="4"/>
    <x v="2"/>
    <x v="32"/>
    <n v="0"/>
    <x v="32"/>
    <x v="1"/>
  </r>
  <r>
    <x v="2"/>
    <x v="8"/>
    <x v="0"/>
    <x v="4"/>
    <x v="2"/>
    <x v="33"/>
    <n v="0"/>
    <x v="33"/>
    <x v="1"/>
  </r>
  <r>
    <x v="2"/>
    <x v="8"/>
    <x v="0"/>
    <x v="4"/>
    <x v="2"/>
    <x v="34"/>
    <n v="0"/>
    <x v="34"/>
    <x v="0"/>
  </r>
  <r>
    <x v="2"/>
    <x v="8"/>
    <x v="0"/>
    <x v="4"/>
    <x v="2"/>
    <x v="35"/>
    <n v="0"/>
    <x v="35"/>
    <x v="0"/>
  </r>
  <r>
    <x v="2"/>
    <x v="8"/>
    <x v="0"/>
    <x v="4"/>
    <x v="2"/>
    <x v="36"/>
    <n v="0"/>
    <x v="36"/>
    <x v="0"/>
  </r>
  <r>
    <x v="2"/>
    <x v="8"/>
    <x v="0"/>
    <x v="4"/>
    <x v="2"/>
    <x v="37"/>
    <n v="0"/>
    <x v="37"/>
    <x v="0"/>
  </r>
  <r>
    <x v="3"/>
    <x v="9"/>
    <x v="3"/>
    <x v="0"/>
    <x v="0"/>
    <x v="0"/>
    <n v="19"/>
    <x v="0"/>
    <x v="0"/>
  </r>
  <r>
    <x v="3"/>
    <x v="9"/>
    <x v="3"/>
    <x v="0"/>
    <x v="0"/>
    <x v="1"/>
    <n v="36"/>
    <x v="1"/>
    <x v="0"/>
  </r>
  <r>
    <x v="3"/>
    <x v="9"/>
    <x v="3"/>
    <x v="0"/>
    <x v="0"/>
    <x v="2"/>
    <n v="28"/>
    <x v="2"/>
    <x v="0"/>
  </r>
  <r>
    <x v="3"/>
    <x v="9"/>
    <x v="3"/>
    <x v="0"/>
    <x v="0"/>
    <x v="3"/>
    <n v="43"/>
    <x v="3"/>
    <x v="0"/>
  </r>
  <r>
    <x v="3"/>
    <x v="9"/>
    <x v="3"/>
    <x v="0"/>
    <x v="0"/>
    <x v="4"/>
    <n v="46"/>
    <x v="4"/>
    <x v="0"/>
  </r>
  <r>
    <x v="3"/>
    <x v="9"/>
    <x v="3"/>
    <x v="0"/>
    <x v="0"/>
    <x v="5"/>
    <n v="49"/>
    <x v="5"/>
    <x v="1"/>
  </r>
  <r>
    <x v="3"/>
    <x v="9"/>
    <x v="3"/>
    <x v="0"/>
    <x v="0"/>
    <x v="6"/>
    <n v="67"/>
    <x v="6"/>
    <x v="1"/>
  </r>
  <r>
    <x v="3"/>
    <x v="9"/>
    <x v="3"/>
    <x v="0"/>
    <x v="0"/>
    <x v="7"/>
    <n v="53"/>
    <x v="7"/>
    <x v="1"/>
  </r>
  <r>
    <x v="3"/>
    <x v="9"/>
    <x v="3"/>
    <x v="0"/>
    <x v="0"/>
    <x v="8"/>
    <n v="59"/>
    <x v="8"/>
    <x v="1"/>
  </r>
  <r>
    <x v="3"/>
    <x v="9"/>
    <x v="3"/>
    <x v="0"/>
    <x v="0"/>
    <x v="9"/>
    <n v="51"/>
    <x v="9"/>
    <x v="0"/>
  </r>
  <r>
    <x v="3"/>
    <x v="9"/>
    <x v="3"/>
    <x v="0"/>
    <x v="0"/>
    <x v="10"/>
    <n v="56"/>
    <x v="10"/>
    <x v="0"/>
  </r>
  <r>
    <x v="3"/>
    <x v="9"/>
    <x v="3"/>
    <x v="0"/>
    <x v="0"/>
    <x v="11"/>
    <n v="58"/>
    <x v="11"/>
    <x v="0"/>
  </r>
  <r>
    <x v="3"/>
    <x v="9"/>
    <x v="3"/>
    <x v="0"/>
    <x v="1"/>
    <x v="12"/>
    <n v="54"/>
    <x v="12"/>
    <x v="0"/>
  </r>
  <r>
    <x v="3"/>
    <x v="9"/>
    <x v="3"/>
    <x v="0"/>
    <x v="1"/>
    <x v="13"/>
    <n v="71"/>
    <x v="13"/>
    <x v="0"/>
  </r>
  <r>
    <x v="3"/>
    <x v="9"/>
    <x v="3"/>
    <x v="0"/>
    <x v="1"/>
    <x v="14"/>
    <n v="53"/>
    <x v="14"/>
    <x v="0"/>
  </r>
  <r>
    <x v="3"/>
    <x v="9"/>
    <x v="3"/>
    <x v="0"/>
    <x v="1"/>
    <x v="15"/>
    <n v="60"/>
    <x v="15"/>
    <x v="0"/>
  </r>
  <r>
    <x v="3"/>
    <x v="9"/>
    <x v="3"/>
    <x v="0"/>
    <x v="1"/>
    <x v="16"/>
    <n v="70"/>
    <x v="16"/>
    <x v="0"/>
  </r>
  <r>
    <x v="3"/>
    <x v="9"/>
    <x v="3"/>
    <x v="0"/>
    <x v="1"/>
    <x v="17"/>
    <n v="63"/>
    <x v="17"/>
    <x v="0"/>
  </r>
  <r>
    <x v="3"/>
    <x v="9"/>
    <x v="3"/>
    <x v="0"/>
    <x v="1"/>
    <x v="18"/>
    <n v="75"/>
    <x v="18"/>
    <x v="1"/>
  </r>
  <r>
    <x v="3"/>
    <x v="9"/>
    <x v="3"/>
    <x v="0"/>
    <x v="1"/>
    <x v="19"/>
    <n v="84"/>
    <x v="19"/>
    <x v="1"/>
  </r>
  <r>
    <x v="3"/>
    <x v="9"/>
    <x v="3"/>
    <x v="0"/>
    <x v="1"/>
    <x v="20"/>
    <n v="72"/>
    <x v="20"/>
    <x v="1"/>
  </r>
  <r>
    <x v="3"/>
    <x v="9"/>
    <x v="3"/>
    <x v="0"/>
    <x v="1"/>
    <x v="21"/>
    <n v="71"/>
    <x v="21"/>
    <x v="1"/>
  </r>
  <r>
    <x v="3"/>
    <x v="9"/>
    <x v="3"/>
    <x v="0"/>
    <x v="1"/>
    <x v="22"/>
    <n v="72"/>
    <x v="22"/>
    <x v="0"/>
  </r>
  <r>
    <x v="3"/>
    <x v="9"/>
    <x v="3"/>
    <x v="0"/>
    <x v="1"/>
    <x v="23"/>
    <n v="60"/>
    <x v="23"/>
    <x v="0"/>
  </r>
  <r>
    <x v="3"/>
    <x v="9"/>
    <x v="3"/>
    <x v="0"/>
    <x v="2"/>
    <x v="24"/>
    <n v="87"/>
    <x v="24"/>
    <x v="0"/>
  </r>
  <r>
    <x v="3"/>
    <x v="9"/>
    <x v="3"/>
    <x v="0"/>
    <x v="2"/>
    <x v="25"/>
    <n v="68"/>
    <x v="25"/>
    <x v="0"/>
  </r>
  <r>
    <x v="3"/>
    <x v="9"/>
    <x v="3"/>
    <x v="0"/>
    <x v="2"/>
    <x v="26"/>
    <n v="86"/>
    <x v="26"/>
    <x v="0"/>
  </r>
  <r>
    <x v="3"/>
    <x v="9"/>
    <x v="3"/>
    <x v="0"/>
    <x v="2"/>
    <x v="27"/>
    <n v="92"/>
    <x v="27"/>
    <x v="0"/>
  </r>
  <r>
    <x v="3"/>
    <x v="9"/>
    <x v="3"/>
    <x v="0"/>
    <x v="2"/>
    <x v="28"/>
    <n v="82"/>
    <x v="28"/>
    <x v="0"/>
  </r>
  <r>
    <x v="3"/>
    <x v="9"/>
    <x v="3"/>
    <x v="0"/>
    <x v="2"/>
    <x v="29"/>
    <n v="71"/>
    <x v="29"/>
    <x v="0"/>
  </r>
  <r>
    <x v="3"/>
    <x v="9"/>
    <x v="3"/>
    <x v="0"/>
    <x v="2"/>
    <x v="30"/>
    <n v="98"/>
    <x v="30"/>
    <x v="1"/>
  </r>
  <r>
    <x v="3"/>
    <x v="9"/>
    <x v="3"/>
    <x v="0"/>
    <x v="2"/>
    <x v="31"/>
    <n v="114"/>
    <x v="31"/>
    <x v="1"/>
  </r>
  <r>
    <x v="3"/>
    <x v="9"/>
    <x v="3"/>
    <x v="0"/>
    <x v="2"/>
    <x v="32"/>
    <n v="93"/>
    <x v="32"/>
    <x v="1"/>
  </r>
  <r>
    <x v="3"/>
    <x v="9"/>
    <x v="3"/>
    <x v="0"/>
    <x v="2"/>
    <x v="33"/>
    <n v="95"/>
    <x v="33"/>
    <x v="1"/>
  </r>
  <r>
    <x v="3"/>
    <x v="9"/>
    <x v="3"/>
    <x v="0"/>
    <x v="2"/>
    <x v="34"/>
    <n v="88"/>
    <x v="34"/>
    <x v="0"/>
  </r>
  <r>
    <x v="3"/>
    <x v="9"/>
    <x v="3"/>
    <x v="0"/>
    <x v="2"/>
    <x v="35"/>
    <n v="83"/>
    <x v="35"/>
    <x v="0"/>
  </r>
  <r>
    <x v="3"/>
    <x v="9"/>
    <x v="3"/>
    <x v="0"/>
    <x v="2"/>
    <x v="36"/>
    <n v="97"/>
    <x v="36"/>
    <x v="0"/>
  </r>
  <r>
    <x v="3"/>
    <x v="9"/>
    <x v="3"/>
    <x v="0"/>
    <x v="2"/>
    <x v="37"/>
    <n v="75"/>
    <x v="37"/>
    <x v="0"/>
  </r>
  <r>
    <x v="3"/>
    <x v="9"/>
    <x v="3"/>
    <x v="1"/>
    <x v="0"/>
    <x v="0"/>
    <n v="0"/>
    <x v="0"/>
    <x v="0"/>
  </r>
  <r>
    <x v="3"/>
    <x v="9"/>
    <x v="3"/>
    <x v="1"/>
    <x v="0"/>
    <x v="1"/>
    <n v="2"/>
    <x v="1"/>
    <x v="0"/>
  </r>
  <r>
    <x v="3"/>
    <x v="9"/>
    <x v="3"/>
    <x v="1"/>
    <x v="0"/>
    <x v="2"/>
    <n v="0"/>
    <x v="2"/>
    <x v="0"/>
  </r>
  <r>
    <x v="3"/>
    <x v="9"/>
    <x v="3"/>
    <x v="1"/>
    <x v="0"/>
    <x v="3"/>
    <n v="0"/>
    <x v="3"/>
    <x v="0"/>
  </r>
  <r>
    <x v="3"/>
    <x v="9"/>
    <x v="3"/>
    <x v="1"/>
    <x v="0"/>
    <x v="4"/>
    <n v="0"/>
    <x v="4"/>
    <x v="0"/>
  </r>
  <r>
    <x v="3"/>
    <x v="9"/>
    <x v="3"/>
    <x v="1"/>
    <x v="0"/>
    <x v="5"/>
    <n v="0"/>
    <x v="5"/>
    <x v="1"/>
  </r>
  <r>
    <x v="3"/>
    <x v="9"/>
    <x v="3"/>
    <x v="1"/>
    <x v="0"/>
    <x v="6"/>
    <n v="1"/>
    <x v="6"/>
    <x v="1"/>
  </r>
  <r>
    <x v="3"/>
    <x v="9"/>
    <x v="3"/>
    <x v="1"/>
    <x v="0"/>
    <x v="7"/>
    <n v="1"/>
    <x v="7"/>
    <x v="1"/>
  </r>
  <r>
    <x v="3"/>
    <x v="9"/>
    <x v="3"/>
    <x v="1"/>
    <x v="0"/>
    <x v="8"/>
    <n v="1"/>
    <x v="8"/>
    <x v="1"/>
  </r>
  <r>
    <x v="3"/>
    <x v="9"/>
    <x v="3"/>
    <x v="1"/>
    <x v="0"/>
    <x v="9"/>
    <n v="1"/>
    <x v="9"/>
    <x v="0"/>
  </r>
  <r>
    <x v="3"/>
    <x v="9"/>
    <x v="3"/>
    <x v="1"/>
    <x v="0"/>
    <x v="10"/>
    <n v="0"/>
    <x v="10"/>
    <x v="0"/>
  </r>
  <r>
    <x v="3"/>
    <x v="9"/>
    <x v="3"/>
    <x v="1"/>
    <x v="0"/>
    <x v="11"/>
    <n v="1"/>
    <x v="11"/>
    <x v="0"/>
  </r>
  <r>
    <x v="3"/>
    <x v="9"/>
    <x v="3"/>
    <x v="1"/>
    <x v="1"/>
    <x v="12"/>
    <n v="0"/>
    <x v="12"/>
    <x v="0"/>
  </r>
  <r>
    <x v="3"/>
    <x v="9"/>
    <x v="3"/>
    <x v="1"/>
    <x v="1"/>
    <x v="13"/>
    <n v="1"/>
    <x v="13"/>
    <x v="0"/>
  </r>
  <r>
    <x v="3"/>
    <x v="9"/>
    <x v="3"/>
    <x v="1"/>
    <x v="1"/>
    <x v="14"/>
    <n v="0"/>
    <x v="14"/>
    <x v="0"/>
  </r>
  <r>
    <x v="3"/>
    <x v="9"/>
    <x v="3"/>
    <x v="1"/>
    <x v="1"/>
    <x v="15"/>
    <n v="1"/>
    <x v="15"/>
    <x v="0"/>
  </r>
  <r>
    <x v="3"/>
    <x v="9"/>
    <x v="3"/>
    <x v="1"/>
    <x v="1"/>
    <x v="16"/>
    <n v="0"/>
    <x v="16"/>
    <x v="0"/>
  </r>
  <r>
    <x v="3"/>
    <x v="9"/>
    <x v="3"/>
    <x v="1"/>
    <x v="1"/>
    <x v="17"/>
    <n v="3"/>
    <x v="17"/>
    <x v="0"/>
  </r>
  <r>
    <x v="3"/>
    <x v="9"/>
    <x v="3"/>
    <x v="1"/>
    <x v="1"/>
    <x v="18"/>
    <n v="1"/>
    <x v="18"/>
    <x v="1"/>
  </r>
  <r>
    <x v="3"/>
    <x v="9"/>
    <x v="3"/>
    <x v="1"/>
    <x v="1"/>
    <x v="19"/>
    <n v="3"/>
    <x v="19"/>
    <x v="1"/>
  </r>
  <r>
    <x v="3"/>
    <x v="9"/>
    <x v="3"/>
    <x v="1"/>
    <x v="1"/>
    <x v="20"/>
    <n v="0"/>
    <x v="20"/>
    <x v="1"/>
  </r>
  <r>
    <x v="3"/>
    <x v="9"/>
    <x v="3"/>
    <x v="1"/>
    <x v="1"/>
    <x v="21"/>
    <n v="0"/>
    <x v="21"/>
    <x v="1"/>
  </r>
  <r>
    <x v="3"/>
    <x v="9"/>
    <x v="3"/>
    <x v="1"/>
    <x v="1"/>
    <x v="22"/>
    <n v="0"/>
    <x v="22"/>
    <x v="0"/>
  </r>
  <r>
    <x v="3"/>
    <x v="9"/>
    <x v="3"/>
    <x v="1"/>
    <x v="1"/>
    <x v="23"/>
    <n v="1"/>
    <x v="23"/>
    <x v="0"/>
  </r>
  <r>
    <x v="3"/>
    <x v="9"/>
    <x v="3"/>
    <x v="1"/>
    <x v="2"/>
    <x v="24"/>
    <n v="0"/>
    <x v="24"/>
    <x v="0"/>
  </r>
  <r>
    <x v="3"/>
    <x v="9"/>
    <x v="3"/>
    <x v="1"/>
    <x v="2"/>
    <x v="25"/>
    <n v="1"/>
    <x v="25"/>
    <x v="0"/>
  </r>
  <r>
    <x v="3"/>
    <x v="9"/>
    <x v="3"/>
    <x v="1"/>
    <x v="2"/>
    <x v="26"/>
    <n v="1"/>
    <x v="26"/>
    <x v="0"/>
  </r>
  <r>
    <x v="3"/>
    <x v="9"/>
    <x v="3"/>
    <x v="1"/>
    <x v="2"/>
    <x v="27"/>
    <n v="0"/>
    <x v="27"/>
    <x v="0"/>
  </r>
  <r>
    <x v="3"/>
    <x v="9"/>
    <x v="3"/>
    <x v="1"/>
    <x v="2"/>
    <x v="28"/>
    <n v="0"/>
    <x v="28"/>
    <x v="0"/>
  </r>
  <r>
    <x v="3"/>
    <x v="9"/>
    <x v="3"/>
    <x v="1"/>
    <x v="2"/>
    <x v="29"/>
    <n v="1"/>
    <x v="29"/>
    <x v="0"/>
  </r>
  <r>
    <x v="3"/>
    <x v="9"/>
    <x v="3"/>
    <x v="1"/>
    <x v="2"/>
    <x v="30"/>
    <n v="2"/>
    <x v="30"/>
    <x v="1"/>
  </r>
  <r>
    <x v="3"/>
    <x v="9"/>
    <x v="3"/>
    <x v="1"/>
    <x v="2"/>
    <x v="31"/>
    <n v="0"/>
    <x v="31"/>
    <x v="1"/>
  </r>
  <r>
    <x v="3"/>
    <x v="9"/>
    <x v="3"/>
    <x v="1"/>
    <x v="2"/>
    <x v="32"/>
    <n v="0"/>
    <x v="32"/>
    <x v="1"/>
  </r>
  <r>
    <x v="3"/>
    <x v="9"/>
    <x v="3"/>
    <x v="1"/>
    <x v="2"/>
    <x v="33"/>
    <n v="0"/>
    <x v="33"/>
    <x v="1"/>
  </r>
  <r>
    <x v="3"/>
    <x v="9"/>
    <x v="3"/>
    <x v="1"/>
    <x v="2"/>
    <x v="34"/>
    <n v="1"/>
    <x v="34"/>
    <x v="0"/>
  </r>
  <r>
    <x v="3"/>
    <x v="9"/>
    <x v="3"/>
    <x v="1"/>
    <x v="2"/>
    <x v="35"/>
    <n v="1"/>
    <x v="35"/>
    <x v="0"/>
  </r>
  <r>
    <x v="3"/>
    <x v="9"/>
    <x v="3"/>
    <x v="1"/>
    <x v="2"/>
    <x v="36"/>
    <n v="1"/>
    <x v="36"/>
    <x v="0"/>
  </r>
  <r>
    <x v="3"/>
    <x v="9"/>
    <x v="3"/>
    <x v="1"/>
    <x v="2"/>
    <x v="37"/>
    <n v="0"/>
    <x v="37"/>
    <x v="0"/>
  </r>
  <r>
    <x v="3"/>
    <x v="9"/>
    <x v="3"/>
    <x v="2"/>
    <x v="0"/>
    <x v="0"/>
    <n v="0"/>
    <x v="0"/>
    <x v="0"/>
  </r>
  <r>
    <x v="3"/>
    <x v="9"/>
    <x v="3"/>
    <x v="2"/>
    <x v="0"/>
    <x v="1"/>
    <n v="1"/>
    <x v="1"/>
    <x v="0"/>
  </r>
  <r>
    <x v="3"/>
    <x v="9"/>
    <x v="3"/>
    <x v="2"/>
    <x v="0"/>
    <x v="2"/>
    <n v="0"/>
    <x v="2"/>
    <x v="0"/>
  </r>
  <r>
    <x v="3"/>
    <x v="9"/>
    <x v="3"/>
    <x v="2"/>
    <x v="0"/>
    <x v="3"/>
    <n v="4"/>
    <x v="3"/>
    <x v="0"/>
  </r>
  <r>
    <x v="3"/>
    <x v="9"/>
    <x v="3"/>
    <x v="2"/>
    <x v="0"/>
    <x v="4"/>
    <n v="0"/>
    <x v="4"/>
    <x v="0"/>
  </r>
  <r>
    <x v="3"/>
    <x v="9"/>
    <x v="3"/>
    <x v="2"/>
    <x v="0"/>
    <x v="5"/>
    <n v="2"/>
    <x v="5"/>
    <x v="1"/>
  </r>
  <r>
    <x v="3"/>
    <x v="9"/>
    <x v="3"/>
    <x v="2"/>
    <x v="0"/>
    <x v="6"/>
    <n v="1"/>
    <x v="6"/>
    <x v="1"/>
  </r>
  <r>
    <x v="3"/>
    <x v="9"/>
    <x v="3"/>
    <x v="2"/>
    <x v="0"/>
    <x v="7"/>
    <n v="6"/>
    <x v="7"/>
    <x v="1"/>
  </r>
  <r>
    <x v="3"/>
    <x v="9"/>
    <x v="3"/>
    <x v="2"/>
    <x v="0"/>
    <x v="8"/>
    <n v="1"/>
    <x v="8"/>
    <x v="1"/>
  </r>
  <r>
    <x v="3"/>
    <x v="9"/>
    <x v="3"/>
    <x v="2"/>
    <x v="0"/>
    <x v="9"/>
    <n v="1"/>
    <x v="9"/>
    <x v="0"/>
  </r>
  <r>
    <x v="3"/>
    <x v="9"/>
    <x v="3"/>
    <x v="2"/>
    <x v="0"/>
    <x v="10"/>
    <n v="3"/>
    <x v="10"/>
    <x v="0"/>
  </r>
  <r>
    <x v="3"/>
    <x v="9"/>
    <x v="3"/>
    <x v="2"/>
    <x v="0"/>
    <x v="11"/>
    <n v="2"/>
    <x v="11"/>
    <x v="0"/>
  </r>
  <r>
    <x v="3"/>
    <x v="9"/>
    <x v="3"/>
    <x v="2"/>
    <x v="1"/>
    <x v="12"/>
    <n v="2"/>
    <x v="12"/>
    <x v="0"/>
  </r>
  <r>
    <x v="3"/>
    <x v="9"/>
    <x v="3"/>
    <x v="2"/>
    <x v="1"/>
    <x v="13"/>
    <n v="2"/>
    <x v="13"/>
    <x v="0"/>
  </r>
  <r>
    <x v="3"/>
    <x v="9"/>
    <x v="3"/>
    <x v="2"/>
    <x v="1"/>
    <x v="14"/>
    <n v="0"/>
    <x v="14"/>
    <x v="0"/>
  </r>
  <r>
    <x v="3"/>
    <x v="9"/>
    <x v="3"/>
    <x v="2"/>
    <x v="1"/>
    <x v="15"/>
    <n v="2"/>
    <x v="15"/>
    <x v="0"/>
  </r>
  <r>
    <x v="3"/>
    <x v="9"/>
    <x v="3"/>
    <x v="2"/>
    <x v="1"/>
    <x v="16"/>
    <n v="0"/>
    <x v="16"/>
    <x v="0"/>
  </r>
  <r>
    <x v="3"/>
    <x v="9"/>
    <x v="3"/>
    <x v="2"/>
    <x v="1"/>
    <x v="17"/>
    <n v="0"/>
    <x v="17"/>
    <x v="0"/>
  </r>
  <r>
    <x v="3"/>
    <x v="9"/>
    <x v="3"/>
    <x v="2"/>
    <x v="1"/>
    <x v="18"/>
    <n v="3"/>
    <x v="18"/>
    <x v="1"/>
  </r>
  <r>
    <x v="3"/>
    <x v="9"/>
    <x v="3"/>
    <x v="2"/>
    <x v="1"/>
    <x v="19"/>
    <n v="2"/>
    <x v="19"/>
    <x v="1"/>
  </r>
  <r>
    <x v="3"/>
    <x v="9"/>
    <x v="3"/>
    <x v="2"/>
    <x v="1"/>
    <x v="20"/>
    <n v="2"/>
    <x v="20"/>
    <x v="1"/>
  </r>
  <r>
    <x v="3"/>
    <x v="9"/>
    <x v="3"/>
    <x v="2"/>
    <x v="1"/>
    <x v="21"/>
    <n v="2"/>
    <x v="21"/>
    <x v="1"/>
  </r>
  <r>
    <x v="3"/>
    <x v="9"/>
    <x v="3"/>
    <x v="2"/>
    <x v="1"/>
    <x v="22"/>
    <n v="2"/>
    <x v="22"/>
    <x v="0"/>
  </r>
  <r>
    <x v="3"/>
    <x v="9"/>
    <x v="3"/>
    <x v="2"/>
    <x v="1"/>
    <x v="23"/>
    <n v="0"/>
    <x v="23"/>
    <x v="0"/>
  </r>
  <r>
    <x v="3"/>
    <x v="9"/>
    <x v="3"/>
    <x v="2"/>
    <x v="2"/>
    <x v="24"/>
    <n v="1"/>
    <x v="24"/>
    <x v="0"/>
  </r>
  <r>
    <x v="3"/>
    <x v="9"/>
    <x v="3"/>
    <x v="2"/>
    <x v="2"/>
    <x v="25"/>
    <n v="4"/>
    <x v="25"/>
    <x v="0"/>
  </r>
  <r>
    <x v="3"/>
    <x v="9"/>
    <x v="3"/>
    <x v="2"/>
    <x v="2"/>
    <x v="26"/>
    <n v="2"/>
    <x v="26"/>
    <x v="0"/>
  </r>
  <r>
    <x v="3"/>
    <x v="9"/>
    <x v="3"/>
    <x v="2"/>
    <x v="2"/>
    <x v="27"/>
    <n v="2"/>
    <x v="27"/>
    <x v="0"/>
  </r>
  <r>
    <x v="3"/>
    <x v="9"/>
    <x v="3"/>
    <x v="2"/>
    <x v="2"/>
    <x v="28"/>
    <n v="0"/>
    <x v="28"/>
    <x v="0"/>
  </r>
  <r>
    <x v="3"/>
    <x v="9"/>
    <x v="3"/>
    <x v="2"/>
    <x v="2"/>
    <x v="29"/>
    <n v="1"/>
    <x v="29"/>
    <x v="0"/>
  </r>
  <r>
    <x v="3"/>
    <x v="9"/>
    <x v="3"/>
    <x v="2"/>
    <x v="2"/>
    <x v="30"/>
    <n v="0"/>
    <x v="30"/>
    <x v="1"/>
  </r>
  <r>
    <x v="3"/>
    <x v="9"/>
    <x v="3"/>
    <x v="2"/>
    <x v="2"/>
    <x v="31"/>
    <n v="1"/>
    <x v="31"/>
    <x v="1"/>
  </r>
  <r>
    <x v="3"/>
    <x v="9"/>
    <x v="3"/>
    <x v="2"/>
    <x v="2"/>
    <x v="32"/>
    <n v="0"/>
    <x v="32"/>
    <x v="1"/>
  </r>
  <r>
    <x v="3"/>
    <x v="9"/>
    <x v="3"/>
    <x v="2"/>
    <x v="2"/>
    <x v="33"/>
    <n v="0"/>
    <x v="33"/>
    <x v="1"/>
  </r>
  <r>
    <x v="3"/>
    <x v="9"/>
    <x v="3"/>
    <x v="2"/>
    <x v="2"/>
    <x v="34"/>
    <n v="0"/>
    <x v="34"/>
    <x v="0"/>
  </r>
  <r>
    <x v="3"/>
    <x v="9"/>
    <x v="3"/>
    <x v="2"/>
    <x v="2"/>
    <x v="35"/>
    <n v="0"/>
    <x v="35"/>
    <x v="0"/>
  </r>
  <r>
    <x v="3"/>
    <x v="9"/>
    <x v="3"/>
    <x v="2"/>
    <x v="2"/>
    <x v="36"/>
    <n v="0"/>
    <x v="36"/>
    <x v="0"/>
  </r>
  <r>
    <x v="3"/>
    <x v="9"/>
    <x v="3"/>
    <x v="2"/>
    <x v="2"/>
    <x v="37"/>
    <n v="0"/>
    <x v="37"/>
    <x v="0"/>
  </r>
  <r>
    <x v="3"/>
    <x v="9"/>
    <x v="3"/>
    <x v="3"/>
    <x v="0"/>
    <x v="0"/>
    <n v="0"/>
    <x v="0"/>
    <x v="0"/>
  </r>
  <r>
    <x v="3"/>
    <x v="9"/>
    <x v="3"/>
    <x v="3"/>
    <x v="0"/>
    <x v="1"/>
    <n v="0"/>
    <x v="1"/>
    <x v="0"/>
  </r>
  <r>
    <x v="3"/>
    <x v="9"/>
    <x v="3"/>
    <x v="3"/>
    <x v="0"/>
    <x v="2"/>
    <n v="0"/>
    <x v="2"/>
    <x v="0"/>
  </r>
  <r>
    <x v="3"/>
    <x v="9"/>
    <x v="3"/>
    <x v="3"/>
    <x v="0"/>
    <x v="3"/>
    <n v="0"/>
    <x v="3"/>
    <x v="0"/>
  </r>
  <r>
    <x v="3"/>
    <x v="9"/>
    <x v="3"/>
    <x v="3"/>
    <x v="0"/>
    <x v="4"/>
    <n v="0"/>
    <x v="4"/>
    <x v="0"/>
  </r>
  <r>
    <x v="3"/>
    <x v="9"/>
    <x v="3"/>
    <x v="3"/>
    <x v="0"/>
    <x v="5"/>
    <n v="0"/>
    <x v="5"/>
    <x v="1"/>
  </r>
  <r>
    <x v="3"/>
    <x v="9"/>
    <x v="3"/>
    <x v="3"/>
    <x v="0"/>
    <x v="6"/>
    <n v="0"/>
    <x v="6"/>
    <x v="1"/>
  </r>
  <r>
    <x v="3"/>
    <x v="9"/>
    <x v="3"/>
    <x v="3"/>
    <x v="0"/>
    <x v="7"/>
    <n v="0"/>
    <x v="7"/>
    <x v="1"/>
  </r>
  <r>
    <x v="3"/>
    <x v="9"/>
    <x v="3"/>
    <x v="3"/>
    <x v="0"/>
    <x v="8"/>
    <n v="0"/>
    <x v="8"/>
    <x v="1"/>
  </r>
  <r>
    <x v="3"/>
    <x v="9"/>
    <x v="3"/>
    <x v="3"/>
    <x v="0"/>
    <x v="9"/>
    <n v="0"/>
    <x v="9"/>
    <x v="0"/>
  </r>
  <r>
    <x v="3"/>
    <x v="9"/>
    <x v="3"/>
    <x v="3"/>
    <x v="0"/>
    <x v="10"/>
    <n v="0"/>
    <x v="10"/>
    <x v="0"/>
  </r>
  <r>
    <x v="3"/>
    <x v="9"/>
    <x v="3"/>
    <x v="3"/>
    <x v="0"/>
    <x v="11"/>
    <n v="0"/>
    <x v="11"/>
    <x v="0"/>
  </r>
  <r>
    <x v="3"/>
    <x v="9"/>
    <x v="3"/>
    <x v="3"/>
    <x v="1"/>
    <x v="12"/>
    <n v="0"/>
    <x v="12"/>
    <x v="0"/>
  </r>
  <r>
    <x v="3"/>
    <x v="9"/>
    <x v="3"/>
    <x v="3"/>
    <x v="1"/>
    <x v="13"/>
    <n v="1"/>
    <x v="13"/>
    <x v="0"/>
  </r>
  <r>
    <x v="3"/>
    <x v="9"/>
    <x v="3"/>
    <x v="3"/>
    <x v="1"/>
    <x v="14"/>
    <n v="0"/>
    <x v="14"/>
    <x v="0"/>
  </r>
  <r>
    <x v="3"/>
    <x v="9"/>
    <x v="3"/>
    <x v="3"/>
    <x v="1"/>
    <x v="15"/>
    <n v="0"/>
    <x v="15"/>
    <x v="0"/>
  </r>
  <r>
    <x v="3"/>
    <x v="9"/>
    <x v="3"/>
    <x v="3"/>
    <x v="1"/>
    <x v="16"/>
    <n v="0"/>
    <x v="16"/>
    <x v="0"/>
  </r>
  <r>
    <x v="3"/>
    <x v="9"/>
    <x v="3"/>
    <x v="3"/>
    <x v="1"/>
    <x v="17"/>
    <n v="1"/>
    <x v="17"/>
    <x v="0"/>
  </r>
  <r>
    <x v="3"/>
    <x v="9"/>
    <x v="3"/>
    <x v="3"/>
    <x v="1"/>
    <x v="18"/>
    <n v="0"/>
    <x v="18"/>
    <x v="1"/>
  </r>
  <r>
    <x v="3"/>
    <x v="9"/>
    <x v="3"/>
    <x v="3"/>
    <x v="1"/>
    <x v="19"/>
    <n v="0"/>
    <x v="19"/>
    <x v="1"/>
  </r>
  <r>
    <x v="3"/>
    <x v="9"/>
    <x v="3"/>
    <x v="3"/>
    <x v="1"/>
    <x v="20"/>
    <n v="0"/>
    <x v="20"/>
    <x v="1"/>
  </r>
  <r>
    <x v="3"/>
    <x v="9"/>
    <x v="3"/>
    <x v="3"/>
    <x v="1"/>
    <x v="21"/>
    <n v="0"/>
    <x v="21"/>
    <x v="1"/>
  </r>
  <r>
    <x v="3"/>
    <x v="9"/>
    <x v="3"/>
    <x v="3"/>
    <x v="1"/>
    <x v="22"/>
    <n v="0"/>
    <x v="22"/>
    <x v="0"/>
  </r>
  <r>
    <x v="3"/>
    <x v="9"/>
    <x v="3"/>
    <x v="3"/>
    <x v="1"/>
    <x v="23"/>
    <n v="0"/>
    <x v="23"/>
    <x v="0"/>
  </r>
  <r>
    <x v="3"/>
    <x v="9"/>
    <x v="3"/>
    <x v="3"/>
    <x v="2"/>
    <x v="24"/>
    <n v="0"/>
    <x v="24"/>
    <x v="0"/>
  </r>
  <r>
    <x v="3"/>
    <x v="9"/>
    <x v="3"/>
    <x v="3"/>
    <x v="2"/>
    <x v="25"/>
    <n v="0"/>
    <x v="25"/>
    <x v="0"/>
  </r>
  <r>
    <x v="3"/>
    <x v="9"/>
    <x v="3"/>
    <x v="3"/>
    <x v="2"/>
    <x v="26"/>
    <n v="0"/>
    <x v="26"/>
    <x v="0"/>
  </r>
  <r>
    <x v="3"/>
    <x v="9"/>
    <x v="3"/>
    <x v="3"/>
    <x v="2"/>
    <x v="27"/>
    <n v="0"/>
    <x v="27"/>
    <x v="0"/>
  </r>
  <r>
    <x v="3"/>
    <x v="9"/>
    <x v="3"/>
    <x v="3"/>
    <x v="2"/>
    <x v="28"/>
    <n v="0"/>
    <x v="28"/>
    <x v="0"/>
  </r>
  <r>
    <x v="3"/>
    <x v="9"/>
    <x v="3"/>
    <x v="3"/>
    <x v="2"/>
    <x v="29"/>
    <n v="0"/>
    <x v="29"/>
    <x v="0"/>
  </r>
  <r>
    <x v="3"/>
    <x v="9"/>
    <x v="3"/>
    <x v="3"/>
    <x v="2"/>
    <x v="30"/>
    <n v="0"/>
    <x v="30"/>
    <x v="1"/>
  </r>
  <r>
    <x v="3"/>
    <x v="9"/>
    <x v="3"/>
    <x v="3"/>
    <x v="2"/>
    <x v="31"/>
    <n v="0"/>
    <x v="31"/>
    <x v="1"/>
  </r>
  <r>
    <x v="3"/>
    <x v="9"/>
    <x v="3"/>
    <x v="3"/>
    <x v="2"/>
    <x v="32"/>
    <n v="0"/>
    <x v="32"/>
    <x v="1"/>
  </r>
  <r>
    <x v="3"/>
    <x v="9"/>
    <x v="3"/>
    <x v="3"/>
    <x v="2"/>
    <x v="33"/>
    <n v="0"/>
    <x v="33"/>
    <x v="1"/>
  </r>
  <r>
    <x v="3"/>
    <x v="9"/>
    <x v="3"/>
    <x v="3"/>
    <x v="2"/>
    <x v="34"/>
    <n v="0"/>
    <x v="34"/>
    <x v="0"/>
  </r>
  <r>
    <x v="3"/>
    <x v="9"/>
    <x v="3"/>
    <x v="3"/>
    <x v="2"/>
    <x v="35"/>
    <n v="0"/>
    <x v="35"/>
    <x v="0"/>
  </r>
  <r>
    <x v="3"/>
    <x v="9"/>
    <x v="3"/>
    <x v="3"/>
    <x v="2"/>
    <x v="36"/>
    <n v="0"/>
    <x v="36"/>
    <x v="0"/>
  </r>
  <r>
    <x v="3"/>
    <x v="9"/>
    <x v="3"/>
    <x v="3"/>
    <x v="2"/>
    <x v="37"/>
    <n v="0"/>
    <x v="37"/>
    <x v="0"/>
  </r>
  <r>
    <x v="3"/>
    <x v="9"/>
    <x v="3"/>
    <x v="4"/>
    <x v="0"/>
    <x v="0"/>
    <n v="0"/>
    <x v="0"/>
    <x v="0"/>
  </r>
  <r>
    <x v="3"/>
    <x v="9"/>
    <x v="3"/>
    <x v="4"/>
    <x v="0"/>
    <x v="1"/>
    <n v="0"/>
    <x v="1"/>
    <x v="0"/>
  </r>
  <r>
    <x v="3"/>
    <x v="9"/>
    <x v="3"/>
    <x v="4"/>
    <x v="0"/>
    <x v="2"/>
    <n v="0"/>
    <x v="2"/>
    <x v="0"/>
  </r>
  <r>
    <x v="3"/>
    <x v="9"/>
    <x v="3"/>
    <x v="4"/>
    <x v="0"/>
    <x v="3"/>
    <n v="0"/>
    <x v="3"/>
    <x v="0"/>
  </r>
  <r>
    <x v="3"/>
    <x v="9"/>
    <x v="3"/>
    <x v="4"/>
    <x v="0"/>
    <x v="4"/>
    <n v="0"/>
    <x v="4"/>
    <x v="0"/>
  </r>
  <r>
    <x v="3"/>
    <x v="9"/>
    <x v="3"/>
    <x v="4"/>
    <x v="0"/>
    <x v="5"/>
    <n v="0"/>
    <x v="5"/>
    <x v="1"/>
  </r>
  <r>
    <x v="3"/>
    <x v="9"/>
    <x v="3"/>
    <x v="4"/>
    <x v="0"/>
    <x v="6"/>
    <n v="0"/>
    <x v="6"/>
    <x v="1"/>
  </r>
  <r>
    <x v="3"/>
    <x v="9"/>
    <x v="3"/>
    <x v="4"/>
    <x v="0"/>
    <x v="7"/>
    <n v="0"/>
    <x v="7"/>
    <x v="1"/>
  </r>
  <r>
    <x v="3"/>
    <x v="9"/>
    <x v="3"/>
    <x v="4"/>
    <x v="0"/>
    <x v="8"/>
    <n v="0"/>
    <x v="8"/>
    <x v="1"/>
  </r>
  <r>
    <x v="3"/>
    <x v="9"/>
    <x v="3"/>
    <x v="4"/>
    <x v="0"/>
    <x v="9"/>
    <n v="0"/>
    <x v="9"/>
    <x v="0"/>
  </r>
  <r>
    <x v="3"/>
    <x v="9"/>
    <x v="3"/>
    <x v="4"/>
    <x v="0"/>
    <x v="10"/>
    <n v="0"/>
    <x v="10"/>
    <x v="0"/>
  </r>
  <r>
    <x v="3"/>
    <x v="9"/>
    <x v="3"/>
    <x v="4"/>
    <x v="0"/>
    <x v="11"/>
    <n v="1"/>
    <x v="11"/>
    <x v="0"/>
  </r>
  <r>
    <x v="3"/>
    <x v="9"/>
    <x v="3"/>
    <x v="4"/>
    <x v="1"/>
    <x v="12"/>
    <n v="0"/>
    <x v="12"/>
    <x v="0"/>
  </r>
  <r>
    <x v="3"/>
    <x v="9"/>
    <x v="3"/>
    <x v="4"/>
    <x v="1"/>
    <x v="13"/>
    <n v="0"/>
    <x v="13"/>
    <x v="0"/>
  </r>
  <r>
    <x v="3"/>
    <x v="9"/>
    <x v="3"/>
    <x v="4"/>
    <x v="1"/>
    <x v="14"/>
    <n v="1"/>
    <x v="14"/>
    <x v="0"/>
  </r>
  <r>
    <x v="3"/>
    <x v="9"/>
    <x v="3"/>
    <x v="4"/>
    <x v="1"/>
    <x v="15"/>
    <n v="0"/>
    <x v="15"/>
    <x v="0"/>
  </r>
  <r>
    <x v="3"/>
    <x v="9"/>
    <x v="3"/>
    <x v="4"/>
    <x v="1"/>
    <x v="16"/>
    <n v="0"/>
    <x v="16"/>
    <x v="0"/>
  </r>
  <r>
    <x v="3"/>
    <x v="9"/>
    <x v="3"/>
    <x v="4"/>
    <x v="1"/>
    <x v="17"/>
    <n v="1"/>
    <x v="17"/>
    <x v="0"/>
  </r>
  <r>
    <x v="3"/>
    <x v="9"/>
    <x v="3"/>
    <x v="4"/>
    <x v="1"/>
    <x v="18"/>
    <n v="0"/>
    <x v="18"/>
    <x v="1"/>
  </r>
  <r>
    <x v="3"/>
    <x v="9"/>
    <x v="3"/>
    <x v="4"/>
    <x v="1"/>
    <x v="19"/>
    <n v="0"/>
    <x v="19"/>
    <x v="1"/>
  </r>
  <r>
    <x v="3"/>
    <x v="9"/>
    <x v="3"/>
    <x v="4"/>
    <x v="1"/>
    <x v="20"/>
    <n v="0"/>
    <x v="20"/>
    <x v="1"/>
  </r>
  <r>
    <x v="3"/>
    <x v="9"/>
    <x v="3"/>
    <x v="4"/>
    <x v="1"/>
    <x v="21"/>
    <n v="0"/>
    <x v="21"/>
    <x v="1"/>
  </r>
  <r>
    <x v="3"/>
    <x v="9"/>
    <x v="3"/>
    <x v="4"/>
    <x v="1"/>
    <x v="22"/>
    <n v="0"/>
    <x v="22"/>
    <x v="0"/>
  </r>
  <r>
    <x v="3"/>
    <x v="9"/>
    <x v="3"/>
    <x v="4"/>
    <x v="1"/>
    <x v="23"/>
    <n v="0"/>
    <x v="23"/>
    <x v="0"/>
  </r>
  <r>
    <x v="3"/>
    <x v="9"/>
    <x v="3"/>
    <x v="4"/>
    <x v="2"/>
    <x v="24"/>
    <n v="0"/>
    <x v="24"/>
    <x v="0"/>
  </r>
  <r>
    <x v="3"/>
    <x v="9"/>
    <x v="3"/>
    <x v="4"/>
    <x v="2"/>
    <x v="25"/>
    <n v="1"/>
    <x v="25"/>
    <x v="0"/>
  </r>
  <r>
    <x v="3"/>
    <x v="9"/>
    <x v="3"/>
    <x v="4"/>
    <x v="2"/>
    <x v="26"/>
    <n v="0"/>
    <x v="26"/>
    <x v="0"/>
  </r>
  <r>
    <x v="3"/>
    <x v="9"/>
    <x v="3"/>
    <x v="4"/>
    <x v="2"/>
    <x v="27"/>
    <n v="0"/>
    <x v="27"/>
    <x v="0"/>
  </r>
  <r>
    <x v="3"/>
    <x v="9"/>
    <x v="3"/>
    <x v="4"/>
    <x v="2"/>
    <x v="28"/>
    <n v="0"/>
    <x v="28"/>
    <x v="0"/>
  </r>
  <r>
    <x v="3"/>
    <x v="9"/>
    <x v="3"/>
    <x v="4"/>
    <x v="2"/>
    <x v="29"/>
    <n v="1"/>
    <x v="29"/>
    <x v="0"/>
  </r>
  <r>
    <x v="3"/>
    <x v="9"/>
    <x v="3"/>
    <x v="4"/>
    <x v="2"/>
    <x v="30"/>
    <n v="1"/>
    <x v="30"/>
    <x v="1"/>
  </r>
  <r>
    <x v="3"/>
    <x v="9"/>
    <x v="3"/>
    <x v="4"/>
    <x v="2"/>
    <x v="31"/>
    <n v="1"/>
    <x v="31"/>
    <x v="1"/>
  </r>
  <r>
    <x v="3"/>
    <x v="9"/>
    <x v="3"/>
    <x v="4"/>
    <x v="2"/>
    <x v="32"/>
    <n v="0"/>
    <x v="32"/>
    <x v="1"/>
  </r>
  <r>
    <x v="3"/>
    <x v="9"/>
    <x v="3"/>
    <x v="4"/>
    <x v="2"/>
    <x v="33"/>
    <n v="0"/>
    <x v="33"/>
    <x v="1"/>
  </r>
  <r>
    <x v="3"/>
    <x v="9"/>
    <x v="3"/>
    <x v="4"/>
    <x v="2"/>
    <x v="34"/>
    <n v="0"/>
    <x v="34"/>
    <x v="0"/>
  </r>
  <r>
    <x v="3"/>
    <x v="9"/>
    <x v="3"/>
    <x v="4"/>
    <x v="2"/>
    <x v="35"/>
    <n v="0"/>
    <x v="35"/>
    <x v="0"/>
  </r>
  <r>
    <x v="3"/>
    <x v="9"/>
    <x v="3"/>
    <x v="4"/>
    <x v="2"/>
    <x v="36"/>
    <n v="0"/>
    <x v="36"/>
    <x v="0"/>
  </r>
  <r>
    <x v="3"/>
    <x v="9"/>
    <x v="3"/>
    <x v="4"/>
    <x v="2"/>
    <x v="37"/>
    <n v="2"/>
    <x v="37"/>
    <x v="0"/>
  </r>
  <r>
    <x v="3"/>
    <x v="10"/>
    <x v="0"/>
    <x v="0"/>
    <x v="0"/>
    <x v="0"/>
    <n v="31"/>
    <x v="0"/>
    <x v="0"/>
  </r>
  <r>
    <x v="3"/>
    <x v="10"/>
    <x v="0"/>
    <x v="0"/>
    <x v="0"/>
    <x v="1"/>
    <n v="43"/>
    <x v="1"/>
    <x v="0"/>
  </r>
  <r>
    <x v="3"/>
    <x v="10"/>
    <x v="0"/>
    <x v="0"/>
    <x v="0"/>
    <x v="2"/>
    <n v="52"/>
    <x v="2"/>
    <x v="0"/>
  </r>
  <r>
    <x v="3"/>
    <x v="10"/>
    <x v="0"/>
    <x v="0"/>
    <x v="0"/>
    <x v="3"/>
    <n v="48"/>
    <x v="3"/>
    <x v="0"/>
  </r>
  <r>
    <x v="3"/>
    <x v="10"/>
    <x v="0"/>
    <x v="0"/>
    <x v="0"/>
    <x v="4"/>
    <n v="64"/>
    <x v="4"/>
    <x v="0"/>
  </r>
  <r>
    <x v="3"/>
    <x v="10"/>
    <x v="0"/>
    <x v="0"/>
    <x v="0"/>
    <x v="5"/>
    <n v="98"/>
    <x v="5"/>
    <x v="1"/>
  </r>
  <r>
    <x v="3"/>
    <x v="10"/>
    <x v="0"/>
    <x v="0"/>
    <x v="0"/>
    <x v="6"/>
    <n v="101"/>
    <x v="6"/>
    <x v="1"/>
  </r>
  <r>
    <x v="3"/>
    <x v="10"/>
    <x v="0"/>
    <x v="0"/>
    <x v="0"/>
    <x v="7"/>
    <n v="79"/>
    <x v="7"/>
    <x v="1"/>
  </r>
  <r>
    <x v="3"/>
    <x v="10"/>
    <x v="0"/>
    <x v="0"/>
    <x v="0"/>
    <x v="8"/>
    <n v="77"/>
    <x v="8"/>
    <x v="1"/>
  </r>
  <r>
    <x v="3"/>
    <x v="10"/>
    <x v="0"/>
    <x v="0"/>
    <x v="0"/>
    <x v="9"/>
    <n v="81"/>
    <x v="9"/>
    <x v="0"/>
  </r>
  <r>
    <x v="3"/>
    <x v="10"/>
    <x v="0"/>
    <x v="0"/>
    <x v="0"/>
    <x v="10"/>
    <n v="63"/>
    <x v="10"/>
    <x v="0"/>
  </r>
  <r>
    <x v="3"/>
    <x v="10"/>
    <x v="0"/>
    <x v="0"/>
    <x v="0"/>
    <x v="11"/>
    <n v="68"/>
    <x v="11"/>
    <x v="0"/>
  </r>
  <r>
    <x v="3"/>
    <x v="10"/>
    <x v="0"/>
    <x v="0"/>
    <x v="1"/>
    <x v="12"/>
    <n v="44"/>
    <x v="12"/>
    <x v="0"/>
  </r>
  <r>
    <x v="3"/>
    <x v="10"/>
    <x v="0"/>
    <x v="0"/>
    <x v="1"/>
    <x v="13"/>
    <n v="51"/>
    <x v="13"/>
    <x v="0"/>
  </r>
  <r>
    <x v="3"/>
    <x v="10"/>
    <x v="0"/>
    <x v="0"/>
    <x v="1"/>
    <x v="14"/>
    <n v="52"/>
    <x v="14"/>
    <x v="0"/>
  </r>
  <r>
    <x v="3"/>
    <x v="10"/>
    <x v="0"/>
    <x v="0"/>
    <x v="1"/>
    <x v="15"/>
    <n v="69"/>
    <x v="15"/>
    <x v="0"/>
  </r>
  <r>
    <x v="3"/>
    <x v="10"/>
    <x v="0"/>
    <x v="0"/>
    <x v="1"/>
    <x v="16"/>
    <n v="57"/>
    <x v="16"/>
    <x v="0"/>
  </r>
  <r>
    <x v="3"/>
    <x v="10"/>
    <x v="0"/>
    <x v="0"/>
    <x v="1"/>
    <x v="17"/>
    <n v="75"/>
    <x v="17"/>
    <x v="0"/>
  </r>
  <r>
    <x v="3"/>
    <x v="10"/>
    <x v="0"/>
    <x v="0"/>
    <x v="1"/>
    <x v="18"/>
    <n v="58"/>
    <x v="18"/>
    <x v="1"/>
  </r>
  <r>
    <x v="3"/>
    <x v="10"/>
    <x v="0"/>
    <x v="0"/>
    <x v="1"/>
    <x v="19"/>
    <n v="63"/>
    <x v="19"/>
    <x v="1"/>
  </r>
  <r>
    <x v="3"/>
    <x v="10"/>
    <x v="0"/>
    <x v="0"/>
    <x v="1"/>
    <x v="20"/>
    <n v="49"/>
    <x v="20"/>
    <x v="1"/>
  </r>
  <r>
    <x v="3"/>
    <x v="10"/>
    <x v="0"/>
    <x v="0"/>
    <x v="1"/>
    <x v="21"/>
    <n v="65"/>
    <x v="21"/>
    <x v="1"/>
  </r>
  <r>
    <x v="3"/>
    <x v="10"/>
    <x v="0"/>
    <x v="0"/>
    <x v="1"/>
    <x v="22"/>
    <n v="52"/>
    <x v="22"/>
    <x v="0"/>
  </r>
  <r>
    <x v="3"/>
    <x v="10"/>
    <x v="0"/>
    <x v="0"/>
    <x v="1"/>
    <x v="23"/>
    <n v="55"/>
    <x v="23"/>
    <x v="0"/>
  </r>
  <r>
    <x v="3"/>
    <x v="10"/>
    <x v="0"/>
    <x v="0"/>
    <x v="2"/>
    <x v="24"/>
    <n v="62"/>
    <x v="24"/>
    <x v="0"/>
  </r>
  <r>
    <x v="3"/>
    <x v="10"/>
    <x v="0"/>
    <x v="0"/>
    <x v="2"/>
    <x v="25"/>
    <n v="86"/>
    <x v="25"/>
    <x v="0"/>
  </r>
  <r>
    <x v="3"/>
    <x v="10"/>
    <x v="0"/>
    <x v="0"/>
    <x v="2"/>
    <x v="26"/>
    <n v="64"/>
    <x v="26"/>
    <x v="0"/>
  </r>
  <r>
    <x v="3"/>
    <x v="10"/>
    <x v="0"/>
    <x v="0"/>
    <x v="2"/>
    <x v="27"/>
    <n v="52"/>
    <x v="27"/>
    <x v="0"/>
  </r>
  <r>
    <x v="3"/>
    <x v="10"/>
    <x v="0"/>
    <x v="0"/>
    <x v="2"/>
    <x v="28"/>
    <n v="71"/>
    <x v="28"/>
    <x v="0"/>
  </r>
  <r>
    <x v="3"/>
    <x v="10"/>
    <x v="0"/>
    <x v="0"/>
    <x v="2"/>
    <x v="29"/>
    <n v="57"/>
    <x v="29"/>
    <x v="0"/>
  </r>
  <r>
    <x v="3"/>
    <x v="10"/>
    <x v="0"/>
    <x v="0"/>
    <x v="2"/>
    <x v="30"/>
    <n v="65"/>
    <x v="30"/>
    <x v="1"/>
  </r>
  <r>
    <x v="3"/>
    <x v="10"/>
    <x v="0"/>
    <x v="0"/>
    <x v="2"/>
    <x v="31"/>
    <n v="68"/>
    <x v="31"/>
    <x v="1"/>
  </r>
  <r>
    <x v="3"/>
    <x v="10"/>
    <x v="0"/>
    <x v="0"/>
    <x v="2"/>
    <x v="32"/>
    <n v="86"/>
    <x v="32"/>
    <x v="1"/>
  </r>
  <r>
    <x v="3"/>
    <x v="10"/>
    <x v="0"/>
    <x v="0"/>
    <x v="2"/>
    <x v="33"/>
    <n v="51"/>
    <x v="33"/>
    <x v="1"/>
  </r>
  <r>
    <x v="3"/>
    <x v="10"/>
    <x v="0"/>
    <x v="0"/>
    <x v="2"/>
    <x v="34"/>
    <n v="63"/>
    <x v="34"/>
    <x v="0"/>
  </r>
  <r>
    <x v="3"/>
    <x v="10"/>
    <x v="0"/>
    <x v="0"/>
    <x v="2"/>
    <x v="35"/>
    <n v="65"/>
    <x v="35"/>
    <x v="0"/>
  </r>
  <r>
    <x v="3"/>
    <x v="10"/>
    <x v="0"/>
    <x v="0"/>
    <x v="2"/>
    <x v="36"/>
    <n v="48"/>
    <x v="36"/>
    <x v="0"/>
  </r>
  <r>
    <x v="3"/>
    <x v="10"/>
    <x v="0"/>
    <x v="0"/>
    <x v="2"/>
    <x v="37"/>
    <n v="52"/>
    <x v="37"/>
    <x v="0"/>
  </r>
  <r>
    <x v="3"/>
    <x v="10"/>
    <x v="0"/>
    <x v="1"/>
    <x v="0"/>
    <x v="0"/>
    <n v="2"/>
    <x v="0"/>
    <x v="0"/>
  </r>
  <r>
    <x v="3"/>
    <x v="10"/>
    <x v="0"/>
    <x v="1"/>
    <x v="0"/>
    <x v="1"/>
    <n v="2"/>
    <x v="1"/>
    <x v="0"/>
  </r>
  <r>
    <x v="3"/>
    <x v="10"/>
    <x v="0"/>
    <x v="1"/>
    <x v="0"/>
    <x v="2"/>
    <n v="4"/>
    <x v="2"/>
    <x v="0"/>
  </r>
  <r>
    <x v="3"/>
    <x v="10"/>
    <x v="0"/>
    <x v="1"/>
    <x v="0"/>
    <x v="3"/>
    <n v="3"/>
    <x v="3"/>
    <x v="0"/>
  </r>
  <r>
    <x v="3"/>
    <x v="10"/>
    <x v="0"/>
    <x v="1"/>
    <x v="0"/>
    <x v="4"/>
    <n v="3"/>
    <x v="4"/>
    <x v="0"/>
  </r>
  <r>
    <x v="3"/>
    <x v="10"/>
    <x v="0"/>
    <x v="1"/>
    <x v="0"/>
    <x v="5"/>
    <n v="5"/>
    <x v="5"/>
    <x v="1"/>
  </r>
  <r>
    <x v="3"/>
    <x v="10"/>
    <x v="0"/>
    <x v="1"/>
    <x v="0"/>
    <x v="6"/>
    <n v="5"/>
    <x v="6"/>
    <x v="1"/>
  </r>
  <r>
    <x v="3"/>
    <x v="10"/>
    <x v="0"/>
    <x v="1"/>
    <x v="0"/>
    <x v="7"/>
    <n v="5"/>
    <x v="7"/>
    <x v="1"/>
  </r>
  <r>
    <x v="3"/>
    <x v="10"/>
    <x v="0"/>
    <x v="1"/>
    <x v="0"/>
    <x v="8"/>
    <n v="2"/>
    <x v="8"/>
    <x v="1"/>
  </r>
  <r>
    <x v="3"/>
    <x v="10"/>
    <x v="0"/>
    <x v="1"/>
    <x v="0"/>
    <x v="9"/>
    <n v="6"/>
    <x v="9"/>
    <x v="0"/>
  </r>
  <r>
    <x v="3"/>
    <x v="10"/>
    <x v="0"/>
    <x v="1"/>
    <x v="0"/>
    <x v="10"/>
    <n v="5"/>
    <x v="10"/>
    <x v="0"/>
  </r>
  <r>
    <x v="3"/>
    <x v="10"/>
    <x v="0"/>
    <x v="1"/>
    <x v="0"/>
    <x v="11"/>
    <n v="3"/>
    <x v="11"/>
    <x v="0"/>
  </r>
  <r>
    <x v="3"/>
    <x v="10"/>
    <x v="0"/>
    <x v="1"/>
    <x v="1"/>
    <x v="12"/>
    <n v="3"/>
    <x v="12"/>
    <x v="0"/>
  </r>
  <r>
    <x v="3"/>
    <x v="10"/>
    <x v="0"/>
    <x v="1"/>
    <x v="1"/>
    <x v="13"/>
    <n v="3"/>
    <x v="13"/>
    <x v="0"/>
  </r>
  <r>
    <x v="3"/>
    <x v="10"/>
    <x v="0"/>
    <x v="1"/>
    <x v="1"/>
    <x v="14"/>
    <n v="3"/>
    <x v="14"/>
    <x v="0"/>
  </r>
  <r>
    <x v="3"/>
    <x v="10"/>
    <x v="0"/>
    <x v="1"/>
    <x v="1"/>
    <x v="15"/>
    <n v="3"/>
    <x v="15"/>
    <x v="0"/>
  </r>
  <r>
    <x v="3"/>
    <x v="10"/>
    <x v="0"/>
    <x v="1"/>
    <x v="1"/>
    <x v="16"/>
    <n v="3"/>
    <x v="16"/>
    <x v="0"/>
  </r>
  <r>
    <x v="3"/>
    <x v="10"/>
    <x v="0"/>
    <x v="1"/>
    <x v="1"/>
    <x v="17"/>
    <n v="3"/>
    <x v="17"/>
    <x v="0"/>
  </r>
  <r>
    <x v="3"/>
    <x v="10"/>
    <x v="0"/>
    <x v="1"/>
    <x v="1"/>
    <x v="18"/>
    <n v="2"/>
    <x v="18"/>
    <x v="1"/>
  </r>
  <r>
    <x v="3"/>
    <x v="10"/>
    <x v="0"/>
    <x v="1"/>
    <x v="1"/>
    <x v="19"/>
    <n v="4"/>
    <x v="19"/>
    <x v="1"/>
  </r>
  <r>
    <x v="3"/>
    <x v="10"/>
    <x v="0"/>
    <x v="1"/>
    <x v="1"/>
    <x v="20"/>
    <n v="2"/>
    <x v="20"/>
    <x v="1"/>
  </r>
  <r>
    <x v="3"/>
    <x v="10"/>
    <x v="0"/>
    <x v="1"/>
    <x v="1"/>
    <x v="21"/>
    <n v="3"/>
    <x v="21"/>
    <x v="1"/>
  </r>
  <r>
    <x v="3"/>
    <x v="10"/>
    <x v="0"/>
    <x v="1"/>
    <x v="1"/>
    <x v="22"/>
    <n v="2"/>
    <x v="22"/>
    <x v="0"/>
  </r>
  <r>
    <x v="3"/>
    <x v="10"/>
    <x v="0"/>
    <x v="1"/>
    <x v="1"/>
    <x v="23"/>
    <n v="4"/>
    <x v="23"/>
    <x v="0"/>
  </r>
  <r>
    <x v="3"/>
    <x v="10"/>
    <x v="0"/>
    <x v="1"/>
    <x v="2"/>
    <x v="24"/>
    <n v="5"/>
    <x v="24"/>
    <x v="0"/>
  </r>
  <r>
    <x v="3"/>
    <x v="10"/>
    <x v="0"/>
    <x v="1"/>
    <x v="2"/>
    <x v="25"/>
    <n v="1"/>
    <x v="25"/>
    <x v="0"/>
  </r>
  <r>
    <x v="3"/>
    <x v="10"/>
    <x v="0"/>
    <x v="1"/>
    <x v="2"/>
    <x v="26"/>
    <n v="5"/>
    <x v="26"/>
    <x v="0"/>
  </r>
  <r>
    <x v="3"/>
    <x v="10"/>
    <x v="0"/>
    <x v="1"/>
    <x v="2"/>
    <x v="27"/>
    <n v="3"/>
    <x v="27"/>
    <x v="0"/>
  </r>
  <r>
    <x v="3"/>
    <x v="10"/>
    <x v="0"/>
    <x v="1"/>
    <x v="2"/>
    <x v="28"/>
    <n v="6"/>
    <x v="28"/>
    <x v="0"/>
  </r>
  <r>
    <x v="3"/>
    <x v="10"/>
    <x v="0"/>
    <x v="1"/>
    <x v="2"/>
    <x v="29"/>
    <n v="7"/>
    <x v="29"/>
    <x v="0"/>
  </r>
  <r>
    <x v="3"/>
    <x v="10"/>
    <x v="0"/>
    <x v="1"/>
    <x v="2"/>
    <x v="30"/>
    <n v="7"/>
    <x v="30"/>
    <x v="1"/>
  </r>
  <r>
    <x v="3"/>
    <x v="10"/>
    <x v="0"/>
    <x v="1"/>
    <x v="2"/>
    <x v="31"/>
    <n v="8"/>
    <x v="31"/>
    <x v="1"/>
  </r>
  <r>
    <x v="3"/>
    <x v="10"/>
    <x v="0"/>
    <x v="1"/>
    <x v="2"/>
    <x v="32"/>
    <n v="3"/>
    <x v="32"/>
    <x v="1"/>
  </r>
  <r>
    <x v="3"/>
    <x v="10"/>
    <x v="0"/>
    <x v="1"/>
    <x v="2"/>
    <x v="33"/>
    <n v="3"/>
    <x v="33"/>
    <x v="1"/>
  </r>
  <r>
    <x v="3"/>
    <x v="10"/>
    <x v="0"/>
    <x v="1"/>
    <x v="2"/>
    <x v="34"/>
    <n v="5"/>
    <x v="34"/>
    <x v="0"/>
  </r>
  <r>
    <x v="3"/>
    <x v="10"/>
    <x v="0"/>
    <x v="1"/>
    <x v="2"/>
    <x v="35"/>
    <n v="3"/>
    <x v="35"/>
    <x v="0"/>
  </r>
  <r>
    <x v="3"/>
    <x v="10"/>
    <x v="0"/>
    <x v="1"/>
    <x v="2"/>
    <x v="36"/>
    <n v="2"/>
    <x v="36"/>
    <x v="0"/>
  </r>
  <r>
    <x v="3"/>
    <x v="10"/>
    <x v="0"/>
    <x v="1"/>
    <x v="2"/>
    <x v="37"/>
    <n v="2"/>
    <x v="37"/>
    <x v="0"/>
  </r>
  <r>
    <x v="3"/>
    <x v="10"/>
    <x v="0"/>
    <x v="2"/>
    <x v="0"/>
    <x v="0"/>
    <n v="1"/>
    <x v="0"/>
    <x v="0"/>
  </r>
  <r>
    <x v="3"/>
    <x v="10"/>
    <x v="0"/>
    <x v="2"/>
    <x v="0"/>
    <x v="1"/>
    <n v="0"/>
    <x v="1"/>
    <x v="0"/>
  </r>
  <r>
    <x v="3"/>
    <x v="10"/>
    <x v="0"/>
    <x v="2"/>
    <x v="0"/>
    <x v="2"/>
    <n v="0"/>
    <x v="2"/>
    <x v="0"/>
  </r>
  <r>
    <x v="3"/>
    <x v="10"/>
    <x v="0"/>
    <x v="2"/>
    <x v="0"/>
    <x v="3"/>
    <n v="0"/>
    <x v="3"/>
    <x v="0"/>
  </r>
  <r>
    <x v="3"/>
    <x v="10"/>
    <x v="0"/>
    <x v="2"/>
    <x v="0"/>
    <x v="4"/>
    <n v="5"/>
    <x v="4"/>
    <x v="0"/>
  </r>
  <r>
    <x v="3"/>
    <x v="10"/>
    <x v="0"/>
    <x v="2"/>
    <x v="0"/>
    <x v="5"/>
    <n v="1"/>
    <x v="5"/>
    <x v="1"/>
  </r>
  <r>
    <x v="3"/>
    <x v="10"/>
    <x v="0"/>
    <x v="2"/>
    <x v="0"/>
    <x v="6"/>
    <n v="0"/>
    <x v="6"/>
    <x v="1"/>
  </r>
  <r>
    <x v="3"/>
    <x v="10"/>
    <x v="0"/>
    <x v="2"/>
    <x v="0"/>
    <x v="7"/>
    <n v="0"/>
    <x v="7"/>
    <x v="1"/>
  </r>
  <r>
    <x v="3"/>
    <x v="10"/>
    <x v="0"/>
    <x v="2"/>
    <x v="0"/>
    <x v="8"/>
    <n v="1"/>
    <x v="8"/>
    <x v="1"/>
  </r>
  <r>
    <x v="3"/>
    <x v="10"/>
    <x v="0"/>
    <x v="2"/>
    <x v="0"/>
    <x v="9"/>
    <n v="1"/>
    <x v="9"/>
    <x v="0"/>
  </r>
  <r>
    <x v="3"/>
    <x v="10"/>
    <x v="0"/>
    <x v="2"/>
    <x v="0"/>
    <x v="10"/>
    <n v="1"/>
    <x v="10"/>
    <x v="0"/>
  </r>
  <r>
    <x v="3"/>
    <x v="10"/>
    <x v="0"/>
    <x v="2"/>
    <x v="0"/>
    <x v="11"/>
    <n v="1"/>
    <x v="11"/>
    <x v="0"/>
  </r>
  <r>
    <x v="3"/>
    <x v="10"/>
    <x v="0"/>
    <x v="2"/>
    <x v="1"/>
    <x v="12"/>
    <n v="0"/>
    <x v="12"/>
    <x v="0"/>
  </r>
  <r>
    <x v="3"/>
    <x v="10"/>
    <x v="0"/>
    <x v="2"/>
    <x v="1"/>
    <x v="13"/>
    <n v="0"/>
    <x v="13"/>
    <x v="0"/>
  </r>
  <r>
    <x v="3"/>
    <x v="10"/>
    <x v="0"/>
    <x v="2"/>
    <x v="1"/>
    <x v="14"/>
    <n v="1"/>
    <x v="14"/>
    <x v="0"/>
  </r>
  <r>
    <x v="3"/>
    <x v="10"/>
    <x v="0"/>
    <x v="2"/>
    <x v="1"/>
    <x v="15"/>
    <n v="0"/>
    <x v="15"/>
    <x v="0"/>
  </r>
  <r>
    <x v="3"/>
    <x v="10"/>
    <x v="0"/>
    <x v="2"/>
    <x v="1"/>
    <x v="16"/>
    <n v="0"/>
    <x v="16"/>
    <x v="0"/>
  </r>
  <r>
    <x v="3"/>
    <x v="10"/>
    <x v="0"/>
    <x v="2"/>
    <x v="1"/>
    <x v="17"/>
    <n v="1"/>
    <x v="17"/>
    <x v="0"/>
  </r>
  <r>
    <x v="3"/>
    <x v="10"/>
    <x v="0"/>
    <x v="2"/>
    <x v="1"/>
    <x v="18"/>
    <n v="2"/>
    <x v="18"/>
    <x v="1"/>
  </r>
  <r>
    <x v="3"/>
    <x v="10"/>
    <x v="0"/>
    <x v="2"/>
    <x v="1"/>
    <x v="19"/>
    <n v="1"/>
    <x v="19"/>
    <x v="1"/>
  </r>
  <r>
    <x v="3"/>
    <x v="10"/>
    <x v="0"/>
    <x v="2"/>
    <x v="1"/>
    <x v="20"/>
    <n v="1"/>
    <x v="20"/>
    <x v="1"/>
  </r>
  <r>
    <x v="3"/>
    <x v="10"/>
    <x v="0"/>
    <x v="2"/>
    <x v="1"/>
    <x v="21"/>
    <n v="0"/>
    <x v="21"/>
    <x v="1"/>
  </r>
  <r>
    <x v="3"/>
    <x v="10"/>
    <x v="0"/>
    <x v="2"/>
    <x v="1"/>
    <x v="22"/>
    <n v="0"/>
    <x v="22"/>
    <x v="0"/>
  </r>
  <r>
    <x v="3"/>
    <x v="10"/>
    <x v="0"/>
    <x v="2"/>
    <x v="1"/>
    <x v="23"/>
    <n v="2"/>
    <x v="23"/>
    <x v="0"/>
  </r>
  <r>
    <x v="3"/>
    <x v="10"/>
    <x v="0"/>
    <x v="2"/>
    <x v="2"/>
    <x v="24"/>
    <n v="2"/>
    <x v="24"/>
    <x v="0"/>
  </r>
  <r>
    <x v="3"/>
    <x v="10"/>
    <x v="0"/>
    <x v="2"/>
    <x v="2"/>
    <x v="25"/>
    <n v="0"/>
    <x v="25"/>
    <x v="0"/>
  </r>
  <r>
    <x v="3"/>
    <x v="10"/>
    <x v="0"/>
    <x v="2"/>
    <x v="2"/>
    <x v="26"/>
    <n v="0"/>
    <x v="26"/>
    <x v="0"/>
  </r>
  <r>
    <x v="3"/>
    <x v="10"/>
    <x v="0"/>
    <x v="2"/>
    <x v="2"/>
    <x v="27"/>
    <n v="0"/>
    <x v="27"/>
    <x v="0"/>
  </r>
  <r>
    <x v="3"/>
    <x v="10"/>
    <x v="0"/>
    <x v="2"/>
    <x v="2"/>
    <x v="28"/>
    <n v="1"/>
    <x v="28"/>
    <x v="0"/>
  </r>
  <r>
    <x v="3"/>
    <x v="10"/>
    <x v="0"/>
    <x v="2"/>
    <x v="2"/>
    <x v="29"/>
    <n v="0"/>
    <x v="29"/>
    <x v="0"/>
  </r>
  <r>
    <x v="3"/>
    <x v="10"/>
    <x v="0"/>
    <x v="2"/>
    <x v="2"/>
    <x v="30"/>
    <n v="1"/>
    <x v="30"/>
    <x v="1"/>
  </r>
  <r>
    <x v="3"/>
    <x v="10"/>
    <x v="0"/>
    <x v="2"/>
    <x v="2"/>
    <x v="31"/>
    <n v="1"/>
    <x v="31"/>
    <x v="1"/>
  </r>
  <r>
    <x v="3"/>
    <x v="10"/>
    <x v="0"/>
    <x v="2"/>
    <x v="2"/>
    <x v="32"/>
    <n v="0"/>
    <x v="32"/>
    <x v="1"/>
  </r>
  <r>
    <x v="3"/>
    <x v="10"/>
    <x v="0"/>
    <x v="2"/>
    <x v="2"/>
    <x v="33"/>
    <n v="0"/>
    <x v="33"/>
    <x v="1"/>
  </r>
  <r>
    <x v="3"/>
    <x v="10"/>
    <x v="0"/>
    <x v="2"/>
    <x v="2"/>
    <x v="34"/>
    <n v="0"/>
    <x v="34"/>
    <x v="0"/>
  </r>
  <r>
    <x v="3"/>
    <x v="10"/>
    <x v="0"/>
    <x v="2"/>
    <x v="2"/>
    <x v="35"/>
    <n v="0"/>
    <x v="35"/>
    <x v="0"/>
  </r>
  <r>
    <x v="3"/>
    <x v="10"/>
    <x v="0"/>
    <x v="2"/>
    <x v="2"/>
    <x v="36"/>
    <n v="1"/>
    <x v="36"/>
    <x v="0"/>
  </r>
  <r>
    <x v="3"/>
    <x v="10"/>
    <x v="0"/>
    <x v="2"/>
    <x v="2"/>
    <x v="37"/>
    <n v="2"/>
    <x v="37"/>
    <x v="0"/>
  </r>
  <r>
    <x v="3"/>
    <x v="10"/>
    <x v="0"/>
    <x v="3"/>
    <x v="0"/>
    <x v="0"/>
    <n v="0"/>
    <x v="0"/>
    <x v="0"/>
  </r>
  <r>
    <x v="3"/>
    <x v="10"/>
    <x v="0"/>
    <x v="3"/>
    <x v="0"/>
    <x v="1"/>
    <n v="0"/>
    <x v="1"/>
    <x v="0"/>
  </r>
  <r>
    <x v="3"/>
    <x v="10"/>
    <x v="0"/>
    <x v="3"/>
    <x v="0"/>
    <x v="2"/>
    <n v="0"/>
    <x v="2"/>
    <x v="0"/>
  </r>
  <r>
    <x v="3"/>
    <x v="10"/>
    <x v="0"/>
    <x v="3"/>
    <x v="0"/>
    <x v="3"/>
    <n v="0"/>
    <x v="3"/>
    <x v="0"/>
  </r>
  <r>
    <x v="3"/>
    <x v="10"/>
    <x v="0"/>
    <x v="3"/>
    <x v="0"/>
    <x v="4"/>
    <n v="0"/>
    <x v="4"/>
    <x v="0"/>
  </r>
  <r>
    <x v="3"/>
    <x v="10"/>
    <x v="0"/>
    <x v="3"/>
    <x v="0"/>
    <x v="5"/>
    <n v="0"/>
    <x v="5"/>
    <x v="1"/>
  </r>
  <r>
    <x v="3"/>
    <x v="10"/>
    <x v="0"/>
    <x v="3"/>
    <x v="0"/>
    <x v="6"/>
    <n v="0"/>
    <x v="6"/>
    <x v="1"/>
  </r>
  <r>
    <x v="3"/>
    <x v="10"/>
    <x v="0"/>
    <x v="3"/>
    <x v="0"/>
    <x v="7"/>
    <n v="1"/>
    <x v="7"/>
    <x v="1"/>
  </r>
  <r>
    <x v="3"/>
    <x v="10"/>
    <x v="0"/>
    <x v="3"/>
    <x v="0"/>
    <x v="8"/>
    <n v="0"/>
    <x v="8"/>
    <x v="1"/>
  </r>
  <r>
    <x v="3"/>
    <x v="10"/>
    <x v="0"/>
    <x v="3"/>
    <x v="0"/>
    <x v="9"/>
    <n v="0"/>
    <x v="9"/>
    <x v="0"/>
  </r>
  <r>
    <x v="3"/>
    <x v="10"/>
    <x v="0"/>
    <x v="3"/>
    <x v="0"/>
    <x v="10"/>
    <n v="0"/>
    <x v="10"/>
    <x v="0"/>
  </r>
  <r>
    <x v="3"/>
    <x v="10"/>
    <x v="0"/>
    <x v="3"/>
    <x v="0"/>
    <x v="11"/>
    <n v="0"/>
    <x v="11"/>
    <x v="0"/>
  </r>
  <r>
    <x v="3"/>
    <x v="10"/>
    <x v="0"/>
    <x v="3"/>
    <x v="1"/>
    <x v="12"/>
    <n v="0"/>
    <x v="12"/>
    <x v="0"/>
  </r>
  <r>
    <x v="3"/>
    <x v="10"/>
    <x v="0"/>
    <x v="3"/>
    <x v="1"/>
    <x v="13"/>
    <n v="0"/>
    <x v="13"/>
    <x v="0"/>
  </r>
  <r>
    <x v="3"/>
    <x v="10"/>
    <x v="0"/>
    <x v="3"/>
    <x v="1"/>
    <x v="14"/>
    <n v="0"/>
    <x v="14"/>
    <x v="0"/>
  </r>
  <r>
    <x v="3"/>
    <x v="10"/>
    <x v="0"/>
    <x v="3"/>
    <x v="1"/>
    <x v="15"/>
    <n v="0"/>
    <x v="15"/>
    <x v="0"/>
  </r>
  <r>
    <x v="3"/>
    <x v="10"/>
    <x v="0"/>
    <x v="3"/>
    <x v="1"/>
    <x v="16"/>
    <n v="0"/>
    <x v="16"/>
    <x v="0"/>
  </r>
  <r>
    <x v="3"/>
    <x v="10"/>
    <x v="0"/>
    <x v="3"/>
    <x v="1"/>
    <x v="17"/>
    <n v="0"/>
    <x v="17"/>
    <x v="0"/>
  </r>
  <r>
    <x v="3"/>
    <x v="10"/>
    <x v="0"/>
    <x v="3"/>
    <x v="1"/>
    <x v="18"/>
    <n v="0"/>
    <x v="18"/>
    <x v="1"/>
  </r>
  <r>
    <x v="3"/>
    <x v="10"/>
    <x v="0"/>
    <x v="3"/>
    <x v="1"/>
    <x v="19"/>
    <n v="0"/>
    <x v="19"/>
    <x v="1"/>
  </r>
  <r>
    <x v="3"/>
    <x v="10"/>
    <x v="0"/>
    <x v="3"/>
    <x v="1"/>
    <x v="20"/>
    <n v="0"/>
    <x v="20"/>
    <x v="1"/>
  </r>
  <r>
    <x v="3"/>
    <x v="10"/>
    <x v="0"/>
    <x v="3"/>
    <x v="1"/>
    <x v="21"/>
    <n v="0"/>
    <x v="21"/>
    <x v="1"/>
  </r>
  <r>
    <x v="3"/>
    <x v="10"/>
    <x v="0"/>
    <x v="3"/>
    <x v="1"/>
    <x v="22"/>
    <n v="0"/>
    <x v="22"/>
    <x v="0"/>
  </r>
  <r>
    <x v="3"/>
    <x v="10"/>
    <x v="0"/>
    <x v="3"/>
    <x v="1"/>
    <x v="23"/>
    <n v="0"/>
    <x v="23"/>
    <x v="0"/>
  </r>
  <r>
    <x v="3"/>
    <x v="10"/>
    <x v="0"/>
    <x v="3"/>
    <x v="2"/>
    <x v="24"/>
    <n v="0"/>
    <x v="24"/>
    <x v="0"/>
  </r>
  <r>
    <x v="3"/>
    <x v="10"/>
    <x v="0"/>
    <x v="3"/>
    <x v="2"/>
    <x v="25"/>
    <n v="0"/>
    <x v="25"/>
    <x v="0"/>
  </r>
  <r>
    <x v="3"/>
    <x v="10"/>
    <x v="0"/>
    <x v="3"/>
    <x v="2"/>
    <x v="26"/>
    <n v="0"/>
    <x v="26"/>
    <x v="0"/>
  </r>
  <r>
    <x v="3"/>
    <x v="10"/>
    <x v="0"/>
    <x v="3"/>
    <x v="2"/>
    <x v="27"/>
    <n v="0"/>
    <x v="27"/>
    <x v="0"/>
  </r>
  <r>
    <x v="3"/>
    <x v="10"/>
    <x v="0"/>
    <x v="3"/>
    <x v="2"/>
    <x v="28"/>
    <n v="0"/>
    <x v="28"/>
    <x v="0"/>
  </r>
  <r>
    <x v="3"/>
    <x v="10"/>
    <x v="0"/>
    <x v="3"/>
    <x v="2"/>
    <x v="29"/>
    <n v="0"/>
    <x v="29"/>
    <x v="0"/>
  </r>
  <r>
    <x v="3"/>
    <x v="10"/>
    <x v="0"/>
    <x v="3"/>
    <x v="2"/>
    <x v="30"/>
    <n v="0"/>
    <x v="30"/>
    <x v="1"/>
  </r>
  <r>
    <x v="3"/>
    <x v="10"/>
    <x v="0"/>
    <x v="3"/>
    <x v="2"/>
    <x v="31"/>
    <n v="0"/>
    <x v="31"/>
    <x v="1"/>
  </r>
  <r>
    <x v="3"/>
    <x v="10"/>
    <x v="0"/>
    <x v="3"/>
    <x v="2"/>
    <x v="32"/>
    <n v="0"/>
    <x v="32"/>
    <x v="1"/>
  </r>
  <r>
    <x v="3"/>
    <x v="10"/>
    <x v="0"/>
    <x v="3"/>
    <x v="2"/>
    <x v="33"/>
    <n v="0"/>
    <x v="33"/>
    <x v="1"/>
  </r>
  <r>
    <x v="3"/>
    <x v="10"/>
    <x v="0"/>
    <x v="3"/>
    <x v="2"/>
    <x v="34"/>
    <n v="0"/>
    <x v="34"/>
    <x v="0"/>
  </r>
  <r>
    <x v="3"/>
    <x v="10"/>
    <x v="0"/>
    <x v="3"/>
    <x v="2"/>
    <x v="35"/>
    <n v="0"/>
    <x v="35"/>
    <x v="0"/>
  </r>
  <r>
    <x v="3"/>
    <x v="10"/>
    <x v="0"/>
    <x v="3"/>
    <x v="2"/>
    <x v="36"/>
    <n v="0"/>
    <x v="36"/>
    <x v="0"/>
  </r>
  <r>
    <x v="3"/>
    <x v="10"/>
    <x v="0"/>
    <x v="3"/>
    <x v="2"/>
    <x v="37"/>
    <n v="0"/>
    <x v="37"/>
    <x v="0"/>
  </r>
  <r>
    <x v="3"/>
    <x v="10"/>
    <x v="0"/>
    <x v="4"/>
    <x v="0"/>
    <x v="0"/>
    <n v="0"/>
    <x v="0"/>
    <x v="0"/>
  </r>
  <r>
    <x v="3"/>
    <x v="10"/>
    <x v="0"/>
    <x v="4"/>
    <x v="0"/>
    <x v="1"/>
    <n v="1"/>
    <x v="1"/>
    <x v="0"/>
  </r>
  <r>
    <x v="3"/>
    <x v="10"/>
    <x v="0"/>
    <x v="4"/>
    <x v="0"/>
    <x v="2"/>
    <n v="2"/>
    <x v="2"/>
    <x v="0"/>
  </r>
  <r>
    <x v="3"/>
    <x v="10"/>
    <x v="0"/>
    <x v="4"/>
    <x v="0"/>
    <x v="3"/>
    <n v="7"/>
    <x v="3"/>
    <x v="0"/>
  </r>
  <r>
    <x v="3"/>
    <x v="10"/>
    <x v="0"/>
    <x v="4"/>
    <x v="0"/>
    <x v="4"/>
    <n v="9"/>
    <x v="4"/>
    <x v="0"/>
  </r>
  <r>
    <x v="3"/>
    <x v="10"/>
    <x v="0"/>
    <x v="4"/>
    <x v="0"/>
    <x v="5"/>
    <n v="11"/>
    <x v="5"/>
    <x v="1"/>
  </r>
  <r>
    <x v="3"/>
    <x v="10"/>
    <x v="0"/>
    <x v="4"/>
    <x v="0"/>
    <x v="6"/>
    <n v="8"/>
    <x v="6"/>
    <x v="1"/>
  </r>
  <r>
    <x v="3"/>
    <x v="10"/>
    <x v="0"/>
    <x v="4"/>
    <x v="0"/>
    <x v="7"/>
    <n v="2"/>
    <x v="7"/>
    <x v="1"/>
  </r>
  <r>
    <x v="3"/>
    <x v="10"/>
    <x v="0"/>
    <x v="4"/>
    <x v="0"/>
    <x v="8"/>
    <n v="2"/>
    <x v="8"/>
    <x v="1"/>
  </r>
  <r>
    <x v="3"/>
    <x v="10"/>
    <x v="0"/>
    <x v="4"/>
    <x v="0"/>
    <x v="9"/>
    <n v="6"/>
    <x v="9"/>
    <x v="0"/>
  </r>
  <r>
    <x v="3"/>
    <x v="10"/>
    <x v="0"/>
    <x v="4"/>
    <x v="0"/>
    <x v="10"/>
    <n v="0"/>
    <x v="10"/>
    <x v="0"/>
  </r>
  <r>
    <x v="3"/>
    <x v="10"/>
    <x v="0"/>
    <x v="4"/>
    <x v="0"/>
    <x v="11"/>
    <n v="0"/>
    <x v="11"/>
    <x v="0"/>
  </r>
  <r>
    <x v="3"/>
    <x v="10"/>
    <x v="0"/>
    <x v="4"/>
    <x v="1"/>
    <x v="12"/>
    <n v="0"/>
    <x v="12"/>
    <x v="0"/>
  </r>
  <r>
    <x v="3"/>
    <x v="10"/>
    <x v="0"/>
    <x v="4"/>
    <x v="1"/>
    <x v="13"/>
    <n v="1"/>
    <x v="13"/>
    <x v="0"/>
  </r>
  <r>
    <x v="3"/>
    <x v="10"/>
    <x v="0"/>
    <x v="4"/>
    <x v="1"/>
    <x v="14"/>
    <n v="2"/>
    <x v="14"/>
    <x v="0"/>
  </r>
  <r>
    <x v="3"/>
    <x v="10"/>
    <x v="0"/>
    <x v="4"/>
    <x v="1"/>
    <x v="15"/>
    <n v="1"/>
    <x v="15"/>
    <x v="0"/>
  </r>
  <r>
    <x v="3"/>
    <x v="10"/>
    <x v="0"/>
    <x v="4"/>
    <x v="1"/>
    <x v="16"/>
    <n v="2"/>
    <x v="16"/>
    <x v="0"/>
  </r>
  <r>
    <x v="3"/>
    <x v="10"/>
    <x v="0"/>
    <x v="4"/>
    <x v="1"/>
    <x v="17"/>
    <n v="2"/>
    <x v="17"/>
    <x v="0"/>
  </r>
  <r>
    <x v="3"/>
    <x v="10"/>
    <x v="0"/>
    <x v="4"/>
    <x v="1"/>
    <x v="18"/>
    <n v="0"/>
    <x v="18"/>
    <x v="1"/>
  </r>
  <r>
    <x v="3"/>
    <x v="10"/>
    <x v="0"/>
    <x v="4"/>
    <x v="1"/>
    <x v="19"/>
    <n v="0"/>
    <x v="19"/>
    <x v="1"/>
  </r>
  <r>
    <x v="3"/>
    <x v="10"/>
    <x v="0"/>
    <x v="4"/>
    <x v="1"/>
    <x v="20"/>
    <n v="1"/>
    <x v="20"/>
    <x v="1"/>
  </r>
  <r>
    <x v="3"/>
    <x v="10"/>
    <x v="0"/>
    <x v="4"/>
    <x v="1"/>
    <x v="21"/>
    <n v="3"/>
    <x v="21"/>
    <x v="1"/>
  </r>
  <r>
    <x v="3"/>
    <x v="10"/>
    <x v="0"/>
    <x v="4"/>
    <x v="1"/>
    <x v="22"/>
    <n v="0"/>
    <x v="22"/>
    <x v="0"/>
  </r>
  <r>
    <x v="3"/>
    <x v="10"/>
    <x v="0"/>
    <x v="4"/>
    <x v="1"/>
    <x v="23"/>
    <n v="2"/>
    <x v="23"/>
    <x v="0"/>
  </r>
  <r>
    <x v="3"/>
    <x v="10"/>
    <x v="0"/>
    <x v="4"/>
    <x v="2"/>
    <x v="24"/>
    <n v="2"/>
    <x v="24"/>
    <x v="0"/>
  </r>
  <r>
    <x v="3"/>
    <x v="10"/>
    <x v="0"/>
    <x v="4"/>
    <x v="2"/>
    <x v="25"/>
    <n v="3"/>
    <x v="25"/>
    <x v="0"/>
  </r>
  <r>
    <x v="3"/>
    <x v="10"/>
    <x v="0"/>
    <x v="4"/>
    <x v="2"/>
    <x v="26"/>
    <n v="1"/>
    <x v="26"/>
    <x v="0"/>
  </r>
  <r>
    <x v="3"/>
    <x v="10"/>
    <x v="0"/>
    <x v="4"/>
    <x v="2"/>
    <x v="27"/>
    <n v="1"/>
    <x v="27"/>
    <x v="0"/>
  </r>
  <r>
    <x v="3"/>
    <x v="10"/>
    <x v="0"/>
    <x v="4"/>
    <x v="2"/>
    <x v="28"/>
    <n v="0"/>
    <x v="28"/>
    <x v="0"/>
  </r>
  <r>
    <x v="3"/>
    <x v="10"/>
    <x v="0"/>
    <x v="4"/>
    <x v="2"/>
    <x v="29"/>
    <n v="0"/>
    <x v="29"/>
    <x v="0"/>
  </r>
  <r>
    <x v="3"/>
    <x v="10"/>
    <x v="0"/>
    <x v="4"/>
    <x v="2"/>
    <x v="30"/>
    <n v="0"/>
    <x v="30"/>
    <x v="1"/>
  </r>
  <r>
    <x v="3"/>
    <x v="10"/>
    <x v="0"/>
    <x v="4"/>
    <x v="2"/>
    <x v="31"/>
    <n v="0"/>
    <x v="31"/>
    <x v="1"/>
  </r>
  <r>
    <x v="3"/>
    <x v="10"/>
    <x v="0"/>
    <x v="4"/>
    <x v="2"/>
    <x v="32"/>
    <n v="0"/>
    <x v="32"/>
    <x v="1"/>
  </r>
  <r>
    <x v="3"/>
    <x v="10"/>
    <x v="0"/>
    <x v="4"/>
    <x v="2"/>
    <x v="33"/>
    <n v="2"/>
    <x v="33"/>
    <x v="1"/>
  </r>
  <r>
    <x v="3"/>
    <x v="10"/>
    <x v="0"/>
    <x v="4"/>
    <x v="2"/>
    <x v="34"/>
    <n v="1"/>
    <x v="34"/>
    <x v="0"/>
  </r>
  <r>
    <x v="3"/>
    <x v="10"/>
    <x v="0"/>
    <x v="4"/>
    <x v="2"/>
    <x v="35"/>
    <n v="2"/>
    <x v="35"/>
    <x v="0"/>
  </r>
  <r>
    <x v="3"/>
    <x v="10"/>
    <x v="0"/>
    <x v="4"/>
    <x v="2"/>
    <x v="36"/>
    <n v="0"/>
    <x v="36"/>
    <x v="0"/>
  </r>
  <r>
    <x v="3"/>
    <x v="10"/>
    <x v="0"/>
    <x v="4"/>
    <x v="2"/>
    <x v="37"/>
    <n v="1"/>
    <x v="37"/>
    <x v="0"/>
  </r>
  <r>
    <x v="3"/>
    <x v="11"/>
    <x v="1"/>
    <x v="0"/>
    <x v="0"/>
    <x v="0"/>
    <n v="7"/>
    <x v="0"/>
    <x v="0"/>
  </r>
  <r>
    <x v="3"/>
    <x v="11"/>
    <x v="1"/>
    <x v="0"/>
    <x v="0"/>
    <x v="1"/>
    <n v="4"/>
    <x v="1"/>
    <x v="0"/>
  </r>
  <r>
    <x v="3"/>
    <x v="11"/>
    <x v="1"/>
    <x v="0"/>
    <x v="0"/>
    <x v="2"/>
    <n v="10"/>
    <x v="2"/>
    <x v="0"/>
  </r>
  <r>
    <x v="3"/>
    <x v="11"/>
    <x v="1"/>
    <x v="0"/>
    <x v="0"/>
    <x v="3"/>
    <n v="12"/>
    <x v="3"/>
    <x v="0"/>
  </r>
  <r>
    <x v="3"/>
    <x v="11"/>
    <x v="1"/>
    <x v="0"/>
    <x v="0"/>
    <x v="4"/>
    <n v="10"/>
    <x v="4"/>
    <x v="0"/>
  </r>
  <r>
    <x v="3"/>
    <x v="11"/>
    <x v="1"/>
    <x v="0"/>
    <x v="0"/>
    <x v="5"/>
    <n v="7"/>
    <x v="5"/>
    <x v="1"/>
  </r>
  <r>
    <x v="3"/>
    <x v="11"/>
    <x v="1"/>
    <x v="0"/>
    <x v="0"/>
    <x v="6"/>
    <n v="18"/>
    <x v="6"/>
    <x v="1"/>
  </r>
  <r>
    <x v="3"/>
    <x v="11"/>
    <x v="1"/>
    <x v="0"/>
    <x v="0"/>
    <x v="7"/>
    <n v="16"/>
    <x v="7"/>
    <x v="1"/>
  </r>
  <r>
    <x v="3"/>
    <x v="11"/>
    <x v="1"/>
    <x v="0"/>
    <x v="0"/>
    <x v="8"/>
    <n v="6"/>
    <x v="8"/>
    <x v="1"/>
  </r>
  <r>
    <x v="3"/>
    <x v="11"/>
    <x v="1"/>
    <x v="0"/>
    <x v="0"/>
    <x v="9"/>
    <n v="5"/>
    <x v="9"/>
    <x v="0"/>
  </r>
  <r>
    <x v="3"/>
    <x v="11"/>
    <x v="1"/>
    <x v="0"/>
    <x v="0"/>
    <x v="10"/>
    <n v="11"/>
    <x v="10"/>
    <x v="0"/>
  </r>
  <r>
    <x v="3"/>
    <x v="11"/>
    <x v="1"/>
    <x v="0"/>
    <x v="0"/>
    <x v="11"/>
    <n v="6"/>
    <x v="11"/>
    <x v="0"/>
  </r>
  <r>
    <x v="3"/>
    <x v="11"/>
    <x v="1"/>
    <x v="0"/>
    <x v="1"/>
    <x v="12"/>
    <n v="18"/>
    <x v="12"/>
    <x v="0"/>
  </r>
  <r>
    <x v="3"/>
    <x v="11"/>
    <x v="1"/>
    <x v="0"/>
    <x v="1"/>
    <x v="13"/>
    <n v="12"/>
    <x v="13"/>
    <x v="0"/>
  </r>
  <r>
    <x v="3"/>
    <x v="11"/>
    <x v="1"/>
    <x v="0"/>
    <x v="1"/>
    <x v="14"/>
    <n v="15"/>
    <x v="14"/>
    <x v="0"/>
  </r>
  <r>
    <x v="3"/>
    <x v="11"/>
    <x v="1"/>
    <x v="0"/>
    <x v="1"/>
    <x v="15"/>
    <n v="13"/>
    <x v="15"/>
    <x v="0"/>
  </r>
  <r>
    <x v="3"/>
    <x v="11"/>
    <x v="1"/>
    <x v="0"/>
    <x v="1"/>
    <x v="16"/>
    <n v="21"/>
    <x v="16"/>
    <x v="0"/>
  </r>
  <r>
    <x v="3"/>
    <x v="11"/>
    <x v="1"/>
    <x v="0"/>
    <x v="1"/>
    <x v="17"/>
    <n v="21"/>
    <x v="17"/>
    <x v="0"/>
  </r>
  <r>
    <x v="3"/>
    <x v="11"/>
    <x v="1"/>
    <x v="0"/>
    <x v="1"/>
    <x v="18"/>
    <n v="11"/>
    <x v="18"/>
    <x v="1"/>
  </r>
  <r>
    <x v="3"/>
    <x v="11"/>
    <x v="1"/>
    <x v="0"/>
    <x v="1"/>
    <x v="19"/>
    <n v="16"/>
    <x v="19"/>
    <x v="1"/>
  </r>
  <r>
    <x v="3"/>
    <x v="11"/>
    <x v="1"/>
    <x v="0"/>
    <x v="1"/>
    <x v="20"/>
    <n v="14"/>
    <x v="20"/>
    <x v="1"/>
  </r>
  <r>
    <x v="3"/>
    <x v="11"/>
    <x v="1"/>
    <x v="0"/>
    <x v="1"/>
    <x v="21"/>
    <n v="30"/>
    <x v="21"/>
    <x v="1"/>
  </r>
  <r>
    <x v="3"/>
    <x v="11"/>
    <x v="1"/>
    <x v="0"/>
    <x v="1"/>
    <x v="22"/>
    <n v="21"/>
    <x v="22"/>
    <x v="0"/>
  </r>
  <r>
    <x v="3"/>
    <x v="11"/>
    <x v="1"/>
    <x v="0"/>
    <x v="1"/>
    <x v="23"/>
    <n v="20"/>
    <x v="23"/>
    <x v="0"/>
  </r>
  <r>
    <x v="3"/>
    <x v="11"/>
    <x v="1"/>
    <x v="0"/>
    <x v="2"/>
    <x v="24"/>
    <n v="8"/>
    <x v="24"/>
    <x v="0"/>
  </r>
  <r>
    <x v="3"/>
    <x v="11"/>
    <x v="1"/>
    <x v="0"/>
    <x v="2"/>
    <x v="25"/>
    <n v="17"/>
    <x v="25"/>
    <x v="0"/>
  </r>
  <r>
    <x v="3"/>
    <x v="11"/>
    <x v="1"/>
    <x v="0"/>
    <x v="2"/>
    <x v="26"/>
    <n v="13"/>
    <x v="26"/>
    <x v="0"/>
  </r>
  <r>
    <x v="3"/>
    <x v="11"/>
    <x v="1"/>
    <x v="0"/>
    <x v="2"/>
    <x v="27"/>
    <n v="14"/>
    <x v="27"/>
    <x v="0"/>
  </r>
  <r>
    <x v="3"/>
    <x v="11"/>
    <x v="1"/>
    <x v="0"/>
    <x v="2"/>
    <x v="28"/>
    <n v="15"/>
    <x v="28"/>
    <x v="0"/>
  </r>
  <r>
    <x v="3"/>
    <x v="11"/>
    <x v="1"/>
    <x v="0"/>
    <x v="2"/>
    <x v="29"/>
    <n v="16"/>
    <x v="29"/>
    <x v="0"/>
  </r>
  <r>
    <x v="3"/>
    <x v="11"/>
    <x v="1"/>
    <x v="0"/>
    <x v="2"/>
    <x v="30"/>
    <n v="15"/>
    <x v="30"/>
    <x v="1"/>
  </r>
  <r>
    <x v="3"/>
    <x v="11"/>
    <x v="1"/>
    <x v="0"/>
    <x v="2"/>
    <x v="31"/>
    <n v="12"/>
    <x v="31"/>
    <x v="1"/>
  </r>
  <r>
    <x v="3"/>
    <x v="11"/>
    <x v="1"/>
    <x v="0"/>
    <x v="2"/>
    <x v="32"/>
    <n v="13"/>
    <x v="32"/>
    <x v="1"/>
  </r>
  <r>
    <x v="3"/>
    <x v="11"/>
    <x v="1"/>
    <x v="0"/>
    <x v="2"/>
    <x v="33"/>
    <n v="17"/>
    <x v="33"/>
    <x v="1"/>
  </r>
  <r>
    <x v="3"/>
    <x v="11"/>
    <x v="1"/>
    <x v="0"/>
    <x v="2"/>
    <x v="34"/>
    <n v="17"/>
    <x v="34"/>
    <x v="0"/>
  </r>
  <r>
    <x v="3"/>
    <x v="11"/>
    <x v="1"/>
    <x v="0"/>
    <x v="2"/>
    <x v="35"/>
    <n v="20"/>
    <x v="35"/>
    <x v="0"/>
  </r>
  <r>
    <x v="3"/>
    <x v="11"/>
    <x v="1"/>
    <x v="0"/>
    <x v="2"/>
    <x v="36"/>
    <n v="20"/>
    <x v="36"/>
    <x v="0"/>
  </r>
  <r>
    <x v="3"/>
    <x v="11"/>
    <x v="1"/>
    <x v="0"/>
    <x v="2"/>
    <x v="37"/>
    <n v="17"/>
    <x v="37"/>
    <x v="0"/>
  </r>
  <r>
    <x v="3"/>
    <x v="11"/>
    <x v="1"/>
    <x v="1"/>
    <x v="0"/>
    <x v="0"/>
    <n v="0"/>
    <x v="0"/>
    <x v="0"/>
  </r>
  <r>
    <x v="3"/>
    <x v="11"/>
    <x v="1"/>
    <x v="1"/>
    <x v="0"/>
    <x v="1"/>
    <n v="0"/>
    <x v="1"/>
    <x v="0"/>
  </r>
  <r>
    <x v="3"/>
    <x v="11"/>
    <x v="1"/>
    <x v="1"/>
    <x v="0"/>
    <x v="2"/>
    <n v="0"/>
    <x v="2"/>
    <x v="0"/>
  </r>
  <r>
    <x v="3"/>
    <x v="11"/>
    <x v="1"/>
    <x v="1"/>
    <x v="0"/>
    <x v="3"/>
    <n v="0"/>
    <x v="3"/>
    <x v="0"/>
  </r>
  <r>
    <x v="3"/>
    <x v="11"/>
    <x v="1"/>
    <x v="1"/>
    <x v="0"/>
    <x v="4"/>
    <n v="0"/>
    <x v="4"/>
    <x v="0"/>
  </r>
  <r>
    <x v="3"/>
    <x v="11"/>
    <x v="1"/>
    <x v="1"/>
    <x v="0"/>
    <x v="5"/>
    <n v="0"/>
    <x v="5"/>
    <x v="1"/>
  </r>
  <r>
    <x v="3"/>
    <x v="11"/>
    <x v="1"/>
    <x v="1"/>
    <x v="0"/>
    <x v="6"/>
    <n v="0"/>
    <x v="6"/>
    <x v="1"/>
  </r>
  <r>
    <x v="3"/>
    <x v="11"/>
    <x v="1"/>
    <x v="1"/>
    <x v="0"/>
    <x v="7"/>
    <n v="0"/>
    <x v="7"/>
    <x v="1"/>
  </r>
  <r>
    <x v="3"/>
    <x v="11"/>
    <x v="1"/>
    <x v="1"/>
    <x v="0"/>
    <x v="8"/>
    <n v="1"/>
    <x v="8"/>
    <x v="1"/>
  </r>
  <r>
    <x v="3"/>
    <x v="11"/>
    <x v="1"/>
    <x v="1"/>
    <x v="0"/>
    <x v="9"/>
    <n v="0"/>
    <x v="9"/>
    <x v="0"/>
  </r>
  <r>
    <x v="3"/>
    <x v="11"/>
    <x v="1"/>
    <x v="1"/>
    <x v="0"/>
    <x v="10"/>
    <n v="0"/>
    <x v="10"/>
    <x v="0"/>
  </r>
  <r>
    <x v="3"/>
    <x v="11"/>
    <x v="1"/>
    <x v="1"/>
    <x v="0"/>
    <x v="11"/>
    <n v="0"/>
    <x v="11"/>
    <x v="0"/>
  </r>
  <r>
    <x v="3"/>
    <x v="11"/>
    <x v="1"/>
    <x v="1"/>
    <x v="1"/>
    <x v="12"/>
    <n v="0"/>
    <x v="12"/>
    <x v="0"/>
  </r>
  <r>
    <x v="3"/>
    <x v="11"/>
    <x v="1"/>
    <x v="1"/>
    <x v="1"/>
    <x v="13"/>
    <n v="1"/>
    <x v="13"/>
    <x v="0"/>
  </r>
  <r>
    <x v="3"/>
    <x v="11"/>
    <x v="1"/>
    <x v="1"/>
    <x v="1"/>
    <x v="14"/>
    <n v="0"/>
    <x v="14"/>
    <x v="0"/>
  </r>
  <r>
    <x v="3"/>
    <x v="11"/>
    <x v="1"/>
    <x v="1"/>
    <x v="1"/>
    <x v="15"/>
    <n v="0"/>
    <x v="15"/>
    <x v="0"/>
  </r>
  <r>
    <x v="3"/>
    <x v="11"/>
    <x v="1"/>
    <x v="1"/>
    <x v="1"/>
    <x v="16"/>
    <n v="0"/>
    <x v="16"/>
    <x v="0"/>
  </r>
  <r>
    <x v="3"/>
    <x v="11"/>
    <x v="1"/>
    <x v="1"/>
    <x v="1"/>
    <x v="17"/>
    <n v="0"/>
    <x v="17"/>
    <x v="0"/>
  </r>
  <r>
    <x v="3"/>
    <x v="11"/>
    <x v="1"/>
    <x v="1"/>
    <x v="1"/>
    <x v="18"/>
    <n v="0"/>
    <x v="18"/>
    <x v="1"/>
  </r>
  <r>
    <x v="3"/>
    <x v="11"/>
    <x v="1"/>
    <x v="1"/>
    <x v="1"/>
    <x v="19"/>
    <n v="0"/>
    <x v="19"/>
    <x v="1"/>
  </r>
  <r>
    <x v="3"/>
    <x v="11"/>
    <x v="1"/>
    <x v="1"/>
    <x v="1"/>
    <x v="20"/>
    <n v="3"/>
    <x v="20"/>
    <x v="1"/>
  </r>
  <r>
    <x v="3"/>
    <x v="11"/>
    <x v="1"/>
    <x v="1"/>
    <x v="1"/>
    <x v="21"/>
    <n v="0"/>
    <x v="21"/>
    <x v="1"/>
  </r>
  <r>
    <x v="3"/>
    <x v="11"/>
    <x v="1"/>
    <x v="1"/>
    <x v="1"/>
    <x v="22"/>
    <n v="0"/>
    <x v="22"/>
    <x v="0"/>
  </r>
  <r>
    <x v="3"/>
    <x v="11"/>
    <x v="1"/>
    <x v="1"/>
    <x v="1"/>
    <x v="23"/>
    <n v="1"/>
    <x v="23"/>
    <x v="0"/>
  </r>
  <r>
    <x v="3"/>
    <x v="11"/>
    <x v="1"/>
    <x v="1"/>
    <x v="2"/>
    <x v="24"/>
    <n v="0"/>
    <x v="24"/>
    <x v="0"/>
  </r>
  <r>
    <x v="3"/>
    <x v="11"/>
    <x v="1"/>
    <x v="1"/>
    <x v="2"/>
    <x v="25"/>
    <n v="0"/>
    <x v="25"/>
    <x v="0"/>
  </r>
  <r>
    <x v="3"/>
    <x v="11"/>
    <x v="1"/>
    <x v="1"/>
    <x v="2"/>
    <x v="26"/>
    <n v="0"/>
    <x v="26"/>
    <x v="0"/>
  </r>
  <r>
    <x v="3"/>
    <x v="11"/>
    <x v="1"/>
    <x v="1"/>
    <x v="2"/>
    <x v="27"/>
    <n v="0"/>
    <x v="27"/>
    <x v="0"/>
  </r>
  <r>
    <x v="3"/>
    <x v="11"/>
    <x v="1"/>
    <x v="1"/>
    <x v="2"/>
    <x v="28"/>
    <n v="0"/>
    <x v="28"/>
    <x v="0"/>
  </r>
  <r>
    <x v="3"/>
    <x v="11"/>
    <x v="1"/>
    <x v="1"/>
    <x v="2"/>
    <x v="29"/>
    <n v="0"/>
    <x v="29"/>
    <x v="0"/>
  </r>
  <r>
    <x v="3"/>
    <x v="11"/>
    <x v="1"/>
    <x v="1"/>
    <x v="2"/>
    <x v="30"/>
    <n v="0"/>
    <x v="30"/>
    <x v="1"/>
  </r>
  <r>
    <x v="3"/>
    <x v="11"/>
    <x v="1"/>
    <x v="1"/>
    <x v="2"/>
    <x v="31"/>
    <n v="0"/>
    <x v="31"/>
    <x v="1"/>
  </r>
  <r>
    <x v="3"/>
    <x v="11"/>
    <x v="1"/>
    <x v="1"/>
    <x v="2"/>
    <x v="32"/>
    <n v="0"/>
    <x v="32"/>
    <x v="1"/>
  </r>
  <r>
    <x v="3"/>
    <x v="11"/>
    <x v="1"/>
    <x v="1"/>
    <x v="2"/>
    <x v="33"/>
    <n v="0"/>
    <x v="33"/>
    <x v="1"/>
  </r>
  <r>
    <x v="3"/>
    <x v="11"/>
    <x v="1"/>
    <x v="1"/>
    <x v="2"/>
    <x v="34"/>
    <n v="0"/>
    <x v="34"/>
    <x v="0"/>
  </r>
  <r>
    <x v="3"/>
    <x v="11"/>
    <x v="1"/>
    <x v="1"/>
    <x v="2"/>
    <x v="35"/>
    <n v="0"/>
    <x v="35"/>
    <x v="0"/>
  </r>
  <r>
    <x v="3"/>
    <x v="11"/>
    <x v="1"/>
    <x v="1"/>
    <x v="2"/>
    <x v="36"/>
    <n v="0"/>
    <x v="36"/>
    <x v="0"/>
  </r>
  <r>
    <x v="3"/>
    <x v="11"/>
    <x v="1"/>
    <x v="1"/>
    <x v="2"/>
    <x v="37"/>
    <n v="0"/>
    <x v="37"/>
    <x v="0"/>
  </r>
  <r>
    <x v="3"/>
    <x v="11"/>
    <x v="1"/>
    <x v="2"/>
    <x v="0"/>
    <x v="0"/>
    <n v="0"/>
    <x v="0"/>
    <x v="0"/>
  </r>
  <r>
    <x v="3"/>
    <x v="11"/>
    <x v="1"/>
    <x v="2"/>
    <x v="0"/>
    <x v="1"/>
    <n v="0"/>
    <x v="1"/>
    <x v="0"/>
  </r>
  <r>
    <x v="3"/>
    <x v="11"/>
    <x v="1"/>
    <x v="2"/>
    <x v="0"/>
    <x v="2"/>
    <n v="0"/>
    <x v="2"/>
    <x v="0"/>
  </r>
  <r>
    <x v="3"/>
    <x v="11"/>
    <x v="1"/>
    <x v="2"/>
    <x v="0"/>
    <x v="3"/>
    <n v="0"/>
    <x v="3"/>
    <x v="0"/>
  </r>
  <r>
    <x v="3"/>
    <x v="11"/>
    <x v="1"/>
    <x v="2"/>
    <x v="0"/>
    <x v="4"/>
    <n v="0"/>
    <x v="4"/>
    <x v="0"/>
  </r>
  <r>
    <x v="3"/>
    <x v="11"/>
    <x v="1"/>
    <x v="2"/>
    <x v="0"/>
    <x v="5"/>
    <n v="0"/>
    <x v="5"/>
    <x v="1"/>
  </r>
  <r>
    <x v="3"/>
    <x v="11"/>
    <x v="1"/>
    <x v="2"/>
    <x v="0"/>
    <x v="6"/>
    <n v="0"/>
    <x v="6"/>
    <x v="1"/>
  </r>
  <r>
    <x v="3"/>
    <x v="11"/>
    <x v="1"/>
    <x v="2"/>
    <x v="0"/>
    <x v="7"/>
    <n v="0"/>
    <x v="7"/>
    <x v="1"/>
  </r>
  <r>
    <x v="3"/>
    <x v="11"/>
    <x v="1"/>
    <x v="2"/>
    <x v="0"/>
    <x v="8"/>
    <n v="0"/>
    <x v="8"/>
    <x v="1"/>
  </r>
  <r>
    <x v="3"/>
    <x v="11"/>
    <x v="1"/>
    <x v="2"/>
    <x v="0"/>
    <x v="9"/>
    <n v="0"/>
    <x v="9"/>
    <x v="0"/>
  </r>
  <r>
    <x v="3"/>
    <x v="11"/>
    <x v="1"/>
    <x v="2"/>
    <x v="0"/>
    <x v="10"/>
    <n v="0"/>
    <x v="10"/>
    <x v="0"/>
  </r>
  <r>
    <x v="3"/>
    <x v="11"/>
    <x v="1"/>
    <x v="2"/>
    <x v="0"/>
    <x v="11"/>
    <n v="2"/>
    <x v="11"/>
    <x v="0"/>
  </r>
  <r>
    <x v="3"/>
    <x v="11"/>
    <x v="1"/>
    <x v="2"/>
    <x v="1"/>
    <x v="12"/>
    <n v="0"/>
    <x v="12"/>
    <x v="0"/>
  </r>
  <r>
    <x v="3"/>
    <x v="11"/>
    <x v="1"/>
    <x v="2"/>
    <x v="1"/>
    <x v="13"/>
    <n v="2"/>
    <x v="13"/>
    <x v="0"/>
  </r>
  <r>
    <x v="3"/>
    <x v="11"/>
    <x v="1"/>
    <x v="2"/>
    <x v="1"/>
    <x v="14"/>
    <n v="1"/>
    <x v="14"/>
    <x v="0"/>
  </r>
  <r>
    <x v="3"/>
    <x v="11"/>
    <x v="1"/>
    <x v="2"/>
    <x v="1"/>
    <x v="15"/>
    <n v="0"/>
    <x v="15"/>
    <x v="0"/>
  </r>
  <r>
    <x v="3"/>
    <x v="11"/>
    <x v="1"/>
    <x v="2"/>
    <x v="1"/>
    <x v="16"/>
    <n v="0"/>
    <x v="16"/>
    <x v="0"/>
  </r>
  <r>
    <x v="3"/>
    <x v="11"/>
    <x v="1"/>
    <x v="2"/>
    <x v="1"/>
    <x v="17"/>
    <n v="1"/>
    <x v="17"/>
    <x v="0"/>
  </r>
  <r>
    <x v="3"/>
    <x v="11"/>
    <x v="1"/>
    <x v="2"/>
    <x v="1"/>
    <x v="18"/>
    <n v="1"/>
    <x v="18"/>
    <x v="1"/>
  </r>
  <r>
    <x v="3"/>
    <x v="11"/>
    <x v="1"/>
    <x v="2"/>
    <x v="1"/>
    <x v="19"/>
    <n v="0"/>
    <x v="19"/>
    <x v="1"/>
  </r>
  <r>
    <x v="3"/>
    <x v="11"/>
    <x v="1"/>
    <x v="2"/>
    <x v="1"/>
    <x v="20"/>
    <n v="0"/>
    <x v="20"/>
    <x v="1"/>
  </r>
  <r>
    <x v="3"/>
    <x v="11"/>
    <x v="1"/>
    <x v="2"/>
    <x v="1"/>
    <x v="21"/>
    <n v="0"/>
    <x v="21"/>
    <x v="1"/>
  </r>
  <r>
    <x v="3"/>
    <x v="11"/>
    <x v="1"/>
    <x v="2"/>
    <x v="1"/>
    <x v="22"/>
    <n v="0"/>
    <x v="22"/>
    <x v="0"/>
  </r>
  <r>
    <x v="3"/>
    <x v="11"/>
    <x v="1"/>
    <x v="2"/>
    <x v="1"/>
    <x v="23"/>
    <n v="0"/>
    <x v="23"/>
    <x v="0"/>
  </r>
  <r>
    <x v="3"/>
    <x v="11"/>
    <x v="1"/>
    <x v="2"/>
    <x v="2"/>
    <x v="24"/>
    <n v="2"/>
    <x v="24"/>
    <x v="0"/>
  </r>
  <r>
    <x v="3"/>
    <x v="11"/>
    <x v="1"/>
    <x v="2"/>
    <x v="2"/>
    <x v="25"/>
    <n v="0"/>
    <x v="25"/>
    <x v="0"/>
  </r>
  <r>
    <x v="3"/>
    <x v="11"/>
    <x v="1"/>
    <x v="2"/>
    <x v="2"/>
    <x v="26"/>
    <n v="1"/>
    <x v="26"/>
    <x v="0"/>
  </r>
  <r>
    <x v="3"/>
    <x v="11"/>
    <x v="1"/>
    <x v="2"/>
    <x v="2"/>
    <x v="27"/>
    <n v="0"/>
    <x v="27"/>
    <x v="0"/>
  </r>
  <r>
    <x v="3"/>
    <x v="11"/>
    <x v="1"/>
    <x v="2"/>
    <x v="2"/>
    <x v="28"/>
    <n v="0"/>
    <x v="28"/>
    <x v="0"/>
  </r>
  <r>
    <x v="3"/>
    <x v="11"/>
    <x v="1"/>
    <x v="2"/>
    <x v="2"/>
    <x v="29"/>
    <n v="0"/>
    <x v="29"/>
    <x v="0"/>
  </r>
  <r>
    <x v="3"/>
    <x v="11"/>
    <x v="1"/>
    <x v="2"/>
    <x v="2"/>
    <x v="30"/>
    <n v="0"/>
    <x v="30"/>
    <x v="1"/>
  </r>
  <r>
    <x v="3"/>
    <x v="11"/>
    <x v="1"/>
    <x v="2"/>
    <x v="2"/>
    <x v="31"/>
    <n v="0"/>
    <x v="31"/>
    <x v="1"/>
  </r>
  <r>
    <x v="3"/>
    <x v="11"/>
    <x v="1"/>
    <x v="2"/>
    <x v="2"/>
    <x v="32"/>
    <n v="0"/>
    <x v="32"/>
    <x v="1"/>
  </r>
  <r>
    <x v="3"/>
    <x v="11"/>
    <x v="1"/>
    <x v="2"/>
    <x v="2"/>
    <x v="33"/>
    <n v="0"/>
    <x v="33"/>
    <x v="1"/>
  </r>
  <r>
    <x v="3"/>
    <x v="11"/>
    <x v="1"/>
    <x v="2"/>
    <x v="2"/>
    <x v="34"/>
    <n v="0"/>
    <x v="34"/>
    <x v="0"/>
  </r>
  <r>
    <x v="3"/>
    <x v="11"/>
    <x v="1"/>
    <x v="2"/>
    <x v="2"/>
    <x v="35"/>
    <n v="0"/>
    <x v="35"/>
    <x v="0"/>
  </r>
  <r>
    <x v="3"/>
    <x v="11"/>
    <x v="1"/>
    <x v="2"/>
    <x v="2"/>
    <x v="36"/>
    <n v="0"/>
    <x v="36"/>
    <x v="0"/>
  </r>
  <r>
    <x v="3"/>
    <x v="11"/>
    <x v="1"/>
    <x v="2"/>
    <x v="2"/>
    <x v="37"/>
    <n v="0"/>
    <x v="37"/>
    <x v="0"/>
  </r>
  <r>
    <x v="3"/>
    <x v="11"/>
    <x v="1"/>
    <x v="3"/>
    <x v="0"/>
    <x v="0"/>
    <n v="0"/>
    <x v="0"/>
    <x v="0"/>
  </r>
  <r>
    <x v="3"/>
    <x v="11"/>
    <x v="1"/>
    <x v="3"/>
    <x v="0"/>
    <x v="1"/>
    <n v="0"/>
    <x v="1"/>
    <x v="0"/>
  </r>
  <r>
    <x v="3"/>
    <x v="11"/>
    <x v="1"/>
    <x v="3"/>
    <x v="0"/>
    <x v="2"/>
    <n v="0"/>
    <x v="2"/>
    <x v="0"/>
  </r>
  <r>
    <x v="3"/>
    <x v="11"/>
    <x v="1"/>
    <x v="3"/>
    <x v="0"/>
    <x v="3"/>
    <n v="0"/>
    <x v="3"/>
    <x v="0"/>
  </r>
  <r>
    <x v="3"/>
    <x v="11"/>
    <x v="1"/>
    <x v="3"/>
    <x v="0"/>
    <x v="4"/>
    <n v="0"/>
    <x v="4"/>
    <x v="0"/>
  </r>
  <r>
    <x v="3"/>
    <x v="11"/>
    <x v="1"/>
    <x v="3"/>
    <x v="0"/>
    <x v="5"/>
    <n v="0"/>
    <x v="5"/>
    <x v="1"/>
  </r>
  <r>
    <x v="3"/>
    <x v="11"/>
    <x v="1"/>
    <x v="3"/>
    <x v="0"/>
    <x v="6"/>
    <n v="0"/>
    <x v="6"/>
    <x v="1"/>
  </r>
  <r>
    <x v="3"/>
    <x v="11"/>
    <x v="1"/>
    <x v="3"/>
    <x v="0"/>
    <x v="7"/>
    <n v="0"/>
    <x v="7"/>
    <x v="1"/>
  </r>
  <r>
    <x v="3"/>
    <x v="11"/>
    <x v="1"/>
    <x v="3"/>
    <x v="0"/>
    <x v="8"/>
    <n v="0"/>
    <x v="8"/>
    <x v="1"/>
  </r>
  <r>
    <x v="3"/>
    <x v="11"/>
    <x v="1"/>
    <x v="3"/>
    <x v="0"/>
    <x v="9"/>
    <n v="0"/>
    <x v="9"/>
    <x v="0"/>
  </r>
  <r>
    <x v="3"/>
    <x v="11"/>
    <x v="1"/>
    <x v="3"/>
    <x v="0"/>
    <x v="10"/>
    <n v="0"/>
    <x v="10"/>
    <x v="0"/>
  </r>
  <r>
    <x v="3"/>
    <x v="11"/>
    <x v="1"/>
    <x v="3"/>
    <x v="0"/>
    <x v="11"/>
    <n v="0"/>
    <x v="11"/>
    <x v="0"/>
  </r>
  <r>
    <x v="3"/>
    <x v="11"/>
    <x v="1"/>
    <x v="3"/>
    <x v="1"/>
    <x v="12"/>
    <n v="0"/>
    <x v="12"/>
    <x v="0"/>
  </r>
  <r>
    <x v="3"/>
    <x v="11"/>
    <x v="1"/>
    <x v="3"/>
    <x v="1"/>
    <x v="13"/>
    <n v="0"/>
    <x v="13"/>
    <x v="0"/>
  </r>
  <r>
    <x v="3"/>
    <x v="11"/>
    <x v="1"/>
    <x v="3"/>
    <x v="1"/>
    <x v="14"/>
    <n v="0"/>
    <x v="14"/>
    <x v="0"/>
  </r>
  <r>
    <x v="3"/>
    <x v="11"/>
    <x v="1"/>
    <x v="3"/>
    <x v="1"/>
    <x v="15"/>
    <n v="0"/>
    <x v="15"/>
    <x v="0"/>
  </r>
  <r>
    <x v="3"/>
    <x v="11"/>
    <x v="1"/>
    <x v="3"/>
    <x v="1"/>
    <x v="16"/>
    <n v="0"/>
    <x v="16"/>
    <x v="0"/>
  </r>
  <r>
    <x v="3"/>
    <x v="11"/>
    <x v="1"/>
    <x v="3"/>
    <x v="1"/>
    <x v="17"/>
    <n v="0"/>
    <x v="17"/>
    <x v="0"/>
  </r>
  <r>
    <x v="3"/>
    <x v="11"/>
    <x v="1"/>
    <x v="3"/>
    <x v="1"/>
    <x v="18"/>
    <n v="0"/>
    <x v="18"/>
    <x v="1"/>
  </r>
  <r>
    <x v="3"/>
    <x v="11"/>
    <x v="1"/>
    <x v="3"/>
    <x v="1"/>
    <x v="19"/>
    <n v="0"/>
    <x v="19"/>
    <x v="1"/>
  </r>
  <r>
    <x v="3"/>
    <x v="11"/>
    <x v="1"/>
    <x v="3"/>
    <x v="1"/>
    <x v="20"/>
    <n v="0"/>
    <x v="20"/>
    <x v="1"/>
  </r>
  <r>
    <x v="3"/>
    <x v="11"/>
    <x v="1"/>
    <x v="3"/>
    <x v="1"/>
    <x v="21"/>
    <n v="0"/>
    <x v="21"/>
    <x v="1"/>
  </r>
  <r>
    <x v="3"/>
    <x v="11"/>
    <x v="1"/>
    <x v="3"/>
    <x v="1"/>
    <x v="22"/>
    <n v="0"/>
    <x v="22"/>
    <x v="0"/>
  </r>
  <r>
    <x v="3"/>
    <x v="11"/>
    <x v="1"/>
    <x v="3"/>
    <x v="1"/>
    <x v="23"/>
    <n v="0"/>
    <x v="23"/>
    <x v="0"/>
  </r>
  <r>
    <x v="3"/>
    <x v="11"/>
    <x v="1"/>
    <x v="3"/>
    <x v="2"/>
    <x v="24"/>
    <n v="0"/>
    <x v="24"/>
    <x v="0"/>
  </r>
  <r>
    <x v="3"/>
    <x v="11"/>
    <x v="1"/>
    <x v="3"/>
    <x v="2"/>
    <x v="25"/>
    <n v="0"/>
    <x v="25"/>
    <x v="0"/>
  </r>
  <r>
    <x v="3"/>
    <x v="11"/>
    <x v="1"/>
    <x v="3"/>
    <x v="2"/>
    <x v="26"/>
    <n v="0"/>
    <x v="26"/>
    <x v="0"/>
  </r>
  <r>
    <x v="3"/>
    <x v="11"/>
    <x v="1"/>
    <x v="3"/>
    <x v="2"/>
    <x v="27"/>
    <n v="0"/>
    <x v="27"/>
    <x v="0"/>
  </r>
  <r>
    <x v="3"/>
    <x v="11"/>
    <x v="1"/>
    <x v="3"/>
    <x v="2"/>
    <x v="28"/>
    <n v="0"/>
    <x v="28"/>
    <x v="0"/>
  </r>
  <r>
    <x v="3"/>
    <x v="11"/>
    <x v="1"/>
    <x v="3"/>
    <x v="2"/>
    <x v="29"/>
    <n v="0"/>
    <x v="29"/>
    <x v="0"/>
  </r>
  <r>
    <x v="3"/>
    <x v="11"/>
    <x v="1"/>
    <x v="3"/>
    <x v="2"/>
    <x v="30"/>
    <n v="0"/>
    <x v="30"/>
    <x v="1"/>
  </r>
  <r>
    <x v="3"/>
    <x v="11"/>
    <x v="1"/>
    <x v="3"/>
    <x v="2"/>
    <x v="31"/>
    <n v="0"/>
    <x v="31"/>
    <x v="1"/>
  </r>
  <r>
    <x v="3"/>
    <x v="11"/>
    <x v="1"/>
    <x v="3"/>
    <x v="2"/>
    <x v="32"/>
    <n v="0"/>
    <x v="32"/>
    <x v="1"/>
  </r>
  <r>
    <x v="3"/>
    <x v="11"/>
    <x v="1"/>
    <x v="3"/>
    <x v="2"/>
    <x v="33"/>
    <n v="0"/>
    <x v="33"/>
    <x v="1"/>
  </r>
  <r>
    <x v="3"/>
    <x v="11"/>
    <x v="1"/>
    <x v="3"/>
    <x v="2"/>
    <x v="34"/>
    <n v="0"/>
    <x v="34"/>
    <x v="0"/>
  </r>
  <r>
    <x v="3"/>
    <x v="11"/>
    <x v="1"/>
    <x v="3"/>
    <x v="2"/>
    <x v="35"/>
    <n v="0"/>
    <x v="35"/>
    <x v="0"/>
  </r>
  <r>
    <x v="3"/>
    <x v="11"/>
    <x v="1"/>
    <x v="3"/>
    <x v="2"/>
    <x v="36"/>
    <n v="0"/>
    <x v="36"/>
    <x v="0"/>
  </r>
  <r>
    <x v="3"/>
    <x v="11"/>
    <x v="1"/>
    <x v="3"/>
    <x v="2"/>
    <x v="37"/>
    <n v="0"/>
    <x v="37"/>
    <x v="0"/>
  </r>
  <r>
    <x v="3"/>
    <x v="11"/>
    <x v="1"/>
    <x v="4"/>
    <x v="0"/>
    <x v="0"/>
    <n v="0"/>
    <x v="0"/>
    <x v="0"/>
  </r>
  <r>
    <x v="3"/>
    <x v="11"/>
    <x v="1"/>
    <x v="4"/>
    <x v="0"/>
    <x v="1"/>
    <n v="0"/>
    <x v="1"/>
    <x v="0"/>
  </r>
  <r>
    <x v="3"/>
    <x v="11"/>
    <x v="1"/>
    <x v="4"/>
    <x v="0"/>
    <x v="2"/>
    <n v="0"/>
    <x v="2"/>
    <x v="0"/>
  </r>
  <r>
    <x v="3"/>
    <x v="11"/>
    <x v="1"/>
    <x v="4"/>
    <x v="0"/>
    <x v="3"/>
    <n v="0"/>
    <x v="3"/>
    <x v="0"/>
  </r>
  <r>
    <x v="3"/>
    <x v="11"/>
    <x v="1"/>
    <x v="4"/>
    <x v="0"/>
    <x v="4"/>
    <n v="0"/>
    <x v="4"/>
    <x v="0"/>
  </r>
  <r>
    <x v="3"/>
    <x v="11"/>
    <x v="1"/>
    <x v="4"/>
    <x v="0"/>
    <x v="5"/>
    <n v="0"/>
    <x v="5"/>
    <x v="1"/>
  </r>
  <r>
    <x v="3"/>
    <x v="11"/>
    <x v="1"/>
    <x v="4"/>
    <x v="0"/>
    <x v="6"/>
    <n v="0"/>
    <x v="6"/>
    <x v="1"/>
  </r>
  <r>
    <x v="3"/>
    <x v="11"/>
    <x v="1"/>
    <x v="4"/>
    <x v="0"/>
    <x v="7"/>
    <n v="0"/>
    <x v="7"/>
    <x v="1"/>
  </r>
  <r>
    <x v="3"/>
    <x v="11"/>
    <x v="1"/>
    <x v="4"/>
    <x v="0"/>
    <x v="8"/>
    <n v="0"/>
    <x v="8"/>
    <x v="1"/>
  </r>
  <r>
    <x v="3"/>
    <x v="11"/>
    <x v="1"/>
    <x v="4"/>
    <x v="0"/>
    <x v="9"/>
    <n v="0"/>
    <x v="9"/>
    <x v="0"/>
  </r>
  <r>
    <x v="3"/>
    <x v="11"/>
    <x v="1"/>
    <x v="4"/>
    <x v="0"/>
    <x v="10"/>
    <n v="0"/>
    <x v="10"/>
    <x v="0"/>
  </r>
  <r>
    <x v="3"/>
    <x v="11"/>
    <x v="1"/>
    <x v="4"/>
    <x v="0"/>
    <x v="11"/>
    <n v="0"/>
    <x v="11"/>
    <x v="0"/>
  </r>
  <r>
    <x v="3"/>
    <x v="11"/>
    <x v="1"/>
    <x v="4"/>
    <x v="1"/>
    <x v="12"/>
    <n v="0"/>
    <x v="12"/>
    <x v="0"/>
  </r>
  <r>
    <x v="3"/>
    <x v="11"/>
    <x v="1"/>
    <x v="4"/>
    <x v="1"/>
    <x v="13"/>
    <n v="0"/>
    <x v="13"/>
    <x v="0"/>
  </r>
  <r>
    <x v="3"/>
    <x v="11"/>
    <x v="1"/>
    <x v="4"/>
    <x v="1"/>
    <x v="14"/>
    <n v="0"/>
    <x v="14"/>
    <x v="0"/>
  </r>
  <r>
    <x v="3"/>
    <x v="11"/>
    <x v="1"/>
    <x v="4"/>
    <x v="1"/>
    <x v="15"/>
    <n v="0"/>
    <x v="15"/>
    <x v="0"/>
  </r>
  <r>
    <x v="3"/>
    <x v="11"/>
    <x v="1"/>
    <x v="4"/>
    <x v="1"/>
    <x v="16"/>
    <n v="0"/>
    <x v="16"/>
    <x v="0"/>
  </r>
  <r>
    <x v="3"/>
    <x v="11"/>
    <x v="1"/>
    <x v="4"/>
    <x v="1"/>
    <x v="17"/>
    <n v="0"/>
    <x v="17"/>
    <x v="0"/>
  </r>
  <r>
    <x v="3"/>
    <x v="11"/>
    <x v="1"/>
    <x v="4"/>
    <x v="1"/>
    <x v="18"/>
    <n v="0"/>
    <x v="18"/>
    <x v="1"/>
  </r>
  <r>
    <x v="3"/>
    <x v="11"/>
    <x v="1"/>
    <x v="4"/>
    <x v="1"/>
    <x v="19"/>
    <n v="0"/>
    <x v="19"/>
    <x v="1"/>
  </r>
  <r>
    <x v="3"/>
    <x v="11"/>
    <x v="1"/>
    <x v="4"/>
    <x v="1"/>
    <x v="20"/>
    <n v="0"/>
    <x v="20"/>
    <x v="1"/>
  </r>
  <r>
    <x v="3"/>
    <x v="11"/>
    <x v="1"/>
    <x v="4"/>
    <x v="1"/>
    <x v="21"/>
    <n v="0"/>
    <x v="21"/>
    <x v="1"/>
  </r>
  <r>
    <x v="3"/>
    <x v="11"/>
    <x v="1"/>
    <x v="4"/>
    <x v="1"/>
    <x v="22"/>
    <n v="0"/>
    <x v="22"/>
    <x v="0"/>
  </r>
  <r>
    <x v="3"/>
    <x v="11"/>
    <x v="1"/>
    <x v="4"/>
    <x v="1"/>
    <x v="23"/>
    <n v="0"/>
    <x v="23"/>
    <x v="0"/>
  </r>
  <r>
    <x v="3"/>
    <x v="11"/>
    <x v="1"/>
    <x v="4"/>
    <x v="2"/>
    <x v="24"/>
    <n v="0"/>
    <x v="24"/>
    <x v="0"/>
  </r>
  <r>
    <x v="3"/>
    <x v="11"/>
    <x v="1"/>
    <x v="4"/>
    <x v="2"/>
    <x v="25"/>
    <n v="0"/>
    <x v="25"/>
    <x v="0"/>
  </r>
  <r>
    <x v="3"/>
    <x v="11"/>
    <x v="1"/>
    <x v="4"/>
    <x v="2"/>
    <x v="26"/>
    <n v="0"/>
    <x v="26"/>
    <x v="0"/>
  </r>
  <r>
    <x v="3"/>
    <x v="11"/>
    <x v="1"/>
    <x v="4"/>
    <x v="2"/>
    <x v="27"/>
    <n v="0"/>
    <x v="27"/>
    <x v="0"/>
  </r>
  <r>
    <x v="3"/>
    <x v="11"/>
    <x v="1"/>
    <x v="4"/>
    <x v="2"/>
    <x v="28"/>
    <n v="0"/>
    <x v="28"/>
    <x v="0"/>
  </r>
  <r>
    <x v="3"/>
    <x v="11"/>
    <x v="1"/>
    <x v="4"/>
    <x v="2"/>
    <x v="29"/>
    <n v="0"/>
    <x v="29"/>
    <x v="0"/>
  </r>
  <r>
    <x v="3"/>
    <x v="11"/>
    <x v="1"/>
    <x v="4"/>
    <x v="2"/>
    <x v="30"/>
    <n v="0"/>
    <x v="30"/>
    <x v="1"/>
  </r>
  <r>
    <x v="3"/>
    <x v="11"/>
    <x v="1"/>
    <x v="4"/>
    <x v="2"/>
    <x v="31"/>
    <n v="0"/>
    <x v="31"/>
    <x v="1"/>
  </r>
  <r>
    <x v="3"/>
    <x v="11"/>
    <x v="1"/>
    <x v="4"/>
    <x v="2"/>
    <x v="32"/>
    <n v="0"/>
    <x v="32"/>
    <x v="1"/>
  </r>
  <r>
    <x v="3"/>
    <x v="11"/>
    <x v="1"/>
    <x v="4"/>
    <x v="2"/>
    <x v="33"/>
    <n v="0"/>
    <x v="33"/>
    <x v="1"/>
  </r>
  <r>
    <x v="3"/>
    <x v="11"/>
    <x v="1"/>
    <x v="4"/>
    <x v="2"/>
    <x v="34"/>
    <n v="0"/>
    <x v="34"/>
    <x v="0"/>
  </r>
  <r>
    <x v="3"/>
    <x v="11"/>
    <x v="1"/>
    <x v="4"/>
    <x v="2"/>
    <x v="35"/>
    <n v="0"/>
    <x v="35"/>
    <x v="0"/>
  </r>
  <r>
    <x v="3"/>
    <x v="11"/>
    <x v="1"/>
    <x v="4"/>
    <x v="2"/>
    <x v="36"/>
    <n v="0"/>
    <x v="36"/>
    <x v="0"/>
  </r>
  <r>
    <x v="3"/>
    <x v="11"/>
    <x v="1"/>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CA54"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77">
    <i>
      <x v="3"/>
      <x v="8"/>
      <x v="4"/>
    </i>
    <i r="2">
      <x v="5"/>
    </i>
    <i r="2">
      <x v="6"/>
    </i>
    <i r="2">
      <x v="7"/>
    </i>
    <i r="2">
      <x v="8"/>
    </i>
    <i t="default" r="1">
      <x v="8"/>
    </i>
    <i r="1">
      <x v="9"/>
      <x v="4"/>
    </i>
    <i r="2">
      <x v="5"/>
    </i>
    <i r="2">
      <x v="6"/>
    </i>
    <i r="2">
      <x v="7"/>
    </i>
    <i r="2">
      <x v="8"/>
    </i>
    <i t="default" r="1">
      <x v="9"/>
    </i>
    <i r="1">
      <x v="10"/>
      <x v="4"/>
    </i>
    <i r="2">
      <x v="5"/>
    </i>
    <i r="2">
      <x v="6"/>
    </i>
    <i r="2">
      <x v="7"/>
    </i>
    <i r="2">
      <x v="8"/>
    </i>
    <i t="default" r="1">
      <x v="10"/>
    </i>
    <i t="default">
      <x v="3"/>
    </i>
    <i>
      <x v="4"/>
      <x v="11"/>
      <x v="4"/>
    </i>
    <i r="2">
      <x v="5"/>
    </i>
    <i r="2">
      <x v="6"/>
    </i>
    <i r="2">
      <x v="7"/>
    </i>
    <i r="2">
      <x v="8"/>
    </i>
    <i t="default" r="1">
      <x v="11"/>
    </i>
    <i r="1">
      <x v="12"/>
      <x v="4"/>
    </i>
    <i r="2">
      <x v="5"/>
    </i>
    <i r="2">
      <x v="6"/>
    </i>
    <i r="2">
      <x v="7"/>
    </i>
    <i r="2">
      <x v="8"/>
    </i>
    <i t="default" r="1">
      <x v="12"/>
    </i>
    <i r="1">
      <x v="13"/>
      <x v="4"/>
    </i>
    <i r="2">
      <x v="5"/>
    </i>
    <i r="2">
      <x v="6"/>
    </i>
    <i r="2">
      <x v="7"/>
    </i>
    <i r="2">
      <x v="8"/>
    </i>
    <i t="default" r="1">
      <x v="13"/>
    </i>
    <i t="default">
      <x v="4"/>
    </i>
    <i>
      <x v="5"/>
      <x v="14"/>
      <x v="4"/>
    </i>
    <i r="2">
      <x v="5"/>
    </i>
    <i r="2">
      <x v="6"/>
    </i>
    <i r="2">
      <x v="7"/>
    </i>
    <i r="2">
      <x v="8"/>
    </i>
    <i t="default" r="1">
      <x v="14"/>
    </i>
    <i r="1">
      <x v="15"/>
      <x v="4"/>
    </i>
    <i r="2">
      <x v="5"/>
    </i>
    <i r="2">
      <x v="6"/>
    </i>
    <i r="2">
      <x v="7"/>
    </i>
    <i r="2">
      <x v="8"/>
    </i>
    <i t="default" r="1">
      <x v="15"/>
    </i>
    <i r="1">
      <x v="16"/>
      <x v="4"/>
    </i>
    <i r="2">
      <x v="5"/>
    </i>
    <i r="2">
      <x v="6"/>
    </i>
    <i r="2">
      <x v="7"/>
    </i>
    <i r="2">
      <x v="8"/>
    </i>
    <i t="default" r="1">
      <x v="16"/>
    </i>
    <i t="default">
      <x v="5"/>
    </i>
    <i>
      <x v="6"/>
      <x v="17"/>
      <x v="4"/>
    </i>
    <i r="2">
      <x v="5"/>
    </i>
    <i r="2">
      <x v="6"/>
    </i>
    <i r="2">
      <x v="7"/>
    </i>
    <i r="2">
      <x v="8"/>
    </i>
    <i t="default" r="1">
      <x v="17"/>
    </i>
    <i r="1">
      <x v="18"/>
      <x v="4"/>
    </i>
    <i r="2">
      <x v="5"/>
    </i>
    <i r="2">
      <x v="6"/>
    </i>
    <i r="2">
      <x v="7"/>
    </i>
    <i r="2">
      <x v="8"/>
    </i>
    <i t="default" r="1">
      <x v="18"/>
    </i>
    <i r="1">
      <x v="19"/>
      <x v="4"/>
    </i>
    <i r="2">
      <x v="5"/>
    </i>
    <i r="2">
      <x v="6"/>
    </i>
    <i r="2">
      <x v="7"/>
    </i>
    <i r="2">
      <x v="8"/>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8"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281" totalsRowShown="0">
  <autoFilter ref="A1:I22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28" sqref="I2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88</v>
      </c>
      <c r="E9" t="s">
        <v>17</v>
      </c>
      <c r="F9" t="s">
        <v>6</v>
      </c>
      <c r="H9" t="s">
        <v>35</v>
      </c>
      <c r="I9" s="1">
        <v>15</v>
      </c>
      <c r="J9" t="s">
        <v>34</v>
      </c>
    </row>
    <row r="10" spans="2:12" x14ac:dyDescent="0.25">
      <c r="B10" t="s">
        <v>1</v>
      </c>
      <c r="C10" s="1" t="s">
        <v>87</v>
      </c>
      <c r="D10">
        <v>1</v>
      </c>
      <c r="E10" s="1" t="s">
        <v>89</v>
      </c>
      <c r="F10" s="1"/>
    </row>
    <row r="11" spans="2:12" x14ac:dyDescent="0.25">
      <c r="B11" t="s">
        <v>2</v>
      </c>
      <c r="C11" s="23">
        <v>44712</v>
      </c>
      <c r="D11">
        <v>2</v>
      </c>
      <c r="E11" s="1" t="s">
        <v>90</v>
      </c>
      <c r="F11" s="1"/>
      <c r="I11" t="s">
        <v>11</v>
      </c>
      <c r="J11" t="s">
        <v>12</v>
      </c>
      <c r="K11" t="s">
        <v>13</v>
      </c>
      <c r="L11" t="s">
        <v>14</v>
      </c>
    </row>
    <row r="12" spans="2:12" x14ac:dyDescent="0.25">
      <c r="D12">
        <v>3</v>
      </c>
      <c r="E12" s="1" t="s">
        <v>91</v>
      </c>
      <c r="F12" s="1"/>
      <c r="H12" t="s">
        <v>8</v>
      </c>
      <c r="I12" s="1" t="s">
        <v>43</v>
      </c>
      <c r="J12" s="1" t="s">
        <v>110</v>
      </c>
      <c r="K12" s="1" t="s">
        <v>44</v>
      </c>
      <c r="L12" s="1"/>
    </row>
    <row r="13" spans="2:12" x14ac:dyDescent="0.25">
      <c r="C13" t="s">
        <v>79</v>
      </c>
      <c r="D13">
        <v>4</v>
      </c>
      <c r="E13" s="1" t="s">
        <v>92</v>
      </c>
      <c r="F13" s="1"/>
      <c r="H13" t="s">
        <v>9</v>
      </c>
      <c r="I13" s="5">
        <v>0.27083333333333331</v>
      </c>
      <c r="J13" s="5">
        <v>0.45833333333333331</v>
      </c>
      <c r="K13" s="5">
        <v>0.625</v>
      </c>
      <c r="L13" s="5"/>
    </row>
    <row r="14" spans="2:12" x14ac:dyDescent="0.25">
      <c r="D14">
        <v>5</v>
      </c>
      <c r="E14" s="1" t="s">
        <v>93</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Deans Avenue North</v>
      </c>
      <c r="C4" s="1" t="str">
        <f>Input!C31</f>
        <v>Riccarton Avenue East</v>
      </c>
      <c r="D4" s="1" t="str">
        <f>Input!C42</f>
        <v>Deans Avenue South</v>
      </c>
      <c r="E4" s="1" t="str">
        <f>Input!C53</f>
        <v>Riccarton Road West</v>
      </c>
      <c r="F4" s="1">
        <f>Input!C64</f>
        <v>0</v>
      </c>
      <c r="G4" s="1">
        <f>Input!C75</f>
        <v>0</v>
      </c>
      <c r="H4" s="1">
        <f>Input!C86</f>
        <v>0</v>
      </c>
    </row>
    <row r="6" spans="2:8" x14ac:dyDescent="0.25">
      <c r="B6" t="s">
        <v>18</v>
      </c>
    </row>
    <row r="8" spans="2:8" x14ac:dyDescent="0.25">
      <c r="B8" s="1" t="str">
        <f>Input!C22</f>
        <v>Left into Riccarton Avenue East</v>
      </c>
      <c r="C8" s="1" t="str">
        <f>Input!C33</f>
        <v>Left into Deans Avenue South</v>
      </c>
      <c r="D8" s="1" t="str">
        <f>Input!C44</f>
        <v>Left into Riccarton Road West</v>
      </c>
      <c r="E8" s="1" t="str">
        <f>Input!C55</f>
        <v>Left into Deans Avenue North</v>
      </c>
      <c r="F8" s="1">
        <f>Input!C66</f>
        <v>0</v>
      </c>
      <c r="G8" s="1">
        <f>Input!C77</f>
        <v>0</v>
      </c>
      <c r="H8" s="1">
        <f>Input!C88</f>
        <v>0</v>
      </c>
    </row>
    <row r="9" spans="2:8" x14ac:dyDescent="0.25">
      <c r="B9" s="1" t="str">
        <f>Input!C23</f>
        <v>Thru to Deans Avenue South</v>
      </c>
      <c r="C9" s="1" t="str">
        <f>Input!C34</f>
        <v>Thru to Riccarton Road West</v>
      </c>
      <c r="D9" s="1" t="str">
        <f>Input!C45</f>
        <v>Thru to Deans Avenue North</v>
      </c>
      <c r="E9" s="1" t="str">
        <f>Input!C56</f>
        <v>Thru to Riccarton Avenue East</v>
      </c>
      <c r="F9" s="1">
        <f>Input!C67</f>
        <v>0</v>
      </c>
      <c r="G9" s="1">
        <f>Input!C78</f>
        <v>0</v>
      </c>
      <c r="H9" s="1">
        <f>Input!C89</f>
        <v>0</v>
      </c>
    </row>
    <row r="10" spans="2:8" x14ac:dyDescent="0.25">
      <c r="B10" s="1" t="str">
        <f>Input!C24</f>
        <v>Right into Riccarton Road West</v>
      </c>
      <c r="C10" s="1" t="str">
        <f>Input!C35</f>
        <v>Right into Deans Avenue North</v>
      </c>
      <c r="D10" s="1" t="str">
        <f>Input!C46</f>
        <v>Right into Riccarton Avenue East</v>
      </c>
      <c r="E10" s="1" t="str">
        <f>Input!C57</f>
        <v>Right into Deans Avenue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Avenue East</v>
      </c>
      <c r="C18" s="1" t="str">
        <f>Input!E33</f>
        <v>Deans Avenue South</v>
      </c>
      <c r="D18" s="1" t="str">
        <f>Input!E44</f>
        <v>Riccarton Road West</v>
      </c>
      <c r="E18" s="1" t="str">
        <f>Input!E55</f>
        <v>Deans Avenue North</v>
      </c>
      <c r="F18" s="1">
        <f>Input!E66</f>
        <v>0</v>
      </c>
      <c r="G18" s="1">
        <f>Input!E77</f>
        <v>0</v>
      </c>
      <c r="H18" s="1">
        <f>Input!E88</f>
        <v>0</v>
      </c>
    </row>
    <row r="19" spans="2:8" x14ac:dyDescent="0.25">
      <c r="B19" s="1" t="str">
        <f>Input!E23</f>
        <v>Deans Avenue South</v>
      </c>
      <c r="C19" s="1" t="str">
        <f>Input!E34</f>
        <v>Riccarton Road West</v>
      </c>
      <c r="D19" s="1" t="str">
        <f>Input!E45</f>
        <v>Deans Avenue North</v>
      </c>
      <c r="E19" s="1" t="str">
        <f>Input!E56</f>
        <v>Riccarton Avenue East</v>
      </c>
      <c r="F19" s="1">
        <f>Input!E67</f>
        <v>0</v>
      </c>
      <c r="G19" s="1">
        <f>Input!E78</f>
        <v>0</v>
      </c>
      <c r="H19" s="1">
        <f>Input!E89</f>
        <v>0</v>
      </c>
    </row>
    <row r="20" spans="2:8" x14ac:dyDescent="0.25">
      <c r="B20" s="1" t="str">
        <f>Input!E24</f>
        <v>Riccarton Road West</v>
      </c>
      <c r="C20" s="1" t="str">
        <f>Input!E35</f>
        <v>Deans Avenue North</v>
      </c>
      <c r="D20" s="1" t="str">
        <f>Input!E46</f>
        <v>Riccarton Avenue East</v>
      </c>
      <c r="E20" s="1" t="str">
        <f>Input!E57</f>
        <v>Deans Avenue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47"/>
  <sheetViews>
    <sheetView zoomScaleNormal="100" workbookViewId="0"/>
  </sheetViews>
  <sheetFormatPr defaultRowHeight="15" x14ac:dyDescent="0.25"/>
  <cols>
    <col min="1" max="1" width="13.7109375" customWidth="1"/>
    <col min="2" max="2" width="7.5703125" customWidth="1"/>
  </cols>
  <sheetData>
    <row r="1" spans="1:62" x14ac:dyDescent="0.25">
      <c r="A1" s="2" t="s">
        <v>111</v>
      </c>
    </row>
    <row r="4" spans="1:62" ht="15.75" thickBot="1" x14ac:dyDescent="0.3"/>
    <row r="5" spans="1:62" x14ac:dyDescent="0.25">
      <c r="C5" s="29" t="s">
        <v>94</v>
      </c>
      <c r="D5" s="16"/>
      <c r="E5" s="16"/>
      <c r="F5" s="16"/>
      <c r="G5" s="18"/>
      <c r="H5" s="26"/>
      <c r="I5" s="16"/>
      <c r="J5" s="16"/>
      <c r="K5" s="16"/>
      <c r="L5" s="18"/>
      <c r="M5" s="26"/>
      <c r="N5" s="16"/>
      <c r="O5" s="16"/>
      <c r="P5" s="16"/>
      <c r="Q5" s="18"/>
      <c r="R5" s="29" t="s">
        <v>95</v>
      </c>
      <c r="S5" s="16"/>
      <c r="T5" s="16"/>
      <c r="U5" s="16"/>
      <c r="V5" s="18"/>
      <c r="W5" s="26"/>
      <c r="X5" s="16"/>
      <c r="Y5" s="16"/>
      <c r="Z5" s="16"/>
      <c r="AA5" s="18"/>
      <c r="AB5" s="26"/>
      <c r="AC5" s="16"/>
      <c r="AD5" s="16"/>
      <c r="AE5" s="16"/>
      <c r="AF5" s="18"/>
      <c r="AG5" s="29" t="s">
        <v>96</v>
      </c>
      <c r="AH5" s="16"/>
      <c r="AI5" s="16"/>
      <c r="AJ5" s="16"/>
      <c r="AK5" s="18"/>
      <c r="AL5" s="26"/>
      <c r="AM5" s="16"/>
      <c r="AN5" s="16"/>
      <c r="AO5" s="16"/>
      <c r="AP5" s="18"/>
      <c r="AQ5" s="26"/>
      <c r="AR5" s="16"/>
      <c r="AS5" s="16"/>
      <c r="AT5" s="16"/>
      <c r="AU5" s="18"/>
      <c r="AV5" s="29" t="s">
        <v>97</v>
      </c>
      <c r="AW5" s="16"/>
      <c r="AX5" s="16"/>
      <c r="AY5" s="16"/>
      <c r="AZ5" s="18"/>
      <c r="BA5" s="26"/>
      <c r="BB5" s="16"/>
      <c r="BC5" s="16"/>
      <c r="BD5" s="16"/>
      <c r="BE5" s="18"/>
      <c r="BF5" s="26"/>
      <c r="BG5" s="16"/>
      <c r="BH5" s="16"/>
      <c r="BI5" s="16"/>
      <c r="BJ5" s="32"/>
    </row>
    <row r="6" spans="1:62" x14ac:dyDescent="0.25">
      <c r="C6" s="30" t="s">
        <v>98</v>
      </c>
      <c r="D6" s="17"/>
      <c r="E6" s="17"/>
      <c r="F6" s="17"/>
      <c r="G6" s="19"/>
      <c r="H6" s="27" t="s">
        <v>99</v>
      </c>
      <c r="I6" s="17"/>
      <c r="J6" s="17"/>
      <c r="K6" s="17"/>
      <c r="L6" s="19"/>
      <c r="M6" s="27" t="s">
        <v>100</v>
      </c>
      <c r="N6" s="17"/>
      <c r="O6" s="17"/>
      <c r="P6" s="17"/>
      <c r="Q6" s="19"/>
      <c r="R6" s="30" t="s">
        <v>101</v>
      </c>
      <c r="S6" s="17"/>
      <c r="T6" s="17"/>
      <c r="U6" s="17"/>
      <c r="V6" s="19"/>
      <c r="W6" s="27" t="s">
        <v>102</v>
      </c>
      <c r="X6" s="17"/>
      <c r="Y6" s="17"/>
      <c r="Z6" s="17"/>
      <c r="AA6" s="19"/>
      <c r="AB6" s="27" t="s">
        <v>103</v>
      </c>
      <c r="AC6" s="17"/>
      <c r="AD6" s="17"/>
      <c r="AE6" s="17"/>
      <c r="AF6" s="19"/>
      <c r="AG6" s="30" t="s">
        <v>104</v>
      </c>
      <c r="AH6" s="17"/>
      <c r="AI6" s="17"/>
      <c r="AJ6" s="17"/>
      <c r="AK6" s="19"/>
      <c r="AL6" s="27" t="s">
        <v>105</v>
      </c>
      <c r="AM6" s="17"/>
      <c r="AN6" s="17"/>
      <c r="AO6" s="17"/>
      <c r="AP6" s="19"/>
      <c r="AQ6" s="27" t="s">
        <v>106</v>
      </c>
      <c r="AR6" s="17"/>
      <c r="AS6" s="17"/>
      <c r="AT6" s="17"/>
      <c r="AU6" s="19"/>
      <c r="AV6" s="30" t="s">
        <v>107</v>
      </c>
      <c r="AW6" s="17"/>
      <c r="AX6" s="17"/>
      <c r="AY6" s="17"/>
      <c r="AZ6" s="19"/>
      <c r="BA6" s="27" t="s">
        <v>108</v>
      </c>
      <c r="BB6" s="17"/>
      <c r="BC6" s="17"/>
      <c r="BD6" s="17"/>
      <c r="BE6" s="19"/>
      <c r="BF6" s="27" t="s">
        <v>109</v>
      </c>
      <c r="BG6" s="17"/>
      <c r="BH6" s="17"/>
      <c r="BI6" s="17"/>
      <c r="BJ6" s="33"/>
    </row>
    <row r="7" spans="1:62" ht="15.75" thickBot="1" x14ac:dyDescent="0.3">
      <c r="A7" s="47" t="s">
        <v>38</v>
      </c>
      <c r="B7" s="47" t="s">
        <v>39</v>
      </c>
      <c r="C7" s="42" t="s">
        <v>89</v>
      </c>
      <c r="D7" s="43" t="s">
        <v>90</v>
      </c>
      <c r="E7" s="43" t="s">
        <v>91</v>
      </c>
      <c r="F7" s="43" t="s">
        <v>92</v>
      </c>
      <c r="G7" s="44" t="s">
        <v>93</v>
      </c>
      <c r="H7" s="45" t="s">
        <v>89</v>
      </c>
      <c r="I7" s="43" t="s">
        <v>90</v>
      </c>
      <c r="J7" s="43" t="s">
        <v>91</v>
      </c>
      <c r="K7" s="43" t="s">
        <v>92</v>
      </c>
      <c r="L7" s="44" t="s">
        <v>93</v>
      </c>
      <c r="M7" s="45" t="s">
        <v>89</v>
      </c>
      <c r="N7" s="43" t="s">
        <v>90</v>
      </c>
      <c r="O7" s="43" t="s">
        <v>91</v>
      </c>
      <c r="P7" s="43" t="s">
        <v>92</v>
      </c>
      <c r="Q7" s="44" t="s">
        <v>93</v>
      </c>
      <c r="R7" s="42" t="s">
        <v>89</v>
      </c>
      <c r="S7" s="43" t="s">
        <v>90</v>
      </c>
      <c r="T7" s="43" t="s">
        <v>91</v>
      </c>
      <c r="U7" s="43" t="s">
        <v>92</v>
      </c>
      <c r="V7" s="44" t="s">
        <v>93</v>
      </c>
      <c r="W7" s="45" t="s">
        <v>89</v>
      </c>
      <c r="X7" s="43" t="s">
        <v>90</v>
      </c>
      <c r="Y7" s="43" t="s">
        <v>91</v>
      </c>
      <c r="Z7" s="43" t="s">
        <v>92</v>
      </c>
      <c r="AA7" s="44" t="s">
        <v>93</v>
      </c>
      <c r="AB7" s="45" t="s">
        <v>89</v>
      </c>
      <c r="AC7" s="43" t="s">
        <v>90</v>
      </c>
      <c r="AD7" s="43" t="s">
        <v>91</v>
      </c>
      <c r="AE7" s="43" t="s">
        <v>92</v>
      </c>
      <c r="AF7" s="44" t="s">
        <v>93</v>
      </c>
      <c r="AG7" s="42" t="s">
        <v>89</v>
      </c>
      <c r="AH7" s="43" t="s">
        <v>90</v>
      </c>
      <c r="AI7" s="43" t="s">
        <v>91</v>
      </c>
      <c r="AJ7" s="43" t="s">
        <v>92</v>
      </c>
      <c r="AK7" s="44" t="s">
        <v>93</v>
      </c>
      <c r="AL7" s="45" t="s">
        <v>89</v>
      </c>
      <c r="AM7" s="43" t="s">
        <v>90</v>
      </c>
      <c r="AN7" s="43" t="s">
        <v>91</v>
      </c>
      <c r="AO7" s="43" t="s">
        <v>92</v>
      </c>
      <c r="AP7" s="44" t="s">
        <v>93</v>
      </c>
      <c r="AQ7" s="45" t="s">
        <v>89</v>
      </c>
      <c r="AR7" s="43" t="s">
        <v>90</v>
      </c>
      <c r="AS7" s="43" t="s">
        <v>91</v>
      </c>
      <c r="AT7" s="43" t="s">
        <v>92</v>
      </c>
      <c r="AU7" s="44" t="s">
        <v>93</v>
      </c>
      <c r="AV7" s="42" t="s">
        <v>89</v>
      </c>
      <c r="AW7" s="43" t="s">
        <v>90</v>
      </c>
      <c r="AX7" s="43" t="s">
        <v>91</v>
      </c>
      <c r="AY7" s="43" t="s">
        <v>92</v>
      </c>
      <c r="AZ7" s="44" t="s">
        <v>93</v>
      </c>
      <c r="BA7" s="45" t="s">
        <v>89</v>
      </c>
      <c r="BB7" s="43" t="s">
        <v>90</v>
      </c>
      <c r="BC7" s="43" t="s">
        <v>91</v>
      </c>
      <c r="BD7" s="43" t="s">
        <v>92</v>
      </c>
      <c r="BE7" s="44" t="s">
        <v>93</v>
      </c>
      <c r="BF7" s="45" t="s">
        <v>89</v>
      </c>
      <c r="BG7" s="43" t="s">
        <v>90</v>
      </c>
      <c r="BH7" s="43" t="s">
        <v>91</v>
      </c>
      <c r="BI7" s="43" t="s">
        <v>92</v>
      </c>
      <c r="BJ7" s="46" t="s">
        <v>93</v>
      </c>
    </row>
    <row r="8" spans="1:62" x14ac:dyDescent="0.25">
      <c r="A8" s="2" t="s">
        <v>43</v>
      </c>
      <c r="B8" s="7">
        <v>0.27083333333333331</v>
      </c>
      <c r="C8" s="31">
        <v>52</v>
      </c>
      <c r="D8">
        <v>0</v>
      </c>
      <c r="E8">
        <v>0</v>
      </c>
      <c r="F8">
        <v>0</v>
      </c>
      <c r="G8">
        <v>1</v>
      </c>
      <c r="H8" s="28">
        <v>63</v>
      </c>
      <c r="I8">
        <v>0</v>
      </c>
      <c r="J8">
        <v>2</v>
      </c>
      <c r="K8">
        <v>0</v>
      </c>
      <c r="L8">
        <v>0</v>
      </c>
      <c r="M8" s="28">
        <v>28</v>
      </c>
      <c r="N8">
        <v>0</v>
      </c>
      <c r="O8">
        <v>0</v>
      </c>
      <c r="P8">
        <v>0</v>
      </c>
      <c r="Q8">
        <v>0</v>
      </c>
      <c r="R8" s="31">
        <v>8</v>
      </c>
      <c r="S8">
        <v>0</v>
      </c>
      <c r="T8">
        <v>1</v>
      </c>
      <c r="U8">
        <v>0</v>
      </c>
      <c r="V8">
        <v>0</v>
      </c>
      <c r="W8" s="28">
        <v>20</v>
      </c>
      <c r="X8">
        <v>2</v>
      </c>
      <c r="Y8">
        <v>0</v>
      </c>
      <c r="Z8">
        <v>0</v>
      </c>
      <c r="AA8">
        <v>0</v>
      </c>
      <c r="AB8" s="28">
        <v>16</v>
      </c>
      <c r="AC8">
        <v>0</v>
      </c>
      <c r="AD8">
        <v>0</v>
      </c>
      <c r="AE8">
        <v>0</v>
      </c>
      <c r="AF8">
        <v>0</v>
      </c>
      <c r="AG8" s="31">
        <v>3</v>
      </c>
      <c r="AH8">
        <v>0</v>
      </c>
      <c r="AI8">
        <v>0</v>
      </c>
      <c r="AJ8">
        <v>1</v>
      </c>
      <c r="AK8">
        <v>0</v>
      </c>
      <c r="AL8" s="28">
        <v>44</v>
      </c>
      <c r="AM8">
        <v>0</v>
      </c>
      <c r="AN8">
        <v>2</v>
      </c>
      <c r="AO8">
        <v>1</v>
      </c>
      <c r="AP8">
        <v>0</v>
      </c>
      <c r="AQ8" s="28">
        <v>4</v>
      </c>
      <c r="AR8">
        <v>0</v>
      </c>
      <c r="AS8">
        <v>0</v>
      </c>
      <c r="AT8">
        <v>0</v>
      </c>
      <c r="AU8">
        <v>0</v>
      </c>
      <c r="AV8" s="31">
        <v>19</v>
      </c>
      <c r="AW8">
        <v>0</v>
      </c>
      <c r="AX8">
        <v>0</v>
      </c>
      <c r="AY8">
        <v>0</v>
      </c>
      <c r="AZ8">
        <v>0</v>
      </c>
      <c r="BA8" s="28">
        <v>31</v>
      </c>
      <c r="BB8">
        <v>2</v>
      </c>
      <c r="BC8">
        <v>1</v>
      </c>
      <c r="BD8">
        <v>0</v>
      </c>
      <c r="BE8">
        <v>0</v>
      </c>
      <c r="BF8" s="28">
        <v>7</v>
      </c>
      <c r="BG8">
        <v>0</v>
      </c>
      <c r="BH8">
        <v>0</v>
      </c>
      <c r="BI8">
        <v>0</v>
      </c>
      <c r="BJ8" s="34">
        <v>0</v>
      </c>
    </row>
    <row r="9" spans="1:62" x14ac:dyDescent="0.25">
      <c r="A9" s="2" t="s">
        <v>43</v>
      </c>
      <c r="B9" s="7">
        <v>0.28125</v>
      </c>
      <c r="C9" s="31">
        <v>61</v>
      </c>
      <c r="D9">
        <v>0</v>
      </c>
      <c r="E9">
        <v>1</v>
      </c>
      <c r="F9">
        <v>0</v>
      </c>
      <c r="G9">
        <v>0</v>
      </c>
      <c r="H9" s="28">
        <v>87</v>
      </c>
      <c r="I9">
        <v>0</v>
      </c>
      <c r="J9">
        <v>3</v>
      </c>
      <c r="K9">
        <v>0</v>
      </c>
      <c r="L9">
        <v>0</v>
      </c>
      <c r="M9" s="28">
        <v>49</v>
      </c>
      <c r="N9">
        <v>1</v>
      </c>
      <c r="O9">
        <v>1</v>
      </c>
      <c r="P9">
        <v>0</v>
      </c>
      <c r="Q9">
        <v>0</v>
      </c>
      <c r="R9" s="31">
        <v>7</v>
      </c>
      <c r="S9">
        <v>0</v>
      </c>
      <c r="T9">
        <v>0</v>
      </c>
      <c r="U9">
        <v>0</v>
      </c>
      <c r="V9">
        <v>0</v>
      </c>
      <c r="W9" s="28">
        <v>16</v>
      </c>
      <c r="X9">
        <v>3</v>
      </c>
      <c r="Y9">
        <v>0</v>
      </c>
      <c r="Z9">
        <v>0</v>
      </c>
      <c r="AA9">
        <v>0</v>
      </c>
      <c r="AB9" s="28">
        <v>18</v>
      </c>
      <c r="AC9">
        <v>0</v>
      </c>
      <c r="AD9">
        <v>1</v>
      </c>
      <c r="AE9">
        <v>0</v>
      </c>
      <c r="AF9">
        <v>0</v>
      </c>
      <c r="AG9" s="31">
        <v>3</v>
      </c>
      <c r="AH9">
        <v>0</v>
      </c>
      <c r="AI9">
        <v>0</v>
      </c>
      <c r="AJ9">
        <v>0</v>
      </c>
      <c r="AK9">
        <v>0</v>
      </c>
      <c r="AL9" s="28">
        <v>29</v>
      </c>
      <c r="AM9">
        <v>0</v>
      </c>
      <c r="AN9">
        <v>1</v>
      </c>
      <c r="AO9">
        <v>0</v>
      </c>
      <c r="AP9">
        <v>0</v>
      </c>
      <c r="AQ9" s="28">
        <v>4</v>
      </c>
      <c r="AR9">
        <v>0</v>
      </c>
      <c r="AS9">
        <v>0</v>
      </c>
      <c r="AT9">
        <v>0</v>
      </c>
      <c r="AU9">
        <v>0</v>
      </c>
      <c r="AV9" s="31">
        <v>36</v>
      </c>
      <c r="AW9">
        <v>2</v>
      </c>
      <c r="AX9">
        <v>1</v>
      </c>
      <c r="AY9">
        <v>0</v>
      </c>
      <c r="AZ9">
        <v>0</v>
      </c>
      <c r="BA9" s="28">
        <v>43</v>
      </c>
      <c r="BB9">
        <v>2</v>
      </c>
      <c r="BC9">
        <v>0</v>
      </c>
      <c r="BD9">
        <v>0</v>
      </c>
      <c r="BE9">
        <v>1</v>
      </c>
      <c r="BF9" s="28">
        <v>4</v>
      </c>
      <c r="BG9">
        <v>0</v>
      </c>
      <c r="BH9">
        <v>0</v>
      </c>
      <c r="BI9">
        <v>0</v>
      </c>
      <c r="BJ9" s="34">
        <v>0</v>
      </c>
    </row>
    <row r="10" spans="1:62" x14ac:dyDescent="0.25">
      <c r="A10" s="2" t="s">
        <v>43</v>
      </c>
      <c r="B10" s="7">
        <v>0.29166666666666669</v>
      </c>
      <c r="C10" s="31">
        <v>69</v>
      </c>
      <c r="D10">
        <v>0</v>
      </c>
      <c r="E10">
        <v>1</v>
      </c>
      <c r="F10">
        <v>0</v>
      </c>
      <c r="G10">
        <v>0</v>
      </c>
      <c r="H10" s="28">
        <v>79</v>
      </c>
      <c r="I10">
        <v>0</v>
      </c>
      <c r="J10">
        <v>4</v>
      </c>
      <c r="K10">
        <v>0</v>
      </c>
      <c r="L10">
        <v>0</v>
      </c>
      <c r="M10" s="28">
        <v>56</v>
      </c>
      <c r="N10">
        <v>0</v>
      </c>
      <c r="O10">
        <v>0</v>
      </c>
      <c r="P10">
        <v>0</v>
      </c>
      <c r="Q10">
        <v>0</v>
      </c>
      <c r="R10" s="31">
        <v>14</v>
      </c>
      <c r="S10">
        <v>0</v>
      </c>
      <c r="T10">
        <v>0</v>
      </c>
      <c r="U10">
        <v>0</v>
      </c>
      <c r="V10">
        <v>0</v>
      </c>
      <c r="W10" s="28">
        <v>19</v>
      </c>
      <c r="X10">
        <v>3</v>
      </c>
      <c r="Y10">
        <v>0</v>
      </c>
      <c r="Z10">
        <v>0</v>
      </c>
      <c r="AA10">
        <v>0</v>
      </c>
      <c r="AB10" s="28">
        <v>32</v>
      </c>
      <c r="AC10">
        <v>0</v>
      </c>
      <c r="AD10">
        <v>0</v>
      </c>
      <c r="AE10">
        <v>0</v>
      </c>
      <c r="AF10">
        <v>0</v>
      </c>
      <c r="AG10" s="31">
        <v>3</v>
      </c>
      <c r="AH10">
        <v>0</v>
      </c>
      <c r="AI10">
        <v>0</v>
      </c>
      <c r="AJ10">
        <v>0</v>
      </c>
      <c r="AK10">
        <v>1</v>
      </c>
      <c r="AL10" s="28">
        <v>46</v>
      </c>
      <c r="AM10">
        <v>0</v>
      </c>
      <c r="AN10">
        <v>0</v>
      </c>
      <c r="AO10">
        <v>0</v>
      </c>
      <c r="AP10">
        <v>0</v>
      </c>
      <c r="AQ10" s="28">
        <v>7</v>
      </c>
      <c r="AR10">
        <v>0</v>
      </c>
      <c r="AS10">
        <v>0</v>
      </c>
      <c r="AT10">
        <v>0</v>
      </c>
      <c r="AU10">
        <v>0</v>
      </c>
      <c r="AV10" s="31">
        <v>28</v>
      </c>
      <c r="AW10">
        <v>0</v>
      </c>
      <c r="AX10">
        <v>0</v>
      </c>
      <c r="AY10">
        <v>0</v>
      </c>
      <c r="AZ10">
        <v>0</v>
      </c>
      <c r="BA10" s="28">
        <v>52</v>
      </c>
      <c r="BB10">
        <v>4</v>
      </c>
      <c r="BC10">
        <v>0</v>
      </c>
      <c r="BD10">
        <v>0</v>
      </c>
      <c r="BE10">
        <v>2</v>
      </c>
      <c r="BF10" s="28">
        <v>10</v>
      </c>
      <c r="BG10">
        <v>0</v>
      </c>
      <c r="BH10">
        <v>0</v>
      </c>
      <c r="BI10">
        <v>0</v>
      </c>
      <c r="BJ10" s="34">
        <v>0</v>
      </c>
    </row>
    <row r="11" spans="1:62" x14ac:dyDescent="0.25">
      <c r="A11" s="2" t="s">
        <v>43</v>
      </c>
      <c r="B11" s="7">
        <v>0.30208333333333331</v>
      </c>
      <c r="C11" s="31">
        <v>99</v>
      </c>
      <c r="D11">
        <v>0</v>
      </c>
      <c r="E11">
        <v>0</v>
      </c>
      <c r="F11">
        <v>0</v>
      </c>
      <c r="G11">
        <v>0</v>
      </c>
      <c r="H11" s="28">
        <v>99</v>
      </c>
      <c r="I11">
        <v>0</v>
      </c>
      <c r="J11">
        <v>4</v>
      </c>
      <c r="K11">
        <v>0</v>
      </c>
      <c r="L11">
        <v>0</v>
      </c>
      <c r="M11" s="28">
        <v>72</v>
      </c>
      <c r="N11">
        <v>1</v>
      </c>
      <c r="O11">
        <v>0</v>
      </c>
      <c r="P11">
        <v>0</v>
      </c>
      <c r="Q11">
        <v>0</v>
      </c>
      <c r="R11" s="31">
        <v>10</v>
      </c>
      <c r="S11">
        <v>0</v>
      </c>
      <c r="T11">
        <v>0</v>
      </c>
      <c r="U11">
        <v>0</v>
      </c>
      <c r="V11">
        <v>0</v>
      </c>
      <c r="W11" s="28">
        <v>24</v>
      </c>
      <c r="X11">
        <v>3</v>
      </c>
      <c r="Y11">
        <v>2</v>
      </c>
      <c r="Z11">
        <v>0</v>
      </c>
      <c r="AA11">
        <v>0</v>
      </c>
      <c r="AB11" s="28">
        <v>35</v>
      </c>
      <c r="AC11">
        <v>1</v>
      </c>
      <c r="AD11">
        <v>0</v>
      </c>
      <c r="AE11">
        <v>0</v>
      </c>
      <c r="AF11">
        <v>0</v>
      </c>
      <c r="AG11" s="31">
        <v>8</v>
      </c>
      <c r="AH11">
        <v>0</v>
      </c>
      <c r="AI11">
        <v>0</v>
      </c>
      <c r="AJ11">
        <v>0</v>
      </c>
      <c r="AK11">
        <v>0</v>
      </c>
      <c r="AL11" s="28">
        <v>75</v>
      </c>
      <c r="AM11">
        <v>0</v>
      </c>
      <c r="AN11">
        <v>2</v>
      </c>
      <c r="AO11">
        <v>0</v>
      </c>
      <c r="AP11">
        <v>0</v>
      </c>
      <c r="AQ11" s="28">
        <v>10</v>
      </c>
      <c r="AR11">
        <v>0</v>
      </c>
      <c r="AS11">
        <v>0</v>
      </c>
      <c r="AT11">
        <v>0</v>
      </c>
      <c r="AU11">
        <v>0</v>
      </c>
      <c r="AV11" s="31">
        <v>43</v>
      </c>
      <c r="AW11">
        <v>0</v>
      </c>
      <c r="AX11">
        <v>4</v>
      </c>
      <c r="AY11">
        <v>0</v>
      </c>
      <c r="AZ11">
        <v>0</v>
      </c>
      <c r="BA11" s="28">
        <v>48</v>
      </c>
      <c r="BB11">
        <v>3</v>
      </c>
      <c r="BC11">
        <v>0</v>
      </c>
      <c r="BD11">
        <v>0</v>
      </c>
      <c r="BE11">
        <v>7</v>
      </c>
      <c r="BF11" s="28">
        <v>12</v>
      </c>
      <c r="BG11">
        <v>0</v>
      </c>
      <c r="BH11">
        <v>0</v>
      </c>
      <c r="BI11">
        <v>0</v>
      </c>
      <c r="BJ11" s="34">
        <v>0</v>
      </c>
    </row>
    <row r="12" spans="1:62" x14ac:dyDescent="0.25">
      <c r="A12" s="2" t="s">
        <v>43</v>
      </c>
      <c r="B12" s="7">
        <v>0.3125</v>
      </c>
      <c r="C12" s="31">
        <v>127</v>
      </c>
      <c r="D12">
        <v>0</v>
      </c>
      <c r="E12">
        <v>0</v>
      </c>
      <c r="F12">
        <v>0</v>
      </c>
      <c r="G12">
        <v>6</v>
      </c>
      <c r="H12" s="28">
        <v>174</v>
      </c>
      <c r="I12">
        <v>0</v>
      </c>
      <c r="J12">
        <v>1</v>
      </c>
      <c r="K12">
        <v>0</v>
      </c>
      <c r="L12">
        <v>0</v>
      </c>
      <c r="M12" s="28">
        <v>74</v>
      </c>
      <c r="N12">
        <v>0</v>
      </c>
      <c r="O12">
        <v>3</v>
      </c>
      <c r="P12">
        <v>0</v>
      </c>
      <c r="Q12">
        <v>0</v>
      </c>
      <c r="R12" s="31">
        <v>10</v>
      </c>
      <c r="S12">
        <v>0</v>
      </c>
      <c r="T12">
        <v>0</v>
      </c>
      <c r="U12">
        <v>0</v>
      </c>
      <c r="V12">
        <v>0</v>
      </c>
      <c r="W12" s="28">
        <v>28</v>
      </c>
      <c r="X12">
        <v>4</v>
      </c>
      <c r="Y12">
        <v>0</v>
      </c>
      <c r="Z12">
        <v>0</v>
      </c>
      <c r="AA12">
        <v>1</v>
      </c>
      <c r="AB12" s="28">
        <v>43</v>
      </c>
      <c r="AC12">
        <v>0</v>
      </c>
      <c r="AD12">
        <v>0</v>
      </c>
      <c r="AE12">
        <v>0</v>
      </c>
      <c r="AF12">
        <v>0</v>
      </c>
      <c r="AG12" s="31">
        <v>15</v>
      </c>
      <c r="AH12">
        <v>0</v>
      </c>
      <c r="AI12">
        <v>0</v>
      </c>
      <c r="AJ12">
        <v>0</v>
      </c>
      <c r="AK12">
        <v>0</v>
      </c>
      <c r="AL12" s="28">
        <v>94</v>
      </c>
      <c r="AM12">
        <v>0</v>
      </c>
      <c r="AN12">
        <v>2</v>
      </c>
      <c r="AO12">
        <v>0</v>
      </c>
      <c r="AP12">
        <v>0</v>
      </c>
      <c r="AQ12" s="28">
        <v>4</v>
      </c>
      <c r="AR12">
        <v>0</v>
      </c>
      <c r="AS12">
        <v>0</v>
      </c>
      <c r="AT12">
        <v>0</v>
      </c>
      <c r="AU12">
        <v>0</v>
      </c>
      <c r="AV12" s="31">
        <v>46</v>
      </c>
      <c r="AW12">
        <v>0</v>
      </c>
      <c r="AX12">
        <v>0</v>
      </c>
      <c r="AY12">
        <v>0</v>
      </c>
      <c r="AZ12">
        <v>0</v>
      </c>
      <c r="BA12" s="28">
        <v>64</v>
      </c>
      <c r="BB12">
        <v>3</v>
      </c>
      <c r="BC12">
        <v>5</v>
      </c>
      <c r="BD12">
        <v>0</v>
      </c>
      <c r="BE12">
        <v>9</v>
      </c>
      <c r="BF12" s="28">
        <v>10</v>
      </c>
      <c r="BG12">
        <v>0</v>
      </c>
      <c r="BH12">
        <v>0</v>
      </c>
      <c r="BI12">
        <v>0</v>
      </c>
      <c r="BJ12" s="34">
        <v>0</v>
      </c>
    </row>
    <row r="13" spans="1:62" x14ac:dyDescent="0.25">
      <c r="A13" s="2" t="s">
        <v>43</v>
      </c>
      <c r="B13" s="7">
        <v>0.32291666666666669</v>
      </c>
      <c r="C13" s="31">
        <v>125</v>
      </c>
      <c r="D13">
        <v>0</v>
      </c>
      <c r="E13">
        <v>0</v>
      </c>
      <c r="F13">
        <v>0</v>
      </c>
      <c r="G13">
        <v>4</v>
      </c>
      <c r="H13" s="28">
        <v>169</v>
      </c>
      <c r="I13">
        <v>0</v>
      </c>
      <c r="J13">
        <v>3</v>
      </c>
      <c r="K13">
        <v>0</v>
      </c>
      <c r="L13">
        <v>1</v>
      </c>
      <c r="M13" s="28">
        <v>88</v>
      </c>
      <c r="N13">
        <v>1</v>
      </c>
      <c r="O13">
        <v>0</v>
      </c>
      <c r="P13">
        <v>0</v>
      </c>
      <c r="Q13">
        <v>1</v>
      </c>
      <c r="R13" s="31">
        <v>11</v>
      </c>
      <c r="S13">
        <v>0</v>
      </c>
      <c r="T13">
        <v>0</v>
      </c>
      <c r="U13">
        <v>0</v>
      </c>
      <c r="V13">
        <v>0</v>
      </c>
      <c r="W13" s="28">
        <v>45</v>
      </c>
      <c r="X13">
        <v>4</v>
      </c>
      <c r="Y13">
        <v>1</v>
      </c>
      <c r="Z13">
        <v>0</v>
      </c>
      <c r="AA13">
        <v>2</v>
      </c>
      <c r="AB13" s="28">
        <v>57</v>
      </c>
      <c r="AC13">
        <v>1</v>
      </c>
      <c r="AD13">
        <v>0</v>
      </c>
      <c r="AE13">
        <v>0</v>
      </c>
      <c r="AF13">
        <v>0</v>
      </c>
      <c r="AG13" s="31">
        <v>11</v>
      </c>
      <c r="AH13">
        <v>0</v>
      </c>
      <c r="AI13">
        <v>2</v>
      </c>
      <c r="AJ13">
        <v>0</v>
      </c>
      <c r="AK13">
        <v>0</v>
      </c>
      <c r="AL13" s="28">
        <v>86</v>
      </c>
      <c r="AM13">
        <v>0</v>
      </c>
      <c r="AN13">
        <v>5</v>
      </c>
      <c r="AO13">
        <v>1</v>
      </c>
      <c r="AP13">
        <v>0</v>
      </c>
      <c r="AQ13" s="28">
        <v>13</v>
      </c>
      <c r="AR13">
        <v>0</v>
      </c>
      <c r="AS13">
        <v>0</v>
      </c>
      <c r="AT13">
        <v>0</v>
      </c>
      <c r="AU13">
        <v>0</v>
      </c>
      <c r="AV13" s="31">
        <v>49</v>
      </c>
      <c r="AW13">
        <v>0</v>
      </c>
      <c r="AX13">
        <v>2</v>
      </c>
      <c r="AY13">
        <v>0</v>
      </c>
      <c r="AZ13">
        <v>0</v>
      </c>
      <c r="BA13" s="28">
        <v>98</v>
      </c>
      <c r="BB13">
        <v>5</v>
      </c>
      <c r="BC13">
        <v>1</v>
      </c>
      <c r="BD13">
        <v>0</v>
      </c>
      <c r="BE13">
        <v>11</v>
      </c>
      <c r="BF13" s="28">
        <v>7</v>
      </c>
      <c r="BG13">
        <v>0</v>
      </c>
      <c r="BH13">
        <v>0</v>
      </c>
      <c r="BI13">
        <v>0</v>
      </c>
      <c r="BJ13" s="34">
        <v>0</v>
      </c>
    </row>
    <row r="14" spans="1:62" x14ac:dyDescent="0.25">
      <c r="A14" s="2" t="s">
        <v>43</v>
      </c>
      <c r="B14" s="7">
        <v>0.33333333333333331</v>
      </c>
      <c r="C14" s="31">
        <v>129</v>
      </c>
      <c r="D14">
        <v>1</v>
      </c>
      <c r="E14">
        <v>0</v>
      </c>
      <c r="F14">
        <v>0</v>
      </c>
      <c r="G14">
        <v>1</v>
      </c>
      <c r="H14" s="28">
        <v>149</v>
      </c>
      <c r="I14">
        <v>0</v>
      </c>
      <c r="J14">
        <v>2</v>
      </c>
      <c r="K14">
        <v>0</v>
      </c>
      <c r="L14">
        <v>0</v>
      </c>
      <c r="M14" s="28">
        <v>86</v>
      </c>
      <c r="N14">
        <v>0</v>
      </c>
      <c r="O14">
        <v>0</v>
      </c>
      <c r="P14">
        <v>0</v>
      </c>
      <c r="Q14">
        <v>0</v>
      </c>
      <c r="R14" s="31">
        <v>10</v>
      </c>
      <c r="S14">
        <v>0</v>
      </c>
      <c r="T14">
        <v>0</v>
      </c>
      <c r="U14">
        <v>0</v>
      </c>
      <c r="V14">
        <v>0</v>
      </c>
      <c r="W14" s="28">
        <v>28</v>
      </c>
      <c r="X14">
        <v>3</v>
      </c>
      <c r="Y14">
        <v>3</v>
      </c>
      <c r="Z14">
        <v>0</v>
      </c>
      <c r="AA14">
        <v>4</v>
      </c>
      <c r="AB14" s="28">
        <v>41</v>
      </c>
      <c r="AC14">
        <v>0</v>
      </c>
      <c r="AD14">
        <v>0</v>
      </c>
      <c r="AE14">
        <v>0</v>
      </c>
      <c r="AF14">
        <v>0</v>
      </c>
      <c r="AG14" s="31">
        <v>8</v>
      </c>
      <c r="AH14">
        <v>0</v>
      </c>
      <c r="AI14">
        <v>1</v>
      </c>
      <c r="AJ14">
        <v>0</v>
      </c>
      <c r="AK14">
        <v>0</v>
      </c>
      <c r="AL14" s="28">
        <v>99</v>
      </c>
      <c r="AM14">
        <v>0</v>
      </c>
      <c r="AN14">
        <v>1</v>
      </c>
      <c r="AO14">
        <v>0</v>
      </c>
      <c r="AP14">
        <v>0</v>
      </c>
      <c r="AQ14" s="28">
        <v>16</v>
      </c>
      <c r="AR14">
        <v>0</v>
      </c>
      <c r="AS14">
        <v>0</v>
      </c>
      <c r="AT14">
        <v>0</v>
      </c>
      <c r="AU14">
        <v>0</v>
      </c>
      <c r="AV14" s="31">
        <v>67</v>
      </c>
      <c r="AW14">
        <v>1</v>
      </c>
      <c r="AX14">
        <v>1</v>
      </c>
      <c r="AY14">
        <v>0</v>
      </c>
      <c r="AZ14">
        <v>0</v>
      </c>
      <c r="BA14" s="28">
        <v>101</v>
      </c>
      <c r="BB14">
        <v>5</v>
      </c>
      <c r="BC14">
        <v>0</v>
      </c>
      <c r="BD14">
        <v>0</v>
      </c>
      <c r="BE14">
        <v>8</v>
      </c>
      <c r="BF14" s="28">
        <v>18</v>
      </c>
      <c r="BG14">
        <v>0</v>
      </c>
      <c r="BH14">
        <v>0</v>
      </c>
      <c r="BI14">
        <v>0</v>
      </c>
      <c r="BJ14" s="34">
        <v>0</v>
      </c>
    </row>
    <row r="15" spans="1:62" x14ac:dyDescent="0.25">
      <c r="A15" s="2" t="s">
        <v>43</v>
      </c>
      <c r="B15" s="7">
        <v>0.34375</v>
      </c>
      <c r="C15" s="31">
        <v>130</v>
      </c>
      <c r="D15">
        <v>0</v>
      </c>
      <c r="E15">
        <v>1</v>
      </c>
      <c r="F15">
        <v>0</v>
      </c>
      <c r="G15">
        <v>2</v>
      </c>
      <c r="H15" s="28">
        <v>166</v>
      </c>
      <c r="I15">
        <v>0</v>
      </c>
      <c r="J15">
        <v>4</v>
      </c>
      <c r="K15">
        <v>1</v>
      </c>
      <c r="L15">
        <v>0</v>
      </c>
      <c r="M15" s="28">
        <v>94</v>
      </c>
      <c r="N15">
        <v>1</v>
      </c>
      <c r="O15">
        <v>0</v>
      </c>
      <c r="P15">
        <v>0</v>
      </c>
      <c r="Q15">
        <v>0</v>
      </c>
      <c r="R15" s="31">
        <v>6</v>
      </c>
      <c r="S15">
        <v>0</v>
      </c>
      <c r="T15">
        <v>0</v>
      </c>
      <c r="U15">
        <v>0</v>
      </c>
      <c r="V15">
        <v>0</v>
      </c>
      <c r="W15" s="28">
        <v>44</v>
      </c>
      <c r="X15">
        <v>5</v>
      </c>
      <c r="Y15">
        <v>1</v>
      </c>
      <c r="Z15">
        <v>0</v>
      </c>
      <c r="AA15">
        <v>1</v>
      </c>
      <c r="AB15" s="28">
        <v>57</v>
      </c>
      <c r="AC15">
        <v>1</v>
      </c>
      <c r="AD15">
        <v>1</v>
      </c>
      <c r="AE15">
        <v>0</v>
      </c>
      <c r="AF15">
        <v>0</v>
      </c>
      <c r="AG15" s="31">
        <v>16</v>
      </c>
      <c r="AH15">
        <v>0</v>
      </c>
      <c r="AI15">
        <v>0</v>
      </c>
      <c r="AJ15">
        <v>0</v>
      </c>
      <c r="AK15">
        <v>0</v>
      </c>
      <c r="AL15" s="28">
        <v>122</v>
      </c>
      <c r="AM15">
        <v>1</v>
      </c>
      <c r="AN15">
        <v>0</v>
      </c>
      <c r="AO15">
        <v>0</v>
      </c>
      <c r="AP15">
        <v>0</v>
      </c>
      <c r="AQ15" s="28">
        <v>17</v>
      </c>
      <c r="AR15">
        <v>0</v>
      </c>
      <c r="AS15">
        <v>1</v>
      </c>
      <c r="AT15">
        <v>0</v>
      </c>
      <c r="AU15">
        <v>0</v>
      </c>
      <c r="AV15" s="31">
        <v>53</v>
      </c>
      <c r="AW15">
        <v>1</v>
      </c>
      <c r="AX15">
        <v>6</v>
      </c>
      <c r="AY15">
        <v>0</v>
      </c>
      <c r="AZ15">
        <v>0</v>
      </c>
      <c r="BA15" s="28">
        <v>79</v>
      </c>
      <c r="BB15">
        <v>5</v>
      </c>
      <c r="BC15">
        <v>0</v>
      </c>
      <c r="BD15">
        <v>1</v>
      </c>
      <c r="BE15">
        <v>2</v>
      </c>
      <c r="BF15" s="28">
        <v>16</v>
      </c>
      <c r="BG15">
        <v>0</v>
      </c>
      <c r="BH15">
        <v>0</v>
      </c>
      <c r="BI15">
        <v>0</v>
      </c>
      <c r="BJ15" s="34">
        <v>0</v>
      </c>
    </row>
    <row r="16" spans="1:62" x14ac:dyDescent="0.25">
      <c r="A16" s="2" t="s">
        <v>43</v>
      </c>
      <c r="B16" s="7">
        <v>0.35416666666666669</v>
      </c>
      <c r="C16" s="31">
        <v>139</v>
      </c>
      <c r="D16">
        <v>1</v>
      </c>
      <c r="E16">
        <v>1</v>
      </c>
      <c r="F16">
        <v>0</v>
      </c>
      <c r="G16">
        <v>0</v>
      </c>
      <c r="H16" s="28">
        <v>173</v>
      </c>
      <c r="I16">
        <v>1</v>
      </c>
      <c r="J16">
        <v>2</v>
      </c>
      <c r="K16">
        <v>0</v>
      </c>
      <c r="L16">
        <v>1</v>
      </c>
      <c r="M16" s="28">
        <v>107</v>
      </c>
      <c r="N16">
        <v>0</v>
      </c>
      <c r="O16">
        <v>3</v>
      </c>
      <c r="P16">
        <v>0</v>
      </c>
      <c r="Q16">
        <v>1</v>
      </c>
      <c r="R16" s="31">
        <v>11</v>
      </c>
      <c r="S16">
        <v>0</v>
      </c>
      <c r="T16">
        <v>1</v>
      </c>
      <c r="U16">
        <v>0</v>
      </c>
      <c r="V16">
        <v>0</v>
      </c>
      <c r="W16" s="28">
        <v>39</v>
      </c>
      <c r="X16">
        <v>4</v>
      </c>
      <c r="Y16">
        <v>2</v>
      </c>
      <c r="Z16">
        <v>0</v>
      </c>
      <c r="AA16">
        <v>4</v>
      </c>
      <c r="AB16" s="28">
        <v>43</v>
      </c>
      <c r="AC16">
        <v>0</v>
      </c>
      <c r="AD16">
        <v>1</v>
      </c>
      <c r="AE16">
        <v>0</v>
      </c>
      <c r="AF16">
        <v>0</v>
      </c>
      <c r="AG16" s="31">
        <v>13</v>
      </c>
      <c r="AH16">
        <v>0</v>
      </c>
      <c r="AI16">
        <v>0</v>
      </c>
      <c r="AJ16">
        <v>0</v>
      </c>
      <c r="AK16">
        <v>0</v>
      </c>
      <c r="AL16" s="28">
        <v>90</v>
      </c>
      <c r="AM16">
        <v>0</v>
      </c>
      <c r="AN16">
        <v>1</v>
      </c>
      <c r="AO16">
        <v>0</v>
      </c>
      <c r="AP16">
        <v>0</v>
      </c>
      <c r="AQ16" s="28">
        <v>8</v>
      </c>
      <c r="AR16">
        <v>0</v>
      </c>
      <c r="AS16">
        <v>0</v>
      </c>
      <c r="AT16">
        <v>0</v>
      </c>
      <c r="AU16">
        <v>0</v>
      </c>
      <c r="AV16" s="31">
        <v>59</v>
      </c>
      <c r="AW16">
        <v>1</v>
      </c>
      <c r="AX16">
        <v>1</v>
      </c>
      <c r="AY16">
        <v>0</v>
      </c>
      <c r="AZ16">
        <v>0</v>
      </c>
      <c r="BA16" s="28">
        <v>77</v>
      </c>
      <c r="BB16">
        <v>2</v>
      </c>
      <c r="BC16">
        <v>1</v>
      </c>
      <c r="BD16">
        <v>0</v>
      </c>
      <c r="BE16">
        <v>2</v>
      </c>
      <c r="BF16" s="28">
        <v>6</v>
      </c>
      <c r="BG16">
        <v>1</v>
      </c>
      <c r="BH16">
        <v>0</v>
      </c>
      <c r="BI16">
        <v>0</v>
      </c>
      <c r="BJ16" s="34">
        <v>0</v>
      </c>
    </row>
    <row r="17" spans="1:62" x14ac:dyDescent="0.25">
      <c r="A17" s="2" t="s">
        <v>43</v>
      </c>
      <c r="B17" s="7">
        <v>0.36458333333333331</v>
      </c>
      <c r="C17" s="31">
        <v>127</v>
      </c>
      <c r="D17">
        <v>0</v>
      </c>
      <c r="E17">
        <v>2</v>
      </c>
      <c r="F17">
        <v>0</v>
      </c>
      <c r="G17">
        <v>0</v>
      </c>
      <c r="H17" s="28">
        <v>153</v>
      </c>
      <c r="I17">
        <v>1</v>
      </c>
      <c r="J17">
        <v>3</v>
      </c>
      <c r="K17">
        <v>0</v>
      </c>
      <c r="L17">
        <v>7</v>
      </c>
      <c r="M17" s="28">
        <v>86</v>
      </c>
      <c r="N17">
        <v>1</v>
      </c>
      <c r="O17">
        <v>0</v>
      </c>
      <c r="P17">
        <v>0</v>
      </c>
      <c r="Q17">
        <v>0</v>
      </c>
      <c r="R17" s="31">
        <v>10</v>
      </c>
      <c r="S17">
        <v>0</v>
      </c>
      <c r="T17">
        <v>0</v>
      </c>
      <c r="U17">
        <v>0</v>
      </c>
      <c r="V17">
        <v>0</v>
      </c>
      <c r="W17" s="28">
        <v>38</v>
      </c>
      <c r="X17">
        <v>2</v>
      </c>
      <c r="Y17">
        <v>2</v>
      </c>
      <c r="Z17">
        <v>0</v>
      </c>
      <c r="AA17">
        <v>3</v>
      </c>
      <c r="AB17" s="28">
        <v>41</v>
      </c>
      <c r="AC17">
        <v>0</v>
      </c>
      <c r="AD17">
        <v>0</v>
      </c>
      <c r="AE17">
        <v>0</v>
      </c>
      <c r="AF17">
        <v>0</v>
      </c>
      <c r="AG17" s="31">
        <v>20</v>
      </c>
      <c r="AH17">
        <v>0</v>
      </c>
      <c r="AI17">
        <v>0</v>
      </c>
      <c r="AJ17">
        <v>0</v>
      </c>
      <c r="AK17">
        <v>0</v>
      </c>
      <c r="AL17" s="28">
        <v>99</v>
      </c>
      <c r="AM17">
        <v>1</v>
      </c>
      <c r="AN17">
        <v>0</v>
      </c>
      <c r="AO17">
        <v>0</v>
      </c>
      <c r="AP17">
        <v>0</v>
      </c>
      <c r="AQ17" s="28">
        <v>7</v>
      </c>
      <c r="AR17">
        <v>0</v>
      </c>
      <c r="AS17">
        <v>0</v>
      </c>
      <c r="AT17">
        <v>0</v>
      </c>
      <c r="AU17">
        <v>0</v>
      </c>
      <c r="AV17" s="31">
        <v>51</v>
      </c>
      <c r="AW17">
        <v>1</v>
      </c>
      <c r="AX17">
        <v>1</v>
      </c>
      <c r="AY17">
        <v>0</v>
      </c>
      <c r="AZ17">
        <v>0</v>
      </c>
      <c r="BA17" s="28">
        <v>81</v>
      </c>
      <c r="BB17">
        <v>6</v>
      </c>
      <c r="BC17">
        <v>1</v>
      </c>
      <c r="BD17">
        <v>0</v>
      </c>
      <c r="BE17">
        <v>6</v>
      </c>
      <c r="BF17" s="28">
        <v>5</v>
      </c>
      <c r="BG17">
        <v>0</v>
      </c>
      <c r="BH17">
        <v>0</v>
      </c>
      <c r="BI17">
        <v>0</v>
      </c>
      <c r="BJ17" s="34">
        <v>0</v>
      </c>
    </row>
    <row r="18" spans="1:62" x14ac:dyDescent="0.25">
      <c r="A18" s="2" t="s">
        <v>43</v>
      </c>
      <c r="B18" s="7">
        <v>0.375</v>
      </c>
      <c r="C18" s="31">
        <v>84</v>
      </c>
      <c r="D18">
        <v>0</v>
      </c>
      <c r="E18">
        <v>2</v>
      </c>
      <c r="F18">
        <v>0</v>
      </c>
      <c r="G18">
        <v>1</v>
      </c>
      <c r="H18" s="28">
        <v>108</v>
      </c>
      <c r="I18">
        <v>1</v>
      </c>
      <c r="J18">
        <v>3</v>
      </c>
      <c r="K18">
        <v>1</v>
      </c>
      <c r="L18">
        <v>0</v>
      </c>
      <c r="M18" s="28">
        <v>90</v>
      </c>
      <c r="N18">
        <v>0</v>
      </c>
      <c r="O18">
        <v>1</v>
      </c>
      <c r="P18">
        <v>0</v>
      </c>
      <c r="Q18">
        <v>0</v>
      </c>
      <c r="R18" s="31">
        <v>6</v>
      </c>
      <c r="S18">
        <v>0</v>
      </c>
      <c r="T18">
        <v>0</v>
      </c>
      <c r="U18">
        <v>0</v>
      </c>
      <c r="V18">
        <v>0</v>
      </c>
      <c r="W18" s="28">
        <v>32</v>
      </c>
      <c r="X18">
        <v>5</v>
      </c>
      <c r="Y18">
        <v>1</v>
      </c>
      <c r="Z18">
        <v>0</v>
      </c>
      <c r="AA18">
        <v>0</v>
      </c>
      <c r="AB18" s="28">
        <v>47</v>
      </c>
      <c r="AC18">
        <v>0</v>
      </c>
      <c r="AD18">
        <v>0</v>
      </c>
      <c r="AE18">
        <v>0</v>
      </c>
      <c r="AF18">
        <v>0</v>
      </c>
      <c r="AG18" s="31">
        <v>13</v>
      </c>
      <c r="AH18">
        <v>0</v>
      </c>
      <c r="AI18">
        <v>0</v>
      </c>
      <c r="AJ18">
        <v>0</v>
      </c>
      <c r="AK18">
        <v>0</v>
      </c>
      <c r="AL18" s="28">
        <v>54</v>
      </c>
      <c r="AM18">
        <v>0</v>
      </c>
      <c r="AN18">
        <v>5</v>
      </c>
      <c r="AO18">
        <v>0</v>
      </c>
      <c r="AP18">
        <v>0</v>
      </c>
      <c r="AQ18" s="28">
        <v>6</v>
      </c>
      <c r="AR18">
        <v>0</v>
      </c>
      <c r="AS18">
        <v>0</v>
      </c>
      <c r="AT18">
        <v>0</v>
      </c>
      <c r="AU18">
        <v>0</v>
      </c>
      <c r="AV18" s="31">
        <v>56</v>
      </c>
      <c r="AW18">
        <v>0</v>
      </c>
      <c r="AX18">
        <v>3</v>
      </c>
      <c r="AY18">
        <v>0</v>
      </c>
      <c r="AZ18">
        <v>0</v>
      </c>
      <c r="BA18" s="28">
        <v>63</v>
      </c>
      <c r="BB18">
        <v>5</v>
      </c>
      <c r="BC18">
        <v>1</v>
      </c>
      <c r="BD18">
        <v>0</v>
      </c>
      <c r="BE18">
        <v>0</v>
      </c>
      <c r="BF18" s="28">
        <v>11</v>
      </c>
      <c r="BG18">
        <v>0</v>
      </c>
      <c r="BH18">
        <v>0</v>
      </c>
      <c r="BI18">
        <v>0</v>
      </c>
      <c r="BJ18" s="34">
        <v>0</v>
      </c>
    </row>
    <row r="19" spans="1:62" ht="15.75" thickBot="1" x14ac:dyDescent="0.3">
      <c r="A19" s="2" t="s">
        <v>43</v>
      </c>
      <c r="B19" s="7">
        <v>0.38541666666666669</v>
      </c>
      <c r="C19" s="31">
        <v>77</v>
      </c>
      <c r="D19">
        <v>0</v>
      </c>
      <c r="E19">
        <v>1</v>
      </c>
      <c r="F19">
        <v>0</v>
      </c>
      <c r="G19">
        <v>1</v>
      </c>
      <c r="H19" s="28">
        <v>89</v>
      </c>
      <c r="I19">
        <v>0</v>
      </c>
      <c r="J19">
        <v>2</v>
      </c>
      <c r="K19">
        <v>0</v>
      </c>
      <c r="L19">
        <v>0</v>
      </c>
      <c r="M19" s="28">
        <v>58</v>
      </c>
      <c r="N19">
        <v>1</v>
      </c>
      <c r="O19">
        <v>1</v>
      </c>
      <c r="P19">
        <v>0</v>
      </c>
      <c r="Q19">
        <v>0</v>
      </c>
      <c r="R19" s="31">
        <v>10</v>
      </c>
      <c r="S19">
        <v>0</v>
      </c>
      <c r="T19">
        <v>0</v>
      </c>
      <c r="U19">
        <v>0</v>
      </c>
      <c r="V19">
        <v>0</v>
      </c>
      <c r="W19" s="28">
        <v>29</v>
      </c>
      <c r="X19">
        <v>1</v>
      </c>
      <c r="Y19">
        <v>2</v>
      </c>
      <c r="Z19">
        <v>0</v>
      </c>
      <c r="AA19">
        <v>0</v>
      </c>
      <c r="AB19" s="28">
        <v>23</v>
      </c>
      <c r="AC19">
        <v>0</v>
      </c>
      <c r="AD19">
        <v>1</v>
      </c>
      <c r="AE19">
        <v>0</v>
      </c>
      <c r="AF19">
        <v>0</v>
      </c>
      <c r="AG19" s="31">
        <v>19</v>
      </c>
      <c r="AH19">
        <v>0</v>
      </c>
      <c r="AI19">
        <v>0</v>
      </c>
      <c r="AJ19">
        <v>0</v>
      </c>
      <c r="AK19">
        <v>0</v>
      </c>
      <c r="AL19" s="28">
        <v>87</v>
      </c>
      <c r="AM19">
        <v>0</v>
      </c>
      <c r="AN19">
        <v>3</v>
      </c>
      <c r="AO19">
        <v>0</v>
      </c>
      <c r="AP19">
        <v>0</v>
      </c>
      <c r="AQ19" s="28">
        <v>16</v>
      </c>
      <c r="AR19">
        <v>0</v>
      </c>
      <c r="AS19">
        <v>1</v>
      </c>
      <c r="AT19">
        <v>0</v>
      </c>
      <c r="AU19">
        <v>0</v>
      </c>
      <c r="AV19" s="31">
        <v>58</v>
      </c>
      <c r="AW19">
        <v>1</v>
      </c>
      <c r="AX19">
        <v>2</v>
      </c>
      <c r="AY19">
        <v>0</v>
      </c>
      <c r="AZ19">
        <v>1</v>
      </c>
      <c r="BA19" s="28">
        <v>68</v>
      </c>
      <c r="BB19">
        <v>3</v>
      </c>
      <c r="BC19">
        <v>1</v>
      </c>
      <c r="BD19">
        <v>0</v>
      </c>
      <c r="BE19">
        <v>0</v>
      </c>
      <c r="BF19" s="28">
        <v>6</v>
      </c>
      <c r="BG19">
        <v>0</v>
      </c>
      <c r="BH19">
        <v>2</v>
      </c>
      <c r="BI19">
        <v>0</v>
      </c>
      <c r="BJ19" s="34">
        <v>0</v>
      </c>
    </row>
    <row r="20" spans="1:62" ht="15.75" thickBot="1" x14ac:dyDescent="0.3">
      <c r="A20" s="22"/>
      <c r="B20" s="22"/>
      <c r="C20" s="35"/>
      <c r="D20" s="20"/>
      <c r="E20" s="20"/>
      <c r="F20" s="20"/>
      <c r="G20" s="20"/>
      <c r="H20" s="36"/>
      <c r="I20" s="20"/>
      <c r="J20" s="20"/>
      <c r="K20" s="20"/>
      <c r="L20" s="20"/>
      <c r="M20" s="36"/>
      <c r="N20" s="20"/>
      <c r="O20" s="20"/>
      <c r="P20" s="20"/>
      <c r="Q20" s="20"/>
      <c r="R20" s="35"/>
      <c r="S20" s="20"/>
      <c r="T20" s="20"/>
      <c r="U20" s="20"/>
      <c r="V20" s="20"/>
      <c r="W20" s="36"/>
      <c r="X20" s="20"/>
      <c r="Y20" s="20"/>
      <c r="Z20" s="20"/>
      <c r="AA20" s="20"/>
      <c r="AB20" s="36"/>
      <c r="AC20" s="20"/>
      <c r="AD20" s="20"/>
      <c r="AE20" s="20"/>
      <c r="AF20" s="20"/>
      <c r="AG20" s="35"/>
      <c r="AH20" s="20"/>
      <c r="AI20" s="20"/>
      <c r="AJ20" s="20"/>
      <c r="AK20" s="20"/>
      <c r="AL20" s="36"/>
      <c r="AM20" s="20"/>
      <c r="AN20" s="20"/>
      <c r="AO20" s="20"/>
      <c r="AP20" s="20"/>
      <c r="AQ20" s="36"/>
      <c r="AR20" s="20"/>
      <c r="AS20" s="20"/>
      <c r="AT20" s="20"/>
      <c r="AU20" s="20"/>
      <c r="AV20" s="35"/>
      <c r="AW20" s="20"/>
      <c r="AX20" s="20"/>
      <c r="AY20" s="20"/>
      <c r="AZ20" s="20"/>
      <c r="BA20" s="36"/>
      <c r="BB20" s="20"/>
      <c r="BC20" s="20"/>
      <c r="BD20" s="20"/>
      <c r="BE20" s="20"/>
      <c r="BF20" s="36"/>
      <c r="BG20" s="20"/>
      <c r="BH20" s="20"/>
      <c r="BI20" s="20"/>
      <c r="BJ20" s="37"/>
    </row>
    <row r="21" spans="1:62" x14ac:dyDescent="0.25">
      <c r="A21" s="2" t="s">
        <v>110</v>
      </c>
      <c r="B21" s="7">
        <v>0.45833333333333331</v>
      </c>
      <c r="C21" s="31">
        <v>49</v>
      </c>
      <c r="D21">
        <v>1</v>
      </c>
      <c r="E21">
        <v>2</v>
      </c>
      <c r="F21">
        <v>1</v>
      </c>
      <c r="G21">
        <v>0</v>
      </c>
      <c r="H21" s="28">
        <v>91</v>
      </c>
      <c r="I21">
        <v>0</v>
      </c>
      <c r="J21">
        <v>1</v>
      </c>
      <c r="K21">
        <v>0</v>
      </c>
      <c r="L21">
        <v>0</v>
      </c>
      <c r="M21" s="28">
        <v>55</v>
      </c>
      <c r="N21">
        <v>0</v>
      </c>
      <c r="O21">
        <v>1</v>
      </c>
      <c r="P21">
        <v>0</v>
      </c>
      <c r="Q21">
        <v>0</v>
      </c>
      <c r="R21" s="31">
        <v>14</v>
      </c>
      <c r="S21">
        <v>0</v>
      </c>
      <c r="T21">
        <v>0</v>
      </c>
      <c r="U21">
        <v>0</v>
      </c>
      <c r="V21">
        <v>1</v>
      </c>
      <c r="W21" s="28">
        <v>42</v>
      </c>
      <c r="X21">
        <v>3</v>
      </c>
      <c r="Y21">
        <v>0</v>
      </c>
      <c r="Z21">
        <v>0</v>
      </c>
      <c r="AA21">
        <v>0</v>
      </c>
      <c r="AB21" s="28">
        <v>40</v>
      </c>
      <c r="AC21">
        <v>0</v>
      </c>
      <c r="AD21">
        <v>0</v>
      </c>
      <c r="AE21">
        <v>0</v>
      </c>
      <c r="AF21">
        <v>0</v>
      </c>
      <c r="AG21" s="31">
        <v>22</v>
      </c>
      <c r="AH21">
        <v>0</v>
      </c>
      <c r="AI21">
        <v>0</v>
      </c>
      <c r="AJ21">
        <v>0</v>
      </c>
      <c r="AK21">
        <v>0</v>
      </c>
      <c r="AL21" s="28">
        <v>84</v>
      </c>
      <c r="AM21">
        <v>0</v>
      </c>
      <c r="AN21">
        <v>0</v>
      </c>
      <c r="AO21">
        <v>1</v>
      </c>
      <c r="AP21">
        <v>0</v>
      </c>
      <c r="AQ21" s="28">
        <v>14</v>
      </c>
      <c r="AR21">
        <v>0</v>
      </c>
      <c r="AS21">
        <v>0</v>
      </c>
      <c r="AT21">
        <v>0</v>
      </c>
      <c r="AU21">
        <v>0</v>
      </c>
      <c r="AV21" s="31">
        <v>54</v>
      </c>
      <c r="AW21">
        <v>0</v>
      </c>
      <c r="AX21">
        <v>2</v>
      </c>
      <c r="AY21">
        <v>0</v>
      </c>
      <c r="AZ21">
        <v>0</v>
      </c>
      <c r="BA21" s="28">
        <v>44</v>
      </c>
      <c r="BB21">
        <v>3</v>
      </c>
      <c r="BC21">
        <v>0</v>
      </c>
      <c r="BD21">
        <v>0</v>
      </c>
      <c r="BE21">
        <v>0</v>
      </c>
      <c r="BF21" s="28">
        <v>18</v>
      </c>
      <c r="BG21">
        <v>0</v>
      </c>
      <c r="BH21">
        <v>0</v>
      </c>
      <c r="BI21">
        <v>0</v>
      </c>
      <c r="BJ21" s="34">
        <v>0</v>
      </c>
    </row>
    <row r="22" spans="1:62" x14ac:dyDescent="0.25">
      <c r="A22" s="2" t="s">
        <v>110</v>
      </c>
      <c r="B22" s="7">
        <v>0.46875</v>
      </c>
      <c r="C22" s="31">
        <v>72</v>
      </c>
      <c r="D22">
        <v>0</v>
      </c>
      <c r="E22">
        <v>1</v>
      </c>
      <c r="F22">
        <v>0</v>
      </c>
      <c r="G22">
        <v>0</v>
      </c>
      <c r="H22" s="28">
        <v>96</v>
      </c>
      <c r="I22">
        <v>0</v>
      </c>
      <c r="J22">
        <v>0</v>
      </c>
      <c r="K22">
        <v>0</v>
      </c>
      <c r="L22">
        <v>0</v>
      </c>
      <c r="M22" s="28">
        <v>63</v>
      </c>
      <c r="N22">
        <v>1</v>
      </c>
      <c r="O22">
        <v>1</v>
      </c>
      <c r="P22">
        <v>0</v>
      </c>
      <c r="Q22">
        <v>0</v>
      </c>
      <c r="R22" s="31">
        <v>11</v>
      </c>
      <c r="S22">
        <v>0</v>
      </c>
      <c r="T22">
        <v>0</v>
      </c>
      <c r="U22">
        <v>0</v>
      </c>
      <c r="V22">
        <v>0</v>
      </c>
      <c r="W22" s="28">
        <v>33</v>
      </c>
      <c r="X22">
        <v>2</v>
      </c>
      <c r="Y22">
        <v>0</v>
      </c>
      <c r="Z22">
        <v>0</v>
      </c>
      <c r="AA22">
        <v>0</v>
      </c>
      <c r="AB22" s="28">
        <v>45</v>
      </c>
      <c r="AC22">
        <v>0</v>
      </c>
      <c r="AD22">
        <v>0</v>
      </c>
      <c r="AE22">
        <v>0</v>
      </c>
      <c r="AF22">
        <v>0</v>
      </c>
      <c r="AG22" s="31">
        <v>19</v>
      </c>
      <c r="AH22">
        <v>0</v>
      </c>
      <c r="AI22">
        <v>1</v>
      </c>
      <c r="AJ22">
        <v>0</v>
      </c>
      <c r="AK22">
        <v>0</v>
      </c>
      <c r="AL22" s="28">
        <v>79</v>
      </c>
      <c r="AM22">
        <v>0</v>
      </c>
      <c r="AN22">
        <v>2</v>
      </c>
      <c r="AO22">
        <v>1</v>
      </c>
      <c r="AP22">
        <v>0</v>
      </c>
      <c r="AQ22" s="28">
        <v>8</v>
      </c>
      <c r="AR22">
        <v>0</v>
      </c>
      <c r="AS22">
        <v>0</v>
      </c>
      <c r="AT22">
        <v>0</v>
      </c>
      <c r="AU22">
        <v>0</v>
      </c>
      <c r="AV22" s="31">
        <v>71</v>
      </c>
      <c r="AW22">
        <v>1</v>
      </c>
      <c r="AX22">
        <v>2</v>
      </c>
      <c r="AY22">
        <v>1</v>
      </c>
      <c r="AZ22">
        <v>0</v>
      </c>
      <c r="BA22" s="28">
        <v>51</v>
      </c>
      <c r="BB22">
        <v>3</v>
      </c>
      <c r="BC22">
        <v>0</v>
      </c>
      <c r="BD22">
        <v>0</v>
      </c>
      <c r="BE22">
        <v>1</v>
      </c>
      <c r="BF22" s="28">
        <v>12</v>
      </c>
      <c r="BG22">
        <v>1</v>
      </c>
      <c r="BH22">
        <v>2</v>
      </c>
      <c r="BI22">
        <v>0</v>
      </c>
      <c r="BJ22" s="34">
        <v>0</v>
      </c>
    </row>
    <row r="23" spans="1:62" x14ac:dyDescent="0.25">
      <c r="A23" s="2" t="s">
        <v>110</v>
      </c>
      <c r="B23" s="7">
        <v>0.47916666666666669</v>
      </c>
      <c r="C23" s="31">
        <v>74</v>
      </c>
      <c r="D23">
        <v>0</v>
      </c>
      <c r="E23">
        <v>5</v>
      </c>
      <c r="F23">
        <v>0</v>
      </c>
      <c r="G23">
        <v>0</v>
      </c>
      <c r="H23" s="28">
        <v>75</v>
      </c>
      <c r="I23">
        <v>0</v>
      </c>
      <c r="J23">
        <v>2</v>
      </c>
      <c r="K23">
        <v>0</v>
      </c>
      <c r="L23">
        <v>0</v>
      </c>
      <c r="M23" s="28">
        <v>70</v>
      </c>
      <c r="N23">
        <v>0</v>
      </c>
      <c r="O23">
        <v>3</v>
      </c>
      <c r="P23">
        <v>0</v>
      </c>
      <c r="Q23">
        <v>0</v>
      </c>
      <c r="R23" s="31">
        <v>15</v>
      </c>
      <c r="S23">
        <v>0</v>
      </c>
      <c r="T23">
        <v>0</v>
      </c>
      <c r="U23">
        <v>0</v>
      </c>
      <c r="V23">
        <v>0</v>
      </c>
      <c r="W23" s="28">
        <v>38</v>
      </c>
      <c r="X23">
        <v>3</v>
      </c>
      <c r="Y23">
        <v>1</v>
      </c>
      <c r="Z23">
        <v>0</v>
      </c>
      <c r="AA23">
        <v>0</v>
      </c>
      <c r="AB23" s="28">
        <v>46</v>
      </c>
      <c r="AC23">
        <v>0</v>
      </c>
      <c r="AD23">
        <v>4</v>
      </c>
      <c r="AE23">
        <v>0</v>
      </c>
      <c r="AF23">
        <v>0</v>
      </c>
      <c r="AG23" s="31">
        <v>20</v>
      </c>
      <c r="AH23">
        <v>0</v>
      </c>
      <c r="AI23">
        <v>1</v>
      </c>
      <c r="AJ23">
        <v>0</v>
      </c>
      <c r="AK23">
        <v>0</v>
      </c>
      <c r="AL23" s="28">
        <v>88</v>
      </c>
      <c r="AM23">
        <v>0</v>
      </c>
      <c r="AN23">
        <v>2</v>
      </c>
      <c r="AO23">
        <v>0</v>
      </c>
      <c r="AP23">
        <v>0</v>
      </c>
      <c r="AQ23" s="28">
        <v>8</v>
      </c>
      <c r="AR23">
        <v>0</v>
      </c>
      <c r="AS23">
        <v>0</v>
      </c>
      <c r="AT23">
        <v>0</v>
      </c>
      <c r="AU23">
        <v>0</v>
      </c>
      <c r="AV23" s="31">
        <v>53</v>
      </c>
      <c r="AW23">
        <v>0</v>
      </c>
      <c r="AX23">
        <v>0</v>
      </c>
      <c r="AY23">
        <v>0</v>
      </c>
      <c r="AZ23">
        <v>1</v>
      </c>
      <c r="BA23" s="28">
        <v>52</v>
      </c>
      <c r="BB23">
        <v>3</v>
      </c>
      <c r="BC23">
        <v>1</v>
      </c>
      <c r="BD23">
        <v>0</v>
      </c>
      <c r="BE23">
        <v>2</v>
      </c>
      <c r="BF23" s="28">
        <v>15</v>
      </c>
      <c r="BG23">
        <v>0</v>
      </c>
      <c r="BH23">
        <v>1</v>
      </c>
      <c r="BI23">
        <v>0</v>
      </c>
      <c r="BJ23" s="34">
        <v>0</v>
      </c>
    </row>
    <row r="24" spans="1:62" x14ac:dyDescent="0.25">
      <c r="A24" s="2" t="s">
        <v>110</v>
      </c>
      <c r="B24" s="7">
        <v>0.48958333333333331</v>
      </c>
      <c r="C24" s="31">
        <v>72</v>
      </c>
      <c r="D24">
        <v>0</v>
      </c>
      <c r="E24">
        <v>3</v>
      </c>
      <c r="F24">
        <v>0</v>
      </c>
      <c r="G24">
        <v>0</v>
      </c>
      <c r="H24" s="28">
        <v>110</v>
      </c>
      <c r="I24">
        <v>0</v>
      </c>
      <c r="J24">
        <v>3</v>
      </c>
      <c r="K24">
        <v>1</v>
      </c>
      <c r="L24">
        <v>0</v>
      </c>
      <c r="M24" s="28">
        <v>76</v>
      </c>
      <c r="N24">
        <v>1</v>
      </c>
      <c r="O24">
        <v>3</v>
      </c>
      <c r="P24">
        <v>0</v>
      </c>
      <c r="Q24">
        <v>0</v>
      </c>
      <c r="R24" s="31">
        <v>16</v>
      </c>
      <c r="S24">
        <v>0</v>
      </c>
      <c r="T24">
        <v>0</v>
      </c>
      <c r="U24">
        <v>0</v>
      </c>
      <c r="V24">
        <v>0</v>
      </c>
      <c r="W24" s="28">
        <v>40</v>
      </c>
      <c r="X24">
        <v>4</v>
      </c>
      <c r="Y24">
        <v>0</v>
      </c>
      <c r="Z24">
        <v>0</v>
      </c>
      <c r="AA24">
        <v>0</v>
      </c>
      <c r="AB24" s="28">
        <v>37</v>
      </c>
      <c r="AC24">
        <v>0</v>
      </c>
      <c r="AD24">
        <v>1</v>
      </c>
      <c r="AE24">
        <v>0</v>
      </c>
      <c r="AF24">
        <v>0</v>
      </c>
      <c r="AG24" s="31">
        <v>36</v>
      </c>
      <c r="AH24">
        <v>0</v>
      </c>
      <c r="AI24">
        <v>1</v>
      </c>
      <c r="AJ24">
        <v>0</v>
      </c>
      <c r="AK24">
        <v>0</v>
      </c>
      <c r="AL24" s="28">
        <v>114</v>
      </c>
      <c r="AM24">
        <v>0</v>
      </c>
      <c r="AN24">
        <v>3</v>
      </c>
      <c r="AO24">
        <v>0</v>
      </c>
      <c r="AP24">
        <v>0</v>
      </c>
      <c r="AQ24" s="28">
        <v>11</v>
      </c>
      <c r="AR24">
        <v>0</v>
      </c>
      <c r="AS24">
        <v>0</v>
      </c>
      <c r="AT24">
        <v>0</v>
      </c>
      <c r="AU24">
        <v>0</v>
      </c>
      <c r="AV24" s="31">
        <v>60</v>
      </c>
      <c r="AW24">
        <v>1</v>
      </c>
      <c r="AX24">
        <v>2</v>
      </c>
      <c r="AY24">
        <v>0</v>
      </c>
      <c r="AZ24">
        <v>0</v>
      </c>
      <c r="BA24" s="28">
        <v>69</v>
      </c>
      <c r="BB24">
        <v>3</v>
      </c>
      <c r="BC24">
        <v>0</v>
      </c>
      <c r="BD24">
        <v>0</v>
      </c>
      <c r="BE24">
        <v>1</v>
      </c>
      <c r="BF24" s="28">
        <v>13</v>
      </c>
      <c r="BG24">
        <v>0</v>
      </c>
      <c r="BH24">
        <v>0</v>
      </c>
      <c r="BI24">
        <v>0</v>
      </c>
      <c r="BJ24" s="34">
        <v>0</v>
      </c>
    </row>
    <row r="25" spans="1:62" x14ac:dyDescent="0.25">
      <c r="A25" s="2" t="s">
        <v>110</v>
      </c>
      <c r="B25" s="7">
        <v>0.5</v>
      </c>
      <c r="C25" s="31">
        <v>60</v>
      </c>
      <c r="D25">
        <v>0</v>
      </c>
      <c r="E25">
        <v>1</v>
      </c>
      <c r="F25">
        <v>0</v>
      </c>
      <c r="G25">
        <v>0</v>
      </c>
      <c r="H25" s="28">
        <v>89</v>
      </c>
      <c r="I25">
        <v>0</v>
      </c>
      <c r="J25">
        <v>0</v>
      </c>
      <c r="K25">
        <v>0</v>
      </c>
      <c r="L25">
        <v>0</v>
      </c>
      <c r="M25" s="28">
        <v>61</v>
      </c>
      <c r="N25">
        <v>0</v>
      </c>
      <c r="O25">
        <v>0</v>
      </c>
      <c r="P25">
        <v>0</v>
      </c>
      <c r="Q25">
        <v>0</v>
      </c>
      <c r="R25" s="31">
        <v>10</v>
      </c>
      <c r="S25">
        <v>0</v>
      </c>
      <c r="T25">
        <v>1</v>
      </c>
      <c r="U25">
        <v>0</v>
      </c>
      <c r="V25">
        <v>0</v>
      </c>
      <c r="W25" s="28">
        <v>42</v>
      </c>
      <c r="X25">
        <v>4</v>
      </c>
      <c r="Y25">
        <v>0</v>
      </c>
      <c r="Z25">
        <v>0</v>
      </c>
      <c r="AA25">
        <v>0</v>
      </c>
      <c r="AB25" s="28">
        <v>61</v>
      </c>
      <c r="AC25">
        <v>0</v>
      </c>
      <c r="AD25">
        <v>3</v>
      </c>
      <c r="AE25">
        <v>0</v>
      </c>
      <c r="AF25">
        <v>0</v>
      </c>
      <c r="AG25" s="31">
        <v>25</v>
      </c>
      <c r="AH25">
        <v>0</v>
      </c>
      <c r="AI25">
        <v>1</v>
      </c>
      <c r="AJ25">
        <v>0</v>
      </c>
      <c r="AK25">
        <v>0</v>
      </c>
      <c r="AL25" s="28">
        <v>98</v>
      </c>
      <c r="AM25">
        <v>3</v>
      </c>
      <c r="AN25">
        <v>0</v>
      </c>
      <c r="AO25">
        <v>0</v>
      </c>
      <c r="AP25">
        <v>0</v>
      </c>
      <c r="AQ25" s="28">
        <v>11</v>
      </c>
      <c r="AR25">
        <v>0</v>
      </c>
      <c r="AS25">
        <v>0</v>
      </c>
      <c r="AT25">
        <v>0</v>
      </c>
      <c r="AU25">
        <v>0</v>
      </c>
      <c r="AV25" s="31">
        <v>70</v>
      </c>
      <c r="AW25">
        <v>0</v>
      </c>
      <c r="AX25">
        <v>0</v>
      </c>
      <c r="AY25">
        <v>0</v>
      </c>
      <c r="AZ25">
        <v>0</v>
      </c>
      <c r="BA25" s="28">
        <v>57</v>
      </c>
      <c r="BB25">
        <v>3</v>
      </c>
      <c r="BC25">
        <v>0</v>
      </c>
      <c r="BD25">
        <v>0</v>
      </c>
      <c r="BE25">
        <v>2</v>
      </c>
      <c r="BF25" s="28">
        <v>21</v>
      </c>
      <c r="BG25">
        <v>0</v>
      </c>
      <c r="BH25">
        <v>0</v>
      </c>
      <c r="BI25">
        <v>0</v>
      </c>
      <c r="BJ25" s="34">
        <v>0</v>
      </c>
    </row>
    <row r="26" spans="1:62" x14ac:dyDescent="0.25">
      <c r="A26" s="2" t="s">
        <v>110</v>
      </c>
      <c r="B26" s="7">
        <v>0.51041666666666663</v>
      </c>
      <c r="C26" s="31">
        <v>63</v>
      </c>
      <c r="D26">
        <v>0</v>
      </c>
      <c r="E26">
        <v>1</v>
      </c>
      <c r="F26">
        <v>0</v>
      </c>
      <c r="G26">
        <v>0</v>
      </c>
      <c r="H26" s="28">
        <v>94</v>
      </c>
      <c r="I26">
        <v>0</v>
      </c>
      <c r="J26">
        <v>0</v>
      </c>
      <c r="K26">
        <v>0</v>
      </c>
      <c r="L26">
        <v>0</v>
      </c>
      <c r="M26" s="28">
        <v>60</v>
      </c>
      <c r="N26">
        <v>1</v>
      </c>
      <c r="O26">
        <v>1</v>
      </c>
      <c r="P26">
        <v>0</v>
      </c>
      <c r="Q26">
        <v>0</v>
      </c>
      <c r="R26" s="31">
        <v>11</v>
      </c>
      <c r="S26">
        <v>0</v>
      </c>
      <c r="T26">
        <v>0</v>
      </c>
      <c r="U26">
        <v>0</v>
      </c>
      <c r="V26">
        <v>0</v>
      </c>
      <c r="W26" s="28">
        <v>52</v>
      </c>
      <c r="X26">
        <v>1</v>
      </c>
      <c r="Y26">
        <v>1</v>
      </c>
      <c r="Z26">
        <v>0</v>
      </c>
      <c r="AA26">
        <v>2</v>
      </c>
      <c r="AB26" s="28">
        <v>41</v>
      </c>
      <c r="AC26">
        <v>0</v>
      </c>
      <c r="AD26">
        <v>0</v>
      </c>
      <c r="AE26">
        <v>0</v>
      </c>
      <c r="AF26">
        <v>0</v>
      </c>
      <c r="AG26" s="31">
        <v>33</v>
      </c>
      <c r="AH26">
        <v>0</v>
      </c>
      <c r="AI26">
        <v>0</v>
      </c>
      <c r="AJ26">
        <v>0</v>
      </c>
      <c r="AK26">
        <v>0</v>
      </c>
      <c r="AL26" s="28">
        <v>117</v>
      </c>
      <c r="AM26">
        <v>0</v>
      </c>
      <c r="AN26">
        <v>0</v>
      </c>
      <c r="AO26">
        <v>0</v>
      </c>
      <c r="AP26">
        <v>0</v>
      </c>
      <c r="AQ26" s="28">
        <v>17</v>
      </c>
      <c r="AR26">
        <v>0</v>
      </c>
      <c r="AS26">
        <v>0</v>
      </c>
      <c r="AT26">
        <v>0</v>
      </c>
      <c r="AU26">
        <v>0</v>
      </c>
      <c r="AV26" s="31">
        <v>63</v>
      </c>
      <c r="AW26">
        <v>3</v>
      </c>
      <c r="AX26">
        <v>0</v>
      </c>
      <c r="AY26">
        <v>1</v>
      </c>
      <c r="AZ26">
        <v>1</v>
      </c>
      <c r="BA26" s="28">
        <v>75</v>
      </c>
      <c r="BB26">
        <v>3</v>
      </c>
      <c r="BC26">
        <v>1</v>
      </c>
      <c r="BD26">
        <v>0</v>
      </c>
      <c r="BE26">
        <v>2</v>
      </c>
      <c r="BF26" s="28">
        <v>21</v>
      </c>
      <c r="BG26">
        <v>0</v>
      </c>
      <c r="BH26">
        <v>1</v>
      </c>
      <c r="BI26">
        <v>0</v>
      </c>
      <c r="BJ26" s="34">
        <v>0</v>
      </c>
    </row>
    <row r="27" spans="1:62" x14ac:dyDescent="0.25">
      <c r="A27" s="2" t="s">
        <v>110</v>
      </c>
      <c r="B27" s="7">
        <v>0.52083333333333337</v>
      </c>
      <c r="C27" s="31">
        <v>59</v>
      </c>
      <c r="D27">
        <v>1</v>
      </c>
      <c r="E27">
        <v>1</v>
      </c>
      <c r="F27">
        <v>0</v>
      </c>
      <c r="G27">
        <v>0</v>
      </c>
      <c r="H27" s="28">
        <v>105</v>
      </c>
      <c r="I27">
        <v>0</v>
      </c>
      <c r="J27">
        <v>1</v>
      </c>
      <c r="K27">
        <v>0</v>
      </c>
      <c r="L27">
        <v>1</v>
      </c>
      <c r="M27" s="28">
        <v>77</v>
      </c>
      <c r="N27">
        <v>1</v>
      </c>
      <c r="O27">
        <v>0</v>
      </c>
      <c r="P27">
        <v>0</v>
      </c>
      <c r="Q27">
        <v>0</v>
      </c>
      <c r="R27" s="31">
        <v>11</v>
      </c>
      <c r="S27">
        <v>0</v>
      </c>
      <c r="T27">
        <v>0</v>
      </c>
      <c r="U27">
        <v>0</v>
      </c>
      <c r="V27">
        <v>0</v>
      </c>
      <c r="W27" s="28">
        <v>58</v>
      </c>
      <c r="X27">
        <v>3</v>
      </c>
      <c r="Y27">
        <v>1</v>
      </c>
      <c r="Z27">
        <v>1</v>
      </c>
      <c r="AA27">
        <v>0</v>
      </c>
      <c r="AB27" s="28">
        <v>40</v>
      </c>
      <c r="AC27">
        <v>0</v>
      </c>
      <c r="AD27">
        <v>0</v>
      </c>
      <c r="AE27">
        <v>0</v>
      </c>
      <c r="AF27">
        <v>0</v>
      </c>
      <c r="AG27" s="31">
        <v>29</v>
      </c>
      <c r="AH27">
        <v>0</v>
      </c>
      <c r="AI27">
        <v>1</v>
      </c>
      <c r="AJ27">
        <v>0</v>
      </c>
      <c r="AK27">
        <v>0</v>
      </c>
      <c r="AL27" s="28">
        <v>87</v>
      </c>
      <c r="AM27">
        <v>0</v>
      </c>
      <c r="AN27">
        <v>2</v>
      </c>
      <c r="AO27">
        <v>0</v>
      </c>
      <c r="AP27">
        <v>0</v>
      </c>
      <c r="AQ27" s="28">
        <v>9</v>
      </c>
      <c r="AR27">
        <v>0</v>
      </c>
      <c r="AS27">
        <v>0</v>
      </c>
      <c r="AT27">
        <v>0</v>
      </c>
      <c r="AU27">
        <v>0</v>
      </c>
      <c r="AV27" s="31">
        <v>75</v>
      </c>
      <c r="AW27">
        <v>1</v>
      </c>
      <c r="AX27">
        <v>3</v>
      </c>
      <c r="AY27">
        <v>0</v>
      </c>
      <c r="AZ27">
        <v>0</v>
      </c>
      <c r="BA27" s="28">
        <v>58</v>
      </c>
      <c r="BB27">
        <v>2</v>
      </c>
      <c r="BC27">
        <v>2</v>
      </c>
      <c r="BD27">
        <v>0</v>
      </c>
      <c r="BE27">
        <v>0</v>
      </c>
      <c r="BF27" s="28">
        <v>11</v>
      </c>
      <c r="BG27">
        <v>0</v>
      </c>
      <c r="BH27">
        <v>1</v>
      </c>
      <c r="BI27">
        <v>0</v>
      </c>
      <c r="BJ27" s="34">
        <v>0</v>
      </c>
    </row>
    <row r="28" spans="1:62" x14ac:dyDescent="0.25">
      <c r="A28" s="2" t="s">
        <v>110</v>
      </c>
      <c r="B28" s="7">
        <v>0.53125</v>
      </c>
      <c r="C28" s="31">
        <v>59</v>
      </c>
      <c r="D28">
        <v>0</v>
      </c>
      <c r="E28">
        <v>0</v>
      </c>
      <c r="F28">
        <v>0</v>
      </c>
      <c r="G28">
        <v>0</v>
      </c>
      <c r="H28" s="28">
        <v>96</v>
      </c>
      <c r="I28">
        <v>0</v>
      </c>
      <c r="J28">
        <v>2</v>
      </c>
      <c r="K28">
        <v>0</v>
      </c>
      <c r="L28">
        <v>0</v>
      </c>
      <c r="M28" s="28">
        <v>69</v>
      </c>
      <c r="N28">
        <v>1</v>
      </c>
      <c r="O28">
        <v>1</v>
      </c>
      <c r="P28">
        <v>0</v>
      </c>
      <c r="Q28">
        <v>0</v>
      </c>
      <c r="R28" s="31">
        <v>12</v>
      </c>
      <c r="S28">
        <v>1</v>
      </c>
      <c r="T28">
        <v>0</v>
      </c>
      <c r="U28">
        <v>0</v>
      </c>
      <c r="V28">
        <v>0</v>
      </c>
      <c r="W28" s="28">
        <v>44</v>
      </c>
      <c r="X28">
        <v>4</v>
      </c>
      <c r="Y28">
        <v>1</v>
      </c>
      <c r="Z28">
        <v>0</v>
      </c>
      <c r="AA28">
        <v>0</v>
      </c>
      <c r="AB28" s="28">
        <v>52</v>
      </c>
      <c r="AC28">
        <v>0</v>
      </c>
      <c r="AD28">
        <v>0</v>
      </c>
      <c r="AE28">
        <v>0</v>
      </c>
      <c r="AF28">
        <v>0</v>
      </c>
      <c r="AG28" s="31">
        <v>22</v>
      </c>
      <c r="AH28">
        <v>0</v>
      </c>
      <c r="AI28">
        <v>1</v>
      </c>
      <c r="AJ28">
        <v>0</v>
      </c>
      <c r="AK28">
        <v>0</v>
      </c>
      <c r="AL28" s="28">
        <v>79</v>
      </c>
      <c r="AM28">
        <v>0</v>
      </c>
      <c r="AN28">
        <v>1</v>
      </c>
      <c r="AO28">
        <v>0</v>
      </c>
      <c r="AP28">
        <v>0</v>
      </c>
      <c r="AQ28" s="28">
        <v>20</v>
      </c>
      <c r="AR28">
        <v>0</v>
      </c>
      <c r="AS28">
        <v>0</v>
      </c>
      <c r="AT28">
        <v>0</v>
      </c>
      <c r="AU28">
        <v>0</v>
      </c>
      <c r="AV28" s="31">
        <v>84</v>
      </c>
      <c r="AW28">
        <v>3</v>
      </c>
      <c r="AX28">
        <v>2</v>
      </c>
      <c r="AY28">
        <v>0</v>
      </c>
      <c r="AZ28">
        <v>0</v>
      </c>
      <c r="BA28" s="28">
        <v>63</v>
      </c>
      <c r="BB28">
        <v>4</v>
      </c>
      <c r="BC28">
        <v>1</v>
      </c>
      <c r="BD28">
        <v>0</v>
      </c>
      <c r="BE28">
        <v>0</v>
      </c>
      <c r="BF28" s="28">
        <v>16</v>
      </c>
      <c r="BG28">
        <v>0</v>
      </c>
      <c r="BH28">
        <v>0</v>
      </c>
      <c r="BI28">
        <v>0</v>
      </c>
      <c r="BJ28" s="34">
        <v>0</v>
      </c>
    </row>
    <row r="29" spans="1:62" x14ac:dyDescent="0.25">
      <c r="A29" s="2" t="s">
        <v>110</v>
      </c>
      <c r="B29" s="7">
        <v>0.54166666666666663</v>
      </c>
      <c r="C29" s="31">
        <v>70</v>
      </c>
      <c r="D29">
        <v>0</v>
      </c>
      <c r="E29">
        <v>0</v>
      </c>
      <c r="F29">
        <v>0</v>
      </c>
      <c r="G29">
        <v>0</v>
      </c>
      <c r="H29" s="28">
        <v>94</v>
      </c>
      <c r="I29">
        <v>15</v>
      </c>
      <c r="J29">
        <v>0</v>
      </c>
      <c r="K29">
        <v>1</v>
      </c>
      <c r="L29">
        <v>0</v>
      </c>
      <c r="M29" s="28">
        <v>55</v>
      </c>
      <c r="N29">
        <v>0</v>
      </c>
      <c r="O29">
        <v>1</v>
      </c>
      <c r="P29">
        <v>0</v>
      </c>
      <c r="Q29">
        <v>1</v>
      </c>
      <c r="R29" s="31">
        <v>16</v>
      </c>
      <c r="S29">
        <v>6</v>
      </c>
      <c r="T29">
        <v>0</v>
      </c>
      <c r="U29">
        <v>0</v>
      </c>
      <c r="V29">
        <v>0</v>
      </c>
      <c r="W29" s="28">
        <v>40</v>
      </c>
      <c r="X29">
        <v>3</v>
      </c>
      <c r="Y29">
        <v>0</v>
      </c>
      <c r="Z29">
        <v>0</v>
      </c>
      <c r="AA29">
        <v>3</v>
      </c>
      <c r="AB29" s="28">
        <v>41</v>
      </c>
      <c r="AC29">
        <v>0</v>
      </c>
      <c r="AD29">
        <v>1</v>
      </c>
      <c r="AE29">
        <v>0</v>
      </c>
      <c r="AF29">
        <v>0</v>
      </c>
      <c r="AG29" s="31">
        <v>32</v>
      </c>
      <c r="AH29">
        <v>0</v>
      </c>
      <c r="AI29">
        <v>0</v>
      </c>
      <c r="AJ29">
        <v>0</v>
      </c>
      <c r="AK29">
        <v>0</v>
      </c>
      <c r="AL29" s="28">
        <v>106</v>
      </c>
      <c r="AM29">
        <v>1</v>
      </c>
      <c r="AN29">
        <v>1</v>
      </c>
      <c r="AO29">
        <v>0</v>
      </c>
      <c r="AP29">
        <v>0</v>
      </c>
      <c r="AQ29" s="28">
        <v>10</v>
      </c>
      <c r="AR29">
        <v>0</v>
      </c>
      <c r="AS29">
        <v>0</v>
      </c>
      <c r="AT29">
        <v>0</v>
      </c>
      <c r="AU29">
        <v>0</v>
      </c>
      <c r="AV29" s="31">
        <v>72</v>
      </c>
      <c r="AW29">
        <v>0</v>
      </c>
      <c r="AX29">
        <v>2</v>
      </c>
      <c r="AY29">
        <v>0</v>
      </c>
      <c r="AZ29">
        <v>0</v>
      </c>
      <c r="BA29" s="28">
        <v>49</v>
      </c>
      <c r="BB29">
        <v>2</v>
      </c>
      <c r="BC29">
        <v>1</v>
      </c>
      <c r="BD29">
        <v>0</v>
      </c>
      <c r="BE29">
        <v>1</v>
      </c>
      <c r="BF29" s="28">
        <v>14</v>
      </c>
      <c r="BG29">
        <v>3</v>
      </c>
      <c r="BH29">
        <v>0</v>
      </c>
      <c r="BI29">
        <v>0</v>
      </c>
      <c r="BJ29" s="34">
        <v>0</v>
      </c>
    </row>
    <row r="30" spans="1:62" x14ac:dyDescent="0.25">
      <c r="A30" s="2" t="s">
        <v>110</v>
      </c>
      <c r="B30" s="7">
        <v>0.55208333333333337</v>
      </c>
      <c r="C30" s="31">
        <v>90</v>
      </c>
      <c r="D30">
        <v>0</v>
      </c>
      <c r="E30">
        <v>5</v>
      </c>
      <c r="F30">
        <v>0</v>
      </c>
      <c r="G30">
        <v>0</v>
      </c>
      <c r="H30" s="28">
        <v>93</v>
      </c>
      <c r="I30">
        <v>3</v>
      </c>
      <c r="J30">
        <v>1</v>
      </c>
      <c r="K30">
        <v>0</v>
      </c>
      <c r="L30">
        <v>0</v>
      </c>
      <c r="M30" s="28">
        <v>63</v>
      </c>
      <c r="N30">
        <v>1</v>
      </c>
      <c r="O30">
        <v>1</v>
      </c>
      <c r="P30">
        <v>0</v>
      </c>
      <c r="Q30">
        <v>0</v>
      </c>
      <c r="R30" s="31">
        <v>16</v>
      </c>
      <c r="S30">
        <v>1</v>
      </c>
      <c r="T30">
        <v>0</v>
      </c>
      <c r="U30">
        <v>0</v>
      </c>
      <c r="V30">
        <v>0</v>
      </c>
      <c r="W30" s="28">
        <v>54</v>
      </c>
      <c r="X30">
        <v>2</v>
      </c>
      <c r="Y30">
        <v>1</v>
      </c>
      <c r="Z30">
        <v>0</v>
      </c>
      <c r="AA30">
        <v>1</v>
      </c>
      <c r="AB30" s="28">
        <v>66</v>
      </c>
      <c r="AC30">
        <v>1</v>
      </c>
      <c r="AD30">
        <v>1</v>
      </c>
      <c r="AE30">
        <v>0</v>
      </c>
      <c r="AF30">
        <v>0</v>
      </c>
      <c r="AG30" s="31">
        <v>28</v>
      </c>
      <c r="AH30">
        <v>0</v>
      </c>
      <c r="AI30">
        <v>0</v>
      </c>
      <c r="AJ30">
        <v>0</v>
      </c>
      <c r="AK30">
        <v>0</v>
      </c>
      <c r="AL30" s="28">
        <v>109</v>
      </c>
      <c r="AM30">
        <v>1</v>
      </c>
      <c r="AN30">
        <v>3</v>
      </c>
      <c r="AO30">
        <v>0</v>
      </c>
      <c r="AP30">
        <v>0</v>
      </c>
      <c r="AQ30" s="28">
        <v>11</v>
      </c>
      <c r="AR30">
        <v>0</v>
      </c>
      <c r="AS30">
        <v>0</v>
      </c>
      <c r="AT30">
        <v>0</v>
      </c>
      <c r="AU30">
        <v>0</v>
      </c>
      <c r="AV30" s="31">
        <v>71</v>
      </c>
      <c r="AW30">
        <v>0</v>
      </c>
      <c r="AX30">
        <v>2</v>
      </c>
      <c r="AY30">
        <v>0</v>
      </c>
      <c r="AZ30">
        <v>0</v>
      </c>
      <c r="BA30" s="28">
        <v>65</v>
      </c>
      <c r="BB30">
        <v>3</v>
      </c>
      <c r="BC30">
        <v>0</v>
      </c>
      <c r="BD30">
        <v>0</v>
      </c>
      <c r="BE30">
        <v>3</v>
      </c>
      <c r="BF30" s="28">
        <v>30</v>
      </c>
      <c r="BG30">
        <v>0</v>
      </c>
      <c r="BH30">
        <v>0</v>
      </c>
      <c r="BI30">
        <v>0</v>
      </c>
      <c r="BJ30" s="34">
        <v>0</v>
      </c>
    </row>
    <row r="31" spans="1:62" x14ac:dyDescent="0.25">
      <c r="A31" s="2" t="s">
        <v>110</v>
      </c>
      <c r="B31" s="7">
        <v>0.5625</v>
      </c>
      <c r="C31" s="31">
        <v>69</v>
      </c>
      <c r="D31">
        <v>0</v>
      </c>
      <c r="E31">
        <v>2</v>
      </c>
      <c r="F31">
        <v>0</v>
      </c>
      <c r="G31">
        <v>2</v>
      </c>
      <c r="H31" s="28">
        <v>90</v>
      </c>
      <c r="I31">
        <v>0</v>
      </c>
      <c r="J31">
        <v>2</v>
      </c>
      <c r="K31">
        <v>0</v>
      </c>
      <c r="L31">
        <v>0</v>
      </c>
      <c r="M31" s="28">
        <v>72</v>
      </c>
      <c r="N31">
        <v>0</v>
      </c>
      <c r="O31">
        <v>0</v>
      </c>
      <c r="P31">
        <v>0</v>
      </c>
      <c r="Q31">
        <v>0</v>
      </c>
      <c r="R31" s="31">
        <v>11</v>
      </c>
      <c r="S31">
        <v>1</v>
      </c>
      <c r="T31">
        <v>0</v>
      </c>
      <c r="U31">
        <v>0</v>
      </c>
      <c r="V31">
        <v>0</v>
      </c>
      <c r="W31" s="28">
        <v>43</v>
      </c>
      <c r="X31">
        <v>5</v>
      </c>
      <c r="Y31">
        <v>2</v>
      </c>
      <c r="Z31">
        <v>0</v>
      </c>
      <c r="AA31">
        <v>0</v>
      </c>
      <c r="AB31" s="28">
        <v>44</v>
      </c>
      <c r="AC31">
        <v>1</v>
      </c>
      <c r="AD31">
        <v>1</v>
      </c>
      <c r="AE31">
        <v>0</v>
      </c>
      <c r="AF31">
        <v>0</v>
      </c>
      <c r="AG31" s="31">
        <v>22</v>
      </c>
      <c r="AH31">
        <v>0</v>
      </c>
      <c r="AI31">
        <v>0</v>
      </c>
      <c r="AJ31">
        <v>0</v>
      </c>
      <c r="AK31">
        <v>0</v>
      </c>
      <c r="AL31" s="28">
        <v>98</v>
      </c>
      <c r="AM31">
        <v>0</v>
      </c>
      <c r="AN31">
        <v>2</v>
      </c>
      <c r="AO31">
        <v>0</v>
      </c>
      <c r="AP31">
        <v>0</v>
      </c>
      <c r="AQ31" s="28">
        <v>19</v>
      </c>
      <c r="AR31">
        <v>0</v>
      </c>
      <c r="AS31">
        <v>0</v>
      </c>
      <c r="AT31">
        <v>0</v>
      </c>
      <c r="AU31">
        <v>0</v>
      </c>
      <c r="AV31" s="31">
        <v>72</v>
      </c>
      <c r="AW31">
        <v>0</v>
      </c>
      <c r="AX31">
        <v>2</v>
      </c>
      <c r="AY31">
        <v>0</v>
      </c>
      <c r="AZ31">
        <v>0</v>
      </c>
      <c r="BA31" s="28">
        <v>52</v>
      </c>
      <c r="BB31">
        <v>2</v>
      </c>
      <c r="BC31">
        <v>0</v>
      </c>
      <c r="BD31">
        <v>0</v>
      </c>
      <c r="BE31">
        <v>0</v>
      </c>
      <c r="BF31" s="28">
        <v>21</v>
      </c>
      <c r="BG31">
        <v>0</v>
      </c>
      <c r="BH31">
        <v>0</v>
      </c>
      <c r="BI31">
        <v>0</v>
      </c>
      <c r="BJ31" s="34">
        <v>0</v>
      </c>
    </row>
    <row r="32" spans="1:62" ht="15.75" thickBot="1" x14ac:dyDescent="0.3">
      <c r="A32" s="2" t="s">
        <v>110</v>
      </c>
      <c r="B32" s="7">
        <v>0.57291666666666663</v>
      </c>
      <c r="C32" s="31">
        <v>89</v>
      </c>
      <c r="D32">
        <v>0</v>
      </c>
      <c r="E32">
        <v>1</v>
      </c>
      <c r="F32">
        <v>0</v>
      </c>
      <c r="G32">
        <v>0</v>
      </c>
      <c r="H32" s="28">
        <v>101</v>
      </c>
      <c r="I32">
        <v>0</v>
      </c>
      <c r="J32">
        <v>1</v>
      </c>
      <c r="K32">
        <v>0</v>
      </c>
      <c r="L32">
        <v>0</v>
      </c>
      <c r="M32" s="28">
        <v>61</v>
      </c>
      <c r="N32">
        <v>1</v>
      </c>
      <c r="O32">
        <v>0</v>
      </c>
      <c r="P32">
        <v>0</v>
      </c>
      <c r="Q32">
        <v>0</v>
      </c>
      <c r="R32" s="31">
        <v>6</v>
      </c>
      <c r="S32">
        <v>0</v>
      </c>
      <c r="T32">
        <v>0</v>
      </c>
      <c r="U32">
        <v>0</v>
      </c>
      <c r="V32">
        <v>0</v>
      </c>
      <c r="W32" s="28">
        <v>39</v>
      </c>
      <c r="X32">
        <v>1</v>
      </c>
      <c r="Y32">
        <v>0</v>
      </c>
      <c r="Z32">
        <v>0</v>
      </c>
      <c r="AA32">
        <v>0</v>
      </c>
      <c r="AB32" s="28">
        <v>49</v>
      </c>
      <c r="AC32">
        <v>0</v>
      </c>
      <c r="AD32">
        <v>1</v>
      </c>
      <c r="AE32">
        <v>0</v>
      </c>
      <c r="AF32">
        <v>0</v>
      </c>
      <c r="AG32" s="31">
        <v>22</v>
      </c>
      <c r="AH32">
        <v>0</v>
      </c>
      <c r="AI32">
        <v>0</v>
      </c>
      <c r="AJ32">
        <v>0</v>
      </c>
      <c r="AK32">
        <v>0</v>
      </c>
      <c r="AL32" s="28">
        <v>84</v>
      </c>
      <c r="AM32">
        <v>0</v>
      </c>
      <c r="AN32">
        <v>3</v>
      </c>
      <c r="AO32">
        <v>0</v>
      </c>
      <c r="AP32">
        <v>0</v>
      </c>
      <c r="AQ32" s="28">
        <v>12</v>
      </c>
      <c r="AR32">
        <v>0</v>
      </c>
      <c r="AS32">
        <v>2</v>
      </c>
      <c r="AT32">
        <v>0</v>
      </c>
      <c r="AU32">
        <v>0</v>
      </c>
      <c r="AV32" s="31">
        <v>60</v>
      </c>
      <c r="AW32">
        <v>1</v>
      </c>
      <c r="AX32">
        <v>0</v>
      </c>
      <c r="AY32">
        <v>0</v>
      </c>
      <c r="AZ32">
        <v>0</v>
      </c>
      <c r="BA32" s="28">
        <v>55</v>
      </c>
      <c r="BB32">
        <v>4</v>
      </c>
      <c r="BC32">
        <v>2</v>
      </c>
      <c r="BD32">
        <v>0</v>
      </c>
      <c r="BE32">
        <v>2</v>
      </c>
      <c r="BF32" s="28">
        <v>20</v>
      </c>
      <c r="BG32">
        <v>1</v>
      </c>
      <c r="BH32">
        <v>0</v>
      </c>
      <c r="BI32">
        <v>0</v>
      </c>
      <c r="BJ32" s="34">
        <v>0</v>
      </c>
    </row>
    <row r="33" spans="1:62" ht="15.75" thickBot="1" x14ac:dyDescent="0.3">
      <c r="A33" s="22"/>
      <c r="B33" s="22"/>
      <c r="C33" s="35"/>
      <c r="D33" s="20"/>
      <c r="E33" s="20"/>
      <c r="F33" s="20"/>
      <c r="G33" s="20"/>
      <c r="H33" s="36"/>
      <c r="I33" s="20"/>
      <c r="J33" s="20"/>
      <c r="K33" s="20"/>
      <c r="L33" s="20"/>
      <c r="M33" s="36"/>
      <c r="N33" s="20"/>
      <c r="O33" s="20"/>
      <c r="P33" s="20"/>
      <c r="Q33" s="20"/>
      <c r="R33" s="35"/>
      <c r="S33" s="20"/>
      <c r="T33" s="20"/>
      <c r="U33" s="20"/>
      <c r="V33" s="20"/>
      <c r="W33" s="36"/>
      <c r="X33" s="20"/>
      <c r="Y33" s="20"/>
      <c r="Z33" s="20"/>
      <c r="AA33" s="20"/>
      <c r="AB33" s="36"/>
      <c r="AC33" s="20"/>
      <c r="AD33" s="20"/>
      <c r="AE33" s="20"/>
      <c r="AF33" s="20"/>
      <c r="AG33" s="35"/>
      <c r="AH33" s="20"/>
      <c r="AI33" s="20"/>
      <c r="AJ33" s="20"/>
      <c r="AK33" s="20"/>
      <c r="AL33" s="36"/>
      <c r="AM33" s="20"/>
      <c r="AN33" s="20"/>
      <c r="AO33" s="20"/>
      <c r="AP33" s="20"/>
      <c r="AQ33" s="36"/>
      <c r="AR33" s="20"/>
      <c r="AS33" s="20"/>
      <c r="AT33" s="20"/>
      <c r="AU33" s="20"/>
      <c r="AV33" s="35"/>
      <c r="AW33" s="20"/>
      <c r="AX33" s="20"/>
      <c r="AY33" s="20"/>
      <c r="AZ33" s="20"/>
      <c r="BA33" s="36"/>
      <c r="BB33" s="20"/>
      <c r="BC33" s="20"/>
      <c r="BD33" s="20"/>
      <c r="BE33" s="20"/>
      <c r="BF33" s="36"/>
      <c r="BG33" s="20"/>
      <c r="BH33" s="20"/>
      <c r="BI33" s="20"/>
      <c r="BJ33" s="37"/>
    </row>
    <row r="34" spans="1:62" x14ac:dyDescent="0.25">
      <c r="A34" s="2" t="s">
        <v>44</v>
      </c>
      <c r="B34" s="7">
        <v>0.625</v>
      </c>
      <c r="C34" s="31">
        <v>86</v>
      </c>
      <c r="D34">
        <v>0</v>
      </c>
      <c r="E34">
        <v>0</v>
      </c>
      <c r="F34">
        <v>0</v>
      </c>
      <c r="G34">
        <v>0</v>
      </c>
      <c r="H34" s="28">
        <v>81</v>
      </c>
      <c r="I34">
        <v>1</v>
      </c>
      <c r="J34">
        <v>3</v>
      </c>
      <c r="K34">
        <v>0</v>
      </c>
      <c r="L34">
        <v>0</v>
      </c>
      <c r="M34" s="28">
        <v>50</v>
      </c>
      <c r="N34">
        <v>0</v>
      </c>
      <c r="O34">
        <v>0</v>
      </c>
      <c r="P34">
        <v>0</v>
      </c>
      <c r="Q34">
        <v>0</v>
      </c>
      <c r="R34" s="31">
        <v>22</v>
      </c>
      <c r="S34">
        <v>0</v>
      </c>
      <c r="T34">
        <v>1</v>
      </c>
      <c r="U34">
        <v>0</v>
      </c>
      <c r="V34">
        <v>0</v>
      </c>
      <c r="W34" s="28">
        <v>57</v>
      </c>
      <c r="X34">
        <v>3</v>
      </c>
      <c r="Y34">
        <v>0</v>
      </c>
      <c r="Z34">
        <v>0</v>
      </c>
      <c r="AA34">
        <v>1</v>
      </c>
      <c r="AB34" s="28">
        <v>74</v>
      </c>
      <c r="AC34">
        <v>1</v>
      </c>
      <c r="AD34">
        <v>0</v>
      </c>
      <c r="AE34">
        <v>0</v>
      </c>
      <c r="AF34">
        <v>0</v>
      </c>
      <c r="AG34" s="31">
        <v>20</v>
      </c>
      <c r="AH34">
        <v>0</v>
      </c>
      <c r="AI34">
        <v>0</v>
      </c>
      <c r="AJ34">
        <v>0</v>
      </c>
      <c r="AK34">
        <v>1</v>
      </c>
      <c r="AL34" s="28">
        <v>150</v>
      </c>
      <c r="AM34">
        <v>0</v>
      </c>
      <c r="AN34">
        <v>0</v>
      </c>
      <c r="AO34">
        <v>0</v>
      </c>
      <c r="AP34">
        <v>0</v>
      </c>
      <c r="AQ34" s="28">
        <v>10</v>
      </c>
      <c r="AR34">
        <v>1</v>
      </c>
      <c r="AS34">
        <v>0</v>
      </c>
      <c r="AT34">
        <v>0</v>
      </c>
      <c r="AU34">
        <v>0</v>
      </c>
      <c r="AV34" s="31">
        <v>87</v>
      </c>
      <c r="AW34">
        <v>0</v>
      </c>
      <c r="AX34">
        <v>1</v>
      </c>
      <c r="AY34">
        <v>0</v>
      </c>
      <c r="AZ34">
        <v>0</v>
      </c>
      <c r="BA34" s="28">
        <v>62</v>
      </c>
      <c r="BB34">
        <v>5</v>
      </c>
      <c r="BC34">
        <v>2</v>
      </c>
      <c r="BD34">
        <v>0</v>
      </c>
      <c r="BE34">
        <v>2</v>
      </c>
      <c r="BF34" s="28">
        <v>8</v>
      </c>
      <c r="BG34">
        <v>0</v>
      </c>
      <c r="BH34">
        <v>2</v>
      </c>
      <c r="BI34">
        <v>0</v>
      </c>
      <c r="BJ34" s="34">
        <v>0</v>
      </c>
    </row>
    <row r="35" spans="1:62" x14ac:dyDescent="0.25">
      <c r="A35" s="2" t="s">
        <v>44</v>
      </c>
      <c r="B35" s="7">
        <v>0.63541666666666663</v>
      </c>
      <c r="C35" s="31">
        <v>97</v>
      </c>
      <c r="D35">
        <v>1</v>
      </c>
      <c r="E35">
        <v>1</v>
      </c>
      <c r="F35">
        <v>0</v>
      </c>
      <c r="G35">
        <v>0</v>
      </c>
      <c r="H35" s="28">
        <v>108</v>
      </c>
      <c r="I35">
        <v>2</v>
      </c>
      <c r="J35">
        <v>1</v>
      </c>
      <c r="K35">
        <v>0</v>
      </c>
      <c r="L35">
        <v>0</v>
      </c>
      <c r="M35" s="28">
        <v>68</v>
      </c>
      <c r="N35">
        <v>0</v>
      </c>
      <c r="O35">
        <v>0</v>
      </c>
      <c r="P35">
        <v>0</v>
      </c>
      <c r="Q35">
        <v>0</v>
      </c>
      <c r="R35" s="31">
        <v>18</v>
      </c>
      <c r="S35">
        <v>0</v>
      </c>
      <c r="T35">
        <v>2</v>
      </c>
      <c r="U35">
        <v>0</v>
      </c>
      <c r="V35">
        <v>0</v>
      </c>
      <c r="W35" s="28">
        <v>64</v>
      </c>
      <c r="X35">
        <v>5</v>
      </c>
      <c r="Y35">
        <v>1</v>
      </c>
      <c r="Z35">
        <v>0</v>
      </c>
      <c r="AA35">
        <v>0</v>
      </c>
      <c r="AB35" s="28">
        <v>74</v>
      </c>
      <c r="AC35">
        <v>0</v>
      </c>
      <c r="AD35">
        <v>0</v>
      </c>
      <c r="AE35">
        <v>0</v>
      </c>
      <c r="AF35">
        <v>0</v>
      </c>
      <c r="AG35" s="31">
        <v>23</v>
      </c>
      <c r="AH35">
        <v>0</v>
      </c>
      <c r="AI35">
        <v>0</v>
      </c>
      <c r="AJ35">
        <v>0</v>
      </c>
      <c r="AK35">
        <v>0</v>
      </c>
      <c r="AL35" s="28">
        <v>120</v>
      </c>
      <c r="AM35">
        <v>0</v>
      </c>
      <c r="AN35">
        <v>2</v>
      </c>
      <c r="AO35">
        <v>0</v>
      </c>
      <c r="AP35">
        <v>0</v>
      </c>
      <c r="AQ35" s="28">
        <v>19</v>
      </c>
      <c r="AR35">
        <v>1</v>
      </c>
      <c r="AS35">
        <v>0</v>
      </c>
      <c r="AT35">
        <v>0</v>
      </c>
      <c r="AU35">
        <v>0</v>
      </c>
      <c r="AV35" s="31">
        <v>68</v>
      </c>
      <c r="AW35">
        <v>1</v>
      </c>
      <c r="AX35">
        <v>4</v>
      </c>
      <c r="AY35">
        <v>0</v>
      </c>
      <c r="AZ35">
        <v>1</v>
      </c>
      <c r="BA35" s="28">
        <v>86</v>
      </c>
      <c r="BB35">
        <v>1</v>
      </c>
      <c r="BC35">
        <v>0</v>
      </c>
      <c r="BD35">
        <v>0</v>
      </c>
      <c r="BE35">
        <v>3</v>
      </c>
      <c r="BF35" s="28">
        <v>17</v>
      </c>
      <c r="BG35">
        <v>0</v>
      </c>
      <c r="BH35">
        <v>0</v>
      </c>
      <c r="BI35">
        <v>0</v>
      </c>
      <c r="BJ35" s="34">
        <v>0</v>
      </c>
    </row>
    <row r="36" spans="1:62" x14ac:dyDescent="0.25">
      <c r="A36" s="2" t="s">
        <v>44</v>
      </c>
      <c r="B36" s="7">
        <v>0.64583333333333337</v>
      </c>
      <c r="C36" s="31">
        <v>82</v>
      </c>
      <c r="D36">
        <v>0</v>
      </c>
      <c r="E36">
        <v>0</v>
      </c>
      <c r="F36">
        <v>0</v>
      </c>
      <c r="G36">
        <v>0</v>
      </c>
      <c r="H36" s="28">
        <v>74</v>
      </c>
      <c r="I36">
        <v>0</v>
      </c>
      <c r="J36">
        <v>2</v>
      </c>
      <c r="K36">
        <v>1</v>
      </c>
      <c r="L36">
        <v>0</v>
      </c>
      <c r="M36" s="28">
        <v>79</v>
      </c>
      <c r="N36">
        <v>1</v>
      </c>
      <c r="O36">
        <v>0</v>
      </c>
      <c r="P36">
        <v>0</v>
      </c>
      <c r="Q36">
        <v>0</v>
      </c>
      <c r="R36" s="31">
        <v>16</v>
      </c>
      <c r="S36">
        <v>0</v>
      </c>
      <c r="T36">
        <v>0</v>
      </c>
      <c r="U36">
        <v>0</v>
      </c>
      <c r="V36">
        <v>0</v>
      </c>
      <c r="W36" s="28">
        <v>53</v>
      </c>
      <c r="X36">
        <v>2</v>
      </c>
      <c r="Y36">
        <v>0</v>
      </c>
      <c r="Z36">
        <v>0</v>
      </c>
      <c r="AA36">
        <v>1</v>
      </c>
      <c r="AB36" s="28">
        <v>61</v>
      </c>
      <c r="AC36">
        <v>0</v>
      </c>
      <c r="AD36">
        <v>1</v>
      </c>
      <c r="AE36">
        <v>0</v>
      </c>
      <c r="AF36">
        <v>0</v>
      </c>
      <c r="AG36" s="31">
        <v>23</v>
      </c>
      <c r="AH36">
        <v>0</v>
      </c>
      <c r="AI36">
        <v>0</v>
      </c>
      <c r="AJ36">
        <v>0</v>
      </c>
      <c r="AK36">
        <v>0</v>
      </c>
      <c r="AL36" s="28">
        <v>123</v>
      </c>
      <c r="AM36">
        <v>0</v>
      </c>
      <c r="AN36">
        <v>0</v>
      </c>
      <c r="AO36">
        <v>0</v>
      </c>
      <c r="AP36">
        <v>0</v>
      </c>
      <c r="AQ36" s="28">
        <v>14</v>
      </c>
      <c r="AR36">
        <v>0</v>
      </c>
      <c r="AS36">
        <v>0</v>
      </c>
      <c r="AT36">
        <v>0</v>
      </c>
      <c r="AU36">
        <v>0</v>
      </c>
      <c r="AV36" s="31">
        <v>86</v>
      </c>
      <c r="AW36">
        <v>1</v>
      </c>
      <c r="AX36">
        <v>2</v>
      </c>
      <c r="AY36">
        <v>0</v>
      </c>
      <c r="AZ36">
        <v>0</v>
      </c>
      <c r="BA36" s="28">
        <v>64</v>
      </c>
      <c r="BB36">
        <v>5</v>
      </c>
      <c r="BC36">
        <v>0</v>
      </c>
      <c r="BD36">
        <v>0</v>
      </c>
      <c r="BE36">
        <v>1</v>
      </c>
      <c r="BF36" s="28">
        <v>13</v>
      </c>
      <c r="BG36">
        <v>0</v>
      </c>
      <c r="BH36">
        <v>1</v>
      </c>
      <c r="BI36">
        <v>0</v>
      </c>
      <c r="BJ36" s="34">
        <v>0</v>
      </c>
    </row>
    <row r="37" spans="1:62" x14ac:dyDescent="0.25">
      <c r="A37" s="2" t="s">
        <v>44</v>
      </c>
      <c r="B37" s="7">
        <v>0.65625</v>
      </c>
      <c r="C37" s="31">
        <v>92</v>
      </c>
      <c r="D37">
        <v>0</v>
      </c>
      <c r="E37">
        <v>0</v>
      </c>
      <c r="F37">
        <v>0</v>
      </c>
      <c r="G37">
        <v>0</v>
      </c>
      <c r="H37" s="28">
        <v>109</v>
      </c>
      <c r="I37">
        <v>2</v>
      </c>
      <c r="J37">
        <v>1</v>
      </c>
      <c r="K37">
        <v>0</v>
      </c>
      <c r="L37">
        <v>1</v>
      </c>
      <c r="M37" s="28">
        <v>89</v>
      </c>
      <c r="N37">
        <v>0</v>
      </c>
      <c r="O37">
        <v>2</v>
      </c>
      <c r="P37">
        <v>0</v>
      </c>
      <c r="Q37">
        <v>0</v>
      </c>
      <c r="R37" s="31">
        <v>9</v>
      </c>
      <c r="S37">
        <v>0</v>
      </c>
      <c r="T37">
        <v>0</v>
      </c>
      <c r="U37">
        <v>0</v>
      </c>
      <c r="V37">
        <v>0</v>
      </c>
      <c r="W37" s="28">
        <v>51</v>
      </c>
      <c r="X37">
        <v>5</v>
      </c>
      <c r="Y37">
        <v>0</v>
      </c>
      <c r="Z37">
        <v>0</v>
      </c>
      <c r="AA37">
        <v>0</v>
      </c>
      <c r="AB37" s="28">
        <v>74</v>
      </c>
      <c r="AC37">
        <v>0</v>
      </c>
      <c r="AD37">
        <v>1</v>
      </c>
      <c r="AE37">
        <v>0</v>
      </c>
      <c r="AF37">
        <v>0</v>
      </c>
      <c r="AG37" s="31">
        <v>19</v>
      </c>
      <c r="AH37">
        <v>0</v>
      </c>
      <c r="AI37">
        <v>0</v>
      </c>
      <c r="AJ37">
        <v>0</v>
      </c>
      <c r="AK37">
        <v>0</v>
      </c>
      <c r="AL37" s="28">
        <v>136</v>
      </c>
      <c r="AM37">
        <v>0</v>
      </c>
      <c r="AN37">
        <v>1</v>
      </c>
      <c r="AO37">
        <v>0</v>
      </c>
      <c r="AP37">
        <v>0</v>
      </c>
      <c r="AQ37" s="28">
        <v>11</v>
      </c>
      <c r="AR37">
        <v>1</v>
      </c>
      <c r="AS37">
        <v>1</v>
      </c>
      <c r="AT37">
        <v>0</v>
      </c>
      <c r="AU37">
        <v>0</v>
      </c>
      <c r="AV37" s="31">
        <v>92</v>
      </c>
      <c r="AW37">
        <v>0</v>
      </c>
      <c r="AX37">
        <v>2</v>
      </c>
      <c r="AY37">
        <v>0</v>
      </c>
      <c r="AZ37">
        <v>0</v>
      </c>
      <c r="BA37" s="28">
        <v>52</v>
      </c>
      <c r="BB37">
        <v>3</v>
      </c>
      <c r="BC37">
        <v>0</v>
      </c>
      <c r="BD37">
        <v>0</v>
      </c>
      <c r="BE37">
        <v>1</v>
      </c>
      <c r="BF37" s="28">
        <v>14</v>
      </c>
      <c r="BG37">
        <v>0</v>
      </c>
      <c r="BH37">
        <v>0</v>
      </c>
      <c r="BI37">
        <v>0</v>
      </c>
      <c r="BJ37" s="34">
        <v>0</v>
      </c>
    </row>
    <row r="38" spans="1:62" x14ac:dyDescent="0.25">
      <c r="A38" s="2" t="s">
        <v>44</v>
      </c>
      <c r="B38" s="7">
        <v>0.66666666666666663</v>
      </c>
      <c r="C38" s="31">
        <v>89</v>
      </c>
      <c r="D38">
        <v>0</v>
      </c>
      <c r="E38">
        <v>0</v>
      </c>
      <c r="F38">
        <v>0</v>
      </c>
      <c r="G38">
        <v>1</v>
      </c>
      <c r="H38" s="28">
        <v>86</v>
      </c>
      <c r="I38">
        <v>0</v>
      </c>
      <c r="J38">
        <v>0</v>
      </c>
      <c r="K38">
        <v>0</v>
      </c>
      <c r="L38">
        <v>0</v>
      </c>
      <c r="M38" s="28">
        <v>52</v>
      </c>
      <c r="N38">
        <v>1</v>
      </c>
      <c r="O38">
        <v>3</v>
      </c>
      <c r="P38">
        <v>0</v>
      </c>
      <c r="Q38">
        <v>0</v>
      </c>
      <c r="R38" s="31">
        <v>13</v>
      </c>
      <c r="S38">
        <v>0</v>
      </c>
      <c r="T38">
        <v>0</v>
      </c>
      <c r="U38">
        <v>0</v>
      </c>
      <c r="V38">
        <v>0</v>
      </c>
      <c r="W38" s="28">
        <v>50</v>
      </c>
      <c r="X38">
        <v>5</v>
      </c>
      <c r="Y38">
        <v>0</v>
      </c>
      <c r="Z38">
        <v>0</v>
      </c>
      <c r="AA38">
        <v>0</v>
      </c>
      <c r="AB38" s="28">
        <v>88</v>
      </c>
      <c r="AC38">
        <v>0</v>
      </c>
      <c r="AD38">
        <v>1</v>
      </c>
      <c r="AE38">
        <v>0</v>
      </c>
      <c r="AF38">
        <v>1</v>
      </c>
      <c r="AG38" s="31">
        <v>19</v>
      </c>
      <c r="AH38">
        <v>0</v>
      </c>
      <c r="AI38">
        <v>1</v>
      </c>
      <c r="AJ38">
        <v>0</v>
      </c>
      <c r="AK38">
        <v>0</v>
      </c>
      <c r="AL38" s="28">
        <v>136</v>
      </c>
      <c r="AM38">
        <v>0</v>
      </c>
      <c r="AN38">
        <v>0</v>
      </c>
      <c r="AO38">
        <v>0</v>
      </c>
      <c r="AP38">
        <v>1</v>
      </c>
      <c r="AQ38" s="28">
        <v>12</v>
      </c>
      <c r="AR38">
        <v>0</v>
      </c>
      <c r="AS38">
        <v>0</v>
      </c>
      <c r="AT38">
        <v>0</v>
      </c>
      <c r="AU38">
        <v>0</v>
      </c>
      <c r="AV38" s="31">
        <v>82</v>
      </c>
      <c r="AW38">
        <v>0</v>
      </c>
      <c r="AX38">
        <v>0</v>
      </c>
      <c r="AY38">
        <v>0</v>
      </c>
      <c r="AZ38">
        <v>0</v>
      </c>
      <c r="BA38" s="28">
        <v>71</v>
      </c>
      <c r="BB38">
        <v>6</v>
      </c>
      <c r="BC38">
        <v>1</v>
      </c>
      <c r="BD38">
        <v>0</v>
      </c>
      <c r="BE38">
        <v>0</v>
      </c>
      <c r="BF38" s="28">
        <v>15</v>
      </c>
      <c r="BG38">
        <v>0</v>
      </c>
      <c r="BH38">
        <v>0</v>
      </c>
      <c r="BI38">
        <v>0</v>
      </c>
      <c r="BJ38" s="34">
        <v>0</v>
      </c>
    </row>
    <row r="39" spans="1:62" x14ac:dyDescent="0.25">
      <c r="A39" s="2" t="s">
        <v>44</v>
      </c>
      <c r="B39" s="7">
        <v>0.67708333333333337</v>
      </c>
      <c r="C39" s="31">
        <v>96</v>
      </c>
      <c r="D39">
        <v>0</v>
      </c>
      <c r="E39">
        <v>4</v>
      </c>
      <c r="F39">
        <v>0</v>
      </c>
      <c r="G39">
        <v>0</v>
      </c>
      <c r="H39" s="28">
        <v>79</v>
      </c>
      <c r="I39">
        <v>0</v>
      </c>
      <c r="J39">
        <v>0</v>
      </c>
      <c r="K39">
        <v>0</v>
      </c>
      <c r="L39">
        <v>0</v>
      </c>
      <c r="M39" s="28">
        <v>60</v>
      </c>
      <c r="N39">
        <v>1</v>
      </c>
      <c r="O39">
        <v>1</v>
      </c>
      <c r="P39">
        <v>0</v>
      </c>
      <c r="Q39">
        <v>0</v>
      </c>
      <c r="R39" s="31">
        <v>12</v>
      </c>
      <c r="S39">
        <v>0</v>
      </c>
      <c r="T39">
        <v>0</v>
      </c>
      <c r="U39">
        <v>0</v>
      </c>
      <c r="V39">
        <v>0</v>
      </c>
      <c r="W39" s="28">
        <v>61</v>
      </c>
      <c r="X39">
        <v>2</v>
      </c>
      <c r="Y39">
        <v>0</v>
      </c>
      <c r="Z39">
        <v>0</v>
      </c>
      <c r="AA39">
        <v>2</v>
      </c>
      <c r="AB39" s="28">
        <v>84</v>
      </c>
      <c r="AC39">
        <v>0</v>
      </c>
      <c r="AD39">
        <v>0</v>
      </c>
      <c r="AE39">
        <v>0</v>
      </c>
      <c r="AF39">
        <v>0</v>
      </c>
      <c r="AG39" s="31">
        <v>26</v>
      </c>
      <c r="AH39">
        <v>0</v>
      </c>
      <c r="AI39">
        <v>0</v>
      </c>
      <c r="AJ39">
        <v>0</v>
      </c>
      <c r="AK39">
        <v>0</v>
      </c>
      <c r="AL39" s="28">
        <v>171</v>
      </c>
      <c r="AM39">
        <v>0</v>
      </c>
      <c r="AN39">
        <v>0</v>
      </c>
      <c r="AO39">
        <v>0</v>
      </c>
      <c r="AP39">
        <v>1</v>
      </c>
      <c r="AQ39" s="28">
        <v>12</v>
      </c>
      <c r="AR39">
        <v>0</v>
      </c>
      <c r="AS39">
        <v>0</v>
      </c>
      <c r="AT39">
        <v>0</v>
      </c>
      <c r="AU39">
        <v>0</v>
      </c>
      <c r="AV39" s="31">
        <v>71</v>
      </c>
      <c r="AW39">
        <v>1</v>
      </c>
      <c r="AX39">
        <v>1</v>
      </c>
      <c r="AY39">
        <v>0</v>
      </c>
      <c r="AZ39">
        <v>1</v>
      </c>
      <c r="BA39" s="28">
        <v>57</v>
      </c>
      <c r="BB39">
        <v>7</v>
      </c>
      <c r="BC39">
        <v>0</v>
      </c>
      <c r="BD39">
        <v>0</v>
      </c>
      <c r="BE39">
        <v>0</v>
      </c>
      <c r="BF39" s="28">
        <v>16</v>
      </c>
      <c r="BG39">
        <v>0</v>
      </c>
      <c r="BH39">
        <v>0</v>
      </c>
      <c r="BI39">
        <v>0</v>
      </c>
      <c r="BJ39" s="34">
        <v>0</v>
      </c>
    </row>
    <row r="40" spans="1:62" x14ac:dyDescent="0.25">
      <c r="A40" s="2" t="s">
        <v>44</v>
      </c>
      <c r="B40" s="7">
        <v>0.6875</v>
      </c>
      <c r="C40" s="31">
        <v>94</v>
      </c>
      <c r="D40">
        <v>0</v>
      </c>
      <c r="E40">
        <v>1</v>
      </c>
      <c r="F40">
        <v>0</v>
      </c>
      <c r="G40">
        <v>0</v>
      </c>
      <c r="H40" s="28">
        <v>93</v>
      </c>
      <c r="I40">
        <v>0</v>
      </c>
      <c r="J40">
        <v>1</v>
      </c>
      <c r="K40">
        <v>0</v>
      </c>
      <c r="L40">
        <v>0</v>
      </c>
      <c r="M40" s="28">
        <v>71</v>
      </c>
      <c r="N40">
        <v>0</v>
      </c>
      <c r="O40">
        <v>1</v>
      </c>
      <c r="P40">
        <v>0</v>
      </c>
      <c r="Q40">
        <v>0</v>
      </c>
      <c r="R40" s="31">
        <v>11</v>
      </c>
      <c r="S40">
        <v>0</v>
      </c>
      <c r="T40">
        <v>0</v>
      </c>
      <c r="U40">
        <v>0</v>
      </c>
      <c r="V40">
        <v>0</v>
      </c>
      <c r="W40" s="28">
        <v>83</v>
      </c>
      <c r="X40">
        <v>4</v>
      </c>
      <c r="Y40">
        <v>0</v>
      </c>
      <c r="Z40">
        <v>0</v>
      </c>
      <c r="AA40">
        <v>0</v>
      </c>
      <c r="AB40" s="28">
        <v>119</v>
      </c>
      <c r="AC40">
        <v>0</v>
      </c>
      <c r="AD40">
        <v>0</v>
      </c>
      <c r="AE40">
        <v>0</v>
      </c>
      <c r="AF40">
        <v>0</v>
      </c>
      <c r="AG40" s="31">
        <v>21</v>
      </c>
      <c r="AH40">
        <v>0</v>
      </c>
      <c r="AI40">
        <v>0</v>
      </c>
      <c r="AJ40">
        <v>0</v>
      </c>
      <c r="AK40">
        <v>0</v>
      </c>
      <c r="AL40" s="28">
        <v>179</v>
      </c>
      <c r="AM40">
        <v>0</v>
      </c>
      <c r="AN40">
        <v>1</v>
      </c>
      <c r="AO40">
        <v>0</v>
      </c>
      <c r="AP40">
        <v>0</v>
      </c>
      <c r="AQ40" s="28">
        <v>16</v>
      </c>
      <c r="AR40">
        <v>0</v>
      </c>
      <c r="AS40">
        <v>0</v>
      </c>
      <c r="AT40">
        <v>0</v>
      </c>
      <c r="AU40">
        <v>0</v>
      </c>
      <c r="AV40" s="31">
        <v>98</v>
      </c>
      <c r="AW40">
        <v>2</v>
      </c>
      <c r="AX40">
        <v>0</v>
      </c>
      <c r="AY40">
        <v>0</v>
      </c>
      <c r="AZ40">
        <v>1</v>
      </c>
      <c r="BA40" s="28">
        <v>65</v>
      </c>
      <c r="BB40">
        <v>7</v>
      </c>
      <c r="BC40">
        <v>1</v>
      </c>
      <c r="BD40">
        <v>0</v>
      </c>
      <c r="BE40">
        <v>0</v>
      </c>
      <c r="BF40" s="28">
        <v>15</v>
      </c>
      <c r="BG40">
        <v>0</v>
      </c>
      <c r="BH40">
        <v>0</v>
      </c>
      <c r="BI40">
        <v>0</v>
      </c>
      <c r="BJ40" s="34">
        <v>0</v>
      </c>
    </row>
    <row r="41" spans="1:62" x14ac:dyDescent="0.25">
      <c r="A41" s="2" t="s">
        <v>44</v>
      </c>
      <c r="B41" s="7">
        <v>0.69791666666666663</v>
      </c>
      <c r="C41" s="31">
        <v>99</v>
      </c>
      <c r="D41">
        <v>0</v>
      </c>
      <c r="E41">
        <v>1</v>
      </c>
      <c r="F41">
        <v>0</v>
      </c>
      <c r="G41">
        <v>0</v>
      </c>
      <c r="H41" s="28">
        <v>120</v>
      </c>
      <c r="I41">
        <v>0</v>
      </c>
      <c r="J41">
        <v>2</v>
      </c>
      <c r="K41">
        <v>0</v>
      </c>
      <c r="L41">
        <v>0</v>
      </c>
      <c r="M41" s="28">
        <v>50</v>
      </c>
      <c r="N41">
        <v>1</v>
      </c>
      <c r="O41">
        <v>0</v>
      </c>
      <c r="P41">
        <v>0</v>
      </c>
      <c r="Q41">
        <v>0</v>
      </c>
      <c r="R41" s="31">
        <v>11</v>
      </c>
      <c r="S41">
        <v>1</v>
      </c>
      <c r="T41">
        <v>0</v>
      </c>
      <c r="U41">
        <v>0</v>
      </c>
      <c r="V41">
        <v>0</v>
      </c>
      <c r="W41" s="28">
        <v>72</v>
      </c>
      <c r="X41">
        <v>6</v>
      </c>
      <c r="Y41">
        <v>1</v>
      </c>
      <c r="Z41">
        <v>0</v>
      </c>
      <c r="AA41">
        <v>0</v>
      </c>
      <c r="AB41" s="28">
        <v>99</v>
      </c>
      <c r="AC41">
        <v>0</v>
      </c>
      <c r="AD41">
        <v>1</v>
      </c>
      <c r="AE41">
        <v>0</v>
      </c>
      <c r="AF41">
        <v>0</v>
      </c>
      <c r="AG41" s="31">
        <v>24</v>
      </c>
      <c r="AH41">
        <v>1</v>
      </c>
      <c r="AI41">
        <v>0</v>
      </c>
      <c r="AJ41">
        <v>0</v>
      </c>
      <c r="AK41">
        <v>0</v>
      </c>
      <c r="AL41" s="28">
        <v>151</v>
      </c>
      <c r="AM41">
        <v>0</v>
      </c>
      <c r="AN41">
        <v>1</v>
      </c>
      <c r="AO41">
        <v>0</v>
      </c>
      <c r="AP41">
        <v>0</v>
      </c>
      <c r="AQ41" s="28">
        <v>8</v>
      </c>
      <c r="AR41">
        <v>0</v>
      </c>
      <c r="AS41">
        <v>0</v>
      </c>
      <c r="AT41">
        <v>0</v>
      </c>
      <c r="AU41">
        <v>0</v>
      </c>
      <c r="AV41" s="31">
        <v>114</v>
      </c>
      <c r="AW41">
        <v>0</v>
      </c>
      <c r="AX41">
        <v>1</v>
      </c>
      <c r="AY41">
        <v>0</v>
      </c>
      <c r="AZ41">
        <v>1</v>
      </c>
      <c r="BA41" s="28">
        <v>68</v>
      </c>
      <c r="BB41">
        <v>8</v>
      </c>
      <c r="BC41">
        <v>1</v>
      </c>
      <c r="BD41">
        <v>0</v>
      </c>
      <c r="BE41">
        <v>0</v>
      </c>
      <c r="BF41" s="28">
        <v>12</v>
      </c>
      <c r="BG41">
        <v>0</v>
      </c>
      <c r="BH41">
        <v>0</v>
      </c>
      <c r="BI41">
        <v>0</v>
      </c>
      <c r="BJ41" s="34">
        <v>0</v>
      </c>
    </row>
    <row r="42" spans="1:62" x14ac:dyDescent="0.25">
      <c r="A42" s="2" t="s">
        <v>44</v>
      </c>
      <c r="B42" s="7">
        <v>0.70833333333333337</v>
      </c>
      <c r="C42" s="31">
        <v>85</v>
      </c>
      <c r="D42">
        <v>0</v>
      </c>
      <c r="E42">
        <v>3</v>
      </c>
      <c r="F42">
        <v>1</v>
      </c>
      <c r="G42">
        <v>0</v>
      </c>
      <c r="H42" s="28">
        <v>106</v>
      </c>
      <c r="I42">
        <v>1</v>
      </c>
      <c r="J42">
        <v>1</v>
      </c>
      <c r="K42">
        <v>0</v>
      </c>
      <c r="L42">
        <v>0</v>
      </c>
      <c r="M42" s="28">
        <v>73</v>
      </c>
      <c r="N42">
        <v>0</v>
      </c>
      <c r="O42">
        <v>0</v>
      </c>
      <c r="P42">
        <v>0</v>
      </c>
      <c r="Q42">
        <v>0</v>
      </c>
      <c r="R42" s="31">
        <v>8</v>
      </c>
      <c r="S42">
        <v>1</v>
      </c>
      <c r="T42">
        <v>1</v>
      </c>
      <c r="U42">
        <v>0</v>
      </c>
      <c r="V42">
        <v>0</v>
      </c>
      <c r="W42" s="28">
        <v>74</v>
      </c>
      <c r="X42">
        <v>3</v>
      </c>
      <c r="Y42">
        <v>2</v>
      </c>
      <c r="Z42">
        <v>0</v>
      </c>
      <c r="AA42">
        <v>8</v>
      </c>
      <c r="AB42" s="28">
        <v>113</v>
      </c>
      <c r="AC42">
        <v>0</v>
      </c>
      <c r="AD42">
        <v>1</v>
      </c>
      <c r="AE42">
        <v>0</v>
      </c>
      <c r="AF42">
        <v>0</v>
      </c>
      <c r="AG42" s="31">
        <v>13</v>
      </c>
      <c r="AH42">
        <v>0</v>
      </c>
      <c r="AI42">
        <v>0</v>
      </c>
      <c r="AJ42">
        <v>0</v>
      </c>
      <c r="AK42">
        <v>0</v>
      </c>
      <c r="AL42" s="28">
        <v>142</v>
      </c>
      <c r="AM42">
        <v>0</v>
      </c>
      <c r="AN42">
        <v>3</v>
      </c>
      <c r="AO42">
        <v>0</v>
      </c>
      <c r="AP42">
        <v>0</v>
      </c>
      <c r="AQ42" s="28">
        <v>10</v>
      </c>
      <c r="AR42">
        <v>0</v>
      </c>
      <c r="AS42">
        <v>0</v>
      </c>
      <c r="AT42">
        <v>0</v>
      </c>
      <c r="AU42">
        <v>0</v>
      </c>
      <c r="AV42" s="31">
        <v>93</v>
      </c>
      <c r="AW42">
        <v>0</v>
      </c>
      <c r="AX42">
        <v>0</v>
      </c>
      <c r="AY42">
        <v>0</v>
      </c>
      <c r="AZ42">
        <v>0</v>
      </c>
      <c r="BA42" s="28">
        <v>86</v>
      </c>
      <c r="BB42">
        <v>3</v>
      </c>
      <c r="BC42">
        <v>0</v>
      </c>
      <c r="BD42">
        <v>0</v>
      </c>
      <c r="BE42">
        <v>0</v>
      </c>
      <c r="BF42" s="28">
        <v>13</v>
      </c>
      <c r="BG42">
        <v>0</v>
      </c>
      <c r="BH42">
        <v>0</v>
      </c>
      <c r="BI42">
        <v>0</v>
      </c>
      <c r="BJ42" s="34">
        <v>0</v>
      </c>
    </row>
    <row r="43" spans="1:62" x14ac:dyDescent="0.25">
      <c r="A43" s="2" t="s">
        <v>44</v>
      </c>
      <c r="B43" s="7">
        <v>0.71875</v>
      </c>
      <c r="C43" s="31">
        <v>98</v>
      </c>
      <c r="D43">
        <v>2</v>
      </c>
      <c r="E43">
        <v>2</v>
      </c>
      <c r="F43">
        <v>0</v>
      </c>
      <c r="G43">
        <v>0</v>
      </c>
      <c r="H43" s="28">
        <v>111</v>
      </c>
      <c r="I43">
        <v>0</v>
      </c>
      <c r="J43">
        <v>1</v>
      </c>
      <c r="K43">
        <v>0</v>
      </c>
      <c r="L43">
        <v>0</v>
      </c>
      <c r="M43" s="28">
        <v>63</v>
      </c>
      <c r="N43">
        <v>1</v>
      </c>
      <c r="O43">
        <v>0</v>
      </c>
      <c r="P43">
        <v>0</v>
      </c>
      <c r="Q43">
        <v>0</v>
      </c>
      <c r="R43" s="31">
        <v>13</v>
      </c>
      <c r="S43">
        <v>0</v>
      </c>
      <c r="T43">
        <v>0</v>
      </c>
      <c r="U43">
        <v>0</v>
      </c>
      <c r="V43">
        <v>0</v>
      </c>
      <c r="W43" s="28">
        <v>90</v>
      </c>
      <c r="X43">
        <v>5</v>
      </c>
      <c r="Y43">
        <v>1</v>
      </c>
      <c r="Z43">
        <v>0</v>
      </c>
      <c r="AA43">
        <v>3</v>
      </c>
      <c r="AB43" s="28">
        <v>105</v>
      </c>
      <c r="AC43">
        <v>0</v>
      </c>
      <c r="AD43">
        <v>0</v>
      </c>
      <c r="AE43">
        <v>0</v>
      </c>
      <c r="AF43">
        <v>0</v>
      </c>
      <c r="AG43" s="31">
        <v>18</v>
      </c>
      <c r="AH43">
        <v>0</v>
      </c>
      <c r="AI43">
        <v>0</v>
      </c>
      <c r="AJ43">
        <v>0</v>
      </c>
      <c r="AK43">
        <v>0</v>
      </c>
      <c r="AL43" s="28">
        <v>155</v>
      </c>
      <c r="AM43">
        <v>0</v>
      </c>
      <c r="AN43">
        <v>0</v>
      </c>
      <c r="AO43">
        <v>0</v>
      </c>
      <c r="AP43">
        <v>1</v>
      </c>
      <c r="AQ43" s="28">
        <v>17</v>
      </c>
      <c r="AR43">
        <v>0</v>
      </c>
      <c r="AS43">
        <v>1</v>
      </c>
      <c r="AT43">
        <v>0</v>
      </c>
      <c r="AU43">
        <v>0</v>
      </c>
      <c r="AV43" s="31">
        <v>95</v>
      </c>
      <c r="AW43">
        <v>0</v>
      </c>
      <c r="AX43">
        <v>0</v>
      </c>
      <c r="AY43">
        <v>0</v>
      </c>
      <c r="AZ43">
        <v>0</v>
      </c>
      <c r="BA43" s="28">
        <v>51</v>
      </c>
      <c r="BB43">
        <v>3</v>
      </c>
      <c r="BC43">
        <v>0</v>
      </c>
      <c r="BD43">
        <v>0</v>
      </c>
      <c r="BE43">
        <v>2</v>
      </c>
      <c r="BF43" s="28">
        <v>17</v>
      </c>
      <c r="BG43">
        <v>0</v>
      </c>
      <c r="BH43">
        <v>0</v>
      </c>
      <c r="BI43">
        <v>0</v>
      </c>
      <c r="BJ43" s="34">
        <v>0</v>
      </c>
    </row>
    <row r="44" spans="1:62" x14ac:dyDescent="0.25">
      <c r="A44" s="2" t="s">
        <v>44</v>
      </c>
      <c r="B44" s="7">
        <v>0.72916666666666663</v>
      </c>
      <c r="C44" s="31">
        <v>85</v>
      </c>
      <c r="D44">
        <v>0</v>
      </c>
      <c r="E44">
        <v>3</v>
      </c>
      <c r="F44">
        <v>0</v>
      </c>
      <c r="G44">
        <v>0</v>
      </c>
      <c r="H44" s="28">
        <v>95</v>
      </c>
      <c r="I44">
        <v>0</v>
      </c>
      <c r="J44">
        <v>0</v>
      </c>
      <c r="K44">
        <v>0</v>
      </c>
      <c r="L44">
        <v>0</v>
      </c>
      <c r="M44" s="28">
        <v>76</v>
      </c>
      <c r="N44">
        <v>0</v>
      </c>
      <c r="O44">
        <v>0</v>
      </c>
      <c r="P44">
        <v>0</v>
      </c>
      <c r="Q44">
        <v>0</v>
      </c>
      <c r="R44" s="31">
        <v>15</v>
      </c>
      <c r="S44">
        <v>0</v>
      </c>
      <c r="T44">
        <v>0</v>
      </c>
      <c r="U44">
        <v>0</v>
      </c>
      <c r="V44">
        <v>0</v>
      </c>
      <c r="W44" s="28">
        <v>66</v>
      </c>
      <c r="X44">
        <v>2</v>
      </c>
      <c r="Y44">
        <v>1</v>
      </c>
      <c r="Z44">
        <v>0</v>
      </c>
      <c r="AA44">
        <v>1</v>
      </c>
      <c r="AB44" s="28">
        <v>105</v>
      </c>
      <c r="AC44">
        <v>0</v>
      </c>
      <c r="AD44">
        <v>0</v>
      </c>
      <c r="AE44">
        <v>0</v>
      </c>
      <c r="AF44">
        <v>0</v>
      </c>
      <c r="AG44" s="31">
        <v>13</v>
      </c>
      <c r="AH44">
        <v>0</v>
      </c>
      <c r="AI44">
        <v>0</v>
      </c>
      <c r="AJ44">
        <v>0</v>
      </c>
      <c r="AK44">
        <v>0</v>
      </c>
      <c r="AL44" s="28">
        <v>170</v>
      </c>
      <c r="AM44">
        <v>0</v>
      </c>
      <c r="AN44">
        <v>0</v>
      </c>
      <c r="AO44">
        <v>0</v>
      </c>
      <c r="AP44">
        <v>0</v>
      </c>
      <c r="AQ44" s="28">
        <v>15</v>
      </c>
      <c r="AR44">
        <v>0</v>
      </c>
      <c r="AS44">
        <v>1</v>
      </c>
      <c r="AT44">
        <v>0</v>
      </c>
      <c r="AU44">
        <v>0</v>
      </c>
      <c r="AV44" s="31">
        <v>88</v>
      </c>
      <c r="AW44">
        <v>1</v>
      </c>
      <c r="AX44">
        <v>0</v>
      </c>
      <c r="AY44">
        <v>0</v>
      </c>
      <c r="AZ44">
        <v>0</v>
      </c>
      <c r="BA44" s="28">
        <v>63</v>
      </c>
      <c r="BB44">
        <v>5</v>
      </c>
      <c r="BC44">
        <v>0</v>
      </c>
      <c r="BD44">
        <v>0</v>
      </c>
      <c r="BE44">
        <v>1</v>
      </c>
      <c r="BF44" s="28">
        <v>17</v>
      </c>
      <c r="BG44">
        <v>0</v>
      </c>
      <c r="BH44">
        <v>0</v>
      </c>
      <c r="BI44">
        <v>0</v>
      </c>
      <c r="BJ44" s="34">
        <v>0</v>
      </c>
    </row>
    <row r="45" spans="1:62" x14ac:dyDescent="0.25">
      <c r="A45" s="2" t="s">
        <v>44</v>
      </c>
      <c r="B45" s="7">
        <v>0.73958333333333337</v>
      </c>
      <c r="C45" s="31">
        <v>83</v>
      </c>
      <c r="D45">
        <v>0</v>
      </c>
      <c r="E45">
        <v>2</v>
      </c>
      <c r="F45">
        <v>0</v>
      </c>
      <c r="G45">
        <v>0</v>
      </c>
      <c r="H45" s="28">
        <v>114</v>
      </c>
      <c r="I45">
        <v>0</v>
      </c>
      <c r="J45">
        <v>0</v>
      </c>
      <c r="K45">
        <v>0</v>
      </c>
      <c r="L45">
        <v>0</v>
      </c>
      <c r="M45" s="28">
        <v>61</v>
      </c>
      <c r="N45">
        <v>1</v>
      </c>
      <c r="O45">
        <v>0</v>
      </c>
      <c r="P45">
        <v>0</v>
      </c>
      <c r="Q45">
        <v>0</v>
      </c>
      <c r="R45" s="31">
        <v>11</v>
      </c>
      <c r="S45">
        <v>0</v>
      </c>
      <c r="T45">
        <v>1</v>
      </c>
      <c r="U45">
        <v>0</v>
      </c>
      <c r="V45">
        <v>0</v>
      </c>
      <c r="W45" s="28">
        <v>39</v>
      </c>
      <c r="X45">
        <v>4</v>
      </c>
      <c r="Y45">
        <v>0</v>
      </c>
      <c r="Z45">
        <v>0</v>
      </c>
      <c r="AA45">
        <v>3</v>
      </c>
      <c r="AB45" s="28">
        <v>63</v>
      </c>
      <c r="AC45">
        <v>0</v>
      </c>
      <c r="AD45">
        <v>0</v>
      </c>
      <c r="AE45">
        <v>0</v>
      </c>
      <c r="AF45">
        <v>0</v>
      </c>
      <c r="AG45" s="31">
        <v>23</v>
      </c>
      <c r="AH45">
        <v>0</v>
      </c>
      <c r="AI45">
        <v>2</v>
      </c>
      <c r="AJ45">
        <v>0</v>
      </c>
      <c r="AK45">
        <v>0</v>
      </c>
      <c r="AL45" s="28">
        <v>108</v>
      </c>
      <c r="AM45">
        <v>0</v>
      </c>
      <c r="AN45">
        <v>0</v>
      </c>
      <c r="AO45">
        <v>0</v>
      </c>
      <c r="AP45">
        <v>0</v>
      </c>
      <c r="AQ45" s="28">
        <v>13</v>
      </c>
      <c r="AR45">
        <v>0</v>
      </c>
      <c r="AS45">
        <v>0</v>
      </c>
      <c r="AT45">
        <v>0</v>
      </c>
      <c r="AU45">
        <v>0</v>
      </c>
      <c r="AV45" s="31">
        <v>83</v>
      </c>
      <c r="AW45">
        <v>1</v>
      </c>
      <c r="AX45">
        <v>0</v>
      </c>
      <c r="AY45">
        <v>0</v>
      </c>
      <c r="AZ45">
        <v>0</v>
      </c>
      <c r="BA45" s="28">
        <v>65</v>
      </c>
      <c r="BB45">
        <v>3</v>
      </c>
      <c r="BC45">
        <v>0</v>
      </c>
      <c r="BD45">
        <v>0</v>
      </c>
      <c r="BE45">
        <v>2</v>
      </c>
      <c r="BF45" s="28">
        <v>20</v>
      </c>
      <c r="BG45">
        <v>0</v>
      </c>
      <c r="BH45">
        <v>0</v>
      </c>
      <c r="BI45">
        <v>0</v>
      </c>
      <c r="BJ45" s="34">
        <v>0</v>
      </c>
    </row>
    <row r="46" spans="1:62" x14ac:dyDescent="0.25">
      <c r="A46" s="2" t="s">
        <v>44</v>
      </c>
      <c r="B46" s="7">
        <v>0.75</v>
      </c>
      <c r="C46" s="31">
        <v>56</v>
      </c>
      <c r="D46">
        <v>0</v>
      </c>
      <c r="E46">
        <v>0</v>
      </c>
      <c r="F46">
        <v>0</v>
      </c>
      <c r="G46">
        <v>0</v>
      </c>
      <c r="H46" s="28">
        <v>69</v>
      </c>
      <c r="I46">
        <v>0</v>
      </c>
      <c r="J46">
        <v>0</v>
      </c>
      <c r="K46">
        <v>0</v>
      </c>
      <c r="L46">
        <v>0</v>
      </c>
      <c r="M46" s="28">
        <v>68</v>
      </c>
      <c r="N46">
        <v>0</v>
      </c>
      <c r="O46">
        <v>0</v>
      </c>
      <c r="P46">
        <v>0</v>
      </c>
      <c r="Q46">
        <v>0</v>
      </c>
      <c r="R46" s="31">
        <v>5</v>
      </c>
      <c r="S46">
        <v>0</v>
      </c>
      <c r="T46">
        <v>1</v>
      </c>
      <c r="U46">
        <v>0</v>
      </c>
      <c r="V46">
        <v>0</v>
      </c>
      <c r="W46" s="28">
        <v>32</v>
      </c>
      <c r="X46">
        <v>3</v>
      </c>
      <c r="Y46">
        <v>0</v>
      </c>
      <c r="Z46">
        <v>0</v>
      </c>
      <c r="AA46">
        <v>0</v>
      </c>
      <c r="AB46" s="28">
        <v>54</v>
      </c>
      <c r="AC46">
        <v>0</v>
      </c>
      <c r="AD46">
        <v>2</v>
      </c>
      <c r="AE46">
        <v>0</v>
      </c>
      <c r="AF46">
        <v>0</v>
      </c>
      <c r="AG46" s="31">
        <v>13</v>
      </c>
      <c r="AH46">
        <v>0</v>
      </c>
      <c r="AI46">
        <v>0</v>
      </c>
      <c r="AJ46">
        <v>0</v>
      </c>
      <c r="AK46">
        <v>0</v>
      </c>
      <c r="AL46" s="28">
        <v>95</v>
      </c>
      <c r="AM46">
        <v>0</v>
      </c>
      <c r="AN46">
        <v>3</v>
      </c>
      <c r="AO46">
        <v>0</v>
      </c>
      <c r="AP46">
        <v>1</v>
      </c>
      <c r="AQ46" s="28">
        <v>7</v>
      </c>
      <c r="AR46">
        <v>0</v>
      </c>
      <c r="AS46">
        <v>0</v>
      </c>
      <c r="AT46">
        <v>0</v>
      </c>
      <c r="AU46">
        <v>0</v>
      </c>
      <c r="AV46" s="31">
        <v>97</v>
      </c>
      <c r="AW46">
        <v>1</v>
      </c>
      <c r="AX46">
        <v>0</v>
      </c>
      <c r="AY46">
        <v>0</v>
      </c>
      <c r="AZ46">
        <v>0</v>
      </c>
      <c r="BA46" s="28">
        <v>48</v>
      </c>
      <c r="BB46">
        <v>2</v>
      </c>
      <c r="BC46">
        <v>1</v>
      </c>
      <c r="BD46">
        <v>0</v>
      </c>
      <c r="BE46">
        <v>0</v>
      </c>
      <c r="BF46" s="28">
        <v>20</v>
      </c>
      <c r="BG46">
        <v>0</v>
      </c>
      <c r="BH46">
        <v>0</v>
      </c>
      <c r="BI46">
        <v>0</v>
      </c>
      <c r="BJ46" s="34">
        <v>0</v>
      </c>
    </row>
    <row r="47" spans="1:62" ht="15.75" thickBot="1" x14ac:dyDescent="0.3">
      <c r="A47" s="21" t="s">
        <v>44</v>
      </c>
      <c r="B47" s="48">
        <v>0.76041666666666663</v>
      </c>
      <c r="C47" s="39">
        <v>55</v>
      </c>
      <c r="D47" s="38">
        <v>0</v>
      </c>
      <c r="E47" s="38">
        <v>0</v>
      </c>
      <c r="F47" s="38">
        <v>0</v>
      </c>
      <c r="G47" s="38">
        <v>0</v>
      </c>
      <c r="H47" s="40">
        <v>67</v>
      </c>
      <c r="I47" s="38">
        <v>0</v>
      </c>
      <c r="J47" s="38">
        <v>1</v>
      </c>
      <c r="K47" s="38">
        <v>0</v>
      </c>
      <c r="L47" s="38">
        <v>0</v>
      </c>
      <c r="M47" s="40">
        <v>53</v>
      </c>
      <c r="N47" s="38">
        <v>0</v>
      </c>
      <c r="O47" s="38">
        <v>0</v>
      </c>
      <c r="P47" s="38">
        <v>0</v>
      </c>
      <c r="Q47" s="38">
        <v>0</v>
      </c>
      <c r="R47" s="39">
        <v>7</v>
      </c>
      <c r="S47" s="38">
        <v>0</v>
      </c>
      <c r="T47" s="38">
        <v>0</v>
      </c>
      <c r="U47" s="38">
        <v>0</v>
      </c>
      <c r="V47" s="38">
        <v>0</v>
      </c>
      <c r="W47" s="40">
        <v>41</v>
      </c>
      <c r="X47" s="38">
        <v>5</v>
      </c>
      <c r="Y47" s="38">
        <v>0</v>
      </c>
      <c r="Z47" s="38">
        <v>0</v>
      </c>
      <c r="AA47" s="38">
        <v>0</v>
      </c>
      <c r="AB47" s="40">
        <v>43</v>
      </c>
      <c r="AC47" s="38">
        <v>0</v>
      </c>
      <c r="AD47" s="38">
        <v>0</v>
      </c>
      <c r="AE47" s="38">
        <v>0</v>
      </c>
      <c r="AF47" s="38">
        <v>0</v>
      </c>
      <c r="AG47" s="39">
        <v>25</v>
      </c>
      <c r="AH47" s="38">
        <v>0</v>
      </c>
      <c r="AI47" s="38">
        <v>0</v>
      </c>
      <c r="AJ47" s="38">
        <v>0</v>
      </c>
      <c r="AK47" s="38">
        <v>0</v>
      </c>
      <c r="AL47" s="40">
        <v>85</v>
      </c>
      <c r="AM47" s="38">
        <v>0</v>
      </c>
      <c r="AN47" s="38">
        <v>0</v>
      </c>
      <c r="AO47" s="38">
        <v>0</v>
      </c>
      <c r="AP47" s="38">
        <v>0</v>
      </c>
      <c r="AQ47" s="40">
        <v>7</v>
      </c>
      <c r="AR47" s="38">
        <v>0</v>
      </c>
      <c r="AS47" s="38">
        <v>0</v>
      </c>
      <c r="AT47" s="38">
        <v>0</v>
      </c>
      <c r="AU47" s="38">
        <v>0</v>
      </c>
      <c r="AV47" s="39">
        <v>75</v>
      </c>
      <c r="AW47" s="38">
        <v>0</v>
      </c>
      <c r="AX47" s="38">
        <v>0</v>
      </c>
      <c r="AY47" s="38">
        <v>0</v>
      </c>
      <c r="AZ47" s="38">
        <v>2</v>
      </c>
      <c r="BA47" s="40">
        <v>52</v>
      </c>
      <c r="BB47" s="38">
        <v>2</v>
      </c>
      <c r="BC47" s="38">
        <v>2</v>
      </c>
      <c r="BD47" s="38">
        <v>0</v>
      </c>
      <c r="BE47" s="38">
        <v>1</v>
      </c>
      <c r="BF47" s="40">
        <v>17</v>
      </c>
      <c r="BG47" s="38">
        <v>0</v>
      </c>
      <c r="BH47" s="38">
        <v>0</v>
      </c>
      <c r="BI47" s="38">
        <v>0</v>
      </c>
      <c r="BJ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2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98</v>
      </c>
      <c r="C2" t="s">
        <v>95</v>
      </c>
      <c r="D2" t="s">
        <v>89</v>
      </c>
      <c r="E2" t="s">
        <v>43</v>
      </c>
      <c r="F2" s="6">
        <v>0.27083333333333331</v>
      </c>
      <c r="G2">
        <v>52</v>
      </c>
      <c r="H2" s="6">
        <f>FLOOR(tblPivotData[[#This Row],[Time]],Summary!$B$6/1440)</f>
        <v>0.27083333333333331</v>
      </c>
      <c r="I2" s="49">
        <f>INDEX(PeakCalc!$L$10:$L$303,MATCH(tblPivotData[[#This Row],[Time]],PeakCalc!$G$10:$G$303,0))</f>
        <v>0</v>
      </c>
    </row>
    <row r="3" spans="1:9" x14ac:dyDescent="0.25">
      <c r="A3" t="s">
        <v>94</v>
      </c>
      <c r="B3" t="s">
        <v>98</v>
      </c>
      <c r="C3" t="s">
        <v>95</v>
      </c>
      <c r="D3" t="s">
        <v>89</v>
      </c>
      <c r="E3" t="s">
        <v>43</v>
      </c>
      <c r="F3" s="6">
        <v>0.28125</v>
      </c>
      <c r="G3">
        <v>61</v>
      </c>
      <c r="H3" s="6">
        <f>FLOOR(tblPivotData[[#This Row],[Time]],Summary!$B$6/1440)</f>
        <v>0.28125</v>
      </c>
      <c r="I3" s="49">
        <f>INDEX(PeakCalc!$L$10:$L$303,MATCH(tblPivotData[[#This Row],[Time]],PeakCalc!$G$10:$G$303,0))</f>
        <v>0</v>
      </c>
    </row>
    <row r="4" spans="1:9" x14ac:dyDescent="0.25">
      <c r="A4" t="s">
        <v>94</v>
      </c>
      <c r="B4" t="s">
        <v>98</v>
      </c>
      <c r="C4" t="s">
        <v>95</v>
      </c>
      <c r="D4" t="s">
        <v>89</v>
      </c>
      <c r="E4" t="s">
        <v>43</v>
      </c>
      <c r="F4" s="6">
        <v>0.29166666666666669</v>
      </c>
      <c r="G4">
        <v>69</v>
      </c>
      <c r="H4" s="6">
        <f>FLOOR(tblPivotData[[#This Row],[Time]],Summary!$B$6/1440)</f>
        <v>0.29166666666666663</v>
      </c>
      <c r="I4" s="49">
        <f>INDEX(PeakCalc!$L$10:$L$303,MATCH(tblPivotData[[#This Row],[Time]],PeakCalc!$G$10:$G$303,0))</f>
        <v>0</v>
      </c>
    </row>
    <row r="5" spans="1:9" x14ac:dyDescent="0.25">
      <c r="A5" t="s">
        <v>94</v>
      </c>
      <c r="B5" t="s">
        <v>98</v>
      </c>
      <c r="C5" t="s">
        <v>95</v>
      </c>
      <c r="D5" t="s">
        <v>89</v>
      </c>
      <c r="E5" t="s">
        <v>43</v>
      </c>
      <c r="F5" s="6">
        <v>0.30208333333333331</v>
      </c>
      <c r="G5">
        <v>99</v>
      </c>
      <c r="H5" s="6">
        <f>FLOOR(tblPivotData[[#This Row],[Time]],Summary!$B$6/1440)</f>
        <v>0.30208333333333331</v>
      </c>
      <c r="I5" s="49">
        <f>INDEX(PeakCalc!$L$10:$L$303,MATCH(tblPivotData[[#This Row],[Time]],PeakCalc!$G$10:$G$303,0))</f>
        <v>0</v>
      </c>
    </row>
    <row r="6" spans="1:9" x14ac:dyDescent="0.25">
      <c r="A6" t="s">
        <v>94</v>
      </c>
      <c r="B6" t="s">
        <v>98</v>
      </c>
      <c r="C6" t="s">
        <v>95</v>
      </c>
      <c r="D6" t="s">
        <v>89</v>
      </c>
      <c r="E6" t="s">
        <v>43</v>
      </c>
      <c r="F6" s="6">
        <v>0.3125</v>
      </c>
      <c r="G6">
        <v>127</v>
      </c>
      <c r="H6" s="6">
        <f>FLOOR(tblPivotData[[#This Row],[Time]],Summary!$B$6/1440)</f>
        <v>0.3125</v>
      </c>
      <c r="I6" s="49">
        <f>INDEX(PeakCalc!$L$10:$L$303,MATCH(tblPivotData[[#This Row],[Time]],PeakCalc!$G$10:$G$303,0))</f>
        <v>0</v>
      </c>
    </row>
    <row r="7" spans="1:9" x14ac:dyDescent="0.25">
      <c r="A7" t="s">
        <v>94</v>
      </c>
      <c r="B7" t="s">
        <v>98</v>
      </c>
      <c r="C7" t="s">
        <v>95</v>
      </c>
      <c r="D7" t="s">
        <v>89</v>
      </c>
      <c r="E7" t="s">
        <v>43</v>
      </c>
      <c r="F7" s="6">
        <v>0.32291666666666669</v>
      </c>
      <c r="G7">
        <v>125</v>
      </c>
      <c r="H7" s="6">
        <f>FLOOR(tblPivotData[[#This Row],[Time]],Summary!$B$6/1440)</f>
        <v>0.32291666666666663</v>
      </c>
      <c r="I7" s="49">
        <f>INDEX(PeakCalc!$L$10:$L$303,MATCH(tblPivotData[[#This Row],[Time]],PeakCalc!$G$10:$G$303,0))</f>
        <v>1</v>
      </c>
    </row>
    <row r="8" spans="1:9" x14ac:dyDescent="0.25">
      <c r="A8" t="s">
        <v>94</v>
      </c>
      <c r="B8" t="s">
        <v>98</v>
      </c>
      <c r="C8" t="s">
        <v>95</v>
      </c>
      <c r="D8" t="s">
        <v>89</v>
      </c>
      <c r="E8" t="s">
        <v>43</v>
      </c>
      <c r="F8" s="6">
        <v>0.33333333333333331</v>
      </c>
      <c r="G8">
        <v>129</v>
      </c>
      <c r="H8" s="6">
        <f>FLOOR(tblPivotData[[#This Row],[Time]],Summary!$B$6/1440)</f>
        <v>0.33333333333333331</v>
      </c>
      <c r="I8" s="49">
        <f>INDEX(PeakCalc!$L$10:$L$303,MATCH(tblPivotData[[#This Row],[Time]],PeakCalc!$G$10:$G$303,0))</f>
        <v>1</v>
      </c>
    </row>
    <row r="9" spans="1:9" x14ac:dyDescent="0.25">
      <c r="A9" t="s">
        <v>94</v>
      </c>
      <c r="B9" t="s">
        <v>98</v>
      </c>
      <c r="C9" t="s">
        <v>95</v>
      </c>
      <c r="D9" t="s">
        <v>89</v>
      </c>
      <c r="E9" t="s">
        <v>43</v>
      </c>
      <c r="F9" s="6">
        <v>0.34375</v>
      </c>
      <c r="G9">
        <v>130</v>
      </c>
      <c r="H9" s="6">
        <f>FLOOR(tblPivotData[[#This Row],[Time]],Summary!$B$6/1440)</f>
        <v>0.34375</v>
      </c>
      <c r="I9" s="49">
        <f>INDEX(PeakCalc!$L$10:$L$303,MATCH(tblPivotData[[#This Row],[Time]],PeakCalc!$G$10:$G$303,0))</f>
        <v>1</v>
      </c>
    </row>
    <row r="10" spans="1:9" x14ac:dyDescent="0.25">
      <c r="A10" t="s">
        <v>94</v>
      </c>
      <c r="B10" t="s">
        <v>98</v>
      </c>
      <c r="C10" t="s">
        <v>95</v>
      </c>
      <c r="D10" t="s">
        <v>89</v>
      </c>
      <c r="E10" t="s">
        <v>43</v>
      </c>
      <c r="F10" s="6">
        <v>0.35416666666666669</v>
      </c>
      <c r="G10">
        <v>139</v>
      </c>
      <c r="H10" s="6">
        <f>FLOOR(tblPivotData[[#This Row],[Time]],Summary!$B$6/1440)</f>
        <v>0.35416666666666663</v>
      </c>
      <c r="I10" s="49">
        <f>INDEX(PeakCalc!$L$10:$L$303,MATCH(tblPivotData[[#This Row],[Time]],PeakCalc!$G$10:$G$303,0))</f>
        <v>1</v>
      </c>
    </row>
    <row r="11" spans="1:9" x14ac:dyDescent="0.25">
      <c r="A11" t="s">
        <v>94</v>
      </c>
      <c r="B11" t="s">
        <v>98</v>
      </c>
      <c r="C11" t="s">
        <v>95</v>
      </c>
      <c r="D11" t="s">
        <v>89</v>
      </c>
      <c r="E11" t="s">
        <v>43</v>
      </c>
      <c r="F11" s="6">
        <v>0.36458333333333331</v>
      </c>
      <c r="G11">
        <v>127</v>
      </c>
      <c r="H11" s="6">
        <f>FLOOR(tblPivotData[[#This Row],[Time]],Summary!$B$6/1440)</f>
        <v>0.36458333333333331</v>
      </c>
      <c r="I11" s="49">
        <f>INDEX(PeakCalc!$L$10:$L$303,MATCH(tblPivotData[[#This Row],[Time]],PeakCalc!$G$10:$G$303,0))</f>
        <v>0</v>
      </c>
    </row>
    <row r="12" spans="1:9" x14ac:dyDescent="0.25">
      <c r="A12" t="s">
        <v>94</v>
      </c>
      <c r="B12" t="s">
        <v>98</v>
      </c>
      <c r="C12" t="s">
        <v>95</v>
      </c>
      <c r="D12" t="s">
        <v>89</v>
      </c>
      <c r="E12" t="s">
        <v>43</v>
      </c>
      <c r="F12" s="6">
        <v>0.375</v>
      </c>
      <c r="G12">
        <v>84</v>
      </c>
      <c r="H12" s="6">
        <f>FLOOR(tblPivotData[[#This Row],[Time]],Summary!$B$6/1440)</f>
        <v>0.375</v>
      </c>
      <c r="I12" s="49">
        <f>INDEX(PeakCalc!$L$10:$L$303,MATCH(tblPivotData[[#This Row],[Time]],PeakCalc!$G$10:$G$303,0))</f>
        <v>0</v>
      </c>
    </row>
    <row r="13" spans="1:9" x14ac:dyDescent="0.25">
      <c r="A13" t="s">
        <v>94</v>
      </c>
      <c r="B13" t="s">
        <v>98</v>
      </c>
      <c r="C13" t="s">
        <v>95</v>
      </c>
      <c r="D13" t="s">
        <v>89</v>
      </c>
      <c r="E13" t="s">
        <v>43</v>
      </c>
      <c r="F13" s="6">
        <v>0.38541666666666669</v>
      </c>
      <c r="G13">
        <v>77</v>
      </c>
      <c r="H13" s="6">
        <f>FLOOR(tblPivotData[[#This Row],[Time]],Summary!$B$6/1440)</f>
        <v>0.38541666666666663</v>
      </c>
      <c r="I13" s="49">
        <f>INDEX(PeakCalc!$L$10:$L$303,MATCH(tblPivotData[[#This Row],[Time]],PeakCalc!$G$10:$G$303,0))</f>
        <v>0</v>
      </c>
    </row>
    <row r="14" spans="1:9" x14ac:dyDescent="0.25">
      <c r="A14" t="s">
        <v>94</v>
      </c>
      <c r="B14" t="s">
        <v>98</v>
      </c>
      <c r="C14" t="s">
        <v>95</v>
      </c>
      <c r="D14" t="s">
        <v>89</v>
      </c>
      <c r="E14" t="s">
        <v>110</v>
      </c>
      <c r="F14" s="6">
        <v>0.45833333333333331</v>
      </c>
      <c r="G14">
        <v>49</v>
      </c>
      <c r="H14" s="6">
        <f>FLOOR(tblPivotData[[#This Row],[Time]],Summary!$B$6/1440)</f>
        <v>0.45833333333333331</v>
      </c>
      <c r="I14" s="49">
        <f>INDEX(PeakCalc!$L$10:$L$303,MATCH(tblPivotData[[#This Row],[Time]],PeakCalc!$G$10:$G$303,0))</f>
        <v>0</v>
      </c>
    </row>
    <row r="15" spans="1:9" x14ac:dyDescent="0.25">
      <c r="A15" t="s">
        <v>94</v>
      </c>
      <c r="B15" t="s">
        <v>98</v>
      </c>
      <c r="C15" t="s">
        <v>95</v>
      </c>
      <c r="D15" t="s">
        <v>89</v>
      </c>
      <c r="E15" t="s">
        <v>110</v>
      </c>
      <c r="F15" s="6">
        <v>0.46875</v>
      </c>
      <c r="G15">
        <v>72</v>
      </c>
      <c r="H15" s="6">
        <f>FLOOR(tblPivotData[[#This Row],[Time]],Summary!$B$6/1440)</f>
        <v>0.46875</v>
      </c>
      <c r="I15" s="49">
        <f>INDEX(PeakCalc!$L$10:$L$303,MATCH(tblPivotData[[#This Row],[Time]],PeakCalc!$G$10:$G$303,0))</f>
        <v>0</v>
      </c>
    </row>
    <row r="16" spans="1:9" x14ac:dyDescent="0.25">
      <c r="A16" t="s">
        <v>94</v>
      </c>
      <c r="B16" t="s">
        <v>98</v>
      </c>
      <c r="C16" t="s">
        <v>95</v>
      </c>
      <c r="D16" t="s">
        <v>89</v>
      </c>
      <c r="E16" t="s">
        <v>110</v>
      </c>
      <c r="F16" s="6">
        <v>0.47916666666666669</v>
      </c>
      <c r="G16">
        <v>74</v>
      </c>
      <c r="H16" s="6">
        <f>FLOOR(tblPivotData[[#This Row],[Time]],Summary!$B$6/1440)</f>
        <v>0.47916666666666663</v>
      </c>
      <c r="I16" s="49">
        <f>INDEX(PeakCalc!$L$10:$L$303,MATCH(tblPivotData[[#This Row],[Time]],PeakCalc!$G$10:$G$303,0))</f>
        <v>0</v>
      </c>
    </row>
    <row r="17" spans="1:9" x14ac:dyDescent="0.25">
      <c r="A17" t="s">
        <v>94</v>
      </c>
      <c r="B17" t="s">
        <v>98</v>
      </c>
      <c r="C17" t="s">
        <v>95</v>
      </c>
      <c r="D17" t="s">
        <v>89</v>
      </c>
      <c r="E17" t="s">
        <v>110</v>
      </c>
      <c r="F17" s="6">
        <v>0.48958333333333331</v>
      </c>
      <c r="G17">
        <v>72</v>
      </c>
      <c r="H17" s="6">
        <f>FLOOR(tblPivotData[[#This Row],[Time]],Summary!$B$6/1440)</f>
        <v>0.48958333333333331</v>
      </c>
      <c r="I17" s="49">
        <f>INDEX(PeakCalc!$L$10:$L$303,MATCH(tblPivotData[[#This Row],[Time]],PeakCalc!$G$10:$G$303,0))</f>
        <v>0</v>
      </c>
    </row>
    <row r="18" spans="1:9" x14ac:dyDescent="0.25">
      <c r="A18" t="s">
        <v>94</v>
      </c>
      <c r="B18" t="s">
        <v>98</v>
      </c>
      <c r="C18" t="s">
        <v>95</v>
      </c>
      <c r="D18" t="s">
        <v>89</v>
      </c>
      <c r="E18" t="s">
        <v>110</v>
      </c>
      <c r="F18" s="6">
        <v>0.5</v>
      </c>
      <c r="G18">
        <v>60</v>
      </c>
      <c r="H18" s="6">
        <f>FLOOR(tblPivotData[[#This Row],[Time]],Summary!$B$6/1440)</f>
        <v>0.5</v>
      </c>
      <c r="I18" s="49">
        <f>INDEX(PeakCalc!$L$10:$L$303,MATCH(tblPivotData[[#This Row],[Time]],PeakCalc!$G$10:$G$303,0))</f>
        <v>0</v>
      </c>
    </row>
    <row r="19" spans="1:9" x14ac:dyDescent="0.25">
      <c r="A19" t="s">
        <v>94</v>
      </c>
      <c r="B19" t="s">
        <v>98</v>
      </c>
      <c r="C19" t="s">
        <v>95</v>
      </c>
      <c r="D19" t="s">
        <v>89</v>
      </c>
      <c r="E19" t="s">
        <v>110</v>
      </c>
      <c r="F19" s="6">
        <v>0.51041666666666663</v>
      </c>
      <c r="G19">
        <v>63</v>
      </c>
      <c r="H19" s="6">
        <f>FLOOR(tblPivotData[[#This Row],[Time]],Summary!$B$6/1440)</f>
        <v>0.51041666666666663</v>
      </c>
      <c r="I19" s="49">
        <f>INDEX(PeakCalc!$L$10:$L$303,MATCH(tblPivotData[[#This Row],[Time]],PeakCalc!$G$10:$G$303,0))</f>
        <v>0</v>
      </c>
    </row>
    <row r="20" spans="1:9" x14ac:dyDescent="0.25">
      <c r="A20" t="s">
        <v>94</v>
      </c>
      <c r="B20" t="s">
        <v>98</v>
      </c>
      <c r="C20" t="s">
        <v>95</v>
      </c>
      <c r="D20" t="s">
        <v>89</v>
      </c>
      <c r="E20" t="s">
        <v>110</v>
      </c>
      <c r="F20" s="6">
        <v>0.52083333333333337</v>
      </c>
      <c r="G20">
        <v>59</v>
      </c>
      <c r="H20" s="6">
        <f>FLOOR(tblPivotData[[#This Row],[Time]],Summary!$B$6/1440)</f>
        <v>0.52083333333333326</v>
      </c>
      <c r="I20" s="49">
        <f>INDEX(PeakCalc!$L$10:$L$303,MATCH(tblPivotData[[#This Row],[Time]],PeakCalc!$G$10:$G$303,0))</f>
        <v>1</v>
      </c>
    </row>
    <row r="21" spans="1:9" x14ac:dyDescent="0.25">
      <c r="A21" t="s">
        <v>94</v>
      </c>
      <c r="B21" t="s">
        <v>98</v>
      </c>
      <c r="C21" t="s">
        <v>95</v>
      </c>
      <c r="D21" t="s">
        <v>89</v>
      </c>
      <c r="E21" t="s">
        <v>110</v>
      </c>
      <c r="F21" s="6">
        <v>0.53125</v>
      </c>
      <c r="G21">
        <v>59</v>
      </c>
      <c r="H21" s="6">
        <f>FLOOR(tblPivotData[[#This Row],[Time]],Summary!$B$6/1440)</f>
        <v>0.53125</v>
      </c>
      <c r="I21" s="49">
        <f>INDEX(PeakCalc!$L$10:$L$303,MATCH(tblPivotData[[#This Row],[Time]],PeakCalc!$G$10:$G$303,0))</f>
        <v>1</v>
      </c>
    </row>
    <row r="22" spans="1:9" x14ac:dyDescent="0.25">
      <c r="A22" t="s">
        <v>94</v>
      </c>
      <c r="B22" t="s">
        <v>98</v>
      </c>
      <c r="C22" t="s">
        <v>95</v>
      </c>
      <c r="D22" t="s">
        <v>89</v>
      </c>
      <c r="E22" t="s">
        <v>110</v>
      </c>
      <c r="F22" s="6">
        <v>0.54166666666666663</v>
      </c>
      <c r="G22">
        <v>70</v>
      </c>
      <c r="H22" s="6">
        <f>FLOOR(tblPivotData[[#This Row],[Time]],Summary!$B$6/1440)</f>
        <v>0.54166666666666663</v>
      </c>
      <c r="I22" s="49">
        <f>INDEX(PeakCalc!$L$10:$L$303,MATCH(tblPivotData[[#This Row],[Time]],PeakCalc!$G$10:$G$303,0))</f>
        <v>1</v>
      </c>
    </row>
    <row r="23" spans="1:9" x14ac:dyDescent="0.25">
      <c r="A23" t="s">
        <v>94</v>
      </c>
      <c r="B23" t="s">
        <v>98</v>
      </c>
      <c r="C23" t="s">
        <v>95</v>
      </c>
      <c r="D23" t="s">
        <v>89</v>
      </c>
      <c r="E23" t="s">
        <v>110</v>
      </c>
      <c r="F23" s="6">
        <v>0.55208333333333337</v>
      </c>
      <c r="G23">
        <v>90</v>
      </c>
      <c r="H23" s="6">
        <f>FLOOR(tblPivotData[[#This Row],[Time]],Summary!$B$6/1440)</f>
        <v>0.55208333333333326</v>
      </c>
      <c r="I23" s="49">
        <f>INDEX(PeakCalc!$L$10:$L$303,MATCH(tblPivotData[[#This Row],[Time]],PeakCalc!$G$10:$G$303,0))</f>
        <v>1</v>
      </c>
    </row>
    <row r="24" spans="1:9" x14ac:dyDescent="0.25">
      <c r="A24" t="s">
        <v>94</v>
      </c>
      <c r="B24" t="s">
        <v>98</v>
      </c>
      <c r="C24" t="s">
        <v>95</v>
      </c>
      <c r="D24" t="s">
        <v>89</v>
      </c>
      <c r="E24" t="s">
        <v>110</v>
      </c>
      <c r="F24" s="6">
        <v>0.5625</v>
      </c>
      <c r="G24">
        <v>69</v>
      </c>
      <c r="H24" s="6">
        <f>FLOOR(tblPivotData[[#This Row],[Time]],Summary!$B$6/1440)</f>
        <v>0.5625</v>
      </c>
      <c r="I24" s="49">
        <f>INDEX(PeakCalc!$L$10:$L$303,MATCH(tblPivotData[[#This Row],[Time]],PeakCalc!$G$10:$G$303,0))</f>
        <v>0</v>
      </c>
    </row>
    <row r="25" spans="1:9" x14ac:dyDescent="0.25">
      <c r="A25" t="s">
        <v>94</v>
      </c>
      <c r="B25" t="s">
        <v>98</v>
      </c>
      <c r="C25" t="s">
        <v>95</v>
      </c>
      <c r="D25" t="s">
        <v>89</v>
      </c>
      <c r="E25" t="s">
        <v>110</v>
      </c>
      <c r="F25" s="6">
        <v>0.57291666666666663</v>
      </c>
      <c r="G25">
        <v>89</v>
      </c>
      <c r="H25" s="6">
        <f>FLOOR(tblPivotData[[#This Row],[Time]],Summary!$B$6/1440)</f>
        <v>0.57291666666666663</v>
      </c>
      <c r="I25" s="49">
        <f>INDEX(PeakCalc!$L$10:$L$303,MATCH(tblPivotData[[#This Row],[Time]],PeakCalc!$G$10:$G$303,0))</f>
        <v>0</v>
      </c>
    </row>
    <row r="26" spans="1:9" x14ac:dyDescent="0.25">
      <c r="A26" t="s">
        <v>94</v>
      </c>
      <c r="B26" t="s">
        <v>98</v>
      </c>
      <c r="C26" t="s">
        <v>95</v>
      </c>
      <c r="D26" t="s">
        <v>89</v>
      </c>
      <c r="E26" t="s">
        <v>44</v>
      </c>
      <c r="F26" s="6">
        <v>0.625</v>
      </c>
      <c r="G26">
        <v>86</v>
      </c>
      <c r="H26" s="6">
        <f>FLOOR(tblPivotData[[#This Row],[Time]],Summary!$B$6/1440)</f>
        <v>0.625</v>
      </c>
      <c r="I26" s="49">
        <f>INDEX(PeakCalc!$L$10:$L$303,MATCH(tblPivotData[[#This Row],[Time]],PeakCalc!$G$10:$G$303,0))</f>
        <v>0</v>
      </c>
    </row>
    <row r="27" spans="1:9" x14ac:dyDescent="0.25">
      <c r="A27" t="s">
        <v>94</v>
      </c>
      <c r="B27" t="s">
        <v>98</v>
      </c>
      <c r="C27" t="s">
        <v>95</v>
      </c>
      <c r="D27" t="s">
        <v>89</v>
      </c>
      <c r="E27" t="s">
        <v>44</v>
      </c>
      <c r="F27" s="6">
        <v>0.63541666666666663</v>
      </c>
      <c r="G27">
        <v>97</v>
      </c>
      <c r="H27" s="6">
        <f>FLOOR(tblPivotData[[#This Row],[Time]],Summary!$B$6/1440)</f>
        <v>0.63541666666666663</v>
      </c>
      <c r="I27" s="49">
        <f>INDEX(PeakCalc!$L$10:$L$303,MATCH(tblPivotData[[#This Row],[Time]],PeakCalc!$G$10:$G$303,0))</f>
        <v>0</v>
      </c>
    </row>
    <row r="28" spans="1:9" x14ac:dyDescent="0.25">
      <c r="A28" t="s">
        <v>94</v>
      </c>
      <c r="B28" t="s">
        <v>98</v>
      </c>
      <c r="C28" t="s">
        <v>95</v>
      </c>
      <c r="D28" t="s">
        <v>89</v>
      </c>
      <c r="E28" t="s">
        <v>44</v>
      </c>
      <c r="F28" s="6">
        <v>0.64583333333333337</v>
      </c>
      <c r="G28">
        <v>82</v>
      </c>
      <c r="H28" s="6">
        <f>FLOOR(tblPivotData[[#This Row],[Time]],Summary!$B$6/1440)</f>
        <v>0.64583333333333326</v>
      </c>
      <c r="I28" s="49">
        <f>INDEX(PeakCalc!$L$10:$L$303,MATCH(tblPivotData[[#This Row],[Time]],PeakCalc!$G$10:$G$303,0))</f>
        <v>0</v>
      </c>
    </row>
    <row r="29" spans="1:9" x14ac:dyDescent="0.25">
      <c r="A29" t="s">
        <v>94</v>
      </c>
      <c r="B29" t="s">
        <v>98</v>
      </c>
      <c r="C29" t="s">
        <v>95</v>
      </c>
      <c r="D29" t="s">
        <v>89</v>
      </c>
      <c r="E29" t="s">
        <v>44</v>
      </c>
      <c r="F29" s="6">
        <v>0.65625</v>
      </c>
      <c r="G29">
        <v>92</v>
      </c>
      <c r="H29" s="6">
        <f>FLOOR(tblPivotData[[#This Row],[Time]],Summary!$B$6/1440)</f>
        <v>0.65625</v>
      </c>
      <c r="I29" s="49">
        <f>INDEX(PeakCalc!$L$10:$L$303,MATCH(tblPivotData[[#This Row],[Time]],PeakCalc!$G$10:$G$303,0))</f>
        <v>0</v>
      </c>
    </row>
    <row r="30" spans="1:9" x14ac:dyDescent="0.25">
      <c r="A30" t="s">
        <v>94</v>
      </c>
      <c r="B30" t="s">
        <v>98</v>
      </c>
      <c r="C30" t="s">
        <v>95</v>
      </c>
      <c r="D30" t="s">
        <v>89</v>
      </c>
      <c r="E30" t="s">
        <v>44</v>
      </c>
      <c r="F30" s="6">
        <v>0.66666666666666663</v>
      </c>
      <c r="G30">
        <v>89</v>
      </c>
      <c r="H30" s="6">
        <f>FLOOR(tblPivotData[[#This Row],[Time]],Summary!$B$6/1440)</f>
        <v>0.66666666666666663</v>
      </c>
      <c r="I30" s="49">
        <f>INDEX(PeakCalc!$L$10:$L$303,MATCH(tblPivotData[[#This Row],[Time]],PeakCalc!$G$10:$G$303,0))</f>
        <v>0</v>
      </c>
    </row>
    <row r="31" spans="1:9" x14ac:dyDescent="0.25">
      <c r="A31" t="s">
        <v>94</v>
      </c>
      <c r="B31" t="s">
        <v>98</v>
      </c>
      <c r="C31" t="s">
        <v>95</v>
      </c>
      <c r="D31" t="s">
        <v>89</v>
      </c>
      <c r="E31" t="s">
        <v>44</v>
      </c>
      <c r="F31" s="6">
        <v>0.67708333333333337</v>
      </c>
      <c r="G31">
        <v>96</v>
      </c>
      <c r="H31" s="6">
        <f>FLOOR(tblPivotData[[#This Row],[Time]],Summary!$B$6/1440)</f>
        <v>0.67708333333333326</v>
      </c>
      <c r="I31" s="49">
        <f>INDEX(PeakCalc!$L$10:$L$303,MATCH(tblPivotData[[#This Row],[Time]],PeakCalc!$G$10:$G$303,0))</f>
        <v>0</v>
      </c>
    </row>
    <row r="32" spans="1:9" x14ac:dyDescent="0.25">
      <c r="A32" t="s">
        <v>94</v>
      </c>
      <c r="B32" t="s">
        <v>98</v>
      </c>
      <c r="C32" t="s">
        <v>95</v>
      </c>
      <c r="D32" t="s">
        <v>89</v>
      </c>
      <c r="E32" t="s">
        <v>44</v>
      </c>
      <c r="F32" s="6">
        <v>0.6875</v>
      </c>
      <c r="G32">
        <v>94</v>
      </c>
      <c r="H32" s="6">
        <f>FLOOR(tblPivotData[[#This Row],[Time]],Summary!$B$6/1440)</f>
        <v>0.6875</v>
      </c>
      <c r="I32" s="49">
        <f>INDEX(PeakCalc!$L$10:$L$303,MATCH(tblPivotData[[#This Row],[Time]],PeakCalc!$G$10:$G$303,0))</f>
        <v>1</v>
      </c>
    </row>
    <row r="33" spans="1:9" x14ac:dyDescent="0.25">
      <c r="A33" t="s">
        <v>94</v>
      </c>
      <c r="B33" t="s">
        <v>98</v>
      </c>
      <c r="C33" t="s">
        <v>95</v>
      </c>
      <c r="D33" t="s">
        <v>89</v>
      </c>
      <c r="E33" t="s">
        <v>44</v>
      </c>
      <c r="F33" s="6">
        <v>0.69791666666666663</v>
      </c>
      <c r="G33">
        <v>99</v>
      </c>
      <c r="H33" s="6">
        <f>FLOOR(tblPivotData[[#This Row],[Time]],Summary!$B$6/1440)</f>
        <v>0.69791666666666663</v>
      </c>
      <c r="I33" s="49">
        <f>INDEX(PeakCalc!$L$10:$L$303,MATCH(tblPivotData[[#This Row],[Time]],PeakCalc!$G$10:$G$303,0))</f>
        <v>1</v>
      </c>
    </row>
    <row r="34" spans="1:9" x14ac:dyDescent="0.25">
      <c r="A34" t="s">
        <v>94</v>
      </c>
      <c r="B34" t="s">
        <v>98</v>
      </c>
      <c r="C34" t="s">
        <v>95</v>
      </c>
      <c r="D34" t="s">
        <v>89</v>
      </c>
      <c r="E34" t="s">
        <v>44</v>
      </c>
      <c r="F34" s="6">
        <v>0.70833333333333337</v>
      </c>
      <c r="G34">
        <v>85</v>
      </c>
      <c r="H34" s="6">
        <f>FLOOR(tblPivotData[[#This Row],[Time]],Summary!$B$6/1440)</f>
        <v>0.70833333333333326</v>
      </c>
      <c r="I34" s="49">
        <f>INDEX(PeakCalc!$L$10:$L$303,MATCH(tblPivotData[[#This Row],[Time]],PeakCalc!$G$10:$G$303,0))</f>
        <v>1</v>
      </c>
    </row>
    <row r="35" spans="1:9" x14ac:dyDescent="0.25">
      <c r="A35" t="s">
        <v>94</v>
      </c>
      <c r="B35" t="s">
        <v>98</v>
      </c>
      <c r="C35" t="s">
        <v>95</v>
      </c>
      <c r="D35" t="s">
        <v>89</v>
      </c>
      <c r="E35" t="s">
        <v>44</v>
      </c>
      <c r="F35" s="6">
        <v>0.71875</v>
      </c>
      <c r="G35">
        <v>98</v>
      </c>
      <c r="H35" s="6">
        <f>FLOOR(tblPivotData[[#This Row],[Time]],Summary!$B$6/1440)</f>
        <v>0.71875</v>
      </c>
      <c r="I35" s="49">
        <f>INDEX(PeakCalc!$L$10:$L$303,MATCH(tblPivotData[[#This Row],[Time]],PeakCalc!$G$10:$G$303,0))</f>
        <v>1</v>
      </c>
    </row>
    <row r="36" spans="1:9" x14ac:dyDescent="0.25">
      <c r="A36" t="s">
        <v>94</v>
      </c>
      <c r="B36" t="s">
        <v>98</v>
      </c>
      <c r="C36" t="s">
        <v>95</v>
      </c>
      <c r="D36" t="s">
        <v>89</v>
      </c>
      <c r="E36" t="s">
        <v>44</v>
      </c>
      <c r="F36" s="6">
        <v>0.72916666666666663</v>
      </c>
      <c r="G36">
        <v>85</v>
      </c>
      <c r="H36" s="6">
        <f>FLOOR(tblPivotData[[#This Row],[Time]],Summary!$B$6/1440)</f>
        <v>0.72916666666666663</v>
      </c>
      <c r="I36" s="49">
        <f>INDEX(PeakCalc!$L$10:$L$303,MATCH(tblPivotData[[#This Row],[Time]],PeakCalc!$G$10:$G$303,0))</f>
        <v>0</v>
      </c>
    </row>
    <row r="37" spans="1:9" x14ac:dyDescent="0.25">
      <c r="A37" t="s">
        <v>94</v>
      </c>
      <c r="B37" t="s">
        <v>98</v>
      </c>
      <c r="C37" t="s">
        <v>95</v>
      </c>
      <c r="D37" t="s">
        <v>89</v>
      </c>
      <c r="E37" t="s">
        <v>44</v>
      </c>
      <c r="F37" s="6">
        <v>0.73958333333333337</v>
      </c>
      <c r="G37">
        <v>83</v>
      </c>
      <c r="H37" s="6">
        <f>FLOOR(tblPivotData[[#This Row],[Time]],Summary!$B$6/1440)</f>
        <v>0.73958333333333326</v>
      </c>
      <c r="I37" s="49">
        <f>INDEX(PeakCalc!$L$10:$L$303,MATCH(tblPivotData[[#This Row],[Time]],PeakCalc!$G$10:$G$303,0))</f>
        <v>0</v>
      </c>
    </row>
    <row r="38" spans="1:9" x14ac:dyDescent="0.25">
      <c r="A38" t="s">
        <v>94</v>
      </c>
      <c r="B38" t="s">
        <v>98</v>
      </c>
      <c r="C38" t="s">
        <v>95</v>
      </c>
      <c r="D38" t="s">
        <v>89</v>
      </c>
      <c r="E38" t="s">
        <v>44</v>
      </c>
      <c r="F38" s="6">
        <v>0.75</v>
      </c>
      <c r="G38">
        <v>56</v>
      </c>
      <c r="H38" s="6">
        <f>FLOOR(tblPivotData[[#This Row],[Time]],Summary!$B$6/1440)</f>
        <v>0.75</v>
      </c>
      <c r="I38" s="49">
        <f>INDEX(PeakCalc!$L$10:$L$303,MATCH(tblPivotData[[#This Row],[Time]],PeakCalc!$G$10:$G$303,0))</f>
        <v>0</v>
      </c>
    </row>
    <row r="39" spans="1:9" x14ac:dyDescent="0.25">
      <c r="A39" t="s">
        <v>94</v>
      </c>
      <c r="B39" t="s">
        <v>98</v>
      </c>
      <c r="C39" t="s">
        <v>95</v>
      </c>
      <c r="D39" t="s">
        <v>89</v>
      </c>
      <c r="E39" t="s">
        <v>44</v>
      </c>
      <c r="F39" s="6">
        <v>0.76041666666666663</v>
      </c>
      <c r="G39">
        <v>55</v>
      </c>
      <c r="H39" s="6">
        <f>FLOOR(tblPivotData[[#This Row],[Time]],Summary!$B$6/1440)</f>
        <v>0.76041666666666663</v>
      </c>
      <c r="I39" s="49">
        <f>INDEX(PeakCalc!$L$10:$L$303,MATCH(tblPivotData[[#This Row],[Time]],PeakCalc!$G$10:$G$303,0))</f>
        <v>0</v>
      </c>
    </row>
    <row r="40" spans="1:9" x14ac:dyDescent="0.25">
      <c r="A40" t="s">
        <v>94</v>
      </c>
      <c r="B40" t="s">
        <v>98</v>
      </c>
      <c r="C40" t="s">
        <v>95</v>
      </c>
      <c r="D40" t="s">
        <v>90</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94</v>
      </c>
      <c r="B41" t="s">
        <v>98</v>
      </c>
      <c r="C41" t="s">
        <v>95</v>
      </c>
      <c r="D41" t="s">
        <v>90</v>
      </c>
      <c r="E41" t="s">
        <v>43</v>
      </c>
      <c r="F41" s="6">
        <v>0.28125</v>
      </c>
      <c r="G41">
        <v>0</v>
      </c>
      <c r="H41" s="6">
        <f>FLOOR(tblPivotData[[#This Row],[Time]],Summary!$B$6/1440)</f>
        <v>0.28125</v>
      </c>
      <c r="I41" s="49">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90</v>
      </c>
      <c r="E50" t="s">
        <v>43</v>
      </c>
      <c r="F50" s="6">
        <v>0.375</v>
      </c>
      <c r="G50">
        <v>0</v>
      </c>
      <c r="H50" s="6">
        <f>FLOOR(tblPivotData[[#This Row],[Time]],Summary!$B$6/1440)</f>
        <v>0.375</v>
      </c>
      <c r="I50" s="49">
        <f>INDEX(PeakCalc!$L$10:$L$303,MATCH(tblPivotData[[#This Row],[Time]],PeakCalc!$G$10:$G$303,0))</f>
        <v>0</v>
      </c>
    </row>
    <row r="51" spans="1:9" x14ac:dyDescent="0.25">
      <c r="A51" t="s">
        <v>94</v>
      </c>
      <c r="B51" t="s">
        <v>98</v>
      </c>
      <c r="C51" t="s">
        <v>95</v>
      </c>
      <c r="D51" t="s">
        <v>90</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94</v>
      </c>
      <c r="B52" t="s">
        <v>98</v>
      </c>
      <c r="C52" t="s">
        <v>95</v>
      </c>
      <c r="D52" t="s">
        <v>90</v>
      </c>
      <c r="E52" t="s">
        <v>110</v>
      </c>
      <c r="F52" s="6">
        <v>0.45833333333333331</v>
      </c>
      <c r="G52">
        <v>1</v>
      </c>
      <c r="H52" s="6">
        <f>FLOOR(tblPivotData[[#This Row],[Time]],Summary!$B$6/1440)</f>
        <v>0.45833333333333331</v>
      </c>
      <c r="I52" s="49">
        <f>INDEX(PeakCalc!$L$10:$L$303,MATCH(tblPivotData[[#This Row],[Time]],PeakCalc!$G$10:$G$303,0))</f>
        <v>0</v>
      </c>
    </row>
    <row r="53" spans="1:9" x14ac:dyDescent="0.25">
      <c r="A53" t="s">
        <v>94</v>
      </c>
      <c r="B53" t="s">
        <v>98</v>
      </c>
      <c r="C53" t="s">
        <v>95</v>
      </c>
      <c r="D53" t="s">
        <v>90</v>
      </c>
      <c r="E53" t="s">
        <v>110</v>
      </c>
      <c r="F53" s="6">
        <v>0.46875</v>
      </c>
      <c r="G53">
        <v>0</v>
      </c>
      <c r="H53" s="6">
        <f>FLOOR(tblPivotData[[#This Row],[Time]],Summary!$B$6/1440)</f>
        <v>0.46875</v>
      </c>
      <c r="I53" s="49">
        <f>INDEX(PeakCalc!$L$10:$L$303,MATCH(tblPivotData[[#This Row],[Time]],PeakCalc!$G$10:$G$303,0))</f>
        <v>0</v>
      </c>
    </row>
    <row r="54" spans="1:9" x14ac:dyDescent="0.25">
      <c r="A54" t="s">
        <v>94</v>
      </c>
      <c r="B54" t="s">
        <v>98</v>
      </c>
      <c r="C54" t="s">
        <v>95</v>
      </c>
      <c r="D54" t="s">
        <v>90</v>
      </c>
      <c r="E54" t="s">
        <v>110</v>
      </c>
      <c r="F54" s="6">
        <v>0.47916666666666669</v>
      </c>
      <c r="G54">
        <v>0</v>
      </c>
      <c r="H54" s="6">
        <f>FLOOR(tblPivotData[[#This Row],[Time]],Summary!$B$6/1440)</f>
        <v>0.47916666666666663</v>
      </c>
      <c r="I54" s="49">
        <f>INDEX(PeakCalc!$L$10:$L$303,MATCH(tblPivotData[[#This Row],[Time]],PeakCalc!$G$10:$G$303,0))</f>
        <v>0</v>
      </c>
    </row>
    <row r="55" spans="1:9" x14ac:dyDescent="0.25">
      <c r="A55" t="s">
        <v>94</v>
      </c>
      <c r="B55" t="s">
        <v>98</v>
      </c>
      <c r="C55" t="s">
        <v>95</v>
      </c>
      <c r="D55" t="s">
        <v>90</v>
      </c>
      <c r="E55" t="s">
        <v>110</v>
      </c>
      <c r="F55" s="6">
        <v>0.48958333333333331</v>
      </c>
      <c r="G55">
        <v>0</v>
      </c>
      <c r="H55" s="6">
        <f>FLOOR(tblPivotData[[#This Row],[Time]],Summary!$B$6/1440)</f>
        <v>0.48958333333333331</v>
      </c>
      <c r="I55" s="49">
        <f>INDEX(PeakCalc!$L$10:$L$303,MATCH(tblPivotData[[#This Row],[Time]],PeakCalc!$G$10:$G$303,0))</f>
        <v>0</v>
      </c>
    </row>
    <row r="56" spans="1:9" x14ac:dyDescent="0.25">
      <c r="A56" t="s">
        <v>94</v>
      </c>
      <c r="B56" t="s">
        <v>98</v>
      </c>
      <c r="C56" t="s">
        <v>95</v>
      </c>
      <c r="D56" t="s">
        <v>90</v>
      </c>
      <c r="E56" t="s">
        <v>110</v>
      </c>
      <c r="F56" s="6">
        <v>0.5</v>
      </c>
      <c r="G56">
        <v>0</v>
      </c>
      <c r="H56" s="6">
        <f>FLOOR(tblPivotData[[#This Row],[Time]],Summary!$B$6/1440)</f>
        <v>0.5</v>
      </c>
      <c r="I56" s="49">
        <f>INDEX(PeakCalc!$L$10:$L$303,MATCH(tblPivotData[[#This Row],[Time]],PeakCalc!$G$10:$G$303,0))</f>
        <v>0</v>
      </c>
    </row>
    <row r="57" spans="1:9" x14ac:dyDescent="0.25">
      <c r="A57" t="s">
        <v>94</v>
      </c>
      <c r="B57" t="s">
        <v>98</v>
      </c>
      <c r="C57" t="s">
        <v>95</v>
      </c>
      <c r="D57" t="s">
        <v>90</v>
      </c>
      <c r="E57" t="s">
        <v>110</v>
      </c>
      <c r="F57" s="6">
        <v>0.51041666666666663</v>
      </c>
      <c r="G57">
        <v>0</v>
      </c>
      <c r="H57" s="6">
        <f>FLOOR(tblPivotData[[#This Row],[Time]],Summary!$B$6/1440)</f>
        <v>0.51041666666666663</v>
      </c>
      <c r="I57" s="49">
        <f>INDEX(PeakCalc!$L$10:$L$303,MATCH(tblPivotData[[#This Row],[Time]],PeakCalc!$G$10:$G$303,0))</f>
        <v>0</v>
      </c>
    </row>
    <row r="58" spans="1:9" x14ac:dyDescent="0.25">
      <c r="A58" t="s">
        <v>94</v>
      </c>
      <c r="B58" t="s">
        <v>98</v>
      </c>
      <c r="C58" t="s">
        <v>95</v>
      </c>
      <c r="D58" t="s">
        <v>90</v>
      </c>
      <c r="E58" t="s">
        <v>110</v>
      </c>
      <c r="F58" s="6">
        <v>0.52083333333333337</v>
      </c>
      <c r="G58">
        <v>1</v>
      </c>
      <c r="H58" s="6">
        <f>FLOOR(tblPivotData[[#This Row],[Time]],Summary!$B$6/1440)</f>
        <v>0.52083333333333326</v>
      </c>
      <c r="I58" s="49">
        <f>INDEX(PeakCalc!$L$10:$L$303,MATCH(tblPivotData[[#This Row],[Time]],PeakCalc!$G$10:$G$303,0))</f>
        <v>1</v>
      </c>
    </row>
    <row r="59" spans="1:9" x14ac:dyDescent="0.25">
      <c r="A59" t="s">
        <v>94</v>
      </c>
      <c r="B59" t="s">
        <v>98</v>
      </c>
      <c r="C59" t="s">
        <v>95</v>
      </c>
      <c r="D59" t="s">
        <v>90</v>
      </c>
      <c r="E59" t="s">
        <v>110</v>
      </c>
      <c r="F59" s="6">
        <v>0.53125</v>
      </c>
      <c r="G59">
        <v>0</v>
      </c>
      <c r="H59" s="6">
        <f>FLOOR(tblPivotData[[#This Row],[Time]],Summary!$B$6/1440)</f>
        <v>0.53125</v>
      </c>
      <c r="I59" s="49">
        <f>INDEX(PeakCalc!$L$10:$L$303,MATCH(tblPivotData[[#This Row],[Time]],PeakCalc!$G$10:$G$303,0))</f>
        <v>1</v>
      </c>
    </row>
    <row r="60" spans="1:9" x14ac:dyDescent="0.25">
      <c r="A60" t="s">
        <v>94</v>
      </c>
      <c r="B60" t="s">
        <v>98</v>
      </c>
      <c r="C60" t="s">
        <v>95</v>
      </c>
      <c r="D60" t="s">
        <v>90</v>
      </c>
      <c r="E60" t="s">
        <v>110</v>
      </c>
      <c r="F60" s="6">
        <v>0.54166666666666663</v>
      </c>
      <c r="G60">
        <v>0</v>
      </c>
      <c r="H60" s="6">
        <f>FLOOR(tblPivotData[[#This Row],[Time]],Summary!$B$6/1440)</f>
        <v>0.54166666666666663</v>
      </c>
      <c r="I60" s="49">
        <f>INDEX(PeakCalc!$L$10:$L$303,MATCH(tblPivotData[[#This Row],[Time]],PeakCalc!$G$10:$G$303,0))</f>
        <v>1</v>
      </c>
    </row>
    <row r="61" spans="1:9" x14ac:dyDescent="0.25">
      <c r="A61" t="s">
        <v>94</v>
      </c>
      <c r="B61" t="s">
        <v>98</v>
      </c>
      <c r="C61" t="s">
        <v>95</v>
      </c>
      <c r="D61" t="s">
        <v>90</v>
      </c>
      <c r="E61" t="s">
        <v>110</v>
      </c>
      <c r="F61" s="6">
        <v>0.55208333333333337</v>
      </c>
      <c r="G61">
        <v>0</v>
      </c>
      <c r="H61" s="6">
        <f>FLOOR(tblPivotData[[#This Row],[Time]],Summary!$B$6/1440)</f>
        <v>0.55208333333333326</v>
      </c>
      <c r="I61" s="49">
        <f>INDEX(PeakCalc!$L$10:$L$303,MATCH(tblPivotData[[#This Row],[Time]],PeakCalc!$G$10:$G$303,0))</f>
        <v>1</v>
      </c>
    </row>
    <row r="62" spans="1:9" x14ac:dyDescent="0.25">
      <c r="A62" t="s">
        <v>94</v>
      </c>
      <c r="B62" t="s">
        <v>98</v>
      </c>
      <c r="C62" t="s">
        <v>95</v>
      </c>
      <c r="D62" t="s">
        <v>90</v>
      </c>
      <c r="E62" t="s">
        <v>110</v>
      </c>
      <c r="F62" s="6">
        <v>0.5625</v>
      </c>
      <c r="G62">
        <v>0</v>
      </c>
      <c r="H62" s="6">
        <f>FLOOR(tblPivotData[[#This Row],[Time]],Summary!$B$6/1440)</f>
        <v>0.5625</v>
      </c>
      <c r="I62" s="49">
        <f>INDEX(PeakCalc!$L$10:$L$303,MATCH(tblPivotData[[#This Row],[Time]],PeakCalc!$G$10:$G$303,0))</f>
        <v>0</v>
      </c>
    </row>
    <row r="63" spans="1:9" x14ac:dyDescent="0.25">
      <c r="A63" t="s">
        <v>94</v>
      </c>
      <c r="B63" t="s">
        <v>98</v>
      </c>
      <c r="C63" t="s">
        <v>95</v>
      </c>
      <c r="D63" t="s">
        <v>90</v>
      </c>
      <c r="E63" t="s">
        <v>110</v>
      </c>
      <c r="F63" s="6">
        <v>0.57291666666666663</v>
      </c>
      <c r="G63">
        <v>0</v>
      </c>
      <c r="H63" s="6">
        <f>FLOOR(tblPivotData[[#This Row],[Time]],Summary!$B$6/1440)</f>
        <v>0.57291666666666663</v>
      </c>
      <c r="I63" s="49">
        <f>INDEX(PeakCalc!$L$10:$L$303,MATCH(tblPivotData[[#This Row],[Time]],PeakCalc!$G$10:$G$303,0))</f>
        <v>0</v>
      </c>
    </row>
    <row r="64" spans="1:9" x14ac:dyDescent="0.25">
      <c r="A64" t="s">
        <v>94</v>
      </c>
      <c r="B64" t="s">
        <v>98</v>
      </c>
      <c r="C64" t="s">
        <v>95</v>
      </c>
      <c r="D64" t="s">
        <v>90</v>
      </c>
      <c r="E64" t="s">
        <v>44</v>
      </c>
      <c r="F64" s="6">
        <v>0.625</v>
      </c>
      <c r="G64">
        <v>0</v>
      </c>
      <c r="H64" s="6">
        <f>FLOOR(tblPivotData[[#This Row],[Time]],Summary!$B$6/1440)</f>
        <v>0.625</v>
      </c>
      <c r="I64" s="49">
        <f>INDEX(PeakCalc!$L$10:$L$303,MATCH(tblPivotData[[#This Row],[Time]],PeakCalc!$G$10:$G$303,0))</f>
        <v>0</v>
      </c>
    </row>
    <row r="65" spans="1:9" x14ac:dyDescent="0.25">
      <c r="A65" t="s">
        <v>94</v>
      </c>
      <c r="B65" t="s">
        <v>98</v>
      </c>
      <c r="C65" t="s">
        <v>95</v>
      </c>
      <c r="D65" t="s">
        <v>90</v>
      </c>
      <c r="E65" t="s">
        <v>44</v>
      </c>
      <c r="F65" s="6">
        <v>0.63541666666666663</v>
      </c>
      <c r="G65">
        <v>1</v>
      </c>
      <c r="H65" s="6">
        <f>FLOOR(tblPivotData[[#This Row],[Time]],Summary!$B$6/1440)</f>
        <v>0.63541666666666663</v>
      </c>
      <c r="I65" s="49">
        <f>INDEX(PeakCalc!$L$10:$L$303,MATCH(tblPivotData[[#This Row],[Time]],PeakCalc!$G$10:$G$303,0))</f>
        <v>0</v>
      </c>
    </row>
    <row r="66" spans="1:9" x14ac:dyDescent="0.25">
      <c r="A66" t="s">
        <v>94</v>
      </c>
      <c r="B66" t="s">
        <v>98</v>
      </c>
      <c r="C66" t="s">
        <v>95</v>
      </c>
      <c r="D66" t="s">
        <v>90</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94</v>
      </c>
      <c r="B67" t="s">
        <v>98</v>
      </c>
      <c r="C67" t="s">
        <v>95</v>
      </c>
      <c r="D67" t="s">
        <v>90</v>
      </c>
      <c r="E67" t="s">
        <v>44</v>
      </c>
      <c r="F67" s="6">
        <v>0.65625</v>
      </c>
      <c r="G67">
        <v>0</v>
      </c>
      <c r="H67" s="6">
        <f>FLOOR(tblPivotData[[#This Row],[Time]],Summary!$B$6/1440)</f>
        <v>0.65625</v>
      </c>
      <c r="I67" s="49">
        <f>INDEX(PeakCalc!$L$10:$L$303,MATCH(tblPivotData[[#This Row],[Time]],PeakCalc!$G$10:$G$303,0))</f>
        <v>0</v>
      </c>
    </row>
    <row r="68" spans="1:9" x14ac:dyDescent="0.25">
      <c r="A68" t="s">
        <v>94</v>
      </c>
      <c r="B68" t="s">
        <v>98</v>
      </c>
      <c r="C68" t="s">
        <v>95</v>
      </c>
      <c r="D68" t="s">
        <v>90</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94</v>
      </c>
      <c r="B69" t="s">
        <v>98</v>
      </c>
      <c r="C69" t="s">
        <v>95</v>
      </c>
      <c r="D69" t="s">
        <v>90</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94</v>
      </c>
      <c r="B70" t="s">
        <v>98</v>
      </c>
      <c r="C70" t="s">
        <v>95</v>
      </c>
      <c r="D70" t="s">
        <v>90</v>
      </c>
      <c r="E70" t="s">
        <v>44</v>
      </c>
      <c r="F70" s="6">
        <v>0.6875</v>
      </c>
      <c r="G70">
        <v>0</v>
      </c>
      <c r="H70" s="6">
        <f>FLOOR(tblPivotData[[#This Row],[Time]],Summary!$B$6/1440)</f>
        <v>0.6875</v>
      </c>
      <c r="I70" s="49">
        <f>INDEX(PeakCalc!$L$10:$L$303,MATCH(tblPivotData[[#This Row],[Time]],PeakCalc!$G$10:$G$303,0))</f>
        <v>1</v>
      </c>
    </row>
    <row r="71" spans="1:9" x14ac:dyDescent="0.25">
      <c r="A71" t="s">
        <v>94</v>
      </c>
      <c r="B71" t="s">
        <v>98</v>
      </c>
      <c r="C71" t="s">
        <v>95</v>
      </c>
      <c r="D71" t="s">
        <v>90</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94</v>
      </c>
      <c r="B72" t="s">
        <v>98</v>
      </c>
      <c r="C72" t="s">
        <v>95</v>
      </c>
      <c r="D72" t="s">
        <v>90</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94</v>
      </c>
      <c r="B73" t="s">
        <v>98</v>
      </c>
      <c r="C73" t="s">
        <v>95</v>
      </c>
      <c r="D73" t="s">
        <v>90</v>
      </c>
      <c r="E73" t="s">
        <v>44</v>
      </c>
      <c r="F73" s="6">
        <v>0.71875</v>
      </c>
      <c r="G73">
        <v>2</v>
      </c>
      <c r="H73" s="6">
        <f>FLOOR(tblPivotData[[#This Row],[Time]],Summary!$B$6/1440)</f>
        <v>0.71875</v>
      </c>
      <c r="I73" s="49">
        <f>INDEX(PeakCalc!$L$10:$L$303,MATCH(tblPivotData[[#This Row],[Time]],PeakCalc!$G$10:$G$303,0))</f>
        <v>1</v>
      </c>
    </row>
    <row r="74" spans="1:9" x14ac:dyDescent="0.25">
      <c r="A74" t="s">
        <v>94</v>
      </c>
      <c r="B74" t="s">
        <v>98</v>
      </c>
      <c r="C74" t="s">
        <v>95</v>
      </c>
      <c r="D74" t="s">
        <v>90</v>
      </c>
      <c r="E74" t="s">
        <v>44</v>
      </c>
      <c r="F74" s="6">
        <v>0.72916666666666663</v>
      </c>
      <c r="G74">
        <v>0</v>
      </c>
      <c r="H74" s="6">
        <f>FLOOR(tblPivotData[[#This Row],[Time]],Summary!$B$6/1440)</f>
        <v>0.72916666666666663</v>
      </c>
      <c r="I74" s="49">
        <f>INDEX(PeakCalc!$L$10:$L$303,MATCH(tblPivotData[[#This Row],[Time]],PeakCalc!$G$10:$G$303,0))</f>
        <v>0</v>
      </c>
    </row>
    <row r="75" spans="1:9" x14ac:dyDescent="0.25">
      <c r="A75" t="s">
        <v>94</v>
      </c>
      <c r="B75" t="s">
        <v>98</v>
      </c>
      <c r="C75" t="s">
        <v>95</v>
      </c>
      <c r="D75" t="s">
        <v>90</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94</v>
      </c>
      <c r="B76" t="s">
        <v>98</v>
      </c>
      <c r="C76" t="s">
        <v>95</v>
      </c>
      <c r="D76" t="s">
        <v>90</v>
      </c>
      <c r="E76" t="s">
        <v>44</v>
      </c>
      <c r="F76" s="6">
        <v>0.75</v>
      </c>
      <c r="G76">
        <v>0</v>
      </c>
      <c r="H76" s="6">
        <f>FLOOR(tblPivotData[[#This Row],[Time]],Summary!$B$6/1440)</f>
        <v>0.75</v>
      </c>
      <c r="I76" s="49">
        <f>INDEX(PeakCalc!$L$10:$L$303,MATCH(tblPivotData[[#This Row],[Time]],PeakCalc!$G$10:$G$303,0))</f>
        <v>0</v>
      </c>
    </row>
    <row r="77" spans="1:9" x14ac:dyDescent="0.25">
      <c r="A77" t="s">
        <v>94</v>
      </c>
      <c r="B77" t="s">
        <v>98</v>
      </c>
      <c r="C77" t="s">
        <v>95</v>
      </c>
      <c r="D77" t="s">
        <v>90</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94</v>
      </c>
      <c r="B78" t="s">
        <v>98</v>
      </c>
      <c r="C78" t="s">
        <v>95</v>
      </c>
      <c r="D78" t="s">
        <v>91</v>
      </c>
      <c r="E78" t="s">
        <v>43</v>
      </c>
      <c r="F78" s="6">
        <v>0.27083333333333331</v>
      </c>
      <c r="G78">
        <v>0</v>
      </c>
      <c r="H78" s="6">
        <f>FLOOR(tblPivotData[[#This Row],[Time]],Summary!$B$6/1440)</f>
        <v>0.27083333333333331</v>
      </c>
      <c r="I78" s="49">
        <f>INDEX(PeakCalc!$L$10:$L$303,MATCH(tblPivotData[[#This Row],[Time]],PeakCalc!$G$10:$G$303,0))</f>
        <v>0</v>
      </c>
    </row>
    <row r="79" spans="1:9" x14ac:dyDescent="0.25">
      <c r="A79" t="s">
        <v>94</v>
      </c>
      <c r="B79" t="s">
        <v>98</v>
      </c>
      <c r="C79" t="s">
        <v>95</v>
      </c>
      <c r="D79" t="s">
        <v>91</v>
      </c>
      <c r="E79" t="s">
        <v>43</v>
      </c>
      <c r="F79" s="6">
        <v>0.28125</v>
      </c>
      <c r="G79">
        <v>1</v>
      </c>
      <c r="H79" s="6">
        <f>FLOOR(tblPivotData[[#This Row],[Time]],Summary!$B$6/1440)</f>
        <v>0.28125</v>
      </c>
      <c r="I79" s="49">
        <f>INDEX(PeakCalc!$L$10:$L$303,MATCH(tblPivotData[[#This Row],[Time]],PeakCalc!$G$10:$G$303,0))</f>
        <v>0</v>
      </c>
    </row>
    <row r="80" spans="1:9" x14ac:dyDescent="0.25">
      <c r="A80" t="s">
        <v>94</v>
      </c>
      <c r="B80" t="s">
        <v>98</v>
      </c>
      <c r="C80" t="s">
        <v>95</v>
      </c>
      <c r="D80" t="s">
        <v>91</v>
      </c>
      <c r="E80" t="s">
        <v>43</v>
      </c>
      <c r="F80" s="6">
        <v>0.29166666666666669</v>
      </c>
      <c r="G80">
        <v>1</v>
      </c>
      <c r="H80" s="6">
        <f>FLOOR(tblPivotData[[#This Row],[Time]],Summary!$B$6/1440)</f>
        <v>0.29166666666666663</v>
      </c>
      <c r="I80" s="49">
        <f>INDEX(PeakCalc!$L$10:$L$303,MATCH(tblPivotData[[#This Row],[Time]],PeakCalc!$G$10:$G$303,0))</f>
        <v>0</v>
      </c>
    </row>
    <row r="81" spans="1:9" x14ac:dyDescent="0.25">
      <c r="A81" t="s">
        <v>94</v>
      </c>
      <c r="B81" t="s">
        <v>98</v>
      </c>
      <c r="C81" t="s">
        <v>95</v>
      </c>
      <c r="D81" t="s">
        <v>91</v>
      </c>
      <c r="E81" t="s">
        <v>43</v>
      </c>
      <c r="F81" s="6">
        <v>0.30208333333333331</v>
      </c>
      <c r="G81">
        <v>0</v>
      </c>
      <c r="H81" s="6">
        <f>FLOOR(tblPivotData[[#This Row],[Time]],Summary!$B$6/1440)</f>
        <v>0.30208333333333331</v>
      </c>
      <c r="I81" s="49">
        <f>INDEX(PeakCalc!$L$10:$L$303,MATCH(tblPivotData[[#This Row],[Time]],PeakCalc!$G$10:$G$303,0))</f>
        <v>0</v>
      </c>
    </row>
    <row r="82" spans="1:9" x14ac:dyDescent="0.25">
      <c r="A82" t="s">
        <v>94</v>
      </c>
      <c r="B82" t="s">
        <v>98</v>
      </c>
      <c r="C82" t="s">
        <v>95</v>
      </c>
      <c r="D82" t="s">
        <v>91</v>
      </c>
      <c r="E82" t="s">
        <v>43</v>
      </c>
      <c r="F82" s="6">
        <v>0.3125</v>
      </c>
      <c r="G82">
        <v>0</v>
      </c>
      <c r="H82" s="6">
        <f>FLOOR(tblPivotData[[#This Row],[Time]],Summary!$B$6/1440)</f>
        <v>0.3125</v>
      </c>
      <c r="I82" s="49">
        <f>INDEX(PeakCalc!$L$10:$L$303,MATCH(tblPivotData[[#This Row],[Time]],PeakCalc!$G$10:$G$303,0))</f>
        <v>0</v>
      </c>
    </row>
    <row r="83" spans="1:9" x14ac:dyDescent="0.25">
      <c r="A83" t="s">
        <v>94</v>
      </c>
      <c r="B83" t="s">
        <v>98</v>
      </c>
      <c r="C83" t="s">
        <v>95</v>
      </c>
      <c r="D83" t="s">
        <v>91</v>
      </c>
      <c r="E83" t="s">
        <v>43</v>
      </c>
      <c r="F83" s="6">
        <v>0.32291666666666669</v>
      </c>
      <c r="G83">
        <v>0</v>
      </c>
      <c r="H83" s="6">
        <f>FLOOR(tblPivotData[[#This Row],[Time]],Summary!$B$6/1440)</f>
        <v>0.32291666666666663</v>
      </c>
      <c r="I83" s="49">
        <f>INDEX(PeakCalc!$L$10:$L$303,MATCH(tblPivotData[[#This Row],[Time]],PeakCalc!$G$10:$G$303,0))</f>
        <v>1</v>
      </c>
    </row>
    <row r="84" spans="1:9" x14ac:dyDescent="0.25">
      <c r="A84" t="s">
        <v>94</v>
      </c>
      <c r="B84" t="s">
        <v>98</v>
      </c>
      <c r="C84" t="s">
        <v>95</v>
      </c>
      <c r="D84" t="s">
        <v>91</v>
      </c>
      <c r="E84" t="s">
        <v>43</v>
      </c>
      <c r="F84" s="6">
        <v>0.33333333333333331</v>
      </c>
      <c r="G84">
        <v>0</v>
      </c>
      <c r="H84" s="6">
        <f>FLOOR(tblPivotData[[#This Row],[Time]],Summary!$B$6/1440)</f>
        <v>0.33333333333333331</v>
      </c>
      <c r="I84" s="49">
        <f>INDEX(PeakCalc!$L$10:$L$303,MATCH(tblPivotData[[#This Row],[Time]],PeakCalc!$G$10:$G$303,0))</f>
        <v>1</v>
      </c>
    </row>
    <row r="85" spans="1:9" x14ac:dyDescent="0.25">
      <c r="A85" t="s">
        <v>94</v>
      </c>
      <c r="B85" t="s">
        <v>98</v>
      </c>
      <c r="C85" t="s">
        <v>95</v>
      </c>
      <c r="D85" t="s">
        <v>91</v>
      </c>
      <c r="E85" t="s">
        <v>43</v>
      </c>
      <c r="F85" s="6">
        <v>0.34375</v>
      </c>
      <c r="G85">
        <v>1</v>
      </c>
      <c r="H85" s="6">
        <f>FLOOR(tblPivotData[[#This Row],[Time]],Summary!$B$6/1440)</f>
        <v>0.34375</v>
      </c>
      <c r="I85" s="49">
        <f>INDEX(PeakCalc!$L$10:$L$303,MATCH(tblPivotData[[#This Row],[Time]],PeakCalc!$G$10:$G$303,0))</f>
        <v>1</v>
      </c>
    </row>
    <row r="86" spans="1:9" x14ac:dyDescent="0.25">
      <c r="A86" t="s">
        <v>94</v>
      </c>
      <c r="B86" t="s">
        <v>98</v>
      </c>
      <c r="C86" t="s">
        <v>95</v>
      </c>
      <c r="D86" t="s">
        <v>91</v>
      </c>
      <c r="E86" t="s">
        <v>43</v>
      </c>
      <c r="F86" s="6">
        <v>0.35416666666666669</v>
      </c>
      <c r="G86">
        <v>1</v>
      </c>
      <c r="H86" s="6">
        <f>FLOOR(tblPivotData[[#This Row],[Time]],Summary!$B$6/1440)</f>
        <v>0.35416666666666663</v>
      </c>
      <c r="I86" s="49">
        <f>INDEX(PeakCalc!$L$10:$L$303,MATCH(tblPivotData[[#This Row],[Time]],PeakCalc!$G$10:$G$303,0))</f>
        <v>1</v>
      </c>
    </row>
    <row r="87" spans="1:9" x14ac:dyDescent="0.25">
      <c r="A87" t="s">
        <v>94</v>
      </c>
      <c r="B87" t="s">
        <v>98</v>
      </c>
      <c r="C87" t="s">
        <v>95</v>
      </c>
      <c r="D87" t="s">
        <v>91</v>
      </c>
      <c r="E87" t="s">
        <v>43</v>
      </c>
      <c r="F87" s="6">
        <v>0.36458333333333331</v>
      </c>
      <c r="G87">
        <v>2</v>
      </c>
      <c r="H87" s="6">
        <f>FLOOR(tblPivotData[[#This Row],[Time]],Summary!$B$6/1440)</f>
        <v>0.36458333333333331</v>
      </c>
      <c r="I87" s="49">
        <f>INDEX(PeakCalc!$L$10:$L$303,MATCH(tblPivotData[[#This Row],[Time]],PeakCalc!$G$10:$G$303,0))</f>
        <v>0</v>
      </c>
    </row>
    <row r="88" spans="1:9" x14ac:dyDescent="0.25">
      <c r="A88" t="s">
        <v>94</v>
      </c>
      <c r="B88" t="s">
        <v>98</v>
      </c>
      <c r="C88" t="s">
        <v>95</v>
      </c>
      <c r="D88" t="s">
        <v>91</v>
      </c>
      <c r="E88" t="s">
        <v>43</v>
      </c>
      <c r="F88" s="6">
        <v>0.375</v>
      </c>
      <c r="G88">
        <v>2</v>
      </c>
      <c r="H88" s="6">
        <f>FLOOR(tblPivotData[[#This Row],[Time]],Summary!$B$6/1440)</f>
        <v>0.375</v>
      </c>
      <c r="I88" s="49">
        <f>INDEX(PeakCalc!$L$10:$L$303,MATCH(tblPivotData[[#This Row],[Time]],PeakCalc!$G$10:$G$303,0))</f>
        <v>0</v>
      </c>
    </row>
    <row r="89" spans="1:9" x14ac:dyDescent="0.25">
      <c r="A89" t="s">
        <v>94</v>
      </c>
      <c r="B89" t="s">
        <v>98</v>
      </c>
      <c r="C89" t="s">
        <v>95</v>
      </c>
      <c r="D89" t="s">
        <v>91</v>
      </c>
      <c r="E89" t="s">
        <v>43</v>
      </c>
      <c r="F89" s="6">
        <v>0.38541666666666669</v>
      </c>
      <c r="G89">
        <v>1</v>
      </c>
      <c r="H89" s="6">
        <f>FLOOR(tblPivotData[[#This Row],[Time]],Summary!$B$6/1440)</f>
        <v>0.38541666666666663</v>
      </c>
      <c r="I89" s="49">
        <f>INDEX(PeakCalc!$L$10:$L$303,MATCH(tblPivotData[[#This Row],[Time]],PeakCalc!$G$10:$G$303,0))</f>
        <v>0</v>
      </c>
    </row>
    <row r="90" spans="1:9" x14ac:dyDescent="0.25">
      <c r="A90" t="s">
        <v>94</v>
      </c>
      <c r="B90" t="s">
        <v>98</v>
      </c>
      <c r="C90" t="s">
        <v>95</v>
      </c>
      <c r="D90" t="s">
        <v>91</v>
      </c>
      <c r="E90" t="s">
        <v>110</v>
      </c>
      <c r="F90" s="6">
        <v>0.45833333333333331</v>
      </c>
      <c r="G90">
        <v>2</v>
      </c>
      <c r="H90" s="6">
        <f>FLOOR(tblPivotData[[#This Row],[Time]],Summary!$B$6/1440)</f>
        <v>0.45833333333333331</v>
      </c>
      <c r="I90" s="49">
        <f>INDEX(PeakCalc!$L$10:$L$303,MATCH(tblPivotData[[#This Row],[Time]],PeakCalc!$G$10:$G$303,0))</f>
        <v>0</v>
      </c>
    </row>
    <row r="91" spans="1:9" x14ac:dyDescent="0.25">
      <c r="A91" t="s">
        <v>94</v>
      </c>
      <c r="B91" t="s">
        <v>98</v>
      </c>
      <c r="C91" t="s">
        <v>95</v>
      </c>
      <c r="D91" t="s">
        <v>91</v>
      </c>
      <c r="E91" t="s">
        <v>110</v>
      </c>
      <c r="F91" s="6">
        <v>0.46875</v>
      </c>
      <c r="G91">
        <v>1</v>
      </c>
      <c r="H91" s="6">
        <f>FLOOR(tblPivotData[[#This Row],[Time]],Summary!$B$6/1440)</f>
        <v>0.46875</v>
      </c>
      <c r="I91" s="49">
        <f>INDEX(PeakCalc!$L$10:$L$303,MATCH(tblPivotData[[#This Row],[Time]],PeakCalc!$G$10:$G$303,0))</f>
        <v>0</v>
      </c>
    </row>
    <row r="92" spans="1:9" x14ac:dyDescent="0.25">
      <c r="A92" t="s">
        <v>94</v>
      </c>
      <c r="B92" t="s">
        <v>98</v>
      </c>
      <c r="C92" t="s">
        <v>95</v>
      </c>
      <c r="D92" t="s">
        <v>91</v>
      </c>
      <c r="E92" t="s">
        <v>110</v>
      </c>
      <c r="F92" s="6">
        <v>0.47916666666666669</v>
      </c>
      <c r="G92">
        <v>5</v>
      </c>
      <c r="H92" s="6">
        <f>FLOOR(tblPivotData[[#This Row],[Time]],Summary!$B$6/1440)</f>
        <v>0.47916666666666663</v>
      </c>
      <c r="I92" s="49">
        <f>INDEX(PeakCalc!$L$10:$L$303,MATCH(tblPivotData[[#This Row],[Time]],PeakCalc!$G$10:$G$303,0))</f>
        <v>0</v>
      </c>
    </row>
    <row r="93" spans="1:9" x14ac:dyDescent="0.25">
      <c r="A93" t="s">
        <v>94</v>
      </c>
      <c r="B93" t="s">
        <v>98</v>
      </c>
      <c r="C93" t="s">
        <v>95</v>
      </c>
      <c r="D93" t="s">
        <v>91</v>
      </c>
      <c r="E93" t="s">
        <v>110</v>
      </c>
      <c r="F93" s="6">
        <v>0.48958333333333331</v>
      </c>
      <c r="G93">
        <v>3</v>
      </c>
      <c r="H93" s="6">
        <f>FLOOR(tblPivotData[[#This Row],[Time]],Summary!$B$6/1440)</f>
        <v>0.48958333333333331</v>
      </c>
      <c r="I93" s="49">
        <f>INDEX(PeakCalc!$L$10:$L$303,MATCH(tblPivotData[[#This Row],[Time]],PeakCalc!$G$10:$G$303,0))</f>
        <v>0</v>
      </c>
    </row>
    <row r="94" spans="1:9" x14ac:dyDescent="0.25">
      <c r="A94" t="s">
        <v>94</v>
      </c>
      <c r="B94" t="s">
        <v>98</v>
      </c>
      <c r="C94" t="s">
        <v>95</v>
      </c>
      <c r="D94" t="s">
        <v>91</v>
      </c>
      <c r="E94" t="s">
        <v>110</v>
      </c>
      <c r="F94" s="6">
        <v>0.5</v>
      </c>
      <c r="G94">
        <v>1</v>
      </c>
      <c r="H94" s="6">
        <f>FLOOR(tblPivotData[[#This Row],[Time]],Summary!$B$6/1440)</f>
        <v>0.5</v>
      </c>
      <c r="I94" s="49">
        <f>INDEX(PeakCalc!$L$10:$L$303,MATCH(tblPivotData[[#This Row],[Time]],PeakCalc!$G$10:$G$303,0))</f>
        <v>0</v>
      </c>
    </row>
    <row r="95" spans="1:9" x14ac:dyDescent="0.25">
      <c r="A95" t="s">
        <v>94</v>
      </c>
      <c r="B95" t="s">
        <v>98</v>
      </c>
      <c r="C95" t="s">
        <v>95</v>
      </c>
      <c r="D95" t="s">
        <v>91</v>
      </c>
      <c r="E95" t="s">
        <v>110</v>
      </c>
      <c r="F95" s="6">
        <v>0.51041666666666663</v>
      </c>
      <c r="G95">
        <v>1</v>
      </c>
      <c r="H95" s="6">
        <f>FLOOR(tblPivotData[[#This Row],[Time]],Summary!$B$6/1440)</f>
        <v>0.51041666666666663</v>
      </c>
      <c r="I95" s="49">
        <f>INDEX(PeakCalc!$L$10:$L$303,MATCH(tblPivotData[[#This Row],[Time]],PeakCalc!$G$10:$G$303,0))</f>
        <v>0</v>
      </c>
    </row>
    <row r="96" spans="1:9" x14ac:dyDescent="0.25">
      <c r="A96" t="s">
        <v>94</v>
      </c>
      <c r="B96" t="s">
        <v>98</v>
      </c>
      <c r="C96" t="s">
        <v>95</v>
      </c>
      <c r="D96" t="s">
        <v>91</v>
      </c>
      <c r="E96" t="s">
        <v>110</v>
      </c>
      <c r="F96" s="6">
        <v>0.52083333333333337</v>
      </c>
      <c r="G96">
        <v>1</v>
      </c>
      <c r="H96" s="6">
        <f>FLOOR(tblPivotData[[#This Row],[Time]],Summary!$B$6/1440)</f>
        <v>0.52083333333333326</v>
      </c>
      <c r="I96" s="49">
        <f>INDEX(PeakCalc!$L$10:$L$303,MATCH(tblPivotData[[#This Row],[Time]],PeakCalc!$G$10:$G$303,0))</f>
        <v>1</v>
      </c>
    </row>
    <row r="97" spans="1:9" x14ac:dyDescent="0.25">
      <c r="A97" t="s">
        <v>94</v>
      </c>
      <c r="B97" t="s">
        <v>98</v>
      </c>
      <c r="C97" t="s">
        <v>95</v>
      </c>
      <c r="D97" t="s">
        <v>91</v>
      </c>
      <c r="E97" t="s">
        <v>110</v>
      </c>
      <c r="F97" s="6">
        <v>0.53125</v>
      </c>
      <c r="G97">
        <v>0</v>
      </c>
      <c r="H97" s="6">
        <f>FLOOR(tblPivotData[[#This Row],[Time]],Summary!$B$6/1440)</f>
        <v>0.53125</v>
      </c>
      <c r="I97" s="49">
        <f>INDEX(PeakCalc!$L$10:$L$303,MATCH(tblPivotData[[#This Row],[Time]],PeakCalc!$G$10:$G$303,0))</f>
        <v>1</v>
      </c>
    </row>
    <row r="98" spans="1:9" x14ac:dyDescent="0.25">
      <c r="A98" t="s">
        <v>94</v>
      </c>
      <c r="B98" t="s">
        <v>98</v>
      </c>
      <c r="C98" t="s">
        <v>95</v>
      </c>
      <c r="D98" t="s">
        <v>91</v>
      </c>
      <c r="E98" t="s">
        <v>110</v>
      </c>
      <c r="F98" s="6">
        <v>0.54166666666666663</v>
      </c>
      <c r="G98">
        <v>0</v>
      </c>
      <c r="H98" s="6">
        <f>FLOOR(tblPivotData[[#This Row],[Time]],Summary!$B$6/1440)</f>
        <v>0.54166666666666663</v>
      </c>
      <c r="I98" s="49">
        <f>INDEX(PeakCalc!$L$10:$L$303,MATCH(tblPivotData[[#This Row],[Time]],PeakCalc!$G$10:$G$303,0))</f>
        <v>1</v>
      </c>
    </row>
    <row r="99" spans="1:9" x14ac:dyDescent="0.25">
      <c r="A99" t="s">
        <v>94</v>
      </c>
      <c r="B99" t="s">
        <v>98</v>
      </c>
      <c r="C99" t="s">
        <v>95</v>
      </c>
      <c r="D99" t="s">
        <v>91</v>
      </c>
      <c r="E99" t="s">
        <v>110</v>
      </c>
      <c r="F99" s="6">
        <v>0.55208333333333337</v>
      </c>
      <c r="G99">
        <v>5</v>
      </c>
      <c r="H99" s="6">
        <f>FLOOR(tblPivotData[[#This Row],[Time]],Summary!$B$6/1440)</f>
        <v>0.55208333333333326</v>
      </c>
      <c r="I99" s="49">
        <f>INDEX(PeakCalc!$L$10:$L$303,MATCH(tblPivotData[[#This Row],[Time]],PeakCalc!$G$10:$G$303,0))</f>
        <v>1</v>
      </c>
    </row>
    <row r="100" spans="1:9" x14ac:dyDescent="0.25">
      <c r="A100" t="s">
        <v>94</v>
      </c>
      <c r="B100" t="s">
        <v>98</v>
      </c>
      <c r="C100" t="s">
        <v>95</v>
      </c>
      <c r="D100" t="s">
        <v>91</v>
      </c>
      <c r="E100" t="s">
        <v>110</v>
      </c>
      <c r="F100" s="6">
        <v>0.5625</v>
      </c>
      <c r="G100">
        <v>2</v>
      </c>
      <c r="H100" s="6">
        <f>FLOOR(tblPivotData[[#This Row],[Time]],Summary!$B$6/1440)</f>
        <v>0.5625</v>
      </c>
      <c r="I100" s="49">
        <f>INDEX(PeakCalc!$L$10:$L$303,MATCH(tblPivotData[[#This Row],[Time]],PeakCalc!$G$10:$G$303,0))</f>
        <v>0</v>
      </c>
    </row>
    <row r="101" spans="1:9" x14ac:dyDescent="0.25">
      <c r="A101" t="s">
        <v>94</v>
      </c>
      <c r="B101" t="s">
        <v>98</v>
      </c>
      <c r="C101" t="s">
        <v>95</v>
      </c>
      <c r="D101" t="s">
        <v>91</v>
      </c>
      <c r="E101" t="s">
        <v>110</v>
      </c>
      <c r="F101" s="6">
        <v>0.57291666666666663</v>
      </c>
      <c r="G101">
        <v>1</v>
      </c>
      <c r="H101" s="6">
        <f>FLOOR(tblPivotData[[#This Row],[Time]],Summary!$B$6/1440)</f>
        <v>0.57291666666666663</v>
      </c>
      <c r="I101" s="49">
        <f>INDEX(PeakCalc!$L$10:$L$303,MATCH(tblPivotData[[#This Row],[Time]],PeakCalc!$G$10:$G$303,0))</f>
        <v>0</v>
      </c>
    </row>
    <row r="102" spans="1:9" x14ac:dyDescent="0.25">
      <c r="A102" t="s">
        <v>94</v>
      </c>
      <c r="B102" t="s">
        <v>98</v>
      </c>
      <c r="C102" t="s">
        <v>95</v>
      </c>
      <c r="D102" t="s">
        <v>91</v>
      </c>
      <c r="E102" t="s">
        <v>44</v>
      </c>
      <c r="F102" s="6">
        <v>0.625</v>
      </c>
      <c r="G102">
        <v>0</v>
      </c>
      <c r="H102" s="6">
        <f>FLOOR(tblPivotData[[#This Row],[Time]],Summary!$B$6/1440)</f>
        <v>0.625</v>
      </c>
      <c r="I102" s="49">
        <f>INDEX(PeakCalc!$L$10:$L$303,MATCH(tblPivotData[[#This Row],[Time]],PeakCalc!$G$10:$G$303,0))</f>
        <v>0</v>
      </c>
    </row>
    <row r="103" spans="1:9" x14ac:dyDescent="0.25">
      <c r="A103" t="s">
        <v>94</v>
      </c>
      <c r="B103" t="s">
        <v>98</v>
      </c>
      <c r="C103" t="s">
        <v>95</v>
      </c>
      <c r="D103" t="s">
        <v>91</v>
      </c>
      <c r="E103" t="s">
        <v>44</v>
      </c>
      <c r="F103" s="6">
        <v>0.63541666666666663</v>
      </c>
      <c r="G103">
        <v>1</v>
      </c>
      <c r="H103" s="6">
        <f>FLOOR(tblPivotData[[#This Row],[Time]],Summary!$B$6/1440)</f>
        <v>0.63541666666666663</v>
      </c>
      <c r="I103" s="49">
        <f>INDEX(PeakCalc!$L$10:$L$303,MATCH(tblPivotData[[#This Row],[Time]],PeakCalc!$G$10:$G$303,0))</f>
        <v>0</v>
      </c>
    </row>
    <row r="104" spans="1:9" x14ac:dyDescent="0.25">
      <c r="A104" t="s">
        <v>94</v>
      </c>
      <c r="B104" t="s">
        <v>98</v>
      </c>
      <c r="C104" t="s">
        <v>95</v>
      </c>
      <c r="D104" t="s">
        <v>91</v>
      </c>
      <c r="E104" t="s">
        <v>44</v>
      </c>
      <c r="F104" s="6">
        <v>0.64583333333333337</v>
      </c>
      <c r="G104">
        <v>0</v>
      </c>
      <c r="H104" s="6">
        <f>FLOOR(tblPivotData[[#This Row],[Time]],Summary!$B$6/1440)</f>
        <v>0.64583333333333326</v>
      </c>
      <c r="I104" s="49">
        <f>INDEX(PeakCalc!$L$10:$L$303,MATCH(tblPivotData[[#This Row],[Time]],PeakCalc!$G$10:$G$303,0))</f>
        <v>0</v>
      </c>
    </row>
    <row r="105" spans="1:9" x14ac:dyDescent="0.25">
      <c r="A105" t="s">
        <v>94</v>
      </c>
      <c r="B105" t="s">
        <v>98</v>
      </c>
      <c r="C105" t="s">
        <v>95</v>
      </c>
      <c r="D105" t="s">
        <v>91</v>
      </c>
      <c r="E105" t="s">
        <v>44</v>
      </c>
      <c r="F105" s="6">
        <v>0.65625</v>
      </c>
      <c r="G105">
        <v>0</v>
      </c>
      <c r="H105" s="6">
        <f>FLOOR(tblPivotData[[#This Row],[Time]],Summary!$B$6/1440)</f>
        <v>0.65625</v>
      </c>
      <c r="I105" s="49">
        <f>INDEX(PeakCalc!$L$10:$L$303,MATCH(tblPivotData[[#This Row],[Time]],PeakCalc!$G$10:$G$303,0))</f>
        <v>0</v>
      </c>
    </row>
    <row r="106" spans="1:9" x14ac:dyDescent="0.25">
      <c r="A106" t="s">
        <v>94</v>
      </c>
      <c r="B106" t="s">
        <v>98</v>
      </c>
      <c r="C106" t="s">
        <v>95</v>
      </c>
      <c r="D106" t="s">
        <v>91</v>
      </c>
      <c r="E106" t="s">
        <v>44</v>
      </c>
      <c r="F106" s="6">
        <v>0.66666666666666663</v>
      </c>
      <c r="G106">
        <v>0</v>
      </c>
      <c r="H106" s="6">
        <f>FLOOR(tblPivotData[[#This Row],[Time]],Summary!$B$6/1440)</f>
        <v>0.66666666666666663</v>
      </c>
      <c r="I106" s="49">
        <f>INDEX(PeakCalc!$L$10:$L$303,MATCH(tblPivotData[[#This Row],[Time]],PeakCalc!$G$10:$G$303,0))</f>
        <v>0</v>
      </c>
    </row>
    <row r="107" spans="1:9" x14ac:dyDescent="0.25">
      <c r="A107" t="s">
        <v>94</v>
      </c>
      <c r="B107" t="s">
        <v>98</v>
      </c>
      <c r="C107" t="s">
        <v>95</v>
      </c>
      <c r="D107" t="s">
        <v>91</v>
      </c>
      <c r="E107" t="s">
        <v>44</v>
      </c>
      <c r="F107" s="6">
        <v>0.67708333333333337</v>
      </c>
      <c r="G107">
        <v>4</v>
      </c>
      <c r="H107" s="6">
        <f>FLOOR(tblPivotData[[#This Row],[Time]],Summary!$B$6/1440)</f>
        <v>0.67708333333333326</v>
      </c>
      <c r="I107" s="49">
        <f>INDEX(PeakCalc!$L$10:$L$303,MATCH(tblPivotData[[#This Row],[Time]],PeakCalc!$G$10:$G$303,0))</f>
        <v>0</v>
      </c>
    </row>
    <row r="108" spans="1:9" x14ac:dyDescent="0.25">
      <c r="A108" t="s">
        <v>94</v>
      </c>
      <c r="B108" t="s">
        <v>98</v>
      </c>
      <c r="C108" t="s">
        <v>95</v>
      </c>
      <c r="D108" t="s">
        <v>91</v>
      </c>
      <c r="E108" t="s">
        <v>44</v>
      </c>
      <c r="F108" s="6">
        <v>0.6875</v>
      </c>
      <c r="G108">
        <v>1</v>
      </c>
      <c r="H108" s="6">
        <f>FLOOR(tblPivotData[[#This Row],[Time]],Summary!$B$6/1440)</f>
        <v>0.6875</v>
      </c>
      <c r="I108" s="49">
        <f>INDEX(PeakCalc!$L$10:$L$303,MATCH(tblPivotData[[#This Row],[Time]],PeakCalc!$G$10:$G$303,0))</f>
        <v>1</v>
      </c>
    </row>
    <row r="109" spans="1:9" x14ac:dyDescent="0.25">
      <c r="A109" t="s">
        <v>94</v>
      </c>
      <c r="B109" t="s">
        <v>98</v>
      </c>
      <c r="C109" t="s">
        <v>95</v>
      </c>
      <c r="D109" t="s">
        <v>91</v>
      </c>
      <c r="E109" t="s">
        <v>44</v>
      </c>
      <c r="F109" s="6">
        <v>0.69791666666666663</v>
      </c>
      <c r="G109">
        <v>1</v>
      </c>
      <c r="H109" s="6">
        <f>FLOOR(tblPivotData[[#This Row],[Time]],Summary!$B$6/1440)</f>
        <v>0.69791666666666663</v>
      </c>
      <c r="I109" s="49">
        <f>INDEX(PeakCalc!$L$10:$L$303,MATCH(tblPivotData[[#This Row],[Time]],PeakCalc!$G$10:$G$303,0))</f>
        <v>1</v>
      </c>
    </row>
    <row r="110" spans="1:9" x14ac:dyDescent="0.25">
      <c r="A110" t="s">
        <v>94</v>
      </c>
      <c r="B110" t="s">
        <v>98</v>
      </c>
      <c r="C110" t="s">
        <v>95</v>
      </c>
      <c r="D110" t="s">
        <v>91</v>
      </c>
      <c r="E110" t="s">
        <v>44</v>
      </c>
      <c r="F110" s="6">
        <v>0.70833333333333337</v>
      </c>
      <c r="G110">
        <v>3</v>
      </c>
      <c r="H110" s="6">
        <f>FLOOR(tblPivotData[[#This Row],[Time]],Summary!$B$6/1440)</f>
        <v>0.70833333333333326</v>
      </c>
      <c r="I110" s="49">
        <f>INDEX(PeakCalc!$L$10:$L$303,MATCH(tblPivotData[[#This Row],[Time]],PeakCalc!$G$10:$G$303,0))</f>
        <v>1</v>
      </c>
    </row>
    <row r="111" spans="1:9" x14ac:dyDescent="0.25">
      <c r="A111" t="s">
        <v>94</v>
      </c>
      <c r="B111" t="s">
        <v>98</v>
      </c>
      <c r="C111" t="s">
        <v>95</v>
      </c>
      <c r="D111" t="s">
        <v>91</v>
      </c>
      <c r="E111" t="s">
        <v>44</v>
      </c>
      <c r="F111" s="6">
        <v>0.71875</v>
      </c>
      <c r="G111">
        <v>2</v>
      </c>
      <c r="H111" s="6">
        <f>FLOOR(tblPivotData[[#This Row],[Time]],Summary!$B$6/1440)</f>
        <v>0.71875</v>
      </c>
      <c r="I111" s="49">
        <f>INDEX(PeakCalc!$L$10:$L$303,MATCH(tblPivotData[[#This Row],[Time]],PeakCalc!$G$10:$G$303,0))</f>
        <v>1</v>
      </c>
    </row>
    <row r="112" spans="1:9" x14ac:dyDescent="0.25">
      <c r="A112" t="s">
        <v>94</v>
      </c>
      <c r="B112" t="s">
        <v>98</v>
      </c>
      <c r="C112" t="s">
        <v>95</v>
      </c>
      <c r="D112" t="s">
        <v>91</v>
      </c>
      <c r="E112" t="s">
        <v>44</v>
      </c>
      <c r="F112" s="6">
        <v>0.72916666666666663</v>
      </c>
      <c r="G112">
        <v>3</v>
      </c>
      <c r="H112" s="6">
        <f>FLOOR(tblPivotData[[#This Row],[Time]],Summary!$B$6/1440)</f>
        <v>0.72916666666666663</v>
      </c>
      <c r="I112" s="49">
        <f>INDEX(PeakCalc!$L$10:$L$303,MATCH(tblPivotData[[#This Row],[Time]],PeakCalc!$G$10:$G$303,0))</f>
        <v>0</v>
      </c>
    </row>
    <row r="113" spans="1:9" x14ac:dyDescent="0.25">
      <c r="A113" t="s">
        <v>94</v>
      </c>
      <c r="B113" t="s">
        <v>98</v>
      </c>
      <c r="C113" t="s">
        <v>95</v>
      </c>
      <c r="D113" t="s">
        <v>91</v>
      </c>
      <c r="E113" t="s">
        <v>44</v>
      </c>
      <c r="F113" s="6">
        <v>0.73958333333333337</v>
      </c>
      <c r="G113">
        <v>2</v>
      </c>
      <c r="H113" s="6">
        <f>FLOOR(tblPivotData[[#This Row],[Time]],Summary!$B$6/1440)</f>
        <v>0.73958333333333326</v>
      </c>
      <c r="I113" s="49">
        <f>INDEX(PeakCalc!$L$10:$L$303,MATCH(tblPivotData[[#This Row],[Time]],PeakCalc!$G$10:$G$303,0))</f>
        <v>0</v>
      </c>
    </row>
    <row r="114" spans="1:9" x14ac:dyDescent="0.25">
      <c r="A114" t="s">
        <v>94</v>
      </c>
      <c r="B114" t="s">
        <v>98</v>
      </c>
      <c r="C114" t="s">
        <v>95</v>
      </c>
      <c r="D114" t="s">
        <v>91</v>
      </c>
      <c r="E114" t="s">
        <v>44</v>
      </c>
      <c r="F114" s="6">
        <v>0.75</v>
      </c>
      <c r="G114">
        <v>0</v>
      </c>
      <c r="H114" s="6">
        <f>FLOOR(tblPivotData[[#This Row],[Time]],Summary!$B$6/1440)</f>
        <v>0.75</v>
      </c>
      <c r="I114" s="49">
        <f>INDEX(PeakCalc!$L$10:$L$303,MATCH(tblPivotData[[#This Row],[Time]],PeakCalc!$G$10:$G$303,0))</f>
        <v>0</v>
      </c>
    </row>
    <row r="115" spans="1:9" x14ac:dyDescent="0.25">
      <c r="A115" t="s">
        <v>94</v>
      </c>
      <c r="B115" t="s">
        <v>98</v>
      </c>
      <c r="C115" t="s">
        <v>95</v>
      </c>
      <c r="D115" t="s">
        <v>91</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94</v>
      </c>
      <c r="B116" t="s">
        <v>98</v>
      </c>
      <c r="C116" t="s">
        <v>95</v>
      </c>
      <c r="D116" t="s">
        <v>92</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94</v>
      </c>
      <c r="B117" t="s">
        <v>98</v>
      </c>
      <c r="C117" t="s">
        <v>95</v>
      </c>
      <c r="D117" t="s">
        <v>92</v>
      </c>
      <c r="E117" t="s">
        <v>43</v>
      </c>
      <c r="F117" s="6">
        <v>0.28125</v>
      </c>
      <c r="G117">
        <v>0</v>
      </c>
      <c r="H117" s="6">
        <f>FLOOR(tblPivotData[[#This Row],[Time]],Summary!$B$6/1440)</f>
        <v>0.28125</v>
      </c>
      <c r="I117" s="49">
        <f>INDEX(PeakCalc!$L$10:$L$303,MATCH(tblPivotData[[#This Row],[Time]],PeakCalc!$G$10:$G$303,0))</f>
        <v>0</v>
      </c>
    </row>
    <row r="118" spans="1:9" x14ac:dyDescent="0.25">
      <c r="A118" t="s">
        <v>94</v>
      </c>
      <c r="B118" t="s">
        <v>98</v>
      </c>
      <c r="C118" t="s">
        <v>95</v>
      </c>
      <c r="D118" t="s">
        <v>92</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94</v>
      </c>
      <c r="B119" t="s">
        <v>98</v>
      </c>
      <c r="C119" t="s">
        <v>95</v>
      </c>
      <c r="D119" t="s">
        <v>92</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94</v>
      </c>
      <c r="B120" t="s">
        <v>98</v>
      </c>
      <c r="C120" t="s">
        <v>95</v>
      </c>
      <c r="D120" t="s">
        <v>92</v>
      </c>
      <c r="E120" t="s">
        <v>43</v>
      </c>
      <c r="F120" s="6">
        <v>0.3125</v>
      </c>
      <c r="G120">
        <v>0</v>
      </c>
      <c r="H120" s="6">
        <f>FLOOR(tblPivotData[[#This Row],[Time]],Summary!$B$6/1440)</f>
        <v>0.3125</v>
      </c>
      <c r="I120" s="49">
        <f>INDEX(PeakCalc!$L$10:$L$303,MATCH(tblPivotData[[#This Row],[Time]],PeakCalc!$G$10:$G$303,0))</f>
        <v>0</v>
      </c>
    </row>
    <row r="121" spans="1:9" x14ac:dyDescent="0.25">
      <c r="A121" t="s">
        <v>94</v>
      </c>
      <c r="B121" t="s">
        <v>98</v>
      </c>
      <c r="C121" t="s">
        <v>95</v>
      </c>
      <c r="D121" t="s">
        <v>92</v>
      </c>
      <c r="E121" t="s">
        <v>43</v>
      </c>
      <c r="F121" s="6">
        <v>0.32291666666666669</v>
      </c>
      <c r="G121">
        <v>0</v>
      </c>
      <c r="H121" s="6">
        <f>FLOOR(tblPivotData[[#This Row],[Time]],Summary!$B$6/1440)</f>
        <v>0.32291666666666663</v>
      </c>
      <c r="I121" s="49">
        <f>INDEX(PeakCalc!$L$10:$L$303,MATCH(tblPivotData[[#This Row],[Time]],PeakCalc!$G$10:$G$303,0))</f>
        <v>1</v>
      </c>
    </row>
    <row r="122" spans="1:9" x14ac:dyDescent="0.25">
      <c r="A122" t="s">
        <v>94</v>
      </c>
      <c r="B122" t="s">
        <v>98</v>
      </c>
      <c r="C122" t="s">
        <v>95</v>
      </c>
      <c r="D122" t="s">
        <v>92</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94</v>
      </c>
      <c r="B123" t="s">
        <v>98</v>
      </c>
      <c r="C123" t="s">
        <v>95</v>
      </c>
      <c r="D123" t="s">
        <v>92</v>
      </c>
      <c r="E123" t="s">
        <v>43</v>
      </c>
      <c r="F123" s="6">
        <v>0.34375</v>
      </c>
      <c r="G123">
        <v>0</v>
      </c>
      <c r="H123" s="6">
        <f>FLOOR(tblPivotData[[#This Row],[Time]],Summary!$B$6/1440)</f>
        <v>0.34375</v>
      </c>
      <c r="I123" s="49">
        <f>INDEX(PeakCalc!$L$10:$L$303,MATCH(tblPivotData[[#This Row],[Time]],PeakCalc!$G$10:$G$303,0))</f>
        <v>1</v>
      </c>
    </row>
    <row r="124" spans="1:9" x14ac:dyDescent="0.25">
      <c r="A124" t="s">
        <v>94</v>
      </c>
      <c r="B124" t="s">
        <v>98</v>
      </c>
      <c r="C124" t="s">
        <v>95</v>
      </c>
      <c r="D124" t="s">
        <v>92</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94</v>
      </c>
      <c r="B125" t="s">
        <v>98</v>
      </c>
      <c r="C125" t="s">
        <v>95</v>
      </c>
      <c r="D125" t="s">
        <v>92</v>
      </c>
      <c r="E125" t="s">
        <v>43</v>
      </c>
      <c r="F125" s="6">
        <v>0.36458333333333331</v>
      </c>
      <c r="G125">
        <v>0</v>
      </c>
      <c r="H125" s="6">
        <f>FLOOR(tblPivotData[[#This Row],[Time]],Summary!$B$6/1440)</f>
        <v>0.36458333333333331</v>
      </c>
      <c r="I125" s="49">
        <f>INDEX(PeakCalc!$L$10:$L$303,MATCH(tblPivotData[[#This Row],[Time]],PeakCalc!$G$10:$G$303,0))</f>
        <v>0</v>
      </c>
    </row>
    <row r="126" spans="1:9" x14ac:dyDescent="0.25">
      <c r="A126" t="s">
        <v>94</v>
      </c>
      <c r="B126" t="s">
        <v>98</v>
      </c>
      <c r="C126" t="s">
        <v>95</v>
      </c>
      <c r="D126" t="s">
        <v>92</v>
      </c>
      <c r="E126" t="s">
        <v>43</v>
      </c>
      <c r="F126" s="6">
        <v>0.375</v>
      </c>
      <c r="G126">
        <v>0</v>
      </c>
      <c r="H126" s="6">
        <f>FLOOR(tblPivotData[[#This Row],[Time]],Summary!$B$6/1440)</f>
        <v>0.375</v>
      </c>
      <c r="I126" s="49">
        <f>INDEX(PeakCalc!$L$10:$L$303,MATCH(tblPivotData[[#This Row],[Time]],PeakCalc!$G$10:$G$303,0))</f>
        <v>0</v>
      </c>
    </row>
    <row r="127" spans="1:9" x14ac:dyDescent="0.25">
      <c r="A127" t="s">
        <v>94</v>
      </c>
      <c r="B127" t="s">
        <v>98</v>
      </c>
      <c r="C127" t="s">
        <v>95</v>
      </c>
      <c r="D127" t="s">
        <v>92</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94</v>
      </c>
      <c r="B128" t="s">
        <v>98</v>
      </c>
      <c r="C128" t="s">
        <v>95</v>
      </c>
      <c r="D128" t="s">
        <v>92</v>
      </c>
      <c r="E128" t="s">
        <v>110</v>
      </c>
      <c r="F128" s="6">
        <v>0.45833333333333331</v>
      </c>
      <c r="G128">
        <v>1</v>
      </c>
      <c r="H128" s="6">
        <f>FLOOR(tblPivotData[[#This Row],[Time]],Summary!$B$6/1440)</f>
        <v>0.45833333333333331</v>
      </c>
      <c r="I128" s="49">
        <f>INDEX(PeakCalc!$L$10:$L$303,MATCH(tblPivotData[[#This Row],[Time]],PeakCalc!$G$10:$G$303,0))</f>
        <v>0</v>
      </c>
    </row>
    <row r="129" spans="1:9" x14ac:dyDescent="0.25">
      <c r="A129" t="s">
        <v>94</v>
      </c>
      <c r="B129" t="s">
        <v>98</v>
      </c>
      <c r="C129" t="s">
        <v>95</v>
      </c>
      <c r="D129" t="s">
        <v>92</v>
      </c>
      <c r="E129" t="s">
        <v>110</v>
      </c>
      <c r="F129" s="6">
        <v>0.46875</v>
      </c>
      <c r="G129">
        <v>0</v>
      </c>
      <c r="H129" s="6">
        <f>FLOOR(tblPivotData[[#This Row],[Time]],Summary!$B$6/1440)</f>
        <v>0.46875</v>
      </c>
      <c r="I129" s="49">
        <f>INDEX(PeakCalc!$L$10:$L$303,MATCH(tblPivotData[[#This Row],[Time]],PeakCalc!$G$10:$G$303,0))</f>
        <v>0</v>
      </c>
    </row>
    <row r="130" spans="1:9" x14ac:dyDescent="0.25">
      <c r="A130" t="s">
        <v>94</v>
      </c>
      <c r="B130" t="s">
        <v>98</v>
      </c>
      <c r="C130" t="s">
        <v>95</v>
      </c>
      <c r="D130" t="s">
        <v>92</v>
      </c>
      <c r="E130" t="s">
        <v>110</v>
      </c>
      <c r="F130" s="6">
        <v>0.47916666666666669</v>
      </c>
      <c r="G130">
        <v>0</v>
      </c>
      <c r="H130" s="6">
        <f>FLOOR(tblPivotData[[#This Row],[Time]],Summary!$B$6/1440)</f>
        <v>0.47916666666666663</v>
      </c>
      <c r="I130" s="49">
        <f>INDEX(PeakCalc!$L$10:$L$303,MATCH(tblPivotData[[#This Row],[Time]],PeakCalc!$G$10:$G$303,0))</f>
        <v>0</v>
      </c>
    </row>
    <row r="131" spans="1:9" x14ac:dyDescent="0.25">
      <c r="A131" t="s">
        <v>94</v>
      </c>
      <c r="B131" t="s">
        <v>98</v>
      </c>
      <c r="C131" t="s">
        <v>95</v>
      </c>
      <c r="D131" t="s">
        <v>92</v>
      </c>
      <c r="E131" t="s">
        <v>110</v>
      </c>
      <c r="F131" s="6">
        <v>0.48958333333333331</v>
      </c>
      <c r="G131">
        <v>0</v>
      </c>
      <c r="H131" s="6">
        <f>FLOOR(tblPivotData[[#This Row],[Time]],Summary!$B$6/1440)</f>
        <v>0.48958333333333331</v>
      </c>
      <c r="I131" s="49">
        <f>INDEX(PeakCalc!$L$10:$L$303,MATCH(tblPivotData[[#This Row],[Time]],PeakCalc!$G$10:$G$303,0))</f>
        <v>0</v>
      </c>
    </row>
    <row r="132" spans="1:9" x14ac:dyDescent="0.25">
      <c r="A132" t="s">
        <v>94</v>
      </c>
      <c r="B132" t="s">
        <v>98</v>
      </c>
      <c r="C132" t="s">
        <v>95</v>
      </c>
      <c r="D132" t="s">
        <v>92</v>
      </c>
      <c r="E132" t="s">
        <v>110</v>
      </c>
      <c r="F132" s="6">
        <v>0.5</v>
      </c>
      <c r="G132">
        <v>0</v>
      </c>
      <c r="H132" s="6">
        <f>FLOOR(tblPivotData[[#This Row],[Time]],Summary!$B$6/1440)</f>
        <v>0.5</v>
      </c>
      <c r="I132" s="49">
        <f>INDEX(PeakCalc!$L$10:$L$303,MATCH(tblPivotData[[#This Row],[Time]],PeakCalc!$G$10:$G$303,0))</f>
        <v>0</v>
      </c>
    </row>
    <row r="133" spans="1:9" x14ac:dyDescent="0.25">
      <c r="A133" t="s">
        <v>94</v>
      </c>
      <c r="B133" t="s">
        <v>98</v>
      </c>
      <c r="C133" t="s">
        <v>95</v>
      </c>
      <c r="D133" t="s">
        <v>92</v>
      </c>
      <c r="E133" t="s">
        <v>110</v>
      </c>
      <c r="F133" s="6">
        <v>0.51041666666666663</v>
      </c>
      <c r="G133">
        <v>0</v>
      </c>
      <c r="H133" s="6">
        <f>FLOOR(tblPivotData[[#This Row],[Time]],Summary!$B$6/1440)</f>
        <v>0.51041666666666663</v>
      </c>
      <c r="I133" s="49">
        <f>INDEX(PeakCalc!$L$10:$L$303,MATCH(tblPivotData[[#This Row],[Time]],PeakCalc!$G$10:$G$303,0))</f>
        <v>0</v>
      </c>
    </row>
    <row r="134" spans="1:9" x14ac:dyDescent="0.25">
      <c r="A134" t="s">
        <v>94</v>
      </c>
      <c r="B134" t="s">
        <v>98</v>
      </c>
      <c r="C134" t="s">
        <v>95</v>
      </c>
      <c r="D134" t="s">
        <v>92</v>
      </c>
      <c r="E134" t="s">
        <v>110</v>
      </c>
      <c r="F134" s="6">
        <v>0.52083333333333337</v>
      </c>
      <c r="G134">
        <v>0</v>
      </c>
      <c r="H134" s="6">
        <f>FLOOR(tblPivotData[[#This Row],[Time]],Summary!$B$6/1440)</f>
        <v>0.52083333333333326</v>
      </c>
      <c r="I134" s="49">
        <f>INDEX(PeakCalc!$L$10:$L$303,MATCH(tblPivotData[[#This Row],[Time]],PeakCalc!$G$10:$G$303,0))</f>
        <v>1</v>
      </c>
    </row>
    <row r="135" spans="1:9" x14ac:dyDescent="0.25">
      <c r="A135" t="s">
        <v>94</v>
      </c>
      <c r="B135" t="s">
        <v>98</v>
      </c>
      <c r="C135" t="s">
        <v>95</v>
      </c>
      <c r="D135" t="s">
        <v>92</v>
      </c>
      <c r="E135" t="s">
        <v>110</v>
      </c>
      <c r="F135" s="6">
        <v>0.53125</v>
      </c>
      <c r="G135">
        <v>0</v>
      </c>
      <c r="H135" s="6">
        <f>FLOOR(tblPivotData[[#This Row],[Time]],Summary!$B$6/1440)</f>
        <v>0.53125</v>
      </c>
      <c r="I135" s="49">
        <f>INDEX(PeakCalc!$L$10:$L$303,MATCH(tblPivotData[[#This Row],[Time]],PeakCalc!$G$10:$G$303,0))</f>
        <v>1</v>
      </c>
    </row>
    <row r="136" spans="1:9" x14ac:dyDescent="0.25">
      <c r="A136" t="s">
        <v>94</v>
      </c>
      <c r="B136" t="s">
        <v>98</v>
      </c>
      <c r="C136" t="s">
        <v>95</v>
      </c>
      <c r="D136" t="s">
        <v>92</v>
      </c>
      <c r="E136" t="s">
        <v>110</v>
      </c>
      <c r="F136" s="6">
        <v>0.54166666666666663</v>
      </c>
      <c r="G136">
        <v>0</v>
      </c>
      <c r="H136" s="6">
        <f>FLOOR(tblPivotData[[#This Row],[Time]],Summary!$B$6/1440)</f>
        <v>0.54166666666666663</v>
      </c>
      <c r="I136" s="49">
        <f>INDEX(PeakCalc!$L$10:$L$303,MATCH(tblPivotData[[#This Row],[Time]],PeakCalc!$G$10:$G$303,0))</f>
        <v>1</v>
      </c>
    </row>
    <row r="137" spans="1:9" x14ac:dyDescent="0.25">
      <c r="A137" t="s">
        <v>94</v>
      </c>
      <c r="B137" t="s">
        <v>98</v>
      </c>
      <c r="C137" t="s">
        <v>95</v>
      </c>
      <c r="D137" t="s">
        <v>92</v>
      </c>
      <c r="E137" t="s">
        <v>110</v>
      </c>
      <c r="F137" s="6">
        <v>0.55208333333333337</v>
      </c>
      <c r="G137">
        <v>0</v>
      </c>
      <c r="H137" s="6">
        <f>FLOOR(tblPivotData[[#This Row],[Time]],Summary!$B$6/1440)</f>
        <v>0.55208333333333326</v>
      </c>
      <c r="I137" s="49">
        <f>INDEX(PeakCalc!$L$10:$L$303,MATCH(tblPivotData[[#This Row],[Time]],PeakCalc!$G$10:$G$303,0))</f>
        <v>1</v>
      </c>
    </row>
    <row r="138" spans="1:9" x14ac:dyDescent="0.25">
      <c r="A138" t="s">
        <v>94</v>
      </c>
      <c r="B138" t="s">
        <v>98</v>
      </c>
      <c r="C138" t="s">
        <v>95</v>
      </c>
      <c r="D138" t="s">
        <v>92</v>
      </c>
      <c r="E138" t="s">
        <v>110</v>
      </c>
      <c r="F138" s="6">
        <v>0.5625</v>
      </c>
      <c r="G138">
        <v>0</v>
      </c>
      <c r="H138" s="6">
        <f>FLOOR(tblPivotData[[#This Row],[Time]],Summary!$B$6/1440)</f>
        <v>0.5625</v>
      </c>
      <c r="I138" s="49">
        <f>INDEX(PeakCalc!$L$10:$L$303,MATCH(tblPivotData[[#This Row],[Time]],PeakCalc!$G$10:$G$303,0))</f>
        <v>0</v>
      </c>
    </row>
    <row r="139" spans="1:9" x14ac:dyDescent="0.25">
      <c r="A139" t="s">
        <v>94</v>
      </c>
      <c r="B139" t="s">
        <v>98</v>
      </c>
      <c r="C139" t="s">
        <v>95</v>
      </c>
      <c r="D139" t="s">
        <v>92</v>
      </c>
      <c r="E139" t="s">
        <v>110</v>
      </c>
      <c r="F139" s="6">
        <v>0.57291666666666663</v>
      </c>
      <c r="G139">
        <v>0</v>
      </c>
      <c r="H139" s="6">
        <f>FLOOR(tblPivotData[[#This Row],[Time]],Summary!$B$6/1440)</f>
        <v>0.57291666666666663</v>
      </c>
      <c r="I139" s="49">
        <f>INDEX(PeakCalc!$L$10:$L$303,MATCH(tblPivotData[[#This Row],[Time]],PeakCalc!$G$10:$G$303,0))</f>
        <v>0</v>
      </c>
    </row>
    <row r="140" spans="1:9" x14ac:dyDescent="0.25">
      <c r="A140" t="s">
        <v>94</v>
      </c>
      <c r="B140" t="s">
        <v>98</v>
      </c>
      <c r="C140" t="s">
        <v>95</v>
      </c>
      <c r="D140" t="s">
        <v>92</v>
      </c>
      <c r="E140" t="s">
        <v>44</v>
      </c>
      <c r="F140" s="6">
        <v>0.625</v>
      </c>
      <c r="G140">
        <v>0</v>
      </c>
      <c r="H140" s="6">
        <f>FLOOR(tblPivotData[[#This Row],[Time]],Summary!$B$6/1440)</f>
        <v>0.625</v>
      </c>
      <c r="I140" s="49">
        <f>INDEX(PeakCalc!$L$10:$L$303,MATCH(tblPivotData[[#This Row],[Time]],PeakCalc!$G$10:$G$303,0))</f>
        <v>0</v>
      </c>
    </row>
    <row r="141" spans="1:9" x14ac:dyDescent="0.25">
      <c r="A141" t="s">
        <v>94</v>
      </c>
      <c r="B141" t="s">
        <v>98</v>
      </c>
      <c r="C141" t="s">
        <v>95</v>
      </c>
      <c r="D141" t="s">
        <v>92</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94</v>
      </c>
      <c r="B142" t="s">
        <v>98</v>
      </c>
      <c r="C142" t="s">
        <v>95</v>
      </c>
      <c r="D142" t="s">
        <v>92</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94</v>
      </c>
      <c r="B143" t="s">
        <v>98</v>
      </c>
      <c r="C143" t="s">
        <v>95</v>
      </c>
      <c r="D143" t="s">
        <v>92</v>
      </c>
      <c r="E143" t="s">
        <v>44</v>
      </c>
      <c r="F143" s="6">
        <v>0.65625</v>
      </c>
      <c r="G143">
        <v>0</v>
      </c>
      <c r="H143" s="6">
        <f>FLOOR(tblPivotData[[#This Row],[Time]],Summary!$B$6/1440)</f>
        <v>0.65625</v>
      </c>
      <c r="I143" s="49">
        <f>INDEX(PeakCalc!$L$10:$L$303,MATCH(tblPivotData[[#This Row],[Time]],PeakCalc!$G$10:$G$303,0))</f>
        <v>0</v>
      </c>
    </row>
    <row r="144" spans="1:9" x14ac:dyDescent="0.25">
      <c r="A144" t="s">
        <v>94</v>
      </c>
      <c r="B144" t="s">
        <v>98</v>
      </c>
      <c r="C144" t="s">
        <v>95</v>
      </c>
      <c r="D144" t="s">
        <v>92</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94</v>
      </c>
      <c r="B145" t="s">
        <v>98</v>
      </c>
      <c r="C145" t="s">
        <v>95</v>
      </c>
      <c r="D145" t="s">
        <v>92</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94</v>
      </c>
      <c r="B146" t="s">
        <v>98</v>
      </c>
      <c r="C146" t="s">
        <v>95</v>
      </c>
      <c r="D146" t="s">
        <v>92</v>
      </c>
      <c r="E146" t="s">
        <v>44</v>
      </c>
      <c r="F146" s="6">
        <v>0.6875</v>
      </c>
      <c r="G146">
        <v>0</v>
      </c>
      <c r="H146" s="6">
        <f>FLOOR(tblPivotData[[#This Row],[Time]],Summary!$B$6/1440)</f>
        <v>0.6875</v>
      </c>
      <c r="I146" s="49">
        <f>INDEX(PeakCalc!$L$10:$L$303,MATCH(tblPivotData[[#This Row],[Time]],PeakCalc!$G$10:$G$303,0))</f>
        <v>1</v>
      </c>
    </row>
    <row r="147" spans="1:9" x14ac:dyDescent="0.25">
      <c r="A147" t="s">
        <v>94</v>
      </c>
      <c r="B147" t="s">
        <v>98</v>
      </c>
      <c r="C147" t="s">
        <v>95</v>
      </c>
      <c r="D147" t="s">
        <v>92</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94</v>
      </c>
      <c r="B148" t="s">
        <v>98</v>
      </c>
      <c r="C148" t="s">
        <v>95</v>
      </c>
      <c r="D148" t="s">
        <v>92</v>
      </c>
      <c r="E148" t="s">
        <v>44</v>
      </c>
      <c r="F148" s="6">
        <v>0.70833333333333337</v>
      </c>
      <c r="G148">
        <v>1</v>
      </c>
      <c r="H148" s="6">
        <f>FLOOR(tblPivotData[[#This Row],[Time]],Summary!$B$6/1440)</f>
        <v>0.70833333333333326</v>
      </c>
      <c r="I148" s="49">
        <f>INDEX(PeakCalc!$L$10:$L$303,MATCH(tblPivotData[[#This Row],[Time]],PeakCalc!$G$10:$G$303,0))</f>
        <v>1</v>
      </c>
    </row>
    <row r="149" spans="1:9" x14ac:dyDescent="0.25">
      <c r="A149" t="s">
        <v>94</v>
      </c>
      <c r="B149" t="s">
        <v>98</v>
      </c>
      <c r="C149" t="s">
        <v>95</v>
      </c>
      <c r="D149" t="s">
        <v>92</v>
      </c>
      <c r="E149" t="s">
        <v>44</v>
      </c>
      <c r="F149" s="6">
        <v>0.71875</v>
      </c>
      <c r="G149">
        <v>0</v>
      </c>
      <c r="H149" s="6">
        <f>FLOOR(tblPivotData[[#This Row],[Time]],Summary!$B$6/1440)</f>
        <v>0.71875</v>
      </c>
      <c r="I149" s="49">
        <f>INDEX(PeakCalc!$L$10:$L$303,MATCH(tblPivotData[[#This Row],[Time]],PeakCalc!$G$10:$G$303,0))</f>
        <v>1</v>
      </c>
    </row>
    <row r="150" spans="1:9" x14ac:dyDescent="0.25">
      <c r="A150" t="s">
        <v>94</v>
      </c>
      <c r="B150" t="s">
        <v>98</v>
      </c>
      <c r="C150" t="s">
        <v>95</v>
      </c>
      <c r="D150" t="s">
        <v>92</v>
      </c>
      <c r="E150" t="s">
        <v>44</v>
      </c>
      <c r="F150" s="6">
        <v>0.72916666666666663</v>
      </c>
      <c r="G150">
        <v>0</v>
      </c>
      <c r="H150" s="6">
        <f>FLOOR(tblPivotData[[#This Row],[Time]],Summary!$B$6/1440)</f>
        <v>0.72916666666666663</v>
      </c>
      <c r="I150" s="49">
        <f>INDEX(PeakCalc!$L$10:$L$303,MATCH(tblPivotData[[#This Row],[Time]],PeakCalc!$G$10:$G$303,0))</f>
        <v>0</v>
      </c>
    </row>
    <row r="151" spans="1:9" x14ac:dyDescent="0.25">
      <c r="A151" t="s">
        <v>94</v>
      </c>
      <c r="B151" t="s">
        <v>98</v>
      </c>
      <c r="C151" t="s">
        <v>95</v>
      </c>
      <c r="D151" t="s">
        <v>92</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94</v>
      </c>
      <c r="B152" t="s">
        <v>98</v>
      </c>
      <c r="C152" t="s">
        <v>95</v>
      </c>
      <c r="D152" t="s">
        <v>92</v>
      </c>
      <c r="E152" t="s">
        <v>44</v>
      </c>
      <c r="F152" s="6">
        <v>0.75</v>
      </c>
      <c r="G152">
        <v>0</v>
      </c>
      <c r="H152" s="6">
        <f>FLOOR(tblPivotData[[#This Row],[Time]],Summary!$B$6/1440)</f>
        <v>0.75</v>
      </c>
      <c r="I152" s="49">
        <f>INDEX(PeakCalc!$L$10:$L$303,MATCH(tblPivotData[[#This Row],[Time]],PeakCalc!$G$10:$G$303,0))</f>
        <v>0</v>
      </c>
    </row>
    <row r="153" spans="1:9" x14ac:dyDescent="0.25">
      <c r="A153" t="s">
        <v>94</v>
      </c>
      <c r="B153" t="s">
        <v>98</v>
      </c>
      <c r="C153" t="s">
        <v>95</v>
      </c>
      <c r="D153" t="s">
        <v>92</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94</v>
      </c>
      <c r="B154" t="s">
        <v>98</v>
      </c>
      <c r="C154" t="s">
        <v>95</v>
      </c>
      <c r="D154" t="s">
        <v>93</v>
      </c>
      <c r="E154" t="s">
        <v>43</v>
      </c>
      <c r="F154" s="6">
        <v>0.27083333333333331</v>
      </c>
      <c r="G154">
        <v>1</v>
      </c>
      <c r="H154" s="6">
        <f>FLOOR(tblPivotData[[#This Row],[Time]],Summary!$B$6/1440)</f>
        <v>0.27083333333333331</v>
      </c>
      <c r="I154" s="49">
        <f>INDEX(PeakCalc!$L$10:$L$303,MATCH(tblPivotData[[#This Row],[Time]],PeakCalc!$G$10:$G$303,0))</f>
        <v>0</v>
      </c>
    </row>
    <row r="155" spans="1:9" x14ac:dyDescent="0.25">
      <c r="A155" t="s">
        <v>94</v>
      </c>
      <c r="B155" t="s">
        <v>98</v>
      </c>
      <c r="C155" t="s">
        <v>95</v>
      </c>
      <c r="D155" t="s">
        <v>93</v>
      </c>
      <c r="E155" t="s">
        <v>43</v>
      </c>
      <c r="F155" s="6">
        <v>0.28125</v>
      </c>
      <c r="G155">
        <v>0</v>
      </c>
      <c r="H155" s="6">
        <f>FLOOR(tblPivotData[[#This Row],[Time]],Summary!$B$6/1440)</f>
        <v>0.28125</v>
      </c>
      <c r="I155" s="49">
        <f>INDEX(PeakCalc!$L$10:$L$303,MATCH(tblPivotData[[#This Row],[Time]],PeakCalc!$G$10:$G$303,0))</f>
        <v>0</v>
      </c>
    </row>
    <row r="156" spans="1:9" x14ac:dyDescent="0.25">
      <c r="A156" t="s">
        <v>94</v>
      </c>
      <c r="B156" t="s">
        <v>98</v>
      </c>
      <c r="C156" t="s">
        <v>95</v>
      </c>
      <c r="D156" t="s">
        <v>93</v>
      </c>
      <c r="E156" t="s">
        <v>43</v>
      </c>
      <c r="F156" s="6">
        <v>0.29166666666666669</v>
      </c>
      <c r="G156">
        <v>0</v>
      </c>
      <c r="H156" s="6">
        <f>FLOOR(tblPivotData[[#This Row],[Time]],Summary!$B$6/1440)</f>
        <v>0.29166666666666663</v>
      </c>
      <c r="I156" s="49">
        <f>INDEX(PeakCalc!$L$10:$L$303,MATCH(tblPivotData[[#This Row],[Time]],PeakCalc!$G$10:$G$303,0))</f>
        <v>0</v>
      </c>
    </row>
    <row r="157" spans="1:9" x14ac:dyDescent="0.25">
      <c r="A157" t="s">
        <v>94</v>
      </c>
      <c r="B157" t="s">
        <v>98</v>
      </c>
      <c r="C157" t="s">
        <v>95</v>
      </c>
      <c r="D157" t="s">
        <v>93</v>
      </c>
      <c r="E157" t="s">
        <v>43</v>
      </c>
      <c r="F157" s="6">
        <v>0.30208333333333331</v>
      </c>
      <c r="G157">
        <v>0</v>
      </c>
      <c r="H157" s="6">
        <f>FLOOR(tblPivotData[[#This Row],[Time]],Summary!$B$6/1440)</f>
        <v>0.30208333333333331</v>
      </c>
      <c r="I157" s="49">
        <f>INDEX(PeakCalc!$L$10:$L$303,MATCH(tblPivotData[[#This Row],[Time]],PeakCalc!$G$10:$G$303,0))</f>
        <v>0</v>
      </c>
    </row>
    <row r="158" spans="1:9" x14ac:dyDescent="0.25">
      <c r="A158" t="s">
        <v>94</v>
      </c>
      <c r="B158" t="s">
        <v>98</v>
      </c>
      <c r="C158" t="s">
        <v>95</v>
      </c>
      <c r="D158" t="s">
        <v>93</v>
      </c>
      <c r="E158" t="s">
        <v>43</v>
      </c>
      <c r="F158" s="6">
        <v>0.3125</v>
      </c>
      <c r="G158">
        <v>6</v>
      </c>
      <c r="H158" s="6">
        <f>FLOOR(tblPivotData[[#This Row],[Time]],Summary!$B$6/1440)</f>
        <v>0.3125</v>
      </c>
      <c r="I158" s="49">
        <f>INDEX(PeakCalc!$L$10:$L$303,MATCH(tblPivotData[[#This Row],[Time]],PeakCalc!$G$10:$G$303,0))</f>
        <v>0</v>
      </c>
    </row>
    <row r="159" spans="1:9" x14ac:dyDescent="0.25">
      <c r="A159" t="s">
        <v>94</v>
      </c>
      <c r="B159" t="s">
        <v>98</v>
      </c>
      <c r="C159" t="s">
        <v>95</v>
      </c>
      <c r="D159" t="s">
        <v>93</v>
      </c>
      <c r="E159" t="s">
        <v>43</v>
      </c>
      <c r="F159" s="6">
        <v>0.32291666666666669</v>
      </c>
      <c r="G159">
        <v>4</v>
      </c>
      <c r="H159" s="6">
        <f>FLOOR(tblPivotData[[#This Row],[Time]],Summary!$B$6/1440)</f>
        <v>0.32291666666666663</v>
      </c>
      <c r="I159" s="49">
        <f>INDEX(PeakCalc!$L$10:$L$303,MATCH(tblPivotData[[#This Row],[Time]],PeakCalc!$G$10:$G$303,0))</f>
        <v>1</v>
      </c>
    </row>
    <row r="160" spans="1:9" x14ac:dyDescent="0.25">
      <c r="A160" t="s">
        <v>94</v>
      </c>
      <c r="B160" t="s">
        <v>98</v>
      </c>
      <c r="C160" t="s">
        <v>95</v>
      </c>
      <c r="D160" t="s">
        <v>93</v>
      </c>
      <c r="E160" t="s">
        <v>43</v>
      </c>
      <c r="F160" s="6">
        <v>0.33333333333333331</v>
      </c>
      <c r="G160">
        <v>1</v>
      </c>
      <c r="H160" s="6">
        <f>FLOOR(tblPivotData[[#This Row],[Time]],Summary!$B$6/1440)</f>
        <v>0.33333333333333331</v>
      </c>
      <c r="I160" s="49">
        <f>INDEX(PeakCalc!$L$10:$L$303,MATCH(tblPivotData[[#This Row],[Time]],PeakCalc!$G$10:$G$303,0))</f>
        <v>1</v>
      </c>
    </row>
    <row r="161" spans="1:9" x14ac:dyDescent="0.25">
      <c r="A161" t="s">
        <v>94</v>
      </c>
      <c r="B161" t="s">
        <v>98</v>
      </c>
      <c r="C161" t="s">
        <v>95</v>
      </c>
      <c r="D161" t="s">
        <v>93</v>
      </c>
      <c r="E161" t="s">
        <v>43</v>
      </c>
      <c r="F161" s="6">
        <v>0.34375</v>
      </c>
      <c r="G161">
        <v>2</v>
      </c>
      <c r="H161" s="6">
        <f>FLOOR(tblPivotData[[#This Row],[Time]],Summary!$B$6/1440)</f>
        <v>0.34375</v>
      </c>
      <c r="I161" s="49">
        <f>INDEX(PeakCalc!$L$10:$L$303,MATCH(tblPivotData[[#This Row],[Time]],PeakCalc!$G$10:$G$303,0))</f>
        <v>1</v>
      </c>
    </row>
    <row r="162" spans="1:9" x14ac:dyDescent="0.25">
      <c r="A162" t="s">
        <v>94</v>
      </c>
      <c r="B162" t="s">
        <v>98</v>
      </c>
      <c r="C162" t="s">
        <v>95</v>
      </c>
      <c r="D162" t="s">
        <v>93</v>
      </c>
      <c r="E162" t="s">
        <v>43</v>
      </c>
      <c r="F162" s="6">
        <v>0.35416666666666669</v>
      </c>
      <c r="G162">
        <v>0</v>
      </c>
      <c r="H162" s="6">
        <f>FLOOR(tblPivotData[[#This Row],[Time]],Summary!$B$6/1440)</f>
        <v>0.35416666666666663</v>
      </c>
      <c r="I162" s="49">
        <f>INDEX(PeakCalc!$L$10:$L$303,MATCH(tblPivotData[[#This Row],[Time]],PeakCalc!$G$10:$G$303,0))</f>
        <v>1</v>
      </c>
    </row>
    <row r="163" spans="1:9" x14ac:dyDescent="0.25">
      <c r="A163" t="s">
        <v>94</v>
      </c>
      <c r="B163" t="s">
        <v>98</v>
      </c>
      <c r="C163" t="s">
        <v>95</v>
      </c>
      <c r="D163" t="s">
        <v>93</v>
      </c>
      <c r="E163" t="s">
        <v>43</v>
      </c>
      <c r="F163" s="6">
        <v>0.36458333333333331</v>
      </c>
      <c r="G163">
        <v>0</v>
      </c>
      <c r="H163" s="6">
        <f>FLOOR(tblPivotData[[#This Row],[Time]],Summary!$B$6/1440)</f>
        <v>0.36458333333333331</v>
      </c>
      <c r="I163" s="49">
        <f>INDEX(PeakCalc!$L$10:$L$303,MATCH(tblPivotData[[#This Row],[Time]],PeakCalc!$G$10:$G$303,0))</f>
        <v>0</v>
      </c>
    </row>
    <row r="164" spans="1:9" x14ac:dyDescent="0.25">
      <c r="A164" t="s">
        <v>94</v>
      </c>
      <c r="B164" t="s">
        <v>98</v>
      </c>
      <c r="C164" t="s">
        <v>95</v>
      </c>
      <c r="D164" t="s">
        <v>93</v>
      </c>
      <c r="E164" t="s">
        <v>43</v>
      </c>
      <c r="F164" s="6">
        <v>0.375</v>
      </c>
      <c r="G164">
        <v>1</v>
      </c>
      <c r="H164" s="6">
        <f>FLOOR(tblPivotData[[#This Row],[Time]],Summary!$B$6/1440)</f>
        <v>0.375</v>
      </c>
      <c r="I164" s="49">
        <f>INDEX(PeakCalc!$L$10:$L$303,MATCH(tblPivotData[[#This Row],[Time]],PeakCalc!$G$10:$G$303,0))</f>
        <v>0</v>
      </c>
    </row>
    <row r="165" spans="1:9" x14ac:dyDescent="0.25">
      <c r="A165" t="s">
        <v>94</v>
      </c>
      <c r="B165" t="s">
        <v>98</v>
      </c>
      <c r="C165" t="s">
        <v>95</v>
      </c>
      <c r="D165" t="s">
        <v>93</v>
      </c>
      <c r="E165" t="s">
        <v>43</v>
      </c>
      <c r="F165" s="6">
        <v>0.38541666666666669</v>
      </c>
      <c r="G165">
        <v>1</v>
      </c>
      <c r="H165" s="6">
        <f>FLOOR(tblPivotData[[#This Row],[Time]],Summary!$B$6/1440)</f>
        <v>0.38541666666666663</v>
      </c>
      <c r="I165" s="49">
        <f>INDEX(PeakCalc!$L$10:$L$303,MATCH(tblPivotData[[#This Row],[Time]],PeakCalc!$G$10:$G$303,0))</f>
        <v>0</v>
      </c>
    </row>
    <row r="166" spans="1:9" x14ac:dyDescent="0.25">
      <c r="A166" t="s">
        <v>94</v>
      </c>
      <c r="B166" t="s">
        <v>98</v>
      </c>
      <c r="C166" t="s">
        <v>95</v>
      </c>
      <c r="D166" t="s">
        <v>93</v>
      </c>
      <c r="E166" t="s">
        <v>110</v>
      </c>
      <c r="F166" s="6">
        <v>0.45833333333333331</v>
      </c>
      <c r="G166">
        <v>0</v>
      </c>
      <c r="H166" s="6">
        <f>FLOOR(tblPivotData[[#This Row],[Time]],Summary!$B$6/1440)</f>
        <v>0.45833333333333331</v>
      </c>
      <c r="I166" s="49">
        <f>INDEX(PeakCalc!$L$10:$L$303,MATCH(tblPivotData[[#This Row],[Time]],PeakCalc!$G$10:$G$303,0))</f>
        <v>0</v>
      </c>
    </row>
    <row r="167" spans="1:9" x14ac:dyDescent="0.25">
      <c r="A167" t="s">
        <v>94</v>
      </c>
      <c r="B167" t="s">
        <v>98</v>
      </c>
      <c r="C167" t="s">
        <v>95</v>
      </c>
      <c r="D167" t="s">
        <v>93</v>
      </c>
      <c r="E167" t="s">
        <v>110</v>
      </c>
      <c r="F167" s="6">
        <v>0.46875</v>
      </c>
      <c r="G167">
        <v>0</v>
      </c>
      <c r="H167" s="6">
        <f>FLOOR(tblPivotData[[#This Row],[Time]],Summary!$B$6/1440)</f>
        <v>0.46875</v>
      </c>
      <c r="I167" s="49">
        <f>INDEX(PeakCalc!$L$10:$L$303,MATCH(tblPivotData[[#This Row],[Time]],PeakCalc!$G$10:$G$303,0))</f>
        <v>0</v>
      </c>
    </row>
    <row r="168" spans="1:9" x14ac:dyDescent="0.25">
      <c r="A168" t="s">
        <v>94</v>
      </c>
      <c r="B168" t="s">
        <v>98</v>
      </c>
      <c r="C168" t="s">
        <v>95</v>
      </c>
      <c r="D168" t="s">
        <v>93</v>
      </c>
      <c r="E168" t="s">
        <v>110</v>
      </c>
      <c r="F168" s="6">
        <v>0.47916666666666669</v>
      </c>
      <c r="G168">
        <v>0</v>
      </c>
      <c r="H168" s="6">
        <f>FLOOR(tblPivotData[[#This Row],[Time]],Summary!$B$6/1440)</f>
        <v>0.47916666666666663</v>
      </c>
      <c r="I168" s="49">
        <f>INDEX(PeakCalc!$L$10:$L$303,MATCH(tblPivotData[[#This Row],[Time]],PeakCalc!$G$10:$G$303,0))</f>
        <v>0</v>
      </c>
    </row>
    <row r="169" spans="1:9" x14ac:dyDescent="0.25">
      <c r="A169" t="s">
        <v>94</v>
      </c>
      <c r="B169" t="s">
        <v>98</v>
      </c>
      <c r="C169" t="s">
        <v>95</v>
      </c>
      <c r="D169" t="s">
        <v>93</v>
      </c>
      <c r="E169" t="s">
        <v>110</v>
      </c>
      <c r="F169" s="6">
        <v>0.48958333333333331</v>
      </c>
      <c r="G169">
        <v>0</v>
      </c>
      <c r="H169" s="6">
        <f>FLOOR(tblPivotData[[#This Row],[Time]],Summary!$B$6/1440)</f>
        <v>0.48958333333333331</v>
      </c>
      <c r="I169" s="49">
        <f>INDEX(PeakCalc!$L$10:$L$303,MATCH(tblPivotData[[#This Row],[Time]],PeakCalc!$G$10:$G$303,0))</f>
        <v>0</v>
      </c>
    </row>
    <row r="170" spans="1:9" x14ac:dyDescent="0.25">
      <c r="A170" t="s">
        <v>94</v>
      </c>
      <c r="B170" t="s">
        <v>98</v>
      </c>
      <c r="C170" t="s">
        <v>95</v>
      </c>
      <c r="D170" t="s">
        <v>93</v>
      </c>
      <c r="E170" t="s">
        <v>110</v>
      </c>
      <c r="F170" s="6">
        <v>0.5</v>
      </c>
      <c r="G170">
        <v>0</v>
      </c>
      <c r="H170" s="6">
        <f>FLOOR(tblPivotData[[#This Row],[Time]],Summary!$B$6/1440)</f>
        <v>0.5</v>
      </c>
      <c r="I170" s="49">
        <f>INDEX(PeakCalc!$L$10:$L$303,MATCH(tblPivotData[[#This Row],[Time]],PeakCalc!$G$10:$G$303,0))</f>
        <v>0</v>
      </c>
    </row>
    <row r="171" spans="1:9" x14ac:dyDescent="0.25">
      <c r="A171" t="s">
        <v>94</v>
      </c>
      <c r="B171" t="s">
        <v>98</v>
      </c>
      <c r="C171" t="s">
        <v>95</v>
      </c>
      <c r="D171" t="s">
        <v>93</v>
      </c>
      <c r="E171" t="s">
        <v>110</v>
      </c>
      <c r="F171" s="6">
        <v>0.51041666666666663</v>
      </c>
      <c r="G171">
        <v>0</v>
      </c>
      <c r="H171" s="6">
        <f>FLOOR(tblPivotData[[#This Row],[Time]],Summary!$B$6/1440)</f>
        <v>0.51041666666666663</v>
      </c>
      <c r="I171" s="49">
        <f>INDEX(PeakCalc!$L$10:$L$303,MATCH(tblPivotData[[#This Row],[Time]],PeakCalc!$G$10:$G$303,0))</f>
        <v>0</v>
      </c>
    </row>
    <row r="172" spans="1:9" x14ac:dyDescent="0.25">
      <c r="A172" t="s">
        <v>94</v>
      </c>
      <c r="B172" t="s">
        <v>98</v>
      </c>
      <c r="C172" t="s">
        <v>95</v>
      </c>
      <c r="D172" t="s">
        <v>93</v>
      </c>
      <c r="E172" t="s">
        <v>110</v>
      </c>
      <c r="F172" s="6">
        <v>0.52083333333333337</v>
      </c>
      <c r="G172">
        <v>0</v>
      </c>
      <c r="H172" s="6">
        <f>FLOOR(tblPivotData[[#This Row],[Time]],Summary!$B$6/1440)</f>
        <v>0.52083333333333326</v>
      </c>
      <c r="I172" s="49">
        <f>INDEX(PeakCalc!$L$10:$L$303,MATCH(tblPivotData[[#This Row],[Time]],PeakCalc!$G$10:$G$303,0))</f>
        <v>1</v>
      </c>
    </row>
    <row r="173" spans="1:9" x14ac:dyDescent="0.25">
      <c r="A173" t="s">
        <v>94</v>
      </c>
      <c r="B173" t="s">
        <v>98</v>
      </c>
      <c r="C173" t="s">
        <v>95</v>
      </c>
      <c r="D173" t="s">
        <v>93</v>
      </c>
      <c r="E173" t="s">
        <v>110</v>
      </c>
      <c r="F173" s="6">
        <v>0.53125</v>
      </c>
      <c r="G173">
        <v>0</v>
      </c>
      <c r="H173" s="6">
        <f>FLOOR(tblPivotData[[#This Row],[Time]],Summary!$B$6/1440)</f>
        <v>0.53125</v>
      </c>
      <c r="I173" s="49">
        <f>INDEX(PeakCalc!$L$10:$L$303,MATCH(tblPivotData[[#This Row],[Time]],PeakCalc!$G$10:$G$303,0))</f>
        <v>1</v>
      </c>
    </row>
    <row r="174" spans="1:9" x14ac:dyDescent="0.25">
      <c r="A174" t="s">
        <v>94</v>
      </c>
      <c r="B174" t="s">
        <v>98</v>
      </c>
      <c r="C174" t="s">
        <v>95</v>
      </c>
      <c r="D174" t="s">
        <v>93</v>
      </c>
      <c r="E174" t="s">
        <v>110</v>
      </c>
      <c r="F174" s="6">
        <v>0.54166666666666663</v>
      </c>
      <c r="G174">
        <v>0</v>
      </c>
      <c r="H174" s="6">
        <f>FLOOR(tblPivotData[[#This Row],[Time]],Summary!$B$6/1440)</f>
        <v>0.54166666666666663</v>
      </c>
      <c r="I174" s="49">
        <f>INDEX(PeakCalc!$L$10:$L$303,MATCH(tblPivotData[[#This Row],[Time]],PeakCalc!$G$10:$G$303,0))</f>
        <v>1</v>
      </c>
    </row>
    <row r="175" spans="1:9" x14ac:dyDescent="0.25">
      <c r="A175" t="s">
        <v>94</v>
      </c>
      <c r="B175" t="s">
        <v>98</v>
      </c>
      <c r="C175" t="s">
        <v>95</v>
      </c>
      <c r="D175" t="s">
        <v>93</v>
      </c>
      <c r="E175" t="s">
        <v>110</v>
      </c>
      <c r="F175" s="6">
        <v>0.55208333333333337</v>
      </c>
      <c r="G175">
        <v>0</v>
      </c>
      <c r="H175" s="6">
        <f>FLOOR(tblPivotData[[#This Row],[Time]],Summary!$B$6/1440)</f>
        <v>0.55208333333333326</v>
      </c>
      <c r="I175" s="49">
        <f>INDEX(PeakCalc!$L$10:$L$303,MATCH(tblPivotData[[#This Row],[Time]],PeakCalc!$G$10:$G$303,0))</f>
        <v>1</v>
      </c>
    </row>
    <row r="176" spans="1:9" x14ac:dyDescent="0.25">
      <c r="A176" t="s">
        <v>94</v>
      </c>
      <c r="B176" t="s">
        <v>98</v>
      </c>
      <c r="C176" t="s">
        <v>95</v>
      </c>
      <c r="D176" t="s">
        <v>93</v>
      </c>
      <c r="E176" t="s">
        <v>110</v>
      </c>
      <c r="F176" s="6">
        <v>0.5625</v>
      </c>
      <c r="G176">
        <v>2</v>
      </c>
      <c r="H176" s="6">
        <f>FLOOR(tblPivotData[[#This Row],[Time]],Summary!$B$6/1440)</f>
        <v>0.5625</v>
      </c>
      <c r="I176" s="49">
        <f>INDEX(PeakCalc!$L$10:$L$303,MATCH(tblPivotData[[#This Row],[Time]],PeakCalc!$G$10:$G$303,0))</f>
        <v>0</v>
      </c>
    </row>
    <row r="177" spans="1:9" x14ac:dyDescent="0.25">
      <c r="A177" t="s">
        <v>94</v>
      </c>
      <c r="B177" t="s">
        <v>98</v>
      </c>
      <c r="C177" t="s">
        <v>95</v>
      </c>
      <c r="D177" t="s">
        <v>93</v>
      </c>
      <c r="E177" t="s">
        <v>110</v>
      </c>
      <c r="F177" s="6">
        <v>0.57291666666666663</v>
      </c>
      <c r="G177">
        <v>0</v>
      </c>
      <c r="H177" s="6">
        <f>FLOOR(tblPivotData[[#This Row],[Time]],Summary!$B$6/1440)</f>
        <v>0.57291666666666663</v>
      </c>
      <c r="I177" s="49">
        <f>INDEX(PeakCalc!$L$10:$L$303,MATCH(tblPivotData[[#This Row],[Time]],PeakCalc!$G$10:$G$303,0))</f>
        <v>0</v>
      </c>
    </row>
    <row r="178" spans="1:9" x14ac:dyDescent="0.25">
      <c r="A178" t="s">
        <v>94</v>
      </c>
      <c r="B178" t="s">
        <v>98</v>
      </c>
      <c r="C178" t="s">
        <v>95</v>
      </c>
      <c r="D178" t="s">
        <v>93</v>
      </c>
      <c r="E178" t="s">
        <v>44</v>
      </c>
      <c r="F178" s="6">
        <v>0.625</v>
      </c>
      <c r="G178">
        <v>0</v>
      </c>
      <c r="H178" s="6">
        <f>FLOOR(tblPivotData[[#This Row],[Time]],Summary!$B$6/1440)</f>
        <v>0.625</v>
      </c>
      <c r="I178" s="49">
        <f>INDEX(PeakCalc!$L$10:$L$303,MATCH(tblPivotData[[#This Row],[Time]],PeakCalc!$G$10:$G$303,0))</f>
        <v>0</v>
      </c>
    </row>
    <row r="179" spans="1:9" x14ac:dyDescent="0.25">
      <c r="A179" t="s">
        <v>94</v>
      </c>
      <c r="B179" t="s">
        <v>98</v>
      </c>
      <c r="C179" t="s">
        <v>95</v>
      </c>
      <c r="D179" t="s">
        <v>93</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94</v>
      </c>
      <c r="B180" t="s">
        <v>98</v>
      </c>
      <c r="C180" t="s">
        <v>95</v>
      </c>
      <c r="D180" t="s">
        <v>93</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94</v>
      </c>
      <c r="B181" t="s">
        <v>98</v>
      </c>
      <c r="C181" t="s">
        <v>95</v>
      </c>
      <c r="D181" t="s">
        <v>93</v>
      </c>
      <c r="E181" t="s">
        <v>44</v>
      </c>
      <c r="F181" s="6">
        <v>0.65625</v>
      </c>
      <c r="G181">
        <v>0</v>
      </c>
      <c r="H181" s="6">
        <f>FLOOR(tblPivotData[[#This Row],[Time]],Summary!$B$6/1440)</f>
        <v>0.65625</v>
      </c>
      <c r="I181" s="49">
        <f>INDEX(PeakCalc!$L$10:$L$303,MATCH(tblPivotData[[#This Row],[Time]],PeakCalc!$G$10:$G$303,0))</f>
        <v>0</v>
      </c>
    </row>
    <row r="182" spans="1:9" x14ac:dyDescent="0.25">
      <c r="A182" t="s">
        <v>94</v>
      </c>
      <c r="B182" t="s">
        <v>98</v>
      </c>
      <c r="C182" t="s">
        <v>95</v>
      </c>
      <c r="D182" t="s">
        <v>93</v>
      </c>
      <c r="E182" t="s">
        <v>44</v>
      </c>
      <c r="F182" s="6">
        <v>0.66666666666666663</v>
      </c>
      <c r="G182">
        <v>1</v>
      </c>
      <c r="H182" s="6">
        <f>FLOOR(tblPivotData[[#This Row],[Time]],Summary!$B$6/1440)</f>
        <v>0.66666666666666663</v>
      </c>
      <c r="I182" s="49">
        <f>INDEX(PeakCalc!$L$10:$L$303,MATCH(tblPivotData[[#This Row],[Time]],PeakCalc!$G$10:$G$303,0))</f>
        <v>0</v>
      </c>
    </row>
    <row r="183" spans="1:9" x14ac:dyDescent="0.25">
      <c r="A183" t="s">
        <v>94</v>
      </c>
      <c r="B183" t="s">
        <v>98</v>
      </c>
      <c r="C183" t="s">
        <v>95</v>
      </c>
      <c r="D183" t="s">
        <v>93</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94</v>
      </c>
      <c r="B184" t="s">
        <v>98</v>
      </c>
      <c r="C184" t="s">
        <v>95</v>
      </c>
      <c r="D184" t="s">
        <v>93</v>
      </c>
      <c r="E184" t="s">
        <v>44</v>
      </c>
      <c r="F184" s="6">
        <v>0.6875</v>
      </c>
      <c r="G184">
        <v>0</v>
      </c>
      <c r="H184" s="6">
        <f>FLOOR(tblPivotData[[#This Row],[Time]],Summary!$B$6/1440)</f>
        <v>0.6875</v>
      </c>
      <c r="I184" s="49">
        <f>INDEX(PeakCalc!$L$10:$L$303,MATCH(tblPivotData[[#This Row],[Time]],PeakCalc!$G$10:$G$303,0))</f>
        <v>1</v>
      </c>
    </row>
    <row r="185" spans="1:9" x14ac:dyDescent="0.25">
      <c r="A185" t="s">
        <v>94</v>
      </c>
      <c r="B185" t="s">
        <v>98</v>
      </c>
      <c r="C185" t="s">
        <v>95</v>
      </c>
      <c r="D185" t="s">
        <v>93</v>
      </c>
      <c r="E185" t="s">
        <v>44</v>
      </c>
      <c r="F185" s="6">
        <v>0.69791666666666663</v>
      </c>
      <c r="G185">
        <v>0</v>
      </c>
      <c r="H185" s="6">
        <f>FLOOR(tblPivotData[[#This Row],[Time]],Summary!$B$6/1440)</f>
        <v>0.69791666666666663</v>
      </c>
      <c r="I185" s="49">
        <f>INDEX(PeakCalc!$L$10:$L$303,MATCH(tblPivotData[[#This Row],[Time]],PeakCalc!$G$10:$G$303,0))</f>
        <v>1</v>
      </c>
    </row>
    <row r="186" spans="1:9" x14ac:dyDescent="0.25">
      <c r="A186" t="s">
        <v>94</v>
      </c>
      <c r="B186" t="s">
        <v>98</v>
      </c>
      <c r="C186" t="s">
        <v>95</v>
      </c>
      <c r="D186" t="s">
        <v>93</v>
      </c>
      <c r="E186" t="s">
        <v>44</v>
      </c>
      <c r="F186" s="6">
        <v>0.70833333333333337</v>
      </c>
      <c r="G186">
        <v>0</v>
      </c>
      <c r="H186" s="6">
        <f>FLOOR(tblPivotData[[#This Row],[Time]],Summary!$B$6/1440)</f>
        <v>0.70833333333333326</v>
      </c>
      <c r="I186" s="49">
        <f>INDEX(PeakCalc!$L$10:$L$303,MATCH(tblPivotData[[#This Row],[Time]],PeakCalc!$G$10:$G$303,0))</f>
        <v>1</v>
      </c>
    </row>
    <row r="187" spans="1:9" x14ac:dyDescent="0.25">
      <c r="A187" t="s">
        <v>94</v>
      </c>
      <c r="B187" t="s">
        <v>98</v>
      </c>
      <c r="C187" t="s">
        <v>95</v>
      </c>
      <c r="D187" t="s">
        <v>93</v>
      </c>
      <c r="E187" t="s">
        <v>44</v>
      </c>
      <c r="F187" s="6">
        <v>0.71875</v>
      </c>
      <c r="G187">
        <v>0</v>
      </c>
      <c r="H187" s="6">
        <f>FLOOR(tblPivotData[[#This Row],[Time]],Summary!$B$6/1440)</f>
        <v>0.71875</v>
      </c>
      <c r="I187" s="49">
        <f>INDEX(PeakCalc!$L$10:$L$303,MATCH(tblPivotData[[#This Row],[Time]],PeakCalc!$G$10:$G$303,0))</f>
        <v>1</v>
      </c>
    </row>
    <row r="188" spans="1:9" x14ac:dyDescent="0.25">
      <c r="A188" t="s">
        <v>94</v>
      </c>
      <c r="B188" t="s">
        <v>98</v>
      </c>
      <c r="C188" t="s">
        <v>95</v>
      </c>
      <c r="D188" t="s">
        <v>93</v>
      </c>
      <c r="E188" t="s">
        <v>44</v>
      </c>
      <c r="F188" s="6">
        <v>0.72916666666666663</v>
      </c>
      <c r="G188">
        <v>0</v>
      </c>
      <c r="H188" s="6">
        <f>FLOOR(tblPivotData[[#This Row],[Time]],Summary!$B$6/1440)</f>
        <v>0.72916666666666663</v>
      </c>
      <c r="I188" s="49">
        <f>INDEX(PeakCalc!$L$10:$L$303,MATCH(tblPivotData[[#This Row],[Time]],PeakCalc!$G$10:$G$303,0))</f>
        <v>0</v>
      </c>
    </row>
    <row r="189" spans="1:9" x14ac:dyDescent="0.25">
      <c r="A189" t="s">
        <v>94</v>
      </c>
      <c r="B189" t="s">
        <v>98</v>
      </c>
      <c r="C189" t="s">
        <v>95</v>
      </c>
      <c r="D189" t="s">
        <v>93</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94</v>
      </c>
      <c r="B190" t="s">
        <v>98</v>
      </c>
      <c r="C190" t="s">
        <v>95</v>
      </c>
      <c r="D190" t="s">
        <v>93</v>
      </c>
      <c r="E190" t="s">
        <v>44</v>
      </c>
      <c r="F190" s="6">
        <v>0.75</v>
      </c>
      <c r="G190">
        <v>0</v>
      </c>
      <c r="H190" s="6">
        <f>FLOOR(tblPivotData[[#This Row],[Time]],Summary!$B$6/1440)</f>
        <v>0.75</v>
      </c>
      <c r="I190" s="49">
        <f>INDEX(PeakCalc!$L$10:$L$303,MATCH(tblPivotData[[#This Row],[Time]],PeakCalc!$G$10:$G$303,0))</f>
        <v>0</v>
      </c>
    </row>
    <row r="191" spans="1:9" x14ac:dyDescent="0.25">
      <c r="A191" t="s">
        <v>94</v>
      </c>
      <c r="B191" t="s">
        <v>98</v>
      </c>
      <c r="C191" t="s">
        <v>95</v>
      </c>
      <c r="D191" t="s">
        <v>93</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94</v>
      </c>
      <c r="B192" t="s">
        <v>99</v>
      </c>
      <c r="C192" t="s">
        <v>96</v>
      </c>
      <c r="D192" t="s">
        <v>89</v>
      </c>
      <c r="E192" t="s">
        <v>43</v>
      </c>
      <c r="F192" s="6">
        <v>0.27083333333333331</v>
      </c>
      <c r="G192">
        <v>63</v>
      </c>
      <c r="H192" s="6">
        <f>FLOOR(tblPivotData[[#This Row],[Time]],Summary!$B$6/1440)</f>
        <v>0.27083333333333331</v>
      </c>
      <c r="I192" s="49">
        <f>INDEX(PeakCalc!$L$10:$L$303,MATCH(tblPivotData[[#This Row],[Time]],PeakCalc!$G$10:$G$303,0))</f>
        <v>0</v>
      </c>
    </row>
    <row r="193" spans="1:9" x14ac:dyDescent="0.25">
      <c r="A193" t="s">
        <v>94</v>
      </c>
      <c r="B193" t="s">
        <v>99</v>
      </c>
      <c r="C193" t="s">
        <v>96</v>
      </c>
      <c r="D193" t="s">
        <v>89</v>
      </c>
      <c r="E193" t="s">
        <v>43</v>
      </c>
      <c r="F193" s="6">
        <v>0.28125</v>
      </c>
      <c r="G193">
        <v>87</v>
      </c>
      <c r="H193" s="6">
        <f>FLOOR(tblPivotData[[#This Row],[Time]],Summary!$B$6/1440)</f>
        <v>0.28125</v>
      </c>
      <c r="I193" s="49">
        <f>INDEX(PeakCalc!$L$10:$L$303,MATCH(tblPivotData[[#This Row],[Time]],PeakCalc!$G$10:$G$303,0))</f>
        <v>0</v>
      </c>
    </row>
    <row r="194" spans="1:9" x14ac:dyDescent="0.25">
      <c r="A194" t="s">
        <v>94</v>
      </c>
      <c r="B194" t="s">
        <v>99</v>
      </c>
      <c r="C194" t="s">
        <v>96</v>
      </c>
      <c r="D194" t="s">
        <v>89</v>
      </c>
      <c r="E194" t="s">
        <v>43</v>
      </c>
      <c r="F194" s="6">
        <v>0.29166666666666669</v>
      </c>
      <c r="G194">
        <v>79</v>
      </c>
      <c r="H194" s="6">
        <f>FLOOR(tblPivotData[[#This Row],[Time]],Summary!$B$6/1440)</f>
        <v>0.29166666666666663</v>
      </c>
      <c r="I194" s="49">
        <f>INDEX(PeakCalc!$L$10:$L$303,MATCH(tblPivotData[[#This Row],[Time]],PeakCalc!$G$10:$G$303,0))</f>
        <v>0</v>
      </c>
    </row>
    <row r="195" spans="1:9" x14ac:dyDescent="0.25">
      <c r="A195" t="s">
        <v>94</v>
      </c>
      <c r="B195" t="s">
        <v>99</v>
      </c>
      <c r="C195" t="s">
        <v>96</v>
      </c>
      <c r="D195" t="s">
        <v>89</v>
      </c>
      <c r="E195" t="s">
        <v>43</v>
      </c>
      <c r="F195" s="6">
        <v>0.30208333333333331</v>
      </c>
      <c r="G195">
        <v>99</v>
      </c>
      <c r="H195" s="6">
        <f>FLOOR(tblPivotData[[#This Row],[Time]],Summary!$B$6/1440)</f>
        <v>0.30208333333333331</v>
      </c>
      <c r="I195" s="49">
        <f>INDEX(PeakCalc!$L$10:$L$303,MATCH(tblPivotData[[#This Row],[Time]],PeakCalc!$G$10:$G$303,0))</f>
        <v>0</v>
      </c>
    </row>
    <row r="196" spans="1:9" x14ac:dyDescent="0.25">
      <c r="A196" t="s">
        <v>94</v>
      </c>
      <c r="B196" t="s">
        <v>99</v>
      </c>
      <c r="C196" t="s">
        <v>96</v>
      </c>
      <c r="D196" t="s">
        <v>89</v>
      </c>
      <c r="E196" t="s">
        <v>43</v>
      </c>
      <c r="F196" s="6">
        <v>0.3125</v>
      </c>
      <c r="G196">
        <v>174</v>
      </c>
      <c r="H196" s="6">
        <f>FLOOR(tblPivotData[[#This Row],[Time]],Summary!$B$6/1440)</f>
        <v>0.3125</v>
      </c>
      <c r="I196" s="49">
        <f>INDEX(PeakCalc!$L$10:$L$303,MATCH(tblPivotData[[#This Row],[Time]],PeakCalc!$G$10:$G$303,0))</f>
        <v>0</v>
      </c>
    </row>
    <row r="197" spans="1:9" x14ac:dyDescent="0.25">
      <c r="A197" t="s">
        <v>94</v>
      </c>
      <c r="B197" t="s">
        <v>99</v>
      </c>
      <c r="C197" t="s">
        <v>96</v>
      </c>
      <c r="D197" t="s">
        <v>89</v>
      </c>
      <c r="E197" t="s">
        <v>43</v>
      </c>
      <c r="F197" s="6">
        <v>0.32291666666666669</v>
      </c>
      <c r="G197">
        <v>169</v>
      </c>
      <c r="H197" s="6">
        <f>FLOOR(tblPivotData[[#This Row],[Time]],Summary!$B$6/1440)</f>
        <v>0.32291666666666663</v>
      </c>
      <c r="I197" s="49">
        <f>INDEX(PeakCalc!$L$10:$L$303,MATCH(tblPivotData[[#This Row],[Time]],PeakCalc!$G$10:$G$303,0))</f>
        <v>1</v>
      </c>
    </row>
    <row r="198" spans="1:9" x14ac:dyDescent="0.25">
      <c r="A198" t="s">
        <v>94</v>
      </c>
      <c r="B198" t="s">
        <v>99</v>
      </c>
      <c r="C198" t="s">
        <v>96</v>
      </c>
      <c r="D198" t="s">
        <v>89</v>
      </c>
      <c r="E198" t="s">
        <v>43</v>
      </c>
      <c r="F198" s="6">
        <v>0.33333333333333331</v>
      </c>
      <c r="G198">
        <v>149</v>
      </c>
      <c r="H198" s="6">
        <f>FLOOR(tblPivotData[[#This Row],[Time]],Summary!$B$6/1440)</f>
        <v>0.33333333333333331</v>
      </c>
      <c r="I198" s="49">
        <f>INDEX(PeakCalc!$L$10:$L$303,MATCH(tblPivotData[[#This Row],[Time]],PeakCalc!$G$10:$G$303,0))</f>
        <v>1</v>
      </c>
    </row>
    <row r="199" spans="1:9" x14ac:dyDescent="0.25">
      <c r="A199" t="s">
        <v>94</v>
      </c>
      <c r="B199" t="s">
        <v>99</v>
      </c>
      <c r="C199" t="s">
        <v>96</v>
      </c>
      <c r="D199" t="s">
        <v>89</v>
      </c>
      <c r="E199" t="s">
        <v>43</v>
      </c>
      <c r="F199" s="6">
        <v>0.34375</v>
      </c>
      <c r="G199">
        <v>166</v>
      </c>
      <c r="H199" s="6">
        <f>FLOOR(tblPivotData[[#This Row],[Time]],Summary!$B$6/1440)</f>
        <v>0.34375</v>
      </c>
      <c r="I199" s="49">
        <f>INDEX(PeakCalc!$L$10:$L$303,MATCH(tblPivotData[[#This Row],[Time]],PeakCalc!$G$10:$G$303,0))</f>
        <v>1</v>
      </c>
    </row>
    <row r="200" spans="1:9" x14ac:dyDescent="0.25">
      <c r="A200" t="s">
        <v>94</v>
      </c>
      <c r="B200" t="s">
        <v>99</v>
      </c>
      <c r="C200" t="s">
        <v>96</v>
      </c>
      <c r="D200" t="s">
        <v>89</v>
      </c>
      <c r="E200" t="s">
        <v>43</v>
      </c>
      <c r="F200" s="6">
        <v>0.35416666666666669</v>
      </c>
      <c r="G200">
        <v>173</v>
      </c>
      <c r="H200" s="6">
        <f>FLOOR(tblPivotData[[#This Row],[Time]],Summary!$B$6/1440)</f>
        <v>0.35416666666666663</v>
      </c>
      <c r="I200" s="49">
        <f>INDEX(PeakCalc!$L$10:$L$303,MATCH(tblPivotData[[#This Row],[Time]],PeakCalc!$G$10:$G$303,0))</f>
        <v>1</v>
      </c>
    </row>
    <row r="201" spans="1:9" x14ac:dyDescent="0.25">
      <c r="A201" t="s">
        <v>94</v>
      </c>
      <c r="B201" t="s">
        <v>99</v>
      </c>
      <c r="C201" t="s">
        <v>96</v>
      </c>
      <c r="D201" t="s">
        <v>89</v>
      </c>
      <c r="E201" t="s">
        <v>43</v>
      </c>
      <c r="F201" s="6">
        <v>0.36458333333333331</v>
      </c>
      <c r="G201">
        <v>153</v>
      </c>
      <c r="H201" s="6">
        <f>FLOOR(tblPivotData[[#This Row],[Time]],Summary!$B$6/1440)</f>
        <v>0.36458333333333331</v>
      </c>
      <c r="I201" s="49">
        <f>INDEX(PeakCalc!$L$10:$L$303,MATCH(tblPivotData[[#This Row],[Time]],PeakCalc!$G$10:$G$303,0))</f>
        <v>0</v>
      </c>
    </row>
    <row r="202" spans="1:9" x14ac:dyDescent="0.25">
      <c r="A202" t="s">
        <v>94</v>
      </c>
      <c r="B202" t="s">
        <v>99</v>
      </c>
      <c r="C202" t="s">
        <v>96</v>
      </c>
      <c r="D202" t="s">
        <v>89</v>
      </c>
      <c r="E202" t="s">
        <v>43</v>
      </c>
      <c r="F202" s="6">
        <v>0.375</v>
      </c>
      <c r="G202">
        <v>108</v>
      </c>
      <c r="H202" s="6">
        <f>FLOOR(tblPivotData[[#This Row],[Time]],Summary!$B$6/1440)</f>
        <v>0.375</v>
      </c>
      <c r="I202" s="49">
        <f>INDEX(PeakCalc!$L$10:$L$303,MATCH(tblPivotData[[#This Row],[Time]],PeakCalc!$G$10:$G$303,0))</f>
        <v>0</v>
      </c>
    </row>
    <row r="203" spans="1:9" x14ac:dyDescent="0.25">
      <c r="A203" t="s">
        <v>94</v>
      </c>
      <c r="B203" t="s">
        <v>99</v>
      </c>
      <c r="C203" t="s">
        <v>96</v>
      </c>
      <c r="D203" t="s">
        <v>89</v>
      </c>
      <c r="E203" t="s">
        <v>43</v>
      </c>
      <c r="F203" s="6">
        <v>0.38541666666666669</v>
      </c>
      <c r="G203">
        <v>89</v>
      </c>
      <c r="H203" s="6">
        <f>FLOOR(tblPivotData[[#This Row],[Time]],Summary!$B$6/1440)</f>
        <v>0.38541666666666663</v>
      </c>
      <c r="I203" s="49">
        <f>INDEX(PeakCalc!$L$10:$L$303,MATCH(tblPivotData[[#This Row],[Time]],PeakCalc!$G$10:$G$303,0))</f>
        <v>0</v>
      </c>
    </row>
    <row r="204" spans="1:9" x14ac:dyDescent="0.25">
      <c r="A204" t="s">
        <v>94</v>
      </c>
      <c r="B204" t="s">
        <v>99</v>
      </c>
      <c r="C204" t="s">
        <v>96</v>
      </c>
      <c r="D204" t="s">
        <v>89</v>
      </c>
      <c r="E204" t="s">
        <v>110</v>
      </c>
      <c r="F204" s="6">
        <v>0.45833333333333331</v>
      </c>
      <c r="G204">
        <v>91</v>
      </c>
      <c r="H204" s="6">
        <f>FLOOR(tblPivotData[[#This Row],[Time]],Summary!$B$6/1440)</f>
        <v>0.45833333333333331</v>
      </c>
      <c r="I204" s="49">
        <f>INDEX(PeakCalc!$L$10:$L$303,MATCH(tblPivotData[[#This Row],[Time]],PeakCalc!$G$10:$G$303,0))</f>
        <v>0</v>
      </c>
    </row>
    <row r="205" spans="1:9" x14ac:dyDescent="0.25">
      <c r="A205" t="s">
        <v>94</v>
      </c>
      <c r="B205" t="s">
        <v>99</v>
      </c>
      <c r="C205" t="s">
        <v>96</v>
      </c>
      <c r="D205" t="s">
        <v>89</v>
      </c>
      <c r="E205" t="s">
        <v>110</v>
      </c>
      <c r="F205" s="6">
        <v>0.46875</v>
      </c>
      <c r="G205">
        <v>96</v>
      </c>
      <c r="H205" s="6">
        <f>FLOOR(tblPivotData[[#This Row],[Time]],Summary!$B$6/1440)</f>
        <v>0.46875</v>
      </c>
      <c r="I205" s="49">
        <f>INDEX(PeakCalc!$L$10:$L$303,MATCH(tblPivotData[[#This Row],[Time]],PeakCalc!$G$10:$G$303,0))</f>
        <v>0</v>
      </c>
    </row>
    <row r="206" spans="1:9" x14ac:dyDescent="0.25">
      <c r="A206" t="s">
        <v>94</v>
      </c>
      <c r="B206" t="s">
        <v>99</v>
      </c>
      <c r="C206" t="s">
        <v>96</v>
      </c>
      <c r="D206" t="s">
        <v>89</v>
      </c>
      <c r="E206" t="s">
        <v>110</v>
      </c>
      <c r="F206" s="6">
        <v>0.47916666666666669</v>
      </c>
      <c r="G206">
        <v>75</v>
      </c>
      <c r="H206" s="6">
        <f>FLOOR(tblPivotData[[#This Row],[Time]],Summary!$B$6/1440)</f>
        <v>0.47916666666666663</v>
      </c>
      <c r="I206" s="49">
        <f>INDEX(PeakCalc!$L$10:$L$303,MATCH(tblPivotData[[#This Row],[Time]],PeakCalc!$G$10:$G$303,0))</f>
        <v>0</v>
      </c>
    </row>
    <row r="207" spans="1:9" x14ac:dyDescent="0.25">
      <c r="A207" t="s">
        <v>94</v>
      </c>
      <c r="B207" t="s">
        <v>99</v>
      </c>
      <c r="C207" t="s">
        <v>96</v>
      </c>
      <c r="D207" t="s">
        <v>89</v>
      </c>
      <c r="E207" t="s">
        <v>110</v>
      </c>
      <c r="F207" s="6">
        <v>0.48958333333333331</v>
      </c>
      <c r="G207">
        <v>110</v>
      </c>
      <c r="H207" s="6">
        <f>FLOOR(tblPivotData[[#This Row],[Time]],Summary!$B$6/1440)</f>
        <v>0.48958333333333331</v>
      </c>
      <c r="I207" s="49">
        <f>INDEX(PeakCalc!$L$10:$L$303,MATCH(tblPivotData[[#This Row],[Time]],PeakCalc!$G$10:$G$303,0))</f>
        <v>0</v>
      </c>
    </row>
    <row r="208" spans="1:9" x14ac:dyDescent="0.25">
      <c r="A208" t="s">
        <v>94</v>
      </c>
      <c r="B208" t="s">
        <v>99</v>
      </c>
      <c r="C208" t="s">
        <v>96</v>
      </c>
      <c r="D208" t="s">
        <v>89</v>
      </c>
      <c r="E208" t="s">
        <v>110</v>
      </c>
      <c r="F208" s="6">
        <v>0.5</v>
      </c>
      <c r="G208">
        <v>89</v>
      </c>
      <c r="H208" s="6">
        <f>FLOOR(tblPivotData[[#This Row],[Time]],Summary!$B$6/1440)</f>
        <v>0.5</v>
      </c>
      <c r="I208" s="49">
        <f>INDEX(PeakCalc!$L$10:$L$303,MATCH(tblPivotData[[#This Row],[Time]],PeakCalc!$G$10:$G$303,0))</f>
        <v>0</v>
      </c>
    </row>
    <row r="209" spans="1:9" x14ac:dyDescent="0.25">
      <c r="A209" t="s">
        <v>94</v>
      </c>
      <c r="B209" t="s">
        <v>99</v>
      </c>
      <c r="C209" t="s">
        <v>96</v>
      </c>
      <c r="D209" t="s">
        <v>89</v>
      </c>
      <c r="E209" t="s">
        <v>110</v>
      </c>
      <c r="F209" s="6">
        <v>0.51041666666666663</v>
      </c>
      <c r="G209">
        <v>94</v>
      </c>
      <c r="H209" s="6">
        <f>FLOOR(tblPivotData[[#This Row],[Time]],Summary!$B$6/1440)</f>
        <v>0.51041666666666663</v>
      </c>
      <c r="I209" s="49">
        <f>INDEX(PeakCalc!$L$10:$L$303,MATCH(tblPivotData[[#This Row],[Time]],PeakCalc!$G$10:$G$303,0))</f>
        <v>0</v>
      </c>
    </row>
    <row r="210" spans="1:9" x14ac:dyDescent="0.25">
      <c r="A210" t="s">
        <v>94</v>
      </c>
      <c r="B210" t="s">
        <v>99</v>
      </c>
      <c r="C210" t="s">
        <v>96</v>
      </c>
      <c r="D210" t="s">
        <v>89</v>
      </c>
      <c r="E210" t="s">
        <v>110</v>
      </c>
      <c r="F210" s="6">
        <v>0.52083333333333337</v>
      </c>
      <c r="G210">
        <v>105</v>
      </c>
      <c r="H210" s="6">
        <f>FLOOR(tblPivotData[[#This Row],[Time]],Summary!$B$6/1440)</f>
        <v>0.52083333333333326</v>
      </c>
      <c r="I210" s="49">
        <f>INDEX(PeakCalc!$L$10:$L$303,MATCH(tblPivotData[[#This Row],[Time]],PeakCalc!$G$10:$G$303,0))</f>
        <v>1</v>
      </c>
    </row>
    <row r="211" spans="1:9" x14ac:dyDescent="0.25">
      <c r="A211" t="s">
        <v>94</v>
      </c>
      <c r="B211" t="s">
        <v>99</v>
      </c>
      <c r="C211" t="s">
        <v>96</v>
      </c>
      <c r="D211" t="s">
        <v>89</v>
      </c>
      <c r="E211" t="s">
        <v>110</v>
      </c>
      <c r="F211" s="6">
        <v>0.53125</v>
      </c>
      <c r="G211">
        <v>96</v>
      </c>
      <c r="H211" s="6">
        <f>FLOOR(tblPivotData[[#This Row],[Time]],Summary!$B$6/1440)</f>
        <v>0.53125</v>
      </c>
      <c r="I211" s="49">
        <f>INDEX(PeakCalc!$L$10:$L$303,MATCH(tblPivotData[[#This Row],[Time]],PeakCalc!$G$10:$G$303,0))</f>
        <v>1</v>
      </c>
    </row>
    <row r="212" spans="1:9" x14ac:dyDescent="0.25">
      <c r="A212" t="s">
        <v>94</v>
      </c>
      <c r="B212" t="s">
        <v>99</v>
      </c>
      <c r="C212" t="s">
        <v>96</v>
      </c>
      <c r="D212" t="s">
        <v>89</v>
      </c>
      <c r="E212" t="s">
        <v>110</v>
      </c>
      <c r="F212" s="6">
        <v>0.54166666666666663</v>
      </c>
      <c r="G212">
        <v>94</v>
      </c>
      <c r="H212" s="6">
        <f>FLOOR(tblPivotData[[#This Row],[Time]],Summary!$B$6/1440)</f>
        <v>0.54166666666666663</v>
      </c>
      <c r="I212" s="49">
        <f>INDEX(PeakCalc!$L$10:$L$303,MATCH(tblPivotData[[#This Row],[Time]],PeakCalc!$G$10:$G$303,0))</f>
        <v>1</v>
      </c>
    </row>
    <row r="213" spans="1:9" x14ac:dyDescent="0.25">
      <c r="A213" t="s">
        <v>94</v>
      </c>
      <c r="B213" t="s">
        <v>99</v>
      </c>
      <c r="C213" t="s">
        <v>96</v>
      </c>
      <c r="D213" t="s">
        <v>89</v>
      </c>
      <c r="E213" t="s">
        <v>110</v>
      </c>
      <c r="F213" s="6">
        <v>0.55208333333333337</v>
      </c>
      <c r="G213">
        <v>93</v>
      </c>
      <c r="H213" s="6">
        <f>FLOOR(tblPivotData[[#This Row],[Time]],Summary!$B$6/1440)</f>
        <v>0.55208333333333326</v>
      </c>
      <c r="I213" s="49">
        <f>INDEX(PeakCalc!$L$10:$L$303,MATCH(tblPivotData[[#This Row],[Time]],PeakCalc!$G$10:$G$303,0))</f>
        <v>1</v>
      </c>
    </row>
    <row r="214" spans="1:9" x14ac:dyDescent="0.25">
      <c r="A214" t="s">
        <v>94</v>
      </c>
      <c r="B214" t="s">
        <v>99</v>
      </c>
      <c r="C214" t="s">
        <v>96</v>
      </c>
      <c r="D214" t="s">
        <v>89</v>
      </c>
      <c r="E214" t="s">
        <v>110</v>
      </c>
      <c r="F214" s="6">
        <v>0.5625</v>
      </c>
      <c r="G214">
        <v>90</v>
      </c>
      <c r="H214" s="6">
        <f>FLOOR(tblPivotData[[#This Row],[Time]],Summary!$B$6/1440)</f>
        <v>0.5625</v>
      </c>
      <c r="I214" s="49">
        <f>INDEX(PeakCalc!$L$10:$L$303,MATCH(tblPivotData[[#This Row],[Time]],PeakCalc!$G$10:$G$303,0))</f>
        <v>0</v>
      </c>
    </row>
    <row r="215" spans="1:9" x14ac:dyDescent="0.25">
      <c r="A215" t="s">
        <v>94</v>
      </c>
      <c r="B215" t="s">
        <v>99</v>
      </c>
      <c r="C215" t="s">
        <v>96</v>
      </c>
      <c r="D215" t="s">
        <v>89</v>
      </c>
      <c r="E215" t="s">
        <v>110</v>
      </c>
      <c r="F215" s="6">
        <v>0.57291666666666663</v>
      </c>
      <c r="G215">
        <v>101</v>
      </c>
      <c r="H215" s="6">
        <f>FLOOR(tblPivotData[[#This Row],[Time]],Summary!$B$6/1440)</f>
        <v>0.57291666666666663</v>
      </c>
      <c r="I215" s="49">
        <f>INDEX(PeakCalc!$L$10:$L$303,MATCH(tblPivotData[[#This Row],[Time]],PeakCalc!$G$10:$G$303,0))</f>
        <v>0</v>
      </c>
    </row>
    <row r="216" spans="1:9" x14ac:dyDescent="0.25">
      <c r="A216" t="s">
        <v>94</v>
      </c>
      <c r="B216" t="s">
        <v>99</v>
      </c>
      <c r="C216" t="s">
        <v>96</v>
      </c>
      <c r="D216" t="s">
        <v>89</v>
      </c>
      <c r="E216" t="s">
        <v>44</v>
      </c>
      <c r="F216" s="6">
        <v>0.625</v>
      </c>
      <c r="G216">
        <v>81</v>
      </c>
      <c r="H216" s="6">
        <f>FLOOR(tblPivotData[[#This Row],[Time]],Summary!$B$6/1440)</f>
        <v>0.625</v>
      </c>
      <c r="I216" s="49">
        <f>INDEX(PeakCalc!$L$10:$L$303,MATCH(tblPivotData[[#This Row],[Time]],PeakCalc!$G$10:$G$303,0))</f>
        <v>0</v>
      </c>
    </row>
    <row r="217" spans="1:9" x14ac:dyDescent="0.25">
      <c r="A217" t="s">
        <v>94</v>
      </c>
      <c r="B217" t="s">
        <v>99</v>
      </c>
      <c r="C217" t="s">
        <v>96</v>
      </c>
      <c r="D217" t="s">
        <v>89</v>
      </c>
      <c r="E217" t="s">
        <v>44</v>
      </c>
      <c r="F217" s="6">
        <v>0.63541666666666663</v>
      </c>
      <c r="G217">
        <v>108</v>
      </c>
      <c r="H217" s="6">
        <f>FLOOR(tblPivotData[[#This Row],[Time]],Summary!$B$6/1440)</f>
        <v>0.63541666666666663</v>
      </c>
      <c r="I217" s="49">
        <f>INDEX(PeakCalc!$L$10:$L$303,MATCH(tblPivotData[[#This Row],[Time]],PeakCalc!$G$10:$G$303,0))</f>
        <v>0</v>
      </c>
    </row>
    <row r="218" spans="1:9" x14ac:dyDescent="0.25">
      <c r="A218" t="s">
        <v>94</v>
      </c>
      <c r="B218" t="s">
        <v>99</v>
      </c>
      <c r="C218" t="s">
        <v>96</v>
      </c>
      <c r="D218" t="s">
        <v>89</v>
      </c>
      <c r="E218" t="s">
        <v>44</v>
      </c>
      <c r="F218" s="6">
        <v>0.64583333333333337</v>
      </c>
      <c r="G218">
        <v>74</v>
      </c>
      <c r="H218" s="6">
        <f>FLOOR(tblPivotData[[#This Row],[Time]],Summary!$B$6/1440)</f>
        <v>0.64583333333333326</v>
      </c>
      <c r="I218" s="49">
        <f>INDEX(PeakCalc!$L$10:$L$303,MATCH(tblPivotData[[#This Row],[Time]],PeakCalc!$G$10:$G$303,0))</f>
        <v>0</v>
      </c>
    </row>
    <row r="219" spans="1:9" x14ac:dyDescent="0.25">
      <c r="A219" t="s">
        <v>94</v>
      </c>
      <c r="B219" t="s">
        <v>99</v>
      </c>
      <c r="C219" t="s">
        <v>96</v>
      </c>
      <c r="D219" t="s">
        <v>89</v>
      </c>
      <c r="E219" t="s">
        <v>44</v>
      </c>
      <c r="F219" s="6">
        <v>0.65625</v>
      </c>
      <c r="G219">
        <v>109</v>
      </c>
      <c r="H219" s="6">
        <f>FLOOR(tblPivotData[[#This Row],[Time]],Summary!$B$6/1440)</f>
        <v>0.65625</v>
      </c>
      <c r="I219" s="49">
        <f>INDEX(PeakCalc!$L$10:$L$303,MATCH(tblPivotData[[#This Row],[Time]],PeakCalc!$G$10:$G$303,0))</f>
        <v>0</v>
      </c>
    </row>
    <row r="220" spans="1:9" x14ac:dyDescent="0.25">
      <c r="A220" t="s">
        <v>94</v>
      </c>
      <c r="B220" t="s">
        <v>99</v>
      </c>
      <c r="C220" t="s">
        <v>96</v>
      </c>
      <c r="D220" t="s">
        <v>89</v>
      </c>
      <c r="E220" t="s">
        <v>44</v>
      </c>
      <c r="F220" s="6">
        <v>0.66666666666666663</v>
      </c>
      <c r="G220">
        <v>86</v>
      </c>
      <c r="H220" s="6">
        <f>FLOOR(tblPivotData[[#This Row],[Time]],Summary!$B$6/1440)</f>
        <v>0.66666666666666663</v>
      </c>
      <c r="I220" s="49">
        <f>INDEX(PeakCalc!$L$10:$L$303,MATCH(tblPivotData[[#This Row],[Time]],PeakCalc!$G$10:$G$303,0))</f>
        <v>0</v>
      </c>
    </row>
    <row r="221" spans="1:9" x14ac:dyDescent="0.25">
      <c r="A221" t="s">
        <v>94</v>
      </c>
      <c r="B221" t="s">
        <v>99</v>
      </c>
      <c r="C221" t="s">
        <v>96</v>
      </c>
      <c r="D221" t="s">
        <v>89</v>
      </c>
      <c r="E221" t="s">
        <v>44</v>
      </c>
      <c r="F221" s="6">
        <v>0.67708333333333337</v>
      </c>
      <c r="G221">
        <v>79</v>
      </c>
      <c r="H221" s="6">
        <f>FLOOR(tblPivotData[[#This Row],[Time]],Summary!$B$6/1440)</f>
        <v>0.67708333333333326</v>
      </c>
      <c r="I221" s="49">
        <f>INDEX(PeakCalc!$L$10:$L$303,MATCH(tblPivotData[[#This Row],[Time]],PeakCalc!$G$10:$G$303,0))</f>
        <v>0</v>
      </c>
    </row>
    <row r="222" spans="1:9" x14ac:dyDescent="0.25">
      <c r="A222" t="s">
        <v>94</v>
      </c>
      <c r="B222" t="s">
        <v>99</v>
      </c>
      <c r="C222" t="s">
        <v>96</v>
      </c>
      <c r="D222" t="s">
        <v>89</v>
      </c>
      <c r="E222" t="s">
        <v>44</v>
      </c>
      <c r="F222" s="6">
        <v>0.6875</v>
      </c>
      <c r="G222">
        <v>93</v>
      </c>
      <c r="H222" s="6">
        <f>FLOOR(tblPivotData[[#This Row],[Time]],Summary!$B$6/1440)</f>
        <v>0.6875</v>
      </c>
      <c r="I222" s="49">
        <f>INDEX(PeakCalc!$L$10:$L$303,MATCH(tblPivotData[[#This Row],[Time]],PeakCalc!$G$10:$G$303,0))</f>
        <v>1</v>
      </c>
    </row>
    <row r="223" spans="1:9" x14ac:dyDescent="0.25">
      <c r="A223" t="s">
        <v>94</v>
      </c>
      <c r="B223" t="s">
        <v>99</v>
      </c>
      <c r="C223" t="s">
        <v>96</v>
      </c>
      <c r="D223" t="s">
        <v>89</v>
      </c>
      <c r="E223" t="s">
        <v>44</v>
      </c>
      <c r="F223" s="6">
        <v>0.69791666666666663</v>
      </c>
      <c r="G223">
        <v>120</v>
      </c>
      <c r="H223" s="6">
        <f>FLOOR(tblPivotData[[#This Row],[Time]],Summary!$B$6/1440)</f>
        <v>0.69791666666666663</v>
      </c>
      <c r="I223" s="49">
        <f>INDEX(PeakCalc!$L$10:$L$303,MATCH(tblPivotData[[#This Row],[Time]],PeakCalc!$G$10:$G$303,0))</f>
        <v>1</v>
      </c>
    </row>
    <row r="224" spans="1:9" x14ac:dyDescent="0.25">
      <c r="A224" t="s">
        <v>94</v>
      </c>
      <c r="B224" t="s">
        <v>99</v>
      </c>
      <c r="C224" t="s">
        <v>96</v>
      </c>
      <c r="D224" t="s">
        <v>89</v>
      </c>
      <c r="E224" t="s">
        <v>44</v>
      </c>
      <c r="F224" s="6">
        <v>0.70833333333333337</v>
      </c>
      <c r="G224">
        <v>106</v>
      </c>
      <c r="H224" s="6">
        <f>FLOOR(tblPivotData[[#This Row],[Time]],Summary!$B$6/1440)</f>
        <v>0.70833333333333326</v>
      </c>
      <c r="I224" s="49">
        <f>INDEX(PeakCalc!$L$10:$L$303,MATCH(tblPivotData[[#This Row],[Time]],PeakCalc!$G$10:$G$303,0))</f>
        <v>1</v>
      </c>
    </row>
    <row r="225" spans="1:9" x14ac:dyDescent="0.25">
      <c r="A225" t="s">
        <v>94</v>
      </c>
      <c r="B225" t="s">
        <v>99</v>
      </c>
      <c r="C225" t="s">
        <v>96</v>
      </c>
      <c r="D225" t="s">
        <v>89</v>
      </c>
      <c r="E225" t="s">
        <v>44</v>
      </c>
      <c r="F225" s="6">
        <v>0.71875</v>
      </c>
      <c r="G225">
        <v>111</v>
      </c>
      <c r="H225" s="6">
        <f>FLOOR(tblPivotData[[#This Row],[Time]],Summary!$B$6/1440)</f>
        <v>0.71875</v>
      </c>
      <c r="I225" s="49">
        <f>INDEX(PeakCalc!$L$10:$L$303,MATCH(tblPivotData[[#This Row],[Time]],PeakCalc!$G$10:$G$303,0))</f>
        <v>1</v>
      </c>
    </row>
    <row r="226" spans="1:9" x14ac:dyDescent="0.25">
      <c r="A226" t="s">
        <v>94</v>
      </c>
      <c r="B226" t="s">
        <v>99</v>
      </c>
      <c r="C226" t="s">
        <v>96</v>
      </c>
      <c r="D226" t="s">
        <v>89</v>
      </c>
      <c r="E226" t="s">
        <v>44</v>
      </c>
      <c r="F226" s="6">
        <v>0.72916666666666663</v>
      </c>
      <c r="G226">
        <v>95</v>
      </c>
      <c r="H226" s="6">
        <f>FLOOR(tblPivotData[[#This Row],[Time]],Summary!$B$6/1440)</f>
        <v>0.72916666666666663</v>
      </c>
      <c r="I226" s="49">
        <f>INDEX(PeakCalc!$L$10:$L$303,MATCH(tblPivotData[[#This Row],[Time]],PeakCalc!$G$10:$G$303,0))</f>
        <v>0</v>
      </c>
    </row>
    <row r="227" spans="1:9" x14ac:dyDescent="0.25">
      <c r="A227" t="s">
        <v>94</v>
      </c>
      <c r="B227" t="s">
        <v>99</v>
      </c>
      <c r="C227" t="s">
        <v>96</v>
      </c>
      <c r="D227" t="s">
        <v>89</v>
      </c>
      <c r="E227" t="s">
        <v>44</v>
      </c>
      <c r="F227" s="6">
        <v>0.73958333333333337</v>
      </c>
      <c r="G227">
        <v>114</v>
      </c>
      <c r="H227" s="6">
        <f>FLOOR(tblPivotData[[#This Row],[Time]],Summary!$B$6/1440)</f>
        <v>0.73958333333333326</v>
      </c>
      <c r="I227" s="49">
        <f>INDEX(PeakCalc!$L$10:$L$303,MATCH(tblPivotData[[#This Row],[Time]],PeakCalc!$G$10:$G$303,0))</f>
        <v>0</v>
      </c>
    </row>
    <row r="228" spans="1:9" x14ac:dyDescent="0.25">
      <c r="A228" t="s">
        <v>94</v>
      </c>
      <c r="B228" t="s">
        <v>99</v>
      </c>
      <c r="C228" t="s">
        <v>96</v>
      </c>
      <c r="D228" t="s">
        <v>89</v>
      </c>
      <c r="E228" t="s">
        <v>44</v>
      </c>
      <c r="F228" s="6">
        <v>0.75</v>
      </c>
      <c r="G228">
        <v>69</v>
      </c>
      <c r="H228" s="6">
        <f>FLOOR(tblPivotData[[#This Row],[Time]],Summary!$B$6/1440)</f>
        <v>0.75</v>
      </c>
      <c r="I228" s="49">
        <f>INDEX(PeakCalc!$L$10:$L$303,MATCH(tblPivotData[[#This Row],[Time]],PeakCalc!$G$10:$G$303,0))</f>
        <v>0</v>
      </c>
    </row>
    <row r="229" spans="1:9" x14ac:dyDescent="0.25">
      <c r="A229" t="s">
        <v>94</v>
      </c>
      <c r="B229" t="s">
        <v>99</v>
      </c>
      <c r="C229" t="s">
        <v>96</v>
      </c>
      <c r="D229" t="s">
        <v>89</v>
      </c>
      <c r="E229" t="s">
        <v>44</v>
      </c>
      <c r="F229" s="6">
        <v>0.76041666666666663</v>
      </c>
      <c r="G229">
        <v>67</v>
      </c>
      <c r="H229" s="6">
        <f>FLOOR(tblPivotData[[#This Row],[Time]],Summary!$B$6/1440)</f>
        <v>0.76041666666666663</v>
      </c>
      <c r="I229" s="49">
        <f>INDEX(PeakCalc!$L$10:$L$303,MATCH(tblPivotData[[#This Row],[Time]],PeakCalc!$G$10:$G$303,0))</f>
        <v>0</v>
      </c>
    </row>
    <row r="230" spans="1:9" x14ac:dyDescent="0.25">
      <c r="A230" t="s">
        <v>94</v>
      </c>
      <c r="B230" t="s">
        <v>99</v>
      </c>
      <c r="C230" t="s">
        <v>96</v>
      </c>
      <c r="D230" t="s">
        <v>90</v>
      </c>
      <c r="E230" t="s">
        <v>43</v>
      </c>
      <c r="F230" s="6">
        <v>0.27083333333333331</v>
      </c>
      <c r="G230">
        <v>0</v>
      </c>
      <c r="H230" s="6">
        <f>FLOOR(tblPivotData[[#This Row],[Time]],Summary!$B$6/1440)</f>
        <v>0.27083333333333331</v>
      </c>
      <c r="I230" s="49">
        <f>INDEX(PeakCalc!$L$10:$L$303,MATCH(tblPivotData[[#This Row],[Time]],PeakCalc!$G$10:$G$303,0))</f>
        <v>0</v>
      </c>
    </row>
    <row r="231" spans="1:9" x14ac:dyDescent="0.25">
      <c r="A231" t="s">
        <v>94</v>
      </c>
      <c r="B231" t="s">
        <v>99</v>
      </c>
      <c r="C231" t="s">
        <v>96</v>
      </c>
      <c r="D231" t="s">
        <v>90</v>
      </c>
      <c r="E231" t="s">
        <v>43</v>
      </c>
      <c r="F231" s="6">
        <v>0.28125</v>
      </c>
      <c r="G231">
        <v>0</v>
      </c>
      <c r="H231" s="6">
        <f>FLOOR(tblPivotData[[#This Row],[Time]],Summary!$B$6/1440)</f>
        <v>0.28125</v>
      </c>
      <c r="I231" s="49">
        <f>INDEX(PeakCalc!$L$10:$L$303,MATCH(tblPivotData[[#This Row],[Time]],PeakCalc!$G$10:$G$303,0))</f>
        <v>0</v>
      </c>
    </row>
    <row r="232" spans="1:9" x14ac:dyDescent="0.25">
      <c r="A232" t="s">
        <v>94</v>
      </c>
      <c r="B232" t="s">
        <v>99</v>
      </c>
      <c r="C232" t="s">
        <v>96</v>
      </c>
      <c r="D232" t="s">
        <v>90</v>
      </c>
      <c r="E232" t="s">
        <v>43</v>
      </c>
      <c r="F232" s="6">
        <v>0.29166666666666669</v>
      </c>
      <c r="G232">
        <v>0</v>
      </c>
      <c r="H232" s="6">
        <f>FLOOR(tblPivotData[[#This Row],[Time]],Summary!$B$6/1440)</f>
        <v>0.29166666666666663</v>
      </c>
      <c r="I232" s="49">
        <f>INDEX(PeakCalc!$L$10:$L$303,MATCH(tblPivotData[[#This Row],[Time]],PeakCalc!$G$10:$G$303,0))</f>
        <v>0</v>
      </c>
    </row>
    <row r="233" spans="1:9" x14ac:dyDescent="0.25">
      <c r="A233" t="s">
        <v>94</v>
      </c>
      <c r="B233" t="s">
        <v>99</v>
      </c>
      <c r="C233" t="s">
        <v>96</v>
      </c>
      <c r="D233" t="s">
        <v>90</v>
      </c>
      <c r="E233" t="s">
        <v>43</v>
      </c>
      <c r="F233" s="6">
        <v>0.30208333333333331</v>
      </c>
      <c r="G233">
        <v>0</v>
      </c>
      <c r="H233" s="6">
        <f>FLOOR(tblPivotData[[#This Row],[Time]],Summary!$B$6/1440)</f>
        <v>0.30208333333333331</v>
      </c>
      <c r="I233" s="49">
        <f>INDEX(PeakCalc!$L$10:$L$303,MATCH(tblPivotData[[#This Row],[Time]],PeakCalc!$G$10:$G$303,0))</f>
        <v>0</v>
      </c>
    </row>
    <row r="234" spans="1:9" x14ac:dyDescent="0.25">
      <c r="A234" t="s">
        <v>94</v>
      </c>
      <c r="B234" t="s">
        <v>99</v>
      </c>
      <c r="C234" t="s">
        <v>96</v>
      </c>
      <c r="D234" t="s">
        <v>90</v>
      </c>
      <c r="E234" t="s">
        <v>43</v>
      </c>
      <c r="F234" s="6">
        <v>0.3125</v>
      </c>
      <c r="G234">
        <v>0</v>
      </c>
      <c r="H234" s="6">
        <f>FLOOR(tblPivotData[[#This Row],[Time]],Summary!$B$6/1440)</f>
        <v>0.3125</v>
      </c>
      <c r="I234" s="49">
        <f>INDEX(PeakCalc!$L$10:$L$303,MATCH(tblPivotData[[#This Row],[Time]],PeakCalc!$G$10:$G$303,0))</f>
        <v>0</v>
      </c>
    </row>
    <row r="235" spans="1:9" x14ac:dyDescent="0.25">
      <c r="A235" t="s">
        <v>94</v>
      </c>
      <c r="B235" t="s">
        <v>99</v>
      </c>
      <c r="C235" t="s">
        <v>96</v>
      </c>
      <c r="D235" t="s">
        <v>90</v>
      </c>
      <c r="E235" t="s">
        <v>43</v>
      </c>
      <c r="F235" s="6">
        <v>0.32291666666666669</v>
      </c>
      <c r="G235">
        <v>0</v>
      </c>
      <c r="H235" s="6">
        <f>FLOOR(tblPivotData[[#This Row],[Time]],Summary!$B$6/1440)</f>
        <v>0.32291666666666663</v>
      </c>
      <c r="I235" s="49">
        <f>INDEX(PeakCalc!$L$10:$L$303,MATCH(tblPivotData[[#This Row],[Time]],PeakCalc!$G$10:$G$303,0))</f>
        <v>1</v>
      </c>
    </row>
    <row r="236" spans="1:9" x14ac:dyDescent="0.25">
      <c r="A236" t="s">
        <v>94</v>
      </c>
      <c r="B236" t="s">
        <v>99</v>
      </c>
      <c r="C236" t="s">
        <v>96</v>
      </c>
      <c r="D236" t="s">
        <v>90</v>
      </c>
      <c r="E236" t="s">
        <v>43</v>
      </c>
      <c r="F236" s="6">
        <v>0.33333333333333331</v>
      </c>
      <c r="G236">
        <v>0</v>
      </c>
      <c r="H236" s="6">
        <f>FLOOR(tblPivotData[[#This Row],[Time]],Summary!$B$6/1440)</f>
        <v>0.33333333333333331</v>
      </c>
      <c r="I236" s="49">
        <f>INDEX(PeakCalc!$L$10:$L$303,MATCH(tblPivotData[[#This Row],[Time]],PeakCalc!$G$10:$G$303,0))</f>
        <v>1</v>
      </c>
    </row>
    <row r="237" spans="1:9" x14ac:dyDescent="0.25">
      <c r="A237" t="s">
        <v>94</v>
      </c>
      <c r="B237" t="s">
        <v>99</v>
      </c>
      <c r="C237" t="s">
        <v>96</v>
      </c>
      <c r="D237" t="s">
        <v>90</v>
      </c>
      <c r="E237" t="s">
        <v>43</v>
      </c>
      <c r="F237" s="6">
        <v>0.34375</v>
      </c>
      <c r="G237">
        <v>0</v>
      </c>
      <c r="H237" s="6">
        <f>FLOOR(tblPivotData[[#This Row],[Time]],Summary!$B$6/1440)</f>
        <v>0.34375</v>
      </c>
      <c r="I237" s="49">
        <f>INDEX(PeakCalc!$L$10:$L$303,MATCH(tblPivotData[[#This Row],[Time]],PeakCalc!$G$10:$G$303,0))</f>
        <v>1</v>
      </c>
    </row>
    <row r="238" spans="1:9" x14ac:dyDescent="0.25">
      <c r="A238" t="s">
        <v>94</v>
      </c>
      <c r="B238" t="s">
        <v>99</v>
      </c>
      <c r="C238" t="s">
        <v>96</v>
      </c>
      <c r="D238" t="s">
        <v>90</v>
      </c>
      <c r="E238" t="s">
        <v>43</v>
      </c>
      <c r="F238" s="6">
        <v>0.35416666666666669</v>
      </c>
      <c r="G238">
        <v>1</v>
      </c>
      <c r="H238" s="6">
        <f>FLOOR(tblPivotData[[#This Row],[Time]],Summary!$B$6/1440)</f>
        <v>0.35416666666666663</v>
      </c>
      <c r="I238" s="49">
        <f>INDEX(PeakCalc!$L$10:$L$303,MATCH(tblPivotData[[#This Row],[Time]],PeakCalc!$G$10:$G$303,0))</f>
        <v>1</v>
      </c>
    </row>
    <row r="239" spans="1:9" x14ac:dyDescent="0.25">
      <c r="A239" t="s">
        <v>94</v>
      </c>
      <c r="B239" t="s">
        <v>99</v>
      </c>
      <c r="C239" t="s">
        <v>96</v>
      </c>
      <c r="D239" t="s">
        <v>90</v>
      </c>
      <c r="E239" t="s">
        <v>43</v>
      </c>
      <c r="F239" s="6">
        <v>0.36458333333333331</v>
      </c>
      <c r="G239">
        <v>1</v>
      </c>
      <c r="H239" s="6">
        <f>FLOOR(tblPivotData[[#This Row],[Time]],Summary!$B$6/1440)</f>
        <v>0.36458333333333331</v>
      </c>
      <c r="I239" s="49">
        <f>INDEX(PeakCalc!$L$10:$L$303,MATCH(tblPivotData[[#This Row],[Time]],PeakCalc!$G$10:$G$303,0))</f>
        <v>0</v>
      </c>
    </row>
    <row r="240" spans="1:9" x14ac:dyDescent="0.25">
      <c r="A240" t="s">
        <v>94</v>
      </c>
      <c r="B240" t="s">
        <v>99</v>
      </c>
      <c r="C240" t="s">
        <v>96</v>
      </c>
      <c r="D240" t="s">
        <v>90</v>
      </c>
      <c r="E240" t="s">
        <v>43</v>
      </c>
      <c r="F240" s="6">
        <v>0.375</v>
      </c>
      <c r="G240">
        <v>1</v>
      </c>
      <c r="H240" s="6">
        <f>FLOOR(tblPivotData[[#This Row],[Time]],Summary!$B$6/1440)</f>
        <v>0.375</v>
      </c>
      <c r="I240" s="49">
        <f>INDEX(PeakCalc!$L$10:$L$303,MATCH(tblPivotData[[#This Row],[Time]],PeakCalc!$G$10:$G$303,0))</f>
        <v>0</v>
      </c>
    </row>
    <row r="241" spans="1:9" x14ac:dyDescent="0.25">
      <c r="A241" t="s">
        <v>94</v>
      </c>
      <c r="B241" t="s">
        <v>99</v>
      </c>
      <c r="C241" t="s">
        <v>96</v>
      </c>
      <c r="D241" t="s">
        <v>90</v>
      </c>
      <c r="E241" t="s">
        <v>43</v>
      </c>
      <c r="F241" s="6">
        <v>0.38541666666666669</v>
      </c>
      <c r="G241">
        <v>0</v>
      </c>
      <c r="H241" s="6">
        <f>FLOOR(tblPivotData[[#This Row],[Time]],Summary!$B$6/1440)</f>
        <v>0.38541666666666663</v>
      </c>
      <c r="I241" s="49">
        <f>INDEX(PeakCalc!$L$10:$L$303,MATCH(tblPivotData[[#This Row],[Time]],PeakCalc!$G$10:$G$303,0))</f>
        <v>0</v>
      </c>
    </row>
    <row r="242" spans="1:9" x14ac:dyDescent="0.25">
      <c r="A242" t="s">
        <v>94</v>
      </c>
      <c r="B242" t="s">
        <v>99</v>
      </c>
      <c r="C242" t="s">
        <v>96</v>
      </c>
      <c r="D242" t="s">
        <v>90</v>
      </c>
      <c r="E242" t="s">
        <v>110</v>
      </c>
      <c r="F242" s="6">
        <v>0.45833333333333331</v>
      </c>
      <c r="G242">
        <v>0</v>
      </c>
      <c r="H242" s="6">
        <f>FLOOR(tblPivotData[[#This Row],[Time]],Summary!$B$6/1440)</f>
        <v>0.45833333333333331</v>
      </c>
      <c r="I242" s="49">
        <f>INDEX(PeakCalc!$L$10:$L$303,MATCH(tblPivotData[[#This Row],[Time]],PeakCalc!$G$10:$G$303,0))</f>
        <v>0</v>
      </c>
    </row>
    <row r="243" spans="1:9" x14ac:dyDescent="0.25">
      <c r="A243" t="s">
        <v>94</v>
      </c>
      <c r="B243" t="s">
        <v>99</v>
      </c>
      <c r="C243" t="s">
        <v>96</v>
      </c>
      <c r="D243" t="s">
        <v>90</v>
      </c>
      <c r="E243" t="s">
        <v>110</v>
      </c>
      <c r="F243" s="6">
        <v>0.46875</v>
      </c>
      <c r="G243">
        <v>0</v>
      </c>
      <c r="H243" s="6">
        <f>FLOOR(tblPivotData[[#This Row],[Time]],Summary!$B$6/1440)</f>
        <v>0.46875</v>
      </c>
      <c r="I243" s="49">
        <f>INDEX(PeakCalc!$L$10:$L$303,MATCH(tblPivotData[[#This Row],[Time]],PeakCalc!$G$10:$G$303,0))</f>
        <v>0</v>
      </c>
    </row>
    <row r="244" spans="1:9" x14ac:dyDescent="0.25">
      <c r="A244" t="s">
        <v>94</v>
      </c>
      <c r="B244" t="s">
        <v>99</v>
      </c>
      <c r="C244" t="s">
        <v>96</v>
      </c>
      <c r="D244" t="s">
        <v>90</v>
      </c>
      <c r="E244" t="s">
        <v>110</v>
      </c>
      <c r="F244" s="6">
        <v>0.47916666666666669</v>
      </c>
      <c r="G244">
        <v>0</v>
      </c>
      <c r="H244" s="6">
        <f>FLOOR(tblPivotData[[#This Row],[Time]],Summary!$B$6/1440)</f>
        <v>0.47916666666666663</v>
      </c>
      <c r="I244" s="49">
        <f>INDEX(PeakCalc!$L$10:$L$303,MATCH(tblPivotData[[#This Row],[Time]],PeakCalc!$G$10:$G$303,0))</f>
        <v>0</v>
      </c>
    </row>
    <row r="245" spans="1:9" x14ac:dyDescent="0.25">
      <c r="A245" t="s">
        <v>94</v>
      </c>
      <c r="B245" t="s">
        <v>99</v>
      </c>
      <c r="C245" t="s">
        <v>96</v>
      </c>
      <c r="D245" t="s">
        <v>90</v>
      </c>
      <c r="E245" t="s">
        <v>110</v>
      </c>
      <c r="F245" s="6">
        <v>0.48958333333333331</v>
      </c>
      <c r="G245">
        <v>0</v>
      </c>
      <c r="H245" s="6">
        <f>FLOOR(tblPivotData[[#This Row],[Time]],Summary!$B$6/1440)</f>
        <v>0.48958333333333331</v>
      </c>
      <c r="I245" s="49">
        <f>INDEX(PeakCalc!$L$10:$L$303,MATCH(tblPivotData[[#This Row],[Time]],PeakCalc!$G$10:$G$303,0))</f>
        <v>0</v>
      </c>
    </row>
    <row r="246" spans="1:9" x14ac:dyDescent="0.25">
      <c r="A246" t="s">
        <v>94</v>
      </c>
      <c r="B246" t="s">
        <v>99</v>
      </c>
      <c r="C246" t="s">
        <v>96</v>
      </c>
      <c r="D246" t="s">
        <v>90</v>
      </c>
      <c r="E246" t="s">
        <v>110</v>
      </c>
      <c r="F246" s="6">
        <v>0.5</v>
      </c>
      <c r="G246">
        <v>0</v>
      </c>
      <c r="H246" s="6">
        <f>FLOOR(tblPivotData[[#This Row],[Time]],Summary!$B$6/1440)</f>
        <v>0.5</v>
      </c>
      <c r="I246" s="49">
        <f>INDEX(PeakCalc!$L$10:$L$303,MATCH(tblPivotData[[#This Row],[Time]],PeakCalc!$G$10:$G$303,0))</f>
        <v>0</v>
      </c>
    </row>
    <row r="247" spans="1:9" x14ac:dyDescent="0.25">
      <c r="A247" t="s">
        <v>94</v>
      </c>
      <c r="B247" t="s">
        <v>99</v>
      </c>
      <c r="C247" t="s">
        <v>96</v>
      </c>
      <c r="D247" t="s">
        <v>90</v>
      </c>
      <c r="E247" t="s">
        <v>110</v>
      </c>
      <c r="F247" s="6">
        <v>0.51041666666666663</v>
      </c>
      <c r="G247">
        <v>0</v>
      </c>
      <c r="H247" s="6">
        <f>FLOOR(tblPivotData[[#This Row],[Time]],Summary!$B$6/1440)</f>
        <v>0.51041666666666663</v>
      </c>
      <c r="I247" s="49">
        <f>INDEX(PeakCalc!$L$10:$L$303,MATCH(tblPivotData[[#This Row],[Time]],PeakCalc!$G$10:$G$303,0))</f>
        <v>0</v>
      </c>
    </row>
    <row r="248" spans="1:9" x14ac:dyDescent="0.25">
      <c r="A248" t="s">
        <v>94</v>
      </c>
      <c r="B248" t="s">
        <v>99</v>
      </c>
      <c r="C248" t="s">
        <v>96</v>
      </c>
      <c r="D248" t="s">
        <v>90</v>
      </c>
      <c r="E248" t="s">
        <v>110</v>
      </c>
      <c r="F248" s="6">
        <v>0.52083333333333337</v>
      </c>
      <c r="G248">
        <v>0</v>
      </c>
      <c r="H248" s="6">
        <f>FLOOR(tblPivotData[[#This Row],[Time]],Summary!$B$6/1440)</f>
        <v>0.52083333333333326</v>
      </c>
      <c r="I248" s="49">
        <f>INDEX(PeakCalc!$L$10:$L$303,MATCH(tblPivotData[[#This Row],[Time]],PeakCalc!$G$10:$G$303,0))</f>
        <v>1</v>
      </c>
    </row>
    <row r="249" spans="1:9" x14ac:dyDescent="0.25">
      <c r="A249" t="s">
        <v>94</v>
      </c>
      <c r="B249" t="s">
        <v>99</v>
      </c>
      <c r="C249" t="s">
        <v>96</v>
      </c>
      <c r="D249" t="s">
        <v>90</v>
      </c>
      <c r="E249" t="s">
        <v>110</v>
      </c>
      <c r="F249" s="6">
        <v>0.53125</v>
      </c>
      <c r="G249">
        <v>0</v>
      </c>
      <c r="H249" s="6">
        <f>FLOOR(tblPivotData[[#This Row],[Time]],Summary!$B$6/1440)</f>
        <v>0.53125</v>
      </c>
      <c r="I249" s="49">
        <f>INDEX(PeakCalc!$L$10:$L$303,MATCH(tblPivotData[[#This Row],[Time]],PeakCalc!$G$10:$G$303,0))</f>
        <v>1</v>
      </c>
    </row>
    <row r="250" spans="1:9" x14ac:dyDescent="0.25">
      <c r="A250" t="s">
        <v>94</v>
      </c>
      <c r="B250" t="s">
        <v>99</v>
      </c>
      <c r="C250" t="s">
        <v>96</v>
      </c>
      <c r="D250" t="s">
        <v>90</v>
      </c>
      <c r="E250" t="s">
        <v>110</v>
      </c>
      <c r="F250" s="6">
        <v>0.54166666666666663</v>
      </c>
      <c r="G250">
        <v>15</v>
      </c>
      <c r="H250" s="6">
        <f>FLOOR(tblPivotData[[#This Row],[Time]],Summary!$B$6/1440)</f>
        <v>0.54166666666666663</v>
      </c>
      <c r="I250" s="49">
        <f>INDEX(PeakCalc!$L$10:$L$303,MATCH(tblPivotData[[#This Row],[Time]],PeakCalc!$G$10:$G$303,0))</f>
        <v>1</v>
      </c>
    </row>
    <row r="251" spans="1:9" x14ac:dyDescent="0.25">
      <c r="A251" t="s">
        <v>94</v>
      </c>
      <c r="B251" t="s">
        <v>99</v>
      </c>
      <c r="C251" t="s">
        <v>96</v>
      </c>
      <c r="D251" t="s">
        <v>90</v>
      </c>
      <c r="E251" t="s">
        <v>110</v>
      </c>
      <c r="F251" s="6">
        <v>0.55208333333333337</v>
      </c>
      <c r="G251">
        <v>3</v>
      </c>
      <c r="H251" s="6">
        <f>FLOOR(tblPivotData[[#This Row],[Time]],Summary!$B$6/1440)</f>
        <v>0.55208333333333326</v>
      </c>
      <c r="I251" s="49">
        <f>INDEX(PeakCalc!$L$10:$L$303,MATCH(tblPivotData[[#This Row],[Time]],PeakCalc!$G$10:$G$303,0))</f>
        <v>1</v>
      </c>
    </row>
    <row r="252" spans="1:9" x14ac:dyDescent="0.25">
      <c r="A252" t="s">
        <v>94</v>
      </c>
      <c r="B252" t="s">
        <v>99</v>
      </c>
      <c r="C252" t="s">
        <v>96</v>
      </c>
      <c r="D252" t="s">
        <v>90</v>
      </c>
      <c r="E252" t="s">
        <v>110</v>
      </c>
      <c r="F252" s="6">
        <v>0.5625</v>
      </c>
      <c r="G252">
        <v>0</v>
      </c>
      <c r="H252" s="6">
        <f>FLOOR(tblPivotData[[#This Row],[Time]],Summary!$B$6/1440)</f>
        <v>0.5625</v>
      </c>
      <c r="I252" s="49">
        <f>INDEX(PeakCalc!$L$10:$L$303,MATCH(tblPivotData[[#This Row],[Time]],PeakCalc!$G$10:$G$303,0))</f>
        <v>0</v>
      </c>
    </row>
    <row r="253" spans="1:9" x14ac:dyDescent="0.25">
      <c r="A253" t="s">
        <v>94</v>
      </c>
      <c r="B253" t="s">
        <v>99</v>
      </c>
      <c r="C253" t="s">
        <v>96</v>
      </c>
      <c r="D253" t="s">
        <v>90</v>
      </c>
      <c r="E253" t="s">
        <v>110</v>
      </c>
      <c r="F253" s="6">
        <v>0.57291666666666663</v>
      </c>
      <c r="G253">
        <v>0</v>
      </c>
      <c r="H253" s="6">
        <f>FLOOR(tblPivotData[[#This Row],[Time]],Summary!$B$6/1440)</f>
        <v>0.57291666666666663</v>
      </c>
      <c r="I253" s="49">
        <f>INDEX(PeakCalc!$L$10:$L$303,MATCH(tblPivotData[[#This Row],[Time]],PeakCalc!$G$10:$G$303,0))</f>
        <v>0</v>
      </c>
    </row>
    <row r="254" spans="1:9" x14ac:dyDescent="0.25">
      <c r="A254" t="s">
        <v>94</v>
      </c>
      <c r="B254" t="s">
        <v>99</v>
      </c>
      <c r="C254" t="s">
        <v>96</v>
      </c>
      <c r="D254" t="s">
        <v>90</v>
      </c>
      <c r="E254" t="s">
        <v>44</v>
      </c>
      <c r="F254" s="6">
        <v>0.625</v>
      </c>
      <c r="G254">
        <v>1</v>
      </c>
      <c r="H254" s="6">
        <f>FLOOR(tblPivotData[[#This Row],[Time]],Summary!$B$6/1440)</f>
        <v>0.625</v>
      </c>
      <c r="I254" s="49">
        <f>INDEX(PeakCalc!$L$10:$L$303,MATCH(tblPivotData[[#This Row],[Time]],PeakCalc!$G$10:$G$303,0))</f>
        <v>0</v>
      </c>
    </row>
    <row r="255" spans="1:9" x14ac:dyDescent="0.25">
      <c r="A255" t="s">
        <v>94</v>
      </c>
      <c r="B255" t="s">
        <v>99</v>
      </c>
      <c r="C255" t="s">
        <v>96</v>
      </c>
      <c r="D255" t="s">
        <v>90</v>
      </c>
      <c r="E255" t="s">
        <v>44</v>
      </c>
      <c r="F255" s="6">
        <v>0.63541666666666663</v>
      </c>
      <c r="G255">
        <v>2</v>
      </c>
      <c r="H255" s="6">
        <f>FLOOR(tblPivotData[[#This Row],[Time]],Summary!$B$6/1440)</f>
        <v>0.63541666666666663</v>
      </c>
      <c r="I255" s="49">
        <f>INDEX(PeakCalc!$L$10:$L$303,MATCH(tblPivotData[[#This Row],[Time]],PeakCalc!$G$10:$G$303,0))</f>
        <v>0</v>
      </c>
    </row>
    <row r="256" spans="1:9" x14ac:dyDescent="0.25">
      <c r="A256" t="s">
        <v>94</v>
      </c>
      <c r="B256" t="s">
        <v>99</v>
      </c>
      <c r="C256" t="s">
        <v>96</v>
      </c>
      <c r="D256" t="s">
        <v>90</v>
      </c>
      <c r="E256" t="s">
        <v>44</v>
      </c>
      <c r="F256" s="6">
        <v>0.64583333333333337</v>
      </c>
      <c r="G256">
        <v>0</v>
      </c>
      <c r="H256" s="6">
        <f>FLOOR(tblPivotData[[#This Row],[Time]],Summary!$B$6/1440)</f>
        <v>0.64583333333333326</v>
      </c>
      <c r="I256" s="49">
        <f>INDEX(PeakCalc!$L$10:$L$303,MATCH(tblPivotData[[#This Row],[Time]],PeakCalc!$G$10:$G$303,0))</f>
        <v>0</v>
      </c>
    </row>
    <row r="257" spans="1:9" x14ac:dyDescent="0.25">
      <c r="A257" t="s">
        <v>94</v>
      </c>
      <c r="B257" t="s">
        <v>99</v>
      </c>
      <c r="C257" t="s">
        <v>96</v>
      </c>
      <c r="D257" t="s">
        <v>90</v>
      </c>
      <c r="E257" t="s">
        <v>44</v>
      </c>
      <c r="F257" s="6">
        <v>0.65625</v>
      </c>
      <c r="G257">
        <v>2</v>
      </c>
      <c r="H257" s="6">
        <f>FLOOR(tblPivotData[[#This Row],[Time]],Summary!$B$6/1440)</f>
        <v>0.65625</v>
      </c>
      <c r="I257" s="49">
        <f>INDEX(PeakCalc!$L$10:$L$303,MATCH(tblPivotData[[#This Row],[Time]],PeakCalc!$G$10:$G$303,0))</f>
        <v>0</v>
      </c>
    </row>
    <row r="258" spans="1:9" x14ac:dyDescent="0.25">
      <c r="A258" t="s">
        <v>94</v>
      </c>
      <c r="B258" t="s">
        <v>99</v>
      </c>
      <c r="C258" t="s">
        <v>96</v>
      </c>
      <c r="D258" t="s">
        <v>90</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94</v>
      </c>
      <c r="B259" t="s">
        <v>99</v>
      </c>
      <c r="C259" t="s">
        <v>96</v>
      </c>
      <c r="D259" t="s">
        <v>90</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94</v>
      </c>
      <c r="B260" t="s">
        <v>99</v>
      </c>
      <c r="C260" t="s">
        <v>96</v>
      </c>
      <c r="D260" t="s">
        <v>90</v>
      </c>
      <c r="E260" t="s">
        <v>44</v>
      </c>
      <c r="F260" s="6">
        <v>0.6875</v>
      </c>
      <c r="G260">
        <v>0</v>
      </c>
      <c r="H260" s="6">
        <f>FLOOR(tblPivotData[[#This Row],[Time]],Summary!$B$6/1440)</f>
        <v>0.6875</v>
      </c>
      <c r="I260" s="49">
        <f>INDEX(PeakCalc!$L$10:$L$303,MATCH(tblPivotData[[#This Row],[Time]],PeakCalc!$G$10:$G$303,0))</f>
        <v>1</v>
      </c>
    </row>
    <row r="261" spans="1:9" x14ac:dyDescent="0.25">
      <c r="A261" t="s">
        <v>94</v>
      </c>
      <c r="B261" t="s">
        <v>99</v>
      </c>
      <c r="C261" t="s">
        <v>96</v>
      </c>
      <c r="D261" t="s">
        <v>90</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99</v>
      </c>
      <c r="C262" t="s">
        <v>96</v>
      </c>
      <c r="D262" t="s">
        <v>90</v>
      </c>
      <c r="E262" t="s">
        <v>44</v>
      </c>
      <c r="F262" s="6">
        <v>0.70833333333333337</v>
      </c>
      <c r="G262">
        <v>1</v>
      </c>
      <c r="H262" s="6">
        <f>FLOOR(tblPivotData[[#This Row],[Time]],Summary!$B$6/1440)</f>
        <v>0.70833333333333326</v>
      </c>
      <c r="I262" s="49">
        <f>INDEX(PeakCalc!$L$10:$L$303,MATCH(tblPivotData[[#This Row],[Time]],PeakCalc!$G$10:$G$303,0))</f>
        <v>1</v>
      </c>
    </row>
    <row r="263" spans="1:9" x14ac:dyDescent="0.25">
      <c r="A263" t="s">
        <v>94</v>
      </c>
      <c r="B263" t="s">
        <v>99</v>
      </c>
      <c r="C263" t="s">
        <v>96</v>
      </c>
      <c r="D263" t="s">
        <v>90</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99</v>
      </c>
      <c r="C264" t="s">
        <v>96</v>
      </c>
      <c r="D264" t="s">
        <v>90</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99</v>
      </c>
      <c r="C265" t="s">
        <v>96</v>
      </c>
      <c r="D265" t="s">
        <v>90</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99</v>
      </c>
      <c r="C266" t="s">
        <v>96</v>
      </c>
      <c r="D266" t="s">
        <v>90</v>
      </c>
      <c r="E266" t="s">
        <v>44</v>
      </c>
      <c r="F266" s="6">
        <v>0.75</v>
      </c>
      <c r="G266">
        <v>0</v>
      </c>
      <c r="H266" s="6">
        <f>FLOOR(tblPivotData[[#This Row],[Time]],Summary!$B$6/1440)</f>
        <v>0.75</v>
      </c>
      <c r="I266" s="49">
        <f>INDEX(PeakCalc!$L$10:$L$303,MATCH(tblPivotData[[#This Row],[Time]],PeakCalc!$G$10:$G$303,0))</f>
        <v>0</v>
      </c>
    </row>
    <row r="267" spans="1:9" x14ac:dyDescent="0.25">
      <c r="A267" t="s">
        <v>94</v>
      </c>
      <c r="B267" t="s">
        <v>99</v>
      </c>
      <c r="C267" t="s">
        <v>96</v>
      </c>
      <c r="D267" t="s">
        <v>90</v>
      </c>
      <c r="E267" t="s">
        <v>44</v>
      </c>
      <c r="F267" s="6">
        <v>0.76041666666666663</v>
      </c>
      <c r="G267">
        <v>0</v>
      </c>
      <c r="H267" s="6">
        <f>FLOOR(tblPivotData[[#This Row],[Time]],Summary!$B$6/1440)</f>
        <v>0.76041666666666663</v>
      </c>
      <c r="I267" s="49">
        <f>INDEX(PeakCalc!$L$10:$L$303,MATCH(tblPivotData[[#This Row],[Time]],PeakCalc!$G$10:$G$303,0))</f>
        <v>0</v>
      </c>
    </row>
    <row r="268" spans="1:9" x14ac:dyDescent="0.25">
      <c r="A268" t="s">
        <v>94</v>
      </c>
      <c r="B268" t="s">
        <v>99</v>
      </c>
      <c r="C268" t="s">
        <v>96</v>
      </c>
      <c r="D268" t="s">
        <v>91</v>
      </c>
      <c r="E268" t="s">
        <v>43</v>
      </c>
      <c r="F268" s="6">
        <v>0.27083333333333331</v>
      </c>
      <c r="G268">
        <v>2</v>
      </c>
      <c r="H268" s="6">
        <f>FLOOR(tblPivotData[[#This Row],[Time]],Summary!$B$6/1440)</f>
        <v>0.27083333333333331</v>
      </c>
      <c r="I268" s="49">
        <f>INDEX(PeakCalc!$L$10:$L$303,MATCH(tblPivotData[[#This Row],[Time]],PeakCalc!$G$10:$G$303,0))</f>
        <v>0</v>
      </c>
    </row>
    <row r="269" spans="1:9" x14ac:dyDescent="0.25">
      <c r="A269" t="s">
        <v>94</v>
      </c>
      <c r="B269" t="s">
        <v>99</v>
      </c>
      <c r="C269" t="s">
        <v>96</v>
      </c>
      <c r="D269" t="s">
        <v>91</v>
      </c>
      <c r="E269" t="s">
        <v>43</v>
      </c>
      <c r="F269" s="6">
        <v>0.28125</v>
      </c>
      <c r="G269">
        <v>3</v>
      </c>
      <c r="H269" s="6">
        <f>FLOOR(tblPivotData[[#This Row],[Time]],Summary!$B$6/1440)</f>
        <v>0.28125</v>
      </c>
      <c r="I269" s="49">
        <f>INDEX(PeakCalc!$L$10:$L$303,MATCH(tblPivotData[[#This Row],[Time]],PeakCalc!$G$10:$G$303,0))</f>
        <v>0</v>
      </c>
    </row>
    <row r="270" spans="1:9" x14ac:dyDescent="0.25">
      <c r="A270" t="s">
        <v>94</v>
      </c>
      <c r="B270" t="s">
        <v>99</v>
      </c>
      <c r="C270" t="s">
        <v>96</v>
      </c>
      <c r="D270" t="s">
        <v>91</v>
      </c>
      <c r="E270" t="s">
        <v>43</v>
      </c>
      <c r="F270" s="6">
        <v>0.29166666666666669</v>
      </c>
      <c r="G270">
        <v>4</v>
      </c>
      <c r="H270" s="6">
        <f>FLOOR(tblPivotData[[#This Row],[Time]],Summary!$B$6/1440)</f>
        <v>0.29166666666666663</v>
      </c>
      <c r="I270" s="49">
        <f>INDEX(PeakCalc!$L$10:$L$303,MATCH(tblPivotData[[#This Row],[Time]],PeakCalc!$G$10:$G$303,0))</f>
        <v>0</v>
      </c>
    </row>
    <row r="271" spans="1:9" x14ac:dyDescent="0.25">
      <c r="A271" t="s">
        <v>94</v>
      </c>
      <c r="B271" t="s">
        <v>99</v>
      </c>
      <c r="C271" t="s">
        <v>96</v>
      </c>
      <c r="D271" t="s">
        <v>91</v>
      </c>
      <c r="E271" t="s">
        <v>43</v>
      </c>
      <c r="F271" s="6">
        <v>0.30208333333333331</v>
      </c>
      <c r="G271">
        <v>4</v>
      </c>
      <c r="H271" s="6">
        <f>FLOOR(tblPivotData[[#This Row],[Time]],Summary!$B$6/1440)</f>
        <v>0.30208333333333331</v>
      </c>
      <c r="I271" s="49">
        <f>INDEX(PeakCalc!$L$10:$L$303,MATCH(tblPivotData[[#This Row],[Time]],PeakCalc!$G$10:$G$303,0))</f>
        <v>0</v>
      </c>
    </row>
    <row r="272" spans="1:9" x14ac:dyDescent="0.25">
      <c r="A272" t="s">
        <v>94</v>
      </c>
      <c r="B272" t="s">
        <v>99</v>
      </c>
      <c r="C272" t="s">
        <v>96</v>
      </c>
      <c r="D272" t="s">
        <v>91</v>
      </c>
      <c r="E272" t="s">
        <v>43</v>
      </c>
      <c r="F272" s="6">
        <v>0.3125</v>
      </c>
      <c r="G272">
        <v>1</v>
      </c>
      <c r="H272" s="6">
        <f>FLOOR(tblPivotData[[#This Row],[Time]],Summary!$B$6/1440)</f>
        <v>0.3125</v>
      </c>
      <c r="I272" s="49">
        <f>INDEX(PeakCalc!$L$10:$L$303,MATCH(tblPivotData[[#This Row],[Time]],PeakCalc!$G$10:$G$303,0))</f>
        <v>0</v>
      </c>
    </row>
    <row r="273" spans="1:9" x14ac:dyDescent="0.25">
      <c r="A273" t="s">
        <v>94</v>
      </c>
      <c r="B273" t="s">
        <v>99</v>
      </c>
      <c r="C273" t="s">
        <v>96</v>
      </c>
      <c r="D273" t="s">
        <v>91</v>
      </c>
      <c r="E273" t="s">
        <v>43</v>
      </c>
      <c r="F273" s="6">
        <v>0.32291666666666669</v>
      </c>
      <c r="G273">
        <v>3</v>
      </c>
      <c r="H273" s="6">
        <f>FLOOR(tblPivotData[[#This Row],[Time]],Summary!$B$6/1440)</f>
        <v>0.32291666666666663</v>
      </c>
      <c r="I273" s="49">
        <f>INDEX(PeakCalc!$L$10:$L$303,MATCH(tblPivotData[[#This Row],[Time]],PeakCalc!$G$10:$G$303,0))</f>
        <v>1</v>
      </c>
    </row>
    <row r="274" spans="1:9" x14ac:dyDescent="0.25">
      <c r="A274" t="s">
        <v>94</v>
      </c>
      <c r="B274" t="s">
        <v>99</v>
      </c>
      <c r="C274" t="s">
        <v>96</v>
      </c>
      <c r="D274" t="s">
        <v>91</v>
      </c>
      <c r="E274" t="s">
        <v>43</v>
      </c>
      <c r="F274" s="6">
        <v>0.33333333333333331</v>
      </c>
      <c r="G274">
        <v>2</v>
      </c>
      <c r="H274" s="6">
        <f>FLOOR(tblPivotData[[#This Row],[Time]],Summary!$B$6/1440)</f>
        <v>0.33333333333333331</v>
      </c>
      <c r="I274" s="49">
        <f>INDEX(PeakCalc!$L$10:$L$303,MATCH(tblPivotData[[#This Row],[Time]],PeakCalc!$G$10:$G$303,0))</f>
        <v>1</v>
      </c>
    </row>
    <row r="275" spans="1:9" x14ac:dyDescent="0.25">
      <c r="A275" t="s">
        <v>94</v>
      </c>
      <c r="B275" t="s">
        <v>99</v>
      </c>
      <c r="C275" t="s">
        <v>96</v>
      </c>
      <c r="D275" t="s">
        <v>91</v>
      </c>
      <c r="E275" t="s">
        <v>43</v>
      </c>
      <c r="F275" s="6">
        <v>0.34375</v>
      </c>
      <c r="G275">
        <v>4</v>
      </c>
      <c r="H275" s="6">
        <f>FLOOR(tblPivotData[[#This Row],[Time]],Summary!$B$6/1440)</f>
        <v>0.34375</v>
      </c>
      <c r="I275" s="49">
        <f>INDEX(PeakCalc!$L$10:$L$303,MATCH(tblPivotData[[#This Row],[Time]],PeakCalc!$G$10:$G$303,0))</f>
        <v>1</v>
      </c>
    </row>
    <row r="276" spans="1:9" x14ac:dyDescent="0.25">
      <c r="A276" t="s">
        <v>94</v>
      </c>
      <c r="B276" t="s">
        <v>99</v>
      </c>
      <c r="C276" t="s">
        <v>96</v>
      </c>
      <c r="D276" t="s">
        <v>91</v>
      </c>
      <c r="E276" t="s">
        <v>43</v>
      </c>
      <c r="F276" s="6">
        <v>0.35416666666666669</v>
      </c>
      <c r="G276">
        <v>2</v>
      </c>
      <c r="H276" s="6">
        <f>FLOOR(tblPivotData[[#This Row],[Time]],Summary!$B$6/1440)</f>
        <v>0.35416666666666663</v>
      </c>
      <c r="I276" s="49">
        <f>INDEX(PeakCalc!$L$10:$L$303,MATCH(tblPivotData[[#This Row],[Time]],PeakCalc!$G$10:$G$303,0))</f>
        <v>1</v>
      </c>
    </row>
    <row r="277" spans="1:9" x14ac:dyDescent="0.25">
      <c r="A277" t="s">
        <v>94</v>
      </c>
      <c r="B277" t="s">
        <v>99</v>
      </c>
      <c r="C277" t="s">
        <v>96</v>
      </c>
      <c r="D277" t="s">
        <v>91</v>
      </c>
      <c r="E277" t="s">
        <v>43</v>
      </c>
      <c r="F277" s="6">
        <v>0.36458333333333331</v>
      </c>
      <c r="G277">
        <v>3</v>
      </c>
      <c r="H277" s="6">
        <f>FLOOR(tblPivotData[[#This Row],[Time]],Summary!$B$6/1440)</f>
        <v>0.36458333333333331</v>
      </c>
      <c r="I277" s="49">
        <f>INDEX(PeakCalc!$L$10:$L$303,MATCH(tblPivotData[[#This Row],[Time]],PeakCalc!$G$10:$G$303,0))</f>
        <v>0</v>
      </c>
    </row>
    <row r="278" spans="1:9" x14ac:dyDescent="0.25">
      <c r="A278" t="s">
        <v>94</v>
      </c>
      <c r="B278" t="s">
        <v>99</v>
      </c>
      <c r="C278" t="s">
        <v>96</v>
      </c>
      <c r="D278" t="s">
        <v>91</v>
      </c>
      <c r="E278" t="s">
        <v>43</v>
      </c>
      <c r="F278" s="6">
        <v>0.375</v>
      </c>
      <c r="G278">
        <v>3</v>
      </c>
      <c r="H278" s="6">
        <f>FLOOR(tblPivotData[[#This Row],[Time]],Summary!$B$6/1440)</f>
        <v>0.375</v>
      </c>
      <c r="I278" s="49">
        <f>INDEX(PeakCalc!$L$10:$L$303,MATCH(tblPivotData[[#This Row],[Time]],PeakCalc!$G$10:$G$303,0))</f>
        <v>0</v>
      </c>
    </row>
    <row r="279" spans="1:9" x14ac:dyDescent="0.25">
      <c r="A279" t="s">
        <v>94</v>
      </c>
      <c r="B279" t="s">
        <v>99</v>
      </c>
      <c r="C279" t="s">
        <v>96</v>
      </c>
      <c r="D279" t="s">
        <v>91</v>
      </c>
      <c r="E279" t="s">
        <v>43</v>
      </c>
      <c r="F279" s="6">
        <v>0.38541666666666669</v>
      </c>
      <c r="G279">
        <v>2</v>
      </c>
      <c r="H279" s="6">
        <f>FLOOR(tblPivotData[[#This Row],[Time]],Summary!$B$6/1440)</f>
        <v>0.38541666666666663</v>
      </c>
      <c r="I279" s="49">
        <f>INDEX(PeakCalc!$L$10:$L$303,MATCH(tblPivotData[[#This Row],[Time]],PeakCalc!$G$10:$G$303,0))</f>
        <v>0</v>
      </c>
    </row>
    <row r="280" spans="1:9" x14ac:dyDescent="0.25">
      <c r="A280" t="s">
        <v>94</v>
      </c>
      <c r="B280" t="s">
        <v>99</v>
      </c>
      <c r="C280" t="s">
        <v>96</v>
      </c>
      <c r="D280" t="s">
        <v>91</v>
      </c>
      <c r="E280" t="s">
        <v>110</v>
      </c>
      <c r="F280" s="6">
        <v>0.45833333333333331</v>
      </c>
      <c r="G280">
        <v>1</v>
      </c>
      <c r="H280" s="6">
        <f>FLOOR(tblPivotData[[#This Row],[Time]],Summary!$B$6/1440)</f>
        <v>0.45833333333333331</v>
      </c>
      <c r="I280" s="49">
        <f>INDEX(PeakCalc!$L$10:$L$303,MATCH(tblPivotData[[#This Row],[Time]],PeakCalc!$G$10:$G$303,0))</f>
        <v>0</v>
      </c>
    </row>
    <row r="281" spans="1:9" x14ac:dyDescent="0.25">
      <c r="A281" t="s">
        <v>94</v>
      </c>
      <c r="B281" t="s">
        <v>99</v>
      </c>
      <c r="C281" t="s">
        <v>96</v>
      </c>
      <c r="D281" t="s">
        <v>91</v>
      </c>
      <c r="E281" t="s">
        <v>110</v>
      </c>
      <c r="F281" s="6">
        <v>0.46875</v>
      </c>
      <c r="G281">
        <v>0</v>
      </c>
      <c r="H281" s="6">
        <f>FLOOR(tblPivotData[[#This Row],[Time]],Summary!$B$6/1440)</f>
        <v>0.46875</v>
      </c>
      <c r="I281" s="49">
        <f>INDEX(PeakCalc!$L$10:$L$303,MATCH(tblPivotData[[#This Row],[Time]],PeakCalc!$G$10:$G$303,0))</f>
        <v>0</v>
      </c>
    </row>
    <row r="282" spans="1:9" x14ac:dyDescent="0.25">
      <c r="A282" t="s">
        <v>94</v>
      </c>
      <c r="B282" t="s">
        <v>99</v>
      </c>
      <c r="C282" t="s">
        <v>96</v>
      </c>
      <c r="D282" t="s">
        <v>91</v>
      </c>
      <c r="E282" t="s">
        <v>110</v>
      </c>
      <c r="F282" s="6">
        <v>0.47916666666666669</v>
      </c>
      <c r="G282">
        <v>2</v>
      </c>
      <c r="H282" s="6">
        <f>FLOOR(tblPivotData[[#This Row],[Time]],Summary!$B$6/1440)</f>
        <v>0.47916666666666663</v>
      </c>
      <c r="I282" s="49">
        <f>INDEX(PeakCalc!$L$10:$L$303,MATCH(tblPivotData[[#This Row],[Time]],PeakCalc!$G$10:$G$303,0))</f>
        <v>0</v>
      </c>
    </row>
    <row r="283" spans="1:9" x14ac:dyDescent="0.25">
      <c r="A283" t="s">
        <v>94</v>
      </c>
      <c r="B283" t="s">
        <v>99</v>
      </c>
      <c r="C283" t="s">
        <v>96</v>
      </c>
      <c r="D283" t="s">
        <v>91</v>
      </c>
      <c r="E283" t="s">
        <v>110</v>
      </c>
      <c r="F283" s="6">
        <v>0.48958333333333331</v>
      </c>
      <c r="G283">
        <v>3</v>
      </c>
      <c r="H283" s="6">
        <f>FLOOR(tblPivotData[[#This Row],[Time]],Summary!$B$6/1440)</f>
        <v>0.48958333333333331</v>
      </c>
      <c r="I283" s="49">
        <f>INDEX(PeakCalc!$L$10:$L$303,MATCH(tblPivotData[[#This Row],[Time]],PeakCalc!$G$10:$G$303,0))</f>
        <v>0</v>
      </c>
    </row>
    <row r="284" spans="1:9" x14ac:dyDescent="0.25">
      <c r="A284" t="s">
        <v>94</v>
      </c>
      <c r="B284" t="s">
        <v>99</v>
      </c>
      <c r="C284" t="s">
        <v>96</v>
      </c>
      <c r="D284" t="s">
        <v>91</v>
      </c>
      <c r="E284" t="s">
        <v>110</v>
      </c>
      <c r="F284" s="6">
        <v>0.5</v>
      </c>
      <c r="G284">
        <v>0</v>
      </c>
      <c r="H284" s="6">
        <f>FLOOR(tblPivotData[[#This Row],[Time]],Summary!$B$6/1440)</f>
        <v>0.5</v>
      </c>
      <c r="I284" s="49">
        <f>INDEX(PeakCalc!$L$10:$L$303,MATCH(tblPivotData[[#This Row],[Time]],PeakCalc!$G$10:$G$303,0))</f>
        <v>0</v>
      </c>
    </row>
    <row r="285" spans="1:9" x14ac:dyDescent="0.25">
      <c r="A285" t="s">
        <v>94</v>
      </c>
      <c r="B285" t="s">
        <v>99</v>
      </c>
      <c r="C285" t="s">
        <v>96</v>
      </c>
      <c r="D285" t="s">
        <v>91</v>
      </c>
      <c r="E285" t="s">
        <v>110</v>
      </c>
      <c r="F285" s="6">
        <v>0.51041666666666663</v>
      </c>
      <c r="G285">
        <v>0</v>
      </c>
      <c r="H285" s="6">
        <f>FLOOR(tblPivotData[[#This Row],[Time]],Summary!$B$6/1440)</f>
        <v>0.51041666666666663</v>
      </c>
      <c r="I285" s="49">
        <f>INDEX(PeakCalc!$L$10:$L$303,MATCH(tblPivotData[[#This Row],[Time]],PeakCalc!$G$10:$G$303,0))</f>
        <v>0</v>
      </c>
    </row>
    <row r="286" spans="1:9" x14ac:dyDescent="0.25">
      <c r="A286" t="s">
        <v>94</v>
      </c>
      <c r="B286" t="s">
        <v>99</v>
      </c>
      <c r="C286" t="s">
        <v>96</v>
      </c>
      <c r="D286" t="s">
        <v>91</v>
      </c>
      <c r="E286" t="s">
        <v>110</v>
      </c>
      <c r="F286" s="6">
        <v>0.52083333333333337</v>
      </c>
      <c r="G286">
        <v>1</v>
      </c>
      <c r="H286" s="6">
        <f>FLOOR(tblPivotData[[#This Row],[Time]],Summary!$B$6/1440)</f>
        <v>0.52083333333333326</v>
      </c>
      <c r="I286" s="49">
        <f>INDEX(PeakCalc!$L$10:$L$303,MATCH(tblPivotData[[#This Row],[Time]],PeakCalc!$G$10:$G$303,0))</f>
        <v>1</v>
      </c>
    </row>
    <row r="287" spans="1:9" x14ac:dyDescent="0.25">
      <c r="A287" t="s">
        <v>94</v>
      </c>
      <c r="B287" t="s">
        <v>99</v>
      </c>
      <c r="C287" t="s">
        <v>96</v>
      </c>
      <c r="D287" t="s">
        <v>91</v>
      </c>
      <c r="E287" t="s">
        <v>110</v>
      </c>
      <c r="F287" s="6">
        <v>0.53125</v>
      </c>
      <c r="G287">
        <v>2</v>
      </c>
      <c r="H287" s="6">
        <f>FLOOR(tblPivotData[[#This Row],[Time]],Summary!$B$6/1440)</f>
        <v>0.53125</v>
      </c>
      <c r="I287" s="49">
        <f>INDEX(PeakCalc!$L$10:$L$303,MATCH(tblPivotData[[#This Row],[Time]],PeakCalc!$G$10:$G$303,0))</f>
        <v>1</v>
      </c>
    </row>
    <row r="288" spans="1:9" x14ac:dyDescent="0.25">
      <c r="A288" t="s">
        <v>94</v>
      </c>
      <c r="B288" t="s">
        <v>99</v>
      </c>
      <c r="C288" t="s">
        <v>96</v>
      </c>
      <c r="D288" t="s">
        <v>91</v>
      </c>
      <c r="E288" t="s">
        <v>110</v>
      </c>
      <c r="F288" s="6">
        <v>0.54166666666666663</v>
      </c>
      <c r="G288">
        <v>0</v>
      </c>
      <c r="H288" s="6">
        <f>FLOOR(tblPivotData[[#This Row],[Time]],Summary!$B$6/1440)</f>
        <v>0.54166666666666663</v>
      </c>
      <c r="I288" s="49">
        <f>INDEX(PeakCalc!$L$10:$L$303,MATCH(tblPivotData[[#This Row],[Time]],PeakCalc!$G$10:$G$303,0))</f>
        <v>1</v>
      </c>
    </row>
    <row r="289" spans="1:9" x14ac:dyDescent="0.25">
      <c r="A289" t="s">
        <v>94</v>
      </c>
      <c r="B289" t="s">
        <v>99</v>
      </c>
      <c r="C289" t="s">
        <v>96</v>
      </c>
      <c r="D289" t="s">
        <v>91</v>
      </c>
      <c r="E289" t="s">
        <v>110</v>
      </c>
      <c r="F289" s="6">
        <v>0.55208333333333337</v>
      </c>
      <c r="G289">
        <v>1</v>
      </c>
      <c r="H289" s="6">
        <f>FLOOR(tblPivotData[[#This Row],[Time]],Summary!$B$6/1440)</f>
        <v>0.55208333333333326</v>
      </c>
      <c r="I289" s="49">
        <f>INDEX(PeakCalc!$L$10:$L$303,MATCH(tblPivotData[[#This Row],[Time]],PeakCalc!$G$10:$G$303,0))</f>
        <v>1</v>
      </c>
    </row>
    <row r="290" spans="1:9" x14ac:dyDescent="0.25">
      <c r="A290" t="s">
        <v>94</v>
      </c>
      <c r="B290" t="s">
        <v>99</v>
      </c>
      <c r="C290" t="s">
        <v>96</v>
      </c>
      <c r="D290" t="s">
        <v>91</v>
      </c>
      <c r="E290" t="s">
        <v>110</v>
      </c>
      <c r="F290" s="6">
        <v>0.5625</v>
      </c>
      <c r="G290">
        <v>2</v>
      </c>
      <c r="H290" s="6">
        <f>FLOOR(tblPivotData[[#This Row],[Time]],Summary!$B$6/1440)</f>
        <v>0.5625</v>
      </c>
      <c r="I290" s="49">
        <f>INDEX(PeakCalc!$L$10:$L$303,MATCH(tblPivotData[[#This Row],[Time]],PeakCalc!$G$10:$G$303,0))</f>
        <v>0</v>
      </c>
    </row>
    <row r="291" spans="1:9" x14ac:dyDescent="0.25">
      <c r="A291" t="s">
        <v>94</v>
      </c>
      <c r="B291" t="s">
        <v>99</v>
      </c>
      <c r="C291" t="s">
        <v>96</v>
      </c>
      <c r="D291" t="s">
        <v>91</v>
      </c>
      <c r="E291" t="s">
        <v>110</v>
      </c>
      <c r="F291" s="6">
        <v>0.57291666666666663</v>
      </c>
      <c r="G291">
        <v>1</v>
      </c>
      <c r="H291" s="6">
        <f>FLOOR(tblPivotData[[#This Row],[Time]],Summary!$B$6/1440)</f>
        <v>0.57291666666666663</v>
      </c>
      <c r="I291" s="49">
        <f>INDEX(PeakCalc!$L$10:$L$303,MATCH(tblPivotData[[#This Row],[Time]],PeakCalc!$G$10:$G$303,0))</f>
        <v>0</v>
      </c>
    </row>
    <row r="292" spans="1:9" x14ac:dyDescent="0.25">
      <c r="A292" t="s">
        <v>94</v>
      </c>
      <c r="B292" t="s">
        <v>99</v>
      </c>
      <c r="C292" t="s">
        <v>96</v>
      </c>
      <c r="D292" t="s">
        <v>91</v>
      </c>
      <c r="E292" t="s">
        <v>44</v>
      </c>
      <c r="F292" s="6">
        <v>0.625</v>
      </c>
      <c r="G292">
        <v>3</v>
      </c>
      <c r="H292" s="6">
        <f>FLOOR(tblPivotData[[#This Row],[Time]],Summary!$B$6/1440)</f>
        <v>0.625</v>
      </c>
      <c r="I292" s="49">
        <f>INDEX(PeakCalc!$L$10:$L$303,MATCH(tblPivotData[[#This Row],[Time]],PeakCalc!$G$10:$G$303,0))</f>
        <v>0</v>
      </c>
    </row>
    <row r="293" spans="1:9" x14ac:dyDescent="0.25">
      <c r="A293" t="s">
        <v>94</v>
      </c>
      <c r="B293" t="s">
        <v>99</v>
      </c>
      <c r="C293" t="s">
        <v>96</v>
      </c>
      <c r="D293" t="s">
        <v>91</v>
      </c>
      <c r="E293" t="s">
        <v>44</v>
      </c>
      <c r="F293" s="6">
        <v>0.63541666666666663</v>
      </c>
      <c r="G293">
        <v>1</v>
      </c>
      <c r="H293" s="6">
        <f>FLOOR(tblPivotData[[#This Row],[Time]],Summary!$B$6/1440)</f>
        <v>0.63541666666666663</v>
      </c>
      <c r="I293" s="49">
        <f>INDEX(PeakCalc!$L$10:$L$303,MATCH(tblPivotData[[#This Row],[Time]],PeakCalc!$G$10:$G$303,0))</f>
        <v>0</v>
      </c>
    </row>
    <row r="294" spans="1:9" x14ac:dyDescent="0.25">
      <c r="A294" t="s">
        <v>94</v>
      </c>
      <c r="B294" t="s">
        <v>99</v>
      </c>
      <c r="C294" t="s">
        <v>96</v>
      </c>
      <c r="D294" t="s">
        <v>91</v>
      </c>
      <c r="E294" t="s">
        <v>44</v>
      </c>
      <c r="F294" s="6">
        <v>0.64583333333333337</v>
      </c>
      <c r="G294">
        <v>2</v>
      </c>
      <c r="H294" s="6">
        <f>FLOOR(tblPivotData[[#This Row],[Time]],Summary!$B$6/1440)</f>
        <v>0.64583333333333326</v>
      </c>
      <c r="I294" s="49">
        <f>INDEX(PeakCalc!$L$10:$L$303,MATCH(tblPivotData[[#This Row],[Time]],PeakCalc!$G$10:$G$303,0))</f>
        <v>0</v>
      </c>
    </row>
    <row r="295" spans="1:9" x14ac:dyDescent="0.25">
      <c r="A295" t="s">
        <v>94</v>
      </c>
      <c r="B295" t="s">
        <v>99</v>
      </c>
      <c r="C295" t="s">
        <v>96</v>
      </c>
      <c r="D295" t="s">
        <v>91</v>
      </c>
      <c r="E295" t="s">
        <v>44</v>
      </c>
      <c r="F295" s="6">
        <v>0.65625</v>
      </c>
      <c r="G295">
        <v>1</v>
      </c>
      <c r="H295" s="6">
        <f>FLOOR(tblPivotData[[#This Row],[Time]],Summary!$B$6/1440)</f>
        <v>0.65625</v>
      </c>
      <c r="I295" s="49">
        <f>INDEX(PeakCalc!$L$10:$L$303,MATCH(tblPivotData[[#This Row],[Time]],PeakCalc!$G$10:$G$303,0))</f>
        <v>0</v>
      </c>
    </row>
    <row r="296" spans="1:9" x14ac:dyDescent="0.25">
      <c r="A296" t="s">
        <v>94</v>
      </c>
      <c r="B296" t="s">
        <v>99</v>
      </c>
      <c r="C296" t="s">
        <v>96</v>
      </c>
      <c r="D296" t="s">
        <v>91</v>
      </c>
      <c r="E296" t="s">
        <v>44</v>
      </c>
      <c r="F296" s="6">
        <v>0.66666666666666663</v>
      </c>
      <c r="G296">
        <v>0</v>
      </c>
      <c r="H296" s="6">
        <f>FLOOR(tblPivotData[[#This Row],[Time]],Summary!$B$6/1440)</f>
        <v>0.66666666666666663</v>
      </c>
      <c r="I296" s="49">
        <f>INDEX(PeakCalc!$L$10:$L$303,MATCH(tblPivotData[[#This Row],[Time]],PeakCalc!$G$10:$G$303,0))</f>
        <v>0</v>
      </c>
    </row>
    <row r="297" spans="1:9" x14ac:dyDescent="0.25">
      <c r="A297" t="s">
        <v>94</v>
      </c>
      <c r="B297" t="s">
        <v>99</v>
      </c>
      <c r="C297" t="s">
        <v>96</v>
      </c>
      <c r="D297" t="s">
        <v>91</v>
      </c>
      <c r="E297" t="s">
        <v>44</v>
      </c>
      <c r="F297" s="6">
        <v>0.67708333333333337</v>
      </c>
      <c r="G297">
        <v>0</v>
      </c>
      <c r="H297" s="6">
        <f>FLOOR(tblPivotData[[#This Row],[Time]],Summary!$B$6/1440)</f>
        <v>0.67708333333333326</v>
      </c>
      <c r="I297" s="49">
        <f>INDEX(PeakCalc!$L$10:$L$303,MATCH(tblPivotData[[#This Row],[Time]],PeakCalc!$G$10:$G$303,0))</f>
        <v>0</v>
      </c>
    </row>
    <row r="298" spans="1:9" x14ac:dyDescent="0.25">
      <c r="A298" t="s">
        <v>94</v>
      </c>
      <c r="B298" t="s">
        <v>99</v>
      </c>
      <c r="C298" t="s">
        <v>96</v>
      </c>
      <c r="D298" t="s">
        <v>91</v>
      </c>
      <c r="E298" t="s">
        <v>44</v>
      </c>
      <c r="F298" s="6">
        <v>0.6875</v>
      </c>
      <c r="G298">
        <v>1</v>
      </c>
      <c r="H298" s="6">
        <f>FLOOR(tblPivotData[[#This Row],[Time]],Summary!$B$6/1440)</f>
        <v>0.6875</v>
      </c>
      <c r="I298" s="49">
        <f>INDEX(PeakCalc!$L$10:$L$303,MATCH(tblPivotData[[#This Row],[Time]],PeakCalc!$G$10:$G$303,0))</f>
        <v>1</v>
      </c>
    </row>
    <row r="299" spans="1:9" x14ac:dyDescent="0.25">
      <c r="A299" t="s">
        <v>94</v>
      </c>
      <c r="B299" t="s">
        <v>99</v>
      </c>
      <c r="C299" t="s">
        <v>96</v>
      </c>
      <c r="D299" t="s">
        <v>91</v>
      </c>
      <c r="E299" t="s">
        <v>44</v>
      </c>
      <c r="F299" s="6">
        <v>0.69791666666666663</v>
      </c>
      <c r="G299">
        <v>2</v>
      </c>
      <c r="H299" s="6">
        <f>FLOOR(tblPivotData[[#This Row],[Time]],Summary!$B$6/1440)</f>
        <v>0.69791666666666663</v>
      </c>
      <c r="I299" s="49">
        <f>INDEX(PeakCalc!$L$10:$L$303,MATCH(tblPivotData[[#This Row],[Time]],PeakCalc!$G$10:$G$303,0))</f>
        <v>1</v>
      </c>
    </row>
    <row r="300" spans="1:9" x14ac:dyDescent="0.25">
      <c r="A300" t="s">
        <v>94</v>
      </c>
      <c r="B300" t="s">
        <v>99</v>
      </c>
      <c r="C300" t="s">
        <v>96</v>
      </c>
      <c r="D300" t="s">
        <v>91</v>
      </c>
      <c r="E300" t="s">
        <v>44</v>
      </c>
      <c r="F300" s="6">
        <v>0.70833333333333337</v>
      </c>
      <c r="G300">
        <v>1</v>
      </c>
      <c r="H300" s="6">
        <f>FLOOR(tblPivotData[[#This Row],[Time]],Summary!$B$6/1440)</f>
        <v>0.70833333333333326</v>
      </c>
      <c r="I300" s="49">
        <f>INDEX(PeakCalc!$L$10:$L$303,MATCH(tblPivotData[[#This Row],[Time]],PeakCalc!$G$10:$G$303,0))</f>
        <v>1</v>
      </c>
    </row>
    <row r="301" spans="1:9" x14ac:dyDescent="0.25">
      <c r="A301" t="s">
        <v>94</v>
      </c>
      <c r="B301" t="s">
        <v>99</v>
      </c>
      <c r="C301" t="s">
        <v>96</v>
      </c>
      <c r="D301" t="s">
        <v>91</v>
      </c>
      <c r="E301" t="s">
        <v>44</v>
      </c>
      <c r="F301" s="6">
        <v>0.71875</v>
      </c>
      <c r="G301">
        <v>1</v>
      </c>
      <c r="H301" s="6">
        <f>FLOOR(tblPivotData[[#This Row],[Time]],Summary!$B$6/1440)</f>
        <v>0.71875</v>
      </c>
      <c r="I301" s="49">
        <f>INDEX(PeakCalc!$L$10:$L$303,MATCH(tblPivotData[[#This Row],[Time]],PeakCalc!$G$10:$G$303,0))</f>
        <v>1</v>
      </c>
    </row>
    <row r="302" spans="1:9" x14ac:dyDescent="0.25">
      <c r="A302" t="s">
        <v>94</v>
      </c>
      <c r="B302" t="s">
        <v>99</v>
      </c>
      <c r="C302" t="s">
        <v>96</v>
      </c>
      <c r="D302" t="s">
        <v>91</v>
      </c>
      <c r="E302" t="s">
        <v>44</v>
      </c>
      <c r="F302" s="6">
        <v>0.72916666666666663</v>
      </c>
      <c r="G302">
        <v>0</v>
      </c>
      <c r="H302" s="6">
        <f>FLOOR(tblPivotData[[#This Row],[Time]],Summary!$B$6/1440)</f>
        <v>0.72916666666666663</v>
      </c>
      <c r="I302" s="49">
        <f>INDEX(PeakCalc!$L$10:$L$303,MATCH(tblPivotData[[#This Row],[Time]],PeakCalc!$G$10:$G$303,0))</f>
        <v>0</v>
      </c>
    </row>
    <row r="303" spans="1:9" x14ac:dyDescent="0.25">
      <c r="A303" t="s">
        <v>94</v>
      </c>
      <c r="B303" t="s">
        <v>99</v>
      </c>
      <c r="C303" t="s">
        <v>96</v>
      </c>
      <c r="D303" t="s">
        <v>91</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94</v>
      </c>
      <c r="B304" t="s">
        <v>99</v>
      </c>
      <c r="C304" t="s">
        <v>96</v>
      </c>
      <c r="D304" t="s">
        <v>91</v>
      </c>
      <c r="E304" t="s">
        <v>44</v>
      </c>
      <c r="F304" s="6">
        <v>0.75</v>
      </c>
      <c r="G304">
        <v>0</v>
      </c>
      <c r="H304" s="6">
        <f>FLOOR(tblPivotData[[#This Row],[Time]],Summary!$B$6/1440)</f>
        <v>0.75</v>
      </c>
      <c r="I304" s="49">
        <f>INDEX(PeakCalc!$L$10:$L$303,MATCH(tblPivotData[[#This Row],[Time]],PeakCalc!$G$10:$G$303,0))</f>
        <v>0</v>
      </c>
    </row>
    <row r="305" spans="1:9" x14ac:dyDescent="0.25">
      <c r="A305" t="s">
        <v>94</v>
      </c>
      <c r="B305" t="s">
        <v>99</v>
      </c>
      <c r="C305" t="s">
        <v>96</v>
      </c>
      <c r="D305" t="s">
        <v>91</v>
      </c>
      <c r="E305" t="s">
        <v>44</v>
      </c>
      <c r="F305" s="6">
        <v>0.76041666666666663</v>
      </c>
      <c r="G305">
        <v>1</v>
      </c>
      <c r="H305" s="6">
        <f>FLOOR(tblPivotData[[#This Row],[Time]],Summary!$B$6/1440)</f>
        <v>0.76041666666666663</v>
      </c>
      <c r="I305" s="49">
        <f>INDEX(PeakCalc!$L$10:$L$303,MATCH(tblPivotData[[#This Row],[Time]],PeakCalc!$G$10:$G$303,0))</f>
        <v>0</v>
      </c>
    </row>
    <row r="306" spans="1:9" x14ac:dyDescent="0.25">
      <c r="A306" t="s">
        <v>94</v>
      </c>
      <c r="B306" t="s">
        <v>99</v>
      </c>
      <c r="C306" t="s">
        <v>96</v>
      </c>
      <c r="D306" t="s">
        <v>92</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94</v>
      </c>
      <c r="B307" t="s">
        <v>99</v>
      </c>
      <c r="C307" t="s">
        <v>96</v>
      </c>
      <c r="D307" t="s">
        <v>92</v>
      </c>
      <c r="E307" t="s">
        <v>43</v>
      </c>
      <c r="F307" s="6">
        <v>0.28125</v>
      </c>
      <c r="G307">
        <v>0</v>
      </c>
      <c r="H307" s="6">
        <f>FLOOR(tblPivotData[[#This Row],[Time]],Summary!$B$6/1440)</f>
        <v>0.28125</v>
      </c>
      <c r="I307" s="49">
        <f>INDEX(PeakCalc!$L$10:$L$303,MATCH(tblPivotData[[#This Row],[Time]],PeakCalc!$G$10:$G$303,0))</f>
        <v>0</v>
      </c>
    </row>
    <row r="308" spans="1:9" x14ac:dyDescent="0.25">
      <c r="A308" t="s">
        <v>94</v>
      </c>
      <c r="B308" t="s">
        <v>99</v>
      </c>
      <c r="C308" t="s">
        <v>96</v>
      </c>
      <c r="D308" t="s">
        <v>92</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94</v>
      </c>
      <c r="B309" t="s">
        <v>99</v>
      </c>
      <c r="C309" t="s">
        <v>96</v>
      </c>
      <c r="D309" t="s">
        <v>92</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94</v>
      </c>
      <c r="B310" t="s">
        <v>99</v>
      </c>
      <c r="C310" t="s">
        <v>96</v>
      </c>
      <c r="D310" t="s">
        <v>92</v>
      </c>
      <c r="E310" t="s">
        <v>43</v>
      </c>
      <c r="F310" s="6">
        <v>0.3125</v>
      </c>
      <c r="G310">
        <v>0</v>
      </c>
      <c r="H310" s="6">
        <f>FLOOR(tblPivotData[[#This Row],[Time]],Summary!$B$6/1440)</f>
        <v>0.3125</v>
      </c>
      <c r="I310" s="49">
        <f>INDEX(PeakCalc!$L$10:$L$303,MATCH(tblPivotData[[#This Row],[Time]],PeakCalc!$G$10:$G$303,0))</f>
        <v>0</v>
      </c>
    </row>
    <row r="311" spans="1:9" x14ac:dyDescent="0.25">
      <c r="A311" t="s">
        <v>94</v>
      </c>
      <c r="B311" t="s">
        <v>99</v>
      </c>
      <c r="C311" t="s">
        <v>96</v>
      </c>
      <c r="D311" t="s">
        <v>92</v>
      </c>
      <c r="E311" t="s">
        <v>43</v>
      </c>
      <c r="F311" s="6">
        <v>0.32291666666666669</v>
      </c>
      <c r="G311">
        <v>0</v>
      </c>
      <c r="H311" s="6">
        <f>FLOOR(tblPivotData[[#This Row],[Time]],Summary!$B$6/1440)</f>
        <v>0.32291666666666663</v>
      </c>
      <c r="I311" s="49">
        <f>INDEX(PeakCalc!$L$10:$L$303,MATCH(tblPivotData[[#This Row],[Time]],PeakCalc!$G$10:$G$303,0))</f>
        <v>1</v>
      </c>
    </row>
    <row r="312" spans="1:9" x14ac:dyDescent="0.25">
      <c r="A312" t="s">
        <v>94</v>
      </c>
      <c r="B312" t="s">
        <v>99</v>
      </c>
      <c r="C312" t="s">
        <v>96</v>
      </c>
      <c r="D312" t="s">
        <v>92</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94</v>
      </c>
      <c r="B313" t="s">
        <v>99</v>
      </c>
      <c r="C313" t="s">
        <v>96</v>
      </c>
      <c r="D313" t="s">
        <v>92</v>
      </c>
      <c r="E313" t="s">
        <v>43</v>
      </c>
      <c r="F313" s="6">
        <v>0.34375</v>
      </c>
      <c r="G313">
        <v>1</v>
      </c>
      <c r="H313" s="6">
        <f>FLOOR(tblPivotData[[#This Row],[Time]],Summary!$B$6/1440)</f>
        <v>0.34375</v>
      </c>
      <c r="I313" s="49">
        <f>INDEX(PeakCalc!$L$10:$L$303,MATCH(tblPivotData[[#This Row],[Time]],PeakCalc!$G$10:$G$303,0))</f>
        <v>1</v>
      </c>
    </row>
    <row r="314" spans="1:9" x14ac:dyDescent="0.25">
      <c r="A314" t="s">
        <v>94</v>
      </c>
      <c r="B314" t="s">
        <v>99</v>
      </c>
      <c r="C314" t="s">
        <v>96</v>
      </c>
      <c r="D314" t="s">
        <v>92</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94</v>
      </c>
      <c r="B315" t="s">
        <v>99</v>
      </c>
      <c r="C315" t="s">
        <v>96</v>
      </c>
      <c r="D315" t="s">
        <v>92</v>
      </c>
      <c r="E315" t="s">
        <v>43</v>
      </c>
      <c r="F315" s="6">
        <v>0.36458333333333331</v>
      </c>
      <c r="G315">
        <v>0</v>
      </c>
      <c r="H315" s="6">
        <f>FLOOR(tblPivotData[[#This Row],[Time]],Summary!$B$6/1440)</f>
        <v>0.36458333333333331</v>
      </c>
      <c r="I315" s="49">
        <f>INDEX(PeakCalc!$L$10:$L$303,MATCH(tblPivotData[[#This Row],[Time]],PeakCalc!$G$10:$G$303,0))</f>
        <v>0</v>
      </c>
    </row>
    <row r="316" spans="1:9" x14ac:dyDescent="0.25">
      <c r="A316" t="s">
        <v>94</v>
      </c>
      <c r="B316" t="s">
        <v>99</v>
      </c>
      <c r="C316" t="s">
        <v>96</v>
      </c>
      <c r="D316" t="s">
        <v>92</v>
      </c>
      <c r="E316" t="s">
        <v>43</v>
      </c>
      <c r="F316" s="6">
        <v>0.375</v>
      </c>
      <c r="G316">
        <v>1</v>
      </c>
      <c r="H316" s="6">
        <f>FLOOR(tblPivotData[[#This Row],[Time]],Summary!$B$6/1440)</f>
        <v>0.375</v>
      </c>
      <c r="I316" s="49">
        <f>INDEX(PeakCalc!$L$10:$L$303,MATCH(tblPivotData[[#This Row],[Time]],PeakCalc!$G$10:$G$303,0))</f>
        <v>0</v>
      </c>
    </row>
    <row r="317" spans="1:9" x14ac:dyDescent="0.25">
      <c r="A317" t="s">
        <v>94</v>
      </c>
      <c r="B317" t="s">
        <v>99</v>
      </c>
      <c r="C317" t="s">
        <v>96</v>
      </c>
      <c r="D317" t="s">
        <v>92</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94</v>
      </c>
      <c r="B318" t="s">
        <v>99</v>
      </c>
      <c r="C318" t="s">
        <v>96</v>
      </c>
      <c r="D318" t="s">
        <v>92</v>
      </c>
      <c r="E318" t="s">
        <v>110</v>
      </c>
      <c r="F318" s="6">
        <v>0.45833333333333331</v>
      </c>
      <c r="G318">
        <v>0</v>
      </c>
      <c r="H318" s="6">
        <f>FLOOR(tblPivotData[[#This Row],[Time]],Summary!$B$6/1440)</f>
        <v>0.45833333333333331</v>
      </c>
      <c r="I318" s="49">
        <f>INDEX(PeakCalc!$L$10:$L$303,MATCH(tblPivotData[[#This Row],[Time]],PeakCalc!$G$10:$G$303,0))</f>
        <v>0</v>
      </c>
    </row>
    <row r="319" spans="1:9" x14ac:dyDescent="0.25">
      <c r="A319" t="s">
        <v>94</v>
      </c>
      <c r="B319" t="s">
        <v>99</v>
      </c>
      <c r="C319" t="s">
        <v>96</v>
      </c>
      <c r="D319" t="s">
        <v>92</v>
      </c>
      <c r="E319" t="s">
        <v>110</v>
      </c>
      <c r="F319" s="6">
        <v>0.46875</v>
      </c>
      <c r="G319">
        <v>0</v>
      </c>
      <c r="H319" s="6">
        <f>FLOOR(tblPivotData[[#This Row],[Time]],Summary!$B$6/1440)</f>
        <v>0.46875</v>
      </c>
      <c r="I319" s="49">
        <f>INDEX(PeakCalc!$L$10:$L$303,MATCH(tblPivotData[[#This Row],[Time]],PeakCalc!$G$10:$G$303,0))</f>
        <v>0</v>
      </c>
    </row>
    <row r="320" spans="1:9" x14ac:dyDescent="0.25">
      <c r="A320" t="s">
        <v>94</v>
      </c>
      <c r="B320" t="s">
        <v>99</v>
      </c>
      <c r="C320" t="s">
        <v>96</v>
      </c>
      <c r="D320" t="s">
        <v>92</v>
      </c>
      <c r="E320" t="s">
        <v>110</v>
      </c>
      <c r="F320" s="6">
        <v>0.47916666666666669</v>
      </c>
      <c r="G320">
        <v>0</v>
      </c>
      <c r="H320" s="6">
        <f>FLOOR(tblPivotData[[#This Row],[Time]],Summary!$B$6/1440)</f>
        <v>0.47916666666666663</v>
      </c>
      <c r="I320" s="49">
        <f>INDEX(PeakCalc!$L$10:$L$303,MATCH(tblPivotData[[#This Row],[Time]],PeakCalc!$G$10:$G$303,0))</f>
        <v>0</v>
      </c>
    </row>
    <row r="321" spans="1:9" x14ac:dyDescent="0.25">
      <c r="A321" t="s">
        <v>94</v>
      </c>
      <c r="B321" t="s">
        <v>99</v>
      </c>
      <c r="C321" t="s">
        <v>96</v>
      </c>
      <c r="D321" t="s">
        <v>92</v>
      </c>
      <c r="E321" t="s">
        <v>110</v>
      </c>
      <c r="F321" s="6">
        <v>0.48958333333333331</v>
      </c>
      <c r="G321">
        <v>1</v>
      </c>
      <c r="H321" s="6">
        <f>FLOOR(tblPivotData[[#This Row],[Time]],Summary!$B$6/1440)</f>
        <v>0.48958333333333331</v>
      </c>
      <c r="I321" s="49">
        <f>INDEX(PeakCalc!$L$10:$L$303,MATCH(tblPivotData[[#This Row],[Time]],PeakCalc!$G$10:$G$303,0))</f>
        <v>0</v>
      </c>
    </row>
    <row r="322" spans="1:9" x14ac:dyDescent="0.25">
      <c r="A322" t="s">
        <v>94</v>
      </c>
      <c r="B322" t="s">
        <v>99</v>
      </c>
      <c r="C322" t="s">
        <v>96</v>
      </c>
      <c r="D322" t="s">
        <v>92</v>
      </c>
      <c r="E322" t="s">
        <v>110</v>
      </c>
      <c r="F322" s="6">
        <v>0.5</v>
      </c>
      <c r="G322">
        <v>0</v>
      </c>
      <c r="H322" s="6">
        <f>FLOOR(tblPivotData[[#This Row],[Time]],Summary!$B$6/1440)</f>
        <v>0.5</v>
      </c>
      <c r="I322" s="49">
        <f>INDEX(PeakCalc!$L$10:$L$303,MATCH(tblPivotData[[#This Row],[Time]],PeakCalc!$G$10:$G$303,0))</f>
        <v>0</v>
      </c>
    </row>
    <row r="323" spans="1:9" x14ac:dyDescent="0.25">
      <c r="A323" t="s">
        <v>94</v>
      </c>
      <c r="B323" t="s">
        <v>99</v>
      </c>
      <c r="C323" t="s">
        <v>96</v>
      </c>
      <c r="D323" t="s">
        <v>92</v>
      </c>
      <c r="E323" t="s">
        <v>110</v>
      </c>
      <c r="F323" s="6">
        <v>0.51041666666666663</v>
      </c>
      <c r="G323">
        <v>0</v>
      </c>
      <c r="H323" s="6">
        <f>FLOOR(tblPivotData[[#This Row],[Time]],Summary!$B$6/1440)</f>
        <v>0.51041666666666663</v>
      </c>
      <c r="I323" s="49">
        <f>INDEX(PeakCalc!$L$10:$L$303,MATCH(tblPivotData[[#This Row],[Time]],PeakCalc!$G$10:$G$303,0))</f>
        <v>0</v>
      </c>
    </row>
    <row r="324" spans="1:9" x14ac:dyDescent="0.25">
      <c r="A324" t="s">
        <v>94</v>
      </c>
      <c r="B324" t="s">
        <v>99</v>
      </c>
      <c r="C324" t="s">
        <v>96</v>
      </c>
      <c r="D324" t="s">
        <v>92</v>
      </c>
      <c r="E324" t="s">
        <v>110</v>
      </c>
      <c r="F324" s="6">
        <v>0.52083333333333337</v>
      </c>
      <c r="G324">
        <v>0</v>
      </c>
      <c r="H324" s="6">
        <f>FLOOR(tblPivotData[[#This Row],[Time]],Summary!$B$6/1440)</f>
        <v>0.52083333333333326</v>
      </c>
      <c r="I324" s="49">
        <f>INDEX(PeakCalc!$L$10:$L$303,MATCH(tblPivotData[[#This Row],[Time]],PeakCalc!$G$10:$G$303,0))</f>
        <v>1</v>
      </c>
    </row>
    <row r="325" spans="1:9" x14ac:dyDescent="0.25">
      <c r="A325" t="s">
        <v>94</v>
      </c>
      <c r="B325" t="s">
        <v>99</v>
      </c>
      <c r="C325" t="s">
        <v>96</v>
      </c>
      <c r="D325" t="s">
        <v>92</v>
      </c>
      <c r="E325" t="s">
        <v>110</v>
      </c>
      <c r="F325" s="6">
        <v>0.53125</v>
      </c>
      <c r="G325">
        <v>0</v>
      </c>
      <c r="H325" s="6">
        <f>FLOOR(tblPivotData[[#This Row],[Time]],Summary!$B$6/1440)</f>
        <v>0.53125</v>
      </c>
      <c r="I325" s="49">
        <f>INDEX(PeakCalc!$L$10:$L$303,MATCH(tblPivotData[[#This Row],[Time]],PeakCalc!$G$10:$G$303,0))</f>
        <v>1</v>
      </c>
    </row>
    <row r="326" spans="1:9" x14ac:dyDescent="0.25">
      <c r="A326" t="s">
        <v>94</v>
      </c>
      <c r="B326" t="s">
        <v>99</v>
      </c>
      <c r="C326" t="s">
        <v>96</v>
      </c>
      <c r="D326" t="s">
        <v>92</v>
      </c>
      <c r="E326" t="s">
        <v>110</v>
      </c>
      <c r="F326" s="6">
        <v>0.54166666666666663</v>
      </c>
      <c r="G326">
        <v>1</v>
      </c>
      <c r="H326" s="6">
        <f>FLOOR(tblPivotData[[#This Row],[Time]],Summary!$B$6/1440)</f>
        <v>0.54166666666666663</v>
      </c>
      <c r="I326" s="49">
        <f>INDEX(PeakCalc!$L$10:$L$303,MATCH(tblPivotData[[#This Row],[Time]],PeakCalc!$G$10:$G$303,0))</f>
        <v>1</v>
      </c>
    </row>
    <row r="327" spans="1:9" x14ac:dyDescent="0.25">
      <c r="A327" t="s">
        <v>94</v>
      </c>
      <c r="B327" t="s">
        <v>99</v>
      </c>
      <c r="C327" t="s">
        <v>96</v>
      </c>
      <c r="D327" t="s">
        <v>92</v>
      </c>
      <c r="E327" t="s">
        <v>110</v>
      </c>
      <c r="F327" s="6">
        <v>0.55208333333333337</v>
      </c>
      <c r="G327">
        <v>0</v>
      </c>
      <c r="H327" s="6">
        <f>FLOOR(tblPivotData[[#This Row],[Time]],Summary!$B$6/1440)</f>
        <v>0.55208333333333326</v>
      </c>
      <c r="I327" s="49">
        <f>INDEX(PeakCalc!$L$10:$L$303,MATCH(tblPivotData[[#This Row],[Time]],PeakCalc!$G$10:$G$303,0))</f>
        <v>1</v>
      </c>
    </row>
    <row r="328" spans="1:9" x14ac:dyDescent="0.25">
      <c r="A328" t="s">
        <v>94</v>
      </c>
      <c r="B328" t="s">
        <v>99</v>
      </c>
      <c r="C328" t="s">
        <v>96</v>
      </c>
      <c r="D328" t="s">
        <v>92</v>
      </c>
      <c r="E328" t="s">
        <v>110</v>
      </c>
      <c r="F328" s="6">
        <v>0.5625</v>
      </c>
      <c r="G328">
        <v>0</v>
      </c>
      <c r="H328" s="6">
        <f>FLOOR(tblPivotData[[#This Row],[Time]],Summary!$B$6/1440)</f>
        <v>0.5625</v>
      </c>
      <c r="I328" s="49">
        <f>INDEX(PeakCalc!$L$10:$L$303,MATCH(tblPivotData[[#This Row],[Time]],PeakCalc!$G$10:$G$303,0))</f>
        <v>0</v>
      </c>
    </row>
    <row r="329" spans="1:9" x14ac:dyDescent="0.25">
      <c r="A329" t="s">
        <v>94</v>
      </c>
      <c r="B329" t="s">
        <v>99</v>
      </c>
      <c r="C329" t="s">
        <v>96</v>
      </c>
      <c r="D329" t="s">
        <v>92</v>
      </c>
      <c r="E329" t="s">
        <v>110</v>
      </c>
      <c r="F329" s="6">
        <v>0.57291666666666663</v>
      </c>
      <c r="G329">
        <v>0</v>
      </c>
      <c r="H329" s="6">
        <f>FLOOR(tblPivotData[[#This Row],[Time]],Summary!$B$6/1440)</f>
        <v>0.57291666666666663</v>
      </c>
      <c r="I329" s="49">
        <f>INDEX(PeakCalc!$L$10:$L$303,MATCH(tblPivotData[[#This Row],[Time]],PeakCalc!$G$10:$G$303,0))</f>
        <v>0</v>
      </c>
    </row>
    <row r="330" spans="1:9" x14ac:dyDescent="0.25">
      <c r="A330" t="s">
        <v>94</v>
      </c>
      <c r="B330" t="s">
        <v>99</v>
      </c>
      <c r="C330" t="s">
        <v>96</v>
      </c>
      <c r="D330" t="s">
        <v>92</v>
      </c>
      <c r="E330" t="s">
        <v>44</v>
      </c>
      <c r="F330" s="6">
        <v>0.625</v>
      </c>
      <c r="G330">
        <v>0</v>
      </c>
      <c r="H330" s="6">
        <f>FLOOR(tblPivotData[[#This Row],[Time]],Summary!$B$6/1440)</f>
        <v>0.625</v>
      </c>
      <c r="I330" s="49">
        <f>INDEX(PeakCalc!$L$10:$L$303,MATCH(tblPivotData[[#This Row],[Time]],PeakCalc!$G$10:$G$303,0))</f>
        <v>0</v>
      </c>
    </row>
    <row r="331" spans="1:9" x14ac:dyDescent="0.25">
      <c r="A331" t="s">
        <v>94</v>
      </c>
      <c r="B331" t="s">
        <v>99</v>
      </c>
      <c r="C331" t="s">
        <v>96</v>
      </c>
      <c r="D331" t="s">
        <v>92</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94</v>
      </c>
      <c r="B332" t="s">
        <v>99</v>
      </c>
      <c r="C332" t="s">
        <v>96</v>
      </c>
      <c r="D332" t="s">
        <v>92</v>
      </c>
      <c r="E332" t="s">
        <v>44</v>
      </c>
      <c r="F332" s="6">
        <v>0.64583333333333337</v>
      </c>
      <c r="G332">
        <v>1</v>
      </c>
      <c r="H332" s="6">
        <f>FLOOR(tblPivotData[[#This Row],[Time]],Summary!$B$6/1440)</f>
        <v>0.64583333333333326</v>
      </c>
      <c r="I332" s="49">
        <f>INDEX(PeakCalc!$L$10:$L$303,MATCH(tblPivotData[[#This Row],[Time]],PeakCalc!$G$10:$G$303,0))</f>
        <v>0</v>
      </c>
    </row>
    <row r="333" spans="1:9" x14ac:dyDescent="0.25">
      <c r="A333" t="s">
        <v>94</v>
      </c>
      <c r="B333" t="s">
        <v>99</v>
      </c>
      <c r="C333" t="s">
        <v>96</v>
      </c>
      <c r="D333" t="s">
        <v>92</v>
      </c>
      <c r="E333" t="s">
        <v>44</v>
      </c>
      <c r="F333" s="6">
        <v>0.65625</v>
      </c>
      <c r="G333">
        <v>0</v>
      </c>
      <c r="H333" s="6">
        <f>FLOOR(tblPivotData[[#This Row],[Time]],Summary!$B$6/1440)</f>
        <v>0.65625</v>
      </c>
      <c r="I333" s="49">
        <f>INDEX(PeakCalc!$L$10:$L$303,MATCH(tblPivotData[[#This Row],[Time]],PeakCalc!$G$10:$G$303,0))</f>
        <v>0</v>
      </c>
    </row>
    <row r="334" spans="1:9" x14ac:dyDescent="0.25">
      <c r="A334" t="s">
        <v>94</v>
      </c>
      <c r="B334" t="s">
        <v>99</v>
      </c>
      <c r="C334" t="s">
        <v>96</v>
      </c>
      <c r="D334" t="s">
        <v>92</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99</v>
      </c>
      <c r="C335" t="s">
        <v>96</v>
      </c>
      <c r="D335" t="s">
        <v>92</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99</v>
      </c>
      <c r="C336" t="s">
        <v>96</v>
      </c>
      <c r="D336" t="s">
        <v>92</v>
      </c>
      <c r="E336" t="s">
        <v>44</v>
      </c>
      <c r="F336" s="6">
        <v>0.6875</v>
      </c>
      <c r="G336">
        <v>0</v>
      </c>
      <c r="H336" s="6">
        <f>FLOOR(tblPivotData[[#This Row],[Time]],Summary!$B$6/1440)</f>
        <v>0.6875</v>
      </c>
      <c r="I336" s="49">
        <f>INDEX(PeakCalc!$L$10:$L$303,MATCH(tblPivotData[[#This Row],[Time]],PeakCalc!$G$10:$G$303,0))</f>
        <v>1</v>
      </c>
    </row>
    <row r="337" spans="1:9" x14ac:dyDescent="0.25">
      <c r="A337" t="s">
        <v>94</v>
      </c>
      <c r="B337" t="s">
        <v>99</v>
      </c>
      <c r="C337" t="s">
        <v>96</v>
      </c>
      <c r="D337" t="s">
        <v>92</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99</v>
      </c>
      <c r="C338" t="s">
        <v>96</v>
      </c>
      <c r="D338" t="s">
        <v>92</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99</v>
      </c>
      <c r="C339" t="s">
        <v>96</v>
      </c>
      <c r="D339" t="s">
        <v>92</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99</v>
      </c>
      <c r="C340" t="s">
        <v>96</v>
      </c>
      <c r="D340" t="s">
        <v>92</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99</v>
      </c>
      <c r="C341" t="s">
        <v>96</v>
      </c>
      <c r="D341" t="s">
        <v>92</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99</v>
      </c>
      <c r="C342" t="s">
        <v>96</v>
      </c>
      <c r="D342" t="s">
        <v>92</v>
      </c>
      <c r="E342" t="s">
        <v>44</v>
      </c>
      <c r="F342" s="6">
        <v>0.75</v>
      </c>
      <c r="G342">
        <v>0</v>
      </c>
      <c r="H342" s="6">
        <f>FLOOR(tblPivotData[[#This Row],[Time]],Summary!$B$6/1440)</f>
        <v>0.75</v>
      </c>
      <c r="I342" s="49">
        <f>INDEX(PeakCalc!$L$10:$L$303,MATCH(tblPivotData[[#This Row],[Time]],PeakCalc!$G$10:$G$303,0))</f>
        <v>0</v>
      </c>
    </row>
    <row r="343" spans="1:9" x14ac:dyDescent="0.25">
      <c r="A343" t="s">
        <v>94</v>
      </c>
      <c r="B343" t="s">
        <v>99</v>
      </c>
      <c r="C343" t="s">
        <v>96</v>
      </c>
      <c r="D343" t="s">
        <v>92</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94</v>
      </c>
      <c r="B344" t="s">
        <v>99</v>
      </c>
      <c r="C344" t="s">
        <v>96</v>
      </c>
      <c r="D344" t="s">
        <v>93</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94</v>
      </c>
      <c r="B345" t="s">
        <v>99</v>
      </c>
      <c r="C345" t="s">
        <v>96</v>
      </c>
      <c r="D345" t="s">
        <v>93</v>
      </c>
      <c r="E345" t="s">
        <v>43</v>
      </c>
      <c r="F345" s="6">
        <v>0.28125</v>
      </c>
      <c r="G345">
        <v>0</v>
      </c>
      <c r="H345" s="6">
        <f>FLOOR(tblPivotData[[#This Row],[Time]],Summary!$B$6/1440)</f>
        <v>0.28125</v>
      </c>
      <c r="I345" s="49">
        <f>INDEX(PeakCalc!$L$10:$L$303,MATCH(tblPivotData[[#This Row],[Time]],PeakCalc!$G$10:$G$303,0))</f>
        <v>0</v>
      </c>
    </row>
    <row r="346" spans="1:9" x14ac:dyDescent="0.25">
      <c r="A346" t="s">
        <v>94</v>
      </c>
      <c r="B346" t="s">
        <v>99</v>
      </c>
      <c r="C346" t="s">
        <v>96</v>
      </c>
      <c r="D346" t="s">
        <v>93</v>
      </c>
      <c r="E346" t="s">
        <v>43</v>
      </c>
      <c r="F346" s="6">
        <v>0.29166666666666669</v>
      </c>
      <c r="G346">
        <v>0</v>
      </c>
      <c r="H346" s="6">
        <f>FLOOR(tblPivotData[[#This Row],[Time]],Summary!$B$6/1440)</f>
        <v>0.29166666666666663</v>
      </c>
      <c r="I346" s="49">
        <f>INDEX(PeakCalc!$L$10:$L$303,MATCH(tblPivotData[[#This Row],[Time]],PeakCalc!$G$10:$G$303,0))</f>
        <v>0</v>
      </c>
    </row>
    <row r="347" spans="1:9" x14ac:dyDescent="0.25">
      <c r="A347" t="s">
        <v>94</v>
      </c>
      <c r="B347" t="s">
        <v>99</v>
      </c>
      <c r="C347" t="s">
        <v>96</v>
      </c>
      <c r="D347" t="s">
        <v>93</v>
      </c>
      <c r="E347" t="s">
        <v>43</v>
      </c>
      <c r="F347" s="6">
        <v>0.30208333333333331</v>
      </c>
      <c r="G347">
        <v>0</v>
      </c>
      <c r="H347" s="6">
        <f>FLOOR(tblPivotData[[#This Row],[Time]],Summary!$B$6/1440)</f>
        <v>0.30208333333333331</v>
      </c>
      <c r="I347" s="49">
        <f>INDEX(PeakCalc!$L$10:$L$303,MATCH(tblPivotData[[#This Row],[Time]],PeakCalc!$G$10:$G$303,0))</f>
        <v>0</v>
      </c>
    </row>
    <row r="348" spans="1:9" x14ac:dyDescent="0.25">
      <c r="A348" t="s">
        <v>94</v>
      </c>
      <c r="B348" t="s">
        <v>99</v>
      </c>
      <c r="C348" t="s">
        <v>96</v>
      </c>
      <c r="D348" t="s">
        <v>93</v>
      </c>
      <c r="E348" t="s">
        <v>43</v>
      </c>
      <c r="F348" s="6">
        <v>0.3125</v>
      </c>
      <c r="G348">
        <v>0</v>
      </c>
      <c r="H348" s="6">
        <f>FLOOR(tblPivotData[[#This Row],[Time]],Summary!$B$6/1440)</f>
        <v>0.3125</v>
      </c>
      <c r="I348" s="49">
        <f>INDEX(PeakCalc!$L$10:$L$303,MATCH(tblPivotData[[#This Row],[Time]],PeakCalc!$G$10:$G$303,0))</f>
        <v>0</v>
      </c>
    </row>
    <row r="349" spans="1:9" x14ac:dyDescent="0.25">
      <c r="A349" t="s">
        <v>94</v>
      </c>
      <c r="B349" t="s">
        <v>99</v>
      </c>
      <c r="C349" t="s">
        <v>96</v>
      </c>
      <c r="D349" t="s">
        <v>93</v>
      </c>
      <c r="E349" t="s">
        <v>43</v>
      </c>
      <c r="F349" s="6">
        <v>0.32291666666666669</v>
      </c>
      <c r="G349">
        <v>1</v>
      </c>
      <c r="H349" s="6">
        <f>FLOOR(tblPivotData[[#This Row],[Time]],Summary!$B$6/1440)</f>
        <v>0.32291666666666663</v>
      </c>
      <c r="I349" s="49">
        <f>INDEX(PeakCalc!$L$10:$L$303,MATCH(tblPivotData[[#This Row],[Time]],PeakCalc!$G$10:$G$303,0))</f>
        <v>1</v>
      </c>
    </row>
    <row r="350" spans="1:9" x14ac:dyDescent="0.25">
      <c r="A350" t="s">
        <v>94</v>
      </c>
      <c r="B350" t="s">
        <v>99</v>
      </c>
      <c r="C350" t="s">
        <v>96</v>
      </c>
      <c r="D350" t="s">
        <v>93</v>
      </c>
      <c r="E350" t="s">
        <v>43</v>
      </c>
      <c r="F350" s="6">
        <v>0.33333333333333331</v>
      </c>
      <c r="G350">
        <v>0</v>
      </c>
      <c r="H350" s="6">
        <f>FLOOR(tblPivotData[[#This Row],[Time]],Summary!$B$6/1440)</f>
        <v>0.33333333333333331</v>
      </c>
      <c r="I350" s="49">
        <f>INDEX(PeakCalc!$L$10:$L$303,MATCH(tblPivotData[[#This Row],[Time]],PeakCalc!$G$10:$G$303,0))</f>
        <v>1</v>
      </c>
    </row>
    <row r="351" spans="1:9" x14ac:dyDescent="0.25">
      <c r="A351" t="s">
        <v>94</v>
      </c>
      <c r="B351" t="s">
        <v>99</v>
      </c>
      <c r="C351" t="s">
        <v>96</v>
      </c>
      <c r="D351" t="s">
        <v>93</v>
      </c>
      <c r="E351" t="s">
        <v>43</v>
      </c>
      <c r="F351" s="6">
        <v>0.34375</v>
      </c>
      <c r="G351">
        <v>0</v>
      </c>
      <c r="H351" s="6">
        <f>FLOOR(tblPivotData[[#This Row],[Time]],Summary!$B$6/1440)</f>
        <v>0.34375</v>
      </c>
      <c r="I351" s="49">
        <f>INDEX(PeakCalc!$L$10:$L$303,MATCH(tblPivotData[[#This Row],[Time]],PeakCalc!$G$10:$G$303,0))</f>
        <v>1</v>
      </c>
    </row>
    <row r="352" spans="1:9" x14ac:dyDescent="0.25">
      <c r="A352" t="s">
        <v>94</v>
      </c>
      <c r="B352" t="s">
        <v>99</v>
      </c>
      <c r="C352" t="s">
        <v>96</v>
      </c>
      <c r="D352" t="s">
        <v>93</v>
      </c>
      <c r="E352" t="s">
        <v>43</v>
      </c>
      <c r="F352" s="6">
        <v>0.35416666666666669</v>
      </c>
      <c r="G352">
        <v>1</v>
      </c>
      <c r="H352" s="6">
        <f>FLOOR(tblPivotData[[#This Row],[Time]],Summary!$B$6/1440)</f>
        <v>0.35416666666666663</v>
      </c>
      <c r="I352" s="49">
        <f>INDEX(PeakCalc!$L$10:$L$303,MATCH(tblPivotData[[#This Row],[Time]],PeakCalc!$G$10:$G$303,0))</f>
        <v>1</v>
      </c>
    </row>
    <row r="353" spans="1:9" x14ac:dyDescent="0.25">
      <c r="A353" t="s">
        <v>94</v>
      </c>
      <c r="B353" t="s">
        <v>99</v>
      </c>
      <c r="C353" t="s">
        <v>96</v>
      </c>
      <c r="D353" t="s">
        <v>93</v>
      </c>
      <c r="E353" t="s">
        <v>43</v>
      </c>
      <c r="F353" s="6">
        <v>0.36458333333333331</v>
      </c>
      <c r="G353">
        <v>7</v>
      </c>
      <c r="H353" s="6">
        <f>FLOOR(tblPivotData[[#This Row],[Time]],Summary!$B$6/1440)</f>
        <v>0.36458333333333331</v>
      </c>
      <c r="I353" s="49">
        <f>INDEX(PeakCalc!$L$10:$L$303,MATCH(tblPivotData[[#This Row],[Time]],PeakCalc!$G$10:$G$303,0))</f>
        <v>0</v>
      </c>
    </row>
    <row r="354" spans="1:9" x14ac:dyDescent="0.25">
      <c r="A354" t="s">
        <v>94</v>
      </c>
      <c r="B354" t="s">
        <v>99</v>
      </c>
      <c r="C354" t="s">
        <v>96</v>
      </c>
      <c r="D354" t="s">
        <v>93</v>
      </c>
      <c r="E354" t="s">
        <v>43</v>
      </c>
      <c r="F354" s="6">
        <v>0.375</v>
      </c>
      <c r="G354">
        <v>0</v>
      </c>
      <c r="H354" s="6">
        <f>FLOOR(tblPivotData[[#This Row],[Time]],Summary!$B$6/1440)</f>
        <v>0.375</v>
      </c>
      <c r="I354" s="49">
        <f>INDEX(PeakCalc!$L$10:$L$303,MATCH(tblPivotData[[#This Row],[Time]],PeakCalc!$G$10:$G$303,0))</f>
        <v>0</v>
      </c>
    </row>
    <row r="355" spans="1:9" x14ac:dyDescent="0.25">
      <c r="A355" t="s">
        <v>94</v>
      </c>
      <c r="B355" t="s">
        <v>99</v>
      </c>
      <c r="C355" t="s">
        <v>96</v>
      </c>
      <c r="D355" t="s">
        <v>93</v>
      </c>
      <c r="E355" t="s">
        <v>43</v>
      </c>
      <c r="F355" s="6">
        <v>0.38541666666666669</v>
      </c>
      <c r="G355">
        <v>0</v>
      </c>
      <c r="H355" s="6">
        <f>FLOOR(tblPivotData[[#This Row],[Time]],Summary!$B$6/1440)</f>
        <v>0.38541666666666663</v>
      </c>
      <c r="I355" s="49">
        <f>INDEX(PeakCalc!$L$10:$L$303,MATCH(tblPivotData[[#This Row],[Time]],PeakCalc!$G$10:$G$303,0))</f>
        <v>0</v>
      </c>
    </row>
    <row r="356" spans="1:9" x14ac:dyDescent="0.25">
      <c r="A356" t="s">
        <v>94</v>
      </c>
      <c r="B356" t="s">
        <v>99</v>
      </c>
      <c r="C356" t="s">
        <v>96</v>
      </c>
      <c r="D356" t="s">
        <v>93</v>
      </c>
      <c r="E356" t="s">
        <v>110</v>
      </c>
      <c r="F356" s="6">
        <v>0.45833333333333331</v>
      </c>
      <c r="G356">
        <v>0</v>
      </c>
      <c r="H356" s="6">
        <f>FLOOR(tblPivotData[[#This Row],[Time]],Summary!$B$6/1440)</f>
        <v>0.45833333333333331</v>
      </c>
      <c r="I356" s="49">
        <f>INDEX(PeakCalc!$L$10:$L$303,MATCH(tblPivotData[[#This Row],[Time]],PeakCalc!$G$10:$G$303,0))</f>
        <v>0</v>
      </c>
    </row>
    <row r="357" spans="1:9" x14ac:dyDescent="0.25">
      <c r="A357" t="s">
        <v>94</v>
      </c>
      <c r="B357" t="s">
        <v>99</v>
      </c>
      <c r="C357" t="s">
        <v>96</v>
      </c>
      <c r="D357" t="s">
        <v>93</v>
      </c>
      <c r="E357" t="s">
        <v>110</v>
      </c>
      <c r="F357" s="6">
        <v>0.46875</v>
      </c>
      <c r="G357">
        <v>0</v>
      </c>
      <c r="H357" s="6">
        <f>FLOOR(tblPivotData[[#This Row],[Time]],Summary!$B$6/1440)</f>
        <v>0.46875</v>
      </c>
      <c r="I357" s="49">
        <f>INDEX(PeakCalc!$L$10:$L$303,MATCH(tblPivotData[[#This Row],[Time]],PeakCalc!$G$10:$G$303,0))</f>
        <v>0</v>
      </c>
    </row>
    <row r="358" spans="1:9" x14ac:dyDescent="0.25">
      <c r="A358" t="s">
        <v>94</v>
      </c>
      <c r="B358" t="s">
        <v>99</v>
      </c>
      <c r="C358" t="s">
        <v>96</v>
      </c>
      <c r="D358" t="s">
        <v>93</v>
      </c>
      <c r="E358" t="s">
        <v>110</v>
      </c>
      <c r="F358" s="6">
        <v>0.47916666666666669</v>
      </c>
      <c r="G358">
        <v>0</v>
      </c>
      <c r="H358" s="6">
        <f>FLOOR(tblPivotData[[#This Row],[Time]],Summary!$B$6/1440)</f>
        <v>0.47916666666666663</v>
      </c>
      <c r="I358" s="49">
        <f>INDEX(PeakCalc!$L$10:$L$303,MATCH(tblPivotData[[#This Row],[Time]],PeakCalc!$G$10:$G$303,0))</f>
        <v>0</v>
      </c>
    </row>
    <row r="359" spans="1:9" x14ac:dyDescent="0.25">
      <c r="A359" t="s">
        <v>94</v>
      </c>
      <c r="B359" t="s">
        <v>99</v>
      </c>
      <c r="C359" t="s">
        <v>96</v>
      </c>
      <c r="D359" t="s">
        <v>93</v>
      </c>
      <c r="E359" t="s">
        <v>110</v>
      </c>
      <c r="F359" s="6">
        <v>0.48958333333333331</v>
      </c>
      <c r="G359">
        <v>0</v>
      </c>
      <c r="H359" s="6">
        <f>FLOOR(tblPivotData[[#This Row],[Time]],Summary!$B$6/1440)</f>
        <v>0.48958333333333331</v>
      </c>
      <c r="I359" s="49">
        <f>INDEX(PeakCalc!$L$10:$L$303,MATCH(tblPivotData[[#This Row],[Time]],PeakCalc!$G$10:$G$303,0))</f>
        <v>0</v>
      </c>
    </row>
    <row r="360" spans="1:9" x14ac:dyDescent="0.25">
      <c r="A360" t="s">
        <v>94</v>
      </c>
      <c r="B360" t="s">
        <v>99</v>
      </c>
      <c r="C360" t="s">
        <v>96</v>
      </c>
      <c r="D360" t="s">
        <v>93</v>
      </c>
      <c r="E360" t="s">
        <v>110</v>
      </c>
      <c r="F360" s="6">
        <v>0.5</v>
      </c>
      <c r="G360">
        <v>0</v>
      </c>
      <c r="H360" s="6">
        <f>FLOOR(tblPivotData[[#This Row],[Time]],Summary!$B$6/1440)</f>
        <v>0.5</v>
      </c>
      <c r="I360" s="49">
        <f>INDEX(PeakCalc!$L$10:$L$303,MATCH(tblPivotData[[#This Row],[Time]],PeakCalc!$G$10:$G$303,0))</f>
        <v>0</v>
      </c>
    </row>
    <row r="361" spans="1:9" x14ac:dyDescent="0.25">
      <c r="A361" t="s">
        <v>94</v>
      </c>
      <c r="B361" t="s">
        <v>99</v>
      </c>
      <c r="C361" t="s">
        <v>96</v>
      </c>
      <c r="D361" t="s">
        <v>93</v>
      </c>
      <c r="E361" t="s">
        <v>110</v>
      </c>
      <c r="F361" s="6">
        <v>0.51041666666666663</v>
      </c>
      <c r="G361">
        <v>0</v>
      </c>
      <c r="H361" s="6">
        <f>FLOOR(tblPivotData[[#This Row],[Time]],Summary!$B$6/1440)</f>
        <v>0.51041666666666663</v>
      </c>
      <c r="I361" s="49">
        <f>INDEX(PeakCalc!$L$10:$L$303,MATCH(tblPivotData[[#This Row],[Time]],PeakCalc!$G$10:$G$303,0))</f>
        <v>0</v>
      </c>
    </row>
    <row r="362" spans="1:9" x14ac:dyDescent="0.25">
      <c r="A362" t="s">
        <v>94</v>
      </c>
      <c r="B362" t="s">
        <v>99</v>
      </c>
      <c r="C362" t="s">
        <v>96</v>
      </c>
      <c r="D362" t="s">
        <v>93</v>
      </c>
      <c r="E362" t="s">
        <v>110</v>
      </c>
      <c r="F362" s="6">
        <v>0.52083333333333337</v>
      </c>
      <c r="G362">
        <v>1</v>
      </c>
      <c r="H362" s="6">
        <f>FLOOR(tblPivotData[[#This Row],[Time]],Summary!$B$6/1440)</f>
        <v>0.52083333333333326</v>
      </c>
      <c r="I362" s="49">
        <f>INDEX(PeakCalc!$L$10:$L$303,MATCH(tblPivotData[[#This Row],[Time]],PeakCalc!$G$10:$G$303,0))</f>
        <v>1</v>
      </c>
    </row>
    <row r="363" spans="1:9" x14ac:dyDescent="0.25">
      <c r="A363" t="s">
        <v>94</v>
      </c>
      <c r="B363" t="s">
        <v>99</v>
      </c>
      <c r="C363" t="s">
        <v>96</v>
      </c>
      <c r="D363" t="s">
        <v>93</v>
      </c>
      <c r="E363" t="s">
        <v>110</v>
      </c>
      <c r="F363" s="6">
        <v>0.53125</v>
      </c>
      <c r="G363">
        <v>0</v>
      </c>
      <c r="H363" s="6">
        <f>FLOOR(tblPivotData[[#This Row],[Time]],Summary!$B$6/1440)</f>
        <v>0.53125</v>
      </c>
      <c r="I363" s="49">
        <f>INDEX(PeakCalc!$L$10:$L$303,MATCH(tblPivotData[[#This Row],[Time]],PeakCalc!$G$10:$G$303,0))</f>
        <v>1</v>
      </c>
    </row>
    <row r="364" spans="1:9" x14ac:dyDescent="0.25">
      <c r="A364" t="s">
        <v>94</v>
      </c>
      <c r="B364" t="s">
        <v>99</v>
      </c>
      <c r="C364" t="s">
        <v>96</v>
      </c>
      <c r="D364" t="s">
        <v>93</v>
      </c>
      <c r="E364" t="s">
        <v>110</v>
      </c>
      <c r="F364" s="6">
        <v>0.54166666666666663</v>
      </c>
      <c r="G364">
        <v>0</v>
      </c>
      <c r="H364" s="6">
        <f>FLOOR(tblPivotData[[#This Row],[Time]],Summary!$B$6/1440)</f>
        <v>0.54166666666666663</v>
      </c>
      <c r="I364" s="49">
        <f>INDEX(PeakCalc!$L$10:$L$303,MATCH(tblPivotData[[#This Row],[Time]],PeakCalc!$G$10:$G$303,0))</f>
        <v>1</v>
      </c>
    </row>
    <row r="365" spans="1:9" x14ac:dyDescent="0.25">
      <c r="A365" t="s">
        <v>94</v>
      </c>
      <c r="B365" t="s">
        <v>99</v>
      </c>
      <c r="C365" t="s">
        <v>96</v>
      </c>
      <c r="D365" t="s">
        <v>93</v>
      </c>
      <c r="E365" t="s">
        <v>110</v>
      </c>
      <c r="F365" s="6">
        <v>0.55208333333333337</v>
      </c>
      <c r="G365">
        <v>0</v>
      </c>
      <c r="H365" s="6">
        <f>FLOOR(tblPivotData[[#This Row],[Time]],Summary!$B$6/1440)</f>
        <v>0.55208333333333326</v>
      </c>
      <c r="I365" s="49">
        <f>INDEX(PeakCalc!$L$10:$L$303,MATCH(tblPivotData[[#This Row],[Time]],PeakCalc!$G$10:$G$303,0))</f>
        <v>1</v>
      </c>
    </row>
    <row r="366" spans="1:9" x14ac:dyDescent="0.25">
      <c r="A366" t="s">
        <v>94</v>
      </c>
      <c r="B366" t="s">
        <v>99</v>
      </c>
      <c r="C366" t="s">
        <v>96</v>
      </c>
      <c r="D366" t="s">
        <v>93</v>
      </c>
      <c r="E366" t="s">
        <v>110</v>
      </c>
      <c r="F366" s="6">
        <v>0.5625</v>
      </c>
      <c r="G366">
        <v>0</v>
      </c>
      <c r="H366" s="6">
        <f>FLOOR(tblPivotData[[#This Row],[Time]],Summary!$B$6/1440)</f>
        <v>0.5625</v>
      </c>
      <c r="I366" s="49">
        <f>INDEX(PeakCalc!$L$10:$L$303,MATCH(tblPivotData[[#This Row],[Time]],PeakCalc!$G$10:$G$303,0))</f>
        <v>0</v>
      </c>
    </row>
    <row r="367" spans="1:9" x14ac:dyDescent="0.25">
      <c r="A367" t="s">
        <v>94</v>
      </c>
      <c r="B367" t="s">
        <v>99</v>
      </c>
      <c r="C367" t="s">
        <v>96</v>
      </c>
      <c r="D367" t="s">
        <v>93</v>
      </c>
      <c r="E367" t="s">
        <v>110</v>
      </c>
      <c r="F367" s="6">
        <v>0.57291666666666663</v>
      </c>
      <c r="G367">
        <v>0</v>
      </c>
      <c r="H367" s="6">
        <f>FLOOR(tblPivotData[[#This Row],[Time]],Summary!$B$6/1440)</f>
        <v>0.57291666666666663</v>
      </c>
      <c r="I367" s="49">
        <f>INDEX(PeakCalc!$L$10:$L$303,MATCH(tblPivotData[[#This Row],[Time]],PeakCalc!$G$10:$G$303,0))</f>
        <v>0</v>
      </c>
    </row>
    <row r="368" spans="1:9" x14ac:dyDescent="0.25">
      <c r="A368" t="s">
        <v>94</v>
      </c>
      <c r="B368" t="s">
        <v>99</v>
      </c>
      <c r="C368" t="s">
        <v>96</v>
      </c>
      <c r="D368" t="s">
        <v>93</v>
      </c>
      <c r="E368" t="s">
        <v>44</v>
      </c>
      <c r="F368" s="6">
        <v>0.625</v>
      </c>
      <c r="G368">
        <v>0</v>
      </c>
      <c r="H368" s="6">
        <f>FLOOR(tblPivotData[[#This Row],[Time]],Summary!$B$6/1440)</f>
        <v>0.625</v>
      </c>
      <c r="I368" s="49">
        <f>INDEX(PeakCalc!$L$10:$L$303,MATCH(tblPivotData[[#This Row],[Time]],PeakCalc!$G$10:$G$303,0))</f>
        <v>0</v>
      </c>
    </row>
    <row r="369" spans="1:9" x14ac:dyDescent="0.25">
      <c r="A369" t="s">
        <v>94</v>
      </c>
      <c r="B369" t="s">
        <v>99</v>
      </c>
      <c r="C369" t="s">
        <v>96</v>
      </c>
      <c r="D369" t="s">
        <v>93</v>
      </c>
      <c r="E369" t="s">
        <v>44</v>
      </c>
      <c r="F369" s="6">
        <v>0.63541666666666663</v>
      </c>
      <c r="G369">
        <v>0</v>
      </c>
      <c r="H369" s="6">
        <f>FLOOR(tblPivotData[[#This Row],[Time]],Summary!$B$6/1440)</f>
        <v>0.63541666666666663</v>
      </c>
      <c r="I369" s="49">
        <f>INDEX(PeakCalc!$L$10:$L$303,MATCH(tblPivotData[[#This Row],[Time]],PeakCalc!$G$10:$G$303,0))</f>
        <v>0</v>
      </c>
    </row>
    <row r="370" spans="1:9" x14ac:dyDescent="0.25">
      <c r="A370" t="s">
        <v>94</v>
      </c>
      <c r="B370" t="s">
        <v>99</v>
      </c>
      <c r="C370" t="s">
        <v>96</v>
      </c>
      <c r="D370" t="s">
        <v>93</v>
      </c>
      <c r="E370" t="s">
        <v>44</v>
      </c>
      <c r="F370" s="6">
        <v>0.64583333333333337</v>
      </c>
      <c r="G370">
        <v>0</v>
      </c>
      <c r="H370" s="6">
        <f>FLOOR(tblPivotData[[#This Row],[Time]],Summary!$B$6/1440)</f>
        <v>0.64583333333333326</v>
      </c>
      <c r="I370" s="49">
        <f>INDEX(PeakCalc!$L$10:$L$303,MATCH(tblPivotData[[#This Row],[Time]],PeakCalc!$G$10:$G$303,0))</f>
        <v>0</v>
      </c>
    </row>
    <row r="371" spans="1:9" x14ac:dyDescent="0.25">
      <c r="A371" t="s">
        <v>94</v>
      </c>
      <c r="B371" t="s">
        <v>99</v>
      </c>
      <c r="C371" t="s">
        <v>96</v>
      </c>
      <c r="D371" t="s">
        <v>93</v>
      </c>
      <c r="E371" t="s">
        <v>44</v>
      </c>
      <c r="F371" s="6">
        <v>0.65625</v>
      </c>
      <c r="G371">
        <v>1</v>
      </c>
      <c r="H371" s="6">
        <f>FLOOR(tblPivotData[[#This Row],[Time]],Summary!$B$6/1440)</f>
        <v>0.65625</v>
      </c>
      <c r="I371" s="49">
        <f>INDEX(PeakCalc!$L$10:$L$303,MATCH(tblPivotData[[#This Row],[Time]],PeakCalc!$G$10:$G$303,0))</f>
        <v>0</v>
      </c>
    </row>
    <row r="372" spans="1:9" x14ac:dyDescent="0.25">
      <c r="A372" t="s">
        <v>94</v>
      </c>
      <c r="B372" t="s">
        <v>99</v>
      </c>
      <c r="C372" t="s">
        <v>96</v>
      </c>
      <c r="D372" t="s">
        <v>93</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94</v>
      </c>
      <c r="B373" t="s">
        <v>99</v>
      </c>
      <c r="C373" t="s">
        <v>96</v>
      </c>
      <c r="D373" t="s">
        <v>93</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94</v>
      </c>
      <c r="B374" t="s">
        <v>99</v>
      </c>
      <c r="C374" t="s">
        <v>96</v>
      </c>
      <c r="D374" t="s">
        <v>93</v>
      </c>
      <c r="E374" t="s">
        <v>44</v>
      </c>
      <c r="F374" s="6">
        <v>0.6875</v>
      </c>
      <c r="G374">
        <v>0</v>
      </c>
      <c r="H374" s="6">
        <f>FLOOR(tblPivotData[[#This Row],[Time]],Summary!$B$6/1440)</f>
        <v>0.6875</v>
      </c>
      <c r="I374" s="49">
        <f>INDEX(PeakCalc!$L$10:$L$303,MATCH(tblPivotData[[#This Row],[Time]],PeakCalc!$G$10:$G$303,0))</f>
        <v>1</v>
      </c>
    </row>
    <row r="375" spans="1:9" x14ac:dyDescent="0.25">
      <c r="A375" t="s">
        <v>94</v>
      </c>
      <c r="B375" t="s">
        <v>99</v>
      </c>
      <c r="C375" t="s">
        <v>96</v>
      </c>
      <c r="D375" t="s">
        <v>93</v>
      </c>
      <c r="E375" t="s">
        <v>44</v>
      </c>
      <c r="F375" s="6">
        <v>0.69791666666666663</v>
      </c>
      <c r="G375">
        <v>0</v>
      </c>
      <c r="H375" s="6">
        <f>FLOOR(tblPivotData[[#This Row],[Time]],Summary!$B$6/1440)</f>
        <v>0.69791666666666663</v>
      </c>
      <c r="I375" s="49">
        <f>INDEX(PeakCalc!$L$10:$L$303,MATCH(tblPivotData[[#This Row],[Time]],PeakCalc!$G$10:$G$303,0))</f>
        <v>1</v>
      </c>
    </row>
    <row r="376" spans="1:9" x14ac:dyDescent="0.25">
      <c r="A376" t="s">
        <v>94</v>
      </c>
      <c r="B376" t="s">
        <v>99</v>
      </c>
      <c r="C376" t="s">
        <v>96</v>
      </c>
      <c r="D376" t="s">
        <v>93</v>
      </c>
      <c r="E376" t="s">
        <v>44</v>
      </c>
      <c r="F376" s="6">
        <v>0.70833333333333337</v>
      </c>
      <c r="G376">
        <v>0</v>
      </c>
      <c r="H376" s="6">
        <f>FLOOR(tblPivotData[[#This Row],[Time]],Summary!$B$6/1440)</f>
        <v>0.70833333333333326</v>
      </c>
      <c r="I376" s="49">
        <f>INDEX(PeakCalc!$L$10:$L$303,MATCH(tblPivotData[[#This Row],[Time]],PeakCalc!$G$10:$G$303,0))</f>
        <v>1</v>
      </c>
    </row>
    <row r="377" spans="1:9" x14ac:dyDescent="0.25">
      <c r="A377" t="s">
        <v>94</v>
      </c>
      <c r="B377" t="s">
        <v>99</v>
      </c>
      <c r="C377" t="s">
        <v>96</v>
      </c>
      <c r="D377" t="s">
        <v>93</v>
      </c>
      <c r="E377" t="s">
        <v>44</v>
      </c>
      <c r="F377" s="6">
        <v>0.71875</v>
      </c>
      <c r="G377">
        <v>0</v>
      </c>
      <c r="H377" s="6">
        <f>FLOOR(tblPivotData[[#This Row],[Time]],Summary!$B$6/1440)</f>
        <v>0.71875</v>
      </c>
      <c r="I377" s="49">
        <f>INDEX(PeakCalc!$L$10:$L$303,MATCH(tblPivotData[[#This Row],[Time]],PeakCalc!$G$10:$G$303,0))</f>
        <v>1</v>
      </c>
    </row>
    <row r="378" spans="1:9" x14ac:dyDescent="0.25">
      <c r="A378" t="s">
        <v>94</v>
      </c>
      <c r="B378" t="s">
        <v>99</v>
      </c>
      <c r="C378" t="s">
        <v>96</v>
      </c>
      <c r="D378" t="s">
        <v>93</v>
      </c>
      <c r="E378" t="s">
        <v>44</v>
      </c>
      <c r="F378" s="6">
        <v>0.72916666666666663</v>
      </c>
      <c r="G378">
        <v>0</v>
      </c>
      <c r="H378" s="6">
        <f>FLOOR(tblPivotData[[#This Row],[Time]],Summary!$B$6/1440)</f>
        <v>0.72916666666666663</v>
      </c>
      <c r="I378" s="49">
        <f>INDEX(PeakCalc!$L$10:$L$303,MATCH(tblPivotData[[#This Row],[Time]],PeakCalc!$G$10:$G$303,0))</f>
        <v>0</v>
      </c>
    </row>
    <row r="379" spans="1:9" x14ac:dyDescent="0.25">
      <c r="A379" t="s">
        <v>94</v>
      </c>
      <c r="B379" t="s">
        <v>99</v>
      </c>
      <c r="C379" t="s">
        <v>96</v>
      </c>
      <c r="D379" t="s">
        <v>93</v>
      </c>
      <c r="E379" t="s">
        <v>44</v>
      </c>
      <c r="F379" s="6">
        <v>0.73958333333333337</v>
      </c>
      <c r="G379">
        <v>0</v>
      </c>
      <c r="H379" s="6">
        <f>FLOOR(tblPivotData[[#This Row],[Time]],Summary!$B$6/1440)</f>
        <v>0.73958333333333326</v>
      </c>
      <c r="I379" s="49">
        <f>INDEX(PeakCalc!$L$10:$L$303,MATCH(tblPivotData[[#This Row],[Time]],PeakCalc!$G$10:$G$303,0))</f>
        <v>0</v>
      </c>
    </row>
    <row r="380" spans="1:9" x14ac:dyDescent="0.25">
      <c r="A380" t="s">
        <v>94</v>
      </c>
      <c r="B380" t="s">
        <v>99</v>
      </c>
      <c r="C380" t="s">
        <v>96</v>
      </c>
      <c r="D380" t="s">
        <v>93</v>
      </c>
      <c r="E380" t="s">
        <v>44</v>
      </c>
      <c r="F380" s="6">
        <v>0.75</v>
      </c>
      <c r="G380">
        <v>0</v>
      </c>
      <c r="H380" s="6">
        <f>FLOOR(tblPivotData[[#This Row],[Time]],Summary!$B$6/1440)</f>
        <v>0.75</v>
      </c>
      <c r="I380" s="49">
        <f>INDEX(PeakCalc!$L$10:$L$303,MATCH(tblPivotData[[#This Row],[Time]],PeakCalc!$G$10:$G$303,0))</f>
        <v>0</v>
      </c>
    </row>
    <row r="381" spans="1:9" x14ac:dyDescent="0.25">
      <c r="A381" t="s">
        <v>94</v>
      </c>
      <c r="B381" t="s">
        <v>99</v>
      </c>
      <c r="C381" t="s">
        <v>96</v>
      </c>
      <c r="D381" t="s">
        <v>93</v>
      </c>
      <c r="E381" t="s">
        <v>44</v>
      </c>
      <c r="F381" s="6">
        <v>0.76041666666666663</v>
      </c>
      <c r="G381">
        <v>0</v>
      </c>
      <c r="H381" s="6">
        <f>FLOOR(tblPivotData[[#This Row],[Time]],Summary!$B$6/1440)</f>
        <v>0.76041666666666663</v>
      </c>
      <c r="I381" s="49">
        <f>INDEX(PeakCalc!$L$10:$L$303,MATCH(tblPivotData[[#This Row],[Time]],PeakCalc!$G$10:$G$303,0))</f>
        <v>0</v>
      </c>
    </row>
    <row r="382" spans="1:9" x14ac:dyDescent="0.25">
      <c r="A382" t="s">
        <v>94</v>
      </c>
      <c r="B382" t="s">
        <v>100</v>
      </c>
      <c r="C382" t="s">
        <v>97</v>
      </c>
      <c r="D382" t="s">
        <v>89</v>
      </c>
      <c r="E382" t="s">
        <v>43</v>
      </c>
      <c r="F382" s="6">
        <v>0.27083333333333331</v>
      </c>
      <c r="G382">
        <v>28</v>
      </c>
      <c r="H382" s="6">
        <f>FLOOR(tblPivotData[[#This Row],[Time]],Summary!$B$6/1440)</f>
        <v>0.27083333333333331</v>
      </c>
      <c r="I382" s="49">
        <f>INDEX(PeakCalc!$L$10:$L$303,MATCH(tblPivotData[[#This Row],[Time]],PeakCalc!$G$10:$G$303,0))</f>
        <v>0</v>
      </c>
    </row>
    <row r="383" spans="1:9" x14ac:dyDescent="0.25">
      <c r="A383" t="s">
        <v>94</v>
      </c>
      <c r="B383" t="s">
        <v>100</v>
      </c>
      <c r="C383" t="s">
        <v>97</v>
      </c>
      <c r="D383" t="s">
        <v>89</v>
      </c>
      <c r="E383" t="s">
        <v>43</v>
      </c>
      <c r="F383" s="6">
        <v>0.28125</v>
      </c>
      <c r="G383">
        <v>49</v>
      </c>
      <c r="H383" s="6">
        <f>FLOOR(tblPivotData[[#This Row],[Time]],Summary!$B$6/1440)</f>
        <v>0.28125</v>
      </c>
      <c r="I383" s="49">
        <f>INDEX(PeakCalc!$L$10:$L$303,MATCH(tblPivotData[[#This Row],[Time]],PeakCalc!$G$10:$G$303,0))</f>
        <v>0</v>
      </c>
    </row>
    <row r="384" spans="1:9" x14ac:dyDescent="0.25">
      <c r="A384" t="s">
        <v>94</v>
      </c>
      <c r="B384" t="s">
        <v>100</v>
      </c>
      <c r="C384" t="s">
        <v>97</v>
      </c>
      <c r="D384" t="s">
        <v>89</v>
      </c>
      <c r="E384" t="s">
        <v>43</v>
      </c>
      <c r="F384" s="6">
        <v>0.29166666666666669</v>
      </c>
      <c r="G384">
        <v>56</v>
      </c>
      <c r="H384" s="6">
        <f>FLOOR(tblPivotData[[#This Row],[Time]],Summary!$B$6/1440)</f>
        <v>0.29166666666666663</v>
      </c>
      <c r="I384" s="49">
        <f>INDEX(PeakCalc!$L$10:$L$303,MATCH(tblPivotData[[#This Row],[Time]],PeakCalc!$G$10:$G$303,0))</f>
        <v>0</v>
      </c>
    </row>
    <row r="385" spans="1:9" x14ac:dyDescent="0.25">
      <c r="A385" t="s">
        <v>94</v>
      </c>
      <c r="B385" t="s">
        <v>100</v>
      </c>
      <c r="C385" t="s">
        <v>97</v>
      </c>
      <c r="D385" t="s">
        <v>89</v>
      </c>
      <c r="E385" t="s">
        <v>43</v>
      </c>
      <c r="F385" s="6">
        <v>0.30208333333333331</v>
      </c>
      <c r="G385">
        <v>72</v>
      </c>
      <c r="H385" s="6">
        <f>FLOOR(tblPivotData[[#This Row],[Time]],Summary!$B$6/1440)</f>
        <v>0.30208333333333331</v>
      </c>
      <c r="I385" s="49">
        <f>INDEX(PeakCalc!$L$10:$L$303,MATCH(tblPivotData[[#This Row],[Time]],PeakCalc!$G$10:$G$303,0))</f>
        <v>0</v>
      </c>
    </row>
    <row r="386" spans="1:9" x14ac:dyDescent="0.25">
      <c r="A386" t="s">
        <v>94</v>
      </c>
      <c r="B386" t="s">
        <v>100</v>
      </c>
      <c r="C386" t="s">
        <v>97</v>
      </c>
      <c r="D386" t="s">
        <v>89</v>
      </c>
      <c r="E386" t="s">
        <v>43</v>
      </c>
      <c r="F386" s="6">
        <v>0.3125</v>
      </c>
      <c r="G386">
        <v>74</v>
      </c>
      <c r="H386" s="6">
        <f>FLOOR(tblPivotData[[#This Row],[Time]],Summary!$B$6/1440)</f>
        <v>0.3125</v>
      </c>
      <c r="I386" s="49">
        <f>INDEX(PeakCalc!$L$10:$L$303,MATCH(tblPivotData[[#This Row],[Time]],PeakCalc!$G$10:$G$303,0))</f>
        <v>0</v>
      </c>
    </row>
    <row r="387" spans="1:9" x14ac:dyDescent="0.25">
      <c r="A387" t="s">
        <v>94</v>
      </c>
      <c r="B387" t="s">
        <v>100</v>
      </c>
      <c r="C387" t="s">
        <v>97</v>
      </c>
      <c r="D387" t="s">
        <v>89</v>
      </c>
      <c r="E387" t="s">
        <v>43</v>
      </c>
      <c r="F387" s="6">
        <v>0.32291666666666669</v>
      </c>
      <c r="G387">
        <v>88</v>
      </c>
      <c r="H387" s="6">
        <f>FLOOR(tblPivotData[[#This Row],[Time]],Summary!$B$6/1440)</f>
        <v>0.32291666666666663</v>
      </c>
      <c r="I387" s="49">
        <f>INDEX(PeakCalc!$L$10:$L$303,MATCH(tblPivotData[[#This Row],[Time]],PeakCalc!$G$10:$G$303,0))</f>
        <v>1</v>
      </c>
    </row>
    <row r="388" spans="1:9" x14ac:dyDescent="0.25">
      <c r="A388" t="s">
        <v>94</v>
      </c>
      <c r="B388" t="s">
        <v>100</v>
      </c>
      <c r="C388" t="s">
        <v>97</v>
      </c>
      <c r="D388" t="s">
        <v>89</v>
      </c>
      <c r="E388" t="s">
        <v>43</v>
      </c>
      <c r="F388" s="6">
        <v>0.33333333333333331</v>
      </c>
      <c r="G388">
        <v>86</v>
      </c>
      <c r="H388" s="6">
        <f>FLOOR(tblPivotData[[#This Row],[Time]],Summary!$B$6/1440)</f>
        <v>0.33333333333333331</v>
      </c>
      <c r="I388" s="49">
        <f>INDEX(PeakCalc!$L$10:$L$303,MATCH(tblPivotData[[#This Row],[Time]],PeakCalc!$G$10:$G$303,0))</f>
        <v>1</v>
      </c>
    </row>
    <row r="389" spans="1:9" x14ac:dyDescent="0.25">
      <c r="A389" t="s">
        <v>94</v>
      </c>
      <c r="B389" t="s">
        <v>100</v>
      </c>
      <c r="C389" t="s">
        <v>97</v>
      </c>
      <c r="D389" t="s">
        <v>89</v>
      </c>
      <c r="E389" t="s">
        <v>43</v>
      </c>
      <c r="F389" s="6">
        <v>0.34375</v>
      </c>
      <c r="G389">
        <v>94</v>
      </c>
      <c r="H389" s="6">
        <f>FLOOR(tblPivotData[[#This Row],[Time]],Summary!$B$6/1440)</f>
        <v>0.34375</v>
      </c>
      <c r="I389" s="49">
        <f>INDEX(PeakCalc!$L$10:$L$303,MATCH(tblPivotData[[#This Row],[Time]],PeakCalc!$G$10:$G$303,0))</f>
        <v>1</v>
      </c>
    </row>
    <row r="390" spans="1:9" x14ac:dyDescent="0.25">
      <c r="A390" t="s">
        <v>94</v>
      </c>
      <c r="B390" t="s">
        <v>100</v>
      </c>
      <c r="C390" t="s">
        <v>97</v>
      </c>
      <c r="D390" t="s">
        <v>89</v>
      </c>
      <c r="E390" t="s">
        <v>43</v>
      </c>
      <c r="F390" s="6">
        <v>0.35416666666666669</v>
      </c>
      <c r="G390">
        <v>107</v>
      </c>
      <c r="H390" s="6">
        <f>FLOOR(tblPivotData[[#This Row],[Time]],Summary!$B$6/1440)</f>
        <v>0.35416666666666663</v>
      </c>
      <c r="I390" s="49">
        <f>INDEX(PeakCalc!$L$10:$L$303,MATCH(tblPivotData[[#This Row],[Time]],PeakCalc!$G$10:$G$303,0))</f>
        <v>1</v>
      </c>
    </row>
    <row r="391" spans="1:9" x14ac:dyDescent="0.25">
      <c r="A391" t="s">
        <v>94</v>
      </c>
      <c r="B391" t="s">
        <v>100</v>
      </c>
      <c r="C391" t="s">
        <v>97</v>
      </c>
      <c r="D391" t="s">
        <v>89</v>
      </c>
      <c r="E391" t="s">
        <v>43</v>
      </c>
      <c r="F391" s="6">
        <v>0.36458333333333331</v>
      </c>
      <c r="G391">
        <v>86</v>
      </c>
      <c r="H391" s="6">
        <f>FLOOR(tblPivotData[[#This Row],[Time]],Summary!$B$6/1440)</f>
        <v>0.36458333333333331</v>
      </c>
      <c r="I391" s="49">
        <f>INDEX(PeakCalc!$L$10:$L$303,MATCH(tblPivotData[[#This Row],[Time]],PeakCalc!$G$10:$G$303,0))</f>
        <v>0</v>
      </c>
    </row>
    <row r="392" spans="1:9" x14ac:dyDescent="0.25">
      <c r="A392" t="s">
        <v>94</v>
      </c>
      <c r="B392" t="s">
        <v>100</v>
      </c>
      <c r="C392" t="s">
        <v>97</v>
      </c>
      <c r="D392" t="s">
        <v>89</v>
      </c>
      <c r="E392" t="s">
        <v>43</v>
      </c>
      <c r="F392" s="6">
        <v>0.375</v>
      </c>
      <c r="G392">
        <v>90</v>
      </c>
      <c r="H392" s="6">
        <f>FLOOR(tblPivotData[[#This Row],[Time]],Summary!$B$6/1440)</f>
        <v>0.375</v>
      </c>
      <c r="I392" s="49">
        <f>INDEX(PeakCalc!$L$10:$L$303,MATCH(tblPivotData[[#This Row],[Time]],PeakCalc!$G$10:$G$303,0))</f>
        <v>0</v>
      </c>
    </row>
    <row r="393" spans="1:9" x14ac:dyDescent="0.25">
      <c r="A393" t="s">
        <v>94</v>
      </c>
      <c r="B393" t="s">
        <v>100</v>
      </c>
      <c r="C393" t="s">
        <v>97</v>
      </c>
      <c r="D393" t="s">
        <v>89</v>
      </c>
      <c r="E393" t="s">
        <v>43</v>
      </c>
      <c r="F393" s="6">
        <v>0.38541666666666669</v>
      </c>
      <c r="G393">
        <v>58</v>
      </c>
      <c r="H393" s="6">
        <f>FLOOR(tblPivotData[[#This Row],[Time]],Summary!$B$6/1440)</f>
        <v>0.38541666666666663</v>
      </c>
      <c r="I393" s="49">
        <f>INDEX(PeakCalc!$L$10:$L$303,MATCH(tblPivotData[[#This Row],[Time]],PeakCalc!$G$10:$G$303,0))</f>
        <v>0</v>
      </c>
    </row>
    <row r="394" spans="1:9" x14ac:dyDescent="0.25">
      <c r="A394" t="s">
        <v>94</v>
      </c>
      <c r="B394" t="s">
        <v>100</v>
      </c>
      <c r="C394" t="s">
        <v>97</v>
      </c>
      <c r="D394" t="s">
        <v>89</v>
      </c>
      <c r="E394" t="s">
        <v>110</v>
      </c>
      <c r="F394" s="6">
        <v>0.45833333333333331</v>
      </c>
      <c r="G394">
        <v>55</v>
      </c>
      <c r="H394" s="6">
        <f>FLOOR(tblPivotData[[#This Row],[Time]],Summary!$B$6/1440)</f>
        <v>0.45833333333333331</v>
      </c>
      <c r="I394" s="49">
        <f>INDEX(PeakCalc!$L$10:$L$303,MATCH(tblPivotData[[#This Row],[Time]],PeakCalc!$G$10:$G$303,0))</f>
        <v>0</v>
      </c>
    </row>
    <row r="395" spans="1:9" x14ac:dyDescent="0.25">
      <c r="A395" t="s">
        <v>94</v>
      </c>
      <c r="B395" t="s">
        <v>100</v>
      </c>
      <c r="C395" t="s">
        <v>97</v>
      </c>
      <c r="D395" t="s">
        <v>89</v>
      </c>
      <c r="E395" t="s">
        <v>110</v>
      </c>
      <c r="F395" s="6">
        <v>0.46875</v>
      </c>
      <c r="G395">
        <v>63</v>
      </c>
      <c r="H395" s="6">
        <f>FLOOR(tblPivotData[[#This Row],[Time]],Summary!$B$6/1440)</f>
        <v>0.46875</v>
      </c>
      <c r="I395" s="49">
        <f>INDEX(PeakCalc!$L$10:$L$303,MATCH(tblPivotData[[#This Row],[Time]],PeakCalc!$G$10:$G$303,0))</f>
        <v>0</v>
      </c>
    </row>
    <row r="396" spans="1:9" x14ac:dyDescent="0.25">
      <c r="A396" t="s">
        <v>94</v>
      </c>
      <c r="B396" t="s">
        <v>100</v>
      </c>
      <c r="C396" t="s">
        <v>97</v>
      </c>
      <c r="D396" t="s">
        <v>89</v>
      </c>
      <c r="E396" t="s">
        <v>110</v>
      </c>
      <c r="F396" s="6">
        <v>0.47916666666666669</v>
      </c>
      <c r="G396">
        <v>70</v>
      </c>
      <c r="H396" s="6">
        <f>FLOOR(tblPivotData[[#This Row],[Time]],Summary!$B$6/1440)</f>
        <v>0.47916666666666663</v>
      </c>
      <c r="I396" s="49">
        <f>INDEX(PeakCalc!$L$10:$L$303,MATCH(tblPivotData[[#This Row],[Time]],PeakCalc!$G$10:$G$303,0))</f>
        <v>0</v>
      </c>
    </row>
    <row r="397" spans="1:9" x14ac:dyDescent="0.25">
      <c r="A397" t="s">
        <v>94</v>
      </c>
      <c r="B397" t="s">
        <v>100</v>
      </c>
      <c r="C397" t="s">
        <v>97</v>
      </c>
      <c r="D397" t="s">
        <v>89</v>
      </c>
      <c r="E397" t="s">
        <v>110</v>
      </c>
      <c r="F397" s="6">
        <v>0.48958333333333331</v>
      </c>
      <c r="G397">
        <v>76</v>
      </c>
      <c r="H397" s="6">
        <f>FLOOR(tblPivotData[[#This Row],[Time]],Summary!$B$6/1440)</f>
        <v>0.48958333333333331</v>
      </c>
      <c r="I397" s="49">
        <f>INDEX(PeakCalc!$L$10:$L$303,MATCH(tblPivotData[[#This Row],[Time]],PeakCalc!$G$10:$G$303,0))</f>
        <v>0</v>
      </c>
    </row>
    <row r="398" spans="1:9" x14ac:dyDescent="0.25">
      <c r="A398" t="s">
        <v>94</v>
      </c>
      <c r="B398" t="s">
        <v>100</v>
      </c>
      <c r="C398" t="s">
        <v>97</v>
      </c>
      <c r="D398" t="s">
        <v>89</v>
      </c>
      <c r="E398" t="s">
        <v>110</v>
      </c>
      <c r="F398" s="6">
        <v>0.5</v>
      </c>
      <c r="G398">
        <v>61</v>
      </c>
      <c r="H398" s="6">
        <f>FLOOR(tblPivotData[[#This Row],[Time]],Summary!$B$6/1440)</f>
        <v>0.5</v>
      </c>
      <c r="I398" s="49">
        <f>INDEX(PeakCalc!$L$10:$L$303,MATCH(tblPivotData[[#This Row],[Time]],PeakCalc!$G$10:$G$303,0))</f>
        <v>0</v>
      </c>
    </row>
    <row r="399" spans="1:9" x14ac:dyDescent="0.25">
      <c r="A399" t="s">
        <v>94</v>
      </c>
      <c r="B399" t="s">
        <v>100</v>
      </c>
      <c r="C399" t="s">
        <v>97</v>
      </c>
      <c r="D399" t="s">
        <v>89</v>
      </c>
      <c r="E399" t="s">
        <v>110</v>
      </c>
      <c r="F399" s="6">
        <v>0.51041666666666663</v>
      </c>
      <c r="G399">
        <v>60</v>
      </c>
      <c r="H399" s="6">
        <f>FLOOR(tblPivotData[[#This Row],[Time]],Summary!$B$6/1440)</f>
        <v>0.51041666666666663</v>
      </c>
      <c r="I399" s="49">
        <f>INDEX(PeakCalc!$L$10:$L$303,MATCH(tblPivotData[[#This Row],[Time]],PeakCalc!$G$10:$G$303,0))</f>
        <v>0</v>
      </c>
    </row>
    <row r="400" spans="1:9" x14ac:dyDescent="0.25">
      <c r="A400" t="s">
        <v>94</v>
      </c>
      <c r="B400" t="s">
        <v>100</v>
      </c>
      <c r="C400" t="s">
        <v>97</v>
      </c>
      <c r="D400" t="s">
        <v>89</v>
      </c>
      <c r="E400" t="s">
        <v>110</v>
      </c>
      <c r="F400" s="6">
        <v>0.52083333333333337</v>
      </c>
      <c r="G400">
        <v>77</v>
      </c>
      <c r="H400" s="6">
        <f>FLOOR(tblPivotData[[#This Row],[Time]],Summary!$B$6/1440)</f>
        <v>0.52083333333333326</v>
      </c>
      <c r="I400" s="49">
        <f>INDEX(PeakCalc!$L$10:$L$303,MATCH(tblPivotData[[#This Row],[Time]],PeakCalc!$G$10:$G$303,0))</f>
        <v>1</v>
      </c>
    </row>
    <row r="401" spans="1:9" x14ac:dyDescent="0.25">
      <c r="A401" t="s">
        <v>94</v>
      </c>
      <c r="B401" t="s">
        <v>100</v>
      </c>
      <c r="C401" t="s">
        <v>97</v>
      </c>
      <c r="D401" t="s">
        <v>89</v>
      </c>
      <c r="E401" t="s">
        <v>110</v>
      </c>
      <c r="F401" s="6">
        <v>0.53125</v>
      </c>
      <c r="G401">
        <v>69</v>
      </c>
      <c r="H401" s="6">
        <f>FLOOR(tblPivotData[[#This Row],[Time]],Summary!$B$6/1440)</f>
        <v>0.53125</v>
      </c>
      <c r="I401" s="49">
        <f>INDEX(PeakCalc!$L$10:$L$303,MATCH(tblPivotData[[#This Row],[Time]],PeakCalc!$G$10:$G$303,0))</f>
        <v>1</v>
      </c>
    </row>
    <row r="402" spans="1:9" x14ac:dyDescent="0.25">
      <c r="A402" t="s">
        <v>94</v>
      </c>
      <c r="B402" t="s">
        <v>100</v>
      </c>
      <c r="C402" t="s">
        <v>97</v>
      </c>
      <c r="D402" t="s">
        <v>89</v>
      </c>
      <c r="E402" t="s">
        <v>110</v>
      </c>
      <c r="F402" s="6">
        <v>0.54166666666666663</v>
      </c>
      <c r="G402">
        <v>55</v>
      </c>
      <c r="H402" s="6">
        <f>FLOOR(tblPivotData[[#This Row],[Time]],Summary!$B$6/1440)</f>
        <v>0.54166666666666663</v>
      </c>
      <c r="I402" s="49">
        <f>INDEX(PeakCalc!$L$10:$L$303,MATCH(tblPivotData[[#This Row],[Time]],PeakCalc!$G$10:$G$303,0))</f>
        <v>1</v>
      </c>
    </row>
    <row r="403" spans="1:9" x14ac:dyDescent="0.25">
      <c r="A403" t="s">
        <v>94</v>
      </c>
      <c r="B403" t="s">
        <v>100</v>
      </c>
      <c r="C403" t="s">
        <v>97</v>
      </c>
      <c r="D403" t="s">
        <v>89</v>
      </c>
      <c r="E403" t="s">
        <v>110</v>
      </c>
      <c r="F403" s="6">
        <v>0.55208333333333337</v>
      </c>
      <c r="G403">
        <v>63</v>
      </c>
      <c r="H403" s="6">
        <f>FLOOR(tblPivotData[[#This Row],[Time]],Summary!$B$6/1440)</f>
        <v>0.55208333333333326</v>
      </c>
      <c r="I403" s="49">
        <f>INDEX(PeakCalc!$L$10:$L$303,MATCH(tblPivotData[[#This Row],[Time]],PeakCalc!$G$10:$G$303,0))</f>
        <v>1</v>
      </c>
    </row>
    <row r="404" spans="1:9" x14ac:dyDescent="0.25">
      <c r="A404" t="s">
        <v>94</v>
      </c>
      <c r="B404" t="s">
        <v>100</v>
      </c>
      <c r="C404" t="s">
        <v>97</v>
      </c>
      <c r="D404" t="s">
        <v>89</v>
      </c>
      <c r="E404" t="s">
        <v>110</v>
      </c>
      <c r="F404" s="6">
        <v>0.5625</v>
      </c>
      <c r="G404">
        <v>72</v>
      </c>
      <c r="H404" s="6">
        <f>FLOOR(tblPivotData[[#This Row],[Time]],Summary!$B$6/1440)</f>
        <v>0.5625</v>
      </c>
      <c r="I404" s="49">
        <f>INDEX(PeakCalc!$L$10:$L$303,MATCH(tblPivotData[[#This Row],[Time]],PeakCalc!$G$10:$G$303,0))</f>
        <v>0</v>
      </c>
    </row>
    <row r="405" spans="1:9" x14ac:dyDescent="0.25">
      <c r="A405" t="s">
        <v>94</v>
      </c>
      <c r="B405" t="s">
        <v>100</v>
      </c>
      <c r="C405" t="s">
        <v>97</v>
      </c>
      <c r="D405" t="s">
        <v>89</v>
      </c>
      <c r="E405" t="s">
        <v>110</v>
      </c>
      <c r="F405" s="6">
        <v>0.57291666666666663</v>
      </c>
      <c r="G405">
        <v>61</v>
      </c>
      <c r="H405" s="6">
        <f>FLOOR(tblPivotData[[#This Row],[Time]],Summary!$B$6/1440)</f>
        <v>0.57291666666666663</v>
      </c>
      <c r="I405" s="49">
        <f>INDEX(PeakCalc!$L$10:$L$303,MATCH(tblPivotData[[#This Row],[Time]],PeakCalc!$G$10:$G$303,0))</f>
        <v>0</v>
      </c>
    </row>
    <row r="406" spans="1:9" x14ac:dyDescent="0.25">
      <c r="A406" t="s">
        <v>94</v>
      </c>
      <c r="B406" t="s">
        <v>100</v>
      </c>
      <c r="C406" t="s">
        <v>97</v>
      </c>
      <c r="D406" t="s">
        <v>89</v>
      </c>
      <c r="E406" t="s">
        <v>44</v>
      </c>
      <c r="F406" s="6">
        <v>0.625</v>
      </c>
      <c r="G406">
        <v>50</v>
      </c>
      <c r="H406" s="6">
        <f>FLOOR(tblPivotData[[#This Row],[Time]],Summary!$B$6/1440)</f>
        <v>0.625</v>
      </c>
      <c r="I406" s="49">
        <f>INDEX(PeakCalc!$L$10:$L$303,MATCH(tblPivotData[[#This Row],[Time]],PeakCalc!$G$10:$G$303,0))</f>
        <v>0</v>
      </c>
    </row>
    <row r="407" spans="1:9" x14ac:dyDescent="0.25">
      <c r="A407" t="s">
        <v>94</v>
      </c>
      <c r="B407" t="s">
        <v>100</v>
      </c>
      <c r="C407" t="s">
        <v>97</v>
      </c>
      <c r="D407" t="s">
        <v>89</v>
      </c>
      <c r="E407" t="s">
        <v>44</v>
      </c>
      <c r="F407" s="6">
        <v>0.63541666666666663</v>
      </c>
      <c r="G407">
        <v>68</v>
      </c>
      <c r="H407" s="6">
        <f>FLOOR(tblPivotData[[#This Row],[Time]],Summary!$B$6/1440)</f>
        <v>0.63541666666666663</v>
      </c>
      <c r="I407" s="49">
        <f>INDEX(PeakCalc!$L$10:$L$303,MATCH(tblPivotData[[#This Row],[Time]],PeakCalc!$G$10:$G$303,0))</f>
        <v>0</v>
      </c>
    </row>
    <row r="408" spans="1:9" x14ac:dyDescent="0.25">
      <c r="A408" t="s">
        <v>94</v>
      </c>
      <c r="B408" t="s">
        <v>100</v>
      </c>
      <c r="C408" t="s">
        <v>97</v>
      </c>
      <c r="D408" t="s">
        <v>89</v>
      </c>
      <c r="E408" t="s">
        <v>44</v>
      </c>
      <c r="F408" s="6">
        <v>0.64583333333333337</v>
      </c>
      <c r="G408">
        <v>79</v>
      </c>
      <c r="H408" s="6">
        <f>FLOOR(tblPivotData[[#This Row],[Time]],Summary!$B$6/1440)</f>
        <v>0.64583333333333326</v>
      </c>
      <c r="I408" s="49">
        <f>INDEX(PeakCalc!$L$10:$L$303,MATCH(tblPivotData[[#This Row],[Time]],PeakCalc!$G$10:$G$303,0))</f>
        <v>0</v>
      </c>
    </row>
    <row r="409" spans="1:9" x14ac:dyDescent="0.25">
      <c r="A409" t="s">
        <v>94</v>
      </c>
      <c r="B409" t="s">
        <v>100</v>
      </c>
      <c r="C409" t="s">
        <v>97</v>
      </c>
      <c r="D409" t="s">
        <v>89</v>
      </c>
      <c r="E409" t="s">
        <v>44</v>
      </c>
      <c r="F409" s="6">
        <v>0.65625</v>
      </c>
      <c r="G409">
        <v>89</v>
      </c>
      <c r="H409" s="6">
        <f>FLOOR(tblPivotData[[#This Row],[Time]],Summary!$B$6/1440)</f>
        <v>0.65625</v>
      </c>
      <c r="I409" s="49">
        <f>INDEX(PeakCalc!$L$10:$L$303,MATCH(tblPivotData[[#This Row],[Time]],PeakCalc!$G$10:$G$303,0))</f>
        <v>0</v>
      </c>
    </row>
    <row r="410" spans="1:9" x14ac:dyDescent="0.25">
      <c r="A410" t="s">
        <v>94</v>
      </c>
      <c r="B410" t="s">
        <v>100</v>
      </c>
      <c r="C410" t="s">
        <v>97</v>
      </c>
      <c r="D410" t="s">
        <v>89</v>
      </c>
      <c r="E410" t="s">
        <v>44</v>
      </c>
      <c r="F410" s="6">
        <v>0.66666666666666663</v>
      </c>
      <c r="G410">
        <v>52</v>
      </c>
      <c r="H410" s="6">
        <f>FLOOR(tblPivotData[[#This Row],[Time]],Summary!$B$6/1440)</f>
        <v>0.66666666666666663</v>
      </c>
      <c r="I410" s="49">
        <f>INDEX(PeakCalc!$L$10:$L$303,MATCH(tblPivotData[[#This Row],[Time]],PeakCalc!$G$10:$G$303,0))</f>
        <v>0</v>
      </c>
    </row>
    <row r="411" spans="1:9" x14ac:dyDescent="0.25">
      <c r="A411" t="s">
        <v>94</v>
      </c>
      <c r="B411" t="s">
        <v>100</v>
      </c>
      <c r="C411" t="s">
        <v>97</v>
      </c>
      <c r="D411" t="s">
        <v>89</v>
      </c>
      <c r="E411" t="s">
        <v>44</v>
      </c>
      <c r="F411" s="6">
        <v>0.67708333333333337</v>
      </c>
      <c r="G411">
        <v>60</v>
      </c>
      <c r="H411" s="6">
        <f>FLOOR(tblPivotData[[#This Row],[Time]],Summary!$B$6/1440)</f>
        <v>0.67708333333333326</v>
      </c>
      <c r="I411" s="49">
        <f>INDEX(PeakCalc!$L$10:$L$303,MATCH(tblPivotData[[#This Row],[Time]],PeakCalc!$G$10:$G$303,0))</f>
        <v>0</v>
      </c>
    </row>
    <row r="412" spans="1:9" x14ac:dyDescent="0.25">
      <c r="A412" t="s">
        <v>94</v>
      </c>
      <c r="B412" t="s">
        <v>100</v>
      </c>
      <c r="C412" t="s">
        <v>97</v>
      </c>
      <c r="D412" t="s">
        <v>89</v>
      </c>
      <c r="E412" t="s">
        <v>44</v>
      </c>
      <c r="F412" s="6">
        <v>0.6875</v>
      </c>
      <c r="G412">
        <v>71</v>
      </c>
      <c r="H412" s="6">
        <f>FLOOR(tblPivotData[[#This Row],[Time]],Summary!$B$6/1440)</f>
        <v>0.6875</v>
      </c>
      <c r="I412" s="49">
        <f>INDEX(PeakCalc!$L$10:$L$303,MATCH(tblPivotData[[#This Row],[Time]],PeakCalc!$G$10:$G$303,0))</f>
        <v>1</v>
      </c>
    </row>
    <row r="413" spans="1:9" x14ac:dyDescent="0.25">
      <c r="A413" t="s">
        <v>94</v>
      </c>
      <c r="B413" t="s">
        <v>100</v>
      </c>
      <c r="C413" t="s">
        <v>97</v>
      </c>
      <c r="D413" t="s">
        <v>89</v>
      </c>
      <c r="E413" t="s">
        <v>44</v>
      </c>
      <c r="F413" s="6">
        <v>0.69791666666666663</v>
      </c>
      <c r="G413">
        <v>50</v>
      </c>
      <c r="H413" s="6">
        <f>FLOOR(tblPivotData[[#This Row],[Time]],Summary!$B$6/1440)</f>
        <v>0.69791666666666663</v>
      </c>
      <c r="I413" s="49">
        <f>INDEX(PeakCalc!$L$10:$L$303,MATCH(tblPivotData[[#This Row],[Time]],PeakCalc!$G$10:$G$303,0))</f>
        <v>1</v>
      </c>
    </row>
    <row r="414" spans="1:9" x14ac:dyDescent="0.25">
      <c r="A414" t="s">
        <v>94</v>
      </c>
      <c r="B414" t="s">
        <v>100</v>
      </c>
      <c r="C414" t="s">
        <v>97</v>
      </c>
      <c r="D414" t="s">
        <v>89</v>
      </c>
      <c r="E414" t="s">
        <v>44</v>
      </c>
      <c r="F414" s="6">
        <v>0.70833333333333337</v>
      </c>
      <c r="G414">
        <v>73</v>
      </c>
      <c r="H414" s="6">
        <f>FLOOR(tblPivotData[[#This Row],[Time]],Summary!$B$6/1440)</f>
        <v>0.70833333333333326</v>
      </c>
      <c r="I414" s="49">
        <f>INDEX(PeakCalc!$L$10:$L$303,MATCH(tblPivotData[[#This Row],[Time]],PeakCalc!$G$10:$G$303,0))</f>
        <v>1</v>
      </c>
    </row>
    <row r="415" spans="1:9" x14ac:dyDescent="0.25">
      <c r="A415" t="s">
        <v>94</v>
      </c>
      <c r="B415" t="s">
        <v>100</v>
      </c>
      <c r="C415" t="s">
        <v>97</v>
      </c>
      <c r="D415" t="s">
        <v>89</v>
      </c>
      <c r="E415" t="s">
        <v>44</v>
      </c>
      <c r="F415" s="6">
        <v>0.71875</v>
      </c>
      <c r="G415">
        <v>63</v>
      </c>
      <c r="H415" s="6">
        <f>FLOOR(tblPivotData[[#This Row],[Time]],Summary!$B$6/1440)</f>
        <v>0.71875</v>
      </c>
      <c r="I415" s="49">
        <f>INDEX(PeakCalc!$L$10:$L$303,MATCH(tblPivotData[[#This Row],[Time]],PeakCalc!$G$10:$G$303,0))</f>
        <v>1</v>
      </c>
    </row>
    <row r="416" spans="1:9" x14ac:dyDescent="0.25">
      <c r="A416" t="s">
        <v>94</v>
      </c>
      <c r="B416" t="s">
        <v>100</v>
      </c>
      <c r="C416" t="s">
        <v>97</v>
      </c>
      <c r="D416" t="s">
        <v>89</v>
      </c>
      <c r="E416" t="s">
        <v>44</v>
      </c>
      <c r="F416" s="6">
        <v>0.72916666666666663</v>
      </c>
      <c r="G416">
        <v>76</v>
      </c>
      <c r="H416" s="6">
        <f>FLOOR(tblPivotData[[#This Row],[Time]],Summary!$B$6/1440)</f>
        <v>0.72916666666666663</v>
      </c>
      <c r="I416" s="49">
        <f>INDEX(PeakCalc!$L$10:$L$303,MATCH(tblPivotData[[#This Row],[Time]],PeakCalc!$G$10:$G$303,0))</f>
        <v>0</v>
      </c>
    </row>
    <row r="417" spans="1:9" x14ac:dyDescent="0.25">
      <c r="A417" t="s">
        <v>94</v>
      </c>
      <c r="B417" t="s">
        <v>100</v>
      </c>
      <c r="C417" t="s">
        <v>97</v>
      </c>
      <c r="D417" t="s">
        <v>89</v>
      </c>
      <c r="E417" t="s">
        <v>44</v>
      </c>
      <c r="F417" s="6">
        <v>0.73958333333333337</v>
      </c>
      <c r="G417">
        <v>61</v>
      </c>
      <c r="H417" s="6">
        <f>FLOOR(tblPivotData[[#This Row],[Time]],Summary!$B$6/1440)</f>
        <v>0.73958333333333326</v>
      </c>
      <c r="I417" s="49">
        <f>INDEX(PeakCalc!$L$10:$L$303,MATCH(tblPivotData[[#This Row],[Time]],PeakCalc!$G$10:$G$303,0))</f>
        <v>0</v>
      </c>
    </row>
    <row r="418" spans="1:9" x14ac:dyDescent="0.25">
      <c r="A418" t="s">
        <v>94</v>
      </c>
      <c r="B418" t="s">
        <v>100</v>
      </c>
      <c r="C418" t="s">
        <v>97</v>
      </c>
      <c r="D418" t="s">
        <v>89</v>
      </c>
      <c r="E418" t="s">
        <v>44</v>
      </c>
      <c r="F418" s="6">
        <v>0.75</v>
      </c>
      <c r="G418">
        <v>68</v>
      </c>
      <c r="H418" s="6">
        <f>FLOOR(tblPivotData[[#This Row],[Time]],Summary!$B$6/1440)</f>
        <v>0.75</v>
      </c>
      <c r="I418" s="49">
        <f>INDEX(PeakCalc!$L$10:$L$303,MATCH(tblPivotData[[#This Row],[Time]],PeakCalc!$G$10:$G$303,0))</f>
        <v>0</v>
      </c>
    </row>
    <row r="419" spans="1:9" x14ac:dyDescent="0.25">
      <c r="A419" t="s">
        <v>94</v>
      </c>
      <c r="B419" t="s">
        <v>100</v>
      </c>
      <c r="C419" t="s">
        <v>97</v>
      </c>
      <c r="D419" t="s">
        <v>89</v>
      </c>
      <c r="E419" t="s">
        <v>44</v>
      </c>
      <c r="F419" s="6">
        <v>0.76041666666666663</v>
      </c>
      <c r="G419">
        <v>53</v>
      </c>
      <c r="H419" s="6">
        <f>FLOOR(tblPivotData[[#This Row],[Time]],Summary!$B$6/1440)</f>
        <v>0.76041666666666663</v>
      </c>
      <c r="I419" s="49">
        <f>INDEX(PeakCalc!$L$10:$L$303,MATCH(tblPivotData[[#This Row],[Time]],PeakCalc!$G$10:$G$303,0))</f>
        <v>0</v>
      </c>
    </row>
    <row r="420" spans="1:9" x14ac:dyDescent="0.25">
      <c r="A420" t="s">
        <v>94</v>
      </c>
      <c r="B420" t="s">
        <v>100</v>
      </c>
      <c r="C420" t="s">
        <v>97</v>
      </c>
      <c r="D420" t="s">
        <v>90</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94</v>
      </c>
      <c r="B421" t="s">
        <v>100</v>
      </c>
      <c r="C421" t="s">
        <v>97</v>
      </c>
      <c r="D421" t="s">
        <v>90</v>
      </c>
      <c r="E421" t="s">
        <v>43</v>
      </c>
      <c r="F421" s="6">
        <v>0.28125</v>
      </c>
      <c r="G421">
        <v>1</v>
      </c>
      <c r="H421" s="6">
        <f>FLOOR(tblPivotData[[#This Row],[Time]],Summary!$B$6/1440)</f>
        <v>0.28125</v>
      </c>
      <c r="I421" s="49">
        <f>INDEX(PeakCalc!$L$10:$L$303,MATCH(tblPivotData[[#This Row],[Time]],PeakCalc!$G$10:$G$303,0))</f>
        <v>0</v>
      </c>
    </row>
    <row r="422" spans="1:9" x14ac:dyDescent="0.25">
      <c r="A422" t="s">
        <v>94</v>
      </c>
      <c r="B422" t="s">
        <v>100</v>
      </c>
      <c r="C422" t="s">
        <v>97</v>
      </c>
      <c r="D422" t="s">
        <v>90</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97</v>
      </c>
      <c r="D423" t="s">
        <v>90</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94</v>
      </c>
      <c r="B424" t="s">
        <v>100</v>
      </c>
      <c r="C424" t="s">
        <v>97</v>
      </c>
      <c r="D424" t="s">
        <v>90</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97</v>
      </c>
      <c r="D425" t="s">
        <v>90</v>
      </c>
      <c r="E425" t="s">
        <v>43</v>
      </c>
      <c r="F425" s="6">
        <v>0.32291666666666669</v>
      </c>
      <c r="G425">
        <v>1</v>
      </c>
      <c r="H425" s="6">
        <f>FLOOR(tblPivotData[[#This Row],[Time]],Summary!$B$6/1440)</f>
        <v>0.32291666666666663</v>
      </c>
      <c r="I425" s="49">
        <f>INDEX(PeakCalc!$L$10:$L$303,MATCH(tblPivotData[[#This Row],[Time]],PeakCalc!$G$10:$G$303,0))</f>
        <v>1</v>
      </c>
    </row>
    <row r="426" spans="1:9" x14ac:dyDescent="0.25">
      <c r="A426" t="s">
        <v>94</v>
      </c>
      <c r="B426" t="s">
        <v>100</v>
      </c>
      <c r="C426" t="s">
        <v>97</v>
      </c>
      <c r="D426" t="s">
        <v>90</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97</v>
      </c>
      <c r="D427" t="s">
        <v>90</v>
      </c>
      <c r="E427" t="s">
        <v>43</v>
      </c>
      <c r="F427" s="6">
        <v>0.34375</v>
      </c>
      <c r="G427">
        <v>1</v>
      </c>
      <c r="H427" s="6">
        <f>FLOOR(tblPivotData[[#This Row],[Time]],Summary!$B$6/1440)</f>
        <v>0.34375</v>
      </c>
      <c r="I427" s="49">
        <f>INDEX(PeakCalc!$L$10:$L$303,MATCH(tblPivotData[[#This Row],[Time]],PeakCalc!$G$10:$G$303,0))</f>
        <v>1</v>
      </c>
    </row>
    <row r="428" spans="1:9" x14ac:dyDescent="0.25">
      <c r="A428" t="s">
        <v>94</v>
      </c>
      <c r="B428" t="s">
        <v>100</v>
      </c>
      <c r="C428" t="s">
        <v>97</v>
      </c>
      <c r="D428" t="s">
        <v>90</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97</v>
      </c>
      <c r="D429" t="s">
        <v>90</v>
      </c>
      <c r="E429" t="s">
        <v>43</v>
      </c>
      <c r="F429" s="6">
        <v>0.36458333333333331</v>
      </c>
      <c r="G429">
        <v>1</v>
      </c>
      <c r="H429" s="6">
        <f>FLOOR(tblPivotData[[#This Row],[Time]],Summary!$B$6/1440)</f>
        <v>0.36458333333333331</v>
      </c>
      <c r="I429" s="49">
        <f>INDEX(PeakCalc!$L$10:$L$303,MATCH(tblPivotData[[#This Row],[Time]],PeakCalc!$G$10:$G$303,0))</f>
        <v>0</v>
      </c>
    </row>
    <row r="430" spans="1:9" x14ac:dyDescent="0.25">
      <c r="A430" t="s">
        <v>94</v>
      </c>
      <c r="B430" t="s">
        <v>100</v>
      </c>
      <c r="C430" t="s">
        <v>97</v>
      </c>
      <c r="D430" t="s">
        <v>90</v>
      </c>
      <c r="E430" t="s">
        <v>43</v>
      </c>
      <c r="F430" s="6">
        <v>0.375</v>
      </c>
      <c r="G430">
        <v>0</v>
      </c>
      <c r="H430" s="6">
        <f>FLOOR(tblPivotData[[#This Row],[Time]],Summary!$B$6/1440)</f>
        <v>0.375</v>
      </c>
      <c r="I430" s="49">
        <f>INDEX(PeakCalc!$L$10:$L$303,MATCH(tblPivotData[[#This Row],[Time]],PeakCalc!$G$10:$G$303,0))</f>
        <v>0</v>
      </c>
    </row>
    <row r="431" spans="1:9" x14ac:dyDescent="0.25">
      <c r="A431" t="s">
        <v>94</v>
      </c>
      <c r="B431" t="s">
        <v>100</v>
      </c>
      <c r="C431" t="s">
        <v>97</v>
      </c>
      <c r="D431" t="s">
        <v>90</v>
      </c>
      <c r="E431" t="s">
        <v>43</v>
      </c>
      <c r="F431" s="6">
        <v>0.38541666666666669</v>
      </c>
      <c r="G431">
        <v>1</v>
      </c>
      <c r="H431" s="6">
        <f>FLOOR(tblPivotData[[#This Row],[Time]],Summary!$B$6/1440)</f>
        <v>0.38541666666666663</v>
      </c>
      <c r="I431" s="49">
        <f>INDEX(PeakCalc!$L$10:$L$303,MATCH(tblPivotData[[#This Row],[Time]],PeakCalc!$G$10:$G$303,0))</f>
        <v>0</v>
      </c>
    </row>
    <row r="432" spans="1:9" x14ac:dyDescent="0.25">
      <c r="A432" t="s">
        <v>94</v>
      </c>
      <c r="B432" t="s">
        <v>100</v>
      </c>
      <c r="C432" t="s">
        <v>97</v>
      </c>
      <c r="D432" t="s">
        <v>90</v>
      </c>
      <c r="E432" t="s">
        <v>110</v>
      </c>
      <c r="F432" s="6">
        <v>0.45833333333333331</v>
      </c>
      <c r="G432">
        <v>0</v>
      </c>
      <c r="H432" s="6">
        <f>FLOOR(tblPivotData[[#This Row],[Time]],Summary!$B$6/1440)</f>
        <v>0.45833333333333331</v>
      </c>
      <c r="I432" s="49">
        <f>INDEX(PeakCalc!$L$10:$L$303,MATCH(tblPivotData[[#This Row],[Time]],PeakCalc!$G$10:$G$303,0))</f>
        <v>0</v>
      </c>
    </row>
    <row r="433" spans="1:9" x14ac:dyDescent="0.25">
      <c r="A433" t="s">
        <v>94</v>
      </c>
      <c r="B433" t="s">
        <v>100</v>
      </c>
      <c r="C433" t="s">
        <v>97</v>
      </c>
      <c r="D433" t="s">
        <v>90</v>
      </c>
      <c r="E433" t="s">
        <v>110</v>
      </c>
      <c r="F433" s="6">
        <v>0.46875</v>
      </c>
      <c r="G433">
        <v>1</v>
      </c>
      <c r="H433" s="6">
        <f>FLOOR(tblPivotData[[#This Row],[Time]],Summary!$B$6/1440)</f>
        <v>0.46875</v>
      </c>
      <c r="I433" s="49">
        <f>INDEX(PeakCalc!$L$10:$L$303,MATCH(tblPivotData[[#This Row],[Time]],PeakCalc!$G$10:$G$303,0))</f>
        <v>0</v>
      </c>
    </row>
    <row r="434" spans="1:9" x14ac:dyDescent="0.25">
      <c r="A434" t="s">
        <v>94</v>
      </c>
      <c r="B434" t="s">
        <v>100</v>
      </c>
      <c r="C434" t="s">
        <v>97</v>
      </c>
      <c r="D434" t="s">
        <v>90</v>
      </c>
      <c r="E434" t="s">
        <v>110</v>
      </c>
      <c r="F434" s="6">
        <v>0.47916666666666669</v>
      </c>
      <c r="G434">
        <v>0</v>
      </c>
      <c r="H434" s="6">
        <f>FLOOR(tblPivotData[[#This Row],[Time]],Summary!$B$6/1440)</f>
        <v>0.47916666666666663</v>
      </c>
      <c r="I434" s="49">
        <f>INDEX(PeakCalc!$L$10:$L$303,MATCH(tblPivotData[[#This Row],[Time]],PeakCalc!$G$10:$G$303,0))</f>
        <v>0</v>
      </c>
    </row>
    <row r="435" spans="1:9" x14ac:dyDescent="0.25">
      <c r="A435" t="s">
        <v>94</v>
      </c>
      <c r="B435" t="s">
        <v>100</v>
      </c>
      <c r="C435" t="s">
        <v>97</v>
      </c>
      <c r="D435" t="s">
        <v>90</v>
      </c>
      <c r="E435" t="s">
        <v>110</v>
      </c>
      <c r="F435" s="6">
        <v>0.48958333333333331</v>
      </c>
      <c r="G435">
        <v>1</v>
      </c>
      <c r="H435" s="6">
        <f>FLOOR(tblPivotData[[#This Row],[Time]],Summary!$B$6/1440)</f>
        <v>0.48958333333333331</v>
      </c>
      <c r="I435" s="49">
        <f>INDEX(PeakCalc!$L$10:$L$303,MATCH(tblPivotData[[#This Row],[Time]],PeakCalc!$G$10:$G$303,0))</f>
        <v>0</v>
      </c>
    </row>
    <row r="436" spans="1:9" x14ac:dyDescent="0.25">
      <c r="A436" t="s">
        <v>94</v>
      </c>
      <c r="B436" t="s">
        <v>100</v>
      </c>
      <c r="C436" t="s">
        <v>97</v>
      </c>
      <c r="D436" t="s">
        <v>90</v>
      </c>
      <c r="E436" t="s">
        <v>110</v>
      </c>
      <c r="F436" s="6">
        <v>0.5</v>
      </c>
      <c r="G436">
        <v>0</v>
      </c>
      <c r="H436" s="6">
        <f>FLOOR(tblPivotData[[#This Row],[Time]],Summary!$B$6/1440)</f>
        <v>0.5</v>
      </c>
      <c r="I436" s="49">
        <f>INDEX(PeakCalc!$L$10:$L$303,MATCH(tblPivotData[[#This Row],[Time]],PeakCalc!$G$10:$G$303,0))</f>
        <v>0</v>
      </c>
    </row>
    <row r="437" spans="1:9" x14ac:dyDescent="0.25">
      <c r="A437" t="s">
        <v>94</v>
      </c>
      <c r="B437" t="s">
        <v>100</v>
      </c>
      <c r="C437" t="s">
        <v>97</v>
      </c>
      <c r="D437" t="s">
        <v>90</v>
      </c>
      <c r="E437" t="s">
        <v>110</v>
      </c>
      <c r="F437" s="6">
        <v>0.51041666666666663</v>
      </c>
      <c r="G437">
        <v>1</v>
      </c>
      <c r="H437" s="6">
        <f>FLOOR(tblPivotData[[#This Row],[Time]],Summary!$B$6/1440)</f>
        <v>0.51041666666666663</v>
      </c>
      <c r="I437" s="49">
        <f>INDEX(PeakCalc!$L$10:$L$303,MATCH(tblPivotData[[#This Row],[Time]],PeakCalc!$G$10:$G$303,0))</f>
        <v>0</v>
      </c>
    </row>
    <row r="438" spans="1:9" x14ac:dyDescent="0.25">
      <c r="A438" t="s">
        <v>94</v>
      </c>
      <c r="B438" t="s">
        <v>100</v>
      </c>
      <c r="C438" t="s">
        <v>97</v>
      </c>
      <c r="D438" t="s">
        <v>90</v>
      </c>
      <c r="E438" t="s">
        <v>110</v>
      </c>
      <c r="F438" s="6">
        <v>0.52083333333333337</v>
      </c>
      <c r="G438">
        <v>1</v>
      </c>
      <c r="H438" s="6">
        <f>FLOOR(tblPivotData[[#This Row],[Time]],Summary!$B$6/1440)</f>
        <v>0.52083333333333326</v>
      </c>
      <c r="I438" s="49">
        <f>INDEX(PeakCalc!$L$10:$L$303,MATCH(tblPivotData[[#This Row],[Time]],PeakCalc!$G$10:$G$303,0))</f>
        <v>1</v>
      </c>
    </row>
    <row r="439" spans="1:9" x14ac:dyDescent="0.25">
      <c r="A439" t="s">
        <v>94</v>
      </c>
      <c r="B439" t="s">
        <v>100</v>
      </c>
      <c r="C439" t="s">
        <v>97</v>
      </c>
      <c r="D439" t="s">
        <v>90</v>
      </c>
      <c r="E439" t="s">
        <v>110</v>
      </c>
      <c r="F439" s="6">
        <v>0.53125</v>
      </c>
      <c r="G439">
        <v>1</v>
      </c>
      <c r="H439" s="6">
        <f>FLOOR(tblPivotData[[#This Row],[Time]],Summary!$B$6/1440)</f>
        <v>0.53125</v>
      </c>
      <c r="I439" s="49">
        <f>INDEX(PeakCalc!$L$10:$L$303,MATCH(tblPivotData[[#This Row],[Time]],PeakCalc!$G$10:$G$303,0))</f>
        <v>1</v>
      </c>
    </row>
    <row r="440" spans="1:9" x14ac:dyDescent="0.25">
      <c r="A440" t="s">
        <v>94</v>
      </c>
      <c r="B440" t="s">
        <v>100</v>
      </c>
      <c r="C440" t="s">
        <v>97</v>
      </c>
      <c r="D440" t="s">
        <v>90</v>
      </c>
      <c r="E440" t="s">
        <v>110</v>
      </c>
      <c r="F440" s="6">
        <v>0.54166666666666663</v>
      </c>
      <c r="G440">
        <v>0</v>
      </c>
      <c r="H440" s="6">
        <f>FLOOR(tblPivotData[[#This Row],[Time]],Summary!$B$6/1440)</f>
        <v>0.54166666666666663</v>
      </c>
      <c r="I440" s="49">
        <f>INDEX(PeakCalc!$L$10:$L$303,MATCH(tblPivotData[[#This Row],[Time]],PeakCalc!$G$10:$G$303,0))</f>
        <v>1</v>
      </c>
    </row>
    <row r="441" spans="1:9" x14ac:dyDescent="0.25">
      <c r="A441" t="s">
        <v>94</v>
      </c>
      <c r="B441" t="s">
        <v>100</v>
      </c>
      <c r="C441" t="s">
        <v>97</v>
      </c>
      <c r="D441" t="s">
        <v>90</v>
      </c>
      <c r="E441" t="s">
        <v>110</v>
      </c>
      <c r="F441" s="6">
        <v>0.55208333333333337</v>
      </c>
      <c r="G441">
        <v>1</v>
      </c>
      <c r="H441" s="6">
        <f>FLOOR(tblPivotData[[#This Row],[Time]],Summary!$B$6/1440)</f>
        <v>0.55208333333333326</v>
      </c>
      <c r="I441" s="49">
        <f>INDEX(PeakCalc!$L$10:$L$303,MATCH(tblPivotData[[#This Row],[Time]],PeakCalc!$G$10:$G$303,0))</f>
        <v>1</v>
      </c>
    </row>
    <row r="442" spans="1:9" x14ac:dyDescent="0.25">
      <c r="A442" t="s">
        <v>94</v>
      </c>
      <c r="B442" t="s">
        <v>100</v>
      </c>
      <c r="C442" t="s">
        <v>97</v>
      </c>
      <c r="D442" t="s">
        <v>90</v>
      </c>
      <c r="E442" t="s">
        <v>110</v>
      </c>
      <c r="F442" s="6">
        <v>0.5625</v>
      </c>
      <c r="G442">
        <v>0</v>
      </c>
      <c r="H442" s="6">
        <f>FLOOR(tblPivotData[[#This Row],[Time]],Summary!$B$6/1440)</f>
        <v>0.5625</v>
      </c>
      <c r="I442" s="49">
        <f>INDEX(PeakCalc!$L$10:$L$303,MATCH(tblPivotData[[#This Row],[Time]],PeakCalc!$G$10:$G$303,0))</f>
        <v>0</v>
      </c>
    </row>
    <row r="443" spans="1:9" x14ac:dyDescent="0.25">
      <c r="A443" t="s">
        <v>94</v>
      </c>
      <c r="B443" t="s">
        <v>100</v>
      </c>
      <c r="C443" t="s">
        <v>97</v>
      </c>
      <c r="D443" t="s">
        <v>90</v>
      </c>
      <c r="E443" t="s">
        <v>110</v>
      </c>
      <c r="F443" s="6">
        <v>0.57291666666666663</v>
      </c>
      <c r="G443">
        <v>1</v>
      </c>
      <c r="H443" s="6">
        <f>FLOOR(tblPivotData[[#This Row],[Time]],Summary!$B$6/1440)</f>
        <v>0.57291666666666663</v>
      </c>
      <c r="I443" s="49">
        <f>INDEX(PeakCalc!$L$10:$L$303,MATCH(tblPivotData[[#This Row],[Time]],PeakCalc!$G$10:$G$303,0))</f>
        <v>0</v>
      </c>
    </row>
    <row r="444" spans="1:9" x14ac:dyDescent="0.25">
      <c r="A444" t="s">
        <v>94</v>
      </c>
      <c r="B444" t="s">
        <v>100</v>
      </c>
      <c r="C444" t="s">
        <v>97</v>
      </c>
      <c r="D444" t="s">
        <v>90</v>
      </c>
      <c r="E444" t="s">
        <v>44</v>
      </c>
      <c r="F444" s="6">
        <v>0.625</v>
      </c>
      <c r="G444">
        <v>0</v>
      </c>
      <c r="H444" s="6">
        <f>FLOOR(tblPivotData[[#This Row],[Time]],Summary!$B$6/1440)</f>
        <v>0.625</v>
      </c>
      <c r="I444" s="49">
        <f>INDEX(PeakCalc!$L$10:$L$303,MATCH(tblPivotData[[#This Row],[Time]],PeakCalc!$G$10:$G$303,0))</f>
        <v>0</v>
      </c>
    </row>
    <row r="445" spans="1:9" x14ac:dyDescent="0.25">
      <c r="A445" t="s">
        <v>94</v>
      </c>
      <c r="B445" t="s">
        <v>100</v>
      </c>
      <c r="C445" t="s">
        <v>97</v>
      </c>
      <c r="D445" t="s">
        <v>90</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94</v>
      </c>
      <c r="B446" t="s">
        <v>100</v>
      </c>
      <c r="C446" t="s">
        <v>97</v>
      </c>
      <c r="D446" t="s">
        <v>90</v>
      </c>
      <c r="E446" t="s">
        <v>44</v>
      </c>
      <c r="F446" s="6">
        <v>0.64583333333333337</v>
      </c>
      <c r="G446">
        <v>1</v>
      </c>
      <c r="H446" s="6">
        <f>FLOOR(tblPivotData[[#This Row],[Time]],Summary!$B$6/1440)</f>
        <v>0.64583333333333326</v>
      </c>
      <c r="I446" s="49">
        <f>INDEX(PeakCalc!$L$10:$L$303,MATCH(tblPivotData[[#This Row],[Time]],PeakCalc!$G$10:$G$303,0))</f>
        <v>0</v>
      </c>
    </row>
    <row r="447" spans="1:9" x14ac:dyDescent="0.25">
      <c r="A447" t="s">
        <v>94</v>
      </c>
      <c r="B447" t="s">
        <v>100</v>
      </c>
      <c r="C447" t="s">
        <v>97</v>
      </c>
      <c r="D447" t="s">
        <v>90</v>
      </c>
      <c r="E447" t="s">
        <v>44</v>
      </c>
      <c r="F447" s="6">
        <v>0.65625</v>
      </c>
      <c r="G447">
        <v>0</v>
      </c>
      <c r="H447" s="6">
        <f>FLOOR(tblPivotData[[#This Row],[Time]],Summary!$B$6/1440)</f>
        <v>0.65625</v>
      </c>
      <c r="I447" s="49">
        <f>INDEX(PeakCalc!$L$10:$L$303,MATCH(tblPivotData[[#This Row],[Time]],PeakCalc!$G$10:$G$303,0))</f>
        <v>0</v>
      </c>
    </row>
    <row r="448" spans="1:9" x14ac:dyDescent="0.25">
      <c r="A448" t="s">
        <v>94</v>
      </c>
      <c r="B448" t="s">
        <v>100</v>
      </c>
      <c r="C448" t="s">
        <v>97</v>
      </c>
      <c r="D448" t="s">
        <v>90</v>
      </c>
      <c r="E448" t="s">
        <v>44</v>
      </c>
      <c r="F448" s="6">
        <v>0.66666666666666663</v>
      </c>
      <c r="G448">
        <v>1</v>
      </c>
      <c r="H448" s="6">
        <f>FLOOR(tblPivotData[[#This Row],[Time]],Summary!$B$6/1440)</f>
        <v>0.66666666666666663</v>
      </c>
      <c r="I448" s="49">
        <f>INDEX(PeakCalc!$L$10:$L$303,MATCH(tblPivotData[[#This Row],[Time]],PeakCalc!$G$10:$G$303,0))</f>
        <v>0</v>
      </c>
    </row>
    <row r="449" spans="1:9" x14ac:dyDescent="0.25">
      <c r="A449" t="s">
        <v>94</v>
      </c>
      <c r="B449" t="s">
        <v>100</v>
      </c>
      <c r="C449" t="s">
        <v>97</v>
      </c>
      <c r="D449" t="s">
        <v>90</v>
      </c>
      <c r="E449" t="s">
        <v>44</v>
      </c>
      <c r="F449" s="6">
        <v>0.67708333333333337</v>
      </c>
      <c r="G449">
        <v>1</v>
      </c>
      <c r="H449" s="6">
        <f>FLOOR(tblPivotData[[#This Row],[Time]],Summary!$B$6/1440)</f>
        <v>0.67708333333333326</v>
      </c>
      <c r="I449" s="49">
        <f>INDEX(PeakCalc!$L$10:$L$303,MATCH(tblPivotData[[#This Row],[Time]],PeakCalc!$G$10:$G$303,0))</f>
        <v>0</v>
      </c>
    </row>
    <row r="450" spans="1:9" x14ac:dyDescent="0.25">
      <c r="A450" t="s">
        <v>94</v>
      </c>
      <c r="B450" t="s">
        <v>100</v>
      </c>
      <c r="C450" t="s">
        <v>97</v>
      </c>
      <c r="D450" t="s">
        <v>90</v>
      </c>
      <c r="E450" t="s">
        <v>44</v>
      </c>
      <c r="F450" s="6">
        <v>0.6875</v>
      </c>
      <c r="G450">
        <v>0</v>
      </c>
      <c r="H450" s="6">
        <f>FLOOR(tblPivotData[[#This Row],[Time]],Summary!$B$6/1440)</f>
        <v>0.6875</v>
      </c>
      <c r="I450" s="49">
        <f>INDEX(PeakCalc!$L$10:$L$303,MATCH(tblPivotData[[#This Row],[Time]],PeakCalc!$G$10:$G$303,0))</f>
        <v>1</v>
      </c>
    </row>
    <row r="451" spans="1:9" x14ac:dyDescent="0.25">
      <c r="A451" t="s">
        <v>94</v>
      </c>
      <c r="B451" t="s">
        <v>100</v>
      </c>
      <c r="C451" t="s">
        <v>97</v>
      </c>
      <c r="D451" t="s">
        <v>90</v>
      </c>
      <c r="E451" t="s">
        <v>44</v>
      </c>
      <c r="F451" s="6">
        <v>0.69791666666666663</v>
      </c>
      <c r="G451">
        <v>1</v>
      </c>
      <c r="H451" s="6">
        <f>FLOOR(tblPivotData[[#This Row],[Time]],Summary!$B$6/1440)</f>
        <v>0.69791666666666663</v>
      </c>
      <c r="I451" s="49">
        <f>INDEX(PeakCalc!$L$10:$L$303,MATCH(tblPivotData[[#This Row],[Time]],PeakCalc!$G$10:$G$303,0))</f>
        <v>1</v>
      </c>
    </row>
    <row r="452" spans="1:9" x14ac:dyDescent="0.25">
      <c r="A452" t="s">
        <v>94</v>
      </c>
      <c r="B452" t="s">
        <v>100</v>
      </c>
      <c r="C452" t="s">
        <v>97</v>
      </c>
      <c r="D452" t="s">
        <v>90</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94</v>
      </c>
      <c r="B453" t="s">
        <v>100</v>
      </c>
      <c r="C453" t="s">
        <v>97</v>
      </c>
      <c r="D453" t="s">
        <v>90</v>
      </c>
      <c r="E453" t="s">
        <v>44</v>
      </c>
      <c r="F453" s="6">
        <v>0.71875</v>
      </c>
      <c r="G453">
        <v>1</v>
      </c>
      <c r="H453" s="6">
        <f>FLOOR(tblPivotData[[#This Row],[Time]],Summary!$B$6/1440)</f>
        <v>0.71875</v>
      </c>
      <c r="I453" s="49">
        <f>INDEX(PeakCalc!$L$10:$L$303,MATCH(tblPivotData[[#This Row],[Time]],PeakCalc!$G$10:$G$303,0))</f>
        <v>1</v>
      </c>
    </row>
    <row r="454" spans="1:9" x14ac:dyDescent="0.25">
      <c r="A454" t="s">
        <v>94</v>
      </c>
      <c r="B454" t="s">
        <v>100</v>
      </c>
      <c r="C454" t="s">
        <v>97</v>
      </c>
      <c r="D454" t="s">
        <v>90</v>
      </c>
      <c r="E454" t="s">
        <v>44</v>
      </c>
      <c r="F454" s="6">
        <v>0.72916666666666663</v>
      </c>
      <c r="G454">
        <v>0</v>
      </c>
      <c r="H454" s="6">
        <f>FLOOR(tblPivotData[[#This Row],[Time]],Summary!$B$6/1440)</f>
        <v>0.72916666666666663</v>
      </c>
      <c r="I454" s="49">
        <f>INDEX(PeakCalc!$L$10:$L$303,MATCH(tblPivotData[[#This Row],[Time]],PeakCalc!$G$10:$G$303,0))</f>
        <v>0</v>
      </c>
    </row>
    <row r="455" spans="1:9" x14ac:dyDescent="0.25">
      <c r="A455" t="s">
        <v>94</v>
      </c>
      <c r="B455" t="s">
        <v>100</v>
      </c>
      <c r="C455" t="s">
        <v>97</v>
      </c>
      <c r="D455" t="s">
        <v>90</v>
      </c>
      <c r="E455" t="s">
        <v>44</v>
      </c>
      <c r="F455" s="6">
        <v>0.73958333333333337</v>
      </c>
      <c r="G455">
        <v>1</v>
      </c>
      <c r="H455" s="6">
        <f>FLOOR(tblPivotData[[#This Row],[Time]],Summary!$B$6/1440)</f>
        <v>0.73958333333333326</v>
      </c>
      <c r="I455" s="49">
        <f>INDEX(PeakCalc!$L$10:$L$303,MATCH(tblPivotData[[#This Row],[Time]],PeakCalc!$G$10:$G$303,0))</f>
        <v>0</v>
      </c>
    </row>
    <row r="456" spans="1:9" x14ac:dyDescent="0.25">
      <c r="A456" t="s">
        <v>94</v>
      </c>
      <c r="B456" t="s">
        <v>100</v>
      </c>
      <c r="C456" t="s">
        <v>97</v>
      </c>
      <c r="D456" t="s">
        <v>90</v>
      </c>
      <c r="E456" t="s">
        <v>44</v>
      </c>
      <c r="F456" s="6">
        <v>0.75</v>
      </c>
      <c r="G456">
        <v>0</v>
      </c>
      <c r="H456" s="6">
        <f>FLOOR(tblPivotData[[#This Row],[Time]],Summary!$B$6/1440)</f>
        <v>0.75</v>
      </c>
      <c r="I456" s="49">
        <f>INDEX(PeakCalc!$L$10:$L$303,MATCH(tblPivotData[[#This Row],[Time]],PeakCalc!$G$10:$G$303,0))</f>
        <v>0</v>
      </c>
    </row>
    <row r="457" spans="1:9" x14ac:dyDescent="0.25">
      <c r="A457" t="s">
        <v>94</v>
      </c>
      <c r="B457" t="s">
        <v>100</v>
      </c>
      <c r="C457" t="s">
        <v>97</v>
      </c>
      <c r="D457" t="s">
        <v>90</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94</v>
      </c>
      <c r="B458" t="s">
        <v>100</v>
      </c>
      <c r="C458" t="s">
        <v>97</v>
      </c>
      <c r="D458" t="s">
        <v>91</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94</v>
      </c>
      <c r="B459" t="s">
        <v>100</v>
      </c>
      <c r="C459" t="s">
        <v>97</v>
      </c>
      <c r="D459" t="s">
        <v>91</v>
      </c>
      <c r="E459" t="s">
        <v>43</v>
      </c>
      <c r="F459" s="6">
        <v>0.28125</v>
      </c>
      <c r="G459">
        <v>1</v>
      </c>
      <c r="H459" s="6">
        <f>FLOOR(tblPivotData[[#This Row],[Time]],Summary!$B$6/1440)</f>
        <v>0.28125</v>
      </c>
      <c r="I459" s="49">
        <f>INDEX(PeakCalc!$L$10:$L$303,MATCH(tblPivotData[[#This Row],[Time]],PeakCalc!$G$10:$G$303,0))</f>
        <v>0</v>
      </c>
    </row>
    <row r="460" spans="1:9" x14ac:dyDescent="0.25">
      <c r="A460" t="s">
        <v>94</v>
      </c>
      <c r="B460" t="s">
        <v>100</v>
      </c>
      <c r="C460" t="s">
        <v>97</v>
      </c>
      <c r="D460" t="s">
        <v>91</v>
      </c>
      <c r="E460" t="s">
        <v>43</v>
      </c>
      <c r="F460" s="6">
        <v>0.29166666666666669</v>
      </c>
      <c r="G460">
        <v>0</v>
      </c>
      <c r="H460" s="6">
        <f>FLOOR(tblPivotData[[#This Row],[Time]],Summary!$B$6/1440)</f>
        <v>0.29166666666666663</v>
      </c>
      <c r="I460" s="49">
        <f>INDEX(PeakCalc!$L$10:$L$303,MATCH(tblPivotData[[#This Row],[Time]],PeakCalc!$G$10:$G$303,0))</f>
        <v>0</v>
      </c>
    </row>
    <row r="461" spans="1:9" x14ac:dyDescent="0.25">
      <c r="A461" t="s">
        <v>94</v>
      </c>
      <c r="B461" t="s">
        <v>100</v>
      </c>
      <c r="C461" t="s">
        <v>97</v>
      </c>
      <c r="D461" t="s">
        <v>91</v>
      </c>
      <c r="E461" t="s">
        <v>43</v>
      </c>
      <c r="F461" s="6">
        <v>0.30208333333333331</v>
      </c>
      <c r="G461">
        <v>0</v>
      </c>
      <c r="H461" s="6">
        <f>FLOOR(tblPivotData[[#This Row],[Time]],Summary!$B$6/1440)</f>
        <v>0.30208333333333331</v>
      </c>
      <c r="I461" s="49">
        <f>INDEX(PeakCalc!$L$10:$L$303,MATCH(tblPivotData[[#This Row],[Time]],PeakCalc!$G$10:$G$303,0))</f>
        <v>0</v>
      </c>
    </row>
    <row r="462" spans="1:9" x14ac:dyDescent="0.25">
      <c r="A462" t="s">
        <v>94</v>
      </c>
      <c r="B462" t="s">
        <v>100</v>
      </c>
      <c r="C462" t="s">
        <v>97</v>
      </c>
      <c r="D462" t="s">
        <v>91</v>
      </c>
      <c r="E462" t="s">
        <v>43</v>
      </c>
      <c r="F462" s="6">
        <v>0.3125</v>
      </c>
      <c r="G462">
        <v>3</v>
      </c>
      <c r="H462" s="6">
        <f>FLOOR(tblPivotData[[#This Row],[Time]],Summary!$B$6/1440)</f>
        <v>0.3125</v>
      </c>
      <c r="I462" s="49">
        <f>INDEX(PeakCalc!$L$10:$L$303,MATCH(tblPivotData[[#This Row],[Time]],PeakCalc!$G$10:$G$303,0))</f>
        <v>0</v>
      </c>
    </row>
    <row r="463" spans="1:9" x14ac:dyDescent="0.25">
      <c r="A463" t="s">
        <v>94</v>
      </c>
      <c r="B463" t="s">
        <v>100</v>
      </c>
      <c r="C463" t="s">
        <v>97</v>
      </c>
      <c r="D463" t="s">
        <v>91</v>
      </c>
      <c r="E463" t="s">
        <v>43</v>
      </c>
      <c r="F463" s="6">
        <v>0.32291666666666669</v>
      </c>
      <c r="G463">
        <v>0</v>
      </c>
      <c r="H463" s="6">
        <f>FLOOR(tblPivotData[[#This Row],[Time]],Summary!$B$6/1440)</f>
        <v>0.32291666666666663</v>
      </c>
      <c r="I463" s="49">
        <f>INDEX(PeakCalc!$L$10:$L$303,MATCH(tblPivotData[[#This Row],[Time]],PeakCalc!$G$10:$G$303,0))</f>
        <v>1</v>
      </c>
    </row>
    <row r="464" spans="1:9" x14ac:dyDescent="0.25">
      <c r="A464" t="s">
        <v>94</v>
      </c>
      <c r="B464" t="s">
        <v>100</v>
      </c>
      <c r="C464" t="s">
        <v>97</v>
      </c>
      <c r="D464" t="s">
        <v>91</v>
      </c>
      <c r="E464" t="s">
        <v>43</v>
      </c>
      <c r="F464" s="6">
        <v>0.33333333333333331</v>
      </c>
      <c r="G464">
        <v>0</v>
      </c>
      <c r="H464" s="6">
        <f>FLOOR(tblPivotData[[#This Row],[Time]],Summary!$B$6/1440)</f>
        <v>0.33333333333333331</v>
      </c>
      <c r="I464" s="49">
        <f>INDEX(PeakCalc!$L$10:$L$303,MATCH(tblPivotData[[#This Row],[Time]],PeakCalc!$G$10:$G$303,0))</f>
        <v>1</v>
      </c>
    </row>
    <row r="465" spans="1:9" x14ac:dyDescent="0.25">
      <c r="A465" t="s">
        <v>94</v>
      </c>
      <c r="B465" t="s">
        <v>100</v>
      </c>
      <c r="C465" t="s">
        <v>97</v>
      </c>
      <c r="D465" t="s">
        <v>91</v>
      </c>
      <c r="E465" t="s">
        <v>43</v>
      </c>
      <c r="F465" s="6">
        <v>0.34375</v>
      </c>
      <c r="G465">
        <v>0</v>
      </c>
      <c r="H465" s="6">
        <f>FLOOR(tblPivotData[[#This Row],[Time]],Summary!$B$6/1440)</f>
        <v>0.34375</v>
      </c>
      <c r="I465" s="49">
        <f>INDEX(PeakCalc!$L$10:$L$303,MATCH(tblPivotData[[#This Row],[Time]],PeakCalc!$G$10:$G$303,0))</f>
        <v>1</v>
      </c>
    </row>
    <row r="466" spans="1:9" x14ac:dyDescent="0.25">
      <c r="A466" t="s">
        <v>94</v>
      </c>
      <c r="B466" t="s">
        <v>100</v>
      </c>
      <c r="C466" t="s">
        <v>97</v>
      </c>
      <c r="D466" t="s">
        <v>91</v>
      </c>
      <c r="E466" t="s">
        <v>43</v>
      </c>
      <c r="F466" s="6">
        <v>0.35416666666666669</v>
      </c>
      <c r="G466">
        <v>3</v>
      </c>
      <c r="H466" s="6">
        <f>FLOOR(tblPivotData[[#This Row],[Time]],Summary!$B$6/1440)</f>
        <v>0.35416666666666663</v>
      </c>
      <c r="I466" s="49">
        <f>INDEX(PeakCalc!$L$10:$L$303,MATCH(tblPivotData[[#This Row],[Time]],PeakCalc!$G$10:$G$303,0))</f>
        <v>1</v>
      </c>
    </row>
    <row r="467" spans="1:9" x14ac:dyDescent="0.25">
      <c r="A467" t="s">
        <v>94</v>
      </c>
      <c r="B467" t="s">
        <v>100</v>
      </c>
      <c r="C467" t="s">
        <v>97</v>
      </c>
      <c r="D467" t="s">
        <v>91</v>
      </c>
      <c r="E467" t="s">
        <v>43</v>
      </c>
      <c r="F467" s="6">
        <v>0.36458333333333331</v>
      </c>
      <c r="G467">
        <v>0</v>
      </c>
      <c r="H467" s="6">
        <f>FLOOR(tblPivotData[[#This Row],[Time]],Summary!$B$6/1440)</f>
        <v>0.36458333333333331</v>
      </c>
      <c r="I467" s="49">
        <f>INDEX(PeakCalc!$L$10:$L$303,MATCH(tblPivotData[[#This Row],[Time]],PeakCalc!$G$10:$G$303,0))</f>
        <v>0</v>
      </c>
    </row>
    <row r="468" spans="1:9" x14ac:dyDescent="0.25">
      <c r="A468" t="s">
        <v>94</v>
      </c>
      <c r="B468" t="s">
        <v>100</v>
      </c>
      <c r="C468" t="s">
        <v>97</v>
      </c>
      <c r="D468" t="s">
        <v>91</v>
      </c>
      <c r="E468" t="s">
        <v>43</v>
      </c>
      <c r="F468" s="6">
        <v>0.375</v>
      </c>
      <c r="G468">
        <v>1</v>
      </c>
      <c r="H468" s="6">
        <f>FLOOR(tblPivotData[[#This Row],[Time]],Summary!$B$6/1440)</f>
        <v>0.375</v>
      </c>
      <c r="I468" s="49">
        <f>INDEX(PeakCalc!$L$10:$L$303,MATCH(tblPivotData[[#This Row],[Time]],PeakCalc!$G$10:$G$303,0))</f>
        <v>0</v>
      </c>
    </row>
    <row r="469" spans="1:9" x14ac:dyDescent="0.25">
      <c r="A469" t="s">
        <v>94</v>
      </c>
      <c r="B469" t="s">
        <v>100</v>
      </c>
      <c r="C469" t="s">
        <v>97</v>
      </c>
      <c r="D469" t="s">
        <v>91</v>
      </c>
      <c r="E469" t="s">
        <v>43</v>
      </c>
      <c r="F469" s="6">
        <v>0.38541666666666669</v>
      </c>
      <c r="G469">
        <v>1</v>
      </c>
      <c r="H469" s="6">
        <f>FLOOR(tblPivotData[[#This Row],[Time]],Summary!$B$6/1440)</f>
        <v>0.38541666666666663</v>
      </c>
      <c r="I469" s="49">
        <f>INDEX(PeakCalc!$L$10:$L$303,MATCH(tblPivotData[[#This Row],[Time]],PeakCalc!$G$10:$G$303,0))</f>
        <v>0</v>
      </c>
    </row>
    <row r="470" spans="1:9" x14ac:dyDescent="0.25">
      <c r="A470" t="s">
        <v>94</v>
      </c>
      <c r="B470" t="s">
        <v>100</v>
      </c>
      <c r="C470" t="s">
        <v>97</v>
      </c>
      <c r="D470" t="s">
        <v>91</v>
      </c>
      <c r="E470" t="s">
        <v>110</v>
      </c>
      <c r="F470" s="6">
        <v>0.45833333333333331</v>
      </c>
      <c r="G470">
        <v>1</v>
      </c>
      <c r="H470" s="6">
        <f>FLOOR(tblPivotData[[#This Row],[Time]],Summary!$B$6/1440)</f>
        <v>0.45833333333333331</v>
      </c>
      <c r="I470" s="49">
        <f>INDEX(PeakCalc!$L$10:$L$303,MATCH(tblPivotData[[#This Row],[Time]],PeakCalc!$G$10:$G$303,0))</f>
        <v>0</v>
      </c>
    </row>
    <row r="471" spans="1:9" x14ac:dyDescent="0.25">
      <c r="A471" t="s">
        <v>94</v>
      </c>
      <c r="B471" t="s">
        <v>100</v>
      </c>
      <c r="C471" t="s">
        <v>97</v>
      </c>
      <c r="D471" t="s">
        <v>91</v>
      </c>
      <c r="E471" t="s">
        <v>110</v>
      </c>
      <c r="F471" s="6">
        <v>0.46875</v>
      </c>
      <c r="G471">
        <v>1</v>
      </c>
      <c r="H471" s="6">
        <f>FLOOR(tblPivotData[[#This Row],[Time]],Summary!$B$6/1440)</f>
        <v>0.46875</v>
      </c>
      <c r="I471" s="49">
        <f>INDEX(PeakCalc!$L$10:$L$303,MATCH(tblPivotData[[#This Row],[Time]],PeakCalc!$G$10:$G$303,0))</f>
        <v>0</v>
      </c>
    </row>
    <row r="472" spans="1:9" x14ac:dyDescent="0.25">
      <c r="A472" t="s">
        <v>94</v>
      </c>
      <c r="B472" t="s">
        <v>100</v>
      </c>
      <c r="C472" t="s">
        <v>97</v>
      </c>
      <c r="D472" t="s">
        <v>91</v>
      </c>
      <c r="E472" t="s">
        <v>110</v>
      </c>
      <c r="F472" s="6">
        <v>0.47916666666666669</v>
      </c>
      <c r="G472">
        <v>3</v>
      </c>
      <c r="H472" s="6">
        <f>FLOOR(tblPivotData[[#This Row],[Time]],Summary!$B$6/1440)</f>
        <v>0.47916666666666663</v>
      </c>
      <c r="I472" s="49">
        <f>INDEX(PeakCalc!$L$10:$L$303,MATCH(tblPivotData[[#This Row],[Time]],PeakCalc!$G$10:$G$303,0))</f>
        <v>0</v>
      </c>
    </row>
    <row r="473" spans="1:9" x14ac:dyDescent="0.25">
      <c r="A473" t="s">
        <v>94</v>
      </c>
      <c r="B473" t="s">
        <v>100</v>
      </c>
      <c r="C473" t="s">
        <v>97</v>
      </c>
      <c r="D473" t="s">
        <v>91</v>
      </c>
      <c r="E473" t="s">
        <v>110</v>
      </c>
      <c r="F473" s="6">
        <v>0.48958333333333331</v>
      </c>
      <c r="G473">
        <v>3</v>
      </c>
      <c r="H473" s="6">
        <f>FLOOR(tblPivotData[[#This Row],[Time]],Summary!$B$6/1440)</f>
        <v>0.48958333333333331</v>
      </c>
      <c r="I473" s="49">
        <f>INDEX(PeakCalc!$L$10:$L$303,MATCH(tblPivotData[[#This Row],[Time]],PeakCalc!$G$10:$G$303,0))</f>
        <v>0</v>
      </c>
    </row>
    <row r="474" spans="1:9" x14ac:dyDescent="0.25">
      <c r="A474" t="s">
        <v>94</v>
      </c>
      <c r="B474" t="s">
        <v>100</v>
      </c>
      <c r="C474" t="s">
        <v>97</v>
      </c>
      <c r="D474" t="s">
        <v>91</v>
      </c>
      <c r="E474" t="s">
        <v>110</v>
      </c>
      <c r="F474" s="6">
        <v>0.5</v>
      </c>
      <c r="G474">
        <v>0</v>
      </c>
      <c r="H474" s="6">
        <f>FLOOR(tblPivotData[[#This Row],[Time]],Summary!$B$6/1440)</f>
        <v>0.5</v>
      </c>
      <c r="I474" s="49">
        <f>INDEX(PeakCalc!$L$10:$L$303,MATCH(tblPivotData[[#This Row],[Time]],PeakCalc!$G$10:$G$303,0))</f>
        <v>0</v>
      </c>
    </row>
    <row r="475" spans="1:9" x14ac:dyDescent="0.25">
      <c r="A475" t="s">
        <v>94</v>
      </c>
      <c r="B475" t="s">
        <v>100</v>
      </c>
      <c r="C475" t="s">
        <v>97</v>
      </c>
      <c r="D475" t="s">
        <v>91</v>
      </c>
      <c r="E475" t="s">
        <v>110</v>
      </c>
      <c r="F475" s="6">
        <v>0.51041666666666663</v>
      </c>
      <c r="G475">
        <v>1</v>
      </c>
      <c r="H475" s="6">
        <f>FLOOR(tblPivotData[[#This Row],[Time]],Summary!$B$6/1440)</f>
        <v>0.51041666666666663</v>
      </c>
      <c r="I475" s="49">
        <f>INDEX(PeakCalc!$L$10:$L$303,MATCH(tblPivotData[[#This Row],[Time]],PeakCalc!$G$10:$G$303,0))</f>
        <v>0</v>
      </c>
    </row>
    <row r="476" spans="1:9" x14ac:dyDescent="0.25">
      <c r="A476" t="s">
        <v>94</v>
      </c>
      <c r="B476" t="s">
        <v>100</v>
      </c>
      <c r="C476" t="s">
        <v>97</v>
      </c>
      <c r="D476" t="s">
        <v>91</v>
      </c>
      <c r="E476" t="s">
        <v>110</v>
      </c>
      <c r="F476" s="6">
        <v>0.52083333333333337</v>
      </c>
      <c r="G476">
        <v>0</v>
      </c>
      <c r="H476" s="6">
        <f>FLOOR(tblPivotData[[#This Row],[Time]],Summary!$B$6/1440)</f>
        <v>0.52083333333333326</v>
      </c>
      <c r="I476" s="49">
        <f>INDEX(PeakCalc!$L$10:$L$303,MATCH(tblPivotData[[#This Row],[Time]],PeakCalc!$G$10:$G$303,0))</f>
        <v>1</v>
      </c>
    </row>
    <row r="477" spans="1:9" x14ac:dyDescent="0.25">
      <c r="A477" t="s">
        <v>94</v>
      </c>
      <c r="B477" t="s">
        <v>100</v>
      </c>
      <c r="C477" t="s">
        <v>97</v>
      </c>
      <c r="D477" t="s">
        <v>91</v>
      </c>
      <c r="E477" t="s">
        <v>110</v>
      </c>
      <c r="F477" s="6">
        <v>0.53125</v>
      </c>
      <c r="G477">
        <v>1</v>
      </c>
      <c r="H477" s="6">
        <f>FLOOR(tblPivotData[[#This Row],[Time]],Summary!$B$6/1440)</f>
        <v>0.53125</v>
      </c>
      <c r="I477" s="49">
        <f>INDEX(PeakCalc!$L$10:$L$303,MATCH(tblPivotData[[#This Row],[Time]],PeakCalc!$G$10:$G$303,0))</f>
        <v>1</v>
      </c>
    </row>
    <row r="478" spans="1:9" x14ac:dyDescent="0.25">
      <c r="A478" t="s">
        <v>94</v>
      </c>
      <c r="B478" t="s">
        <v>100</v>
      </c>
      <c r="C478" t="s">
        <v>97</v>
      </c>
      <c r="D478" t="s">
        <v>91</v>
      </c>
      <c r="E478" t="s">
        <v>110</v>
      </c>
      <c r="F478" s="6">
        <v>0.54166666666666663</v>
      </c>
      <c r="G478">
        <v>1</v>
      </c>
      <c r="H478" s="6">
        <f>FLOOR(tblPivotData[[#This Row],[Time]],Summary!$B$6/1440)</f>
        <v>0.54166666666666663</v>
      </c>
      <c r="I478" s="49">
        <f>INDEX(PeakCalc!$L$10:$L$303,MATCH(tblPivotData[[#This Row],[Time]],PeakCalc!$G$10:$G$303,0))</f>
        <v>1</v>
      </c>
    </row>
    <row r="479" spans="1:9" x14ac:dyDescent="0.25">
      <c r="A479" t="s">
        <v>94</v>
      </c>
      <c r="B479" t="s">
        <v>100</v>
      </c>
      <c r="C479" t="s">
        <v>97</v>
      </c>
      <c r="D479" t="s">
        <v>91</v>
      </c>
      <c r="E479" t="s">
        <v>110</v>
      </c>
      <c r="F479" s="6">
        <v>0.55208333333333337</v>
      </c>
      <c r="G479">
        <v>1</v>
      </c>
      <c r="H479" s="6">
        <f>FLOOR(tblPivotData[[#This Row],[Time]],Summary!$B$6/1440)</f>
        <v>0.55208333333333326</v>
      </c>
      <c r="I479" s="49">
        <f>INDEX(PeakCalc!$L$10:$L$303,MATCH(tblPivotData[[#This Row],[Time]],PeakCalc!$G$10:$G$303,0))</f>
        <v>1</v>
      </c>
    </row>
    <row r="480" spans="1:9" x14ac:dyDescent="0.25">
      <c r="A480" t="s">
        <v>94</v>
      </c>
      <c r="B480" t="s">
        <v>100</v>
      </c>
      <c r="C480" t="s">
        <v>97</v>
      </c>
      <c r="D480" t="s">
        <v>91</v>
      </c>
      <c r="E480" t="s">
        <v>110</v>
      </c>
      <c r="F480" s="6">
        <v>0.5625</v>
      </c>
      <c r="G480">
        <v>0</v>
      </c>
      <c r="H480" s="6">
        <f>FLOOR(tblPivotData[[#This Row],[Time]],Summary!$B$6/1440)</f>
        <v>0.5625</v>
      </c>
      <c r="I480" s="49">
        <f>INDEX(PeakCalc!$L$10:$L$303,MATCH(tblPivotData[[#This Row],[Time]],PeakCalc!$G$10:$G$303,0))</f>
        <v>0</v>
      </c>
    </row>
    <row r="481" spans="1:9" x14ac:dyDescent="0.25">
      <c r="A481" t="s">
        <v>94</v>
      </c>
      <c r="B481" t="s">
        <v>100</v>
      </c>
      <c r="C481" t="s">
        <v>97</v>
      </c>
      <c r="D481" t="s">
        <v>91</v>
      </c>
      <c r="E481" t="s">
        <v>110</v>
      </c>
      <c r="F481" s="6">
        <v>0.57291666666666663</v>
      </c>
      <c r="G481">
        <v>0</v>
      </c>
      <c r="H481" s="6">
        <f>FLOOR(tblPivotData[[#This Row],[Time]],Summary!$B$6/1440)</f>
        <v>0.57291666666666663</v>
      </c>
      <c r="I481" s="49">
        <f>INDEX(PeakCalc!$L$10:$L$303,MATCH(tblPivotData[[#This Row],[Time]],PeakCalc!$G$10:$G$303,0))</f>
        <v>0</v>
      </c>
    </row>
    <row r="482" spans="1:9" x14ac:dyDescent="0.25">
      <c r="A482" t="s">
        <v>94</v>
      </c>
      <c r="B482" t="s">
        <v>100</v>
      </c>
      <c r="C482" t="s">
        <v>97</v>
      </c>
      <c r="D482" t="s">
        <v>91</v>
      </c>
      <c r="E482" t="s">
        <v>44</v>
      </c>
      <c r="F482" s="6">
        <v>0.625</v>
      </c>
      <c r="G482">
        <v>0</v>
      </c>
      <c r="H482" s="6">
        <f>FLOOR(tblPivotData[[#This Row],[Time]],Summary!$B$6/1440)</f>
        <v>0.625</v>
      </c>
      <c r="I482" s="49">
        <f>INDEX(PeakCalc!$L$10:$L$303,MATCH(tblPivotData[[#This Row],[Time]],PeakCalc!$G$10:$G$303,0))</f>
        <v>0</v>
      </c>
    </row>
    <row r="483" spans="1:9" x14ac:dyDescent="0.25">
      <c r="A483" t="s">
        <v>94</v>
      </c>
      <c r="B483" t="s">
        <v>100</v>
      </c>
      <c r="C483" t="s">
        <v>97</v>
      </c>
      <c r="D483" t="s">
        <v>91</v>
      </c>
      <c r="E483" t="s">
        <v>44</v>
      </c>
      <c r="F483" s="6">
        <v>0.63541666666666663</v>
      </c>
      <c r="G483">
        <v>0</v>
      </c>
      <c r="H483" s="6">
        <f>FLOOR(tblPivotData[[#This Row],[Time]],Summary!$B$6/1440)</f>
        <v>0.63541666666666663</v>
      </c>
      <c r="I483" s="49">
        <f>INDEX(PeakCalc!$L$10:$L$303,MATCH(tblPivotData[[#This Row],[Time]],PeakCalc!$G$10:$G$303,0))</f>
        <v>0</v>
      </c>
    </row>
    <row r="484" spans="1:9" x14ac:dyDescent="0.25">
      <c r="A484" t="s">
        <v>94</v>
      </c>
      <c r="B484" t="s">
        <v>100</v>
      </c>
      <c r="C484" t="s">
        <v>97</v>
      </c>
      <c r="D484" t="s">
        <v>91</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94</v>
      </c>
      <c r="B485" t="s">
        <v>100</v>
      </c>
      <c r="C485" t="s">
        <v>97</v>
      </c>
      <c r="D485" t="s">
        <v>91</v>
      </c>
      <c r="E485" t="s">
        <v>44</v>
      </c>
      <c r="F485" s="6">
        <v>0.65625</v>
      </c>
      <c r="G485">
        <v>2</v>
      </c>
      <c r="H485" s="6">
        <f>FLOOR(tblPivotData[[#This Row],[Time]],Summary!$B$6/1440)</f>
        <v>0.65625</v>
      </c>
      <c r="I485" s="49">
        <f>INDEX(PeakCalc!$L$10:$L$303,MATCH(tblPivotData[[#This Row],[Time]],PeakCalc!$G$10:$G$303,0))</f>
        <v>0</v>
      </c>
    </row>
    <row r="486" spans="1:9" x14ac:dyDescent="0.25">
      <c r="A486" t="s">
        <v>94</v>
      </c>
      <c r="B486" t="s">
        <v>100</v>
      </c>
      <c r="C486" t="s">
        <v>97</v>
      </c>
      <c r="D486" t="s">
        <v>91</v>
      </c>
      <c r="E486" t="s">
        <v>44</v>
      </c>
      <c r="F486" s="6">
        <v>0.66666666666666663</v>
      </c>
      <c r="G486">
        <v>3</v>
      </c>
      <c r="H486" s="6">
        <f>FLOOR(tblPivotData[[#This Row],[Time]],Summary!$B$6/1440)</f>
        <v>0.66666666666666663</v>
      </c>
      <c r="I486" s="49">
        <f>INDEX(PeakCalc!$L$10:$L$303,MATCH(tblPivotData[[#This Row],[Time]],PeakCalc!$G$10:$G$303,0))</f>
        <v>0</v>
      </c>
    </row>
    <row r="487" spans="1:9" x14ac:dyDescent="0.25">
      <c r="A487" t="s">
        <v>94</v>
      </c>
      <c r="B487" t="s">
        <v>100</v>
      </c>
      <c r="C487" t="s">
        <v>97</v>
      </c>
      <c r="D487" t="s">
        <v>91</v>
      </c>
      <c r="E487" t="s">
        <v>44</v>
      </c>
      <c r="F487" s="6">
        <v>0.67708333333333337</v>
      </c>
      <c r="G487">
        <v>1</v>
      </c>
      <c r="H487" s="6">
        <f>FLOOR(tblPivotData[[#This Row],[Time]],Summary!$B$6/1440)</f>
        <v>0.67708333333333326</v>
      </c>
      <c r="I487" s="49">
        <f>INDEX(PeakCalc!$L$10:$L$303,MATCH(tblPivotData[[#This Row],[Time]],PeakCalc!$G$10:$G$303,0))</f>
        <v>0</v>
      </c>
    </row>
    <row r="488" spans="1:9" x14ac:dyDescent="0.25">
      <c r="A488" t="s">
        <v>94</v>
      </c>
      <c r="B488" t="s">
        <v>100</v>
      </c>
      <c r="C488" t="s">
        <v>97</v>
      </c>
      <c r="D488" t="s">
        <v>91</v>
      </c>
      <c r="E488" t="s">
        <v>44</v>
      </c>
      <c r="F488" s="6">
        <v>0.6875</v>
      </c>
      <c r="G488">
        <v>1</v>
      </c>
      <c r="H488" s="6">
        <f>FLOOR(tblPivotData[[#This Row],[Time]],Summary!$B$6/1440)</f>
        <v>0.6875</v>
      </c>
      <c r="I488" s="49">
        <f>INDEX(PeakCalc!$L$10:$L$303,MATCH(tblPivotData[[#This Row],[Time]],PeakCalc!$G$10:$G$303,0))</f>
        <v>1</v>
      </c>
    </row>
    <row r="489" spans="1:9" x14ac:dyDescent="0.25">
      <c r="A489" t="s">
        <v>94</v>
      </c>
      <c r="B489" t="s">
        <v>100</v>
      </c>
      <c r="C489" t="s">
        <v>97</v>
      </c>
      <c r="D489" t="s">
        <v>91</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94</v>
      </c>
      <c r="B490" t="s">
        <v>100</v>
      </c>
      <c r="C490" t="s">
        <v>97</v>
      </c>
      <c r="D490" t="s">
        <v>91</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94</v>
      </c>
      <c r="B491" t="s">
        <v>100</v>
      </c>
      <c r="C491" t="s">
        <v>97</v>
      </c>
      <c r="D491" t="s">
        <v>91</v>
      </c>
      <c r="E491" t="s">
        <v>44</v>
      </c>
      <c r="F491" s="6">
        <v>0.71875</v>
      </c>
      <c r="G491">
        <v>0</v>
      </c>
      <c r="H491" s="6">
        <f>FLOOR(tblPivotData[[#This Row],[Time]],Summary!$B$6/1440)</f>
        <v>0.71875</v>
      </c>
      <c r="I491" s="49">
        <f>INDEX(PeakCalc!$L$10:$L$303,MATCH(tblPivotData[[#This Row],[Time]],PeakCalc!$G$10:$G$303,0))</f>
        <v>1</v>
      </c>
    </row>
    <row r="492" spans="1:9" x14ac:dyDescent="0.25">
      <c r="A492" t="s">
        <v>94</v>
      </c>
      <c r="B492" t="s">
        <v>100</v>
      </c>
      <c r="C492" t="s">
        <v>97</v>
      </c>
      <c r="D492" t="s">
        <v>91</v>
      </c>
      <c r="E492" t="s">
        <v>44</v>
      </c>
      <c r="F492" s="6">
        <v>0.72916666666666663</v>
      </c>
      <c r="G492">
        <v>0</v>
      </c>
      <c r="H492" s="6">
        <f>FLOOR(tblPivotData[[#This Row],[Time]],Summary!$B$6/1440)</f>
        <v>0.72916666666666663</v>
      </c>
      <c r="I492" s="49">
        <f>INDEX(PeakCalc!$L$10:$L$303,MATCH(tblPivotData[[#This Row],[Time]],PeakCalc!$G$10:$G$303,0))</f>
        <v>0</v>
      </c>
    </row>
    <row r="493" spans="1:9" x14ac:dyDescent="0.25">
      <c r="A493" t="s">
        <v>94</v>
      </c>
      <c r="B493" t="s">
        <v>100</v>
      </c>
      <c r="C493" t="s">
        <v>97</v>
      </c>
      <c r="D493" t="s">
        <v>91</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94</v>
      </c>
      <c r="B494" t="s">
        <v>100</v>
      </c>
      <c r="C494" t="s">
        <v>97</v>
      </c>
      <c r="D494" t="s">
        <v>91</v>
      </c>
      <c r="E494" t="s">
        <v>44</v>
      </c>
      <c r="F494" s="6">
        <v>0.75</v>
      </c>
      <c r="G494">
        <v>0</v>
      </c>
      <c r="H494" s="6">
        <f>FLOOR(tblPivotData[[#This Row],[Time]],Summary!$B$6/1440)</f>
        <v>0.75</v>
      </c>
      <c r="I494" s="49">
        <f>INDEX(PeakCalc!$L$10:$L$303,MATCH(tblPivotData[[#This Row],[Time]],PeakCalc!$G$10:$G$303,0))</f>
        <v>0</v>
      </c>
    </row>
    <row r="495" spans="1:9" x14ac:dyDescent="0.25">
      <c r="A495" t="s">
        <v>94</v>
      </c>
      <c r="B495" t="s">
        <v>100</v>
      </c>
      <c r="C495" t="s">
        <v>97</v>
      </c>
      <c r="D495" t="s">
        <v>91</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94</v>
      </c>
      <c r="B496" t="s">
        <v>100</v>
      </c>
      <c r="C496" t="s">
        <v>97</v>
      </c>
      <c r="D496" t="s">
        <v>92</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94</v>
      </c>
      <c r="B497" t="s">
        <v>100</v>
      </c>
      <c r="C497" t="s">
        <v>97</v>
      </c>
      <c r="D497" t="s">
        <v>92</v>
      </c>
      <c r="E497" t="s">
        <v>43</v>
      </c>
      <c r="F497" s="6">
        <v>0.28125</v>
      </c>
      <c r="G497">
        <v>0</v>
      </c>
      <c r="H497" s="6">
        <f>FLOOR(tblPivotData[[#This Row],[Time]],Summary!$B$6/1440)</f>
        <v>0.28125</v>
      </c>
      <c r="I497" s="49">
        <f>INDEX(PeakCalc!$L$10:$L$303,MATCH(tblPivotData[[#This Row],[Time]],PeakCalc!$G$10:$G$303,0))</f>
        <v>0</v>
      </c>
    </row>
    <row r="498" spans="1:9" x14ac:dyDescent="0.25">
      <c r="A498" t="s">
        <v>94</v>
      </c>
      <c r="B498" t="s">
        <v>100</v>
      </c>
      <c r="C498" t="s">
        <v>97</v>
      </c>
      <c r="D498" t="s">
        <v>92</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94</v>
      </c>
      <c r="B499" t="s">
        <v>100</v>
      </c>
      <c r="C499" t="s">
        <v>97</v>
      </c>
      <c r="D499" t="s">
        <v>92</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94</v>
      </c>
      <c r="B500" t="s">
        <v>100</v>
      </c>
      <c r="C500" t="s">
        <v>97</v>
      </c>
      <c r="D500" t="s">
        <v>92</v>
      </c>
      <c r="E500" t="s">
        <v>43</v>
      </c>
      <c r="F500" s="6">
        <v>0.3125</v>
      </c>
      <c r="G500">
        <v>0</v>
      </c>
      <c r="H500" s="6">
        <f>FLOOR(tblPivotData[[#This Row],[Time]],Summary!$B$6/1440)</f>
        <v>0.3125</v>
      </c>
      <c r="I500" s="49">
        <f>INDEX(PeakCalc!$L$10:$L$303,MATCH(tblPivotData[[#This Row],[Time]],PeakCalc!$G$10:$G$303,0))</f>
        <v>0</v>
      </c>
    </row>
    <row r="501" spans="1:9" x14ac:dyDescent="0.25">
      <c r="A501" t="s">
        <v>94</v>
      </c>
      <c r="B501" t="s">
        <v>100</v>
      </c>
      <c r="C501" t="s">
        <v>97</v>
      </c>
      <c r="D501" t="s">
        <v>92</v>
      </c>
      <c r="E501" t="s">
        <v>43</v>
      </c>
      <c r="F501" s="6">
        <v>0.32291666666666669</v>
      </c>
      <c r="G501">
        <v>0</v>
      </c>
      <c r="H501" s="6">
        <f>FLOOR(tblPivotData[[#This Row],[Time]],Summary!$B$6/1440)</f>
        <v>0.32291666666666663</v>
      </c>
      <c r="I501" s="49">
        <f>INDEX(PeakCalc!$L$10:$L$303,MATCH(tblPivotData[[#This Row],[Time]],PeakCalc!$G$10:$G$303,0))</f>
        <v>1</v>
      </c>
    </row>
    <row r="502" spans="1:9" x14ac:dyDescent="0.25">
      <c r="A502" t="s">
        <v>94</v>
      </c>
      <c r="B502" t="s">
        <v>100</v>
      </c>
      <c r="C502" t="s">
        <v>97</v>
      </c>
      <c r="D502" t="s">
        <v>92</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94</v>
      </c>
      <c r="B503" t="s">
        <v>100</v>
      </c>
      <c r="C503" t="s">
        <v>97</v>
      </c>
      <c r="D503" t="s">
        <v>92</v>
      </c>
      <c r="E503" t="s">
        <v>43</v>
      </c>
      <c r="F503" s="6">
        <v>0.34375</v>
      </c>
      <c r="G503">
        <v>0</v>
      </c>
      <c r="H503" s="6">
        <f>FLOOR(tblPivotData[[#This Row],[Time]],Summary!$B$6/1440)</f>
        <v>0.34375</v>
      </c>
      <c r="I503" s="49">
        <f>INDEX(PeakCalc!$L$10:$L$303,MATCH(tblPivotData[[#This Row],[Time]],PeakCalc!$G$10:$G$303,0))</f>
        <v>1</v>
      </c>
    </row>
    <row r="504" spans="1:9" x14ac:dyDescent="0.25">
      <c r="A504" t="s">
        <v>94</v>
      </c>
      <c r="B504" t="s">
        <v>100</v>
      </c>
      <c r="C504" t="s">
        <v>97</v>
      </c>
      <c r="D504" t="s">
        <v>92</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94</v>
      </c>
      <c r="B505" t="s">
        <v>100</v>
      </c>
      <c r="C505" t="s">
        <v>97</v>
      </c>
      <c r="D505" t="s">
        <v>92</v>
      </c>
      <c r="E505" t="s">
        <v>43</v>
      </c>
      <c r="F505" s="6">
        <v>0.36458333333333331</v>
      </c>
      <c r="G505">
        <v>0</v>
      </c>
      <c r="H505" s="6">
        <f>FLOOR(tblPivotData[[#This Row],[Time]],Summary!$B$6/1440)</f>
        <v>0.36458333333333331</v>
      </c>
      <c r="I505" s="49">
        <f>INDEX(PeakCalc!$L$10:$L$303,MATCH(tblPivotData[[#This Row],[Time]],PeakCalc!$G$10:$G$303,0))</f>
        <v>0</v>
      </c>
    </row>
    <row r="506" spans="1:9" x14ac:dyDescent="0.25">
      <c r="A506" t="s">
        <v>94</v>
      </c>
      <c r="B506" t="s">
        <v>100</v>
      </c>
      <c r="C506" t="s">
        <v>97</v>
      </c>
      <c r="D506" t="s">
        <v>92</v>
      </c>
      <c r="E506" t="s">
        <v>43</v>
      </c>
      <c r="F506" s="6">
        <v>0.375</v>
      </c>
      <c r="G506">
        <v>0</v>
      </c>
      <c r="H506" s="6">
        <f>FLOOR(tblPivotData[[#This Row],[Time]],Summary!$B$6/1440)</f>
        <v>0.375</v>
      </c>
      <c r="I506" s="49">
        <f>INDEX(PeakCalc!$L$10:$L$303,MATCH(tblPivotData[[#This Row],[Time]],PeakCalc!$G$10:$G$303,0))</f>
        <v>0</v>
      </c>
    </row>
    <row r="507" spans="1:9" x14ac:dyDescent="0.25">
      <c r="A507" t="s">
        <v>94</v>
      </c>
      <c r="B507" t="s">
        <v>100</v>
      </c>
      <c r="C507" t="s">
        <v>97</v>
      </c>
      <c r="D507" t="s">
        <v>92</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94</v>
      </c>
      <c r="B508" t="s">
        <v>100</v>
      </c>
      <c r="C508" t="s">
        <v>97</v>
      </c>
      <c r="D508" t="s">
        <v>92</v>
      </c>
      <c r="E508" t="s">
        <v>110</v>
      </c>
      <c r="F508" s="6">
        <v>0.45833333333333331</v>
      </c>
      <c r="G508">
        <v>0</v>
      </c>
      <c r="H508" s="6">
        <f>FLOOR(tblPivotData[[#This Row],[Time]],Summary!$B$6/1440)</f>
        <v>0.45833333333333331</v>
      </c>
      <c r="I508" s="49">
        <f>INDEX(PeakCalc!$L$10:$L$303,MATCH(tblPivotData[[#This Row],[Time]],PeakCalc!$G$10:$G$303,0))</f>
        <v>0</v>
      </c>
    </row>
    <row r="509" spans="1:9" x14ac:dyDescent="0.25">
      <c r="A509" t="s">
        <v>94</v>
      </c>
      <c r="B509" t="s">
        <v>100</v>
      </c>
      <c r="C509" t="s">
        <v>97</v>
      </c>
      <c r="D509" t="s">
        <v>92</v>
      </c>
      <c r="E509" t="s">
        <v>110</v>
      </c>
      <c r="F509" s="6">
        <v>0.46875</v>
      </c>
      <c r="G509">
        <v>0</v>
      </c>
      <c r="H509" s="6">
        <f>FLOOR(tblPivotData[[#This Row],[Time]],Summary!$B$6/1440)</f>
        <v>0.46875</v>
      </c>
      <c r="I509" s="49">
        <f>INDEX(PeakCalc!$L$10:$L$303,MATCH(tblPivotData[[#This Row],[Time]],PeakCalc!$G$10:$G$303,0))</f>
        <v>0</v>
      </c>
    </row>
    <row r="510" spans="1:9" x14ac:dyDescent="0.25">
      <c r="A510" t="s">
        <v>94</v>
      </c>
      <c r="B510" t="s">
        <v>100</v>
      </c>
      <c r="C510" t="s">
        <v>97</v>
      </c>
      <c r="D510" t="s">
        <v>92</v>
      </c>
      <c r="E510" t="s">
        <v>110</v>
      </c>
      <c r="F510" s="6">
        <v>0.47916666666666669</v>
      </c>
      <c r="G510">
        <v>0</v>
      </c>
      <c r="H510" s="6">
        <f>FLOOR(tblPivotData[[#This Row],[Time]],Summary!$B$6/1440)</f>
        <v>0.47916666666666663</v>
      </c>
      <c r="I510" s="49">
        <f>INDEX(PeakCalc!$L$10:$L$303,MATCH(tblPivotData[[#This Row],[Time]],PeakCalc!$G$10:$G$303,0))</f>
        <v>0</v>
      </c>
    </row>
    <row r="511" spans="1:9" x14ac:dyDescent="0.25">
      <c r="A511" t="s">
        <v>94</v>
      </c>
      <c r="B511" t="s">
        <v>100</v>
      </c>
      <c r="C511" t="s">
        <v>97</v>
      </c>
      <c r="D511" t="s">
        <v>92</v>
      </c>
      <c r="E511" t="s">
        <v>110</v>
      </c>
      <c r="F511" s="6">
        <v>0.48958333333333331</v>
      </c>
      <c r="G511">
        <v>0</v>
      </c>
      <c r="H511" s="6">
        <f>FLOOR(tblPivotData[[#This Row],[Time]],Summary!$B$6/1440)</f>
        <v>0.48958333333333331</v>
      </c>
      <c r="I511" s="49">
        <f>INDEX(PeakCalc!$L$10:$L$303,MATCH(tblPivotData[[#This Row],[Time]],PeakCalc!$G$10:$G$303,0))</f>
        <v>0</v>
      </c>
    </row>
    <row r="512" spans="1:9" x14ac:dyDescent="0.25">
      <c r="A512" t="s">
        <v>94</v>
      </c>
      <c r="B512" t="s">
        <v>100</v>
      </c>
      <c r="C512" t="s">
        <v>97</v>
      </c>
      <c r="D512" t="s">
        <v>92</v>
      </c>
      <c r="E512" t="s">
        <v>110</v>
      </c>
      <c r="F512" s="6">
        <v>0.5</v>
      </c>
      <c r="G512">
        <v>0</v>
      </c>
      <c r="H512" s="6">
        <f>FLOOR(tblPivotData[[#This Row],[Time]],Summary!$B$6/1440)</f>
        <v>0.5</v>
      </c>
      <c r="I512" s="49">
        <f>INDEX(PeakCalc!$L$10:$L$303,MATCH(tblPivotData[[#This Row],[Time]],PeakCalc!$G$10:$G$303,0))</f>
        <v>0</v>
      </c>
    </row>
    <row r="513" spans="1:9" x14ac:dyDescent="0.25">
      <c r="A513" t="s">
        <v>94</v>
      </c>
      <c r="B513" t="s">
        <v>100</v>
      </c>
      <c r="C513" t="s">
        <v>97</v>
      </c>
      <c r="D513" t="s">
        <v>92</v>
      </c>
      <c r="E513" t="s">
        <v>110</v>
      </c>
      <c r="F513" s="6">
        <v>0.51041666666666663</v>
      </c>
      <c r="G513">
        <v>0</v>
      </c>
      <c r="H513" s="6">
        <f>FLOOR(tblPivotData[[#This Row],[Time]],Summary!$B$6/1440)</f>
        <v>0.51041666666666663</v>
      </c>
      <c r="I513" s="49">
        <f>INDEX(PeakCalc!$L$10:$L$303,MATCH(tblPivotData[[#This Row],[Time]],PeakCalc!$G$10:$G$303,0))</f>
        <v>0</v>
      </c>
    </row>
    <row r="514" spans="1:9" x14ac:dyDescent="0.25">
      <c r="A514" t="s">
        <v>94</v>
      </c>
      <c r="B514" t="s">
        <v>100</v>
      </c>
      <c r="C514" t="s">
        <v>97</v>
      </c>
      <c r="D514" t="s">
        <v>92</v>
      </c>
      <c r="E514" t="s">
        <v>110</v>
      </c>
      <c r="F514" s="6">
        <v>0.52083333333333337</v>
      </c>
      <c r="G514">
        <v>0</v>
      </c>
      <c r="H514" s="6">
        <f>FLOOR(tblPivotData[[#This Row],[Time]],Summary!$B$6/1440)</f>
        <v>0.52083333333333326</v>
      </c>
      <c r="I514" s="49">
        <f>INDEX(PeakCalc!$L$10:$L$303,MATCH(tblPivotData[[#This Row],[Time]],PeakCalc!$G$10:$G$303,0))</f>
        <v>1</v>
      </c>
    </row>
    <row r="515" spans="1:9" x14ac:dyDescent="0.25">
      <c r="A515" t="s">
        <v>94</v>
      </c>
      <c r="B515" t="s">
        <v>100</v>
      </c>
      <c r="C515" t="s">
        <v>97</v>
      </c>
      <c r="D515" t="s">
        <v>92</v>
      </c>
      <c r="E515" t="s">
        <v>110</v>
      </c>
      <c r="F515" s="6">
        <v>0.53125</v>
      </c>
      <c r="G515">
        <v>0</v>
      </c>
      <c r="H515" s="6">
        <f>FLOOR(tblPivotData[[#This Row],[Time]],Summary!$B$6/1440)</f>
        <v>0.53125</v>
      </c>
      <c r="I515" s="49">
        <f>INDEX(PeakCalc!$L$10:$L$303,MATCH(tblPivotData[[#This Row],[Time]],PeakCalc!$G$10:$G$303,0))</f>
        <v>1</v>
      </c>
    </row>
    <row r="516" spans="1:9" x14ac:dyDescent="0.25">
      <c r="A516" t="s">
        <v>94</v>
      </c>
      <c r="B516" t="s">
        <v>100</v>
      </c>
      <c r="C516" t="s">
        <v>97</v>
      </c>
      <c r="D516" t="s">
        <v>92</v>
      </c>
      <c r="E516" t="s">
        <v>110</v>
      </c>
      <c r="F516" s="6">
        <v>0.54166666666666663</v>
      </c>
      <c r="G516">
        <v>0</v>
      </c>
      <c r="H516" s="6">
        <f>FLOOR(tblPivotData[[#This Row],[Time]],Summary!$B$6/1440)</f>
        <v>0.54166666666666663</v>
      </c>
      <c r="I516" s="49">
        <f>INDEX(PeakCalc!$L$10:$L$303,MATCH(tblPivotData[[#This Row],[Time]],PeakCalc!$G$10:$G$303,0))</f>
        <v>1</v>
      </c>
    </row>
    <row r="517" spans="1:9" x14ac:dyDescent="0.25">
      <c r="A517" t="s">
        <v>94</v>
      </c>
      <c r="B517" t="s">
        <v>100</v>
      </c>
      <c r="C517" t="s">
        <v>97</v>
      </c>
      <c r="D517" t="s">
        <v>92</v>
      </c>
      <c r="E517" t="s">
        <v>110</v>
      </c>
      <c r="F517" s="6">
        <v>0.55208333333333337</v>
      </c>
      <c r="G517">
        <v>0</v>
      </c>
      <c r="H517" s="6">
        <f>FLOOR(tblPivotData[[#This Row],[Time]],Summary!$B$6/1440)</f>
        <v>0.55208333333333326</v>
      </c>
      <c r="I517" s="49">
        <f>INDEX(PeakCalc!$L$10:$L$303,MATCH(tblPivotData[[#This Row],[Time]],PeakCalc!$G$10:$G$303,0))</f>
        <v>1</v>
      </c>
    </row>
    <row r="518" spans="1:9" x14ac:dyDescent="0.25">
      <c r="A518" t="s">
        <v>94</v>
      </c>
      <c r="B518" t="s">
        <v>100</v>
      </c>
      <c r="C518" t="s">
        <v>97</v>
      </c>
      <c r="D518" t="s">
        <v>92</v>
      </c>
      <c r="E518" t="s">
        <v>110</v>
      </c>
      <c r="F518" s="6">
        <v>0.5625</v>
      </c>
      <c r="G518">
        <v>0</v>
      </c>
      <c r="H518" s="6">
        <f>FLOOR(tblPivotData[[#This Row],[Time]],Summary!$B$6/1440)</f>
        <v>0.5625</v>
      </c>
      <c r="I518" s="49">
        <f>INDEX(PeakCalc!$L$10:$L$303,MATCH(tblPivotData[[#This Row],[Time]],PeakCalc!$G$10:$G$303,0))</f>
        <v>0</v>
      </c>
    </row>
    <row r="519" spans="1:9" x14ac:dyDescent="0.25">
      <c r="A519" t="s">
        <v>94</v>
      </c>
      <c r="B519" t="s">
        <v>100</v>
      </c>
      <c r="C519" t="s">
        <v>97</v>
      </c>
      <c r="D519" t="s">
        <v>92</v>
      </c>
      <c r="E519" t="s">
        <v>110</v>
      </c>
      <c r="F519" s="6">
        <v>0.57291666666666663</v>
      </c>
      <c r="G519">
        <v>0</v>
      </c>
      <c r="H519" s="6">
        <f>FLOOR(tblPivotData[[#This Row],[Time]],Summary!$B$6/1440)</f>
        <v>0.57291666666666663</v>
      </c>
      <c r="I519" s="49">
        <f>INDEX(PeakCalc!$L$10:$L$303,MATCH(tblPivotData[[#This Row],[Time]],PeakCalc!$G$10:$G$303,0))</f>
        <v>0</v>
      </c>
    </row>
    <row r="520" spans="1:9" x14ac:dyDescent="0.25">
      <c r="A520" t="s">
        <v>94</v>
      </c>
      <c r="B520" t="s">
        <v>100</v>
      </c>
      <c r="C520" t="s">
        <v>97</v>
      </c>
      <c r="D520" t="s">
        <v>92</v>
      </c>
      <c r="E520" t="s">
        <v>44</v>
      </c>
      <c r="F520" s="6">
        <v>0.625</v>
      </c>
      <c r="G520">
        <v>0</v>
      </c>
      <c r="H520" s="6">
        <f>FLOOR(tblPivotData[[#This Row],[Time]],Summary!$B$6/1440)</f>
        <v>0.625</v>
      </c>
      <c r="I520" s="49">
        <f>INDEX(PeakCalc!$L$10:$L$303,MATCH(tblPivotData[[#This Row],[Time]],PeakCalc!$G$10:$G$303,0))</f>
        <v>0</v>
      </c>
    </row>
    <row r="521" spans="1:9" x14ac:dyDescent="0.25">
      <c r="A521" t="s">
        <v>94</v>
      </c>
      <c r="B521" t="s">
        <v>100</v>
      </c>
      <c r="C521" t="s">
        <v>97</v>
      </c>
      <c r="D521" t="s">
        <v>92</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94</v>
      </c>
      <c r="B522" t="s">
        <v>100</v>
      </c>
      <c r="C522" t="s">
        <v>97</v>
      </c>
      <c r="D522" t="s">
        <v>92</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94</v>
      </c>
      <c r="B523" t="s">
        <v>100</v>
      </c>
      <c r="C523" t="s">
        <v>97</v>
      </c>
      <c r="D523" t="s">
        <v>92</v>
      </c>
      <c r="E523" t="s">
        <v>44</v>
      </c>
      <c r="F523" s="6">
        <v>0.65625</v>
      </c>
      <c r="G523">
        <v>0</v>
      </c>
      <c r="H523" s="6">
        <f>FLOOR(tblPivotData[[#This Row],[Time]],Summary!$B$6/1440)</f>
        <v>0.65625</v>
      </c>
      <c r="I523" s="49">
        <f>INDEX(PeakCalc!$L$10:$L$303,MATCH(tblPivotData[[#This Row],[Time]],PeakCalc!$G$10:$G$303,0))</f>
        <v>0</v>
      </c>
    </row>
    <row r="524" spans="1:9" x14ac:dyDescent="0.25">
      <c r="A524" t="s">
        <v>94</v>
      </c>
      <c r="B524" t="s">
        <v>100</v>
      </c>
      <c r="C524" t="s">
        <v>97</v>
      </c>
      <c r="D524" t="s">
        <v>92</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94</v>
      </c>
      <c r="B525" t="s">
        <v>100</v>
      </c>
      <c r="C525" t="s">
        <v>97</v>
      </c>
      <c r="D525" t="s">
        <v>92</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94</v>
      </c>
      <c r="B526" t="s">
        <v>100</v>
      </c>
      <c r="C526" t="s">
        <v>97</v>
      </c>
      <c r="D526" t="s">
        <v>92</v>
      </c>
      <c r="E526" t="s">
        <v>44</v>
      </c>
      <c r="F526" s="6">
        <v>0.6875</v>
      </c>
      <c r="G526">
        <v>0</v>
      </c>
      <c r="H526" s="6">
        <f>FLOOR(tblPivotData[[#This Row],[Time]],Summary!$B$6/1440)</f>
        <v>0.6875</v>
      </c>
      <c r="I526" s="49">
        <f>INDEX(PeakCalc!$L$10:$L$303,MATCH(tblPivotData[[#This Row],[Time]],PeakCalc!$G$10:$G$303,0))</f>
        <v>1</v>
      </c>
    </row>
    <row r="527" spans="1:9" x14ac:dyDescent="0.25">
      <c r="A527" t="s">
        <v>94</v>
      </c>
      <c r="B527" t="s">
        <v>100</v>
      </c>
      <c r="C527" t="s">
        <v>97</v>
      </c>
      <c r="D527" t="s">
        <v>92</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94</v>
      </c>
      <c r="B528" t="s">
        <v>100</v>
      </c>
      <c r="C528" t="s">
        <v>97</v>
      </c>
      <c r="D528" t="s">
        <v>92</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94</v>
      </c>
      <c r="B529" t="s">
        <v>100</v>
      </c>
      <c r="C529" t="s">
        <v>97</v>
      </c>
      <c r="D529" t="s">
        <v>92</v>
      </c>
      <c r="E529" t="s">
        <v>44</v>
      </c>
      <c r="F529" s="6">
        <v>0.71875</v>
      </c>
      <c r="G529">
        <v>0</v>
      </c>
      <c r="H529" s="6">
        <f>FLOOR(tblPivotData[[#This Row],[Time]],Summary!$B$6/1440)</f>
        <v>0.71875</v>
      </c>
      <c r="I529" s="49">
        <f>INDEX(PeakCalc!$L$10:$L$303,MATCH(tblPivotData[[#This Row],[Time]],PeakCalc!$G$10:$G$303,0))</f>
        <v>1</v>
      </c>
    </row>
    <row r="530" spans="1:9" x14ac:dyDescent="0.25">
      <c r="A530" t="s">
        <v>94</v>
      </c>
      <c r="B530" t="s">
        <v>100</v>
      </c>
      <c r="C530" t="s">
        <v>97</v>
      </c>
      <c r="D530" t="s">
        <v>92</v>
      </c>
      <c r="E530" t="s">
        <v>44</v>
      </c>
      <c r="F530" s="6">
        <v>0.72916666666666663</v>
      </c>
      <c r="G530">
        <v>0</v>
      </c>
      <c r="H530" s="6">
        <f>FLOOR(tblPivotData[[#This Row],[Time]],Summary!$B$6/1440)</f>
        <v>0.72916666666666663</v>
      </c>
      <c r="I530" s="49">
        <f>INDEX(PeakCalc!$L$10:$L$303,MATCH(tblPivotData[[#This Row],[Time]],PeakCalc!$G$10:$G$303,0))</f>
        <v>0</v>
      </c>
    </row>
    <row r="531" spans="1:9" x14ac:dyDescent="0.25">
      <c r="A531" t="s">
        <v>94</v>
      </c>
      <c r="B531" t="s">
        <v>100</v>
      </c>
      <c r="C531" t="s">
        <v>97</v>
      </c>
      <c r="D531" t="s">
        <v>92</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94</v>
      </c>
      <c r="B532" t="s">
        <v>100</v>
      </c>
      <c r="C532" t="s">
        <v>97</v>
      </c>
      <c r="D532" t="s">
        <v>92</v>
      </c>
      <c r="E532" t="s">
        <v>44</v>
      </c>
      <c r="F532" s="6">
        <v>0.75</v>
      </c>
      <c r="G532">
        <v>0</v>
      </c>
      <c r="H532" s="6">
        <f>FLOOR(tblPivotData[[#This Row],[Time]],Summary!$B$6/1440)</f>
        <v>0.75</v>
      </c>
      <c r="I532" s="49">
        <f>INDEX(PeakCalc!$L$10:$L$303,MATCH(tblPivotData[[#This Row],[Time]],PeakCalc!$G$10:$G$303,0))</f>
        <v>0</v>
      </c>
    </row>
    <row r="533" spans="1:9" x14ac:dyDescent="0.25">
      <c r="A533" t="s">
        <v>94</v>
      </c>
      <c r="B533" t="s">
        <v>100</v>
      </c>
      <c r="C533" t="s">
        <v>97</v>
      </c>
      <c r="D533" t="s">
        <v>92</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94</v>
      </c>
      <c r="B534" t="s">
        <v>100</v>
      </c>
      <c r="C534" t="s">
        <v>97</v>
      </c>
      <c r="D534" t="s">
        <v>93</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94</v>
      </c>
      <c r="B535" t="s">
        <v>100</v>
      </c>
      <c r="C535" t="s">
        <v>97</v>
      </c>
      <c r="D535" t="s">
        <v>93</v>
      </c>
      <c r="E535" t="s">
        <v>43</v>
      </c>
      <c r="F535" s="6">
        <v>0.28125</v>
      </c>
      <c r="G535">
        <v>0</v>
      </c>
      <c r="H535" s="6">
        <f>FLOOR(tblPivotData[[#This Row],[Time]],Summary!$B$6/1440)</f>
        <v>0.28125</v>
      </c>
      <c r="I535" s="49">
        <f>INDEX(PeakCalc!$L$10:$L$303,MATCH(tblPivotData[[#This Row],[Time]],PeakCalc!$G$10:$G$303,0))</f>
        <v>0</v>
      </c>
    </row>
    <row r="536" spans="1:9" x14ac:dyDescent="0.25">
      <c r="A536" t="s">
        <v>94</v>
      </c>
      <c r="B536" t="s">
        <v>100</v>
      </c>
      <c r="C536" t="s">
        <v>97</v>
      </c>
      <c r="D536" t="s">
        <v>93</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94</v>
      </c>
      <c r="B537" t="s">
        <v>100</v>
      </c>
      <c r="C537" t="s">
        <v>97</v>
      </c>
      <c r="D537" t="s">
        <v>93</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94</v>
      </c>
      <c r="B538" t="s">
        <v>100</v>
      </c>
      <c r="C538" t="s">
        <v>97</v>
      </c>
      <c r="D538" t="s">
        <v>93</v>
      </c>
      <c r="E538" t="s">
        <v>43</v>
      </c>
      <c r="F538" s="6">
        <v>0.3125</v>
      </c>
      <c r="G538">
        <v>0</v>
      </c>
      <c r="H538" s="6">
        <f>FLOOR(tblPivotData[[#This Row],[Time]],Summary!$B$6/1440)</f>
        <v>0.3125</v>
      </c>
      <c r="I538" s="49">
        <f>INDEX(PeakCalc!$L$10:$L$303,MATCH(tblPivotData[[#This Row],[Time]],PeakCalc!$G$10:$G$303,0))</f>
        <v>0</v>
      </c>
    </row>
    <row r="539" spans="1:9" x14ac:dyDescent="0.25">
      <c r="A539" t="s">
        <v>94</v>
      </c>
      <c r="B539" t="s">
        <v>100</v>
      </c>
      <c r="C539" t="s">
        <v>97</v>
      </c>
      <c r="D539" t="s">
        <v>93</v>
      </c>
      <c r="E539" t="s">
        <v>43</v>
      </c>
      <c r="F539" s="6">
        <v>0.32291666666666669</v>
      </c>
      <c r="G539">
        <v>1</v>
      </c>
      <c r="H539" s="6">
        <f>FLOOR(tblPivotData[[#This Row],[Time]],Summary!$B$6/1440)</f>
        <v>0.32291666666666663</v>
      </c>
      <c r="I539" s="49">
        <f>INDEX(PeakCalc!$L$10:$L$303,MATCH(tblPivotData[[#This Row],[Time]],PeakCalc!$G$10:$G$303,0))</f>
        <v>1</v>
      </c>
    </row>
    <row r="540" spans="1:9" x14ac:dyDescent="0.25">
      <c r="A540" t="s">
        <v>94</v>
      </c>
      <c r="B540" t="s">
        <v>100</v>
      </c>
      <c r="C540" t="s">
        <v>97</v>
      </c>
      <c r="D540" t="s">
        <v>93</v>
      </c>
      <c r="E540" t="s">
        <v>43</v>
      </c>
      <c r="F540" s="6">
        <v>0.33333333333333331</v>
      </c>
      <c r="G540">
        <v>0</v>
      </c>
      <c r="H540" s="6">
        <f>FLOOR(tblPivotData[[#This Row],[Time]],Summary!$B$6/1440)</f>
        <v>0.33333333333333331</v>
      </c>
      <c r="I540" s="49">
        <f>INDEX(PeakCalc!$L$10:$L$303,MATCH(tblPivotData[[#This Row],[Time]],PeakCalc!$G$10:$G$303,0))</f>
        <v>1</v>
      </c>
    </row>
    <row r="541" spans="1:9" x14ac:dyDescent="0.25">
      <c r="A541" t="s">
        <v>94</v>
      </c>
      <c r="B541" t="s">
        <v>100</v>
      </c>
      <c r="C541" t="s">
        <v>97</v>
      </c>
      <c r="D541" t="s">
        <v>93</v>
      </c>
      <c r="E541" t="s">
        <v>43</v>
      </c>
      <c r="F541" s="6">
        <v>0.34375</v>
      </c>
      <c r="G541">
        <v>0</v>
      </c>
      <c r="H541" s="6">
        <f>FLOOR(tblPivotData[[#This Row],[Time]],Summary!$B$6/1440)</f>
        <v>0.34375</v>
      </c>
      <c r="I541" s="49">
        <f>INDEX(PeakCalc!$L$10:$L$303,MATCH(tblPivotData[[#This Row],[Time]],PeakCalc!$G$10:$G$303,0))</f>
        <v>1</v>
      </c>
    </row>
    <row r="542" spans="1:9" x14ac:dyDescent="0.25">
      <c r="A542" t="s">
        <v>94</v>
      </c>
      <c r="B542" t="s">
        <v>100</v>
      </c>
      <c r="C542" t="s">
        <v>97</v>
      </c>
      <c r="D542" t="s">
        <v>93</v>
      </c>
      <c r="E542" t="s">
        <v>43</v>
      </c>
      <c r="F542" s="6">
        <v>0.35416666666666669</v>
      </c>
      <c r="G542">
        <v>1</v>
      </c>
      <c r="H542" s="6">
        <f>FLOOR(tblPivotData[[#This Row],[Time]],Summary!$B$6/1440)</f>
        <v>0.35416666666666663</v>
      </c>
      <c r="I542" s="49">
        <f>INDEX(PeakCalc!$L$10:$L$303,MATCH(tblPivotData[[#This Row],[Time]],PeakCalc!$G$10:$G$303,0))</f>
        <v>1</v>
      </c>
    </row>
    <row r="543" spans="1:9" x14ac:dyDescent="0.25">
      <c r="A543" t="s">
        <v>94</v>
      </c>
      <c r="B543" t="s">
        <v>100</v>
      </c>
      <c r="C543" t="s">
        <v>97</v>
      </c>
      <c r="D543" t="s">
        <v>93</v>
      </c>
      <c r="E543" t="s">
        <v>43</v>
      </c>
      <c r="F543" s="6">
        <v>0.36458333333333331</v>
      </c>
      <c r="G543">
        <v>0</v>
      </c>
      <c r="H543" s="6">
        <f>FLOOR(tblPivotData[[#This Row],[Time]],Summary!$B$6/1440)</f>
        <v>0.36458333333333331</v>
      </c>
      <c r="I543" s="49">
        <f>INDEX(PeakCalc!$L$10:$L$303,MATCH(tblPivotData[[#This Row],[Time]],PeakCalc!$G$10:$G$303,0))</f>
        <v>0</v>
      </c>
    </row>
    <row r="544" spans="1:9" x14ac:dyDescent="0.25">
      <c r="A544" t="s">
        <v>94</v>
      </c>
      <c r="B544" t="s">
        <v>100</v>
      </c>
      <c r="C544" t="s">
        <v>97</v>
      </c>
      <c r="D544" t="s">
        <v>93</v>
      </c>
      <c r="E544" t="s">
        <v>43</v>
      </c>
      <c r="F544" s="6">
        <v>0.375</v>
      </c>
      <c r="G544">
        <v>0</v>
      </c>
      <c r="H544" s="6">
        <f>FLOOR(tblPivotData[[#This Row],[Time]],Summary!$B$6/1440)</f>
        <v>0.375</v>
      </c>
      <c r="I544" s="49">
        <f>INDEX(PeakCalc!$L$10:$L$303,MATCH(tblPivotData[[#This Row],[Time]],PeakCalc!$G$10:$G$303,0))</f>
        <v>0</v>
      </c>
    </row>
    <row r="545" spans="1:9" x14ac:dyDescent="0.25">
      <c r="A545" t="s">
        <v>94</v>
      </c>
      <c r="B545" t="s">
        <v>100</v>
      </c>
      <c r="C545" t="s">
        <v>97</v>
      </c>
      <c r="D545" t="s">
        <v>93</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94</v>
      </c>
      <c r="B546" t="s">
        <v>100</v>
      </c>
      <c r="C546" t="s">
        <v>97</v>
      </c>
      <c r="D546" t="s">
        <v>93</v>
      </c>
      <c r="E546" t="s">
        <v>110</v>
      </c>
      <c r="F546" s="6">
        <v>0.45833333333333331</v>
      </c>
      <c r="G546">
        <v>0</v>
      </c>
      <c r="H546" s="6">
        <f>FLOOR(tblPivotData[[#This Row],[Time]],Summary!$B$6/1440)</f>
        <v>0.45833333333333331</v>
      </c>
      <c r="I546" s="49">
        <f>INDEX(PeakCalc!$L$10:$L$303,MATCH(tblPivotData[[#This Row],[Time]],PeakCalc!$G$10:$G$303,0))</f>
        <v>0</v>
      </c>
    </row>
    <row r="547" spans="1:9" x14ac:dyDescent="0.25">
      <c r="A547" t="s">
        <v>94</v>
      </c>
      <c r="B547" t="s">
        <v>100</v>
      </c>
      <c r="C547" t="s">
        <v>97</v>
      </c>
      <c r="D547" t="s">
        <v>93</v>
      </c>
      <c r="E547" t="s">
        <v>110</v>
      </c>
      <c r="F547" s="6">
        <v>0.46875</v>
      </c>
      <c r="G547">
        <v>0</v>
      </c>
      <c r="H547" s="6">
        <f>FLOOR(tblPivotData[[#This Row],[Time]],Summary!$B$6/1440)</f>
        <v>0.46875</v>
      </c>
      <c r="I547" s="49">
        <f>INDEX(PeakCalc!$L$10:$L$303,MATCH(tblPivotData[[#This Row],[Time]],PeakCalc!$G$10:$G$303,0))</f>
        <v>0</v>
      </c>
    </row>
    <row r="548" spans="1:9" x14ac:dyDescent="0.25">
      <c r="A548" t="s">
        <v>94</v>
      </c>
      <c r="B548" t="s">
        <v>100</v>
      </c>
      <c r="C548" t="s">
        <v>97</v>
      </c>
      <c r="D548" t="s">
        <v>93</v>
      </c>
      <c r="E548" t="s">
        <v>110</v>
      </c>
      <c r="F548" s="6">
        <v>0.47916666666666669</v>
      </c>
      <c r="G548">
        <v>0</v>
      </c>
      <c r="H548" s="6">
        <f>FLOOR(tblPivotData[[#This Row],[Time]],Summary!$B$6/1440)</f>
        <v>0.47916666666666663</v>
      </c>
      <c r="I548" s="49">
        <f>INDEX(PeakCalc!$L$10:$L$303,MATCH(tblPivotData[[#This Row],[Time]],PeakCalc!$G$10:$G$303,0))</f>
        <v>0</v>
      </c>
    </row>
    <row r="549" spans="1:9" x14ac:dyDescent="0.25">
      <c r="A549" t="s">
        <v>94</v>
      </c>
      <c r="B549" t="s">
        <v>100</v>
      </c>
      <c r="C549" t="s">
        <v>97</v>
      </c>
      <c r="D549" t="s">
        <v>93</v>
      </c>
      <c r="E549" t="s">
        <v>110</v>
      </c>
      <c r="F549" s="6">
        <v>0.48958333333333331</v>
      </c>
      <c r="G549">
        <v>0</v>
      </c>
      <c r="H549" s="6">
        <f>FLOOR(tblPivotData[[#This Row],[Time]],Summary!$B$6/1440)</f>
        <v>0.48958333333333331</v>
      </c>
      <c r="I549" s="49">
        <f>INDEX(PeakCalc!$L$10:$L$303,MATCH(tblPivotData[[#This Row],[Time]],PeakCalc!$G$10:$G$303,0))</f>
        <v>0</v>
      </c>
    </row>
    <row r="550" spans="1:9" x14ac:dyDescent="0.25">
      <c r="A550" t="s">
        <v>94</v>
      </c>
      <c r="B550" t="s">
        <v>100</v>
      </c>
      <c r="C550" t="s">
        <v>97</v>
      </c>
      <c r="D550" t="s">
        <v>93</v>
      </c>
      <c r="E550" t="s">
        <v>110</v>
      </c>
      <c r="F550" s="6">
        <v>0.5</v>
      </c>
      <c r="G550">
        <v>0</v>
      </c>
      <c r="H550" s="6">
        <f>FLOOR(tblPivotData[[#This Row],[Time]],Summary!$B$6/1440)</f>
        <v>0.5</v>
      </c>
      <c r="I550" s="49">
        <f>INDEX(PeakCalc!$L$10:$L$303,MATCH(tblPivotData[[#This Row],[Time]],PeakCalc!$G$10:$G$303,0))</f>
        <v>0</v>
      </c>
    </row>
    <row r="551" spans="1:9" x14ac:dyDescent="0.25">
      <c r="A551" t="s">
        <v>94</v>
      </c>
      <c r="B551" t="s">
        <v>100</v>
      </c>
      <c r="C551" t="s">
        <v>97</v>
      </c>
      <c r="D551" t="s">
        <v>93</v>
      </c>
      <c r="E551" t="s">
        <v>110</v>
      </c>
      <c r="F551" s="6">
        <v>0.51041666666666663</v>
      </c>
      <c r="G551">
        <v>0</v>
      </c>
      <c r="H551" s="6">
        <f>FLOOR(tblPivotData[[#This Row],[Time]],Summary!$B$6/1440)</f>
        <v>0.51041666666666663</v>
      </c>
      <c r="I551" s="49">
        <f>INDEX(PeakCalc!$L$10:$L$303,MATCH(tblPivotData[[#This Row],[Time]],PeakCalc!$G$10:$G$303,0))</f>
        <v>0</v>
      </c>
    </row>
    <row r="552" spans="1:9" x14ac:dyDescent="0.25">
      <c r="A552" t="s">
        <v>94</v>
      </c>
      <c r="B552" t="s">
        <v>100</v>
      </c>
      <c r="C552" t="s">
        <v>97</v>
      </c>
      <c r="D552" t="s">
        <v>93</v>
      </c>
      <c r="E552" t="s">
        <v>110</v>
      </c>
      <c r="F552" s="6">
        <v>0.52083333333333337</v>
      </c>
      <c r="G552">
        <v>0</v>
      </c>
      <c r="H552" s="6">
        <f>FLOOR(tblPivotData[[#This Row],[Time]],Summary!$B$6/1440)</f>
        <v>0.52083333333333326</v>
      </c>
      <c r="I552" s="49">
        <f>INDEX(PeakCalc!$L$10:$L$303,MATCH(tblPivotData[[#This Row],[Time]],PeakCalc!$G$10:$G$303,0))</f>
        <v>1</v>
      </c>
    </row>
    <row r="553" spans="1:9" x14ac:dyDescent="0.25">
      <c r="A553" t="s">
        <v>94</v>
      </c>
      <c r="B553" t="s">
        <v>100</v>
      </c>
      <c r="C553" t="s">
        <v>97</v>
      </c>
      <c r="D553" t="s">
        <v>93</v>
      </c>
      <c r="E553" t="s">
        <v>110</v>
      </c>
      <c r="F553" s="6">
        <v>0.53125</v>
      </c>
      <c r="G553">
        <v>0</v>
      </c>
      <c r="H553" s="6">
        <f>FLOOR(tblPivotData[[#This Row],[Time]],Summary!$B$6/1440)</f>
        <v>0.53125</v>
      </c>
      <c r="I553" s="49">
        <f>INDEX(PeakCalc!$L$10:$L$303,MATCH(tblPivotData[[#This Row],[Time]],PeakCalc!$G$10:$G$303,0))</f>
        <v>1</v>
      </c>
    </row>
    <row r="554" spans="1:9" x14ac:dyDescent="0.25">
      <c r="A554" t="s">
        <v>94</v>
      </c>
      <c r="B554" t="s">
        <v>100</v>
      </c>
      <c r="C554" t="s">
        <v>97</v>
      </c>
      <c r="D554" t="s">
        <v>93</v>
      </c>
      <c r="E554" t="s">
        <v>110</v>
      </c>
      <c r="F554" s="6">
        <v>0.54166666666666663</v>
      </c>
      <c r="G554">
        <v>1</v>
      </c>
      <c r="H554" s="6">
        <f>FLOOR(tblPivotData[[#This Row],[Time]],Summary!$B$6/1440)</f>
        <v>0.54166666666666663</v>
      </c>
      <c r="I554" s="49">
        <f>INDEX(PeakCalc!$L$10:$L$303,MATCH(tblPivotData[[#This Row],[Time]],PeakCalc!$G$10:$G$303,0))</f>
        <v>1</v>
      </c>
    </row>
    <row r="555" spans="1:9" x14ac:dyDescent="0.25">
      <c r="A555" t="s">
        <v>94</v>
      </c>
      <c r="B555" t="s">
        <v>100</v>
      </c>
      <c r="C555" t="s">
        <v>97</v>
      </c>
      <c r="D555" t="s">
        <v>93</v>
      </c>
      <c r="E555" t="s">
        <v>110</v>
      </c>
      <c r="F555" s="6">
        <v>0.55208333333333337</v>
      </c>
      <c r="G555">
        <v>0</v>
      </c>
      <c r="H555" s="6">
        <f>FLOOR(tblPivotData[[#This Row],[Time]],Summary!$B$6/1440)</f>
        <v>0.55208333333333326</v>
      </c>
      <c r="I555" s="49">
        <f>INDEX(PeakCalc!$L$10:$L$303,MATCH(tblPivotData[[#This Row],[Time]],PeakCalc!$G$10:$G$303,0))</f>
        <v>1</v>
      </c>
    </row>
    <row r="556" spans="1:9" x14ac:dyDescent="0.25">
      <c r="A556" t="s">
        <v>94</v>
      </c>
      <c r="B556" t="s">
        <v>100</v>
      </c>
      <c r="C556" t="s">
        <v>97</v>
      </c>
      <c r="D556" t="s">
        <v>93</v>
      </c>
      <c r="E556" t="s">
        <v>110</v>
      </c>
      <c r="F556" s="6">
        <v>0.5625</v>
      </c>
      <c r="G556">
        <v>0</v>
      </c>
      <c r="H556" s="6">
        <f>FLOOR(tblPivotData[[#This Row],[Time]],Summary!$B$6/1440)</f>
        <v>0.5625</v>
      </c>
      <c r="I556" s="49">
        <f>INDEX(PeakCalc!$L$10:$L$303,MATCH(tblPivotData[[#This Row],[Time]],PeakCalc!$G$10:$G$303,0))</f>
        <v>0</v>
      </c>
    </row>
    <row r="557" spans="1:9" x14ac:dyDescent="0.25">
      <c r="A557" t="s">
        <v>94</v>
      </c>
      <c r="B557" t="s">
        <v>100</v>
      </c>
      <c r="C557" t="s">
        <v>97</v>
      </c>
      <c r="D557" t="s">
        <v>93</v>
      </c>
      <c r="E557" t="s">
        <v>110</v>
      </c>
      <c r="F557" s="6">
        <v>0.57291666666666663</v>
      </c>
      <c r="G557">
        <v>0</v>
      </c>
      <c r="H557" s="6">
        <f>FLOOR(tblPivotData[[#This Row],[Time]],Summary!$B$6/1440)</f>
        <v>0.57291666666666663</v>
      </c>
      <c r="I557" s="49">
        <f>INDEX(PeakCalc!$L$10:$L$303,MATCH(tblPivotData[[#This Row],[Time]],PeakCalc!$G$10:$G$303,0))</f>
        <v>0</v>
      </c>
    </row>
    <row r="558" spans="1:9" x14ac:dyDescent="0.25">
      <c r="A558" t="s">
        <v>94</v>
      </c>
      <c r="B558" t="s">
        <v>100</v>
      </c>
      <c r="C558" t="s">
        <v>97</v>
      </c>
      <c r="D558" t="s">
        <v>93</v>
      </c>
      <c r="E558" t="s">
        <v>44</v>
      </c>
      <c r="F558" s="6">
        <v>0.625</v>
      </c>
      <c r="G558">
        <v>0</v>
      </c>
      <c r="H558" s="6">
        <f>FLOOR(tblPivotData[[#This Row],[Time]],Summary!$B$6/1440)</f>
        <v>0.625</v>
      </c>
      <c r="I558" s="49">
        <f>INDEX(PeakCalc!$L$10:$L$303,MATCH(tblPivotData[[#This Row],[Time]],PeakCalc!$G$10:$G$303,0))</f>
        <v>0</v>
      </c>
    </row>
    <row r="559" spans="1:9" x14ac:dyDescent="0.25">
      <c r="A559" t="s">
        <v>94</v>
      </c>
      <c r="B559" t="s">
        <v>100</v>
      </c>
      <c r="C559" t="s">
        <v>97</v>
      </c>
      <c r="D559" t="s">
        <v>93</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94</v>
      </c>
      <c r="B560" t="s">
        <v>100</v>
      </c>
      <c r="C560" t="s">
        <v>97</v>
      </c>
      <c r="D560" t="s">
        <v>93</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94</v>
      </c>
      <c r="B561" t="s">
        <v>100</v>
      </c>
      <c r="C561" t="s">
        <v>97</v>
      </c>
      <c r="D561" t="s">
        <v>93</v>
      </c>
      <c r="E561" t="s">
        <v>44</v>
      </c>
      <c r="F561" s="6">
        <v>0.65625</v>
      </c>
      <c r="G561">
        <v>0</v>
      </c>
      <c r="H561" s="6">
        <f>FLOOR(tblPivotData[[#This Row],[Time]],Summary!$B$6/1440)</f>
        <v>0.65625</v>
      </c>
      <c r="I561" s="49">
        <f>INDEX(PeakCalc!$L$10:$L$303,MATCH(tblPivotData[[#This Row],[Time]],PeakCalc!$G$10:$G$303,0))</f>
        <v>0</v>
      </c>
    </row>
    <row r="562" spans="1:9" x14ac:dyDescent="0.25">
      <c r="A562" t="s">
        <v>94</v>
      </c>
      <c r="B562" t="s">
        <v>100</v>
      </c>
      <c r="C562" t="s">
        <v>97</v>
      </c>
      <c r="D562" t="s">
        <v>93</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94</v>
      </c>
      <c r="B563" t="s">
        <v>100</v>
      </c>
      <c r="C563" t="s">
        <v>97</v>
      </c>
      <c r="D563" t="s">
        <v>93</v>
      </c>
      <c r="E563" t="s">
        <v>44</v>
      </c>
      <c r="F563" s="6">
        <v>0.67708333333333337</v>
      </c>
      <c r="G563">
        <v>0</v>
      </c>
      <c r="H563" s="6">
        <f>FLOOR(tblPivotData[[#This Row],[Time]],Summary!$B$6/1440)</f>
        <v>0.67708333333333326</v>
      </c>
      <c r="I563" s="49">
        <f>INDEX(PeakCalc!$L$10:$L$303,MATCH(tblPivotData[[#This Row],[Time]],PeakCalc!$G$10:$G$303,0))</f>
        <v>0</v>
      </c>
    </row>
    <row r="564" spans="1:9" x14ac:dyDescent="0.25">
      <c r="A564" t="s">
        <v>94</v>
      </c>
      <c r="B564" t="s">
        <v>100</v>
      </c>
      <c r="C564" t="s">
        <v>97</v>
      </c>
      <c r="D564" t="s">
        <v>93</v>
      </c>
      <c r="E564" t="s">
        <v>44</v>
      </c>
      <c r="F564" s="6">
        <v>0.6875</v>
      </c>
      <c r="G564">
        <v>0</v>
      </c>
      <c r="H564" s="6">
        <f>FLOOR(tblPivotData[[#This Row],[Time]],Summary!$B$6/1440)</f>
        <v>0.6875</v>
      </c>
      <c r="I564" s="49">
        <f>INDEX(PeakCalc!$L$10:$L$303,MATCH(tblPivotData[[#This Row],[Time]],PeakCalc!$G$10:$G$303,0))</f>
        <v>1</v>
      </c>
    </row>
    <row r="565" spans="1:9" x14ac:dyDescent="0.25">
      <c r="A565" t="s">
        <v>94</v>
      </c>
      <c r="B565" t="s">
        <v>100</v>
      </c>
      <c r="C565" t="s">
        <v>97</v>
      </c>
      <c r="D565" t="s">
        <v>93</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94</v>
      </c>
      <c r="B566" t="s">
        <v>100</v>
      </c>
      <c r="C566" t="s">
        <v>97</v>
      </c>
      <c r="D566" t="s">
        <v>93</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94</v>
      </c>
      <c r="B567" t="s">
        <v>100</v>
      </c>
      <c r="C567" t="s">
        <v>97</v>
      </c>
      <c r="D567" t="s">
        <v>93</v>
      </c>
      <c r="E567" t="s">
        <v>44</v>
      </c>
      <c r="F567" s="6">
        <v>0.71875</v>
      </c>
      <c r="G567">
        <v>0</v>
      </c>
      <c r="H567" s="6">
        <f>FLOOR(tblPivotData[[#This Row],[Time]],Summary!$B$6/1440)</f>
        <v>0.71875</v>
      </c>
      <c r="I567" s="49">
        <f>INDEX(PeakCalc!$L$10:$L$303,MATCH(tblPivotData[[#This Row],[Time]],PeakCalc!$G$10:$G$303,0))</f>
        <v>1</v>
      </c>
    </row>
    <row r="568" spans="1:9" x14ac:dyDescent="0.25">
      <c r="A568" t="s">
        <v>94</v>
      </c>
      <c r="B568" t="s">
        <v>100</v>
      </c>
      <c r="C568" t="s">
        <v>97</v>
      </c>
      <c r="D568" t="s">
        <v>93</v>
      </c>
      <c r="E568" t="s">
        <v>44</v>
      </c>
      <c r="F568" s="6">
        <v>0.72916666666666663</v>
      </c>
      <c r="G568">
        <v>0</v>
      </c>
      <c r="H568" s="6">
        <f>FLOOR(tblPivotData[[#This Row],[Time]],Summary!$B$6/1440)</f>
        <v>0.72916666666666663</v>
      </c>
      <c r="I568" s="49">
        <f>INDEX(PeakCalc!$L$10:$L$303,MATCH(tblPivotData[[#This Row],[Time]],PeakCalc!$G$10:$G$303,0))</f>
        <v>0</v>
      </c>
    </row>
    <row r="569" spans="1:9" x14ac:dyDescent="0.25">
      <c r="A569" t="s">
        <v>94</v>
      </c>
      <c r="B569" t="s">
        <v>100</v>
      </c>
      <c r="C569" t="s">
        <v>97</v>
      </c>
      <c r="D569" t="s">
        <v>93</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94</v>
      </c>
      <c r="B570" t="s">
        <v>100</v>
      </c>
      <c r="C570" t="s">
        <v>97</v>
      </c>
      <c r="D570" t="s">
        <v>93</v>
      </c>
      <c r="E570" t="s">
        <v>44</v>
      </c>
      <c r="F570" s="6">
        <v>0.75</v>
      </c>
      <c r="G570">
        <v>0</v>
      </c>
      <c r="H570" s="6">
        <f>FLOOR(tblPivotData[[#This Row],[Time]],Summary!$B$6/1440)</f>
        <v>0.75</v>
      </c>
      <c r="I570" s="49">
        <f>INDEX(PeakCalc!$L$10:$L$303,MATCH(tblPivotData[[#This Row],[Time]],PeakCalc!$G$10:$G$303,0))</f>
        <v>0</v>
      </c>
    </row>
    <row r="571" spans="1:9" x14ac:dyDescent="0.25">
      <c r="A571" t="s">
        <v>94</v>
      </c>
      <c r="B571" t="s">
        <v>100</v>
      </c>
      <c r="C571" t="s">
        <v>97</v>
      </c>
      <c r="D571" t="s">
        <v>93</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95</v>
      </c>
      <c r="B572" t="s">
        <v>101</v>
      </c>
      <c r="C572" t="s">
        <v>96</v>
      </c>
      <c r="D572" t="s">
        <v>89</v>
      </c>
      <c r="E572" t="s">
        <v>43</v>
      </c>
      <c r="F572" s="6">
        <v>0.27083333333333331</v>
      </c>
      <c r="G572">
        <v>8</v>
      </c>
      <c r="H572" s="6">
        <f>FLOOR(tblPivotData[[#This Row],[Time]],Summary!$B$6/1440)</f>
        <v>0.27083333333333331</v>
      </c>
      <c r="I572" s="49">
        <f>INDEX(PeakCalc!$L$10:$L$303,MATCH(tblPivotData[[#This Row],[Time]],PeakCalc!$G$10:$G$303,0))</f>
        <v>0</v>
      </c>
    </row>
    <row r="573" spans="1:9" x14ac:dyDescent="0.25">
      <c r="A573" t="s">
        <v>95</v>
      </c>
      <c r="B573" t="s">
        <v>101</v>
      </c>
      <c r="C573" t="s">
        <v>96</v>
      </c>
      <c r="D573" t="s">
        <v>89</v>
      </c>
      <c r="E573" t="s">
        <v>43</v>
      </c>
      <c r="F573" s="6">
        <v>0.28125</v>
      </c>
      <c r="G573">
        <v>7</v>
      </c>
      <c r="H573" s="6">
        <f>FLOOR(tblPivotData[[#This Row],[Time]],Summary!$B$6/1440)</f>
        <v>0.28125</v>
      </c>
      <c r="I573" s="49">
        <f>INDEX(PeakCalc!$L$10:$L$303,MATCH(tblPivotData[[#This Row],[Time]],PeakCalc!$G$10:$G$303,0))</f>
        <v>0</v>
      </c>
    </row>
    <row r="574" spans="1:9" x14ac:dyDescent="0.25">
      <c r="A574" t="s">
        <v>95</v>
      </c>
      <c r="B574" t="s">
        <v>101</v>
      </c>
      <c r="C574" t="s">
        <v>96</v>
      </c>
      <c r="D574" t="s">
        <v>89</v>
      </c>
      <c r="E574" t="s">
        <v>43</v>
      </c>
      <c r="F574" s="6">
        <v>0.29166666666666669</v>
      </c>
      <c r="G574">
        <v>14</v>
      </c>
      <c r="H574" s="6">
        <f>FLOOR(tblPivotData[[#This Row],[Time]],Summary!$B$6/1440)</f>
        <v>0.29166666666666663</v>
      </c>
      <c r="I574" s="49">
        <f>INDEX(PeakCalc!$L$10:$L$303,MATCH(tblPivotData[[#This Row],[Time]],PeakCalc!$G$10:$G$303,0))</f>
        <v>0</v>
      </c>
    </row>
    <row r="575" spans="1:9" x14ac:dyDescent="0.25">
      <c r="A575" t="s">
        <v>95</v>
      </c>
      <c r="B575" t="s">
        <v>101</v>
      </c>
      <c r="C575" t="s">
        <v>96</v>
      </c>
      <c r="D575" t="s">
        <v>89</v>
      </c>
      <c r="E575" t="s">
        <v>43</v>
      </c>
      <c r="F575" s="6">
        <v>0.30208333333333331</v>
      </c>
      <c r="G575">
        <v>10</v>
      </c>
      <c r="H575" s="6">
        <f>FLOOR(tblPivotData[[#This Row],[Time]],Summary!$B$6/1440)</f>
        <v>0.30208333333333331</v>
      </c>
      <c r="I575" s="49">
        <f>INDEX(PeakCalc!$L$10:$L$303,MATCH(tblPivotData[[#This Row],[Time]],PeakCalc!$G$10:$G$303,0))</f>
        <v>0</v>
      </c>
    </row>
    <row r="576" spans="1:9" x14ac:dyDescent="0.25">
      <c r="A576" t="s">
        <v>95</v>
      </c>
      <c r="B576" t="s">
        <v>101</v>
      </c>
      <c r="C576" t="s">
        <v>96</v>
      </c>
      <c r="D576" t="s">
        <v>89</v>
      </c>
      <c r="E576" t="s">
        <v>43</v>
      </c>
      <c r="F576" s="6">
        <v>0.3125</v>
      </c>
      <c r="G576">
        <v>10</v>
      </c>
      <c r="H576" s="6">
        <f>FLOOR(tblPivotData[[#This Row],[Time]],Summary!$B$6/1440)</f>
        <v>0.3125</v>
      </c>
      <c r="I576" s="49">
        <f>INDEX(PeakCalc!$L$10:$L$303,MATCH(tblPivotData[[#This Row],[Time]],PeakCalc!$G$10:$G$303,0))</f>
        <v>0</v>
      </c>
    </row>
    <row r="577" spans="1:9" x14ac:dyDescent="0.25">
      <c r="A577" t="s">
        <v>95</v>
      </c>
      <c r="B577" t="s">
        <v>101</v>
      </c>
      <c r="C577" t="s">
        <v>96</v>
      </c>
      <c r="D577" t="s">
        <v>89</v>
      </c>
      <c r="E577" t="s">
        <v>43</v>
      </c>
      <c r="F577" s="6">
        <v>0.32291666666666669</v>
      </c>
      <c r="G577">
        <v>11</v>
      </c>
      <c r="H577" s="6">
        <f>FLOOR(tblPivotData[[#This Row],[Time]],Summary!$B$6/1440)</f>
        <v>0.32291666666666663</v>
      </c>
      <c r="I577" s="49">
        <f>INDEX(PeakCalc!$L$10:$L$303,MATCH(tblPivotData[[#This Row],[Time]],PeakCalc!$G$10:$G$303,0))</f>
        <v>1</v>
      </c>
    </row>
    <row r="578" spans="1:9" x14ac:dyDescent="0.25">
      <c r="A578" t="s">
        <v>95</v>
      </c>
      <c r="B578" t="s">
        <v>101</v>
      </c>
      <c r="C578" t="s">
        <v>96</v>
      </c>
      <c r="D578" t="s">
        <v>89</v>
      </c>
      <c r="E578" t="s">
        <v>43</v>
      </c>
      <c r="F578" s="6">
        <v>0.33333333333333331</v>
      </c>
      <c r="G578">
        <v>10</v>
      </c>
      <c r="H578" s="6">
        <f>FLOOR(tblPivotData[[#This Row],[Time]],Summary!$B$6/1440)</f>
        <v>0.33333333333333331</v>
      </c>
      <c r="I578" s="49">
        <f>INDEX(PeakCalc!$L$10:$L$303,MATCH(tblPivotData[[#This Row],[Time]],PeakCalc!$G$10:$G$303,0))</f>
        <v>1</v>
      </c>
    </row>
    <row r="579" spans="1:9" x14ac:dyDescent="0.25">
      <c r="A579" t="s">
        <v>95</v>
      </c>
      <c r="B579" t="s">
        <v>101</v>
      </c>
      <c r="C579" t="s">
        <v>96</v>
      </c>
      <c r="D579" t="s">
        <v>89</v>
      </c>
      <c r="E579" t="s">
        <v>43</v>
      </c>
      <c r="F579" s="6">
        <v>0.34375</v>
      </c>
      <c r="G579">
        <v>6</v>
      </c>
      <c r="H579" s="6">
        <f>FLOOR(tblPivotData[[#This Row],[Time]],Summary!$B$6/1440)</f>
        <v>0.34375</v>
      </c>
      <c r="I579" s="49">
        <f>INDEX(PeakCalc!$L$10:$L$303,MATCH(tblPivotData[[#This Row],[Time]],PeakCalc!$G$10:$G$303,0))</f>
        <v>1</v>
      </c>
    </row>
    <row r="580" spans="1:9" x14ac:dyDescent="0.25">
      <c r="A580" t="s">
        <v>95</v>
      </c>
      <c r="B580" t="s">
        <v>101</v>
      </c>
      <c r="C580" t="s">
        <v>96</v>
      </c>
      <c r="D580" t="s">
        <v>89</v>
      </c>
      <c r="E580" t="s">
        <v>43</v>
      </c>
      <c r="F580" s="6">
        <v>0.35416666666666669</v>
      </c>
      <c r="G580">
        <v>11</v>
      </c>
      <c r="H580" s="6">
        <f>FLOOR(tblPivotData[[#This Row],[Time]],Summary!$B$6/1440)</f>
        <v>0.35416666666666663</v>
      </c>
      <c r="I580" s="49">
        <f>INDEX(PeakCalc!$L$10:$L$303,MATCH(tblPivotData[[#This Row],[Time]],PeakCalc!$G$10:$G$303,0))</f>
        <v>1</v>
      </c>
    </row>
    <row r="581" spans="1:9" x14ac:dyDescent="0.25">
      <c r="A581" t="s">
        <v>95</v>
      </c>
      <c r="B581" t="s">
        <v>101</v>
      </c>
      <c r="C581" t="s">
        <v>96</v>
      </c>
      <c r="D581" t="s">
        <v>89</v>
      </c>
      <c r="E581" t="s">
        <v>43</v>
      </c>
      <c r="F581" s="6">
        <v>0.36458333333333331</v>
      </c>
      <c r="G581">
        <v>10</v>
      </c>
      <c r="H581" s="6">
        <f>FLOOR(tblPivotData[[#This Row],[Time]],Summary!$B$6/1440)</f>
        <v>0.36458333333333331</v>
      </c>
      <c r="I581" s="49">
        <f>INDEX(PeakCalc!$L$10:$L$303,MATCH(tblPivotData[[#This Row],[Time]],PeakCalc!$G$10:$G$303,0))</f>
        <v>0</v>
      </c>
    </row>
    <row r="582" spans="1:9" x14ac:dyDescent="0.25">
      <c r="A582" t="s">
        <v>95</v>
      </c>
      <c r="B582" t="s">
        <v>101</v>
      </c>
      <c r="C582" t="s">
        <v>96</v>
      </c>
      <c r="D582" t="s">
        <v>89</v>
      </c>
      <c r="E582" t="s">
        <v>43</v>
      </c>
      <c r="F582" s="6">
        <v>0.375</v>
      </c>
      <c r="G582">
        <v>6</v>
      </c>
      <c r="H582" s="6">
        <f>FLOOR(tblPivotData[[#This Row],[Time]],Summary!$B$6/1440)</f>
        <v>0.375</v>
      </c>
      <c r="I582" s="49">
        <f>INDEX(PeakCalc!$L$10:$L$303,MATCH(tblPivotData[[#This Row],[Time]],PeakCalc!$G$10:$G$303,0))</f>
        <v>0</v>
      </c>
    </row>
    <row r="583" spans="1:9" x14ac:dyDescent="0.25">
      <c r="A583" t="s">
        <v>95</v>
      </c>
      <c r="B583" t="s">
        <v>101</v>
      </c>
      <c r="C583" t="s">
        <v>96</v>
      </c>
      <c r="D583" t="s">
        <v>89</v>
      </c>
      <c r="E583" t="s">
        <v>43</v>
      </c>
      <c r="F583" s="6">
        <v>0.38541666666666669</v>
      </c>
      <c r="G583">
        <v>10</v>
      </c>
      <c r="H583" s="6">
        <f>FLOOR(tblPivotData[[#This Row],[Time]],Summary!$B$6/1440)</f>
        <v>0.38541666666666663</v>
      </c>
      <c r="I583" s="49">
        <f>INDEX(PeakCalc!$L$10:$L$303,MATCH(tblPivotData[[#This Row],[Time]],PeakCalc!$G$10:$G$303,0))</f>
        <v>0</v>
      </c>
    </row>
    <row r="584" spans="1:9" x14ac:dyDescent="0.25">
      <c r="A584" t="s">
        <v>95</v>
      </c>
      <c r="B584" t="s">
        <v>101</v>
      </c>
      <c r="C584" t="s">
        <v>96</v>
      </c>
      <c r="D584" t="s">
        <v>89</v>
      </c>
      <c r="E584" t="s">
        <v>110</v>
      </c>
      <c r="F584" s="6">
        <v>0.45833333333333331</v>
      </c>
      <c r="G584">
        <v>14</v>
      </c>
      <c r="H584" s="6">
        <f>FLOOR(tblPivotData[[#This Row],[Time]],Summary!$B$6/1440)</f>
        <v>0.45833333333333331</v>
      </c>
      <c r="I584" s="49">
        <f>INDEX(PeakCalc!$L$10:$L$303,MATCH(tblPivotData[[#This Row],[Time]],PeakCalc!$G$10:$G$303,0))</f>
        <v>0</v>
      </c>
    </row>
    <row r="585" spans="1:9" x14ac:dyDescent="0.25">
      <c r="A585" t="s">
        <v>95</v>
      </c>
      <c r="B585" t="s">
        <v>101</v>
      </c>
      <c r="C585" t="s">
        <v>96</v>
      </c>
      <c r="D585" t="s">
        <v>89</v>
      </c>
      <c r="E585" t="s">
        <v>110</v>
      </c>
      <c r="F585" s="6">
        <v>0.46875</v>
      </c>
      <c r="G585">
        <v>11</v>
      </c>
      <c r="H585" s="6">
        <f>FLOOR(tblPivotData[[#This Row],[Time]],Summary!$B$6/1440)</f>
        <v>0.46875</v>
      </c>
      <c r="I585" s="49">
        <f>INDEX(PeakCalc!$L$10:$L$303,MATCH(tblPivotData[[#This Row],[Time]],PeakCalc!$G$10:$G$303,0))</f>
        <v>0</v>
      </c>
    </row>
    <row r="586" spans="1:9" x14ac:dyDescent="0.25">
      <c r="A586" t="s">
        <v>95</v>
      </c>
      <c r="B586" t="s">
        <v>101</v>
      </c>
      <c r="C586" t="s">
        <v>96</v>
      </c>
      <c r="D586" t="s">
        <v>89</v>
      </c>
      <c r="E586" t="s">
        <v>110</v>
      </c>
      <c r="F586" s="6">
        <v>0.47916666666666669</v>
      </c>
      <c r="G586">
        <v>15</v>
      </c>
      <c r="H586" s="6">
        <f>FLOOR(tblPivotData[[#This Row],[Time]],Summary!$B$6/1440)</f>
        <v>0.47916666666666663</v>
      </c>
      <c r="I586" s="49">
        <f>INDEX(PeakCalc!$L$10:$L$303,MATCH(tblPivotData[[#This Row],[Time]],PeakCalc!$G$10:$G$303,0))</f>
        <v>0</v>
      </c>
    </row>
    <row r="587" spans="1:9" x14ac:dyDescent="0.25">
      <c r="A587" t="s">
        <v>95</v>
      </c>
      <c r="B587" t="s">
        <v>101</v>
      </c>
      <c r="C587" t="s">
        <v>96</v>
      </c>
      <c r="D587" t="s">
        <v>89</v>
      </c>
      <c r="E587" t="s">
        <v>110</v>
      </c>
      <c r="F587" s="6">
        <v>0.48958333333333331</v>
      </c>
      <c r="G587">
        <v>16</v>
      </c>
      <c r="H587" s="6">
        <f>FLOOR(tblPivotData[[#This Row],[Time]],Summary!$B$6/1440)</f>
        <v>0.48958333333333331</v>
      </c>
      <c r="I587" s="49">
        <f>INDEX(PeakCalc!$L$10:$L$303,MATCH(tblPivotData[[#This Row],[Time]],PeakCalc!$G$10:$G$303,0))</f>
        <v>0</v>
      </c>
    </row>
    <row r="588" spans="1:9" x14ac:dyDescent="0.25">
      <c r="A588" t="s">
        <v>95</v>
      </c>
      <c r="B588" t="s">
        <v>101</v>
      </c>
      <c r="C588" t="s">
        <v>96</v>
      </c>
      <c r="D588" t="s">
        <v>89</v>
      </c>
      <c r="E588" t="s">
        <v>110</v>
      </c>
      <c r="F588" s="6">
        <v>0.5</v>
      </c>
      <c r="G588">
        <v>10</v>
      </c>
      <c r="H588" s="6">
        <f>FLOOR(tblPivotData[[#This Row],[Time]],Summary!$B$6/1440)</f>
        <v>0.5</v>
      </c>
      <c r="I588" s="49">
        <f>INDEX(PeakCalc!$L$10:$L$303,MATCH(tblPivotData[[#This Row],[Time]],PeakCalc!$G$10:$G$303,0))</f>
        <v>0</v>
      </c>
    </row>
    <row r="589" spans="1:9" x14ac:dyDescent="0.25">
      <c r="A589" t="s">
        <v>95</v>
      </c>
      <c r="B589" t="s">
        <v>101</v>
      </c>
      <c r="C589" t="s">
        <v>96</v>
      </c>
      <c r="D589" t="s">
        <v>89</v>
      </c>
      <c r="E589" t="s">
        <v>110</v>
      </c>
      <c r="F589" s="6">
        <v>0.51041666666666663</v>
      </c>
      <c r="G589">
        <v>11</v>
      </c>
      <c r="H589" s="6">
        <f>FLOOR(tblPivotData[[#This Row],[Time]],Summary!$B$6/1440)</f>
        <v>0.51041666666666663</v>
      </c>
      <c r="I589" s="49">
        <f>INDEX(PeakCalc!$L$10:$L$303,MATCH(tblPivotData[[#This Row],[Time]],PeakCalc!$G$10:$G$303,0))</f>
        <v>0</v>
      </c>
    </row>
    <row r="590" spans="1:9" x14ac:dyDescent="0.25">
      <c r="A590" t="s">
        <v>95</v>
      </c>
      <c r="B590" t="s">
        <v>101</v>
      </c>
      <c r="C590" t="s">
        <v>96</v>
      </c>
      <c r="D590" t="s">
        <v>89</v>
      </c>
      <c r="E590" t="s">
        <v>110</v>
      </c>
      <c r="F590" s="6">
        <v>0.52083333333333337</v>
      </c>
      <c r="G590">
        <v>11</v>
      </c>
      <c r="H590" s="6">
        <f>FLOOR(tblPivotData[[#This Row],[Time]],Summary!$B$6/1440)</f>
        <v>0.52083333333333326</v>
      </c>
      <c r="I590" s="49">
        <f>INDEX(PeakCalc!$L$10:$L$303,MATCH(tblPivotData[[#This Row],[Time]],PeakCalc!$G$10:$G$303,0))</f>
        <v>1</v>
      </c>
    </row>
    <row r="591" spans="1:9" x14ac:dyDescent="0.25">
      <c r="A591" t="s">
        <v>95</v>
      </c>
      <c r="B591" t="s">
        <v>101</v>
      </c>
      <c r="C591" t="s">
        <v>96</v>
      </c>
      <c r="D591" t="s">
        <v>89</v>
      </c>
      <c r="E591" t="s">
        <v>110</v>
      </c>
      <c r="F591" s="6">
        <v>0.53125</v>
      </c>
      <c r="G591">
        <v>12</v>
      </c>
      <c r="H591" s="6">
        <f>FLOOR(tblPivotData[[#This Row],[Time]],Summary!$B$6/1440)</f>
        <v>0.53125</v>
      </c>
      <c r="I591" s="49">
        <f>INDEX(PeakCalc!$L$10:$L$303,MATCH(tblPivotData[[#This Row],[Time]],PeakCalc!$G$10:$G$303,0))</f>
        <v>1</v>
      </c>
    </row>
    <row r="592" spans="1:9" x14ac:dyDescent="0.25">
      <c r="A592" t="s">
        <v>95</v>
      </c>
      <c r="B592" t="s">
        <v>101</v>
      </c>
      <c r="C592" t="s">
        <v>96</v>
      </c>
      <c r="D592" t="s">
        <v>89</v>
      </c>
      <c r="E592" t="s">
        <v>110</v>
      </c>
      <c r="F592" s="6">
        <v>0.54166666666666663</v>
      </c>
      <c r="G592">
        <v>16</v>
      </c>
      <c r="H592" s="6">
        <f>FLOOR(tblPivotData[[#This Row],[Time]],Summary!$B$6/1440)</f>
        <v>0.54166666666666663</v>
      </c>
      <c r="I592" s="49">
        <f>INDEX(PeakCalc!$L$10:$L$303,MATCH(tblPivotData[[#This Row],[Time]],PeakCalc!$G$10:$G$303,0))</f>
        <v>1</v>
      </c>
    </row>
    <row r="593" spans="1:9" x14ac:dyDescent="0.25">
      <c r="A593" t="s">
        <v>95</v>
      </c>
      <c r="B593" t="s">
        <v>101</v>
      </c>
      <c r="C593" t="s">
        <v>96</v>
      </c>
      <c r="D593" t="s">
        <v>89</v>
      </c>
      <c r="E593" t="s">
        <v>110</v>
      </c>
      <c r="F593" s="6">
        <v>0.55208333333333337</v>
      </c>
      <c r="G593">
        <v>16</v>
      </c>
      <c r="H593" s="6">
        <f>FLOOR(tblPivotData[[#This Row],[Time]],Summary!$B$6/1440)</f>
        <v>0.55208333333333326</v>
      </c>
      <c r="I593" s="49">
        <f>INDEX(PeakCalc!$L$10:$L$303,MATCH(tblPivotData[[#This Row],[Time]],PeakCalc!$G$10:$G$303,0))</f>
        <v>1</v>
      </c>
    </row>
    <row r="594" spans="1:9" x14ac:dyDescent="0.25">
      <c r="A594" t="s">
        <v>95</v>
      </c>
      <c r="B594" t="s">
        <v>101</v>
      </c>
      <c r="C594" t="s">
        <v>96</v>
      </c>
      <c r="D594" t="s">
        <v>89</v>
      </c>
      <c r="E594" t="s">
        <v>110</v>
      </c>
      <c r="F594" s="6">
        <v>0.5625</v>
      </c>
      <c r="G594">
        <v>11</v>
      </c>
      <c r="H594" s="6">
        <f>FLOOR(tblPivotData[[#This Row],[Time]],Summary!$B$6/1440)</f>
        <v>0.5625</v>
      </c>
      <c r="I594" s="49">
        <f>INDEX(PeakCalc!$L$10:$L$303,MATCH(tblPivotData[[#This Row],[Time]],PeakCalc!$G$10:$G$303,0))</f>
        <v>0</v>
      </c>
    </row>
    <row r="595" spans="1:9" x14ac:dyDescent="0.25">
      <c r="A595" t="s">
        <v>95</v>
      </c>
      <c r="B595" t="s">
        <v>101</v>
      </c>
      <c r="C595" t="s">
        <v>96</v>
      </c>
      <c r="D595" t="s">
        <v>89</v>
      </c>
      <c r="E595" t="s">
        <v>110</v>
      </c>
      <c r="F595" s="6">
        <v>0.57291666666666663</v>
      </c>
      <c r="G595">
        <v>6</v>
      </c>
      <c r="H595" s="6">
        <f>FLOOR(tblPivotData[[#This Row],[Time]],Summary!$B$6/1440)</f>
        <v>0.57291666666666663</v>
      </c>
      <c r="I595" s="49">
        <f>INDEX(PeakCalc!$L$10:$L$303,MATCH(tblPivotData[[#This Row],[Time]],PeakCalc!$G$10:$G$303,0))</f>
        <v>0</v>
      </c>
    </row>
    <row r="596" spans="1:9" x14ac:dyDescent="0.25">
      <c r="A596" t="s">
        <v>95</v>
      </c>
      <c r="B596" t="s">
        <v>101</v>
      </c>
      <c r="C596" t="s">
        <v>96</v>
      </c>
      <c r="D596" t="s">
        <v>89</v>
      </c>
      <c r="E596" t="s">
        <v>44</v>
      </c>
      <c r="F596" s="6">
        <v>0.625</v>
      </c>
      <c r="G596">
        <v>22</v>
      </c>
      <c r="H596" s="6">
        <f>FLOOR(tblPivotData[[#This Row],[Time]],Summary!$B$6/1440)</f>
        <v>0.625</v>
      </c>
      <c r="I596" s="49">
        <f>INDEX(PeakCalc!$L$10:$L$303,MATCH(tblPivotData[[#This Row],[Time]],PeakCalc!$G$10:$G$303,0))</f>
        <v>0</v>
      </c>
    </row>
    <row r="597" spans="1:9" x14ac:dyDescent="0.25">
      <c r="A597" t="s">
        <v>95</v>
      </c>
      <c r="B597" t="s">
        <v>101</v>
      </c>
      <c r="C597" t="s">
        <v>96</v>
      </c>
      <c r="D597" t="s">
        <v>89</v>
      </c>
      <c r="E597" t="s">
        <v>44</v>
      </c>
      <c r="F597" s="6">
        <v>0.63541666666666663</v>
      </c>
      <c r="G597">
        <v>18</v>
      </c>
      <c r="H597" s="6">
        <f>FLOOR(tblPivotData[[#This Row],[Time]],Summary!$B$6/1440)</f>
        <v>0.63541666666666663</v>
      </c>
      <c r="I597" s="49">
        <f>INDEX(PeakCalc!$L$10:$L$303,MATCH(tblPivotData[[#This Row],[Time]],PeakCalc!$G$10:$G$303,0))</f>
        <v>0</v>
      </c>
    </row>
    <row r="598" spans="1:9" x14ac:dyDescent="0.25">
      <c r="A598" t="s">
        <v>95</v>
      </c>
      <c r="B598" t="s">
        <v>101</v>
      </c>
      <c r="C598" t="s">
        <v>96</v>
      </c>
      <c r="D598" t="s">
        <v>89</v>
      </c>
      <c r="E598" t="s">
        <v>44</v>
      </c>
      <c r="F598" s="6">
        <v>0.64583333333333337</v>
      </c>
      <c r="G598">
        <v>16</v>
      </c>
      <c r="H598" s="6">
        <f>FLOOR(tblPivotData[[#This Row],[Time]],Summary!$B$6/1440)</f>
        <v>0.64583333333333326</v>
      </c>
      <c r="I598" s="49">
        <f>INDEX(PeakCalc!$L$10:$L$303,MATCH(tblPivotData[[#This Row],[Time]],PeakCalc!$G$10:$G$303,0))</f>
        <v>0</v>
      </c>
    </row>
    <row r="599" spans="1:9" x14ac:dyDescent="0.25">
      <c r="A599" t="s">
        <v>95</v>
      </c>
      <c r="B599" t="s">
        <v>101</v>
      </c>
      <c r="C599" t="s">
        <v>96</v>
      </c>
      <c r="D599" t="s">
        <v>89</v>
      </c>
      <c r="E599" t="s">
        <v>44</v>
      </c>
      <c r="F599" s="6">
        <v>0.65625</v>
      </c>
      <c r="G599">
        <v>9</v>
      </c>
      <c r="H599" s="6">
        <f>FLOOR(tblPivotData[[#This Row],[Time]],Summary!$B$6/1440)</f>
        <v>0.65625</v>
      </c>
      <c r="I599" s="49">
        <f>INDEX(PeakCalc!$L$10:$L$303,MATCH(tblPivotData[[#This Row],[Time]],PeakCalc!$G$10:$G$303,0))</f>
        <v>0</v>
      </c>
    </row>
    <row r="600" spans="1:9" x14ac:dyDescent="0.25">
      <c r="A600" t="s">
        <v>95</v>
      </c>
      <c r="B600" t="s">
        <v>101</v>
      </c>
      <c r="C600" t="s">
        <v>96</v>
      </c>
      <c r="D600" t="s">
        <v>89</v>
      </c>
      <c r="E600" t="s">
        <v>44</v>
      </c>
      <c r="F600" s="6">
        <v>0.66666666666666663</v>
      </c>
      <c r="G600">
        <v>13</v>
      </c>
      <c r="H600" s="6">
        <f>FLOOR(tblPivotData[[#This Row],[Time]],Summary!$B$6/1440)</f>
        <v>0.66666666666666663</v>
      </c>
      <c r="I600" s="49">
        <f>INDEX(PeakCalc!$L$10:$L$303,MATCH(tblPivotData[[#This Row],[Time]],PeakCalc!$G$10:$G$303,0))</f>
        <v>0</v>
      </c>
    </row>
    <row r="601" spans="1:9" x14ac:dyDescent="0.25">
      <c r="A601" t="s">
        <v>95</v>
      </c>
      <c r="B601" t="s">
        <v>101</v>
      </c>
      <c r="C601" t="s">
        <v>96</v>
      </c>
      <c r="D601" t="s">
        <v>89</v>
      </c>
      <c r="E601" t="s">
        <v>44</v>
      </c>
      <c r="F601" s="6">
        <v>0.67708333333333337</v>
      </c>
      <c r="G601">
        <v>12</v>
      </c>
      <c r="H601" s="6">
        <f>FLOOR(tblPivotData[[#This Row],[Time]],Summary!$B$6/1440)</f>
        <v>0.67708333333333326</v>
      </c>
      <c r="I601" s="49">
        <f>INDEX(PeakCalc!$L$10:$L$303,MATCH(tblPivotData[[#This Row],[Time]],PeakCalc!$G$10:$G$303,0))</f>
        <v>0</v>
      </c>
    </row>
    <row r="602" spans="1:9" x14ac:dyDescent="0.25">
      <c r="A602" t="s">
        <v>95</v>
      </c>
      <c r="B602" t="s">
        <v>101</v>
      </c>
      <c r="C602" t="s">
        <v>96</v>
      </c>
      <c r="D602" t="s">
        <v>89</v>
      </c>
      <c r="E602" t="s">
        <v>44</v>
      </c>
      <c r="F602" s="6">
        <v>0.6875</v>
      </c>
      <c r="G602">
        <v>11</v>
      </c>
      <c r="H602" s="6">
        <f>FLOOR(tblPivotData[[#This Row],[Time]],Summary!$B$6/1440)</f>
        <v>0.6875</v>
      </c>
      <c r="I602" s="49">
        <f>INDEX(PeakCalc!$L$10:$L$303,MATCH(tblPivotData[[#This Row],[Time]],PeakCalc!$G$10:$G$303,0))</f>
        <v>1</v>
      </c>
    </row>
    <row r="603" spans="1:9" x14ac:dyDescent="0.25">
      <c r="A603" t="s">
        <v>95</v>
      </c>
      <c r="B603" t="s">
        <v>101</v>
      </c>
      <c r="C603" t="s">
        <v>96</v>
      </c>
      <c r="D603" t="s">
        <v>89</v>
      </c>
      <c r="E603" t="s">
        <v>44</v>
      </c>
      <c r="F603" s="6">
        <v>0.69791666666666663</v>
      </c>
      <c r="G603">
        <v>11</v>
      </c>
      <c r="H603" s="6">
        <f>FLOOR(tblPivotData[[#This Row],[Time]],Summary!$B$6/1440)</f>
        <v>0.69791666666666663</v>
      </c>
      <c r="I603" s="49">
        <f>INDEX(PeakCalc!$L$10:$L$303,MATCH(tblPivotData[[#This Row],[Time]],PeakCalc!$G$10:$G$303,0))</f>
        <v>1</v>
      </c>
    </row>
    <row r="604" spans="1:9" x14ac:dyDescent="0.25">
      <c r="A604" t="s">
        <v>95</v>
      </c>
      <c r="B604" t="s">
        <v>101</v>
      </c>
      <c r="C604" t="s">
        <v>96</v>
      </c>
      <c r="D604" t="s">
        <v>89</v>
      </c>
      <c r="E604" t="s">
        <v>44</v>
      </c>
      <c r="F604" s="6">
        <v>0.70833333333333337</v>
      </c>
      <c r="G604">
        <v>8</v>
      </c>
      <c r="H604" s="6">
        <f>FLOOR(tblPivotData[[#This Row],[Time]],Summary!$B$6/1440)</f>
        <v>0.70833333333333326</v>
      </c>
      <c r="I604" s="49">
        <f>INDEX(PeakCalc!$L$10:$L$303,MATCH(tblPivotData[[#This Row],[Time]],PeakCalc!$G$10:$G$303,0))</f>
        <v>1</v>
      </c>
    </row>
    <row r="605" spans="1:9" x14ac:dyDescent="0.25">
      <c r="A605" t="s">
        <v>95</v>
      </c>
      <c r="B605" t="s">
        <v>101</v>
      </c>
      <c r="C605" t="s">
        <v>96</v>
      </c>
      <c r="D605" t="s">
        <v>89</v>
      </c>
      <c r="E605" t="s">
        <v>44</v>
      </c>
      <c r="F605" s="6">
        <v>0.71875</v>
      </c>
      <c r="G605">
        <v>13</v>
      </c>
      <c r="H605" s="6">
        <f>FLOOR(tblPivotData[[#This Row],[Time]],Summary!$B$6/1440)</f>
        <v>0.71875</v>
      </c>
      <c r="I605" s="49">
        <f>INDEX(PeakCalc!$L$10:$L$303,MATCH(tblPivotData[[#This Row],[Time]],PeakCalc!$G$10:$G$303,0))</f>
        <v>1</v>
      </c>
    </row>
    <row r="606" spans="1:9" x14ac:dyDescent="0.25">
      <c r="A606" t="s">
        <v>95</v>
      </c>
      <c r="B606" t="s">
        <v>101</v>
      </c>
      <c r="C606" t="s">
        <v>96</v>
      </c>
      <c r="D606" t="s">
        <v>89</v>
      </c>
      <c r="E606" t="s">
        <v>44</v>
      </c>
      <c r="F606" s="6">
        <v>0.72916666666666663</v>
      </c>
      <c r="G606">
        <v>15</v>
      </c>
      <c r="H606" s="6">
        <f>FLOOR(tblPivotData[[#This Row],[Time]],Summary!$B$6/1440)</f>
        <v>0.72916666666666663</v>
      </c>
      <c r="I606" s="49">
        <f>INDEX(PeakCalc!$L$10:$L$303,MATCH(tblPivotData[[#This Row],[Time]],PeakCalc!$G$10:$G$303,0))</f>
        <v>0</v>
      </c>
    </row>
    <row r="607" spans="1:9" x14ac:dyDescent="0.25">
      <c r="A607" t="s">
        <v>95</v>
      </c>
      <c r="B607" t="s">
        <v>101</v>
      </c>
      <c r="C607" t="s">
        <v>96</v>
      </c>
      <c r="D607" t="s">
        <v>89</v>
      </c>
      <c r="E607" t="s">
        <v>44</v>
      </c>
      <c r="F607" s="6">
        <v>0.73958333333333337</v>
      </c>
      <c r="G607">
        <v>11</v>
      </c>
      <c r="H607" s="6">
        <f>FLOOR(tblPivotData[[#This Row],[Time]],Summary!$B$6/1440)</f>
        <v>0.73958333333333326</v>
      </c>
      <c r="I607" s="49">
        <f>INDEX(PeakCalc!$L$10:$L$303,MATCH(tblPivotData[[#This Row],[Time]],PeakCalc!$G$10:$G$303,0))</f>
        <v>0</v>
      </c>
    </row>
    <row r="608" spans="1:9" x14ac:dyDescent="0.25">
      <c r="A608" t="s">
        <v>95</v>
      </c>
      <c r="B608" t="s">
        <v>101</v>
      </c>
      <c r="C608" t="s">
        <v>96</v>
      </c>
      <c r="D608" t="s">
        <v>89</v>
      </c>
      <c r="E608" t="s">
        <v>44</v>
      </c>
      <c r="F608" s="6">
        <v>0.75</v>
      </c>
      <c r="G608">
        <v>5</v>
      </c>
      <c r="H608" s="6">
        <f>FLOOR(tblPivotData[[#This Row],[Time]],Summary!$B$6/1440)</f>
        <v>0.75</v>
      </c>
      <c r="I608" s="49">
        <f>INDEX(PeakCalc!$L$10:$L$303,MATCH(tblPivotData[[#This Row],[Time]],PeakCalc!$G$10:$G$303,0))</f>
        <v>0</v>
      </c>
    </row>
    <row r="609" spans="1:9" x14ac:dyDescent="0.25">
      <c r="A609" t="s">
        <v>95</v>
      </c>
      <c r="B609" t="s">
        <v>101</v>
      </c>
      <c r="C609" t="s">
        <v>96</v>
      </c>
      <c r="D609" t="s">
        <v>89</v>
      </c>
      <c r="E609" t="s">
        <v>44</v>
      </c>
      <c r="F609" s="6">
        <v>0.76041666666666663</v>
      </c>
      <c r="G609">
        <v>7</v>
      </c>
      <c r="H609" s="6">
        <f>FLOOR(tblPivotData[[#This Row],[Time]],Summary!$B$6/1440)</f>
        <v>0.76041666666666663</v>
      </c>
      <c r="I609" s="49">
        <f>INDEX(PeakCalc!$L$10:$L$303,MATCH(tblPivotData[[#This Row],[Time]],PeakCalc!$G$10:$G$303,0))</f>
        <v>0</v>
      </c>
    </row>
    <row r="610" spans="1:9" x14ac:dyDescent="0.25">
      <c r="A610" t="s">
        <v>95</v>
      </c>
      <c r="B610" t="s">
        <v>101</v>
      </c>
      <c r="C610" t="s">
        <v>96</v>
      </c>
      <c r="D610" t="s">
        <v>90</v>
      </c>
      <c r="E610" t="s">
        <v>43</v>
      </c>
      <c r="F610" s="6">
        <v>0.27083333333333331</v>
      </c>
      <c r="G610">
        <v>0</v>
      </c>
      <c r="H610" s="6">
        <f>FLOOR(tblPivotData[[#This Row],[Time]],Summary!$B$6/1440)</f>
        <v>0.27083333333333331</v>
      </c>
      <c r="I610" s="49">
        <f>INDEX(PeakCalc!$L$10:$L$303,MATCH(tblPivotData[[#This Row],[Time]],PeakCalc!$G$10:$G$303,0))</f>
        <v>0</v>
      </c>
    </row>
    <row r="611" spans="1:9" x14ac:dyDescent="0.25">
      <c r="A611" t="s">
        <v>95</v>
      </c>
      <c r="B611" t="s">
        <v>101</v>
      </c>
      <c r="C611" t="s">
        <v>96</v>
      </c>
      <c r="D611" t="s">
        <v>90</v>
      </c>
      <c r="E611" t="s">
        <v>43</v>
      </c>
      <c r="F611" s="6">
        <v>0.28125</v>
      </c>
      <c r="G611">
        <v>0</v>
      </c>
      <c r="H611" s="6">
        <f>FLOOR(tblPivotData[[#This Row],[Time]],Summary!$B$6/1440)</f>
        <v>0.28125</v>
      </c>
      <c r="I611" s="49">
        <f>INDEX(PeakCalc!$L$10:$L$303,MATCH(tblPivotData[[#This Row],[Time]],PeakCalc!$G$10:$G$303,0))</f>
        <v>0</v>
      </c>
    </row>
    <row r="612" spans="1:9" x14ac:dyDescent="0.25">
      <c r="A612" t="s">
        <v>95</v>
      </c>
      <c r="B612" t="s">
        <v>101</v>
      </c>
      <c r="C612" t="s">
        <v>96</v>
      </c>
      <c r="D612" t="s">
        <v>90</v>
      </c>
      <c r="E612" t="s">
        <v>43</v>
      </c>
      <c r="F612" s="6">
        <v>0.29166666666666669</v>
      </c>
      <c r="G612">
        <v>0</v>
      </c>
      <c r="H612" s="6">
        <f>FLOOR(tblPivotData[[#This Row],[Time]],Summary!$B$6/1440)</f>
        <v>0.29166666666666663</v>
      </c>
      <c r="I612" s="49">
        <f>INDEX(PeakCalc!$L$10:$L$303,MATCH(tblPivotData[[#This Row],[Time]],PeakCalc!$G$10:$G$303,0))</f>
        <v>0</v>
      </c>
    </row>
    <row r="613" spans="1:9" x14ac:dyDescent="0.25">
      <c r="A613" t="s">
        <v>95</v>
      </c>
      <c r="B613" t="s">
        <v>101</v>
      </c>
      <c r="C613" t="s">
        <v>96</v>
      </c>
      <c r="D613" t="s">
        <v>90</v>
      </c>
      <c r="E613" t="s">
        <v>43</v>
      </c>
      <c r="F613" s="6">
        <v>0.30208333333333331</v>
      </c>
      <c r="G613">
        <v>0</v>
      </c>
      <c r="H613" s="6">
        <f>FLOOR(tblPivotData[[#This Row],[Time]],Summary!$B$6/1440)</f>
        <v>0.30208333333333331</v>
      </c>
      <c r="I613" s="49">
        <f>INDEX(PeakCalc!$L$10:$L$303,MATCH(tblPivotData[[#This Row],[Time]],PeakCalc!$G$10:$G$303,0))</f>
        <v>0</v>
      </c>
    </row>
    <row r="614" spans="1:9" x14ac:dyDescent="0.25">
      <c r="A614" t="s">
        <v>95</v>
      </c>
      <c r="B614" t="s">
        <v>101</v>
      </c>
      <c r="C614" t="s">
        <v>96</v>
      </c>
      <c r="D614" t="s">
        <v>90</v>
      </c>
      <c r="E614" t="s">
        <v>43</v>
      </c>
      <c r="F614" s="6">
        <v>0.3125</v>
      </c>
      <c r="G614">
        <v>0</v>
      </c>
      <c r="H614" s="6">
        <f>FLOOR(tblPivotData[[#This Row],[Time]],Summary!$B$6/1440)</f>
        <v>0.3125</v>
      </c>
      <c r="I614" s="49">
        <f>INDEX(PeakCalc!$L$10:$L$303,MATCH(tblPivotData[[#This Row],[Time]],PeakCalc!$G$10:$G$303,0))</f>
        <v>0</v>
      </c>
    </row>
    <row r="615" spans="1:9" x14ac:dyDescent="0.25">
      <c r="A615" t="s">
        <v>95</v>
      </c>
      <c r="B615" t="s">
        <v>101</v>
      </c>
      <c r="C615" t="s">
        <v>96</v>
      </c>
      <c r="D615" t="s">
        <v>90</v>
      </c>
      <c r="E615" t="s">
        <v>43</v>
      </c>
      <c r="F615" s="6">
        <v>0.32291666666666669</v>
      </c>
      <c r="G615">
        <v>0</v>
      </c>
      <c r="H615" s="6">
        <f>FLOOR(tblPivotData[[#This Row],[Time]],Summary!$B$6/1440)</f>
        <v>0.32291666666666663</v>
      </c>
      <c r="I615" s="49">
        <f>INDEX(PeakCalc!$L$10:$L$303,MATCH(tblPivotData[[#This Row],[Time]],PeakCalc!$G$10:$G$303,0))</f>
        <v>1</v>
      </c>
    </row>
    <row r="616" spans="1:9" x14ac:dyDescent="0.25">
      <c r="A616" t="s">
        <v>95</v>
      </c>
      <c r="B616" t="s">
        <v>101</v>
      </c>
      <c r="C616" t="s">
        <v>96</v>
      </c>
      <c r="D616" t="s">
        <v>90</v>
      </c>
      <c r="E616" t="s">
        <v>43</v>
      </c>
      <c r="F616" s="6">
        <v>0.33333333333333331</v>
      </c>
      <c r="G616">
        <v>0</v>
      </c>
      <c r="H616" s="6">
        <f>FLOOR(tblPivotData[[#This Row],[Time]],Summary!$B$6/1440)</f>
        <v>0.33333333333333331</v>
      </c>
      <c r="I616" s="49">
        <f>INDEX(PeakCalc!$L$10:$L$303,MATCH(tblPivotData[[#This Row],[Time]],PeakCalc!$G$10:$G$303,0))</f>
        <v>1</v>
      </c>
    </row>
    <row r="617" spans="1:9" x14ac:dyDescent="0.25">
      <c r="A617" t="s">
        <v>95</v>
      </c>
      <c r="B617" t="s">
        <v>101</v>
      </c>
      <c r="C617" t="s">
        <v>96</v>
      </c>
      <c r="D617" t="s">
        <v>90</v>
      </c>
      <c r="E617" t="s">
        <v>43</v>
      </c>
      <c r="F617" s="6">
        <v>0.34375</v>
      </c>
      <c r="G617">
        <v>0</v>
      </c>
      <c r="H617" s="6">
        <f>FLOOR(tblPivotData[[#This Row],[Time]],Summary!$B$6/1440)</f>
        <v>0.34375</v>
      </c>
      <c r="I617" s="49">
        <f>INDEX(PeakCalc!$L$10:$L$303,MATCH(tblPivotData[[#This Row],[Time]],PeakCalc!$G$10:$G$303,0))</f>
        <v>1</v>
      </c>
    </row>
    <row r="618" spans="1:9" x14ac:dyDescent="0.25">
      <c r="A618" t="s">
        <v>95</v>
      </c>
      <c r="B618" t="s">
        <v>101</v>
      </c>
      <c r="C618" t="s">
        <v>96</v>
      </c>
      <c r="D618" t="s">
        <v>90</v>
      </c>
      <c r="E618" t="s">
        <v>43</v>
      </c>
      <c r="F618" s="6">
        <v>0.35416666666666669</v>
      </c>
      <c r="G618">
        <v>0</v>
      </c>
      <c r="H618" s="6">
        <f>FLOOR(tblPivotData[[#This Row],[Time]],Summary!$B$6/1440)</f>
        <v>0.35416666666666663</v>
      </c>
      <c r="I618" s="49">
        <f>INDEX(PeakCalc!$L$10:$L$303,MATCH(tblPivotData[[#This Row],[Time]],PeakCalc!$G$10:$G$303,0))</f>
        <v>1</v>
      </c>
    </row>
    <row r="619" spans="1:9" x14ac:dyDescent="0.25">
      <c r="A619" t="s">
        <v>95</v>
      </c>
      <c r="B619" t="s">
        <v>101</v>
      </c>
      <c r="C619" t="s">
        <v>96</v>
      </c>
      <c r="D619" t="s">
        <v>90</v>
      </c>
      <c r="E619" t="s">
        <v>43</v>
      </c>
      <c r="F619" s="6">
        <v>0.36458333333333331</v>
      </c>
      <c r="G619">
        <v>0</v>
      </c>
      <c r="H619" s="6">
        <f>FLOOR(tblPivotData[[#This Row],[Time]],Summary!$B$6/1440)</f>
        <v>0.36458333333333331</v>
      </c>
      <c r="I619" s="49">
        <f>INDEX(PeakCalc!$L$10:$L$303,MATCH(tblPivotData[[#This Row],[Time]],PeakCalc!$G$10:$G$303,0))</f>
        <v>0</v>
      </c>
    </row>
    <row r="620" spans="1:9" x14ac:dyDescent="0.25">
      <c r="A620" t="s">
        <v>95</v>
      </c>
      <c r="B620" t="s">
        <v>101</v>
      </c>
      <c r="C620" t="s">
        <v>96</v>
      </c>
      <c r="D620" t="s">
        <v>90</v>
      </c>
      <c r="E620" t="s">
        <v>43</v>
      </c>
      <c r="F620" s="6">
        <v>0.375</v>
      </c>
      <c r="G620">
        <v>0</v>
      </c>
      <c r="H620" s="6">
        <f>FLOOR(tblPivotData[[#This Row],[Time]],Summary!$B$6/1440)</f>
        <v>0.375</v>
      </c>
      <c r="I620" s="49">
        <f>INDEX(PeakCalc!$L$10:$L$303,MATCH(tblPivotData[[#This Row],[Time]],PeakCalc!$G$10:$G$303,0))</f>
        <v>0</v>
      </c>
    </row>
    <row r="621" spans="1:9" x14ac:dyDescent="0.25">
      <c r="A621" t="s">
        <v>95</v>
      </c>
      <c r="B621" t="s">
        <v>101</v>
      </c>
      <c r="C621" t="s">
        <v>96</v>
      </c>
      <c r="D621" t="s">
        <v>90</v>
      </c>
      <c r="E621" t="s">
        <v>43</v>
      </c>
      <c r="F621" s="6">
        <v>0.38541666666666669</v>
      </c>
      <c r="G621">
        <v>0</v>
      </c>
      <c r="H621" s="6">
        <f>FLOOR(tblPivotData[[#This Row],[Time]],Summary!$B$6/1440)</f>
        <v>0.38541666666666663</v>
      </c>
      <c r="I621" s="49">
        <f>INDEX(PeakCalc!$L$10:$L$303,MATCH(tblPivotData[[#This Row],[Time]],PeakCalc!$G$10:$G$303,0))</f>
        <v>0</v>
      </c>
    </row>
    <row r="622" spans="1:9" x14ac:dyDescent="0.25">
      <c r="A622" t="s">
        <v>95</v>
      </c>
      <c r="B622" t="s">
        <v>101</v>
      </c>
      <c r="C622" t="s">
        <v>96</v>
      </c>
      <c r="D622" t="s">
        <v>90</v>
      </c>
      <c r="E622" t="s">
        <v>110</v>
      </c>
      <c r="F622" s="6">
        <v>0.45833333333333331</v>
      </c>
      <c r="G622">
        <v>0</v>
      </c>
      <c r="H622" s="6">
        <f>FLOOR(tblPivotData[[#This Row],[Time]],Summary!$B$6/1440)</f>
        <v>0.45833333333333331</v>
      </c>
      <c r="I622" s="49">
        <f>INDEX(PeakCalc!$L$10:$L$303,MATCH(tblPivotData[[#This Row],[Time]],PeakCalc!$G$10:$G$303,0))</f>
        <v>0</v>
      </c>
    </row>
    <row r="623" spans="1:9" x14ac:dyDescent="0.25">
      <c r="A623" t="s">
        <v>95</v>
      </c>
      <c r="B623" t="s">
        <v>101</v>
      </c>
      <c r="C623" t="s">
        <v>96</v>
      </c>
      <c r="D623" t="s">
        <v>90</v>
      </c>
      <c r="E623" t="s">
        <v>110</v>
      </c>
      <c r="F623" s="6">
        <v>0.46875</v>
      </c>
      <c r="G623">
        <v>0</v>
      </c>
      <c r="H623" s="6">
        <f>FLOOR(tblPivotData[[#This Row],[Time]],Summary!$B$6/1440)</f>
        <v>0.46875</v>
      </c>
      <c r="I623" s="49">
        <f>INDEX(PeakCalc!$L$10:$L$303,MATCH(tblPivotData[[#This Row],[Time]],PeakCalc!$G$10:$G$303,0))</f>
        <v>0</v>
      </c>
    </row>
    <row r="624" spans="1:9" x14ac:dyDescent="0.25">
      <c r="A624" t="s">
        <v>95</v>
      </c>
      <c r="B624" t="s">
        <v>101</v>
      </c>
      <c r="C624" t="s">
        <v>96</v>
      </c>
      <c r="D624" t="s">
        <v>90</v>
      </c>
      <c r="E624" t="s">
        <v>110</v>
      </c>
      <c r="F624" s="6">
        <v>0.47916666666666669</v>
      </c>
      <c r="G624">
        <v>0</v>
      </c>
      <c r="H624" s="6">
        <f>FLOOR(tblPivotData[[#This Row],[Time]],Summary!$B$6/1440)</f>
        <v>0.47916666666666663</v>
      </c>
      <c r="I624" s="49">
        <f>INDEX(PeakCalc!$L$10:$L$303,MATCH(tblPivotData[[#This Row],[Time]],PeakCalc!$G$10:$G$303,0))</f>
        <v>0</v>
      </c>
    </row>
    <row r="625" spans="1:9" x14ac:dyDescent="0.25">
      <c r="A625" t="s">
        <v>95</v>
      </c>
      <c r="B625" t="s">
        <v>101</v>
      </c>
      <c r="C625" t="s">
        <v>96</v>
      </c>
      <c r="D625" t="s">
        <v>90</v>
      </c>
      <c r="E625" t="s">
        <v>110</v>
      </c>
      <c r="F625" s="6">
        <v>0.48958333333333331</v>
      </c>
      <c r="G625">
        <v>0</v>
      </c>
      <c r="H625" s="6">
        <f>FLOOR(tblPivotData[[#This Row],[Time]],Summary!$B$6/1440)</f>
        <v>0.48958333333333331</v>
      </c>
      <c r="I625" s="49">
        <f>INDEX(PeakCalc!$L$10:$L$303,MATCH(tblPivotData[[#This Row],[Time]],PeakCalc!$G$10:$G$303,0))</f>
        <v>0</v>
      </c>
    </row>
    <row r="626" spans="1:9" x14ac:dyDescent="0.25">
      <c r="A626" t="s">
        <v>95</v>
      </c>
      <c r="B626" t="s">
        <v>101</v>
      </c>
      <c r="C626" t="s">
        <v>96</v>
      </c>
      <c r="D626" t="s">
        <v>90</v>
      </c>
      <c r="E626" t="s">
        <v>110</v>
      </c>
      <c r="F626" s="6">
        <v>0.5</v>
      </c>
      <c r="G626">
        <v>0</v>
      </c>
      <c r="H626" s="6">
        <f>FLOOR(tblPivotData[[#This Row],[Time]],Summary!$B$6/1440)</f>
        <v>0.5</v>
      </c>
      <c r="I626" s="49">
        <f>INDEX(PeakCalc!$L$10:$L$303,MATCH(tblPivotData[[#This Row],[Time]],PeakCalc!$G$10:$G$303,0))</f>
        <v>0</v>
      </c>
    </row>
    <row r="627" spans="1:9" x14ac:dyDescent="0.25">
      <c r="A627" t="s">
        <v>95</v>
      </c>
      <c r="B627" t="s">
        <v>101</v>
      </c>
      <c r="C627" t="s">
        <v>96</v>
      </c>
      <c r="D627" t="s">
        <v>90</v>
      </c>
      <c r="E627" t="s">
        <v>110</v>
      </c>
      <c r="F627" s="6">
        <v>0.51041666666666663</v>
      </c>
      <c r="G627">
        <v>0</v>
      </c>
      <c r="H627" s="6">
        <f>FLOOR(tblPivotData[[#This Row],[Time]],Summary!$B$6/1440)</f>
        <v>0.51041666666666663</v>
      </c>
      <c r="I627" s="49">
        <f>INDEX(PeakCalc!$L$10:$L$303,MATCH(tblPivotData[[#This Row],[Time]],PeakCalc!$G$10:$G$303,0))</f>
        <v>0</v>
      </c>
    </row>
    <row r="628" spans="1:9" x14ac:dyDescent="0.25">
      <c r="A628" t="s">
        <v>95</v>
      </c>
      <c r="B628" t="s">
        <v>101</v>
      </c>
      <c r="C628" t="s">
        <v>96</v>
      </c>
      <c r="D628" t="s">
        <v>90</v>
      </c>
      <c r="E628" t="s">
        <v>110</v>
      </c>
      <c r="F628" s="6">
        <v>0.52083333333333337</v>
      </c>
      <c r="G628">
        <v>0</v>
      </c>
      <c r="H628" s="6">
        <f>FLOOR(tblPivotData[[#This Row],[Time]],Summary!$B$6/1440)</f>
        <v>0.52083333333333326</v>
      </c>
      <c r="I628" s="49">
        <f>INDEX(PeakCalc!$L$10:$L$303,MATCH(tblPivotData[[#This Row],[Time]],PeakCalc!$G$10:$G$303,0))</f>
        <v>1</v>
      </c>
    </row>
    <row r="629" spans="1:9" x14ac:dyDescent="0.25">
      <c r="A629" t="s">
        <v>95</v>
      </c>
      <c r="B629" t="s">
        <v>101</v>
      </c>
      <c r="C629" t="s">
        <v>96</v>
      </c>
      <c r="D629" t="s">
        <v>90</v>
      </c>
      <c r="E629" t="s">
        <v>110</v>
      </c>
      <c r="F629" s="6">
        <v>0.53125</v>
      </c>
      <c r="G629">
        <v>1</v>
      </c>
      <c r="H629" s="6">
        <f>FLOOR(tblPivotData[[#This Row],[Time]],Summary!$B$6/1440)</f>
        <v>0.53125</v>
      </c>
      <c r="I629" s="49">
        <f>INDEX(PeakCalc!$L$10:$L$303,MATCH(tblPivotData[[#This Row],[Time]],PeakCalc!$G$10:$G$303,0))</f>
        <v>1</v>
      </c>
    </row>
    <row r="630" spans="1:9" x14ac:dyDescent="0.25">
      <c r="A630" t="s">
        <v>95</v>
      </c>
      <c r="B630" t="s">
        <v>101</v>
      </c>
      <c r="C630" t="s">
        <v>96</v>
      </c>
      <c r="D630" t="s">
        <v>90</v>
      </c>
      <c r="E630" t="s">
        <v>110</v>
      </c>
      <c r="F630" s="6">
        <v>0.54166666666666663</v>
      </c>
      <c r="G630">
        <v>6</v>
      </c>
      <c r="H630" s="6">
        <f>FLOOR(tblPivotData[[#This Row],[Time]],Summary!$B$6/1440)</f>
        <v>0.54166666666666663</v>
      </c>
      <c r="I630" s="49">
        <f>INDEX(PeakCalc!$L$10:$L$303,MATCH(tblPivotData[[#This Row],[Time]],PeakCalc!$G$10:$G$303,0))</f>
        <v>1</v>
      </c>
    </row>
    <row r="631" spans="1:9" x14ac:dyDescent="0.25">
      <c r="A631" t="s">
        <v>95</v>
      </c>
      <c r="B631" t="s">
        <v>101</v>
      </c>
      <c r="C631" t="s">
        <v>96</v>
      </c>
      <c r="D631" t="s">
        <v>90</v>
      </c>
      <c r="E631" t="s">
        <v>110</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101</v>
      </c>
      <c r="C632" t="s">
        <v>96</v>
      </c>
      <c r="D632" t="s">
        <v>90</v>
      </c>
      <c r="E632" t="s">
        <v>110</v>
      </c>
      <c r="F632" s="6">
        <v>0.5625</v>
      </c>
      <c r="G632">
        <v>1</v>
      </c>
      <c r="H632" s="6">
        <f>FLOOR(tblPivotData[[#This Row],[Time]],Summary!$B$6/1440)</f>
        <v>0.5625</v>
      </c>
      <c r="I632" s="49">
        <f>INDEX(PeakCalc!$L$10:$L$303,MATCH(tblPivotData[[#This Row],[Time]],PeakCalc!$G$10:$G$303,0))</f>
        <v>0</v>
      </c>
    </row>
    <row r="633" spans="1:9" x14ac:dyDescent="0.25">
      <c r="A633" t="s">
        <v>95</v>
      </c>
      <c r="B633" t="s">
        <v>101</v>
      </c>
      <c r="C633" t="s">
        <v>96</v>
      </c>
      <c r="D633" t="s">
        <v>90</v>
      </c>
      <c r="E633" t="s">
        <v>110</v>
      </c>
      <c r="F633" s="6">
        <v>0.57291666666666663</v>
      </c>
      <c r="G633">
        <v>0</v>
      </c>
      <c r="H633" s="6">
        <f>FLOOR(tblPivotData[[#This Row],[Time]],Summary!$B$6/1440)</f>
        <v>0.57291666666666663</v>
      </c>
      <c r="I633" s="49">
        <f>INDEX(PeakCalc!$L$10:$L$303,MATCH(tblPivotData[[#This Row],[Time]],PeakCalc!$G$10:$G$303,0))</f>
        <v>0</v>
      </c>
    </row>
    <row r="634" spans="1:9" x14ac:dyDescent="0.25">
      <c r="A634" t="s">
        <v>95</v>
      </c>
      <c r="B634" t="s">
        <v>101</v>
      </c>
      <c r="C634" t="s">
        <v>96</v>
      </c>
      <c r="D634" t="s">
        <v>90</v>
      </c>
      <c r="E634" t="s">
        <v>44</v>
      </c>
      <c r="F634" s="6">
        <v>0.625</v>
      </c>
      <c r="G634">
        <v>0</v>
      </c>
      <c r="H634" s="6">
        <f>FLOOR(tblPivotData[[#This Row],[Time]],Summary!$B$6/1440)</f>
        <v>0.625</v>
      </c>
      <c r="I634" s="49">
        <f>INDEX(PeakCalc!$L$10:$L$303,MATCH(tblPivotData[[#This Row],[Time]],PeakCalc!$G$10:$G$303,0))</f>
        <v>0</v>
      </c>
    </row>
    <row r="635" spans="1:9" x14ac:dyDescent="0.25">
      <c r="A635" t="s">
        <v>95</v>
      </c>
      <c r="B635" t="s">
        <v>101</v>
      </c>
      <c r="C635" t="s">
        <v>96</v>
      </c>
      <c r="D635" t="s">
        <v>90</v>
      </c>
      <c r="E635" t="s">
        <v>44</v>
      </c>
      <c r="F635" s="6">
        <v>0.63541666666666663</v>
      </c>
      <c r="G635">
        <v>0</v>
      </c>
      <c r="H635" s="6">
        <f>FLOOR(tblPivotData[[#This Row],[Time]],Summary!$B$6/1440)</f>
        <v>0.63541666666666663</v>
      </c>
      <c r="I635" s="49">
        <f>INDEX(PeakCalc!$L$10:$L$303,MATCH(tblPivotData[[#This Row],[Time]],PeakCalc!$G$10:$G$303,0))</f>
        <v>0</v>
      </c>
    </row>
    <row r="636" spans="1:9" x14ac:dyDescent="0.25">
      <c r="A636" t="s">
        <v>95</v>
      </c>
      <c r="B636" t="s">
        <v>101</v>
      </c>
      <c r="C636" t="s">
        <v>96</v>
      </c>
      <c r="D636" t="s">
        <v>90</v>
      </c>
      <c r="E636" t="s">
        <v>44</v>
      </c>
      <c r="F636" s="6">
        <v>0.64583333333333337</v>
      </c>
      <c r="G636">
        <v>0</v>
      </c>
      <c r="H636" s="6">
        <f>FLOOR(tblPivotData[[#This Row],[Time]],Summary!$B$6/1440)</f>
        <v>0.64583333333333326</v>
      </c>
      <c r="I636" s="49">
        <f>INDEX(PeakCalc!$L$10:$L$303,MATCH(tblPivotData[[#This Row],[Time]],PeakCalc!$G$10:$G$303,0))</f>
        <v>0</v>
      </c>
    </row>
    <row r="637" spans="1:9" x14ac:dyDescent="0.25">
      <c r="A637" t="s">
        <v>95</v>
      </c>
      <c r="B637" t="s">
        <v>101</v>
      </c>
      <c r="C637" t="s">
        <v>96</v>
      </c>
      <c r="D637" t="s">
        <v>90</v>
      </c>
      <c r="E637" t="s">
        <v>44</v>
      </c>
      <c r="F637" s="6">
        <v>0.65625</v>
      </c>
      <c r="G637">
        <v>0</v>
      </c>
      <c r="H637" s="6">
        <f>FLOOR(tblPivotData[[#This Row],[Time]],Summary!$B$6/1440)</f>
        <v>0.65625</v>
      </c>
      <c r="I637" s="49">
        <f>INDEX(PeakCalc!$L$10:$L$303,MATCH(tblPivotData[[#This Row],[Time]],PeakCalc!$G$10:$G$303,0))</f>
        <v>0</v>
      </c>
    </row>
    <row r="638" spans="1:9" x14ac:dyDescent="0.25">
      <c r="A638" t="s">
        <v>95</v>
      </c>
      <c r="B638" t="s">
        <v>101</v>
      </c>
      <c r="C638" t="s">
        <v>96</v>
      </c>
      <c r="D638" t="s">
        <v>90</v>
      </c>
      <c r="E638" t="s">
        <v>44</v>
      </c>
      <c r="F638" s="6">
        <v>0.66666666666666663</v>
      </c>
      <c r="G638">
        <v>0</v>
      </c>
      <c r="H638" s="6">
        <f>FLOOR(tblPivotData[[#This Row],[Time]],Summary!$B$6/1440)</f>
        <v>0.66666666666666663</v>
      </c>
      <c r="I638" s="49">
        <f>INDEX(PeakCalc!$L$10:$L$303,MATCH(tblPivotData[[#This Row],[Time]],PeakCalc!$G$10:$G$303,0))</f>
        <v>0</v>
      </c>
    </row>
    <row r="639" spans="1:9" x14ac:dyDescent="0.25">
      <c r="A639" t="s">
        <v>95</v>
      </c>
      <c r="B639" t="s">
        <v>101</v>
      </c>
      <c r="C639" t="s">
        <v>96</v>
      </c>
      <c r="D639" t="s">
        <v>90</v>
      </c>
      <c r="E639" t="s">
        <v>44</v>
      </c>
      <c r="F639" s="6">
        <v>0.67708333333333337</v>
      </c>
      <c r="G639">
        <v>0</v>
      </c>
      <c r="H639" s="6">
        <f>FLOOR(tblPivotData[[#This Row],[Time]],Summary!$B$6/1440)</f>
        <v>0.67708333333333326</v>
      </c>
      <c r="I639" s="49">
        <f>INDEX(PeakCalc!$L$10:$L$303,MATCH(tblPivotData[[#This Row],[Time]],PeakCalc!$G$10:$G$303,0))</f>
        <v>0</v>
      </c>
    </row>
    <row r="640" spans="1:9" x14ac:dyDescent="0.25">
      <c r="A640" t="s">
        <v>95</v>
      </c>
      <c r="B640" t="s">
        <v>101</v>
      </c>
      <c r="C640" t="s">
        <v>96</v>
      </c>
      <c r="D640" t="s">
        <v>90</v>
      </c>
      <c r="E640" t="s">
        <v>44</v>
      </c>
      <c r="F640" s="6">
        <v>0.6875</v>
      </c>
      <c r="G640">
        <v>0</v>
      </c>
      <c r="H640" s="6">
        <f>FLOOR(tblPivotData[[#This Row],[Time]],Summary!$B$6/1440)</f>
        <v>0.6875</v>
      </c>
      <c r="I640" s="49">
        <f>INDEX(PeakCalc!$L$10:$L$303,MATCH(tblPivotData[[#This Row],[Time]],PeakCalc!$G$10:$G$303,0))</f>
        <v>1</v>
      </c>
    </row>
    <row r="641" spans="1:9" x14ac:dyDescent="0.25">
      <c r="A641" t="s">
        <v>95</v>
      </c>
      <c r="B641" t="s">
        <v>101</v>
      </c>
      <c r="C641" t="s">
        <v>96</v>
      </c>
      <c r="D641" t="s">
        <v>90</v>
      </c>
      <c r="E641" t="s">
        <v>44</v>
      </c>
      <c r="F641" s="6">
        <v>0.69791666666666663</v>
      </c>
      <c r="G641">
        <v>1</v>
      </c>
      <c r="H641" s="6">
        <f>FLOOR(tblPivotData[[#This Row],[Time]],Summary!$B$6/1440)</f>
        <v>0.69791666666666663</v>
      </c>
      <c r="I641" s="49">
        <f>INDEX(PeakCalc!$L$10:$L$303,MATCH(tblPivotData[[#This Row],[Time]],PeakCalc!$G$10:$G$303,0))</f>
        <v>1</v>
      </c>
    </row>
    <row r="642" spans="1:9" x14ac:dyDescent="0.25">
      <c r="A642" t="s">
        <v>95</v>
      </c>
      <c r="B642" t="s">
        <v>101</v>
      </c>
      <c r="C642" t="s">
        <v>96</v>
      </c>
      <c r="D642" t="s">
        <v>90</v>
      </c>
      <c r="E642" t="s">
        <v>44</v>
      </c>
      <c r="F642" s="6">
        <v>0.70833333333333337</v>
      </c>
      <c r="G642">
        <v>1</v>
      </c>
      <c r="H642" s="6">
        <f>FLOOR(tblPivotData[[#This Row],[Time]],Summary!$B$6/1440)</f>
        <v>0.70833333333333326</v>
      </c>
      <c r="I642" s="49">
        <f>INDEX(PeakCalc!$L$10:$L$303,MATCH(tblPivotData[[#This Row],[Time]],PeakCalc!$G$10:$G$303,0))</f>
        <v>1</v>
      </c>
    </row>
    <row r="643" spans="1:9" x14ac:dyDescent="0.25">
      <c r="A643" t="s">
        <v>95</v>
      </c>
      <c r="B643" t="s">
        <v>101</v>
      </c>
      <c r="C643" t="s">
        <v>96</v>
      </c>
      <c r="D643" t="s">
        <v>90</v>
      </c>
      <c r="E643" t="s">
        <v>44</v>
      </c>
      <c r="F643" s="6">
        <v>0.71875</v>
      </c>
      <c r="G643">
        <v>0</v>
      </c>
      <c r="H643" s="6">
        <f>FLOOR(tblPivotData[[#This Row],[Time]],Summary!$B$6/1440)</f>
        <v>0.71875</v>
      </c>
      <c r="I643" s="49">
        <f>INDEX(PeakCalc!$L$10:$L$303,MATCH(tblPivotData[[#This Row],[Time]],PeakCalc!$G$10:$G$303,0))</f>
        <v>1</v>
      </c>
    </row>
    <row r="644" spans="1:9" x14ac:dyDescent="0.25">
      <c r="A644" t="s">
        <v>95</v>
      </c>
      <c r="B644" t="s">
        <v>101</v>
      </c>
      <c r="C644" t="s">
        <v>96</v>
      </c>
      <c r="D644" t="s">
        <v>90</v>
      </c>
      <c r="E644" t="s">
        <v>44</v>
      </c>
      <c r="F644" s="6">
        <v>0.72916666666666663</v>
      </c>
      <c r="G644">
        <v>0</v>
      </c>
      <c r="H644" s="6">
        <f>FLOOR(tblPivotData[[#This Row],[Time]],Summary!$B$6/1440)</f>
        <v>0.72916666666666663</v>
      </c>
      <c r="I644" s="49">
        <f>INDEX(PeakCalc!$L$10:$L$303,MATCH(tblPivotData[[#This Row],[Time]],PeakCalc!$G$10:$G$303,0))</f>
        <v>0</v>
      </c>
    </row>
    <row r="645" spans="1:9" x14ac:dyDescent="0.25">
      <c r="A645" t="s">
        <v>95</v>
      </c>
      <c r="B645" t="s">
        <v>101</v>
      </c>
      <c r="C645" t="s">
        <v>96</v>
      </c>
      <c r="D645" t="s">
        <v>90</v>
      </c>
      <c r="E645" t="s">
        <v>44</v>
      </c>
      <c r="F645" s="6">
        <v>0.73958333333333337</v>
      </c>
      <c r="G645">
        <v>0</v>
      </c>
      <c r="H645" s="6">
        <f>FLOOR(tblPivotData[[#This Row],[Time]],Summary!$B$6/1440)</f>
        <v>0.73958333333333326</v>
      </c>
      <c r="I645" s="49">
        <f>INDEX(PeakCalc!$L$10:$L$303,MATCH(tblPivotData[[#This Row],[Time]],PeakCalc!$G$10:$G$303,0))</f>
        <v>0</v>
      </c>
    </row>
    <row r="646" spans="1:9" x14ac:dyDescent="0.25">
      <c r="A646" t="s">
        <v>95</v>
      </c>
      <c r="B646" t="s">
        <v>101</v>
      </c>
      <c r="C646" t="s">
        <v>96</v>
      </c>
      <c r="D646" t="s">
        <v>90</v>
      </c>
      <c r="E646" t="s">
        <v>44</v>
      </c>
      <c r="F646" s="6">
        <v>0.75</v>
      </c>
      <c r="G646">
        <v>0</v>
      </c>
      <c r="H646" s="6">
        <f>FLOOR(tblPivotData[[#This Row],[Time]],Summary!$B$6/1440)</f>
        <v>0.75</v>
      </c>
      <c r="I646" s="49">
        <f>INDEX(PeakCalc!$L$10:$L$303,MATCH(tblPivotData[[#This Row],[Time]],PeakCalc!$G$10:$G$303,0))</f>
        <v>0</v>
      </c>
    </row>
    <row r="647" spans="1:9" x14ac:dyDescent="0.25">
      <c r="A647" t="s">
        <v>95</v>
      </c>
      <c r="B647" t="s">
        <v>101</v>
      </c>
      <c r="C647" t="s">
        <v>96</v>
      </c>
      <c r="D647" t="s">
        <v>90</v>
      </c>
      <c r="E647" t="s">
        <v>44</v>
      </c>
      <c r="F647" s="6">
        <v>0.76041666666666663</v>
      </c>
      <c r="G647">
        <v>0</v>
      </c>
      <c r="H647" s="6">
        <f>FLOOR(tblPivotData[[#This Row],[Time]],Summary!$B$6/1440)</f>
        <v>0.76041666666666663</v>
      </c>
      <c r="I647" s="49">
        <f>INDEX(PeakCalc!$L$10:$L$303,MATCH(tblPivotData[[#This Row],[Time]],PeakCalc!$G$10:$G$303,0))</f>
        <v>0</v>
      </c>
    </row>
    <row r="648" spans="1:9" x14ac:dyDescent="0.25">
      <c r="A648" t="s">
        <v>95</v>
      </c>
      <c r="B648" t="s">
        <v>101</v>
      </c>
      <c r="C648" t="s">
        <v>96</v>
      </c>
      <c r="D648" t="s">
        <v>91</v>
      </c>
      <c r="E648" t="s">
        <v>43</v>
      </c>
      <c r="F648" s="6">
        <v>0.27083333333333331</v>
      </c>
      <c r="G648">
        <v>1</v>
      </c>
      <c r="H648" s="6">
        <f>FLOOR(tblPivotData[[#This Row],[Time]],Summary!$B$6/1440)</f>
        <v>0.27083333333333331</v>
      </c>
      <c r="I648" s="49">
        <f>INDEX(PeakCalc!$L$10:$L$303,MATCH(tblPivotData[[#This Row],[Time]],PeakCalc!$G$10:$G$303,0))</f>
        <v>0</v>
      </c>
    </row>
    <row r="649" spans="1:9" x14ac:dyDescent="0.25">
      <c r="A649" t="s">
        <v>95</v>
      </c>
      <c r="B649" t="s">
        <v>101</v>
      </c>
      <c r="C649" t="s">
        <v>96</v>
      </c>
      <c r="D649" t="s">
        <v>91</v>
      </c>
      <c r="E649" t="s">
        <v>43</v>
      </c>
      <c r="F649" s="6">
        <v>0.28125</v>
      </c>
      <c r="G649">
        <v>0</v>
      </c>
      <c r="H649" s="6">
        <f>FLOOR(tblPivotData[[#This Row],[Time]],Summary!$B$6/1440)</f>
        <v>0.28125</v>
      </c>
      <c r="I649" s="49">
        <f>INDEX(PeakCalc!$L$10:$L$303,MATCH(tblPivotData[[#This Row],[Time]],PeakCalc!$G$10:$G$303,0))</f>
        <v>0</v>
      </c>
    </row>
    <row r="650" spans="1:9" x14ac:dyDescent="0.25">
      <c r="A650" t="s">
        <v>95</v>
      </c>
      <c r="B650" t="s">
        <v>101</v>
      </c>
      <c r="C650" t="s">
        <v>96</v>
      </c>
      <c r="D650" t="s">
        <v>91</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95</v>
      </c>
      <c r="B651" t="s">
        <v>101</v>
      </c>
      <c r="C651" t="s">
        <v>96</v>
      </c>
      <c r="D651" t="s">
        <v>91</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95</v>
      </c>
      <c r="B652" t="s">
        <v>101</v>
      </c>
      <c r="C652" t="s">
        <v>96</v>
      </c>
      <c r="D652" t="s">
        <v>91</v>
      </c>
      <c r="E652" t="s">
        <v>43</v>
      </c>
      <c r="F652" s="6">
        <v>0.3125</v>
      </c>
      <c r="G652">
        <v>0</v>
      </c>
      <c r="H652" s="6">
        <f>FLOOR(tblPivotData[[#This Row],[Time]],Summary!$B$6/1440)</f>
        <v>0.3125</v>
      </c>
      <c r="I652" s="49">
        <f>INDEX(PeakCalc!$L$10:$L$303,MATCH(tblPivotData[[#This Row],[Time]],PeakCalc!$G$10:$G$303,0))</f>
        <v>0</v>
      </c>
    </row>
    <row r="653" spans="1:9" x14ac:dyDescent="0.25">
      <c r="A653" t="s">
        <v>95</v>
      </c>
      <c r="B653" t="s">
        <v>101</v>
      </c>
      <c r="C653" t="s">
        <v>96</v>
      </c>
      <c r="D653" t="s">
        <v>91</v>
      </c>
      <c r="E653" t="s">
        <v>43</v>
      </c>
      <c r="F653" s="6">
        <v>0.32291666666666669</v>
      </c>
      <c r="G653">
        <v>0</v>
      </c>
      <c r="H653" s="6">
        <f>FLOOR(tblPivotData[[#This Row],[Time]],Summary!$B$6/1440)</f>
        <v>0.32291666666666663</v>
      </c>
      <c r="I653" s="49">
        <f>INDEX(PeakCalc!$L$10:$L$303,MATCH(tblPivotData[[#This Row],[Time]],PeakCalc!$G$10:$G$303,0))</f>
        <v>1</v>
      </c>
    </row>
    <row r="654" spans="1:9" x14ac:dyDescent="0.25">
      <c r="A654" t="s">
        <v>95</v>
      </c>
      <c r="B654" t="s">
        <v>101</v>
      </c>
      <c r="C654" t="s">
        <v>96</v>
      </c>
      <c r="D654" t="s">
        <v>91</v>
      </c>
      <c r="E654" t="s">
        <v>43</v>
      </c>
      <c r="F654" s="6">
        <v>0.33333333333333331</v>
      </c>
      <c r="G654">
        <v>0</v>
      </c>
      <c r="H654" s="6">
        <f>FLOOR(tblPivotData[[#This Row],[Time]],Summary!$B$6/1440)</f>
        <v>0.33333333333333331</v>
      </c>
      <c r="I654" s="49">
        <f>INDEX(PeakCalc!$L$10:$L$303,MATCH(tblPivotData[[#This Row],[Time]],PeakCalc!$G$10:$G$303,0))</f>
        <v>1</v>
      </c>
    </row>
    <row r="655" spans="1:9" x14ac:dyDescent="0.25">
      <c r="A655" t="s">
        <v>95</v>
      </c>
      <c r="B655" t="s">
        <v>101</v>
      </c>
      <c r="C655" t="s">
        <v>96</v>
      </c>
      <c r="D655" t="s">
        <v>91</v>
      </c>
      <c r="E655" t="s">
        <v>43</v>
      </c>
      <c r="F655" s="6">
        <v>0.34375</v>
      </c>
      <c r="G655">
        <v>0</v>
      </c>
      <c r="H655" s="6">
        <f>FLOOR(tblPivotData[[#This Row],[Time]],Summary!$B$6/1440)</f>
        <v>0.34375</v>
      </c>
      <c r="I655" s="49">
        <f>INDEX(PeakCalc!$L$10:$L$303,MATCH(tblPivotData[[#This Row],[Time]],PeakCalc!$G$10:$G$303,0))</f>
        <v>1</v>
      </c>
    </row>
    <row r="656" spans="1:9" x14ac:dyDescent="0.25">
      <c r="A656" t="s">
        <v>95</v>
      </c>
      <c r="B656" t="s">
        <v>101</v>
      </c>
      <c r="C656" t="s">
        <v>96</v>
      </c>
      <c r="D656" t="s">
        <v>91</v>
      </c>
      <c r="E656" t="s">
        <v>43</v>
      </c>
      <c r="F656" s="6">
        <v>0.35416666666666669</v>
      </c>
      <c r="G656">
        <v>1</v>
      </c>
      <c r="H656" s="6">
        <f>FLOOR(tblPivotData[[#This Row],[Time]],Summary!$B$6/1440)</f>
        <v>0.35416666666666663</v>
      </c>
      <c r="I656" s="49">
        <f>INDEX(PeakCalc!$L$10:$L$303,MATCH(tblPivotData[[#This Row],[Time]],PeakCalc!$G$10:$G$303,0))</f>
        <v>1</v>
      </c>
    </row>
    <row r="657" spans="1:9" x14ac:dyDescent="0.25">
      <c r="A657" t="s">
        <v>95</v>
      </c>
      <c r="B657" t="s">
        <v>101</v>
      </c>
      <c r="C657" t="s">
        <v>96</v>
      </c>
      <c r="D657" t="s">
        <v>91</v>
      </c>
      <c r="E657" t="s">
        <v>43</v>
      </c>
      <c r="F657" s="6">
        <v>0.36458333333333331</v>
      </c>
      <c r="G657">
        <v>0</v>
      </c>
      <c r="H657" s="6">
        <f>FLOOR(tblPivotData[[#This Row],[Time]],Summary!$B$6/1440)</f>
        <v>0.36458333333333331</v>
      </c>
      <c r="I657" s="49">
        <f>INDEX(PeakCalc!$L$10:$L$303,MATCH(tblPivotData[[#This Row],[Time]],PeakCalc!$G$10:$G$303,0))</f>
        <v>0</v>
      </c>
    </row>
    <row r="658" spans="1:9" x14ac:dyDescent="0.25">
      <c r="A658" t="s">
        <v>95</v>
      </c>
      <c r="B658" t="s">
        <v>101</v>
      </c>
      <c r="C658" t="s">
        <v>96</v>
      </c>
      <c r="D658" t="s">
        <v>91</v>
      </c>
      <c r="E658" t="s">
        <v>43</v>
      </c>
      <c r="F658" s="6">
        <v>0.375</v>
      </c>
      <c r="G658">
        <v>0</v>
      </c>
      <c r="H658" s="6">
        <f>FLOOR(tblPivotData[[#This Row],[Time]],Summary!$B$6/1440)</f>
        <v>0.375</v>
      </c>
      <c r="I658" s="49">
        <f>INDEX(PeakCalc!$L$10:$L$303,MATCH(tblPivotData[[#This Row],[Time]],PeakCalc!$G$10:$G$303,0))</f>
        <v>0</v>
      </c>
    </row>
    <row r="659" spans="1:9" x14ac:dyDescent="0.25">
      <c r="A659" t="s">
        <v>95</v>
      </c>
      <c r="B659" t="s">
        <v>101</v>
      </c>
      <c r="C659" t="s">
        <v>96</v>
      </c>
      <c r="D659" t="s">
        <v>91</v>
      </c>
      <c r="E659" t="s">
        <v>43</v>
      </c>
      <c r="F659" s="6">
        <v>0.38541666666666669</v>
      </c>
      <c r="G659">
        <v>0</v>
      </c>
      <c r="H659" s="6">
        <f>FLOOR(tblPivotData[[#This Row],[Time]],Summary!$B$6/1440)</f>
        <v>0.38541666666666663</v>
      </c>
      <c r="I659" s="49">
        <f>INDEX(PeakCalc!$L$10:$L$303,MATCH(tblPivotData[[#This Row],[Time]],PeakCalc!$G$10:$G$303,0))</f>
        <v>0</v>
      </c>
    </row>
    <row r="660" spans="1:9" x14ac:dyDescent="0.25">
      <c r="A660" t="s">
        <v>95</v>
      </c>
      <c r="B660" t="s">
        <v>101</v>
      </c>
      <c r="C660" t="s">
        <v>96</v>
      </c>
      <c r="D660" t="s">
        <v>91</v>
      </c>
      <c r="E660" t="s">
        <v>110</v>
      </c>
      <c r="F660" s="6">
        <v>0.45833333333333331</v>
      </c>
      <c r="G660">
        <v>0</v>
      </c>
      <c r="H660" s="6">
        <f>FLOOR(tblPivotData[[#This Row],[Time]],Summary!$B$6/1440)</f>
        <v>0.45833333333333331</v>
      </c>
      <c r="I660" s="49">
        <f>INDEX(PeakCalc!$L$10:$L$303,MATCH(tblPivotData[[#This Row],[Time]],PeakCalc!$G$10:$G$303,0))</f>
        <v>0</v>
      </c>
    </row>
    <row r="661" spans="1:9" x14ac:dyDescent="0.25">
      <c r="A661" t="s">
        <v>95</v>
      </c>
      <c r="B661" t="s">
        <v>101</v>
      </c>
      <c r="C661" t="s">
        <v>96</v>
      </c>
      <c r="D661" t="s">
        <v>91</v>
      </c>
      <c r="E661" t="s">
        <v>110</v>
      </c>
      <c r="F661" s="6">
        <v>0.46875</v>
      </c>
      <c r="G661">
        <v>0</v>
      </c>
      <c r="H661" s="6">
        <f>FLOOR(tblPivotData[[#This Row],[Time]],Summary!$B$6/1440)</f>
        <v>0.46875</v>
      </c>
      <c r="I661" s="49">
        <f>INDEX(PeakCalc!$L$10:$L$303,MATCH(tblPivotData[[#This Row],[Time]],PeakCalc!$G$10:$G$303,0))</f>
        <v>0</v>
      </c>
    </row>
    <row r="662" spans="1:9" x14ac:dyDescent="0.25">
      <c r="A662" t="s">
        <v>95</v>
      </c>
      <c r="B662" t="s">
        <v>101</v>
      </c>
      <c r="C662" t="s">
        <v>96</v>
      </c>
      <c r="D662" t="s">
        <v>91</v>
      </c>
      <c r="E662" t="s">
        <v>110</v>
      </c>
      <c r="F662" s="6">
        <v>0.47916666666666669</v>
      </c>
      <c r="G662">
        <v>0</v>
      </c>
      <c r="H662" s="6">
        <f>FLOOR(tblPivotData[[#This Row],[Time]],Summary!$B$6/1440)</f>
        <v>0.47916666666666663</v>
      </c>
      <c r="I662" s="49">
        <f>INDEX(PeakCalc!$L$10:$L$303,MATCH(tblPivotData[[#This Row],[Time]],PeakCalc!$G$10:$G$303,0))</f>
        <v>0</v>
      </c>
    </row>
    <row r="663" spans="1:9" x14ac:dyDescent="0.25">
      <c r="A663" t="s">
        <v>95</v>
      </c>
      <c r="B663" t="s">
        <v>101</v>
      </c>
      <c r="C663" t="s">
        <v>96</v>
      </c>
      <c r="D663" t="s">
        <v>91</v>
      </c>
      <c r="E663" t="s">
        <v>110</v>
      </c>
      <c r="F663" s="6">
        <v>0.48958333333333331</v>
      </c>
      <c r="G663">
        <v>0</v>
      </c>
      <c r="H663" s="6">
        <f>FLOOR(tblPivotData[[#This Row],[Time]],Summary!$B$6/1440)</f>
        <v>0.48958333333333331</v>
      </c>
      <c r="I663" s="49">
        <f>INDEX(PeakCalc!$L$10:$L$303,MATCH(tblPivotData[[#This Row],[Time]],PeakCalc!$G$10:$G$303,0))</f>
        <v>0</v>
      </c>
    </row>
    <row r="664" spans="1:9" x14ac:dyDescent="0.25">
      <c r="A664" t="s">
        <v>95</v>
      </c>
      <c r="B664" t="s">
        <v>101</v>
      </c>
      <c r="C664" t="s">
        <v>96</v>
      </c>
      <c r="D664" t="s">
        <v>91</v>
      </c>
      <c r="E664" t="s">
        <v>110</v>
      </c>
      <c r="F664" s="6">
        <v>0.5</v>
      </c>
      <c r="G664">
        <v>1</v>
      </c>
      <c r="H664" s="6">
        <f>FLOOR(tblPivotData[[#This Row],[Time]],Summary!$B$6/1440)</f>
        <v>0.5</v>
      </c>
      <c r="I664" s="49">
        <f>INDEX(PeakCalc!$L$10:$L$303,MATCH(tblPivotData[[#This Row],[Time]],PeakCalc!$G$10:$G$303,0))</f>
        <v>0</v>
      </c>
    </row>
    <row r="665" spans="1:9" x14ac:dyDescent="0.25">
      <c r="A665" t="s">
        <v>95</v>
      </c>
      <c r="B665" t="s">
        <v>101</v>
      </c>
      <c r="C665" t="s">
        <v>96</v>
      </c>
      <c r="D665" t="s">
        <v>91</v>
      </c>
      <c r="E665" t="s">
        <v>110</v>
      </c>
      <c r="F665" s="6">
        <v>0.51041666666666663</v>
      </c>
      <c r="G665">
        <v>0</v>
      </c>
      <c r="H665" s="6">
        <f>FLOOR(tblPivotData[[#This Row],[Time]],Summary!$B$6/1440)</f>
        <v>0.51041666666666663</v>
      </c>
      <c r="I665" s="49">
        <f>INDEX(PeakCalc!$L$10:$L$303,MATCH(tblPivotData[[#This Row],[Time]],PeakCalc!$G$10:$G$303,0))</f>
        <v>0</v>
      </c>
    </row>
    <row r="666" spans="1:9" x14ac:dyDescent="0.25">
      <c r="A666" t="s">
        <v>95</v>
      </c>
      <c r="B666" t="s">
        <v>101</v>
      </c>
      <c r="C666" t="s">
        <v>96</v>
      </c>
      <c r="D666" t="s">
        <v>91</v>
      </c>
      <c r="E666" t="s">
        <v>110</v>
      </c>
      <c r="F666" s="6">
        <v>0.52083333333333337</v>
      </c>
      <c r="G666">
        <v>0</v>
      </c>
      <c r="H666" s="6">
        <f>FLOOR(tblPivotData[[#This Row],[Time]],Summary!$B$6/1440)</f>
        <v>0.52083333333333326</v>
      </c>
      <c r="I666" s="49">
        <f>INDEX(PeakCalc!$L$10:$L$303,MATCH(tblPivotData[[#This Row],[Time]],PeakCalc!$G$10:$G$303,0))</f>
        <v>1</v>
      </c>
    </row>
    <row r="667" spans="1:9" x14ac:dyDescent="0.25">
      <c r="A667" t="s">
        <v>95</v>
      </c>
      <c r="B667" t="s">
        <v>101</v>
      </c>
      <c r="C667" t="s">
        <v>96</v>
      </c>
      <c r="D667" t="s">
        <v>91</v>
      </c>
      <c r="E667" t="s">
        <v>110</v>
      </c>
      <c r="F667" s="6">
        <v>0.53125</v>
      </c>
      <c r="G667">
        <v>0</v>
      </c>
      <c r="H667" s="6">
        <f>FLOOR(tblPivotData[[#This Row],[Time]],Summary!$B$6/1440)</f>
        <v>0.53125</v>
      </c>
      <c r="I667" s="49">
        <f>INDEX(PeakCalc!$L$10:$L$303,MATCH(tblPivotData[[#This Row],[Time]],PeakCalc!$G$10:$G$303,0))</f>
        <v>1</v>
      </c>
    </row>
    <row r="668" spans="1:9" x14ac:dyDescent="0.25">
      <c r="A668" t="s">
        <v>95</v>
      </c>
      <c r="B668" t="s">
        <v>101</v>
      </c>
      <c r="C668" t="s">
        <v>96</v>
      </c>
      <c r="D668" t="s">
        <v>91</v>
      </c>
      <c r="E668" t="s">
        <v>110</v>
      </c>
      <c r="F668" s="6">
        <v>0.54166666666666663</v>
      </c>
      <c r="G668">
        <v>0</v>
      </c>
      <c r="H668" s="6">
        <f>FLOOR(tblPivotData[[#This Row],[Time]],Summary!$B$6/1440)</f>
        <v>0.54166666666666663</v>
      </c>
      <c r="I668" s="49">
        <f>INDEX(PeakCalc!$L$10:$L$303,MATCH(tblPivotData[[#This Row],[Time]],PeakCalc!$G$10:$G$303,0))</f>
        <v>1</v>
      </c>
    </row>
    <row r="669" spans="1:9" x14ac:dyDescent="0.25">
      <c r="A669" t="s">
        <v>95</v>
      </c>
      <c r="B669" t="s">
        <v>101</v>
      </c>
      <c r="C669" t="s">
        <v>96</v>
      </c>
      <c r="D669" t="s">
        <v>91</v>
      </c>
      <c r="E669" t="s">
        <v>110</v>
      </c>
      <c r="F669" s="6">
        <v>0.55208333333333337</v>
      </c>
      <c r="G669">
        <v>0</v>
      </c>
      <c r="H669" s="6">
        <f>FLOOR(tblPivotData[[#This Row],[Time]],Summary!$B$6/1440)</f>
        <v>0.55208333333333326</v>
      </c>
      <c r="I669" s="49">
        <f>INDEX(PeakCalc!$L$10:$L$303,MATCH(tblPivotData[[#This Row],[Time]],PeakCalc!$G$10:$G$303,0))</f>
        <v>1</v>
      </c>
    </row>
    <row r="670" spans="1:9" x14ac:dyDescent="0.25">
      <c r="A670" t="s">
        <v>95</v>
      </c>
      <c r="B670" t="s">
        <v>101</v>
      </c>
      <c r="C670" t="s">
        <v>96</v>
      </c>
      <c r="D670" t="s">
        <v>91</v>
      </c>
      <c r="E670" t="s">
        <v>110</v>
      </c>
      <c r="F670" s="6">
        <v>0.5625</v>
      </c>
      <c r="G670">
        <v>0</v>
      </c>
      <c r="H670" s="6">
        <f>FLOOR(tblPivotData[[#This Row],[Time]],Summary!$B$6/1440)</f>
        <v>0.5625</v>
      </c>
      <c r="I670" s="49">
        <f>INDEX(PeakCalc!$L$10:$L$303,MATCH(tblPivotData[[#This Row],[Time]],PeakCalc!$G$10:$G$303,0))</f>
        <v>0</v>
      </c>
    </row>
    <row r="671" spans="1:9" x14ac:dyDescent="0.25">
      <c r="A671" t="s">
        <v>95</v>
      </c>
      <c r="B671" t="s">
        <v>101</v>
      </c>
      <c r="C671" t="s">
        <v>96</v>
      </c>
      <c r="D671" t="s">
        <v>91</v>
      </c>
      <c r="E671" t="s">
        <v>110</v>
      </c>
      <c r="F671" s="6">
        <v>0.57291666666666663</v>
      </c>
      <c r="G671">
        <v>0</v>
      </c>
      <c r="H671" s="6">
        <f>FLOOR(tblPivotData[[#This Row],[Time]],Summary!$B$6/1440)</f>
        <v>0.57291666666666663</v>
      </c>
      <c r="I671" s="49">
        <f>INDEX(PeakCalc!$L$10:$L$303,MATCH(tblPivotData[[#This Row],[Time]],PeakCalc!$G$10:$G$303,0))</f>
        <v>0</v>
      </c>
    </row>
    <row r="672" spans="1:9" x14ac:dyDescent="0.25">
      <c r="A672" t="s">
        <v>95</v>
      </c>
      <c r="B672" t="s">
        <v>101</v>
      </c>
      <c r="C672" t="s">
        <v>96</v>
      </c>
      <c r="D672" t="s">
        <v>91</v>
      </c>
      <c r="E672" t="s">
        <v>44</v>
      </c>
      <c r="F672" s="6">
        <v>0.625</v>
      </c>
      <c r="G672">
        <v>1</v>
      </c>
      <c r="H672" s="6">
        <f>FLOOR(tblPivotData[[#This Row],[Time]],Summary!$B$6/1440)</f>
        <v>0.625</v>
      </c>
      <c r="I672" s="49">
        <f>INDEX(PeakCalc!$L$10:$L$303,MATCH(tblPivotData[[#This Row],[Time]],PeakCalc!$G$10:$G$303,0))</f>
        <v>0</v>
      </c>
    </row>
    <row r="673" spans="1:9" x14ac:dyDescent="0.25">
      <c r="A673" t="s">
        <v>95</v>
      </c>
      <c r="B673" t="s">
        <v>101</v>
      </c>
      <c r="C673" t="s">
        <v>96</v>
      </c>
      <c r="D673" t="s">
        <v>91</v>
      </c>
      <c r="E673" t="s">
        <v>44</v>
      </c>
      <c r="F673" s="6">
        <v>0.63541666666666663</v>
      </c>
      <c r="G673">
        <v>2</v>
      </c>
      <c r="H673" s="6">
        <f>FLOOR(tblPivotData[[#This Row],[Time]],Summary!$B$6/1440)</f>
        <v>0.63541666666666663</v>
      </c>
      <c r="I673" s="49">
        <f>INDEX(PeakCalc!$L$10:$L$303,MATCH(tblPivotData[[#This Row],[Time]],PeakCalc!$G$10:$G$303,0))</f>
        <v>0</v>
      </c>
    </row>
    <row r="674" spans="1:9" x14ac:dyDescent="0.25">
      <c r="A674" t="s">
        <v>95</v>
      </c>
      <c r="B674" t="s">
        <v>101</v>
      </c>
      <c r="C674" t="s">
        <v>96</v>
      </c>
      <c r="D674" t="s">
        <v>91</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95</v>
      </c>
      <c r="B675" t="s">
        <v>101</v>
      </c>
      <c r="C675" t="s">
        <v>96</v>
      </c>
      <c r="D675" t="s">
        <v>91</v>
      </c>
      <c r="E675" t="s">
        <v>44</v>
      </c>
      <c r="F675" s="6">
        <v>0.65625</v>
      </c>
      <c r="G675">
        <v>0</v>
      </c>
      <c r="H675" s="6">
        <f>FLOOR(tblPivotData[[#This Row],[Time]],Summary!$B$6/1440)</f>
        <v>0.65625</v>
      </c>
      <c r="I675" s="49">
        <f>INDEX(PeakCalc!$L$10:$L$303,MATCH(tblPivotData[[#This Row],[Time]],PeakCalc!$G$10:$G$303,0))</f>
        <v>0</v>
      </c>
    </row>
    <row r="676" spans="1:9" x14ac:dyDescent="0.25">
      <c r="A676" t="s">
        <v>95</v>
      </c>
      <c r="B676" t="s">
        <v>101</v>
      </c>
      <c r="C676" t="s">
        <v>96</v>
      </c>
      <c r="D676" t="s">
        <v>91</v>
      </c>
      <c r="E676" t="s">
        <v>44</v>
      </c>
      <c r="F676" s="6">
        <v>0.66666666666666663</v>
      </c>
      <c r="G676">
        <v>0</v>
      </c>
      <c r="H676" s="6">
        <f>FLOOR(tblPivotData[[#This Row],[Time]],Summary!$B$6/1440)</f>
        <v>0.66666666666666663</v>
      </c>
      <c r="I676" s="49">
        <f>INDEX(PeakCalc!$L$10:$L$303,MATCH(tblPivotData[[#This Row],[Time]],PeakCalc!$G$10:$G$303,0))</f>
        <v>0</v>
      </c>
    </row>
    <row r="677" spans="1:9" x14ac:dyDescent="0.25">
      <c r="A677" t="s">
        <v>95</v>
      </c>
      <c r="B677" t="s">
        <v>101</v>
      </c>
      <c r="C677" t="s">
        <v>96</v>
      </c>
      <c r="D677" t="s">
        <v>91</v>
      </c>
      <c r="E677" t="s">
        <v>44</v>
      </c>
      <c r="F677" s="6">
        <v>0.67708333333333337</v>
      </c>
      <c r="G677">
        <v>0</v>
      </c>
      <c r="H677" s="6">
        <f>FLOOR(tblPivotData[[#This Row],[Time]],Summary!$B$6/1440)</f>
        <v>0.67708333333333326</v>
      </c>
      <c r="I677" s="49">
        <f>INDEX(PeakCalc!$L$10:$L$303,MATCH(tblPivotData[[#This Row],[Time]],PeakCalc!$G$10:$G$303,0))</f>
        <v>0</v>
      </c>
    </row>
    <row r="678" spans="1:9" x14ac:dyDescent="0.25">
      <c r="A678" t="s">
        <v>95</v>
      </c>
      <c r="B678" t="s">
        <v>101</v>
      </c>
      <c r="C678" t="s">
        <v>96</v>
      </c>
      <c r="D678" t="s">
        <v>91</v>
      </c>
      <c r="E678" t="s">
        <v>44</v>
      </c>
      <c r="F678" s="6">
        <v>0.6875</v>
      </c>
      <c r="G678">
        <v>0</v>
      </c>
      <c r="H678" s="6">
        <f>FLOOR(tblPivotData[[#This Row],[Time]],Summary!$B$6/1440)</f>
        <v>0.6875</v>
      </c>
      <c r="I678" s="49">
        <f>INDEX(PeakCalc!$L$10:$L$303,MATCH(tblPivotData[[#This Row],[Time]],PeakCalc!$G$10:$G$303,0))</f>
        <v>1</v>
      </c>
    </row>
    <row r="679" spans="1:9" x14ac:dyDescent="0.25">
      <c r="A679" t="s">
        <v>95</v>
      </c>
      <c r="B679" t="s">
        <v>101</v>
      </c>
      <c r="C679" t="s">
        <v>96</v>
      </c>
      <c r="D679" t="s">
        <v>91</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95</v>
      </c>
      <c r="B680" t="s">
        <v>101</v>
      </c>
      <c r="C680" t="s">
        <v>96</v>
      </c>
      <c r="D680" t="s">
        <v>91</v>
      </c>
      <c r="E680" t="s">
        <v>44</v>
      </c>
      <c r="F680" s="6">
        <v>0.70833333333333337</v>
      </c>
      <c r="G680">
        <v>1</v>
      </c>
      <c r="H680" s="6">
        <f>FLOOR(tblPivotData[[#This Row],[Time]],Summary!$B$6/1440)</f>
        <v>0.70833333333333326</v>
      </c>
      <c r="I680" s="49">
        <f>INDEX(PeakCalc!$L$10:$L$303,MATCH(tblPivotData[[#This Row],[Time]],PeakCalc!$G$10:$G$303,0))</f>
        <v>1</v>
      </c>
    </row>
    <row r="681" spans="1:9" x14ac:dyDescent="0.25">
      <c r="A681" t="s">
        <v>95</v>
      </c>
      <c r="B681" t="s">
        <v>101</v>
      </c>
      <c r="C681" t="s">
        <v>96</v>
      </c>
      <c r="D681" t="s">
        <v>91</v>
      </c>
      <c r="E681" t="s">
        <v>44</v>
      </c>
      <c r="F681" s="6">
        <v>0.71875</v>
      </c>
      <c r="G681">
        <v>0</v>
      </c>
      <c r="H681" s="6">
        <f>FLOOR(tblPivotData[[#This Row],[Time]],Summary!$B$6/1440)</f>
        <v>0.71875</v>
      </c>
      <c r="I681" s="49">
        <f>INDEX(PeakCalc!$L$10:$L$303,MATCH(tblPivotData[[#This Row],[Time]],PeakCalc!$G$10:$G$303,0))</f>
        <v>1</v>
      </c>
    </row>
    <row r="682" spans="1:9" x14ac:dyDescent="0.25">
      <c r="A682" t="s">
        <v>95</v>
      </c>
      <c r="B682" t="s">
        <v>101</v>
      </c>
      <c r="C682" t="s">
        <v>96</v>
      </c>
      <c r="D682" t="s">
        <v>91</v>
      </c>
      <c r="E682" t="s">
        <v>44</v>
      </c>
      <c r="F682" s="6">
        <v>0.72916666666666663</v>
      </c>
      <c r="G682">
        <v>0</v>
      </c>
      <c r="H682" s="6">
        <f>FLOOR(tblPivotData[[#This Row],[Time]],Summary!$B$6/1440)</f>
        <v>0.72916666666666663</v>
      </c>
      <c r="I682" s="49">
        <f>INDEX(PeakCalc!$L$10:$L$303,MATCH(tblPivotData[[#This Row],[Time]],PeakCalc!$G$10:$G$303,0))</f>
        <v>0</v>
      </c>
    </row>
    <row r="683" spans="1:9" x14ac:dyDescent="0.25">
      <c r="A683" t="s">
        <v>95</v>
      </c>
      <c r="B683" t="s">
        <v>101</v>
      </c>
      <c r="C683" t="s">
        <v>96</v>
      </c>
      <c r="D683" t="s">
        <v>91</v>
      </c>
      <c r="E683" t="s">
        <v>44</v>
      </c>
      <c r="F683" s="6">
        <v>0.73958333333333337</v>
      </c>
      <c r="G683">
        <v>1</v>
      </c>
      <c r="H683" s="6">
        <f>FLOOR(tblPivotData[[#This Row],[Time]],Summary!$B$6/1440)</f>
        <v>0.73958333333333326</v>
      </c>
      <c r="I683" s="49">
        <f>INDEX(PeakCalc!$L$10:$L$303,MATCH(tblPivotData[[#This Row],[Time]],PeakCalc!$G$10:$G$303,0))</f>
        <v>0</v>
      </c>
    </row>
    <row r="684" spans="1:9" x14ac:dyDescent="0.25">
      <c r="A684" t="s">
        <v>95</v>
      </c>
      <c r="B684" t="s">
        <v>101</v>
      </c>
      <c r="C684" t="s">
        <v>96</v>
      </c>
      <c r="D684" t="s">
        <v>91</v>
      </c>
      <c r="E684" t="s">
        <v>44</v>
      </c>
      <c r="F684" s="6">
        <v>0.75</v>
      </c>
      <c r="G684">
        <v>1</v>
      </c>
      <c r="H684" s="6">
        <f>FLOOR(tblPivotData[[#This Row],[Time]],Summary!$B$6/1440)</f>
        <v>0.75</v>
      </c>
      <c r="I684" s="49">
        <f>INDEX(PeakCalc!$L$10:$L$303,MATCH(tblPivotData[[#This Row],[Time]],PeakCalc!$G$10:$G$303,0))</f>
        <v>0</v>
      </c>
    </row>
    <row r="685" spans="1:9" x14ac:dyDescent="0.25">
      <c r="A685" t="s">
        <v>95</v>
      </c>
      <c r="B685" t="s">
        <v>101</v>
      </c>
      <c r="C685" t="s">
        <v>96</v>
      </c>
      <c r="D685" t="s">
        <v>91</v>
      </c>
      <c r="E685" t="s">
        <v>44</v>
      </c>
      <c r="F685" s="6">
        <v>0.76041666666666663</v>
      </c>
      <c r="G685">
        <v>0</v>
      </c>
      <c r="H685" s="6">
        <f>FLOOR(tblPivotData[[#This Row],[Time]],Summary!$B$6/1440)</f>
        <v>0.76041666666666663</v>
      </c>
      <c r="I685" s="49">
        <f>INDEX(PeakCalc!$L$10:$L$303,MATCH(tblPivotData[[#This Row],[Time]],PeakCalc!$G$10:$G$303,0))</f>
        <v>0</v>
      </c>
    </row>
    <row r="686" spans="1:9" x14ac:dyDescent="0.25">
      <c r="A686" t="s">
        <v>95</v>
      </c>
      <c r="B686" t="s">
        <v>101</v>
      </c>
      <c r="C686" t="s">
        <v>96</v>
      </c>
      <c r="D686" t="s">
        <v>92</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95</v>
      </c>
      <c r="B687" t="s">
        <v>101</v>
      </c>
      <c r="C687" t="s">
        <v>96</v>
      </c>
      <c r="D687" t="s">
        <v>92</v>
      </c>
      <c r="E687" t="s">
        <v>43</v>
      </c>
      <c r="F687" s="6">
        <v>0.28125</v>
      </c>
      <c r="G687">
        <v>0</v>
      </c>
      <c r="H687" s="6">
        <f>FLOOR(tblPivotData[[#This Row],[Time]],Summary!$B$6/1440)</f>
        <v>0.28125</v>
      </c>
      <c r="I687" s="49">
        <f>INDEX(PeakCalc!$L$10:$L$303,MATCH(tblPivotData[[#This Row],[Time]],PeakCalc!$G$10:$G$303,0))</f>
        <v>0</v>
      </c>
    </row>
    <row r="688" spans="1:9" x14ac:dyDescent="0.25">
      <c r="A688" t="s">
        <v>95</v>
      </c>
      <c r="B688" t="s">
        <v>101</v>
      </c>
      <c r="C688" t="s">
        <v>96</v>
      </c>
      <c r="D688" t="s">
        <v>92</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95</v>
      </c>
      <c r="B689" t="s">
        <v>101</v>
      </c>
      <c r="C689" t="s">
        <v>96</v>
      </c>
      <c r="D689" t="s">
        <v>92</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95</v>
      </c>
      <c r="B690" t="s">
        <v>101</v>
      </c>
      <c r="C690" t="s">
        <v>96</v>
      </c>
      <c r="D690" t="s">
        <v>92</v>
      </c>
      <c r="E690" t="s">
        <v>43</v>
      </c>
      <c r="F690" s="6">
        <v>0.3125</v>
      </c>
      <c r="G690">
        <v>0</v>
      </c>
      <c r="H690" s="6">
        <f>FLOOR(tblPivotData[[#This Row],[Time]],Summary!$B$6/1440)</f>
        <v>0.3125</v>
      </c>
      <c r="I690" s="49">
        <f>INDEX(PeakCalc!$L$10:$L$303,MATCH(tblPivotData[[#This Row],[Time]],PeakCalc!$G$10:$G$303,0))</f>
        <v>0</v>
      </c>
    </row>
    <row r="691" spans="1:9" x14ac:dyDescent="0.25">
      <c r="A691" t="s">
        <v>95</v>
      </c>
      <c r="B691" t="s">
        <v>101</v>
      </c>
      <c r="C691" t="s">
        <v>96</v>
      </c>
      <c r="D691" t="s">
        <v>92</v>
      </c>
      <c r="E691" t="s">
        <v>43</v>
      </c>
      <c r="F691" s="6">
        <v>0.32291666666666669</v>
      </c>
      <c r="G691">
        <v>0</v>
      </c>
      <c r="H691" s="6">
        <f>FLOOR(tblPivotData[[#This Row],[Time]],Summary!$B$6/1440)</f>
        <v>0.32291666666666663</v>
      </c>
      <c r="I691" s="49">
        <f>INDEX(PeakCalc!$L$10:$L$303,MATCH(tblPivotData[[#This Row],[Time]],PeakCalc!$G$10:$G$303,0))</f>
        <v>1</v>
      </c>
    </row>
    <row r="692" spans="1:9" x14ac:dyDescent="0.25">
      <c r="A692" t="s">
        <v>95</v>
      </c>
      <c r="B692" t="s">
        <v>101</v>
      </c>
      <c r="C692" t="s">
        <v>96</v>
      </c>
      <c r="D692" t="s">
        <v>92</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95</v>
      </c>
      <c r="B693" t="s">
        <v>101</v>
      </c>
      <c r="C693" t="s">
        <v>96</v>
      </c>
      <c r="D693" t="s">
        <v>92</v>
      </c>
      <c r="E693" t="s">
        <v>43</v>
      </c>
      <c r="F693" s="6">
        <v>0.34375</v>
      </c>
      <c r="G693">
        <v>0</v>
      </c>
      <c r="H693" s="6">
        <f>FLOOR(tblPivotData[[#This Row],[Time]],Summary!$B$6/1440)</f>
        <v>0.34375</v>
      </c>
      <c r="I693" s="49">
        <f>INDEX(PeakCalc!$L$10:$L$303,MATCH(tblPivotData[[#This Row],[Time]],PeakCalc!$G$10:$G$303,0))</f>
        <v>1</v>
      </c>
    </row>
    <row r="694" spans="1:9" x14ac:dyDescent="0.25">
      <c r="A694" t="s">
        <v>95</v>
      </c>
      <c r="B694" t="s">
        <v>101</v>
      </c>
      <c r="C694" t="s">
        <v>96</v>
      </c>
      <c r="D694" t="s">
        <v>92</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95</v>
      </c>
      <c r="B695" t="s">
        <v>101</v>
      </c>
      <c r="C695" t="s">
        <v>96</v>
      </c>
      <c r="D695" t="s">
        <v>92</v>
      </c>
      <c r="E695" t="s">
        <v>43</v>
      </c>
      <c r="F695" s="6">
        <v>0.36458333333333331</v>
      </c>
      <c r="G695">
        <v>0</v>
      </c>
      <c r="H695" s="6">
        <f>FLOOR(tblPivotData[[#This Row],[Time]],Summary!$B$6/1440)</f>
        <v>0.36458333333333331</v>
      </c>
      <c r="I695" s="49">
        <f>INDEX(PeakCalc!$L$10:$L$303,MATCH(tblPivotData[[#This Row],[Time]],PeakCalc!$G$10:$G$303,0))</f>
        <v>0</v>
      </c>
    </row>
    <row r="696" spans="1:9" x14ac:dyDescent="0.25">
      <c r="A696" t="s">
        <v>95</v>
      </c>
      <c r="B696" t="s">
        <v>101</v>
      </c>
      <c r="C696" t="s">
        <v>96</v>
      </c>
      <c r="D696" t="s">
        <v>92</v>
      </c>
      <c r="E696" t="s">
        <v>43</v>
      </c>
      <c r="F696" s="6">
        <v>0.375</v>
      </c>
      <c r="G696">
        <v>0</v>
      </c>
      <c r="H696" s="6">
        <f>FLOOR(tblPivotData[[#This Row],[Time]],Summary!$B$6/1440)</f>
        <v>0.375</v>
      </c>
      <c r="I696" s="49">
        <f>INDEX(PeakCalc!$L$10:$L$303,MATCH(tblPivotData[[#This Row],[Time]],PeakCalc!$G$10:$G$303,0))</f>
        <v>0</v>
      </c>
    </row>
    <row r="697" spans="1:9" x14ac:dyDescent="0.25">
      <c r="A697" t="s">
        <v>95</v>
      </c>
      <c r="B697" t="s">
        <v>101</v>
      </c>
      <c r="C697" t="s">
        <v>96</v>
      </c>
      <c r="D697" t="s">
        <v>92</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95</v>
      </c>
      <c r="B698" t="s">
        <v>101</v>
      </c>
      <c r="C698" t="s">
        <v>96</v>
      </c>
      <c r="D698" t="s">
        <v>92</v>
      </c>
      <c r="E698" t="s">
        <v>110</v>
      </c>
      <c r="F698" s="6">
        <v>0.45833333333333331</v>
      </c>
      <c r="G698">
        <v>0</v>
      </c>
      <c r="H698" s="6">
        <f>FLOOR(tblPivotData[[#This Row],[Time]],Summary!$B$6/1440)</f>
        <v>0.45833333333333331</v>
      </c>
      <c r="I698" s="49">
        <f>INDEX(PeakCalc!$L$10:$L$303,MATCH(tblPivotData[[#This Row],[Time]],PeakCalc!$G$10:$G$303,0))</f>
        <v>0</v>
      </c>
    </row>
    <row r="699" spans="1:9" x14ac:dyDescent="0.25">
      <c r="A699" t="s">
        <v>95</v>
      </c>
      <c r="B699" t="s">
        <v>101</v>
      </c>
      <c r="C699" t="s">
        <v>96</v>
      </c>
      <c r="D699" t="s">
        <v>92</v>
      </c>
      <c r="E699" t="s">
        <v>110</v>
      </c>
      <c r="F699" s="6">
        <v>0.46875</v>
      </c>
      <c r="G699">
        <v>0</v>
      </c>
      <c r="H699" s="6">
        <f>FLOOR(tblPivotData[[#This Row],[Time]],Summary!$B$6/1440)</f>
        <v>0.46875</v>
      </c>
      <c r="I699" s="49">
        <f>INDEX(PeakCalc!$L$10:$L$303,MATCH(tblPivotData[[#This Row],[Time]],PeakCalc!$G$10:$G$303,0))</f>
        <v>0</v>
      </c>
    </row>
    <row r="700" spans="1:9" x14ac:dyDescent="0.25">
      <c r="A700" t="s">
        <v>95</v>
      </c>
      <c r="B700" t="s">
        <v>101</v>
      </c>
      <c r="C700" t="s">
        <v>96</v>
      </c>
      <c r="D700" t="s">
        <v>92</v>
      </c>
      <c r="E700" t="s">
        <v>110</v>
      </c>
      <c r="F700" s="6">
        <v>0.47916666666666669</v>
      </c>
      <c r="G700">
        <v>0</v>
      </c>
      <c r="H700" s="6">
        <f>FLOOR(tblPivotData[[#This Row],[Time]],Summary!$B$6/1440)</f>
        <v>0.47916666666666663</v>
      </c>
      <c r="I700" s="49">
        <f>INDEX(PeakCalc!$L$10:$L$303,MATCH(tblPivotData[[#This Row],[Time]],PeakCalc!$G$10:$G$303,0))</f>
        <v>0</v>
      </c>
    </row>
    <row r="701" spans="1:9" x14ac:dyDescent="0.25">
      <c r="A701" t="s">
        <v>95</v>
      </c>
      <c r="B701" t="s">
        <v>101</v>
      </c>
      <c r="C701" t="s">
        <v>96</v>
      </c>
      <c r="D701" t="s">
        <v>92</v>
      </c>
      <c r="E701" t="s">
        <v>110</v>
      </c>
      <c r="F701" s="6">
        <v>0.48958333333333331</v>
      </c>
      <c r="G701">
        <v>0</v>
      </c>
      <c r="H701" s="6">
        <f>FLOOR(tblPivotData[[#This Row],[Time]],Summary!$B$6/1440)</f>
        <v>0.48958333333333331</v>
      </c>
      <c r="I701" s="49">
        <f>INDEX(PeakCalc!$L$10:$L$303,MATCH(tblPivotData[[#This Row],[Time]],PeakCalc!$G$10:$G$303,0))</f>
        <v>0</v>
      </c>
    </row>
    <row r="702" spans="1:9" x14ac:dyDescent="0.25">
      <c r="A702" t="s">
        <v>95</v>
      </c>
      <c r="B702" t="s">
        <v>101</v>
      </c>
      <c r="C702" t="s">
        <v>96</v>
      </c>
      <c r="D702" t="s">
        <v>92</v>
      </c>
      <c r="E702" t="s">
        <v>110</v>
      </c>
      <c r="F702" s="6">
        <v>0.5</v>
      </c>
      <c r="G702">
        <v>0</v>
      </c>
      <c r="H702" s="6">
        <f>FLOOR(tblPivotData[[#This Row],[Time]],Summary!$B$6/1440)</f>
        <v>0.5</v>
      </c>
      <c r="I702" s="49">
        <f>INDEX(PeakCalc!$L$10:$L$303,MATCH(tblPivotData[[#This Row],[Time]],PeakCalc!$G$10:$G$303,0))</f>
        <v>0</v>
      </c>
    </row>
    <row r="703" spans="1:9" x14ac:dyDescent="0.25">
      <c r="A703" t="s">
        <v>95</v>
      </c>
      <c r="B703" t="s">
        <v>101</v>
      </c>
      <c r="C703" t="s">
        <v>96</v>
      </c>
      <c r="D703" t="s">
        <v>92</v>
      </c>
      <c r="E703" t="s">
        <v>110</v>
      </c>
      <c r="F703" s="6">
        <v>0.51041666666666663</v>
      </c>
      <c r="G703">
        <v>0</v>
      </c>
      <c r="H703" s="6">
        <f>FLOOR(tblPivotData[[#This Row],[Time]],Summary!$B$6/1440)</f>
        <v>0.51041666666666663</v>
      </c>
      <c r="I703" s="49">
        <f>INDEX(PeakCalc!$L$10:$L$303,MATCH(tblPivotData[[#This Row],[Time]],PeakCalc!$G$10:$G$303,0))</f>
        <v>0</v>
      </c>
    </row>
    <row r="704" spans="1:9" x14ac:dyDescent="0.25">
      <c r="A704" t="s">
        <v>95</v>
      </c>
      <c r="B704" t="s">
        <v>101</v>
      </c>
      <c r="C704" t="s">
        <v>96</v>
      </c>
      <c r="D704" t="s">
        <v>92</v>
      </c>
      <c r="E704" t="s">
        <v>110</v>
      </c>
      <c r="F704" s="6">
        <v>0.52083333333333337</v>
      </c>
      <c r="G704">
        <v>0</v>
      </c>
      <c r="H704" s="6">
        <f>FLOOR(tblPivotData[[#This Row],[Time]],Summary!$B$6/1440)</f>
        <v>0.52083333333333326</v>
      </c>
      <c r="I704" s="49">
        <f>INDEX(PeakCalc!$L$10:$L$303,MATCH(tblPivotData[[#This Row],[Time]],PeakCalc!$G$10:$G$303,0))</f>
        <v>1</v>
      </c>
    </row>
    <row r="705" spans="1:9" x14ac:dyDescent="0.25">
      <c r="A705" t="s">
        <v>95</v>
      </c>
      <c r="B705" t="s">
        <v>101</v>
      </c>
      <c r="C705" t="s">
        <v>96</v>
      </c>
      <c r="D705" t="s">
        <v>92</v>
      </c>
      <c r="E705" t="s">
        <v>110</v>
      </c>
      <c r="F705" s="6">
        <v>0.53125</v>
      </c>
      <c r="G705">
        <v>0</v>
      </c>
      <c r="H705" s="6">
        <f>FLOOR(tblPivotData[[#This Row],[Time]],Summary!$B$6/1440)</f>
        <v>0.53125</v>
      </c>
      <c r="I705" s="49">
        <f>INDEX(PeakCalc!$L$10:$L$303,MATCH(tblPivotData[[#This Row],[Time]],PeakCalc!$G$10:$G$303,0))</f>
        <v>1</v>
      </c>
    </row>
    <row r="706" spans="1:9" x14ac:dyDescent="0.25">
      <c r="A706" t="s">
        <v>95</v>
      </c>
      <c r="B706" t="s">
        <v>101</v>
      </c>
      <c r="C706" t="s">
        <v>96</v>
      </c>
      <c r="D706" t="s">
        <v>92</v>
      </c>
      <c r="E706" t="s">
        <v>110</v>
      </c>
      <c r="F706" s="6">
        <v>0.54166666666666663</v>
      </c>
      <c r="G706">
        <v>0</v>
      </c>
      <c r="H706" s="6">
        <f>FLOOR(tblPivotData[[#This Row],[Time]],Summary!$B$6/1440)</f>
        <v>0.54166666666666663</v>
      </c>
      <c r="I706" s="49">
        <f>INDEX(PeakCalc!$L$10:$L$303,MATCH(tblPivotData[[#This Row],[Time]],PeakCalc!$G$10:$G$303,0))</f>
        <v>1</v>
      </c>
    </row>
    <row r="707" spans="1:9" x14ac:dyDescent="0.25">
      <c r="A707" t="s">
        <v>95</v>
      </c>
      <c r="B707" t="s">
        <v>101</v>
      </c>
      <c r="C707" t="s">
        <v>96</v>
      </c>
      <c r="D707" t="s">
        <v>92</v>
      </c>
      <c r="E707" t="s">
        <v>110</v>
      </c>
      <c r="F707" s="6">
        <v>0.55208333333333337</v>
      </c>
      <c r="G707">
        <v>0</v>
      </c>
      <c r="H707" s="6">
        <f>FLOOR(tblPivotData[[#This Row],[Time]],Summary!$B$6/1440)</f>
        <v>0.55208333333333326</v>
      </c>
      <c r="I707" s="49">
        <f>INDEX(PeakCalc!$L$10:$L$303,MATCH(tblPivotData[[#This Row],[Time]],PeakCalc!$G$10:$G$303,0))</f>
        <v>1</v>
      </c>
    </row>
    <row r="708" spans="1:9" x14ac:dyDescent="0.25">
      <c r="A708" t="s">
        <v>95</v>
      </c>
      <c r="B708" t="s">
        <v>101</v>
      </c>
      <c r="C708" t="s">
        <v>96</v>
      </c>
      <c r="D708" t="s">
        <v>92</v>
      </c>
      <c r="E708" t="s">
        <v>110</v>
      </c>
      <c r="F708" s="6">
        <v>0.5625</v>
      </c>
      <c r="G708">
        <v>0</v>
      </c>
      <c r="H708" s="6">
        <f>FLOOR(tblPivotData[[#This Row],[Time]],Summary!$B$6/1440)</f>
        <v>0.5625</v>
      </c>
      <c r="I708" s="49">
        <f>INDEX(PeakCalc!$L$10:$L$303,MATCH(tblPivotData[[#This Row],[Time]],PeakCalc!$G$10:$G$303,0))</f>
        <v>0</v>
      </c>
    </row>
    <row r="709" spans="1:9" x14ac:dyDescent="0.25">
      <c r="A709" t="s">
        <v>95</v>
      </c>
      <c r="B709" t="s">
        <v>101</v>
      </c>
      <c r="C709" t="s">
        <v>96</v>
      </c>
      <c r="D709" t="s">
        <v>92</v>
      </c>
      <c r="E709" t="s">
        <v>110</v>
      </c>
      <c r="F709" s="6">
        <v>0.57291666666666663</v>
      </c>
      <c r="G709">
        <v>0</v>
      </c>
      <c r="H709" s="6">
        <f>FLOOR(tblPivotData[[#This Row],[Time]],Summary!$B$6/1440)</f>
        <v>0.57291666666666663</v>
      </c>
      <c r="I709" s="49">
        <f>INDEX(PeakCalc!$L$10:$L$303,MATCH(tblPivotData[[#This Row],[Time]],PeakCalc!$G$10:$G$303,0))</f>
        <v>0</v>
      </c>
    </row>
    <row r="710" spans="1:9" x14ac:dyDescent="0.25">
      <c r="A710" t="s">
        <v>95</v>
      </c>
      <c r="B710" t="s">
        <v>101</v>
      </c>
      <c r="C710" t="s">
        <v>96</v>
      </c>
      <c r="D710" t="s">
        <v>92</v>
      </c>
      <c r="E710" t="s">
        <v>44</v>
      </c>
      <c r="F710" s="6">
        <v>0.625</v>
      </c>
      <c r="G710">
        <v>0</v>
      </c>
      <c r="H710" s="6">
        <f>FLOOR(tblPivotData[[#This Row],[Time]],Summary!$B$6/1440)</f>
        <v>0.625</v>
      </c>
      <c r="I710" s="49">
        <f>INDEX(PeakCalc!$L$10:$L$303,MATCH(tblPivotData[[#This Row],[Time]],PeakCalc!$G$10:$G$303,0))</f>
        <v>0</v>
      </c>
    </row>
    <row r="711" spans="1:9" x14ac:dyDescent="0.25">
      <c r="A711" t="s">
        <v>95</v>
      </c>
      <c r="B711" t="s">
        <v>101</v>
      </c>
      <c r="C711" t="s">
        <v>96</v>
      </c>
      <c r="D711" t="s">
        <v>92</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95</v>
      </c>
      <c r="B712" t="s">
        <v>101</v>
      </c>
      <c r="C712" t="s">
        <v>96</v>
      </c>
      <c r="D712" t="s">
        <v>92</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95</v>
      </c>
      <c r="B713" t="s">
        <v>101</v>
      </c>
      <c r="C713" t="s">
        <v>96</v>
      </c>
      <c r="D713" t="s">
        <v>92</v>
      </c>
      <c r="E713" t="s">
        <v>44</v>
      </c>
      <c r="F713" s="6">
        <v>0.65625</v>
      </c>
      <c r="G713">
        <v>0</v>
      </c>
      <c r="H713" s="6">
        <f>FLOOR(tblPivotData[[#This Row],[Time]],Summary!$B$6/1440)</f>
        <v>0.65625</v>
      </c>
      <c r="I713" s="49">
        <f>INDEX(PeakCalc!$L$10:$L$303,MATCH(tblPivotData[[#This Row],[Time]],PeakCalc!$G$10:$G$303,0))</f>
        <v>0</v>
      </c>
    </row>
    <row r="714" spans="1:9" x14ac:dyDescent="0.25">
      <c r="A714" t="s">
        <v>95</v>
      </c>
      <c r="B714" t="s">
        <v>101</v>
      </c>
      <c r="C714" t="s">
        <v>96</v>
      </c>
      <c r="D714" t="s">
        <v>92</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101</v>
      </c>
      <c r="C715" t="s">
        <v>96</v>
      </c>
      <c r="D715" t="s">
        <v>92</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101</v>
      </c>
      <c r="C716" t="s">
        <v>96</v>
      </c>
      <c r="D716" t="s">
        <v>92</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101</v>
      </c>
      <c r="C717" t="s">
        <v>96</v>
      </c>
      <c r="D717" t="s">
        <v>92</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101</v>
      </c>
      <c r="C718" t="s">
        <v>96</v>
      </c>
      <c r="D718" t="s">
        <v>92</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101</v>
      </c>
      <c r="C719" t="s">
        <v>96</v>
      </c>
      <c r="D719" t="s">
        <v>92</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101</v>
      </c>
      <c r="C720" t="s">
        <v>96</v>
      </c>
      <c r="D720" t="s">
        <v>92</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101</v>
      </c>
      <c r="C721" t="s">
        <v>96</v>
      </c>
      <c r="D721" t="s">
        <v>92</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95</v>
      </c>
      <c r="B722" t="s">
        <v>101</v>
      </c>
      <c r="C722" t="s">
        <v>96</v>
      </c>
      <c r="D722" t="s">
        <v>92</v>
      </c>
      <c r="E722" t="s">
        <v>44</v>
      </c>
      <c r="F722" s="6">
        <v>0.75</v>
      </c>
      <c r="G722">
        <v>0</v>
      </c>
      <c r="H722" s="6">
        <f>FLOOR(tblPivotData[[#This Row],[Time]],Summary!$B$6/1440)</f>
        <v>0.75</v>
      </c>
      <c r="I722" s="49">
        <f>INDEX(PeakCalc!$L$10:$L$303,MATCH(tblPivotData[[#This Row],[Time]],PeakCalc!$G$10:$G$303,0))</f>
        <v>0</v>
      </c>
    </row>
    <row r="723" spans="1:9" x14ac:dyDescent="0.25">
      <c r="A723" t="s">
        <v>95</v>
      </c>
      <c r="B723" t="s">
        <v>101</v>
      </c>
      <c r="C723" t="s">
        <v>96</v>
      </c>
      <c r="D723" t="s">
        <v>92</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95</v>
      </c>
      <c r="B724" t="s">
        <v>101</v>
      </c>
      <c r="C724" t="s">
        <v>96</v>
      </c>
      <c r="D724" t="s">
        <v>93</v>
      </c>
      <c r="E724" t="s">
        <v>43</v>
      </c>
      <c r="F724" s="6">
        <v>0.27083333333333331</v>
      </c>
      <c r="G724">
        <v>0</v>
      </c>
      <c r="H724" s="6">
        <f>FLOOR(tblPivotData[[#This Row],[Time]],Summary!$B$6/1440)</f>
        <v>0.27083333333333331</v>
      </c>
      <c r="I724" s="49">
        <f>INDEX(PeakCalc!$L$10:$L$303,MATCH(tblPivotData[[#This Row],[Time]],PeakCalc!$G$10:$G$303,0))</f>
        <v>0</v>
      </c>
    </row>
    <row r="725" spans="1:9" x14ac:dyDescent="0.25">
      <c r="A725" t="s">
        <v>95</v>
      </c>
      <c r="B725" t="s">
        <v>101</v>
      </c>
      <c r="C725" t="s">
        <v>96</v>
      </c>
      <c r="D725" t="s">
        <v>93</v>
      </c>
      <c r="E725" t="s">
        <v>43</v>
      </c>
      <c r="F725" s="6">
        <v>0.28125</v>
      </c>
      <c r="G725">
        <v>0</v>
      </c>
      <c r="H725" s="6">
        <f>FLOOR(tblPivotData[[#This Row],[Time]],Summary!$B$6/1440)</f>
        <v>0.28125</v>
      </c>
      <c r="I725" s="49">
        <f>INDEX(PeakCalc!$L$10:$L$303,MATCH(tblPivotData[[#This Row],[Time]],PeakCalc!$G$10:$G$303,0))</f>
        <v>0</v>
      </c>
    </row>
    <row r="726" spans="1:9" x14ac:dyDescent="0.25">
      <c r="A726" t="s">
        <v>95</v>
      </c>
      <c r="B726" t="s">
        <v>101</v>
      </c>
      <c r="C726" t="s">
        <v>96</v>
      </c>
      <c r="D726" t="s">
        <v>93</v>
      </c>
      <c r="E726" t="s">
        <v>43</v>
      </c>
      <c r="F726" s="6">
        <v>0.29166666666666669</v>
      </c>
      <c r="G726">
        <v>0</v>
      </c>
      <c r="H726" s="6">
        <f>FLOOR(tblPivotData[[#This Row],[Time]],Summary!$B$6/1440)</f>
        <v>0.29166666666666663</v>
      </c>
      <c r="I726" s="49">
        <f>INDEX(PeakCalc!$L$10:$L$303,MATCH(tblPivotData[[#This Row],[Time]],PeakCalc!$G$10:$G$303,0))</f>
        <v>0</v>
      </c>
    </row>
    <row r="727" spans="1:9" x14ac:dyDescent="0.25">
      <c r="A727" t="s">
        <v>95</v>
      </c>
      <c r="B727" t="s">
        <v>101</v>
      </c>
      <c r="C727" t="s">
        <v>96</v>
      </c>
      <c r="D727" t="s">
        <v>93</v>
      </c>
      <c r="E727" t="s">
        <v>43</v>
      </c>
      <c r="F727" s="6">
        <v>0.30208333333333331</v>
      </c>
      <c r="G727">
        <v>0</v>
      </c>
      <c r="H727" s="6">
        <f>FLOOR(tblPivotData[[#This Row],[Time]],Summary!$B$6/1440)</f>
        <v>0.30208333333333331</v>
      </c>
      <c r="I727" s="49">
        <f>INDEX(PeakCalc!$L$10:$L$303,MATCH(tblPivotData[[#This Row],[Time]],PeakCalc!$G$10:$G$303,0))</f>
        <v>0</v>
      </c>
    </row>
    <row r="728" spans="1:9" x14ac:dyDescent="0.25">
      <c r="A728" t="s">
        <v>95</v>
      </c>
      <c r="B728" t="s">
        <v>101</v>
      </c>
      <c r="C728" t="s">
        <v>96</v>
      </c>
      <c r="D728" t="s">
        <v>93</v>
      </c>
      <c r="E728" t="s">
        <v>43</v>
      </c>
      <c r="F728" s="6">
        <v>0.3125</v>
      </c>
      <c r="G728">
        <v>0</v>
      </c>
      <c r="H728" s="6">
        <f>FLOOR(tblPivotData[[#This Row],[Time]],Summary!$B$6/1440)</f>
        <v>0.3125</v>
      </c>
      <c r="I728" s="49">
        <f>INDEX(PeakCalc!$L$10:$L$303,MATCH(tblPivotData[[#This Row],[Time]],PeakCalc!$G$10:$G$303,0))</f>
        <v>0</v>
      </c>
    </row>
    <row r="729" spans="1:9" x14ac:dyDescent="0.25">
      <c r="A729" t="s">
        <v>95</v>
      </c>
      <c r="B729" t="s">
        <v>101</v>
      </c>
      <c r="C729" t="s">
        <v>96</v>
      </c>
      <c r="D729" t="s">
        <v>93</v>
      </c>
      <c r="E729" t="s">
        <v>43</v>
      </c>
      <c r="F729" s="6">
        <v>0.32291666666666669</v>
      </c>
      <c r="G729">
        <v>0</v>
      </c>
      <c r="H729" s="6">
        <f>FLOOR(tblPivotData[[#This Row],[Time]],Summary!$B$6/1440)</f>
        <v>0.32291666666666663</v>
      </c>
      <c r="I729" s="49">
        <f>INDEX(PeakCalc!$L$10:$L$303,MATCH(tblPivotData[[#This Row],[Time]],PeakCalc!$G$10:$G$303,0))</f>
        <v>1</v>
      </c>
    </row>
    <row r="730" spans="1:9" x14ac:dyDescent="0.25">
      <c r="A730" t="s">
        <v>95</v>
      </c>
      <c r="B730" t="s">
        <v>101</v>
      </c>
      <c r="C730" t="s">
        <v>96</v>
      </c>
      <c r="D730" t="s">
        <v>93</v>
      </c>
      <c r="E730" t="s">
        <v>43</v>
      </c>
      <c r="F730" s="6">
        <v>0.33333333333333331</v>
      </c>
      <c r="G730">
        <v>0</v>
      </c>
      <c r="H730" s="6">
        <f>FLOOR(tblPivotData[[#This Row],[Time]],Summary!$B$6/1440)</f>
        <v>0.33333333333333331</v>
      </c>
      <c r="I730" s="49">
        <f>INDEX(PeakCalc!$L$10:$L$303,MATCH(tblPivotData[[#This Row],[Time]],PeakCalc!$G$10:$G$303,0))</f>
        <v>1</v>
      </c>
    </row>
    <row r="731" spans="1:9" x14ac:dyDescent="0.25">
      <c r="A731" t="s">
        <v>95</v>
      </c>
      <c r="B731" t="s">
        <v>101</v>
      </c>
      <c r="C731" t="s">
        <v>96</v>
      </c>
      <c r="D731" t="s">
        <v>93</v>
      </c>
      <c r="E731" t="s">
        <v>43</v>
      </c>
      <c r="F731" s="6">
        <v>0.34375</v>
      </c>
      <c r="G731">
        <v>0</v>
      </c>
      <c r="H731" s="6">
        <f>FLOOR(tblPivotData[[#This Row],[Time]],Summary!$B$6/1440)</f>
        <v>0.34375</v>
      </c>
      <c r="I731" s="49">
        <f>INDEX(PeakCalc!$L$10:$L$303,MATCH(tblPivotData[[#This Row],[Time]],PeakCalc!$G$10:$G$303,0))</f>
        <v>1</v>
      </c>
    </row>
    <row r="732" spans="1:9" x14ac:dyDescent="0.25">
      <c r="A732" t="s">
        <v>95</v>
      </c>
      <c r="B732" t="s">
        <v>101</v>
      </c>
      <c r="C732" t="s">
        <v>96</v>
      </c>
      <c r="D732" t="s">
        <v>93</v>
      </c>
      <c r="E732" t="s">
        <v>43</v>
      </c>
      <c r="F732" s="6">
        <v>0.35416666666666669</v>
      </c>
      <c r="G732">
        <v>0</v>
      </c>
      <c r="H732" s="6">
        <f>FLOOR(tblPivotData[[#This Row],[Time]],Summary!$B$6/1440)</f>
        <v>0.35416666666666663</v>
      </c>
      <c r="I732" s="49">
        <f>INDEX(PeakCalc!$L$10:$L$303,MATCH(tblPivotData[[#This Row],[Time]],PeakCalc!$G$10:$G$303,0))</f>
        <v>1</v>
      </c>
    </row>
    <row r="733" spans="1:9" x14ac:dyDescent="0.25">
      <c r="A733" t="s">
        <v>95</v>
      </c>
      <c r="B733" t="s">
        <v>101</v>
      </c>
      <c r="C733" t="s">
        <v>96</v>
      </c>
      <c r="D733" t="s">
        <v>93</v>
      </c>
      <c r="E733" t="s">
        <v>43</v>
      </c>
      <c r="F733" s="6">
        <v>0.36458333333333331</v>
      </c>
      <c r="G733">
        <v>0</v>
      </c>
      <c r="H733" s="6">
        <f>FLOOR(tblPivotData[[#This Row],[Time]],Summary!$B$6/1440)</f>
        <v>0.36458333333333331</v>
      </c>
      <c r="I733" s="49">
        <f>INDEX(PeakCalc!$L$10:$L$303,MATCH(tblPivotData[[#This Row],[Time]],PeakCalc!$G$10:$G$303,0))</f>
        <v>0</v>
      </c>
    </row>
    <row r="734" spans="1:9" x14ac:dyDescent="0.25">
      <c r="A734" t="s">
        <v>95</v>
      </c>
      <c r="B734" t="s">
        <v>101</v>
      </c>
      <c r="C734" t="s">
        <v>96</v>
      </c>
      <c r="D734" t="s">
        <v>93</v>
      </c>
      <c r="E734" t="s">
        <v>43</v>
      </c>
      <c r="F734" s="6">
        <v>0.375</v>
      </c>
      <c r="G734">
        <v>0</v>
      </c>
      <c r="H734" s="6">
        <f>FLOOR(tblPivotData[[#This Row],[Time]],Summary!$B$6/1440)</f>
        <v>0.375</v>
      </c>
      <c r="I734" s="49">
        <f>INDEX(PeakCalc!$L$10:$L$303,MATCH(tblPivotData[[#This Row],[Time]],PeakCalc!$G$10:$G$303,0))</f>
        <v>0</v>
      </c>
    </row>
    <row r="735" spans="1:9" x14ac:dyDescent="0.25">
      <c r="A735" t="s">
        <v>95</v>
      </c>
      <c r="B735" t="s">
        <v>101</v>
      </c>
      <c r="C735" t="s">
        <v>96</v>
      </c>
      <c r="D735" t="s">
        <v>93</v>
      </c>
      <c r="E735" t="s">
        <v>43</v>
      </c>
      <c r="F735" s="6">
        <v>0.38541666666666669</v>
      </c>
      <c r="G735">
        <v>0</v>
      </c>
      <c r="H735" s="6">
        <f>FLOOR(tblPivotData[[#This Row],[Time]],Summary!$B$6/1440)</f>
        <v>0.38541666666666663</v>
      </c>
      <c r="I735" s="49">
        <f>INDEX(PeakCalc!$L$10:$L$303,MATCH(tblPivotData[[#This Row],[Time]],PeakCalc!$G$10:$G$303,0))</f>
        <v>0</v>
      </c>
    </row>
    <row r="736" spans="1:9" x14ac:dyDescent="0.25">
      <c r="A736" t="s">
        <v>95</v>
      </c>
      <c r="B736" t="s">
        <v>101</v>
      </c>
      <c r="C736" t="s">
        <v>96</v>
      </c>
      <c r="D736" t="s">
        <v>93</v>
      </c>
      <c r="E736" t="s">
        <v>110</v>
      </c>
      <c r="F736" s="6">
        <v>0.45833333333333331</v>
      </c>
      <c r="G736">
        <v>1</v>
      </c>
      <c r="H736" s="6">
        <f>FLOOR(tblPivotData[[#This Row],[Time]],Summary!$B$6/1440)</f>
        <v>0.45833333333333331</v>
      </c>
      <c r="I736" s="49">
        <f>INDEX(PeakCalc!$L$10:$L$303,MATCH(tblPivotData[[#This Row],[Time]],PeakCalc!$G$10:$G$303,0))</f>
        <v>0</v>
      </c>
    </row>
    <row r="737" spans="1:9" x14ac:dyDescent="0.25">
      <c r="A737" t="s">
        <v>95</v>
      </c>
      <c r="B737" t="s">
        <v>101</v>
      </c>
      <c r="C737" t="s">
        <v>96</v>
      </c>
      <c r="D737" t="s">
        <v>93</v>
      </c>
      <c r="E737" t="s">
        <v>110</v>
      </c>
      <c r="F737" s="6">
        <v>0.46875</v>
      </c>
      <c r="G737">
        <v>0</v>
      </c>
      <c r="H737" s="6">
        <f>FLOOR(tblPivotData[[#This Row],[Time]],Summary!$B$6/1440)</f>
        <v>0.46875</v>
      </c>
      <c r="I737" s="49">
        <f>INDEX(PeakCalc!$L$10:$L$303,MATCH(tblPivotData[[#This Row],[Time]],PeakCalc!$G$10:$G$303,0))</f>
        <v>0</v>
      </c>
    </row>
    <row r="738" spans="1:9" x14ac:dyDescent="0.25">
      <c r="A738" t="s">
        <v>95</v>
      </c>
      <c r="B738" t="s">
        <v>101</v>
      </c>
      <c r="C738" t="s">
        <v>96</v>
      </c>
      <c r="D738" t="s">
        <v>93</v>
      </c>
      <c r="E738" t="s">
        <v>110</v>
      </c>
      <c r="F738" s="6">
        <v>0.47916666666666669</v>
      </c>
      <c r="G738">
        <v>0</v>
      </c>
      <c r="H738" s="6">
        <f>FLOOR(tblPivotData[[#This Row],[Time]],Summary!$B$6/1440)</f>
        <v>0.47916666666666663</v>
      </c>
      <c r="I738" s="49">
        <f>INDEX(PeakCalc!$L$10:$L$303,MATCH(tblPivotData[[#This Row],[Time]],PeakCalc!$G$10:$G$303,0))</f>
        <v>0</v>
      </c>
    </row>
    <row r="739" spans="1:9" x14ac:dyDescent="0.25">
      <c r="A739" t="s">
        <v>95</v>
      </c>
      <c r="B739" t="s">
        <v>101</v>
      </c>
      <c r="C739" t="s">
        <v>96</v>
      </c>
      <c r="D739" t="s">
        <v>93</v>
      </c>
      <c r="E739" t="s">
        <v>110</v>
      </c>
      <c r="F739" s="6">
        <v>0.48958333333333331</v>
      </c>
      <c r="G739">
        <v>0</v>
      </c>
      <c r="H739" s="6">
        <f>FLOOR(tblPivotData[[#This Row],[Time]],Summary!$B$6/1440)</f>
        <v>0.48958333333333331</v>
      </c>
      <c r="I739" s="49">
        <f>INDEX(PeakCalc!$L$10:$L$303,MATCH(tblPivotData[[#This Row],[Time]],PeakCalc!$G$10:$G$303,0))</f>
        <v>0</v>
      </c>
    </row>
    <row r="740" spans="1:9" x14ac:dyDescent="0.25">
      <c r="A740" t="s">
        <v>95</v>
      </c>
      <c r="B740" t="s">
        <v>101</v>
      </c>
      <c r="C740" t="s">
        <v>96</v>
      </c>
      <c r="D740" t="s">
        <v>93</v>
      </c>
      <c r="E740" t="s">
        <v>110</v>
      </c>
      <c r="F740" s="6">
        <v>0.5</v>
      </c>
      <c r="G740">
        <v>0</v>
      </c>
      <c r="H740" s="6">
        <f>FLOOR(tblPivotData[[#This Row],[Time]],Summary!$B$6/1440)</f>
        <v>0.5</v>
      </c>
      <c r="I740" s="49">
        <f>INDEX(PeakCalc!$L$10:$L$303,MATCH(tblPivotData[[#This Row],[Time]],PeakCalc!$G$10:$G$303,0))</f>
        <v>0</v>
      </c>
    </row>
    <row r="741" spans="1:9" x14ac:dyDescent="0.25">
      <c r="A741" t="s">
        <v>95</v>
      </c>
      <c r="B741" t="s">
        <v>101</v>
      </c>
      <c r="C741" t="s">
        <v>96</v>
      </c>
      <c r="D741" t="s">
        <v>93</v>
      </c>
      <c r="E741" t="s">
        <v>110</v>
      </c>
      <c r="F741" s="6">
        <v>0.51041666666666663</v>
      </c>
      <c r="G741">
        <v>0</v>
      </c>
      <c r="H741" s="6">
        <f>FLOOR(tblPivotData[[#This Row],[Time]],Summary!$B$6/1440)</f>
        <v>0.51041666666666663</v>
      </c>
      <c r="I741" s="49">
        <f>INDEX(PeakCalc!$L$10:$L$303,MATCH(tblPivotData[[#This Row],[Time]],PeakCalc!$G$10:$G$303,0))</f>
        <v>0</v>
      </c>
    </row>
    <row r="742" spans="1:9" x14ac:dyDescent="0.25">
      <c r="A742" t="s">
        <v>95</v>
      </c>
      <c r="B742" t="s">
        <v>101</v>
      </c>
      <c r="C742" t="s">
        <v>96</v>
      </c>
      <c r="D742" t="s">
        <v>93</v>
      </c>
      <c r="E742" t="s">
        <v>110</v>
      </c>
      <c r="F742" s="6">
        <v>0.52083333333333337</v>
      </c>
      <c r="G742">
        <v>0</v>
      </c>
      <c r="H742" s="6">
        <f>FLOOR(tblPivotData[[#This Row],[Time]],Summary!$B$6/1440)</f>
        <v>0.52083333333333326</v>
      </c>
      <c r="I742" s="49">
        <f>INDEX(PeakCalc!$L$10:$L$303,MATCH(tblPivotData[[#This Row],[Time]],PeakCalc!$G$10:$G$303,0))</f>
        <v>1</v>
      </c>
    </row>
    <row r="743" spans="1:9" x14ac:dyDescent="0.25">
      <c r="A743" t="s">
        <v>95</v>
      </c>
      <c r="B743" t="s">
        <v>101</v>
      </c>
      <c r="C743" t="s">
        <v>96</v>
      </c>
      <c r="D743" t="s">
        <v>93</v>
      </c>
      <c r="E743" t="s">
        <v>110</v>
      </c>
      <c r="F743" s="6">
        <v>0.53125</v>
      </c>
      <c r="G743">
        <v>0</v>
      </c>
      <c r="H743" s="6">
        <f>FLOOR(tblPivotData[[#This Row],[Time]],Summary!$B$6/1440)</f>
        <v>0.53125</v>
      </c>
      <c r="I743" s="49">
        <f>INDEX(PeakCalc!$L$10:$L$303,MATCH(tblPivotData[[#This Row],[Time]],PeakCalc!$G$10:$G$303,0))</f>
        <v>1</v>
      </c>
    </row>
    <row r="744" spans="1:9" x14ac:dyDescent="0.25">
      <c r="A744" t="s">
        <v>95</v>
      </c>
      <c r="B744" t="s">
        <v>101</v>
      </c>
      <c r="C744" t="s">
        <v>96</v>
      </c>
      <c r="D744" t="s">
        <v>93</v>
      </c>
      <c r="E744" t="s">
        <v>110</v>
      </c>
      <c r="F744" s="6">
        <v>0.54166666666666663</v>
      </c>
      <c r="G744">
        <v>0</v>
      </c>
      <c r="H744" s="6">
        <f>FLOOR(tblPivotData[[#This Row],[Time]],Summary!$B$6/1440)</f>
        <v>0.54166666666666663</v>
      </c>
      <c r="I744" s="49">
        <f>INDEX(PeakCalc!$L$10:$L$303,MATCH(tblPivotData[[#This Row],[Time]],PeakCalc!$G$10:$G$303,0))</f>
        <v>1</v>
      </c>
    </row>
    <row r="745" spans="1:9" x14ac:dyDescent="0.25">
      <c r="A745" t="s">
        <v>95</v>
      </c>
      <c r="B745" t="s">
        <v>101</v>
      </c>
      <c r="C745" t="s">
        <v>96</v>
      </c>
      <c r="D745" t="s">
        <v>93</v>
      </c>
      <c r="E745" t="s">
        <v>110</v>
      </c>
      <c r="F745" s="6">
        <v>0.55208333333333337</v>
      </c>
      <c r="G745">
        <v>0</v>
      </c>
      <c r="H745" s="6">
        <f>FLOOR(tblPivotData[[#This Row],[Time]],Summary!$B$6/1440)</f>
        <v>0.55208333333333326</v>
      </c>
      <c r="I745" s="49">
        <f>INDEX(PeakCalc!$L$10:$L$303,MATCH(tblPivotData[[#This Row],[Time]],PeakCalc!$G$10:$G$303,0))</f>
        <v>1</v>
      </c>
    </row>
    <row r="746" spans="1:9" x14ac:dyDescent="0.25">
      <c r="A746" t="s">
        <v>95</v>
      </c>
      <c r="B746" t="s">
        <v>101</v>
      </c>
      <c r="C746" t="s">
        <v>96</v>
      </c>
      <c r="D746" t="s">
        <v>93</v>
      </c>
      <c r="E746" t="s">
        <v>110</v>
      </c>
      <c r="F746" s="6">
        <v>0.5625</v>
      </c>
      <c r="G746">
        <v>0</v>
      </c>
      <c r="H746" s="6">
        <f>FLOOR(tblPivotData[[#This Row],[Time]],Summary!$B$6/1440)</f>
        <v>0.5625</v>
      </c>
      <c r="I746" s="49">
        <f>INDEX(PeakCalc!$L$10:$L$303,MATCH(tblPivotData[[#This Row],[Time]],PeakCalc!$G$10:$G$303,0))</f>
        <v>0</v>
      </c>
    </row>
    <row r="747" spans="1:9" x14ac:dyDescent="0.25">
      <c r="A747" t="s">
        <v>95</v>
      </c>
      <c r="B747" t="s">
        <v>101</v>
      </c>
      <c r="C747" t="s">
        <v>96</v>
      </c>
      <c r="D747" t="s">
        <v>93</v>
      </c>
      <c r="E747" t="s">
        <v>110</v>
      </c>
      <c r="F747" s="6">
        <v>0.57291666666666663</v>
      </c>
      <c r="G747">
        <v>0</v>
      </c>
      <c r="H747" s="6">
        <f>FLOOR(tblPivotData[[#This Row],[Time]],Summary!$B$6/1440)</f>
        <v>0.57291666666666663</v>
      </c>
      <c r="I747" s="49">
        <f>INDEX(PeakCalc!$L$10:$L$303,MATCH(tblPivotData[[#This Row],[Time]],PeakCalc!$G$10:$G$303,0))</f>
        <v>0</v>
      </c>
    </row>
    <row r="748" spans="1:9" x14ac:dyDescent="0.25">
      <c r="A748" t="s">
        <v>95</v>
      </c>
      <c r="B748" t="s">
        <v>101</v>
      </c>
      <c r="C748" t="s">
        <v>96</v>
      </c>
      <c r="D748" t="s">
        <v>93</v>
      </c>
      <c r="E748" t="s">
        <v>44</v>
      </c>
      <c r="F748" s="6">
        <v>0.625</v>
      </c>
      <c r="G748">
        <v>0</v>
      </c>
      <c r="H748" s="6">
        <f>FLOOR(tblPivotData[[#This Row],[Time]],Summary!$B$6/1440)</f>
        <v>0.625</v>
      </c>
      <c r="I748" s="49">
        <f>INDEX(PeakCalc!$L$10:$L$303,MATCH(tblPivotData[[#This Row],[Time]],PeakCalc!$G$10:$G$303,0))</f>
        <v>0</v>
      </c>
    </row>
    <row r="749" spans="1:9" x14ac:dyDescent="0.25">
      <c r="A749" t="s">
        <v>95</v>
      </c>
      <c r="B749" t="s">
        <v>101</v>
      </c>
      <c r="C749" t="s">
        <v>96</v>
      </c>
      <c r="D749" t="s">
        <v>93</v>
      </c>
      <c r="E749" t="s">
        <v>44</v>
      </c>
      <c r="F749" s="6">
        <v>0.63541666666666663</v>
      </c>
      <c r="G749">
        <v>0</v>
      </c>
      <c r="H749" s="6">
        <f>FLOOR(tblPivotData[[#This Row],[Time]],Summary!$B$6/1440)</f>
        <v>0.63541666666666663</v>
      </c>
      <c r="I749" s="49">
        <f>INDEX(PeakCalc!$L$10:$L$303,MATCH(tblPivotData[[#This Row],[Time]],PeakCalc!$G$10:$G$303,0))</f>
        <v>0</v>
      </c>
    </row>
    <row r="750" spans="1:9" x14ac:dyDescent="0.25">
      <c r="A750" t="s">
        <v>95</v>
      </c>
      <c r="B750" t="s">
        <v>101</v>
      </c>
      <c r="C750" t="s">
        <v>96</v>
      </c>
      <c r="D750" t="s">
        <v>93</v>
      </c>
      <c r="E750" t="s">
        <v>44</v>
      </c>
      <c r="F750" s="6">
        <v>0.64583333333333337</v>
      </c>
      <c r="G750">
        <v>0</v>
      </c>
      <c r="H750" s="6">
        <f>FLOOR(tblPivotData[[#This Row],[Time]],Summary!$B$6/1440)</f>
        <v>0.64583333333333326</v>
      </c>
      <c r="I750" s="49">
        <f>INDEX(PeakCalc!$L$10:$L$303,MATCH(tblPivotData[[#This Row],[Time]],PeakCalc!$G$10:$G$303,0))</f>
        <v>0</v>
      </c>
    </row>
    <row r="751" spans="1:9" x14ac:dyDescent="0.25">
      <c r="A751" t="s">
        <v>95</v>
      </c>
      <c r="B751" t="s">
        <v>101</v>
      </c>
      <c r="C751" t="s">
        <v>96</v>
      </c>
      <c r="D751" t="s">
        <v>93</v>
      </c>
      <c r="E751" t="s">
        <v>44</v>
      </c>
      <c r="F751" s="6">
        <v>0.65625</v>
      </c>
      <c r="G751">
        <v>0</v>
      </c>
      <c r="H751" s="6">
        <f>FLOOR(tblPivotData[[#This Row],[Time]],Summary!$B$6/1440)</f>
        <v>0.65625</v>
      </c>
      <c r="I751" s="49">
        <f>INDEX(PeakCalc!$L$10:$L$303,MATCH(tblPivotData[[#This Row],[Time]],PeakCalc!$G$10:$G$303,0))</f>
        <v>0</v>
      </c>
    </row>
    <row r="752" spans="1:9" x14ac:dyDescent="0.25">
      <c r="A752" t="s">
        <v>95</v>
      </c>
      <c r="B752" t="s">
        <v>101</v>
      </c>
      <c r="C752" t="s">
        <v>96</v>
      </c>
      <c r="D752" t="s">
        <v>93</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95</v>
      </c>
      <c r="B753" t="s">
        <v>101</v>
      </c>
      <c r="C753" t="s">
        <v>96</v>
      </c>
      <c r="D753" t="s">
        <v>93</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95</v>
      </c>
      <c r="B754" t="s">
        <v>101</v>
      </c>
      <c r="C754" t="s">
        <v>96</v>
      </c>
      <c r="D754" t="s">
        <v>93</v>
      </c>
      <c r="E754" t="s">
        <v>44</v>
      </c>
      <c r="F754" s="6">
        <v>0.6875</v>
      </c>
      <c r="G754">
        <v>0</v>
      </c>
      <c r="H754" s="6">
        <f>FLOOR(tblPivotData[[#This Row],[Time]],Summary!$B$6/1440)</f>
        <v>0.6875</v>
      </c>
      <c r="I754" s="49">
        <f>INDEX(PeakCalc!$L$10:$L$303,MATCH(tblPivotData[[#This Row],[Time]],PeakCalc!$G$10:$G$303,0))</f>
        <v>1</v>
      </c>
    </row>
    <row r="755" spans="1:9" x14ac:dyDescent="0.25">
      <c r="A755" t="s">
        <v>95</v>
      </c>
      <c r="B755" t="s">
        <v>101</v>
      </c>
      <c r="C755" t="s">
        <v>96</v>
      </c>
      <c r="D755" t="s">
        <v>93</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95</v>
      </c>
      <c r="B756" t="s">
        <v>101</v>
      </c>
      <c r="C756" t="s">
        <v>96</v>
      </c>
      <c r="D756" t="s">
        <v>93</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95</v>
      </c>
      <c r="B757" t="s">
        <v>101</v>
      </c>
      <c r="C757" t="s">
        <v>96</v>
      </c>
      <c r="D757" t="s">
        <v>93</v>
      </c>
      <c r="E757" t="s">
        <v>44</v>
      </c>
      <c r="F757" s="6">
        <v>0.71875</v>
      </c>
      <c r="G757">
        <v>0</v>
      </c>
      <c r="H757" s="6">
        <f>FLOOR(tblPivotData[[#This Row],[Time]],Summary!$B$6/1440)</f>
        <v>0.71875</v>
      </c>
      <c r="I757" s="49">
        <f>INDEX(PeakCalc!$L$10:$L$303,MATCH(tblPivotData[[#This Row],[Time]],PeakCalc!$G$10:$G$303,0))</f>
        <v>1</v>
      </c>
    </row>
    <row r="758" spans="1:9" x14ac:dyDescent="0.25">
      <c r="A758" t="s">
        <v>95</v>
      </c>
      <c r="B758" t="s">
        <v>101</v>
      </c>
      <c r="C758" t="s">
        <v>96</v>
      </c>
      <c r="D758" t="s">
        <v>93</v>
      </c>
      <c r="E758" t="s">
        <v>44</v>
      </c>
      <c r="F758" s="6">
        <v>0.72916666666666663</v>
      </c>
      <c r="G758">
        <v>0</v>
      </c>
      <c r="H758" s="6">
        <f>FLOOR(tblPivotData[[#This Row],[Time]],Summary!$B$6/1440)</f>
        <v>0.72916666666666663</v>
      </c>
      <c r="I758" s="49">
        <f>INDEX(PeakCalc!$L$10:$L$303,MATCH(tblPivotData[[#This Row],[Time]],PeakCalc!$G$10:$G$303,0))</f>
        <v>0</v>
      </c>
    </row>
    <row r="759" spans="1:9" x14ac:dyDescent="0.25">
      <c r="A759" t="s">
        <v>95</v>
      </c>
      <c r="B759" t="s">
        <v>101</v>
      </c>
      <c r="C759" t="s">
        <v>96</v>
      </c>
      <c r="D759" t="s">
        <v>93</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95</v>
      </c>
      <c r="B760" t="s">
        <v>101</v>
      </c>
      <c r="C760" t="s">
        <v>96</v>
      </c>
      <c r="D760" t="s">
        <v>93</v>
      </c>
      <c r="E760" t="s">
        <v>44</v>
      </c>
      <c r="F760" s="6">
        <v>0.75</v>
      </c>
      <c r="G760">
        <v>0</v>
      </c>
      <c r="H760" s="6">
        <f>FLOOR(tblPivotData[[#This Row],[Time]],Summary!$B$6/1440)</f>
        <v>0.75</v>
      </c>
      <c r="I760" s="49">
        <f>INDEX(PeakCalc!$L$10:$L$303,MATCH(tblPivotData[[#This Row],[Time]],PeakCalc!$G$10:$G$303,0))</f>
        <v>0</v>
      </c>
    </row>
    <row r="761" spans="1:9" x14ac:dyDescent="0.25">
      <c r="A761" t="s">
        <v>95</v>
      </c>
      <c r="B761" t="s">
        <v>101</v>
      </c>
      <c r="C761" t="s">
        <v>96</v>
      </c>
      <c r="D761" t="s">
        <v>93</v>
      </c>
      <c r="E761" t="s">
        <v>44</v>
      </c>
      <c r="F761" s="6">
        <v>0.76041666666666663</v>
      </c>
      <c r="G761">
        <v>0</v>
      </c>
      <c r="H761" s="6">
        <f>FLOOR(tblPivotData[[#This Row],[Time]],Summary!$B$6/1440)</f>
        <v>0.76041666666666663</v>
      </c>
      <c r="I761" s="49">
        <f>INDEX(PeakCalc!$L$10:$L$303,MATCH(tblPivotData[[#This Row],[Time]],PeakCalc!$G$10:$G$303,0))</f>
        <v>0</v>
      </c>
    </row>
    <row r="762" spans="1:9" x14ac:dyDescent="0.25">
      <c r="A762" t="s">
        <v>95</v>
      </c>
      <c r="B762" t="s">
        <v>102</v>
      </c>
      <c r="C762" t="s">
        <v>97</v>
      </c>
      <c r="D762" t="s">
        <v>89</v>
      </c>
      <c r="E762" t="s">
        <v>43</v>
      </c>
      <c r="F762" s="6">
        <v>0.27083333333333331</v>
      </c>
      <c r="G762">
        <v>20</v>
      </c>
      <c r="H762" s="6">
        <f>FLOOR(tblPivotData[[#This Row],[Time]],Summary!$B$6/1440)</f>
        <v>0.27083333333333331</v>
      </c>
      <c r="I762" s="49">
        <f>INDEX(PeakCalc!$L$10:$L$303,MATCH(tblPivotData[[#This Row],[Time]],PeakCalc!$G$10:$G$303,0))</f>
        <v>0</v>
      </c>
    </row>
    <row r="763" spans="1:9" x14ac:dyDescent="0.25">
      <c r="A763" t="s">
        <v>95</v>
      </c>
      <c r="B763" t="s">
        <v>102</v>
      </c>
      <c r="C763" t="s">
        <v>97</v>
      </c>
      <c r="D763" t="s">
        <v>89</v>
      </c>
      <c r="E763" t="s">
        <v>43</v>
      </c>
      <c r="F763" s="6">
        <v>0.28125</v>
      </c>
      <c r="G763">
        <v>16</v>
      </c>
      <c r="H763" s="6">
        <f>FLOOR(tblPivotData[[#This Row],[Time]],Summary!$B$6/1440)</f>
        <v>0.28125</v>
      </c>
      <c r="I763" s="49">
        <f>INDEX(PeakCalc!$L$10:$L$303,MATCH(tblPivotData[[#This Row],[Time]],PeakCalc!$G$10:$G$303,0))</f>
        <v>0</v>
      </c>
    </row>
    <row r="764" spans="1:9" x14ac:dyDescent="0.25">
      <c r="A764" t="s">
        <v>95</v>
      </c>
      <c r="B764" t="s">
        <v>102</v>
      </c>
      <c r="C764" t="s">
        <v>97</v>
      </c>
      <c r="D764" t="s">
        <v>89</v>
      </c>
      <c r="E764" t="s">
        <v>43</v>
      </c>
      <c r="F764" s="6">
        <v>0.29166666666666669</v>
      </c>
      <c r="G764">
        <v>19</v>
      </c>
      <c r="H764" s="6">
        <f>FLOOR(tblPivotData[[#This Row],[Time]],Summary!$B$6/1440)</f>
        <v>0.29166666666666663</v>
      </c>
      <c r="I764" s="49">
        <f>INDEX(PeakCalc!$L$10:$L$303,MATCH(tblPivotData[[#This Row],[Time]],PeakCalc!$G$10:$G$303,0))</f>
        <v>0</v>
      </c>
    </row>
    <row r="765" spans="1:9" x14ac:dyDescent="0.25">
      <c r="A765" t="s">
        <v>95</v>
      </c>
      <c r="B765" t="s">
        <v>102</v>
      </c>
      <c r="C765" t="s">
        <v>97</v>
      </c>
      <c r="D765" t="s">
        <v>89</v>
      </c>
      <c r="E765" t="s">
        <v>43</v>
      </c>
      <c r="F765" s="6">
        <v>0.30208333333333331</v>
      </c>
      <c r="G765">
        <v>24</v>
      </c>
      <c r="H765" s="6">
        <f>FLOOR(tblPivotData[[#This Row],[Time]],Summary!$B$6/1440)</f>
        <v>0.30208333333333331</v>
      </c>
      <c r="I765" s="49">
        <f>INDEX(PeakCalc!$L$10:$L$303,MATCH(tblPivotData[[#This Row],[Time]],PeakCalc!$G$10:$G$303,0))</f>
        <v>0</v>
      </c>
    </row>
    <row r="766" spans="1:9" x14ac:dyDescent="0.25">
      <c r="A766" t="s">
        <v>95</v>
      </c>
      <c r="B766" t="s">
        <v>102</v>
      </c>
      <c r="C766" t="s">
        <v>97</v>
      </c>
      <c r="D766" t="s">
        <v>89</v>
      </c>
      <c r="E766" t="s">
        <v>43</v>
      </c>
      <c r="F766" s="6">
        <v>0.3125</v>
      </c>
      <c r="G766">
        <v>28</v>
      </c>
      <c r="H766" s="6">
        <f>FLOOR(tblPivotData[[#This Row],[Time]],Summary!$B$6/1440)</f>
        <v>0.3125</v>
      </c>
      <c r="I766" s="49">
        <f>INDEX(PeakCalc!$L$10:$L$303,MATCH(tblPivotData[[#This Row],[Time]],PeakCalc!$G$10:$G$303,0))</f>
        <v>0</v>
      </c>
    </row>
    <row r="767" spans="1:9" x14ac:dyDescent="0.25">
      <c r="A767" t="s">
        <v>95</v>
      </c>
      <c r="B767" t="s">
        <v>102</v>
      </c>
      <c r="C767" t="s">
        <v>97</v>
      </c>
      <c r="D767" t="s">
        <v>89</v>
      </c>
      <c r="E767" t="s">
        <v>43</v>
      </c>
      <c r="F767" s="6">
        <v>0.32291666666666669</v>
      </c>
      <c r="G767">
        <v>45</v>
      </c>
      <c r="H767" s="6">
        <f>FLOOR(tblPivotData[[#This Row],[Time]],Summary!$B$6/1440)</f>
        <v>0.32291666666666663</v>
      </c>
      <c r="I767" s="49">
        <f>INDEX(PeakCalc!$L$10:$L$303,MATCH(tblPivotData[[#This Row],[Time]],PeakCalc!$G$10:$G$303,0))</f>
        <v>1</v>
      </c>
    </row>
    <row r="768" spans="1:9" x14ac:dyDescent="0.25">
      <c r="A768" t="s">
        <v>95</v>
      </c>
      <c r="B768" t="s">
        <v>102</v>
      </c>
      <c r="C768" t="s">
        <v>97</v>
      </c>
      <c r="D768" t="s">
        <v>89</v>
      </c>
      <c r="E768" t="s">
        <v>43</v>
      </c>
      <c r="F768" s="6">
        <v>0.33333333333333331</v>
      </c>
      <c r="G768">
        <v>28</v>
      </c>
      <c r="H768" s="6">
        <f>FLOOR(tblPivotData[[#This Row],[Time]],Summary!$B$6/1440)</f>
        <v>0.33333333333333331</v>
      </c>
      <c r="I768" s="49">
        <f>INDEX(PeakCalc!$L$10:$L$303,MATCH(tblPivotData[[#This Row],[Time]],PeakCalc!$G$10:$G$303,0))</f>
        <v>1</v>
      </c>
    </row>
    <row r="769" spans="1:9" x14ac:dyDescent="0.25">
      <c r="A769" t="s">
        <v>95</v>
      </c>
      <c r="B769" t="s">
        <v>102</v>
      </c>
      <c r="C769" t="s">
        <v>97</v>
      </c>
      <c r="D769" t="s">
        <v>89</v>
      </c>
      <c r="E769" t="s">
        <v>43</v>
      </c>
      <c r="F769" s="6">
        <v>0.34375</v>
      </c>
      <c r="G769">
        <v>44</v>
      </c>
      <c r="H769" s="6">
        <f>FLOOR(tblPivotData[[#This Row],[Time]],Summary!$B$6/1440)</f>
        <v>0.34375</v>
      </c>
      <c r="I769" s="49">
        <f>INDEX(PeakCalc!$L$10:$L$303,MATCH(tblPivotData[[#This Row],[Time]],PeakCalc!$G$10:$G$303,0))</f>
        <v>1</v>
      </c>
    </row>
    <row r="770" spans="1:9" x14ac:dyDescent="0.25">
      <c r="A770" t="s">
        <v>95</v>
      </c>
      <c r="B770" t="s">
        <v>102</v>
      </c>
      <c r="C770" t="s">
        <v>97</v>
      </c>
      <c r="D770" t="s">
        <v>89</v>
      </c>
      <c r="E770" t="s">
        <v>43</v>
      </c>
      <c r="F770" s="6">
        <v>0.35416666666666669</v>
      </c>
      <c r="G770">
        <v>39</v>
      </c>
      <c r="H770" s="6">
        <f>FLOOR(tblPivotData[[#This Row],[Time]],Summary!$B$6/1440)</f>
        <v>0.35416666666666663</v>
      </c>
      <c r="I770" s="49">
        <f>INDEX(PeakCalc!$L$10:$L$303,MATCH(tblPivotData[[#This Row],[Time]],PeakCalc!$G$10:$G$303,0))</f>
        <v>1</v>
      </c>
    </row>
    <row r="771" spans="1:9" x14ac:dyDescent="0.25">
      <c r="A771" t="s">
        <v>95</v>
      </c>
      <c r="B771" t="s">
        <v>102</v>
      </c>
      <c r="C771" t="s">
        <v>97</v>
      </c>
      <c r="D771" t="s">
        <v>89</v>
      </c>
      <c r="E771" t="s">
        <v>43</v>
      </c>
      <c r="F771" s="6">
        <v>0.36458333333333331</v>
      </c>
      <c r="G771">
        <v>38</v>
      </c>
      <c r="H771" s="6">
        <f>FLOOR(tblPivotData[[#This Row],[Time]],Summary!$B$6/1440)</f>
        <v>0.36458333333333331</v>
      </c>
      <c r="I771" s="49">
        <f>INDEX(PeakCalc!$L$10:$L$303,MATCH(tblPivotData[[#This Row],[Time]],PeakCalc!$G$10:$G$303,0))</f>
        <v>0</v>
      </c>
    </row>
    <row r="772" spans="1:9" x14ac:dyDescent="0.25">
      <c r="A772" t="s">
        <v>95</v>
      </c>
      <c r="B772" t="s">
        <v>102</v>
      </c>
      <c r="C772" t="s">
        <v>97</v>
      </c>
      <c r="D772" t="s">
        <v>89</v>
      </c>
      <c r="E772" t="s">
        <v>43</v>
      </c>
      <c r="F772" s="6">
        <v>0.375</v>
      </c>
      <c r="G772">
        <v>32</v>
      </c>
      <c r="H772" s="6">
        <f>FLOOR(tblPivotData[[#This Row],[Time]],Summary!$B$6/1440)</f>
        <v>0.375</v>
      </c>
      <c r="I772" s="49">
        <f>INDEX(PeakCalc!$L$10:$L$303,MATCH(tblPivotData[[#This Row],[Time]],PeakCalc!$G$10:$G$303,0))</f>
        <v>0</v>
      </c>
    </row>
    <row r="773" spans="1:9" x14ac:dyDescent="0.25">
      <c r="A773" t="s">
        <v>95</v>
      </c>
      <c r="B773" t="s">
        <v>102</v>
      </c>
      <c r="C773" t="s">
        <v>97</v>
      </c>
      <c r="D773" t="s">
        <v>89</v>
      </c>
      <c r="E773" t="s">
        <v>43</v>
      </c>
      <c r="F773" s="6">
        <v>0.38541666666666669</v>
      </c>
      <c r="G773">
        <v>29</v>
      </c>
      <c r="H773" s="6">
        <f>FLOOR(tblPivotData[[#This Row],[Time]],Summary!$B$6/1440)</f>
        <v>0.38541666666666663</v>
      </c>
      <c r="I773" s="49">
        <f>INDEX(PeakCalc!$L$10:$L$303,MATCH(tblPivotData[[#This Row],[Time]],PeakCalc!$G$10:$G$303,0))</f>
        <v>0</v>
      </c>
    </row>
    <row r="774" spans="1:9" x14ac:dyDescent="0.25">
      <c r="A774" t="s">
        <v>95</v>
      </c>
      <c r="B774" t="s">
        <v>102</v>
      </c>
      <c r="C774" t="s">
        <v>97</v>
      </c>
      <c r="D774" t="s">
        <v>89</v>
      </c>
      <c r="E774" t="s">
        <v>110</v>
      </c>
      <c r="F774" s="6">
        <v>0.45833333333333331</v>
      </c>
      <c r="G774">
        <v>42</v>
      </c>
      <c r="H774" s="6">
        <f>FLOOR(tblPivotData[[#This Row],[Time]],Summary!$B$6/1440)</f>
        <v>0.45833333333333331</v>
      </c>
      <c r="I774" s="49">
        <f>INDEX(PeakCalc!$L$10:$L$303,MATCH(tblPivotData[[#This Row],[Time]],PeakCalc!$G$10:$G$303,0))</f>
        <v>0</v>
      </c>
    </row>
    <row r="775" spans="1:9" x14ac:dyDescent="0.25">
      <c r="A775" t="s">
        <v>95</v>
      </c>
      <c r="B775" t="s">
        <v>102</v>
      </c>
      <c r="C775" t="s">
        <v>97</v>
      </c>
      <c r="D775" t="s">
        <v>89</v>
      </c>
      <c r="E775" t="s">
        <v>110</v>
      </c>
      <c r="F775" s="6">
        <v>0.46875</v>
      </c>
      <c r="G775">
        <v>33</v>
      </c>
      <c r="H775" s="6">
        <f>FLOOR(tblPivotData[[#This Row],[Time]],Summary!$B$6/1440)</f>
        <v>0.46875</v>
      </c>
      <c r="I775" s="49">
        <f>INDEX(PeakCalc!$L$10:$L$303,MATCH(tblPivotData[[#This Row],[Time]],PeakCalc!$G$10:$G$303,0))</f>
        <v>0</v>
      </c>
    </row>
    <row r="776" spans="1:9" x14ac:dyDescent="0.25">
      <c r="A776" t="s">
        <v>95</v>
      </c>
      <c r="B776" t="s">
        <v>102</v>
      </c>
      <c r="C776" t="s">
        <v>97</v>
      </c>
      <c r="D776" t="s">
        <v>89</v>
      </c>
      <c r="E776" t="s">
        <v>110</v>
      </c>
      <c r="F776" s="6">
        <v>0.47916666666666669</v>
      </c>
      <c r="G776">
        <v>38</v>
      </c>
      <c r="H776" s="6">
        <f>FLOOR(tblPivotData[[#This Row],[Time]],Summary!$B$6/1440)</f>
        <v>0.47916666666666663</v>
      </c>
      <c r="I776" s="49">
        <f>INDEX(PeakCalc!$L$10:$L$303,MATCH(tblPivotData[[#This Row],[Time]],PeakCalc!$G$10:$G$303,0))</f>
        <v>0</v>
      </c>
    </row>
    <row r="777" spans="1:9" x14ac:dyDescent="0.25">
      <c r="A777" t="s">
        <v>95</v>
      </c>
      <c r="B777" t="s">
        <v>102</v>
      </c>
      <c r="C777" t="s">
        <v>97</v>
      </c>
      <c r="D777" t="s">
        <v>89</v>
      </c>
      <c r="E777" t="s">
        <v>110</v>
      </c>
      <c r="F777" s="6">
        <v>0.48958333333333331</v>
      </c>
      <c r="G777">
        <v>40</v>
      </c>
      <c r="H777" s="6">
        <f>FLOOR(tblPivotData[[#This Row],[Time]],Summary!$B$6/1440)</f>
        <v>0.48958333333333331</v>
      </c>
      <c r="I777" s="49">
        <f>INDEX(PeakCalc!$L$10:$L$303,MATCH(tblPivotData[[#This Row],[Time]],PeakCalc!$G$10:$G$303,0))</f>
        <v>0</v>
      </c>
    </row>
    <row r="778" spans="1:9" x14ac:dyDescent="0.25">
      <c r="A778" t="s">
        <v>95</v>
      </c>
      <c r="B778" t="s">
        <v>102</v>
      </c>
      <c r="C778" t="s">
        <v>97</v>
      </c>
      <c r="D778" t="s">
        <v>89</v>
      </c>
      <c r="E778" t="s">
        <v>110</v>
      </c>
      <c r="F778" s="6">
        <v>0.5</v>
      </c>
      <c r="G778">
        <v>42</v>
      </c>
      <c r="H778" s="6">
        <f>FLOOR(tblPivotData[[#This Row],[Time]],Summary!$B$6/1440)</f>
        <v>0.5</v>
      </c>
      <c r="I778" s="49">
        <f>INDEX(PeakCalc!$L$10:$L$303,MATCH(tblPivotData[[#This Row],[Time]],PeakCalc!$G$10:$G$303,0))</f>
        <v>0</v>
      </c>
    </row>
    <row r="779" spans="1:9" x14ac:dyDescent="0.25">
      <c r="A779" t="s">
        <v>95</v>
      </c>
      <c r="B779" t="s">
        <v>102</v>
      </c>
      <c r="C779" t="s">
        <v>97</v>
      </c>
      <c r="D779" t="s">
        <v>89</v>
      </c>
      <c r="E779" t="s">
        <v>110</v>
      </c>
      <c r="F779" s="6">
        <v>0.51041666666666663</v>
      </c>
      <c r="G779">
        <v>52</v>
      </c>
      <c r="H779" s="6">
        <f>FLOOR(tblPivotData[[#This Row],[Time]],Summary!$B$6/1440)</f>
        <v>0.51041666666666663</v>
      </c>
      <c r="I779" s="49">
        <f>INDEX(PeakCalc!$L$10:$L$303,MATCH(tblPivotData[[#This Row],[Time]],PeakCalc!$G$10:$G$303,0))</f>
        <v>0</v>
      </c>
    </row>
    <row r="780" spans="1:9" x14ac:dyDescent="0.25">
      <c r="A780" t="s">
        <v>95</v>
      </c>
      <c r="B780" t="s">
        <v>102</v>
      </c>
      <c r="C780" t="s">
        <v>97</v>
      </c>
      <c r="D780" t="s">
        <v>89</v>
      </c>
      <c r="E780" t="s">
        <v>110</v>
      </c>
      <c r="F780" s="6">
        <v>0.52083333333333337</v>
      </c>
      <c r="G780">
        <v>58</v>
      </c>
      <c r="H780" s="6">
        <f>FLOOR(tblPivotData[[#This Row],[Time]],Summary!$B$6/1440)</f>
        <v>0.52083333333333326</v>
      </c>
      <c r="I780" s="49">
        <f>INDEX(PeakCalc!$L$10:$L$303,MATCH(tblPivotData[[#This Row],[Time]],PeakCalc!$G$10:$G$303,0))</f>
        <v>1</v>
      </c>
    </row>
    <row r="781" spans="1:9" x14ac:dyDescent="0.25">
      <c r="A781" t="s">
        <v>95</v>
      </c>
      <c r="B781" t="s">
        <v>102</v>
      </c>
      <c r="C781" t="s">
        <v>97</v>
      </c>
      <c r="D781" t="s">
        <v>89</v>
      </c>
      <c r="E781" t="s">
        <v>110</v>
      </c>
      <c r="F781" s="6">
        <v>0.53125</v>
      </c>
      <c r="G781">
        <v>44</v>
      </c>
      <c r="H781" s="6">
        <f>FLOOR(tblPivotData[[#This Row],[Time]],Summary!$B$6/1440)</f>
        <v>0.53125</v>
      </c>
      <c r="I781" s="49">
        <f>INDEX(PeakCalc!$L$10:$L$303,MATCH(tblPivotData[[#This Row],[Time]],PeakCalc!$G$10:$G$303,0))</f>
        <v>1</v>
      </c>
    </row>
    <row r="782" spans="1:9" x14ac:dyDescent="0.25">
      <c r="A782" t="s">
        <v>95</v>
      </c>
      <c r="B782" t="s">
        <v>102</v>
      </c>
      <c r="C782" t="s">
        <v>97</v>
      </c>
      <c r="D782" t="s">
        <v>89</v>
      </c>
      <c r="E782" t="s">
        <v>110</v>
      </c>
      <c r="F782" s="6">
        <v>0.54166666666666663</v>
      </c>
      <c r="G782">
        <v>40</v>
      </c>
      <c r="H782" s="6">
        <f>FLOOR(tblPivotData[[#This Row],[Time]],Summary!$B$6/1440)</f>
        <v>0.54166666666666663</v>
      </c>
      <c r="I782" s="49">
        <f>INDEX(PeakCalc!$L$10:$L$303,MATCH(tblPivotData[[#This Row],[Time]],PeakCalc!$G$10:$G$303,0))</f>
        <v>1</v>
      </c>
    </row>
    <row r="783" spans="1:9" x14ac:dyDescent="0.25">
      <c r="A783" t="s">
        <v>95</v>
      </c>
      <c r="B783" t="s">
        <v>102</v>
      </c>
      <c r="C783" t="s">
        <v>97</v>
      </c>
      <c r="D783" t="s">
        <v>89</v>
      </c>
      <c r="E783" t="s">
        <v>110</v>
      </c>
      <c r="F783" s="6">
        <v>0.55208333333333337</v>
      </c>
      <c r="G783">
        <v>54</v>
      </c>
      <c r="H783" s="6">
        <f>FLOOR(tblPivotData[[#This Row],[Time]],Summary!$B$6/1440)</f>
        <v>0.55208333333333326</v>
      </c>
      <c r="I783" s="49">
        <f>INDEX(PeakCalc!$L$10:$L$303,MATCH(tblPivotData[[#This Row],[Time]],PeakCalc!$G$10:$G$303,0))</f>
        <v>1</v>
      </c>
    </row>
    <row r="784" spans="1:9" x14ac:dyDescent="0.25">
      <c r="A784" t="s">
        <v>95</v>
      </c>
      <c r="B784" t="s">
        <v>102</v>
      </c>
      <c r="C784" t="s">
        <v>97</v>
      </c>
      <c r="D784" t="s">
        <v>89</v>
      </c>
      <c r="E784" t="s">
        <v>110</v>
      </c>
      <c r="F784" s="6">
        <v>0.5625</v>
      </c>
      <c r="G784">
        <v>43</v>
      </c>
      <c r="H784" s="6">
        <f>FLOOR(tblPivotData[[#This Row],[Time]],Summary!$B$6/1440)</f>
        <v>0.5625</v>
      </c>
      <c r="I784" s="49">
        <f>INDEX(PeakCalc!$L$10:$L$303,MATCH(tblPivotData[[#This Row],[Time]],PeakCalc!$G$10:$G$303,0))</f>
        <v>0</v>
      </c>
    </row>
    <row r="785" spans="1:9" x14ac:dyDescent="0.25">
      <c r="A785" t="s">
        <v>95</v>
      </c>
      <c r="B785" t="s">
        <v>102</v>
      </c>
      <c r="C785" t="s">
        <v>97</v>
      </c>
      <c r="D785" t="s">
        <v>89</v>
      </c>
      <c r="E785" t="s">
        <v>110</v>
      </c>
      <c r="F785" s="6">
        <v>0.57291666666666663</v>
      </c>
      <c r="G785">
        <v>39</v>
      </c>
      <c r="H785" s="6">
        <f>FLOOR(tblPivotData[[#This Row],[Time]],Summary!$B$6/1440)</f>
        <v>0.57291666666666663</v>
      </c>
      <c r="I785" s="49">
        <f>INDEX(PeakCalc!$L$10:$L$303,MATCH(tblPivotData[[#This Row],[Time]],PeakCalc!$G$10:$G$303,0))</f>
        <v>0</v>
      </c>
    </row>
    <row r="786" spans="1:9" x14ac:dyDescent="0.25">
      <c r="A786" t="s">
        <v>95</v>
      </c>
      <c r="B786" t="s">
        <v>102</v>
      </c>
      <c r="C786" t="s">
        <v>97</v>
      </c>
      <c r="D786" t="s">
        <v>89</v>
      </c>
      <c r="E786" t="s">
        <v>44</v>
      </c>
      <c r="F786" s="6">
        <v>0.625</v>
      </c>
      <c r="G786">
        <v>57</v>
      </c>
      <c r="H786" s="6">
        <f>FLOOR(tblPivotData[[#This Row],[Time]],Summary!$B$6/1440)</f>
        <v>0.625</v>
      </c>
      <c r="I786" s="49">
        <f>INDEX(PeakCalc!$L$10:$L$303,MATCH(tblPivotData[[#This Row],[Time]],PeakCalc!$G$10:$G$303,0))</f>
        <v>0</v>
      </c>
    </row>
    <row r="787" spans="1:9" x14ac:dyDescent="0.25">
      <c r="A787" t="s">
        <v>95</v>
      </c>
      <c r="B787" t="s">
        <v>102</v>
      </c>
      <c r="C787" t="s">
        <v>97</v>
      </c>
      <c r="D787" t="s">
        <v>89</v>
      </c>
      <c r="E787" t="s">
        <v>44</v>
      </c>
      <c r="F787" s="6">
        <v>0.63541666666666663</v>
      </c>
      <c r="G787">
        <v>64</v>
      </c>
      <c r="H787" s="6">
        <f>FLOOR(tblPivotData[[#This Row],[Time]],Summary!$B$6/1440)</f>
        <v>0.63541666666666663</v>
      </c>
      <c r="I787" s="49">
        <f>INDEX(PeakCalc!$L$10:$L$303,MATCH(tblPivotData[[#This Row],[Time]],PeakCalc!$G$10:$G$303,0))</f>
        <v>0</v>
      </c>
    </row>
    <row r="788" spans="1:9" x14ac:dyDescent="0.25">
      <c r="A788" t="s">
        <v>95</v>
      </c>
      <c r="B788" t="s">
        <v>102</v>
      </c>
      <c r="C788" t="s">
        <v>97</v>
      </c>
      <c r="D788" t="s">
        <v>89</v>
      </c>
      <c r="E788" t="s">
        <v>44</v>
      </c>
      <c r="F788" s="6">
        <v>0.64583333333333337</v>
      </c>
      <c r="G788">
        <v>53</v>
      </c>
      <c r="H788" s="6">
        <f>FLOOR(tblPivotData[[#This Row],[Time]],Summary!$B$6/1440)</f>
        <v>0.64583333333333326</v>
      </c>
      <c r="I788" s="49">
        <f>INDEX(PeakCalc!$L$10:$L$303,MATCH(tblPivotData[[#This Row],[Time]],PeakCalc!$G$10:$G$303,0))</f>
        <v>0</v>
      </c>
    </row>
    <row r="789" spans="1:9" x14ac:dyDescent="0.25">
      <c r="A789" t="s">
        <v>95</v>
      </c>
      <c r="B789" t="s">
        <v>102</v>
      </c>
      <c r="C789" t="s">
        <v>97</v>
      </c>
      <c r="D789" t="s">
        <v>89</v>
      </c>
      <c r="E789" t="s">
        <v>44</v>
      </c>
      <c r="F789" s="6">
        <v>0.65625</v>
      </c>
      <c r="G789">
        <v>51</v>
      </c>
      <c r="H789" s="6">
        <f>FLOOR(tblPivotData[[#This Row],[Time]],Summary!$B$6/1440)</f>
        <v>0.65625</v>
      </c>
      <c r="I789" s="49">
        <f>INDEX(PeakCalc!$L$10:$L$303,MATCH(tblPivotData[[#This Row],[Time]],PeakCalc!$G$10:$G$303,0))</f>
        <v>0</v>
      </c>
    </row>
    <row r="790" spans="1:9" x14ac:dyDescent="0.25">
      <c r="A790" t="s">
        <v>95</v>
      </c>
      <c r="B790" t="s">
        <v>102</v>
      </c>
      <c r="C790" t="s">
        <v>97</v>
      </c>
      <c r="D790" t="s">
        <v>89</v>
      </c>
      <c r="E790" t="s">
        <v>44</v>
      </c>
      <c r="F790" s="6">
        <v>0.66666666666666663</v>
      </c>
      <c r="G790">
        <v>50</v>
      </c>
      <c r="H790" s="6">
        <f>FLOOR(tblPivotData[[#This Row],[Time]],Summary!$B$6/1440)</f>
        <v>0.66666666666666663</v>
      </c>
      <c r="I790" s="49">
        <f>INDEX(PeakCalc!$L$10:$L$303,MATCH(tblPivotData[[#This Row],[Time]],PeakCalc!$G$10:$G$303,0))</f>
        <v>0</v>
      </c>
    </row>
    <row r="791" spans="1:9" x14ac:dyDescent="0.25">
      <c r="A791" t="s">
        <v>95</v>
      </c>
      <c r="B791" t="s">
        <v>102</v>
      </c>
      <c r="C791" t="s">
        <v>97</v>
      </c>
      <c r="D791" t="s">
        <v>89</v>
      </c>
      <c r="E791" t="s">
        <v>44</v>
      </c>
      <c r="F791" s="6">
        <v>0.67708333333333337</v>
      </c>
      <c r="G791">
        <v>61</v>
      </c>
      <c r="H791" s="6">
        <f>FLOOR(tblPivotData[[#This Row],[Time]],Summary!$B$6/1440)</f>
        <v>0.67708333333333326</v>
      </c>
      <c r="I791" s="49">
        <f>INDEX(PeakCalc!$L$10:$L$303,MATCH(tblPivotData[[#This Row],[Time]],PeakCalc!$G$10:$G$303,0))</f>
        <v>0</v>
      </c>
    </row>
    <row r="792" spans="1:9" x14ac:dyDescent="0.25">
      <c r="A792" t="s">
        <v>95</v>
      </c>
      <c r="B792" t="s">
        <v>102</v>
      </c>
      <c r="C792" t="s">
        <v>97</v>
      </c>
      <c r="D792" t="s">
        <v>89</v>
      </c>
      <c r="E792" t="s">
        <v>44</v>
      </c>
      <c r="F792" s="6">
        <v>0.6875</v>
      </c>
      <c r="G792">
        <v>83</v>
      </c>
      <c r="H792" s="6">
        <f>FLOOR(tblPivotData[[#This Row],[Time]],Summary!$B$6/1440)</f>
        <v>0.6875</v>
      </c>
      <c r="I792" s="49">
        <f>INDEX(PeakCalc!$L$10:$L$303,MATCH(tblPivotData[[#This Row],[Time]],PeakCalc!$G$10:$G$303,0))</f>
        <v>1</v>
      </c>
    </row>
    <row r="793" spans="1:9" x14ac:dyDescent="0.25">
      <c r="A793" t="s">
        <v>95</v>
      </c>
      <c r="B793" t="s">
        <v>102</v>
      </c>
      <c r="C793" t="s">
        <v>97</v>
      </c>
      <c r="D793" t="s">
        <v>89</v>
      </c>
      <c r="E793" t="s">
        <v>44</v>
      </c>
      <c r="F793" s="6">
        <v>0.69791666666666663</v>
      </c>
      <c r="G793">
        <v>72</v>
      </c>
      <c r="H793" s="6">
        <f>FLOOR(tblPivotData[[#This Row],[Time]],Summary!$B$6/1440)</f>
        <v>0.69791666666666663</v>
      </c>
      <c r="I793" s="49">
        <f>INDEX(PeakCalc!$L$10:$L$303,MATCH(tblPivotData[[#This Row],[Time]],PeakCalc!$G$10:$G$303,0))</f>
        <v>1</v>
      </c>
    </row>
    <row r="794" spans="1:9" x14ac:dyDescent="0.25">
      <c r="A794" t="s">
        <v>95</v>
      </c>
      <c r="B794" t="s">
        <v>102</v>
      </c>
      <c r="C794" t="s">
        <v>97</v>
      </c>
      <c r="D794" t="s">
        <v>89</v>
      </c>
      <c r="E794" t="s">
        <v>44</v>
      </c>
      <c r="F794" s="6">
        <v>0.70833333333333337</v>
      </c>
      <c r="G794">
        <v>74</v>
      </c>
      <c r="H794" s="6">
        <f>FLOOR(tblPivotData[[#This Row],[Time]],Summary!$B$6/1440)</f>
        <v>0.70833333333333326</v>
      </c>
      <c r="I794" s="49">
        <f>INDEX(PeakCalc!$L$10:$L$303,MATCH(tblPivotData[[#This Row],[Time]],PeakCalc!$G$10:$G$303,0))</f>
        <v>1</v>
      </c>
    </row>
    <row r="795" spans="1:9" x14ac:dyDescent="0.25">
      <c r="A795" t="s">
        <v>95</v>
      </c>
      <c r="B795" t="s">
        <v>102</v>
      </c>
      <c r="C795" t="s">
        <v>97</v>
      </c>
      <c r="D795" t="s">
        <v>89</v>
      </c>
      <c r="E795" t="s">
        <v>44</v>
      </c>
      <c r="F795" s="6">
        <v>0.71875</v>
      </c>
      <c r="G795">
        <v>90</v>
      </c>
      <c r="H795" s="6">
        <f>FLOOR(tblPivotData[[#This Row],[Time]],Summary!$B$6/1440)</f>
        <v>0.71875</v>
      </c>
      <c r="I795" s="49">
        <f>INDEX(PeakCalc!$L$10:$L$303,MATCH(tblPivotData[[#This Row],[Time]],PeakCalc!$G$10:$G$303,0))</f>
        <v>1</v>
      </c>
    </row>
    <row r="796" spans="1:9" x14ac:dyDescent="0.25">
      <c r="A796" t="s">
        <v>95</v>
      </c>
      <c r="B796" t="s">
        <v>102</v>
      </c>
      <c r="C796" t="s">
        <v>97</v>
      </c>
      <c r="D796" t="s">
        <v>89</v>
      </c>
      <c r="E796" t="s">
        <v>44</v>
      </c>
      <c r="F796" s="6">
        <v>0.72916666666666663</v>
      </c>
      <c r="G796">
        <v>66</v>
      </c>
      <c r="H796" s="6">
        <f>FLOOR(tblPivotData[[#This Row],[Time]],Summary!$B$6/1440)</f>
        <v>0.72916666666666663</v>
      </c>
      <c r="I796" s="49">
        <f>INDEX(PeakCalc!$L$10:$L$303,MATCH(tblPivotData[[#This Row],[Time]],PeakCalc!$G$10:$G$303,0))</f>
        <v>0</v>
      </c>
    </row>
    <row r="797" spans="1:9" x14ac:dyDescent="0.25">
      <c r="A797" t="s">
        <v>95</v>
      </c>
      <c r="B797" t="s">
        <v>102</v>
      </c>
      <c r="C797" t="s">
        <v>97</v>
      </c>
      <c r="D797" t="s">
        <v>89</v>
      </c>
      <c r="E797" t="s">
        <v>44</v>
      </c>
      <c r="F797" s="6">
        <v>0.73958333333333337</v>
      </c>
      <c r="G797">
        <v>39</v>
      </c>
      <c r="H797" s="6">
        <f>FLOOR(tblPivotData[[#This Row],[Time]],Summary!$B$6/1440)</f>
        <v>0.73958333333333326</v>
      </c>
      <c r="I797" s="49">
        <f>INDEX(PeakCalc!$L$10:$L$303,MATCH(tblPivotData[[#This Row],[Time]],PeakCalc!$G$10:$G$303,0))</f>
        <v>0</v>
      </c>
    </row>
    <row r="798" spans="1:9" x14ac:dyDescent="0.25">
      <c r="A798" t="s">
        <v>95</v>
      </c>
      <c r="B798" t="s">
        <v>102</v>
      </c>
      <c r="C798" t="s">
        <v>97</v>
      </c>
      <c r="D798" t="s">
        <v>89</v>
      </c>
      <c r="E798" t="s">
        <v>44</v>
      </c>
      <c r="F798" s="6">
        <v>0.75</v>
      </c>
      <c r="G798">
        <v>32</v>
      </c>
      <c r="H798" s="6">
        <f>FLOOR(tblPivotData[[#This Row],[Time]],Summary!$B$6/1440)</f>
        <v>0.75</v>
      </c>
      <c r="I798" s="49">
        <f>INDEX(PeakCalc!$L$10:$L$303,MATCH(tblPivotData[[#This Row],[Time]],PeakCalc!$G$10:$G$303,0))</f>
        <v>0</v>
      </c>
    </row>
    <row r="799" spans="1:9" x14ac:dyDescent="0.25">
      <c r="A799" t="s">
        <v>95</v>
      </c>
      <c r="B799" t="s">
        <v>102</v>
      </c>
      <c r="C799" t="s">
        <v>97</v>
      </c>
      <c r="D799" t="s">
        <v>89</v>
      </c>
      <c r="E799" t="s">
        <v>44</v>
      </c>
      <c r="F799" s="6">
        <v>0.76041666666666663</v>
      </c>
      <c r="G799">
        <v>41</v>
      </c>
      <c r="H799" s="6">
        <f>FLOOR(tblPivotData[[#This Row],[Time]],Summary!$B$6/1440)</f>
        <v>0.76041666666666663</v>
      </c>
      <c r="I799" s="49">
        <f>INDEX(PeakCalc!$L$10:$L$303,MATCH(tblPivotData[[#This Row],[Time]],PeakCalc!$G$10:$G$303,0))</f>
        <v>0</v>
      </c>
    </row>
    <row r="800" spans="1:9" x14ac:dyDescent="0.25">
      <c r="A800" t="s">
        <v>95</v>
      </c>
      <c r="B800" t="s">
        <v>102</v>
      </c>
      <c r="C800" t="s">
        <v>97</v>
      </c>
      <c r="D800" t="s">
        <v>90</v>
      </c>
      <c r="E800" t="s">
        <v>43</v>
      </c>
      <c r="F800" s="6">
        <v>0.27083333333333331</v>
      </c>
      <c r="G800">
        <v>2</v>
      </c>
      <c r="H800" s="6">
        <f>FLOOR(tblPivotData[[#This Row],[Time]],Summary!$B$6/1440)</f>
        <v>0.27083333333333331</v>
      </c>
      <c r="I800" s="49">
        <f>INDEX(PeakCalc!$L$10:$L$303,MATCH(tblPivotData[[#This Row],[Time]],PeakCalc!$G$10:$G$303,0))</f>
        <v>0</v>
      </c>
    </row>
    <row r="801" spans="1:9" x14ac:dyDescent="0.25">
      <c r="A801" t="s">
        <v>95</v>
      </c>
      <c r="B801" t="s">
        <v>102</v>
      </c>
      <c r="C801" t="s">
        <v>97</v>
      </c>
      <c r="D801" t="s">
        <v>90</v>
      </c>
      <c r="E801" t="s">
        <v>43</v>
      </c>
      <c r="F801" s="6">
        <v>0.28125</v>
      </c>
      <c r="G801">
        <v>3</v>
      </c>
      <c r="H801" s="6">
        <f>FLOOR(tblPivotData[[#This Row],[Time]],Summary!$B$6/1440)</f>
        <v>0.28125</v>
      </c>
      <c r="I801" s="49">
        <f>INDEX(PeakCalc!$L$10:$L$303,MATCH(tblPivotData[[#This Row],[Time]],PeakCalc!$G$10:$G$303,0))</f>
        <v>0</v>
      </c>
    </row>
    <row r="802" spans="1:9" x14ac:dyDescent="0.25">
      <c r="A802" t="s">
        <v>95</v>
      </c>
      <c r="B802" t="s">
        <v>102</v>
      </c>
      <c r="C802" t="s">
        <v>97</v>
      </c>
      <c r="D802" t="s">
        <v>90</v>
      </c>
      <c r="E802" t="s">
        <v>43</v>
      </c>
      <c r="F802" s="6">
        <v>0.29166666666666669</v>
      </c>
      <c r="G802">
        <v>3</v>
      </c>
      <c r="H802" s="6">
        <f>FLOOR(tblPivotData[[#This Row],[Time]],Summary!$B$6/1440)</f>
        <v>0.29166666666666663</v>
      </c>
      <c r="I802" s="49">
        <f>INDEX(PeakCalc!$L$10:$L$303,MATCH(tblPivotData[[#This Row],[Time]],PeakCalc!$G$10:$G$303,0))</f>
        <v>0</v>
      </c>
    </row>
    <row r="803" spans="1:9" x14ac:dyDescent="0.25">
      <c r="A803" t="s">
        <v>95</v>
      </c>
      <c r="B803" t="s">
        <v>102</v>
      </c>
      <c r="C803" t="s">
        <v>97</v>
      </c>
      <c r="D803" t="s">
        <v>90</v>
      </c>
      <c r="E803" t="s">
        <v>43</v>
      </c>
      <c r="F803" s="6">
        <v>0.30208333333333331</v>
      </c>
      <c r="G803">
        <v>3</v>
      </c>
      <c r="H803" s="6">
        <f>FLOOR(tblPivotData[[#This Row],[Time]],Summary!$B$6/1440)</f>
        <v>0.30208333333333331</v>
      </c>
      <c r="I803" s="49">
        <f>INDEX(PeakCalc!$L$10:$L$303,MATCH(tblPivotData[[#This Row],[Time]],PeakCalc!$G$10:$G$303,0))</f>
        <v>0</v>
      </c>
    </row>
    <row r="804" spans="1:9" x14ac:dyDescent="0.25">
      <c r="A804" t="s">
        <v>95</v>
      </c>
      <c r="B804" t="s">
        <v>102</v>
      </c>
      <c r="C804" t="s">
        <v>97</v>
      </c>
      <c r="D804" t="s">
        <v>90</v>
      </c>
      <c r="E804" t="s">
        <v>43</v>
      </c>
      <c r="F804" s="6">
        <v>0.3125</v>
      </c>
      <c r="G804">
        <v>4</v>
      </c>
      <c r="H804" s="6">
        <f>FLOOR(tblPivotData[[#This Row],[Time]],Summary!$B$6/1440)</f>
        <v>0.3125</v>
      </c>
      <c r="I804" s="49">
        <f>INDEX(PeakCalc!$L$10:$L$303,MATCH(tblPivotData[[#This Row],[Time]],PeakCalc!$G$10:$G$303,0))</f>
        <v>0</v>
      </c>
    </row>
    <row r="805" spans="1:9" x14ac:dyDescent="0.25">
      <c r="A805" t="s">
        <v>95</v>
      </c>
      <c r="B805" t="s">
        <v>102</v>
      </c>
      <c r="C805" t="s">
        <v>97</v>
      </c>
      <c r="D805" t="s">
        <v>90</v>
      </c>
      <c r="E805" t="s">
        <v>43</v>
      </c>
      <c r="F805" s="6">
        <v>0.32291666666666669</v>
      </c>
      <c r="G805">
        <v>4</v>
      </c>
      <c r="H805" s="6">
        <f>FLOOR(tblPivotData[[#This Row],[Time]],Summary!$B$6/1440)</f>
        <v>0.32291666666666663</v>
      </c>
      <c r="I805" s="49">
        <f>INDEX(PeakCalc!$L$10:$L$303,MATCH(tblPivotData[[#This Row],[Time]],PeakCalc!$G$10:$G$303,0))</f>
        <v>1</v>
      </c>
    </row>
    <row r="806" spans="1:9" x14ac:dyDescent="0.25">
      <c r="A806" t="s">
        <v>95</v>
      </c>
      <c r="B806" t="s">
        <v>102</v>
      </c>
      <c r="C806" t="s">
        <v>97</v>
      </c>
      <c r="D806" t="s">
        <v>90</v>
      </c>
      <c r="E806" t="s">
        <v>43</v>
      </c>
      <c r="F806" s="6">
        <v>0.33333333333333331</v>
      </c>
      <c r="G806">
        <v>3</v>
      </c>
      <c r="H806" s="6">
        <f>FLOOR(tblPivotData[[#This Row],[Time]],Summary!$B$6/1440)</f>
        <v>0.33333333333333331</v>
      </c>
      <c r="I806" s="49">
        <f>INDEX(PeakCalc!$L$10:$L$303,MATCH(tblPivotData[[#This Row],[Time]],PeakCalc!$G$10:$G$303,0))</f>
        <v>1</v>
      </c>
    </row>
    <row r="807" spans="1:9" x14ac:dyDescent="0.25">
      <c r="A807" t="s">
        <v>95</v>
      </c>
      <c r="B807" t="s">
        <v>102</v>
      </c>
      <c r="C807" t="s">
        <v>97</v>
      </c>
      <c r="D807" t="s">
        <v>90</v>
      </c>
      <c r="E807" t="s">
        <v>43</v>
      </c>
      <c r="F807" s="6">
        <v>0.34375</v>
      </c>
      <c r="G807">
        <v>5</v>
      </c>
      <c r="H807" s="6">
        <f>FLOOR(tblPivotData[[#This Row],[Time]],Summary!$B$6/1440)</f>
        <v>0.34375</v>
      </c>
      <c r="I807" s="49">
        <f>INDEX(PeakCalc!$L$10:$L$303,MATCH(tblPivotData[[#This Row],[Time]],PeakCalc!$G$10:$G$303,0))</f>
        <v>1</v>
      </c>
    </row>
    <row r="808" spans="1:9" x14ac:dyDescent="0.25">
      <c r="A808" t="s">
        <v>95</v>
      </c>
      <c r="B808" t="s">
        <v>102</v>
      </c>
      <c r="C808" t="s">
        <v>97</v>
      </c>
      <c r="D808" t="s">
        <v>90</v>
      </c>
      <c r="E808" t="s">
        <v>43</v>
      </c>
      <c r="F808" s="6">
        <v>0.35416666666666669</v>
      </c>
      <c r="G808">
        <v>4</v>
      </c>
      <c r="H808" s="6">
        <f>FLOOR(tblPivotData[[#This Row],[Time]],Summary!$B$6/1440)</f>
        <v>0.35416666666666663</v>
      </c>
      <c r="I808" s="49">
        <f>INDEX(PeakCalc!$L$10:$L$303,MATCH(tblPivotData[[#This Row],[Time]],PeakCalc!$G$10:$G$303,0))</f>
        <v>1</v>
      </c>
    </row>
    <row r="809" spans="1:9" x14ac:dyDescent="0.25">
      <c r="A809" t="s">
        <v>95</v>
      </c>
      <c r="B809" t="s">
        <v>102</v>
      </c>
      <c r="C809" t="s">
        <v>97</v>
      </c>
      <c r="D809" t="s">
        <v>90</v>
      </c>
      <c r="E809" t="s">
        <v>43</v>
      </c>
      <c r="F809" s="6">
        <v>0.36458333333333331</v>
      </c>
      <c r="G809">
        <v>2</v>
      </c>
      <c r="H809" s="6">
        <f>FLOOR(tblPivotData[[#This Row],[Time]],Summary!$B$6/1440)</f>
        <v>0.36458333333333331</v>
      </c>
      <c r="I809" s="49">
        <f>INDEX(PeakCalc!$L$10:$L$303,MATCH(tblPivotData[[#This Row],[Time]],PeakCalc!$G$10:$G$303,0))</f>
        <v>0</v>
      </c>
    </row>
    <row r="810" spans="1:9" x14ac:dyDescent="0.25">
      <c r="A810" t="s">
        <v>95</v>
      </c>
      <c r="B810" t="s">
        <v>102</v>
      </c>
      <c r="C810" t="s">
        <v>97</v>
      </c>
      <c r="D810" t="s">
        <v>90</v>
      </c>
      <c r="E810" t="s">
        <v>43</v>
      </c>
      <c r="F810" s="6">
        <v>0.375</v>
      </c>
      <c r="G810">
        <v>5</v>
      </c>
      <c r="H810" s="6">
        <f>FLOOR(tblPivotData[[#This Row],[Time]],Summary!$B$6/1440)</f>
        <v>0.375</v>
      </c>
      <c r="I810" s="49">
        <f>INDEX(PeakCalc!$L$10:$L$303,MATCH(tblPivotData[[#This Row],[Time]],PeakCalc!$G$10:$G$303,0))</f>
        <v>0</v>
      </c>
    </row>
    <row r="811" spans="1:9" x14ac:dyDescent="0.25">
      <c r="A811" t="s">
        <v>95</v>
      </c>
      <c r="B811" t="s">
        <v>102</v>
      </c>
      <c r="C811" t="s">
        <v>97</v>
      </c>
      <c r="D811" t="s">
        <v>90</v>
      </c>
      <c r="E811" t="s">
        <v>43</v>
      </c>
      <c r="F811" s="6">
        <v>0.38541666666666669</v>
      </c>
      <c r="G811">
        <v>1</v>
      </c>
      <c r="H811" s="6">
        <f>FLOOR(tblPivotData[[#This Row],[Time]],Summary!$B$6/1440)</f>
        <v>0.38541666666666663</v>
      </c>
      <c r="I811" s="49">
        <f>INDEX(PeakCalc!$L$10:$L$303,MATCH(tblPivotData[[#This Row],[Time]],PeakCalc!$G$10:$G$303,0))</f>
        <v>0</v>
      </c>
    </row>
    <row r="812" spans="1:9" x14ac:dyDescent="0.25">
      <c r="A812" t="s">
        <v>95</v>
      </c>
      <c r="B812" t="s">
        <v>102</v>
      </c>
      <c r="C812" t="s">
        <v>97</v>
      </c>
      <c r="D812" t="s">
        <v>90</v>
      </c>
      <c r="E812" t="s">
        <v>110</v>
      </c>
      <c r="F812" s="6">
        <v>0.45833333333333331</v>
      </c>
      <c r="G812">
        <v>3</v>
      </c>
      <c r="H812" s="6">
        <f>FLOOR(tblPivotData[[#This Row],[Time]],Summary!$B$6/1440)</f>
        <v>0.45833333333333331</v>
      </c>
      <c r="I812" s="49">
        <f>INDEX(PeakCalc!$L$10:$L$303,MATCH(tblPivotData[[#This Row],[Time]],PeakCalc!$G$10:$G$303,0))</f>
        <v>0</v>
      </c>
    </row>
    <row r="813" spans="1:9" x14ac:dyDescent="0.25">
      <c r="A813" t="s">
        <v>95</v>
      </c>
      <c r="B813" t="s">
        <v>102</v>
      </c>
      <c r="C813" t="s">
        <v>97</v>
      </c>
      <c r="D813" t="s">
        <v>90</v>
      </c>
      <c r="E813" t="s">
        <v>110</v>
      </c>
      <c r="F813" s="6">
        <v>0.46875</v>
      </c>
      <c r="G813">
        <v>2</v>
      </c>
      <c r="H813" s="6">
        <f>FLOOR(tblPivotData[[#This Row],[Time]],Summary!$B$6/1440)</f>
        <v>0.46875</v>
      </c>
      <c r="I813" s="49">
        <f>INDEX(PeakCalc!$L$10:$L$303,MATCH(tblPivotData[[#This Row],[Time]],PeakCalc!$G$10:$G$303,0))</f>
        <v>0</v>
      </c>
    </row>
    <row r="814" spans="1:9" x14ac:dyDescent="0.25">
      <c r="A814" t="s">
        <v>95</v>
      </c>
      <c r="B814" t="s">
        <v>102</v>
      </c>
      <c r="C814" t="s">
        <v>97</v>
      </c>
      <c r="D814" t="s">
        <v>90</v>
      </c>
      <c r="E814" t="s">
        <v>110</v>
      </c>
      <c r="F814" s="6">
        <v>0.47916666666666669</v>
      </c>
      <c r="G814">
        <v>3</v>
      </c>
      <c r="H814" s="6">
        <f>FLOOR(tblPivotData[[#This Row],[Time]],Summary!$B$6/1440)</f>
        <v>0.47916666666666663</v>
      </c>
      <c r="I814" s="49">
        <f>INDEX(PeakCalc!$L$10:$L$303,MATCH(tblPivotData[[#This Row],[Time]],PeakCalc!$G$10:$G$303,0))</f>
        <v>0</v>
      </c>
    </row>
    <row r="815" spans="1:9" x14ac:dyDescent="0.25">
      <c r="A815" t="s">
        <v>95</v>
      </c>
      <c r="B815" t="s">
        <v>102</v>
      </c>
      <c r="C815" t="s">
        <v>97</v>
      </c>
      <c r="D815" t="s">
        <v>90</v>
      </c>
      <c r="E815" t="s">
        <v>110</v>
      </c>
      <c r="F815" s="6">
        <v>0.48958333333333331</v>
      </c>
      <c r="G815">
        <v>4</v>
      </c>
      <c r="H815" s="6">
        <f>FLOOR(tblPivotData[[#This Row],[Time]],Summary!$B$6/1440)</f>
        <v>0.48958333333333331</v>
      </c>
      <c r="I815" s="49">
        <f>INDEX(PeakCalc!$L$10:$L$303,MATCH(tblPivotData[[#This Row],[Time]],PeakCalc!$G$10:$G$303,0))</f>
        <v>0</v>
      </c>
    </row>
    <row r="816" spans="1:9" x14ac:dyDescent="0.25">
      <c r="A816" t="s">
        <v>95</v>
      </c>
      <c r="B816" t="s">
        <v>102</v>
      </c>
      <c r="C816" t="s">
        <v>97</v>
      </c>
      <c r="D816" t="s">
        <v>90</v>
      </c>
      <c r="E816" t="s">
        <v>110</v>
      </c>
      <c r="F816" s="6">
        <v>0.5</v>
      </c>
      <c r="G816">
        <v>4</v>
      </c>
      <c r="H816" s="6">
        <f>FLOOR(tblPivotData[[#This Row],[Time]],Summary!$B$6/1440)</f>
        <v>0.5</v>
      </c>
      <c r="I816" s="49">
        <f>INDEX(PeakCalc!$L$10:$L$303,MATCH(tblPivotData[[#This Row],[Time]],PeakCalc!$G$10:$G$303,0))</f>
        <v>0</v>
      </c>
    </row>
    <row r="817" spans="1:9" x14ac:dyDescent="0.25">
      <c r="A817" t="s">
        <v>95</v>
      </c>
      <c r="B817" t="s">
        <v>102</v>
      </c>
      <c r="C817" t="s">
        <v>97</v>
      </c>
      <c r="D817" t="s">
        <v>90</v>
      </c>
      <c r="E817" t="s">
        <v>110</v>
      </c>
      <c r="F817" s="6">
        <v>0.51041666666666663</v>
      </c>
      <c r="G817">
        <v>1</v>
      </c>
      <c r="H817" s="6">
        <f>FLOOR(tblPivotData[[#This Row],[Time]],Summary!$B$6/1440)</f>
        <v>0.51041666666666663</v>
      </c>
      <c r="I817" s="49">
        <f>INDEX(PeakCalc!$L$10:$L$303,MATCH(tblPivotData[[#This Row],[Time]],PeakCalc!$G$10:$G$303,0))</f>
        <v>0</v>
      </c>
    </row>
    <row r="818" spans="1:9" x14ac:dyDescent="0.25">
      <c r="A818" t="s">
        <v>95</v>
      </c>
      <c r="B818" t="s">
        <v>102</v>
      </c>
      <c r="C818" t="s">
        <v>97</v>
      </c>
      <c r="D818" t="s">
        <v>90</v>
      </c>
      <c r="E818" t="s">
        <v>110</v>
      </c>
      <c r="F818" s="6">
        <v>0.52083333333333337</v>
      </c>
      <c r="G818">
        <v>3</v>
      </c>
      <c r="H818" s="6">
        <f>FLOOR(tblPivotData[[#This Row],[Time]],Summary!$B$6/1440)</f>
        <v>0.52083333333333326</v>
      </c>
      <c r="I818" s="49">
        <f>INDEX(PeakCalc!$L$10:$L$303,MATCH(tblPivotData[[#This Row],[Time]],PeakCalc!$G$10:$G$303,0))</f>
        <v>1</v>
      </c>
    </row>
    <row r="819" spans="1:9" x14ac:dyDescent="0.25">
      <c r="A819" t="s">
        <v>95</v>
      </c>
      <c r="B819" t="s">
        <v>102</v>
      </c>
      <c r="C819" t="s">
        <v>97</v>
      </c>
      <c r="D819" t="s">
        <v>90</v>
      </c>
      <c r="E819" t="s">
        <v>110</v>
      </c>
      <c r="F819" s="6">
        <v>0.53125</v>
      </c>
      <c r="G819">
        <v>4</v>
      </c>
      <c r="H819" s="6">
        <f>FLOOR(tblPivotData[[#This Row],[Time]],Summary!$B$6/1440)</f>
        <v>0.53125</v>
      </c>
      <c r="I819" s="49">
        <f>INDEX(PeakCalc!$L$10:$L$303,MATCH(tblPivotData[[#This Row],[Time]],PeakCalc!$G$10:$G$303,0))</f>
        <v>1</v>
      </c>
    </row>
    <row r="820" spans="1:9" x14ac:dyDescent="0.25">
      <c r="A820" t="s">
        <v>95</v>
      </c>
      <c r="B820" t="s">
        <v>102</v>
      </c>
      <c r="C820" t="s">
        <v>97</v>
      </c>
      <c r="D820" t="s">
        <v>90</v>
      </c>
      <c r="E820" t="s">
        <v>110</v>
      </c>
      <c r="F820" s="6">
        <v>0.54166666666666663</v>
      </c>
      <c r="G820">
        <v>3</v>
      </c>
      <c r="H820" s="6">
        <f>FLOOR(tblPivotData[[#This Row],[Time]],Summary!$B$6/1440)</f>
        <v>0.54166666666666663</v>
      </c>
      <c r="I820" s="49">
        <f>INDEX(PeakCalc!$L$10:$L$303,MATCH(tblPivotData[[#This Row],[Time]],PeakCalc!$G$10:$G$303,0))</f>
        <v>1</v>
      </c>
    </row>
    <row r="821" spans="1:9" x14ac:dyDescent="0.25">
      <c r="A821" t="s">
        <v>95</v>
      </c>
      <c r="B821" t="s">
        <v>102</v>
      </c>
      <c r="C821" t="s">
        <v>97</v>
      </c>
      <c r="D821" t="s">
        <v>90</v>
      </c>
      <c r="E821" t="s">
        <v>110</v>
      </c>
      <c r="F821" s="6">
        <v>0.55208333333333337</v>
      </c>
      <c r="G821">
        <v>2</v>
      </c>
      <c r="H821" s="6">
        <f>FLOOR(tblPivotData[[#This Row],[Time]],Summary!$B$6/1440)</f>
        <v>0.55208333333333326</v>
      </c>
      <c r="I821" s="49">
        <f>INDEX(PeakCalc!$L$10:$L$303,MATCH(tblPivotData[[#This Row],[Time]],PeakCalc!$G$10:$G$303,0))</f>
        <v>1</v>
      </c>
    </row>
    <row r="822" spans="1:9" x14ac:dyDescent="0.25">
      <c r="A822" t="s">
        <v>95</v>
      </c>
      <c r="B822" t="s">
        <v>102</v>
      </c>
      <c r="C822" t="s">
        <v>97</v>
      </c>
      <c r="D822" t="s">
        <v>90</v>
      </c>
      <c r="E822" t="s">
        <v>110</v>
      </c>
      <c r="F822" s="6">
        <v>0.5625</v>
      </c>
      <c r="G822">
        <v>5</v>
      </c>
      <c r="H822" s="6">
        <f>FLOOR(tblPivotData[[#This Row],[Time]],Summary!$B$6/1440)</f>
        <v>0.5625</v>
      </c>
      <c r="I822" s="49">
        <f>INDEX(PeakCalc!$L$10:$L$303,MATCH(tblPivotData[[#This Row],[Time]],PeakCalc!$G$10:$G$303,0))</f>
        <v>0</v>
      </c>
    </row>
    <row r="823" spans="1:9" x14ac:dyDescent="0.25">
      <c r="A823" t="s">
        <v>95</v>
      </c>
      <c r="B823" t="s">
        <v>102</v>
      </c>
      <c r="C823" t="s">
        <v>97</v>
      </c>
      <c r="D823" t="s">
        <v>90</v>
      </c>
      <c r="E823" t="s">
        <v>110</v>
      </c>
      <c r="F823" s="6">
        <v>0.57291666666666663</v>
      </c>
      <c r="G823">
        <v>1</v>
      </c>
      <c r="H823" s="6">
        <f>FLOOR(tblPivotData[[#This Row],[Time]],Summary!$B$6/1440)</f>
        <v>0.57291666666666663</v>
      </c>
      <c r="I823" s="49">
        <f>INDEX(PeakCalc!$L$10:$L$303,MATCH(tblPivotData[[#This Row],[Time]],PeakCalc!$G$10:$G$303,0))</f>
        <v>0</v>
      </c>
    </row>
    <row r="824" spans="1:9" x14ac:dyDescent="0.25">
      <c r="A824" t="s">
        <v>95</v>
      </c>
      <c r="B824" t="s">
        <v>102</v>
      </c>
      <c r="C824" t="s">
        <v>97</v>
      </c>
      <c r="D824" t="s">
        <v>90</v>
      </c>
      <c r="E824" t="s">
        <v>44</v>
      </c>
      <c r="F824" s="6">
        <v>0.625</v>
      </c>
      <c r="G824">
        <v>3</v>
      </c>
      <c r="H824" s="6">
        <f>FLOOR(tblPivotData[[#This Row],[Time]],Summary!$B$6/1440)</f>
        <v>0.625</v>
      </c>
      <c r="I824" s="49">
        <f>INDEX(PeakCalc!$L$10:$L$303,MATCH(tblPivotData[[#This Row],[Time]],PeakCalc!$G$10:$G$303,0))</f>
        <v>0</v>
      </c>
    </row>
    <row r="825" spans="1:9" x14ac:dyDescent="0.25">
      <c r="A825" t="s">
        <v>95</v>
      </c>
      <c r="B825" t="s">
        <v>102</v>
      </c>
      <c r="C825" t="s">
        <v>97</v>
      </c>
      <c r="D825" t="s">
        <v>90</v>
      </c>
      <c r="E825" t="s">
        <v>44</v>
      </c>
      <c r="F825" s="6">
        <v>0.63541666666666663</v>
      </c>
      <c r="G825">
        <v>5</v>
      </c>
      <c r="H825" s="6">
        <f>FLOOR(tblPivotData[[#This Row],[Time]],Summary!$B$6/1440)</f>
        <v>0.63541666666666663</v>
      </c>
      <c r="I825" s="49">
        <f>INDEX(PeakCalc!$L$10:$L$303,MATCH(tblPivotData[[#This Row],[Time]],PeakCalc!$G$10:$G$303,0))</f>
        <v>0</v>
      </c>
    </row>
    <row r="826" spans="1:9" x14ac:dyDescent="0.25">
      <c r="A826" t="s">
        <v>95</v>
      </c>
      <c r="B826" t="s">
        <v>102</v>
      </c>
      <c r="C826" t="s">
        <v>97</v>
      </c>
      <c r="D826" t="s">
        <v>90</v>
      </c>
      <c r="E826" t="s">
        <v>44</v>
      </c>
      <c r="F826" s="6">
        <v>0.64583333333333337</v>
      </c>
      <c r="G826">
        <v>2</v>
      </c>
      <c r="H826" s="6">
        <f>FLOOR(tblPivotData[[#This Row],[Time]],Summary!$B$6/1440)</f>
        <v>0.64583333333333326</v>
      </c>
      <c r="I826" s="49">
        <f>INDEX(PeakCalc!$L$10:$L$303,MATCH(tblPivotData[[#This Row],[Time]],PeakCalc!$G$10:$G$303,0))</f>
        <v>0</v>
      </c>
    </row>
    <row r="827" spans="1:9" x14ac:dyDescent="0.25">
      <c r="A827" t="s">
        <v>95</v>
      </c>
      <c r="B827" t="s">
        <v>102</v>
      </c>
      <c r="C827" t="s">
        <v>97</v>
      </c>
      <c r="D827" t="s">
        <v>90</v>
      </c>
      <c r="E827" t="s">
        <v>44</v>
      </c>
      <c r="F827" s="6">
        <v>0.65625</v>
      </c>
      <c r="G827">
        <v>5</v>
      </c>
      <c r="H827" s="6">
        <f>FLOOR(tblPivotData[[#This Row],[Time]],Summary!$B$6/1440)</f>
        <v>0.65625</v>
      </c>
      <c r="I827" s="49">
        <f>INDEX(PeakCalc!$L$10:$L$303,MATCH(tblPivotData[[#This Row],[Time]],PeakCalc!$G$10:$G$303,0))</f>
        <v>0</v>
      </c>
    </row>
    <row r="828" spans="1:9" x14ac:dyDescent="0.25">
      <c r="A828" t="s">
        <v>95</v>
      </c>
      <c r="B828" t="s">
        <v>102</v>
      </c>
      <c r="C828" t="s">
        <v>97</v>
      </c>
      <c r="D828" t="s">
        <v>90</v>
      </c>
      <c r="E828" t="s">
        <v>44</v>
      </c>
      <c r="F828" s="6">
        <v>0.66666666666666663</v>
      </c>
      <c r="G828">
        <v>5</v>
      </c>
      <c r="H828" s="6">
        <f>FLOOR(tblPivotData[[#This Row],[Time]],Summary!$B$6/1440)</f>
        <v>0.66666666666666663</v>
      </c>
      <c r="I828" s="49">
        <f>INDEX(PeakCalc!$L$10:$L$303,MATCH(tblPivotData[[#This Row],[Time]],PeakCalc!$G$10:$G$303,0))</f>
        <v>0</v>
      </c>
    </row>
    <row r="829" spans="1:9" x14ac:dyDescent="0.25">
      <c r="A829" t="s">
        <v>95</v>
      </c>
      <c r="B829" t="s">
        <v>102</v>
      </c>
      <c r="C829" t="s">
        <v>97</v>
      </c>
      <c r="D829" t="s">
        <v>90</v>
      </c>
      <c r="E829" t="s">
        <v>44</v>
      </c>
      <c r="F829" s="6">
        <v>0.67708333333333337</v>
      </c>
      <c r="G829">
        <v>2</v>
      </c>
      <c r="H829" s="6">
        <f>FLOOR(tblPivotData[[#This Row],[Time]],Summary!$B$6/1440)</f>
        <v>0.67708333333333326</v>
      </c>
      <c r="I829" s="49">
        <f>INDEX(PeakCalc!$L$10:$L$303,MATCH(tblPivotData[[#This Row],[Time]],PeakCalc!$G$10:$G$303,0))</f>
        <v>0</v>
      </c>
    </row>
    <row r="830" spans="1:9" x14ac:dyDescent="0.25">
      <c r="A830" t="s">
        <v>95</v>
      </c>
      <c r="B830" t="s">
        <v>102</v>
      </c>
      <c r="C830" t="s">
        <v>97</v>
      </c>
      <c r="D830" t="s">
        <v>90</v>
      </c>
      <c r="E830" t="s">
        <v>44</v>
      </c>
      <c r="F830" s="6">
        <v>0.6875</v>
      </c>
      <c r="G830">
        <v>4</v>
      </c>
      <c r="H830" s="6">
        <f>FLOOR(tblPivotData[[#This Row],[Time]],Summary!$B$6/1440)</f>
        <v>0.6875</v>
      </c>
      <c r="I830" s="49">
        <f>INDEX(PeakCalc!$L$10:$L$303,MATCH(tblPivotData[[#This Row],[Time]],PeakCalc!$G$10:$G$303,0))</f>
        <v>1</v>
      </c>
    </row>
    <row r="831" spans="1:9" x14ac:dyDescent="0.25">
      <c r="A831" t="s">
        <v>95</v>
      </c>
      <c r="B831" t="s">
        <v>102</v>
      </c>
      <c r="C831" t="s">
        <v>97</v>
      </c>
      <c r="D831" t="s">
        <v>90</v>
      </c>
      <c r="E831" t="s">
        <v>44</v>
      </c>
      <c r="F831" s="6">
        <v>0.69791666666666663</v>
      </c>
      <c r="G831">
        <v>6</v>
      </c>
      <c r="H831" s="6">
        <f>FLOOR(tblPivotData[[#This Row],[Time]],Summary!$B$6/1440)</f>
        <v>0.69791666666666663</v>
      </c>
      <c r="I831" s="49">
        <f>INDEX(PeakCalc!$L$10:$L$303,MATCH(tblPivotData[[#This Row],[Time]],PeakCalc!$G$10:$G$303,0))</f>
        <v>1</v>
      </c>
    </row>
    <row r="832" spans="1:9" x14ac:dyDescent="0.25">
      <c r="A832" t="s">
        <v>95</v>
      </c>
      <c r="B832" t="s">
        <v>102</v>
      </c>
      <c r="C832" t="s">
        <v>97</v>
      </c>
      <c r="D832" t="s">
        <v>90</v>
      </c>
      <c r="E832" t="s">
        <v>44</v>
      </c>
      <c r="F832" s="6">
        <v>0.70833333333333337</v>
      </c>
      <c r="G832">
        <v>3</v>
      </c>
      <c r="H832" s="6">
        <f>FLOOR(tblPivotData[[#This Row],[Time]],Summary!$B$6/1440)</f>
        <v>0.70833333333333326</v>
      </c>
      <c r="I832" s="49">
        <f>INDEX(PeakCalc!$L$10:$L$303,MATCH(tblPivotData[[#This Row],[Time]],PeakCalc!$G$10:$G$303,0))</f>
        <v>1</v>
      </c>
    </row>
    <row r="833" spans="1:9" x14ac:dyDescent="0.25">
      <c r="A833" t="s">
        <v>95</v>
      </c>
      <c r="B833" t="s">
        <v>102</v>
      </c>
      <c r="C833" t="s">
        <v>97</v>
      </c>
      <c r="D833" t="s">
        <v>90</v>
      </c>
      <c r="E833" t="s">
        <v>44</v>
      </c>
      <c r="F833" s="6">
        <v>0.71875</v>
      </c>
      <c r="G833">
        <v>5</v>
      </c>
      <c r="H833" s="6">
        <f>FLOOR(tblPivotData[[#This Row],[Time]],Summary!$B$6/1440)</f>
        <v>0.71875</v>
      </c>
      <c r="I833" s="49">
        <f>INDEX(PeakCalc!$L$10:$L$303,MATCH(tblPivotData[[#This Row],[Time]],PeakCalc!$G$10:$G$303,0))</f>
        <v>1</v>
      </c>
    </row>
    <row r="834" spans="1:9" x14ac:dyDescent="0.25">
      <c r="A834" t="s">
        <v>95</v>
      </c>
      <c r="B834" t="s">
        <v>102</v>
      </c>
      <c r="C834" t="s">
        <v>97</v>
      </c>
      <c r="D834" t="s">
        <v>90</v>
      </c>
      <c r="E834" t="s">
        <v>44</v>
      </c>
      <c r="F834" s="6">
        <v>0.72916666666666663</v>
      </c>
      <c r="G834">
        <v>2</v>
      </c>
      <c r="H834" s="6">
        <f>FLOOR(tblPivotData[[#This Row],[Time]],Summary!$B$6/1440)</f>
        <v>0.72916666666666663</v>
      </c>
      <c r="I834" s="49">
        <f>INDEX(PeakCalc!$L$10:$L$303,MATCH(tblPivotData[[#This Row],[Time]],PeakCalc!$G$10:$G$303,0))</f>
        <v>0</v>
      </c>
    </row>
    <row r="835" spans="1:9" x14ac:dyDescent="0.25">
      <c r="A835" t="s">
        <v>95</v>
      </c>
      <c r="B835" t="s">
        <v>102</v>
      </c>
      <c r="C835" t="s">
        <v>97</v>
      </c>
      <c r="D835" t="s">
        <v>90</v>
      </c>
      <c r="E835" t="s">
        <v>44</v>
      </c>
      <c r="F835" s="6">
        <v>0.73958333333333337</v>
      </c>
      <c r="G835">
        <v>4</v>
      </c>
      <c r="H835" s="6">
        <f>FLOOR(tblPivotData[[#This Row],[Time]],Summary!$B$6/1440)</f>
        <v>0.73958333333333326</v>
      </c>
      <c r="I835" s="49">
        <f>INDEX(PeakCalc!$L$10:$L$303,MATCH(tblPivotData[[#This Row],[Time]],PeakCalc!$G$10:$G$303,0))</f>
        <v>0</v>
      </c>
    </row>
    <row r="836" spans="1:9" x14ac:dyDescent="0.25">
      <c r="A836" t="s">
        <v>95</v>
      </c>
      <c r="B836" t="s">
        <v>102</v>
      </c>
      <c r="C836" t="s">
        <v>97</v>
      </c>
      <c r="D836" t="s">
        <v>90</v>
      </c>
      <c r="E836" t="s">
        <v>44</v>
      </c>
      <c r="F836" s="6">
        <v>0.75</v>
      </c>
      <c r="G836">
        <v>3</v>
      </c>
      <c r="H836" s="6">
        <f>FLOOR(tblPivotData[[#This Row],[Time]],Summary!$B$6/1440)</f>
        <v>0.75</v>
      </c>
      <c r="I836" s="49">
        <f>INDEX(PeakCalc!$L$10:$L$303,MATCH(tblPivotData[[#This Row],[Time]],PeakCalc!$G$10:$G$303,0))</f>
        <v>0</v>
      </c>
    </row>
    <row r="837" spans="1:9" x14ac:dyDescent="0.25">
      <c r="A837" t="s">
        <v>95</v>
      </c>
      <c r="B837" t="s">
        <v>102</v>
      </c>
      <c r="C837" t="s">
        <v>97</v>
      </c>
      <c r="D837" t="s">
        <v>90</v>
      </c>
      <c r="E837" t="s">
        <v>44</v>
      </c>
      <c r="F837" s="6">
        <v>0.76041666666666663</v>
      </c>
      <c r="G837">
        <v>5</v>
      </c>
      <c r="H837" s="6">
        <f>FLOOR(tblPivotData[[#This Row],[Time]],Summary!$B$6/1440)</f>
        <v>0.76041666666666663</v>
      </c>
      <c r="I837" s="49">
        <f>INDEX(PeakCalc!$L$10:$L$303,MATCH(tblPivotData[[#This Row],[Time]],PeakCalc!$G$10:$G$303,0))</f>
        <v>0</v>
      </c>
    </row>
    <row r="838" spans="1:9" x14ac:dyDescent="0.25">
      <c r="A838" t="s">
        <v>95</v>
      </c>
      <c r="B838" t="s">
        <v>102</v>
      </c>
      <c r="C838" t="s">
        <v>97</v>
      </c>
      <c r="D838" t="s">
        <v>91</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95</v>
      </c>
      <c r="B839" t="s">
        <v>102</v>
      </c>
      <c r="C839" t="s">
        <v>97</v>
      </c>
      <c r="D839" t="s">
        <v>91</v>
      </c>
      <c r="E839" t="s">
        <v>43</v>
      </c>
      <c r="F839" s="6">
        <v>0.28125</v>
      </c>
      <c r="G839">
        <v>0</v>
      </c>
      <c r="H839" s="6">
        <f>FLOOR(tblPivotData[[#This Row],[Time]],Summary!$B$6/1440)</f>
        <v>0.28125</v>
      </c>
      <c r="I839" s="49">
        <f>INDEX(PeakCalc!$L$10:$L$303,MATCH(tblPivotData[[#This Row],[Time]],PeakCalc!$G$10:$G$303,0))</f>
        <v>0</v>
      </c>
    </row>
    <row r="840" spans="1:9" x14ac:dyDescent="0.25">
      <c r="A840" t="s">
        <v>95</v>
      </c>
      <c r="B840" t="s">
        <v>102</v>
      </c>
      <c r="C840" t="s">
        <v>97</v>
      </c>
      <c r="D840" t="s">
        <v>91</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95</v>
      </c>
      <c r="B841" t="s">
        <v>102</v>
      </c>
      <c r="C841" t="s">
        <v>97</v>
      </c>
      <c r="D841" t="s">
        <v>91</v>
      </c>
      <c r="E841" t="s">
        <v>43</v>
      </c>
      <c r="F841" s="6">
        <v>0.30208333333333331</v>
      </c>
      <c r="G841">
        <v>2</v>
      </c>
      <c r="H841" s="6">
        <f>FLOOR(tblPivotData[[#This Row],[Time]],Summary!$B$6/1440)</f>
        <v>0.30208333333333331</v>
      </c>
      <c r="I841" s="49">
        <f>INDEX(PeakCalc!$L$10:$L$303,MATCH(tblPivotData[[#This Row],[Time]],PeakCalc!$G$10:$G$303,0))</f>
        <v>0</v>
      </c>
    </row>
    <row r="842" spans="1:9" x14ac:dyDescent="0.25">
      <c r="A842" t="s">
        <v>95</v>
      </c>
      <c r="B842" t="s">
        <v>102</v>
      </c>
      <c r="C842" t="s">
        <v>97</v>
      </c>
      <c r="D842" t="s">
        <v>91</v>
      </c>
      <c r="E842" t="s">
        <v>43</v>
      </c>
      <c r="F842" s="6">
        <v>0.3125</v>
      </c>
      <c r="G842">
        <v>0</v>
      </c>
      <c r="H842" s="6">
        <f>FLOOR(tblPivotData[[#This Row],[Time]],Summary!$B$6/1440)</f>
        <v>0.3125</v>
      </c>
      <c r="I842" s="49">
        <f>INDEX(PeakCalc!$L$10:$L$303,MATCH(tblPivotData[[#This Row],[Time]],PeakCalc!$G$10:$G$303,0))</f>
        <v>0</v>
      </c>
    </row>
    <row r="843" spans="1:9" x14ac:dyDescent="0.25">
      <c r="A843" t="s">
        <v>95</v>
      </c>
      <c r="B843" t="s">
        <v>102</v>
      </c>
      <c r="C843" t="s">
        <v>97</v>
      </c>
      <c r="D843" t="s">
        <v>91</v>
      </c>
      <c r="E843" t="s">
        <v>43</v>
      </c>
      <c r="F843" s="6">
        <v>0.32291666666666669</v>
      </c>
      <c r="G843">
        <v>1</v>
      </c>
      <c r="H843" s="6">
        <f>FLOOR(tblPivotData[[#This Row],[Time]],Summary!$B$6/1440)</f>
        <v>0.32291666666666663</v>
      </c>
      <c r="I843" s="49">
        <f>INDEX(PeakCalc!$L$10:$L$303,MATCH(tblPivotData[[#This Row],[Time]],PeakCalc!$G$10:$G$303,0))</f>
        <v>1</v>
      </c>
    </row>
    <row r="844" spans="1:9" x14ac:dyDescent="0.25">
      <c r="A844" t="s">
        <v>95</v>
      </c>
      <c r="B844" t="s">
        <v>102</v>
      </c>
      <c r="C844" t="s">
        <v>97</v>
      </c>
      <c r="D844" t="s">
        <v>91</v>
      </c>
      <c r="E844" t="s">
        <v>43</v>
      </c>
      <c r="F844" s="6">
        <v>0.33333333333333331</v>
      </c>
      <c r="G844">
        <v>3</v>
      </c>
      <c r="H844" s="6">
        <f>FLOOR(tblPivotData[[#This Row],[Time]],Summary!$B$6/1440)</f>
        <v>0.33333333333333331</v>
      </c>
      <c r="I844" s="49">
        <f>INDEX(PeakCalc!$L$10:$L$303,MATCH(tblPivotData[[#This Row],[Time]],PeakCalc!$G$10:$G$303,0))</f>
        <v>1</v>
      </c>
    </row>
    <row r="845" spans="1:9" x14ac:dyDescent="0.25">
      <c r="A845" t="s">
        <v>95</v>
      </c>
      <c r="B845" t="s">
        <v>102</v>
      </c>
      <c r="C845" t="s">
        <v>97</v>
      </c>
      <c r="D845" t="s">
        <v>91</v>
      </c>
      <c r="E845" t="s">
        <v>43</v>
      </c>
      <c r="F845" s="6">
        <v>0.34375</v>
      </c>
      <c r="G845">
        <v>1</v>
      </c>
      <c r="H845" s="6">
        <f>FLOOR(tblPivotData[[#This Row],[Time]],Summary!$B$6/1440)</f>
        <v>0.34375</v>
      </c>
      <c r="I845" s="49">
        <f>INDEX(PeakCalc!$L$10:$L$303,MATCH(tblPivotData[[#This Row],[Time]],PeakCalc!$G$10:$G$303,0))</f>
        <v>1</v>
      </c>
    </row>
    <row r="846" spans="1:9" x14ac:dyDescent="0.25">
      <c r="A846" t="s">
        <v>95</v>
      </c>
      <c r="B846" t="s">
        <v>102</v>
      </c>
      <c r="C846" t="s">
        <v>97</v>
      </c>
      <c r="D846" t="s">
        <v>91</v>
      </c>
      <c r="E846" t="s">
        <v>43</v>
      </c>
      <c r="F846" s="6">
        <v>0.35416666666666669</v>
      </c>
      <c r="G846">
        <v>2</v>
      </c>
      <c r="H846" s="6">
        <f>FLOOR(tblPivotData[[#This Row],[Time]],Summary!$B$6/1440)</f>
        <v>0.35416666666666663</v>
      </c>
      <c r="I846" s="49">
        <f>INDEX(PeakCalc!$L$10:$L$303,MATCH(tblPivotData[[#This Row],[Time]],PeakCalc!$G$10:$G$303,0))</f>
        <v>1</v>
      </c>
    </row>
    <row r="847" spans="1:9" x14ac:dyDescent="0.25">
      <c r="A847" t="s">
        <v>95</v>
      </c>
      <c r="B847" t="s">
        <v>102</v>
      </c>
      <c r="C847" t="s">
        <v>97</v>
      </c>
      <c r="D847" t="s">
        <v>91</v>
      </c>
      <c r="E847" t="s">
        <v>43</v>
      </c>
      <c r="F847" s="6">
        <v>0.36458333333333331</v>
      </c>
      <c r="G847">
        <v>2</v>
      </c>
      <c r="H847" s="6">
        <f>FLOOR(tblPivotData[[#This Row],[Time]],Summary!$B$6/1440)</f>
        <v>0.36458333333333331</v>
      </c>
      <c r="I847" s="49">
        <f>INDEX(PeakCalc!$L$10:$L$303,MATCH(tblPivotData[[#This Row],[Time]],PeakCalc!$G$10:$G$303,0))</f>
        <v>0</v>
      </c>
    </row>
    <row r="848" spans="1:9" x14ac:dyDescent="0.25">
      <c r="A848" t="s">
        <v>95</v>
      </c>
      <c r="B848" t="s">
        <v>102</v>
      </c>
      <c r="C848" t="s">
        <v>97</v>
      </c>
      <c r="D848" t="s">
        <v>91</v>
      </c>
      <c r="E848" t="s">
        <v>43</v>
      </c>
      <c r="F848" s="6">
        <v>0.375</v>
      </c>
      <c r="G848">
        <v>1</v>
      </c>
      <c r="H848" s="6">
        <f>FLOOR(tblPivotData[[#This Row],[Time]],Summary!$B$6/1440)</f>
        <v>0.375</v>
      </c>
      <c r="I848" s="49">
        <f>INDEX(PeakCalc!$L$10:$L$303,MATCH(tblPivotData[[#This Row],[Time]],PeakCalc!$G$10:$G$303,0))</f>
        <v>0</v>
      </c>
    </row>
    <row r="849" spans="1:9" x14ac:dyDescent="0.25">
      <c r="A849" t="s">
        <v>95</v>
      </c>
      <c r="B849" t="s">
        <v>102</v>
      </c>
      <c r="C849" t="s">
        <v>97</v>
      </c>
      <c r="D849" t="s">
        <v>91</v>
      </c>
      <c r="E849" t="s">
        <v>43</v>
      </c>
      <c r="F849" s="6">
        <v>0.38541666666666669</v>
      </c>
      <c r="G849">
        <v>2</v>
      </c>
      <c r="H849" s="6">
        <f>FLOOR(tblPivotData[[#This Row],[Time]],Summary!$B$6/1440)</f>
        <v>0.38541666666666663</v>
      </c>
      <c r="I849" s="49">
        <f>INDEX(PeakCalc!$L$10:$L$303,MATCH(tblPivotData[[#This Row],[Time]],PeakCalc!$G$10:$G$303,0))</f>
        <v>0</v>
      </c>
    </row>
    <row r="850" spans="1:9" x14ac:dyDescent="0.25">
      <c r="A850" t="s">
        <v>95</v>
      </c>
      <c r="B850" t="s">
        <v>102</v>
      </c>
      <c r="C850" t="s">
        <v>97</v>
      </c>
      <c r="D850" t="s">
        <v>91</v>
      </c>
      <c r="E850" t="s">
        <v>110</v>
      </c>
      <c r="F850" s="6">
        <v>0.45833333333333331</v>
      </c>
      <c r="G850">
        <v>0</v>
      </c>
      <c r="H850" s="6">
        <f>FLOOR(tblPivotData[[#This Row],[Time]],Summary!$B$6/1440)</f>
        <v>0.45833333333333331</v>
      </c>
      <c r="I850" s="49">
        <f>INDEX(PeakCalc!$L$10:$L$303,MATCH(tblPivotData[[#This Row],[Time]],PeakCalc!$G$10:$G$303,0))</f>
        <v>0</v>
      </c>
    </row>
    <row r="851" spans="1:9" x14ac:dyDescent="0.25">
      <c r="A851" t="s">
        <v>95</v>
      </c>
      <c r="B851" t="s">
        <v>102</v>
      </c>
      <c r="C851" t="s">
        <v>97</v>
      </c>
      <c r="D851" t="s">
        <v>91</v>
      </c>
      <c r="E851" t="s">
        <v>110</v>
      </c>
      <c r="F851" s="6">
        <v>0.46875</v>
      </c>
      <c r="G851">
        <v>0</v>
      </c>
      <c r="H851" s="6">
        <f>FLOOR(tblPivotData[[#This Row],[Time]],Summary!$B$6/1440)</f>
        <v>0.46875</v>
      </c>
      <c r="I851" s="49">
        <f>INDEX(PeakCalc!$L$10:$L$303,MATCH(tblPivotData[[#This Row],[Time]],PeakCalc!$G$10:$G$303,0))</f>
        <v>0</v>
      </c>
    </row>
    <row r="852" spans="1:9" x14ac:dyDescent="0.25">
      <c r="A852" t="s">
        <v>95</v>
      </c>
      <c r="B852" t="s">
        <v>102</v>
      </c>
      <c r="C852" t="s">
        <v>97</v>
      </c>
      <c r="D852" t="s">
        <v>91</v>
      </c>
      <c r="E852" t="s">
        <v>110</v>
      </c>
      <c r="F852" s="6">
        <v>0.47916666666666669</v>
      </c>
      <c r="G852">
        <v>1</v>
      </c>
      <c r="H852" s="6">
        <f>FLOOR(tblPivotData[[#This Row],[Time]],Summary!$B$6/1440)</f>
        <v>0.47916666666666663</v>
      </c>
      <c r="I852" s="49">
        <f>INDEX(PeakCalc!$L$10:$L$303,MATCH(tblPivotData[[#This Row],[Time]],PeakCalc!$G$10:$G$303,0))</f>
        <v>0</v>
      </c>
    </row>
    <row r="853" spans="1:9" x14ac:dyDescent="0.25">
      <c r="A853" t="s">
        <v>95</v>
      </c>
      <c r="B853" t="s">
        <v>102</v>
      </c>
      <c r="C853" t="s">
        <v>97</v>
      </c>
      <c r="D853" t="s">
        <v>91</v>
      </c>
      <c r="E853" t="s">
        <v>110</v>
      </c>
      <c r="F853" s="6">
        <v>0.48958333333333331</v>
      </c>
      <c r="G853">
        <v>0</v>
      </c>
      <c r="H853" s="6">
        <f>FLOOR(tblPivotData[[#This Row],[Time]],Summary!$B$6/1440)</f>
        <v>0.48958333333333331</v>
      </c>
      <c r="I853" s="49">
        <f>INDEX(PeakCalc!$L$10:$L$303,MATCH(tblPivotData[[#This Row],[Time]],PeakCalc!$G$10:$G$303,0))</f>
        <v>0</v>
      </c>
    </row>
    <row r="854" spans="1:9" x14ac:dyDescent="0.25">
      <c r="A854" t="s">
        <v>95</v>
      </c>
      <c r="B854" t="s">
        <v>102</v>
      </c>
      <c r="C854" t="s">
        <v>97</v>
      </c>
      <c r="D854" t="s">
        <v>91</v>
      </c>
      <c r="E854" t="s">
        <v>110</v>
      </c>
      <c r="F854" s="6">
        <v>0.5</v>
      </c>
      <c r="G854">
        <v>0</v>
      </c>
      <c r="H854" s="6">
        <f>FLOOR(tblPivotData[[#This Row],[Time]],Summary!$B$6/1440)</f>
        <v>0.5</v>
      </c>
      <c r="I854" s="49">
        <f>INDEX(PeakCalc!$L$10:$L$303,MATCH(tblPivotData[[#This Row],[Time]],PeakCalc!$G$10:$G$303,0))</f>
        <v>0</v>
      </c>
    </row>
    <row r="855" spans="1:9" x14ac:dyDescent="0.25">
      <c r="A855" t="s">
        <v>95</v>
      </c>
      <c r="B855" t="s">
        <v>102</v>
      </c>
      <c r="C855" t="s">
        <v>97</v>
      </c>
      <c r="D855" t="s">
        <v>91</v>
      </c>
      <c r="E855" t="s">
        <v>110</v>
      </c>
      <c r="F855" s="6">
        <v>0.51041666666666663</v>
      </c>
      <c r="G855">
        <v>1</v>
      </c>
      <c r="H855" s="6">
        <f>FLOOR(tblPivotData[[#This Row],[Time]],Summary!$B$6/1440)</f>
        <v>0.51041666666666663</v>
      </c>
      <c r="I855" s="49">
        <f>INDEX(PeakCalc!$L$10:$L$303,MATCH(tblPivotData[[#This Row],[Time]],PeakCalc!$G$10:$G$303,0))</f>
        <v>0</v>
      </c>
    </row>
    <row r="856" spans="1:9" x14ac:dyDescent="0.25">
      <c r="A856" t="s">
        <v>95</v>
      </c>
      <c r="B856" t="s">
        <v>102</v>
      </c>
      <c r="C856" t="s">
        <v>97</v>
      </c>
      <c r="D856" t="s">
        <v>91</v>
      </c>
      <c r="E856" t="s">
        <v>110</v>
      </c>
      <c r="F856" s="6">
        <v>0.52083333333333337</v>
      </c>
      <c r="G856">
        <v>1</v>
      </c>
      <c r="H856" s="6">
        <f>FLOOR(tblPivotData[[#This Row],[Time]],Summary!$B$6/1440)</f>
        <v>0.52083333333333326</v>
      </c>
      <c r="I856" s="49">
        <f>INDEX(PeakCalc!$L$10:$L$303,MATCH(tblPivotData[[#This Row],[Time]],PeakCalc!$G$10:$G$303,0))</f>
        <v>1</v>
      </c>
    </row>
    <row r="857" spans="1:9" x14ac:dyDescent="0.25">
      <c r="A857" t="s">
        <v>95</v>
      </c>
      <c r="B857" t="s">
        <v>102</v>
      </c>
      <c r="C857" t="s">
        <v>97</v>
      </c>
      <c r="D857" t="s">
        <v>91</v>
      </c>
      <c r="E857" t="s">
        <v>110</v>
      </c>
      <c r="F857" s="6">
        <v>0.53125</v>
      </c>
      <c r="G857">
        <v>1</v>
      </c>
      <c r="H857" s="6">
        <f>FLOOR(tblPivotData[[#This Row],[Time]],Summary!$B$6/1440)</f>
        <v>0.53125</v>
      </c>
      <c r="I857" s="49">
        <f>INDEX(PeakCalc!$L$10:$L$303,MATCH(tblPivotData[[#This Row],[Time]],PeakCalc!$G$10:$G$303,0))</f>
        <v>1</v>
      </c>
    </row>
    <row r="858" spans="1:9" x14ac:dyDescent="0.25">
      <c r="A858" t="s">
        <v>95</v>
      </c>
      <c r="B858" t="s">
        <v>102</v>
      </c>
      <c r="C858" t="s">
        <v>97</v>
      </c>
      <c r="D858" t="s">
        <v>91</v>
      </c>
      <c r="E858" t="s">
        <v>110</v>
      </c>
      <c r="F858" s="6">
        <v>0.54166666666666663</v>
      </c>
      <c r="G858">
        <v>0</v>
      </c>
      <c r="H858" s="6">
        <f>FLOOR(tblPivotData[[#This Row],[Time]],Summary!$B$6/1440)</f>
        <v>0.54166666666666663</v>
      </c>
      <c r="I858" s="49">
        <f>INDEX(PeakCalc!$L$10:$L$303,MATCH(tblPivotData[[#This Row],[Time]],PeakCalc!$G$10:$G$303,0))</f>
        <v>1</v>
      </c>
    </row>
    <row r="859" spans="1:9" x14ac:dyDescent="0.25">
      <c r="A859" t="s">
        <v>95</v>
      </c>
      <c r="B859" t="s">
        <v>102</v>
      </c>
      <c r="C859" t="s">
        <v>97</v>
      </c>
      <c r="D859" t="s">
        <v>91</v>
      </c>
      <c r="E859" t="s">
        <v>110</v>
      </c>
      <c r="F859" s="6">
        <v>0.55208333333333337</v>
      </c>
      <c r="G859">
        <v>1</v>
      </c>
      <c r="H859" s="6">
        <f>FLOOR(tblPivotData[[#This Row],[Time]],Summary!$B$6/1440)</f>
        <v>0.55208333333333326</v>
      </c>
      <c r="I859" s="49">
        <f>INDEX(PeakCalc!$L$10:$L$303,MATCH(tblPivotData[[#This Row],[Time]],PeakCalc!$G$10:$G$303,0))</f>
        <v>1</v>
      </c>
    </row>
    <row r="860" spans="1:9" x14ac:dyDescent="0.25">
      <c r="A860" t="s">
        <v>95</v>
      </c>
      <c r="B860" t="s">
        <v>102</v>
      </c>
      <c r="C860" t="s">
        <v>97</v>
      </c>
      <c r="D860" t="s">
        <v>91</v>
      </c>
      <c r="E860" t="s">
        <v>110</v>
      </c>
      <c r="F860" s="6">
        <v>0.5625</v>
      </c>
      <c r="G860">
        <v>2</v>
      </c>
      <c r="H860" s="6">
        <f>FLOOR(tblPivotData[[#This Row],[Time]],Summary!$B$6/1440)</f>
        <v>0.5625</v>
      </c>
      <c r="I860" s="49">
        <f>INDEX(PeakCalc!$L$10:$L$303,MATCH(tblPivotData[[#This Row],[Time]],PeakCalc!$G$10:$G$303,0))</f>
        <v>0</v>
      </c>
    </row>
    <row r="861" spans="1:9" x14ac:dyDescent="0.25">
      <c r="A861" t="s">
        <v>95</v>
      </c>
      <c r="B861" t="s">
        <v>102</v>
      </c>
      <c r="C861" t="s">
        <v>97</v>
      </c>
      <c r="D861" t="s">
        <v>91</v>
      </c>
      <c r="E861" t="s">
        <v>110</v>
      </c>
      <c r="F861" s="6">
        <v>0.57291666666666663</v>
      </c>
      <c r="G861">
        <v>0</v>
      </c>
      <c r="H861" s="6">
        <f>FLOOR(tblPivotData[[#This Row],[Time]],Summary!$B$6/1440)</f>
        <v>0.57291666666666663</v>
      </c>
      <c r="I861" s="49">
        <f>INDEX(PeakCalc!$L$10:$L$303,MATCH(tblPivotData[[#This Row],[Time]],PeakCalc!$G$10:$G$303,0))</f>
        <v>0</v>
      </c>
    </row>
    <row r="862" spans="1:9" x14ac:dyDescent="0.25">
      <c r="A862" t="s">
        <v>95</v>
      </c>
      <c r="B862" t="s">
        <v>102</v>
      </c>
      <c r="C862" t="s">
        <v>97</v>
      </c>
      <c r="D862" t="s">
        <v>91</v>
      </c>
      <c r="E862" t="s">
        <v>44</v>
      </c>
      <c r="F862" s="6">
        <v>0.625</v>
      </c>
      <c r="G862">
        <v>0</v>
      </c>
      <c r="H862" s="6">
        <f>FLOOR(tblPivotData[[#This Row],[Time]],Summary!$B$6/1440)</f>
        <v>0.625</v>
      </c>
      <c r="I862" s="49">
        <f>INDEX(PeakCalc!$L$10:$L$303,MATCH(tblPivotData[[#This Row],[Time]],PeakCalc!$G$10:$G$303,0))</f>
        <v>0</v>
      </c>
    </row>
    <row r="863" spans="1:9" x14ac:dyDescent="0.25">
      <c r="A863" t="s">
        <v>95</v>
      </c>
      <c r="B863" t="s">
        <v>102</v>
      </c>
      <c r="C863" t="s">
        <v>97</v>
      </c>
      <c r="D863" t="s">
        <v>91</v>
      </c>
      <c r="E863" t="s">
        <v>44</v>
      </c>
      <c r="F863" s="6">
        <v>0.63541666666666663</v>
      </c>
      <c r="G863">
        <v>1</v>
      </c>
      <c r="H863" s="6">
        <f>FLOOR(tblPivotData[[#This Row],[Time]],Summary!$B$6/1440)</f>
        <v>0.63541666666666663</v>
      </c>
      <c r="I863" s="49">
        <f>INDEX(PeakCalc!$L$10:$L$303,MATCH(tblPivotData[[#This Row],[Time]],PeakCalc!$G$10:$G$303,0))</f>
        <v>0</v>
      </c>
    </row>
    <row r="864" spans="1:9" x14ac:dyDescent="0.25">
      <c r="A864" t="s">
        <v>95</v>
      </c>
      <c r="B864" t="s">
        <v>102</v>
      </c>
      <c r="C864" t="s">
        <v>97</v>
      </c>
      <c r="D864" t="s">
        <v>91</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95</v>
      </c>
      <c r="B865" t="s">
        <v>102</v>
      </c>
      <c r="C865" t="s">
        <v>97</v>
      </c>
      <c r="D865" t="s">
        <v>91</v>
      </c>
      <c r="E865" t="s">
        <v>44</v>
      </c>
      <c r="F865" s="6">
        <v>0.65625</v>
      </c>
      <c r="G865">
        <v>0</v>
      </c>
      <c r="H865" s="6">
        <f>FLOOR(tblPivotData[[#This Row],[Time]],Summary!$B$6/1440)</f>
        <v>0.65625</v>
      </c>
      <c r="I865" s="49">
        <f>INDEX(PeakCalc!$L$10:$L$303,MATCH(tblPivotData[[#This Row],[Time]],PeakCalc!$G$10:$G$303,0))</f>
        <v>0</v>
      </c>
    </row>
    <row r="866" spans="1:9" x14ac:dyDescent="0.25">
      <c r="A866" t="s">
        <v>95</v>
      </c>
      <c r="B866" t="s">
        <v>102</v>
      </c>
      <c r="C866" t="s">
        <v>97</v>
      </c>
      <c r="D866" t="s">
        <v>91</v>
      </c>
      <c r="E866" t="s">
        <v>44</v>
      </c>
      <c r="F866" s="6">
        <v>0.66666666666666663</v>
      </c>
      <c r="G866">
        <v>0</v>
      </c>
      <c r="H866" s="6">
        <f>FLOOR(tblPivotData[[#This Row],[Time]],Summary!$B$6/1440)</f>
        <v>0.66666666666666663</v>
      </c>
      <c r="I866" s="49">
        <f>INDEX(PeakCalc!$L$10:$L$303,MATCH(tblPivotData[[#This Row],[Time]],PeakCalc!$G$10:$G$303,0))</f>
        <v>0</v>
      </c>
    </row>
    <row r="867" spans="1:9" x14ac:dyDescent="0.25">
      <c r="A867" t="s">
        <v>95</v>
      </c>
      <c r="B867" t="s">
        <v>102</v>
      </c>
      <c r="C867" t="s">
        <v>97</v>
      </c>
      <c r="D867" t="s">
        <v>91</v>
      </c>
      <c r="E867" t="s">
        <v>44</v>
      </c>
      <c r="F867" s="6">
        <v>0.67708333333333337</v>
      </c>
      <c r="G867">
        <v>0</v>
      </c>
      <c r="H867" s="6">
        <f>FLOOR(tblPivotData[[#This Row],[Time]],Summary!$B$6/1440)</f>
        <v>0.67708333333333326</v>
      </c>
      <c r="I867" s="49">
        <f>INDEX(PeakCalc!$L$10:$L$303,MATCH(tblPivotData[[#This Row],[Time]],PeakCalc!$G$10:$G$303,0))</f>
        <v>0</v>
      </c>
    </row>
    <row r="868" spans="1:9" x14ac:dyDescent="0.25">
      <c r="A868" t="s">
        <v>95</v>
      </c>
      <c r="B868" t="s">
        <v>102</v>
      </c>
      <c r="C868" t="s">
        <v>97</v>
      </c>
      <c r="D868" t="s">
        <v>91</v>
      </c>
      <c r="E868" t="s">
        <v>44</v>
      </c>
      <c r="F868" s="6">
        <v>0.6875</v>
      </c>
      <c r="G868">
        <v>0</v>
      </c>
      <c r="H868" s="6">
        <f>FLOOR(tblPivotData[[#This Row],[Time]],Summary!$B$6/1440)</f>
        <v>0.6875</v>
      </c>
      <c r="I868" s="49">
        <f>INDEX(PeakCalc!$L$10:$L$303,MATCH(tblPivotData[[#This Row],[Time]],PeakCalc!$G$10:$G$303,0))</f>
        <v>1</v>
      </c>
    </row>
    <row r="869" spans="1:9" x14ac:dyDescent="0.25">
      <c r="A869" t="s">
        <v>95</v>
      </c>
      <c r="B869" t="s">
        <v>102</v>
      </c>
      <c r="C869" t="s">
        <v>97</v>
      </c>
      <c r="D869" t="s">
        <v>91</v>
      </c>
      <c r="E869" t="s">
        <v>44</v>
      </c>
      <c r="F869" s="6">
        <v>0.69791666666666663</v>
      </c>
      <c r="G869">
        <v>1</v>
      </c>
      <c r="H869" s="6">
        <f>FLOOR(tblPivotData[[#This Row],[Time]],Summary!$B$6/1440)</f>
        <v>0.69791666666666663</v>
      </c>
      <c r="I869" s="49">
        <f>INDEX(PeakCalc!$L$10:$L$303,MATCH(tblPivotData[[#This Row],[Time]],PeakCalc!$G$10:$G$303,0))</f>
        <v>1</v>
      </c>
    </row>
    <row r="870" spans="1:9" x14ac:dyDescent="0.25">
      <c r="A870" t="s">
        <v>95</v>
      </c>
      <c r="B870" t="s">
        <v>102</v>
      </c>
      <c r="C870" t="s">
        <v>97</v>
      </c>
      <c r="D870" t="s">
        <v>91</v>
      </c>
      <c r="E870" t="s">
        <v>44</v>
      </c>
      <c r="F870" s="6">
        <v>0.70833333333333337</v>
      </c>
      <c r="G870">
        <v>2</v>
      </c>
      <c r="H870" s="6">
        <f>FLOOR(tblPivotData[[#This Row],[Time]],Summary!$B$6/1440)</f>
        <v>0.70833333333333326</v>
      </c>
      <c r="I870" s="49">
        <f>INDEX(PeakCalc!$L$10:$L$303,MATCH(tblPivotData[[#This Row],[Time]],PeakCalc!$G$10:$G$303,0))</f>
        <v>1</v>
      </c>
    </row>
    <row r="871" spans="1:9" x14ac:dyDescent="0.25">
      <c r="A871" t="s">
        <v>95</v>
      </c>
      <c r="B871" t="s">
        <v>102</v>
      </c>
      <c r="C871" t="s">
        <v>97</v>
      </c>
      <c r="D871" t="s">
        <v>91</v>
      </c>
      <c r="E871" t="s">
        <v>44</v>
      </c>
      <c r="F871" s="6">
        <v>0.71875</v>
      </c>
      <c r="G871">
        <v>1</v>
      </c>
      <c r="H871" s="6">
        <f>FLOOR(tblPivotData[[#This Row],[Time]],Summary!$B$6/1440)</f>
        <v>0.71875</v>
      </c>
      <c r="I871" s="49">
        <f>INDEX(PeakCalc!$L$10:$L$303,MATCH(tblPivotData[[#This Row],[Time]],PeakCalc!$G$10:$G$303,0))</f>
        <v>1</v>
      </c>
    </row>
    <row r="872" spans="1:9" x14ac:dyDescent="0.25">
      <c r="A872" t="s">
        <v>95</v>
      </c>
      <c r="B872" t="s">
        <v>102</v>
      </c>
      <c r="C872" t="s">
        <v>97</v>
      </c>
      <c r="D872" t="s">
        <v>91</v>
      </c>
      <c r="E872" t="s">
        <v>44</v>
      </c>
      <c r="F872" s="6">
        <v>0.72916666666666663</v>
      </c>
      <c r="G872">
        <v>1</v>
      </c>
      <c r="H872" s="6">
        <f>FLOOR(tblPivotData[[#This Row],[Time]],Summary!$B$6/1440)</f>
        <v>0.72916666666666663</v>
      </c>
      <c r="I872" s="49">
        <f>INDEX(PeakCalc!$L$10:$L$303,MATCH(tblPivotData[[#This Row],[Time]],PeakCalc!$G$10:$G$303,0))</f>
        <v>0</v>
      </c>
    </row>
    <row r="873" spans="1:9" x14ac:dyDescent="0.25">
      <c r="A873" t="s">
        <v>95</v>
      </c>
      <c r="B873" t="s">
        <v>102</v>
      </c>
      <c r="C873" t="s">
        <v>97</v>
      </c>
      <c r="D873" t="s">
        <v>91</v>
      </c>
      <c r="E873" t="s">
        <v>44</v>
      </c>
      <c r="F873" s="6">
        <v>0.73958333333333337</v>
      </c>
      <c r="G873">
        <v>0</v>
      </c>
      <c r="H873" s="6">
        <f>FLOOR(tblPivotData[[#This Row],[Time]],Summary!$B$6/1440)</f>
        <v>0.73958333333333326</v>
      </c>
      <c r="I873" s="49">
        <f>INDEX(PeakCalc!$L$10:$L$303,MATCH(tblPivotData[[#This Row],[Time]],PeakCalc!$G$10:$G$303,0))</f>
        <v>0</v>
      </c>
    </row>
    <row r="874" spans="1:9" x14ac:dyDescent="0.25">
      <c r="A874" t="s">
        <v>95</v>
      </c>
      <c r="B874" t="s">
        <v>102</v>
      </c>
      <c r="C874" t="s">
        <v>97</v>
      </c>
      <c r="D874" t="s">
        <v>91</v>
      </c>
      <c r="E874" t="s">
        <v>44</v>
      </c>
      <c r="F874" s="6">
        <v>0.75</v>
      </c>
      <c r="G874">
        <v>0</v>
      </c>
      <c r="H874" s="6">
        <f>FLOOR(tblPivotData[[#This Row],[Time]],Summary!$B$6/1440)</f>
        <v>0.75</v>
      </c>
      <c r="I874" s="49">
        <f>INDEX(PeakCalc!$L$10:$L$303,MATCH(tblPivotData[[#This Row],[Time]],PeakCalc!$G$10:$G$303,0))</f>
        <v>0</v>
      </c>
    </row>
    <row r="875" spans="1:9" x14ac:dyDescent="0.25">
      <c r="A875" t="s">
        <v>95</v>
      </c>
      <c r="B875" t="s">
        <v>102</v>
      </c>
      <c r="C875" t="s">
        <v>97</v>
      </c>
      <c r="D875" t="s">
        <v>91</v>
      </c>
      <c r="E875" t="s">
        <v>44</v>
      </c>
      <c r="F875" s="6">
        <v>0.76041666666666663</v>
      </c>
      <c r="G875">
        <v>0</v>
      </c>
      <c r="H875" s="6">
        <f>FLOOR(tblPivotData[[#This Row],[Time]],Summary!$B$6/1440)</f>
        <v>0.76041666666666663</v>
      </c>
      <c r="I875" s="49">
        <f>INDEX(PeakCalc!$L$10:$L$303,MATCH(tblPivotData[[#This Row],[Time]],PeakCalc!$G$10:$G$303,0))</f>
        <v>0</v>
      </c>
    </row>
    <row r="876" spans="1:9" x14ac:dyDescent="0.25">
      <c r="A876" t="s">
        <v>95</v>
      </c>
      <c r="B876" t="s">
        <v>102</v>
      </c>
      <c r="C876" t="s">
        <v>97</v>
      </c>
      <c r="D876" t="s">
        <v>92</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95</v>
      </c>
      <c r="B877" t="s">
        <v>102</v>
      </c>
      <c r="C877" t="s">
        <v>97</v>
      </c>
      <c r="D877" t="s">
        <v>92</v>
      </c>
      <c r="E877" t="s">
        <v>43</v>
      </c>
      <c r="F877" s="6">
        <v>0.28125</v>
      </c>
      <c r="G877">
        <v>0</v>
      </c>
      <c r="H877" s="6">
        <f>FLOOR(tblPivotData[[#This Row],[Time]],Summary!$B$6/1440)</f>
        <v>0.28125</v>
      </c>
      <c r="I877" s="49">
        <f>INDEX(PeakCalc!$L$10:$L$303,MATCH(tblPivotData[[#This Row],[Time]],PeakCalc!$G$10:$G$303,0))</f>
        <v>0</v>
      </c>
    </row>
    <row r="878" spans="1:9" x14ac:dyDescent="0.25">
      <c r="A878" t="s">
        <v>95</v>
      </c>
      <c r="B878" t="s">
        <v>102</v>
      </c>
      <c r="C878" t="s">
        <v>97</v>
      </c>
      <c r="D878" t="s">
        <v>92</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95</v>
      </c>
      <c r="B879" t="s">
        <v>102</v>
      </c>
      <c r="C879" t="s">
        <v>97</v>
      </c>
      <c r="D879" t="s">
        <v>92</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95</v>
      </c>
      <c r="B880" t="s">
        <v>102</v>
      </c>
      <c r="C880" t="s">
        <v>97</v>
      </c>
      <c r="D880" t="s">
        <v>92</v>
      </c>
      <c r="E880" t="s">
        <v>43</v>
      </c>
      <c r="F880" s="6">
        <v>0.3125</v>
      </c>
      <c r="G880">
        <v>0</v>
      </c>
      <c r="H880" s="6">
        <f>FLOOR(tblPivotData[[#This Row],[Time]],Summary!$B$6/1440)</f>
        <v>0.3125</v>
      </c>
      <c r="I880" s="49">
        <f>INDEX(PeakCalc!$L$10:$L$303,MATCH(tblPivotData[[#This Row],[Time]],PeakCalc!$G$10:$G$303,0))</f>
        <v>0</v>
      </c>
    </row>
    <row r="881" spans="1:9" x14ac:dyDescent="0.25">
      <c r="A881" t="s">
        <v>95</v>
      </c>
      <c r="B881" t="s">
        <v>102</v>
      </c>
      <c r="C881" t="s">
        <v>97</v>
      </c>
      <c r="D881" t="s">
        <v>92</v>
      </c>
      <c r="E881" t="s">
        <v>43</v>
      </c>
      <c r="F881" s="6">
        <v>0.32291666666666669</v>
      </c>
      <c r="G881">
        <v>0</v>
      </c>
      <c r="H881" s="6">
        <f>FLOOR(tblPivotData[[#This Row],[Time]],Summary!$B$6/1440)</f>
        <v>0.32291666666666663</v>
      </c>
      <c r="I881" s="49">
        <f>INDEX(PeakCalc!$L$10:$L$303,MATCH(tblPivotData[[#This Row],[Time]],PeakCalc!$G$10:$G$303,0))</f>
        <v>1</v>
      </c>
    </row>
    <row r="882" spans="1:9" x14ac:dyDescent="0.25">
      <c r="A882" t="s">
        <v>95</v>
      </c>
      <c r="B882" t="s">
        <v>102</v>
      </c>
      <c r="C882" t="s">
        <v>97</v>
      </c>
      <c r="D882" t="s">
        <v>92</v>
      </c>
      <c r="E882" t="s">
        <v>43</v>
      </c>
      <c r="F882" s="6">
        <v>0.33333333333333331</v>
      </c>
      <c r="G882">
        <v>0</v>
      </c>
      <c r="H882" s="6">
        <f>FLOOR(tblPivotData[[#This Row],[Time]],Summary!$B$6/1440)</f>
        <v>0.33333333333333331</v>
      </c>
      <c r="I882" s="49">
        <f>INDEX(PeakCalc!$L$10:$L$303,MATCH(tblPivotData[[#This Row],[Time]],PeakCalc!$G$10:$G$303,0))</f>
        <v>1</v>
      </c>
    </row>
    <row r="883" spans="1:9" x14ac:dyDescent="0.25">
      <c r="A883" t="s">
        <v>95</v>
      </c>
      <c r="B883" t="s">
        <v>102</v>
      </c>
      <c r="C883" t="s">
        <v>97</v>
      </c>
      <c r="D883" t="s">
        <v>92</v>
      </c>
      <c r="E883" t="s">
        <v>43</v>
      </c>
      <c r="F883" s="6">
        <v>0.34375</v>
      </c>
      <c r="G883">
        <v>0</v>
      </c>
      <c r="H883" s="6">
        <f>FLOOR(tblPivotData[[#This Row],[Time]],Summary!$B$6/1440)</f>
        <v>0.34375</v>
      </c>
      <c r="I883" s="49">
        <f>INDEX(PeakCalc!$L$10:$L$303,MATCH(tblPivotData[[#This Row],[Time]],PeakCalc!$G$10:$G$303,0))</f>
        <v>1</v>
      </c>
    </row>
    <row r="884" spans="1:9" x14ac:dyDescent="0.25">
      <c r="A884" t="s">
        <v>95</v>
      </c>
      <c r="B884" t="s">
        <v>102</v>
      </c>
      <c r="C884" t="s">
        <v>97</v>
      </c>
      <c r="D884" t="s">
        <v>92</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95</v>
      </c>
      <c r="B885" t="s">
        <v>102</v>
      </c>
      <c r="C885" t="s">
        <v>97</v>
      </c>
      <c r="D885" t="s">
        <v>92</v>
      </c>
      <c r="E885" t="s">
        <v>43</v>
      </c>
      <c r="F885" s="6">
        <v>0.36458333333333331</v>
      </c>
      <c r="G885">
        <v>0</v>
      </c>
      <c r="H885" s="6">
        <f>FLOOR(tblPivotData[[#This Row],[Time]],Summary!$B$6/1440)</f>
        <v>0.36458333333333331</v>
      </c>
      <c r="I885" s="49">
        <f>INDEX(PeakCalc!$L$10:$L$303,MATCH(tblPivotData[[#This Row],[Time]],PeakCalc!$G$10:$G$303,0))</f>
        <v>0</v>
      </c>
    </row>
    <row r="886" spans="1:9" x14ac:dyDescent="0.25">
      <c r="A886" t="s">
        <v>95</v>
      </c>
      <c r="B886" t="s">
        <v>102</v>
      </c>
      <c r="C886" t="s">
        <v>97</v>
      </c>
      <c r="D886" t="s">
        <v>92</v>
      </c>
      <c r="E886" t="s">
        <v>43</v>
      </c>
      <c r="F886" s="6">
        <v>0.375</v>
      </c>
      <c r="G886">
        <v>0</v>
      </c>
      <c r="H886" s="6">
        <f>FLOOR(tblPivotData[[#This Row],[Time]],Summary!$B$6/1440)</f>
        <v>0.375</v>
      </c>
      <c r="I886" s="49">
        <f>INDEX(PeakCalc!$L$10:$L$303,MATCH(tblPivotData[[#This Row],[Time]],PeakCalc!$G$10:$G$303,0))</f>
        <v>0</v>
      </c>
    </row>
    <row r="887" spans="1:9" x14ac:dyDescent="0.25">
      <c r="A887" t="s">
        <v>95</v>
      </c>
      <c r="B887" t="s">
        <v>102</v>
      </c>
      <c r="C887" t="s">
        <v>97</v>
      </c>
      <c r="D887" t="s">
        <v>92</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95</v>
      </c>
      <c r="B888" t="s">
        <v>102</v>
      </c>
      <c r="C888" t="s">
        <v>97</v>
      </c>
      <c r="D888" t="s">
        <v>92</v>
      </c>
      <c r="E888" t="s">
        <v>110</v>
      </c>
      <c r="F888" s="6">
        <v>0.45833333333333331</v>
      </c>
      <c r="G888">
        <v>0</v>
      </c>
      <c r="H888" s="6">
        <f>FLOOR(tblPivotData[[#This Row],[Time]],Summary!$B$6/1440)</f>
        <v>0.45833333333333331</v>
      </c>
      <c r="I888" s="49">
        <f>INDEX(PeakCalc!$L$10:$L$303,MATCH(tblPivotData[[#This Row],[Time]],PeakCalc!$G$10:$G$303,0))</f>
        <v>0</v>
      </c>
    </row>
    <row r="889" spans="1:9" x14ac:dyDescent="0.25">
      <c r="A889" t="s">
        <v>95</v>
      </c>
      <c r="B889" t="s">
        <v>102</v>
      </c>
      <c r="C889" t="s">
        <v>97</v>
      </c>
      <c r="D889" t="s">
        <v>92</v>
      </c>
      <c r="E889" t="s">
        <v>110</v>
      </c>
      <c r="F889" s="6">
        <v>0.46875</v>
      </c>
      <c r="G889">
        <v>0</v>
      </c>
      <c r="H889" s="6">
        <f>FLOOR(tblPivotData[[#This Row],[Time]],Summary!$B$6/1440)</f>
        <v>0.46875</v>
      </c>
      <c r="I889" s="49">
        <f>INDEX(PeakCalc!$L$10:$L$303,MATCH(tblPivotData[[#This Row],[Time]],PeakCalc!$G$10:$G$303,0))</f>
        <v>0</v>
      </c>
    </row>
    <row r="890" spans="1:9" x14ac:dyDescent="0.25">
      <c r="A890" t="s">
        <v>95</v>
      </c>
      <c r="B890" t="s">
        <v>102</v>
      </c>
      <c r="C890" t="s">
        <v>97</v>
      </c>
      <c r="D890" t="s">
        <v>92</v>
      </c>
      <c r="E890" t="s">
        <v>110</v>
      </c>
      <c r="F890" s="6">
        <v>0.47916666666666669</v>
      </c>
      <c r="G890">
        <v>0</v>
      </c>
      <c r="H890" s="6">
        <f>FLOOR(tblPivotData[[#This Row],[Time]],Summary!$B$6/1440)</f>
        <v>0.47916666666666663</v>
      </c>
      <c r="I890" s="49">
        <f>INDEX(PeakCalc!$L$10:$L$303,MATCH(tblPivotData[[#This Row],[Time]],PeakCalc!$G$10:$G$303,0))</f>
        <v>0</v>
      </c>
    </row>
    <row r="891" spans="1:9" x14ac:dyDescent="0.25">
      <c r="A891" t="s">
        <v>95</v>
      </c>
      <c r="B891" t="s">
        <v>102</v>
      </c>
      <c r="C891" t="s">
        <v>97</v>
      </c>
      <c r="D891" t="s">
        <v>92</v>
      </c>
      <c r="E891" t="s">
        <v>110</v>
      </c>
      <c r="F891" s="6">
        <v>0.48958333333333331</v>
      </c>
      <c r="G891">
        <v>0</v>
      </c>
      <c r="H891" s="6">
        <f>FLOOR(tblPivotData[[#This Row],[Time]],Summary!$B$6/1440)</f>
        <v>0.48958333333333331</v>
      </c>
      <c r="I891" s="49">
        <f>INDEX(PeakCalc!$L$10:$L$303,MATCH(tblPivotData[[#This Row],[Time]],PeakCalc!$G$10:$G$303,0))</f>
        <v>0</v>
      </c>
    </row>
    <row r="892" spans="1:9" x14ac:dyDescent="0.25">
      <c r="A892" t="s">
        <v>95</v>
      </c>
      <c r="B892" t="s">
        <v>102</v>
      </c>
      <c r="C892" t="s">
        <v>97</v>
      </c>
      <c r="D892" t="s">
        <v>92</v>
      </c>
      <c r="E892" t="s">
        <v>110</v>
      </c>
      <c r="F892" s="6">
        <v>0.5</v>
      </c>
      <c r="G892">
        <v>0</v>
      </c>
      <c r="H892" s="6">
        <f>FLOOR(tblPivotData[[#This Row],[Time]],Summary!$B$6/1440)</f>
        <v>0.5</v>
      </c>
      <c r="I892" s="49">
        <f>INDEX(PeakCalc!$L$10:$L$303,MATCH(tblPivotData[[#This Row],[Time]],PeakCalc!$G$10:$G$303,0))</f>
        <v>0</v>
      </c>
    </row>
    <row r="893" spans="1:9" x14ac:dyDescent="0.25">
      <c r="A893" t="s">
        <v>95</v>
      </c>
      <c r="B893" t="s">
        <v>102</v>
      </c>
      <c r="C893" t="s">
        <v>97</v>
      </c>
      <c r="D893" t="s">
        <v>92</v>
      </c>
      <c r="E893" t="s">
        <v>110</v>
      </c>
      <c r="F893" s="6">
        <v>0.51041666666666663</v>
      </c>
      <c r="G893">
        <v>0</v>
      </c>
      <c r="H893" s="6">
        <f>FLOOR(tblPivotData[[#This Row],[Time]],Summary!$B$6/1440)</f>
        <v>0.51041666666666663</v>
      </c>
      <c r="I893" s="49">
        <f>INDEX(PeakCalc!$L$10:$L$303,MATCH(tblPivotData[[#This Row],[Time]],PeakCalc!$G$10:$G$303,0))</f>
        <v>0</v>
      </c>
    </row>
    <row r="894" spans="1:9" x14ac:dyDescent="0.25">
      <c r="A894" t="s">
        <v>95</v>
      </c>
      <c r="B894" t="s">
        <v>102</v>
      </c>
      <c r="C894" t="s">
        <v>97</v>
      </c>
      <c r="D894" t="s">
        <v>92</v>
      </c>
      <c r="E894" t="s">
        <v>110</v>
      </c>
      <c r="F894" s="6">
        <v>0.52083333333333337</v>
      </c>
      <c r="G894">
        <v>1</v>
      </c>
      <c r="H894" s="6">
        <f>FLOOR(tblPivotData[[#This Row],[Time]],Summary!$B$6/1440)</f>
        <v>0.52083333333333326</v>
      </c>
      <c r="I894" s="49">
        <f>INDEX(PeakCalc!$L$10:$L$303,MATCH(tblPivotData[[#This Row],[Time]],PeakCalc!$G$10:$G$303,0))</f>
        <v>1</v>
      </c>
    </row>
    <row r="895" spans="1:9" x14ac:dyDescent="0.25">
      <c r="A895" t="s">
        <v>95</v>
      </c>
      <c r="B895" t="s">
        <v>102</v>
      </c>
      <c r="C895" t="s">
        <v>97</v>
      </c>
      <c r="D895" t="s">
        <v>92</v>
      </c>
      <c r="E895" t="s">
        <v>110</v>
      </c>
      <c r="F895" s="6">
        <v>0.53125</v>
      </c>
      <c r="G895">
        <v>0</v>
      </c>
      <c r="H895" s="6">
        <f>FLOOR(tblPivotData[[#This Row],[Time]],Summary!$B$6/1440)</f>
        <v>0.53125</v>
      </c>
      <c r="I895" s="49">
        <f>INDEX(PeakCalc!$L$10:$L$303,MATCH(tblPivotData[[#This Row],[Time]],PeakCalc!$G$10:$G$303,0))</f>
        <v>1</v>
      </c>
    </row>
    <row r="896" spans="1:9" x14ac:dyDescent="0.25">
      <c r="A896" t="s">
        <v>95</v>
      </c>
      <c r="B896" t="s">
        <v>102</v>
      </c>
      <c r="C896" t="s">
        <v>97</v>
      </c>
      <c r="D896" t="s">
        <v>92</v>
      </c>
      <c r="E896" t="s">
        <v>110</v>
      </c>
      <c r="F896" s="6">
        <v>0.54166666666666663</v>
      </c>
      <c r="G896">
        <v>0</v>
      </c>
      <c r="H896" s="6">
        <f>FLOOR(tblPivotData[[#This Row],[Time]],Summary!$B$6/1440)</f>
        <v>0.54166666666666663</v>
      </c>
      <c r="I896" s="49">
        <f>INDEX(PeakCalc!$L$10:$L$303,MATCH(tblPivotData[[#This Row],[Time]],PeakCalc!$G$10:$G$303,0))</f>
        <v>1</v>
      </c>
    </row>
    <row r="897" spans="1:9" x14ac:dyDescent="0.25">
      <c r="A897" t="s">
        <v>95</v>
      </c>
      <c r="B897" t="s">
        <v>102</v>
      </c>
      <c r="C897" t="s">
        <v>97</v>
      </c>
      <c r="D897" t="s">
        <v>92</v>
      </c>
      <c r="E897" t="s">
        <v>110</v>
      </c>
      <c r="F897" s="6">
        <v>0.55208333333333337</v>
      </c>
      <c r="G897">
        <v>0</v>
      </c>
      <c r="H897" s="6">
        <f>FLOOR(tblPivotData[[#This Row],[Time]],Summary!$B$6/1440)</f>
        <v>0.55208333333333326</v>
      </c>
      <c r="I897" s="49">
        <f>INDEX(PeakCalc!$L$10:$L$303,MATCH(tblPivotData[[#This Row],[Time]],PeakCalc!$G$10:$G$303,0))</f>
        <v>1</v>
      </c>
    </row>
    <row r="898" spans="1:9" x14ac:dyDescent="0.25">
      <c r="A898" t="s">
        <v>95</v>
      </c>
      <c r="B898" t="s">
        <v>102</v>
      </c>
      <c r="C898" t="s">
        <v>97</v>
      </c>
      <c r="D898" t="s">
        <v>92</v>
      </c>
      <c r="E898" t="s">
        <v>110</v>
      </c>
      <c r="F898" s="6">
        <v>0.5625</v>
      </c>
      <c r="G898">
        <v>0</v>
      </c>
      <c r="H898" s="6">
        <f>FLOOR(tblPivotData[[#This Row],[Time]],Summary!$B$6/1440)</f>
        <v>0.5625</v>
      </c>
      <c r="I898" s="49">
        <f>INDEX(PeakCalc!$L$10:$L$303,MATCH(tblPivotData[[#This Row],[Time]],PeakCalc!$G$10:$G$303,0))</f>
        <v>0</v>
      </c>
    </row>
    <row r="899" spans="1:9" x14ac:dyDescent="0.25">
      <c r="A899" t="s">
        <v>95</v>
      </c>
      <c r="B899" t="s">
        <v>102</v>
      </c>
      <c r="C899" t="s">
        <v>97</v>
      </c>
      <c r="D899" t="s">
        <v>92</v>
      </c>
      <c r="E899" t="s">
        <v>110</v>
      </c>
      <c r="F899" s="6">
        <v>0.57291666666666663</v>
      </c>
      <c r="G899">
        <v>0</v>
      </c>
      <c r="H899" s="6">
        <f>FLOOR(tblPivotData[[#This Row],[Time]],Summary!$B$6/1440)</f>
        <v>0.57291666666666663</v>
      </c>
      <c r="I899" s="49">
        <f>INDEX(PeakCalc!$L$10:$L$303,MATCH(tblPivotData[[#This Row],[Time]],PeakCalc!$G$10:$G$303,0))</f>
        <v>0</v>
      </c>
    </row>
    <row r="900" spans="1:9" x14ac:dyDescent="0.25">
      <c r="A900" t="s">
        <v>95</v>
      </c>
      <c r="B900" t="s">
        <v>102</v>
      </c>
      <c r="C900" t="s">
        <v>97</v>
      </c>
      <c r="D900" t="s">
        <v>92</v>
      </c>
      <c r="E900" t="s">
        <v>44</v>
      </c>
      <c r="F900" s="6">
        <v>0.625</v>
      </c>
      <c r="G900">
        <v>0</v>
      </c>
      <c r="H900" s="6">
        <f>FLOOR(tblPivotData[[#This Row],[Time]],Summary!$B$6/1440)</f>
        <v>0.625</v>
      </c>
      <c r="I900" s="49">
        <f>INDEX(PeakCalc!$L$10:$L$303,MATCH(tblPivotData[[#This Row],[Time]],PeakCalc!$G$10:$G$303,0))</f>
        <v>0</v>
      </c>
    </row>
    <row r="901" spans="1:9" x14ac:dyDescent="0.25">
      <c r="A901" t="s">
        <v>95</v>
      </c>
      <c r="B901" t="s">
        <v>102</v>
      </c>
      <c r="C901" t="s">
        <v>97</v>
      </c>
      <c r="D901" t="s">
        <v>92</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95</v>
      </c>
      <c r="B902" t="s">
        <v>102</v>
      </c>
      <c r="C902" t="s">
        <v>97</v>
      </c>
      <c r="D902" t="s">
        <v>92</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95</v>
      </c>
      <c r="B903" t="s">
        <v>102</v>
      </c>
      <c r="C903" t="s">
        <v>97</v>
      </c>
      <c r="D903" t="s">
        <v>92</v>
      </c>
      <c r="E903" t="s">
        <v>44</v>
      </c>
      <c r="F903" s="6">
        <v>0.65625</v>
      </c>
      <c r="G903">
        <v>0</v>
      </c>
      <c r="H903" s="6">
        <f>FLOOR(tblPivotData[[#This Row],[Time]],Summary!$B$6/1440)</f>
        <v>0.65625</v>
      </c>
      <c r="I903" s="49">
        <f>INDEX(PeakCalc!$L$10:$L$303,MATCH(tblPivotData[[#This Row],[Time]],PeakCalc!$G$10:$G$303,0))</f>
        <v>0</v>
      </c>
    </row>
    <row r="904" spans="1:9" x14ac:dyDescent="0.25">
      <c r="A904" t="s">
        <v>95</v>
      </c>
      <c r="B904" t="s">
        <v>102</v>
      </c>
      <c r="C904" t="s">
        <v>97</v>
      </c>
      <c r="D904" t="s">
        <v>92</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95</v>
      </c>
      <c r="B905" t="s">
        <v>102</v>
      </c>
      <c r="C905" t="s">
        <v>97</v>
      </c>
      <c r="D905" t="s">
        <v>92</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95</v>
      </c>
      <c r="B906" t="s">
        <v>102</v>
      </c>
      <c r="C906" t="s">
        <v>97</v>
      </c>
      <c r="D906" t="s">
        <v>92</v>
      </c>
      <c r="E906" t="s">
        <v>44</v>
      </c>
      <c r="F906" s="6">
        <v>0.6875</v>
      </c>
      <c r="G906">
        <v>0</v>
      </c>
      <c r="H906" s="6">
        <f>FLOOR(tblPivotData[[#This Row],[Time]],Summary!$B$6/1440)</f>
        <v>0.6875</v>
      </c>
      <c r="I906" s="49">
        <f>INDEX(PeakCalc!$L$10:$L$303,MATCH(tblPivotData[[#This Row],[Time]],PeakCalc!$G$10:$G$303,0))</f>
        <v>1</v>
      </c>
    </row>
    <row r="907" spans="1:9" x14ac:dyDescent="0.25">
      <c r="A907" t="s">
        <v>95</v>
      </c>
      <c r="B907" t="s">
        <v>102</v>
      </c>
      <c r="C907" t="s">
        <v>97</v>
      </c>
      <c r="D907" t="s">
        <v>92</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95</v>
      </c>
      <c r="B908" t="s">
        <v>102</v>
      </c>
      <c r="C908" t="s">
        <v>97</v>
      </c>
      <c r="D908" t="s">
        <v>92</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95</v>
      </c>
      <c r="B909" t="s">
        <v>102</v>
      </c>
      <c r="C909" t="s">
        <v>97</v>
      </c>
      <c r="D909" t="s">
        <v>92</v>
      </c>
      <c r="E909" t="s">
        <v>44</v>
      </c>
      <c r="F909" s="6">
        <v>0.71875</v>
      </c>
      <c r="G909">
        <v>0</v>
      </c>
      <c r="H909" s="6">
        <f>FLOOR(tblPivotData[[#This Row],[Time]],Summary!$B$6/1440)</f>
        <v>0.71875</v>
      </c>
      <c r="I909" s="49">
        <f>INDEX(PeakCalc!$L$10:$L$303,MATCH(tblPivotData[[#This Row],[Time]],PeakCalc!$G$10:$G$303,0))</f>
        <v>1</v>
      </c>
    </row>
    <row r="910" spans="1:9" x14ac:dyDescent="0.25">
      <c r="A910" t="s">
        <v>95</v>
      </c>
      <c r="B910" t="s">
        <v>102</v>
      </c>
      <c r="C910" t="s">
        <v>97</v>
      </c>
      <c r="D910" t="s">
        <v>92</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95</v>
      </c>
      <c r="B911" t="s">
        <v>102</v>
      </c>
      <c r="C911" t="s">
        <v>97</v>
      </c>
      <c r="D911" t="s">
        <v>92</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95</v>
      </c>
      <c r="B912" t="s">
        <v>102</v>
      </c>
      <c r="C912" t="s">
        <v>97</v>
      </c>
      <c r="D912" t="s">
        <v>92</v>
      </c>
      <c r="E912" t="s">
        <v>44</v>
      </c>
      <c r="F912" s="6">
        <v>0.75</v>
      </c>
      <c r="G912">
        <v>0</v>
      </c>
      <c r="H912" s="6">
        <f>FLOOR(tblPivotData[[#This Row],[Time]],Summary!$B$6/1440)</f>
        <v>0.75</v>
      </c>
      <c r="I912" s="49">
        <f>INDEX(PeakCalc!$L$10:$L$303,MATCH(tblPivotData[[#This Row],[Time]],PeakCalc!$G$10:$G$303,0))</f>
        <v>0</v>
      </c>
    </row>
    <row r="913" spans="1:9" x14ac:dyDescent="0.25">
      <c r="A913" t="s">
        <v>95</v>
      </c>
      <c r="B913" t="s">
        <v>102</v>
      </c>
      <c r="C913" t="s">
        <v>97</v>
      </c>
      <c r="D913" t="s">
        <v>92</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95</v>
      </c>
      <c r="B914" t="s">
        <v>102</v>
      </c>
      <c r="C914" t="s">
        <v>97</v>
      </c>
      <c r="D914" t="s">
        <v>93</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95</v>
      </c>
      <c r="B915" t="s">
        <v>102</v>
      </c>
      <c r="C915" t="s">
        <v>97</v>
      </c>
      <c r="D915" t="s">
        <v>93</v>
      </c>
      <c r="E915" t="s">
        <v>43</v>
      </c>
      <c r="F915" s="6">
        <v>0.28125</v>
      </c>
      <c r="G915">
        <v>0</v>
      </c>
      <c r="H915" s="6">
        <f>FLOOR(tblPivotData[[#This Row],[Time]],Summary!$B$6/1440)</f>
        <v>0.28125</v>
      </c>
      <c r="I915" s="49">
        <f>INDEX(PeakCalc!$L$10:$L$303,MATCH(tblPivotData[[#This Row],[Time]],PeakCalc!$G$10:$G$303,0))</f>
        <v>0</v>
      </c>
    </row>
    <row r="916" spans="1:9" x14ac:dyDescent="0.25">
      <c r="A916" t="s">
        <v>95</v>
      </c>
      <c r="B916" t="s">
        <v>102</v>
      </c>
      <c r="C916" t="s">
        <v>97</v>
      </c>
      <c r="D916" t="s">
        <v>93</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95</v>
      </c>
      <c r="B917" t="s">
        <v>102</v>
      </c>
      <c r="C917" t="s">
        <v>97</v>
      </c>
      <c r="D917" t="s">
        <v>93</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95</v>
      </c>
      <c r="B918" t="s">
        <v>102</v>
      </c>
      <c r="C918" t="s">
        <v>97</v>
      </c>
      <c r="D918" t="s">
        <v>93</v>
      </c>
      <c r="E918" t="s">
        <v>43</v>
      </c>
      <c r="F918" s="6">
        <v>0.3125</v>
      </c>
      <c r="G918">
        <v>1</v>
      </c>
      <c r="H918" s="6">
        <f>FLOOR(tblPivotData[[#This Row],[Time]],Summary!$B$6/1440)</f>
        <v>0.3125</v>
      </c>
      <c r="I918" s="49">
        <f>INDEX(PeakCalc!$L$10:$L$303,MATCH(tblPivotData[[#This Row],[Time]],PeakCalc!$G$10:$G$303,0))</f>
        <v>0</v>
      </c>
    </row>
    <row r="919" spans="1:9" x14ac:dyDescent="0.25">
      <c r="A919" t="s">
        <v>95</v>
      </c>
      <c r="B919" t="s">
        <v>102</v>
      </c>
      <c r="C919" t="s">
        <v>97</v>
      </c>
      <c r="D919" t="s">
        <v>93</v>
      </c>
      <c r="E919" t="s">
        <v>43</v>
      </c>
      <c r="F919" s="6">
        <v>0.32291666666666669</v>
      </c>
      <c r="G919">
        <v>2</v>
      </c>
      <c r="H919" s="6">
        <f>FLOOR(tblPivotData[[#This Row],[Time]],Summary!$B$6/1440)</f>
        <v>0.32291666666666663</v>
      </c>
      <c r="I919" s="49">
        <f>INDEX(PeakCalc!$L$10:$L$303,MATCH(tblPivotData[[#This Row],[Time]],PeakCalc!$G$10:$G$303,0))</f>
        <v>1</v>
      </c>
    </row>
    <row r="920" spans="1:9" x14ac:dyDescent="0.25">
      <c r="A920" t="s">
        <v>95</v>
      </c>
      <c r="B920" t="s">
        <v>102</v>
      </c>
      <c r="C920" t="s">
        <v>97</v>
      </c>
      <c r="D920" t="s">
        <v>93</v>
      </c>
      <c r="E920" t="s">
        <v>43</v>
      </c>
      <c r="F920" s="6">
        <v>0.33333333333333331</v>
      </c>
      <c r="G920">
        <v>4</v>
      </c>
      <c r="H920" s="6">
        <f>FLOOR(tblPivotData[[#This Row],[Time]],Summary!$B$6/1440)</f>
        <v>0.33333333333333331</v>
      </c>
      <c r="I920" s="49">
        <f>INDEX(PeakCalc!$L$10:$L$303,MATCH(tblPivotData[[#This Row],[Time]],PeakCalc!$G$10:$G$303,0))</f>
        <v>1</v>
      </c>
    </row>
    <row r="921" spans="1:9" x14ac:dyDescent="0.25">
      <c r="A921" t="s">
        <v>95</v>
      </c>
      <c r="B921" t="s">
        <v>102</v>
      </c>
      <c r="C921" t="s">
        <v>97</v>
      </c>
      <c r="D921" t="s">
        <v>93</v>
      </c>
      <c r="E921" t="s">
        <v>43</v>
      </c>
      <c r="F921" s="6">
        <v>0.34375</v>
      </c>
      <c r="G921">
        <v>1</v>
      </c>
      <c r="H921" s="6">
        <f>FLOOR(tblPivotData[[#This Row],[Time]],Summary!$B$6/1440)</f>
        <v>0.34375</v>
      </c>
      <c r="I921" s="49">
        <f>INDEX(PeakCalc!$L$10:$L$303,MATCH(tblPivotData[[#This Row],[Time]],PeakCalc!$G$10:$G$303,0))</f>
        <v>1</v>
      </c>
    </row>
    <row r="922" spans="1:9" x14ac:dyDescent="0.25">
      <c r="A922" t="s">
        <v>95</v>
      </c>
      <c r="B922" t="s">
        <v>102</v>
      </c>
      <c r="C922" t="s">
        <v>97</v>
      </c>
      <c r="D922" t="s">
        <v>93</v>
      </c>
      <c r="E922" t="s">
        <v>43</v>
      </c>
      <c r="F922" s="6">
        <v>0.35416666666666669</v>
      </c>
      <c r="G922">
        <v>4</v>
      </c>
      <c r="H922" s="6">
        <f>FLOOR(tblPivotData[[#This Row],[Time]],Summary!$B$6/1440)</f>
        <v>0.35416666666666663</v>
      </c>
      <c r="I922" s="49">
        <f>INDEX(PeakCalc!$L$10:$L$303,MATCH(tblPivotData[[#This Row],[Time]],PeakCalc!$G$10:$G$303,0))</f>
        <v>1</v>
      </c>
    </row>
    <row r="923" spans="1:9" x14ac:dyDescent="0.25">
      <c r="A923" t="s">
        <v>95</v>
      </c>
      <c r="B923" t="s">
        <v>102</v>
      </c>
      <c r="C923" t="s">
        <v>97</v>
      </c>
      <c r="D923" t="s">
        <v>93</v>
      </c>
      <c r="E923" t="s">
        <v>43</v>
      </c>
      <c r="F923" s="6">
        <v>0.36458333333333331</v>
      </c>
      <c r="G923">
        <v>3</v>
      </c>
      <c r="H923" s="6">
        <f>FLOOR(tblPivotData[[#This Row],[Time]],Summary!$B$6/1440)</f>
        <v>0.36458333333333331</v>
      </c>
      <c r="I923" s="49">
        <f>INDEX(PeakCalc!$L$10:$L$303,MATCH(tblPivotData[[#This Row],[Time]],PeakCalc!$G$10:$G$303,0))</f>
        <v>0</v>
      </c>
    </row>
    <row r="924" spans="1:9" x14ac:dyDescent="0.25">
      <c r="A924" t="s">
        <v>95</v>
      </c>
      <c r="B924" t="s">
        <v>102</v>
      </c>
      <c r="C924" t="s">
        <v>97</v>
      </c>
      <c r="D924" t="s">
        <v>93</v>
      </c>
      <c r="E924" t="s">
        <v>43</v>
      </c>
      <c r="F924" s="6">
        <v>0.375</v>
      </c>
      <c r="G924">
        <v>0</v>
      </c>
      <c r="H924" s="6">
        <f>FLOOR(tblPivotData[[#This Row],[Time]],Summary!$B$6/1440)</f>
        <v>0.375</v>
      </c>
      <c r="I924" s="49">
        <f>INDEX(PeakCalc!$L$10:$L$303,MATCH(tblPivotData[[#This Row],[Time]],PeakCalc!$G$10:$G$303,0))</f>
        <v>0</v>
      </c>
    </row>
    <row r="925" spans="1:9" x14ac:dyDescent="0.25">
      <c r="A925" t="s">
        <v>95</v>
      </c>
      <c r="B925" t="s">
        <v>102</v>
      </c>
      <c r="C925" t="s">
        <v>97</v>
      </c>
      <c r="D925" t="s">
        <v>93</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95</v>
      </c>
      <c r="B926" t="s">
        <v>102</v>
      </c>
      <c r="C926" t="s">
        <v>97</v>
      </c>
      <c r="D926" t="s">
        <v>93</v>
      </c>
      <c r="E926" t="s">
        <v>110</v>
      </c>
      <c r="F926" s="6">
        <v>0.45833333333333331</v>
      </c>
      <c r="G926">
        <v>0</v>
      </c>
      <c r="H926" s="6">
        <f>FLOOR(tblPivotData[[#This Row],[Time]],Summary!$B$6/1440)</f>
        <v>0.45833333333333331</v>
      </c>
      <c r="I926" s="49">
        <f>INDEX(PeakCalc!$L$10:$L$303,MATCH(tblPivotData[[#This Row],[Time]],PeakCalc!$G$10:$G$303,0))</f>
        <v>0</v>
      </c>
    </row>
    <row r="927" spans="1:9" x14ac:dyDescent="0.25">
      <c r="A927" t="s">
        <v>95</v>
      </c>
      <c r="B927" t="s">
        <v>102</v>
      </c>
      <c r="C927" t="s">
        <v>97</v>
      </c>
      <c r="D927" t="s">
        <v>93</v>
      </c>
      <c r="E927" t="s">
        <v>110</v>
      </c>
      <c r="F927" s="6">
        <v>0.46875</v>
      </c>
      <c r="G927">
        <v>0</v>
      </c>
      <c r="H927" s="6">
        <f>FLOOR(tblPivotData[[#This Row],[Time]],Summary!$B$6/1440)</f>
        <v>0.46875</v>
      </c>
      <c r="I927" s="49">
        <f>INDEX(PeakCalc!$L$10:$L$303,MATCH(tblPivotData[[#This Row],[Time]],PeakCalc!$G$10:$G$303,0))</f>
        <v>0</v>
      </c>
    </row>
    <row r="928" spans="1:9" x14ac:dyDescent="0.25">
      <c r="A928" t="s">
        <v>95</v>
      </c>
      <c r="B928" t="s">
        <v>102</v>
      </c>
      <c r="C928" t="s">
        <v>97</v>
      </c>
      <c r="D928" t="s">
        <v>93</v>
      </c>
      <c r="E928" t="s">
        <v>110</v>
      </c>
      <c r="F928" s="6">
        <v>0.47916666666666669</v>
      </c>
      <c r="G928">
        <v>0</v>
      </c>
      <c r="H928" s="6">
        <f>FLOOR(tblPivotData[[#This Row],[Time]],Summary!$B$6/1440)</f>
        <v>0.47916666666666663</v>
      </c>
      <c r="I928" s="49">
        <f>INDEX(PeakCalc!$L$10:$L$303,MATCH(tblPivotData[[#This Row],[Time]],PeakCalc!$G$10:$G$303,0))</f>
        <v>0</v>
      </c>
    </row>
    <row r="929" spans="1:9" x14ac:dyDescent="0.25">
      <c r="A929" t="s">
        <v>95</v>
      </c>
      <c r="B929" t="s">
        <v>102</v>
      </c>
      <c r="C929" t="s">
        <v>97</v>
      </c>
      <c r="D929" t="s">
        <v>93</v>
      </c>
      <c r="E929" t="s">
        <v>110</v>
      </c>
      <c r="F929" s="6">
        <v>0.48958333333333331</v>
      </c>
      <c r="G929">
        <v>0</v>
      </c>
      <c r="H929" s="6">
        <f>FLOOR(tblPivotData[[#This Row],[Time]],Summary!$B$6/1440)</f>
        <v>0.48958333333333331</v>
      </c>
      <c r="I929" s="49">
        <f>INDEX(PeakCalc!$L$10:$L$303,MATCH(tblPivotData[[#This Row],[Time]],PeakCalc!$G$10:$G$303,0))</f>
        <v>0</v>
      </c>
    </row>
    <row r="930" spans="1:9" x14ac:dyDescent="0.25">
      <c r="A930" t="s">
        <v>95</v>
      </c>
      <c r="B930" t="s">
        <v>102</v>
      </c>
      <c r="C930" t="s">
        <v>97</v>
      </c>
      <c r="D930" t="s">
        <v>93</v>
      </c>
      <c r="E930" t="s">
        <v>110</v>
      </c>
      <c r="F930" s="6">
        <v>0.5</v>
      </c>
      <c r="G930">
        <v>0</v>
      </c>
      <c r="H930" s="6">
        <f>FLOOR(tblPivotData[[#This Row],[Time]],Summary!$B$6/1440)</f>
        <v>0.5</v>
      </c>
      <c r="I930" s="49">
        <f>INDEX(PeakCalc!$L$10:$L$303,MATCH(tblPivotData[[#This Row],[Time]],PeakCalc!$G$10:$G$303,0))</f>
        <v>0</v>
      </c>
    </row>
    <row r="931" spans="1:9" x14ac:dyDescent="0.25">
      <c r="A931" t="s">
        <v>95</v>
      </c>
      <c r="B931" t="s">
        <v>102</v>
      </c>
      <c r="C931" t="s">
        <v>97</v>
      </c>
      <c r="D931" t="s">
        <v>93</v>
      </c>
      <c r="E931" t="s">
        <v>110</v>
      </c>
      <c r="F931" s="6">
        <v>0.51041666666666663</v>
      </c>
      <c r="G931">
        <v>2</v>
      </c>
      <c r="H931" s="6">
        <f>FLOOR(tblPivotData[[#This Row],[Time]],Summary!$B$6/1440)</f>
        <v>0.51041666666666663</v>
      </c>
      <c r="I931" s="49">
        <f>INDEX(PeakCalc!$L$10:$L$303,MATCH(tblPivotData[[#This Row],[Time]],PeakCalc!$G$10:$G$303,0))</f>
        <v>0</v>
      </c>
    </row>
    <row r="932" spans="1:9" x14ac:dyDescent="0.25">
      <c r="A932" t="s">
        <v>95</v>
      </c>
      <c r="B932" t="s">
        <v>102</v>
      </c>
      <c r="C932" t="s">
        <v>97</v>
      </c>
      <c r="D932" t="s">
        <v>93</v>
      </c>
      <c r="E932" t="s">
        <v>110</v>
      </c>
      <c r="F932" s="6">
        <v>0.52083333333333337</v>
      </c>
      <c r="G932">
        <v>0</v>
      </c>
      <c r="H932" s="6">
        <f>FLOOR(tblPivotData[[#This Row],[Time]],Summary!$B$6/1440)</f>
        <v>0.52083333333333326</v>
      </c>
      <c r="I932" s="49">
        <f>INDEX(PeakCalc!$L$10:$L$303,MATCH(tblPivotData[[#This Row],[Time]],PeakCalc!$G$10:$G$303,0))</f>
        <v>1</v>
      </c>
    </row>
    <row r="933" spans="1:9" x14ac:dyDescent="0.25">
      <c r="A933" t="s">
        <v>95</v>
      </c>
      <c r="B933" t="s">
        <v>102</v>
      </c>
      <c r="C933" t="s">
        <v>97</v>
      </c>
      <c r="D933" t="s">
        <v>93</v>
      </c>
      <c r="E933" t="s">
        <v>110</v>
      </c>
      <c r="F933" s="6">
        <v>0.53125</v>
      </c>
      <c r="G933">
        <v>0</v>
      </c>
      <c r="H933" s="6">
        <f>FLOOR(tblPivotData[[#This Row],[Time]],Summary!$B$6/1440)</f>
        <v>0.53125</v>
      </c>
      <c r="I933" s="49">
        <f>INDEX(PeakCalc!$L$10:$L$303,MATCH(tblPivotData[[#This Row],[Time]],PeakCalc!$G$10:$G$303,0))</f>
        <v>1</v>
      </c>
    </row>
    <row r="934" spans="1:9" x14ac:dyDescent="0.25">
      <c r="A934" t="s">
        <v>95</v>
      </c>
      <c r="B934" t="s">
        <v>102</v>
      </c>
      <c r="C934" t="s">
        <v>97</v>
      </c>
      <c r="D934" t="s">
        <v>93</v>
      </c>
      <c r="E934" t="s">
        <v>110</v>
      </c>
      <c r="F934" s="6">
        <v>0.54166666666666663</v>
      </c>
      <c r="G934">
        <v>3</v>
      </c>
      <c r="H934" s="6">
        <f>FLOOR(tblPivotData[[#This Row],[Time]],Summary!$B$6/1440)</f>
        <v>0.54166666666666663</v>
      </c>
      <c r="I934" s="49">
        <f>INDEX(PeakCalc!$L$10:$L$303,MATCH(tblPivotData[[#This Row],[Time]],PeakCalc!$G$10:$G$303,0))</f>
        <v>1</v>
      </c>
    </row>
    <row r="935" spans="1:9" x14ac:dyDescent="0.25">
      <c r="A935" t="s">
        <v>95</v>
      </c>
      <c r="B935" t="s">
        <v>102</v>
      </c>
      <c r="C935" t="s">
        <v>97</v>
      </c>
      <c r="D935" t="s">
        <v>93</v>
      </c>
      <c r="E935" t="s">
        <v>110</v>
      </c>
      <c r="F935" s="6">
        <v>0.55208333333333337</v>
      </c>
      <c r="G935">
        <v>1</v>
      </c>
      <c r="H935" s="6">
        <f>FLOOR(tblPivotData[[#This Row],[Time]],Summary!$B$6/1440)</f>
        <v>0.55208333333333326</v>
      </c>
      <c r="I935" s="49">
        <f>INDEX(PeakCalc!$L$10:$L$303,MATCH(tblPivotData[[#This Row],[Time]],PeakCalc!$G$10:$G$303,0))</f>
        <v>1</v>
      </c>
    </row>
    <row r="936" spans="1:9" x14ac:dyDescent="0.25">
      <c r="A936" t="s">
        <v>95</v>
      </c>
      <c r="B936" t="s">
        <v>102</v>
      </c>
      <c r="C936" t="s">
        <v>97</v>
      </c>
      <c r="D936" t="s">
        <v>93</v>
      </c>
      <c r="E936" t="s">
        <v>110</v>
      </c>
      <c r="F936" s="6">
        <v>0.5625</v>
      </c>
      <c r="G936">
        <v>0</v>
      </c>
      <c r="H936" s="6">
        <f>FLOOR(tblPivotData[[#This Row],[Time]],Summary!$B$6/1440)</f>
        <v>0.5625</v>
      </c>
      <c r="I936" s="49">
        <f>INDEX(PeakCalc!$L$10:$L$303,MATCH(tblPivotData[[#This Row],[Time]],PeakCalc!$G$10:$G$303,0))</f>
        <v>0</v>
      </c>
    </row>
    <row r="937" spans="1:9" x14ac:dyDescent="0.25">
      <c r="A937" t="s">
        <v>95</v>
      </c>
      <c r="B937" t="s">
        <v>102</v>
      </c>
      <c r="C937" t="s">
        <v>97</v>
      </c>
      <c r="D937" t="s">
        <v>93</v>
      </c>
      <c r="E937" t="s">
        <v>110</v>
      </c>
      <c r="F937" s="6">
        <v>0.57291666666666663</v>
      </c>
      <c r="G937">
        <v>0</v>
      </c>
      <c r="H937" s="6">
        <f>FLOOR(tblPivotData[[#This Row],[Time]],Summary!$B$6/1440)</f>
        <v>0.57291666666666663</v>
      </c>
      <c r="I937" s="49">
        <f>INDEX(PeakCalc!$L$10:$L$303,MATCH(tblPivotData[[#This Row],[Time]],PeakCalc!$G$10:$G$303,0))</f>
        <v>0</v>
      </c>
    </row>
    <row r="938" spans="1:9" x14ac:dyDescent="0.25">
      <c r="A938" t="s">
        <v>95</v>
      </c>
      <c r="B938" t="s">
        <v>102</v>
      </c>
      <c r="C938" t="s">
        <v>97</v>
      </c>
      <c r="D938" t="s">
        <v>93</v>
      </c>
      <c r="E938" t="s">
        <v>44</v>
      </c>
      <c r="F938" s="6">
        <v>0.625</v>
      </c>
      <c r="G938">
        <v>1</v>
      </c>
      <c r="H938" s="6">
        <f>FLOOR(tblPivotData[[#This Row],[Time]],Summary!$B$6/1440)</f>
        <v>0.625</v>
      </c>
      <c r="I938" s="49">
        <f>INDEX(PeakCalc!$L$10:$L$303,MATCH(tblPivotData[[#This Row],[Time]],PeakCalc!$G$10:$G$303,0))</f>
        <v>0</v>
      </c>
    </row>
    <row r="939" spans="1:9" x14ac:dyDescent="0.25">
      <c r="A939" t="s">
        <v>95</v>
      </c>
      <c r="B939" t="s">
        <v>102</v>
      </c>
      <c r="C939" t="s">
        <v>97</v>
      </c>
      <c r="D939" t="s">
        <v>93</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95</v>
      </c>
      <c r="B940" t="s">
        <v>102</v>
      </c>
      <c r="C940" t="s">
        <v>97</v>
      </c>
      <c r="D940" t="s">
        <v>93</v>
      </c>
      <c r="E940" t="s">
        <v>44</v>
      </c>
      <c r="F940" s="6">
        <v>0.64583333333333337</v>
      </c>
      <c r="G940">
        <v>1</v>
      </c>
      <c r="H940" s="6">
        <f>FLOOR(tblPivotData[[#This Row],[Time]],Summary!$B$6/1440)</f>
        <v>0.64583333333333326</v>
      </c>
      <c r="I940" s="49">
        <f>INDEX(PeakCalc!$L$10:$L$303,MATCH(tblPivotData[[#This Row],[Time]],PeakCalc!$G$10:$G$303,0))</f>
        <v>0</v>
      </c>
    </row>
    <row r="941" spans="1:9" x14ac:dyDescent="0.25">
      <c r="A941" t="s">
        <v>95</v>
      </c>
      <c r="B941" t="s">
        <v>102</v>
      </c>
      <c r="C941" t="s">
        <v>97</v>
      </c>
      <c r="D941" t="s">
        <v>93</v>
      </c>
      <c r="E941" t="s">
        <v>44</v>
      </c>
      <c r="F941" s="6">
        <v>0.65625</v>
      </c>
      <c r="G941">
        <v>0</v>
      </c>
      <c r="H941" s="6">
        <f>FLOOR(tblPivotData[[#This Row],[Time]],Summary!$B$6/1440)</f>
        <v>0.65625</v>
      </c>
      <c r="I941" s="49">
        <f>INDEX(PeakCalc!$L$10:$L$303,MATCH(tblPivotData[[#This Row],[Time]],PeakCalc!$G$10:$G$303,0))</f>
        <v>0</v>
      </c>
    </row>
    <row r="942" spans="1:9" x14ac:dyDescent="0.25">
      <c r="A942" t="s">
        <v>95</v>
      </c>
      <c r="B942" t="s">
        <v>102</v>
      </c>
      <c r="C942" t="s">
        <v>97</v>
      </c>
      <c r="D942" t="s">
        <v>93</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95</v>
      </c>
      <c r="B943" t="s">
        <v>102</v>
      </c>
      <c r="C943" t="s">
        <v>97</v>
      </c>
      <c r="D943" t="s">
        <v>93</v>
      </c>
      <c r="E943" t="s">
        <v>44</v>
      </c>
      <c r="F943" s="6">
        <v>0.67708333333333337</v>
      </c>
      <c r="G943">
        <v>2</v>
      </c>
      <c r="H943" s="6">
        <f>FLOOR(tblPivotData[[#This Row],[Time]],Summary!$B$6/1440)</f>
        <v>0.67708333333333326</v>
      </c>
      <c r="I943" s="49">
        <f>INDEX(PeakCalc!$L$10:$L$303,MATCH(tblPivotData[[#This Row],[Time]],PeakCalc!$G$10:$G$303,0))</f>
        <v>0</v>
      </c>
    </row>
    <row r="944" spans="1:9" x14ac:dyDescent="0.25">
      <c r="A944" t="s">
        <v>95</v>
      </c>
      <c r="B944" t="s">
        <v>102</v>
      </c>
      <c r="C944" t="s">
        <v>97</v>
      </c>
      <c r="D944" t="s">
        <v>93</v>
      </c>
      <c r="E944" t="s">
        <v>44</v>
      </c>
      <c r="F944" s="6">
        <v>0.6875</v>
      </c>
      <c r="G944">
        <v>0</v>
      </c>
      <c r="H944" s="6">
        <f>FLOOR(tblPivotData[[#This Row],[Time]],Summary!$B$6/1440)</f>
        <v>0.6875</v>
      </c>
      <c r="I944" s="49">
        <f>INDEX(PeakCalc!$L$10:$L$303,MATCH(tblPivotData[[#This Row],[Time]],PeakCalc!$G$10:$G$303,0))</f>
        <v>1</v>
      </c>
    </row>
    <row r="945" spans="1:9" x14ac:dyDescent="0.25">
      <c r="A945" t="s">
        <v>95</v>
      </c>
      <c r="B945" t="s">
        <v>102</v>
      </c>
      <c r="C945" t="s">
        <v>97</v>
      </c>
      <c r="D945" t="s">
        <v>93</v>
      </c>
      <c r="E945" t="s">
        <v>44</v>
      </c>
      <c r="F945" s="6">
        <v>0.69791666666666663</v>
      </c>
      <c r="G945">
        <v>0</v>
      </c>
      <c r="H945" s="6">
        <f>FLOOR(tblPivotData[[#This Row],[Time]],Summary!$B$6/1440)</f>
        <v>0.69791666666666663</v>
      </c>
      <c r="I945" s="49">
        <f>INDEX(PeakCalc!$L$10:$L$303,MATCH(tblPivotData[[#This Row],[Time]],PeakCalc!$G$10:$G$303,0))</f>
        <v>1</v>
      </c>
    </row>
    <row r="946" spans="1:9" x14ac:dyDescent="0.25">
      <c r="A946" t="s">
        <v>95</v>
      </c>
      <c r="B946" t="s">
        <v>102</v>
      </c>
      <c r="C946" t="s">
        <v>97</v>
      </c>
      <c r="D946" t="s">
        <v>93</v>
      </c>
      <c r="E946" t="s">
        <v>44</v>
      </c>
      <c r="F946" s="6">
        <v>0.70833333333333337</v>
      </c>
      <c r="G946">
        <v>8</v>
      </c>
      <c r="H946" s="6">
        <f>FLOOR(tblPivotData[[#This Row],[Time]],Summary!$B$6/1440)</f>
        <v>0.70833333333333326</v>
      </c>
      <c r="I946" s="49">
        <f>INDEX(PeakCalc!$L$10:$L$303,MATCH(tblPivotData[[#This Row],[Time]],PeakCalc!$G$10:$G$303,0))</f>
        <v>1</v>
      </c>
    </row>
    <row r="947" spans="1:9" x14ac:dyDescent="0.25">
      <c r="A947" t="s">
        <v>95</v>
      </c>
      <c r="B947" t="s">
        <v>102</v>
      </c>
      <c r="C947" t="s">
        <v>97</v>
      </c>
      <c r="D947" t="s">
        <v>93</v>
      </c>
      <c r="E947" t="s">
        <v>44</v>
      </c>
      <c r="F947" s="6">
        <v>0.71875</v>
      </c>
      <c r="G947">
        <v>3</v>
      </c>
      <c r="H947" s="6">
        <f>FLOOR(tblPivotData[[#This Row],[Time]],Summary!$B$6/1440)</f>
        <v>0.71875</v>
      </c>
      <c r="I947" s="49">
        <f>INDEX(PeakCalc!$L$10:$L$303,MATCH(tblPivotData[[#This Row],[Time]],PeakCalc!$G$10:$G$303,0))</f>
        <v>1</v>
      </c>
    </row>
    <row r="948" spans="1:9" x14ac:dyDescent="0.25">
      <c r="A948" t="s">
        <v>95</v>
      </c>
      <c r="B948" t="s">
        <v>102</v>
      </c>
      <c r="C948" t="s">
        <v>97</v>
      </c>
      <c r="D948" t="s">
        <v>93</v>
      </c>
      <c r="E948" t="s">
        <v>44</v>
      </c>
      <c r="F948" s="6">
        <v>0.72916666666666663</v>
      </c>
      <c r="G948">
        <v>1</v>
      </c>
      <c r="H948" s="6">
        <f>FLOOR(tblPivotData[[#This Row],[Time]],Summary!$B$6/1440)</f>
        <v>0.72916666666666663</v>
      </c>
      <c r="I948" s="49">
        <f>INDEX(PeakCalc!$L$10:$L$303,MATCH(tblPivotData[[#This Row],[Time]],PeakCalc!$G$10:$G$303,0))</f>
        <v>0</v>
      </c>
    </row>
    <row r="949" spans="1:9" x14ac:dyDescent="0.25">
      <c r="A949" t="s">
        <v>95</v>
      </c>
      <c r="B949" t="s">
        <v>102</v>
      </c>
      <c r="C949" t="s">
        <v>97</v>
      </c>
      <c r="D949" t="s">
        <v>93</v>
      </c>
      <c r="E949" t="s">
        <v>44</v>
      </c>
      <c r="F949" s="6">
        <v>0.73958333333333337</v>
      </c>
      <c r="G949">
        <v>3</v>
      </c>
      <c r="H949" s="6">
        <f>FLOOR(tblPivotData[[#This Row],[Time]],Summary!$B$6/1440)</f>
        <v>0.73958333333333326</v>
      </c>
      <c r="I949" s="49">
        <f>INDEX(PeakCalc!$L$10:$L$303,MATCH(tblPivotData[[#This Row],[Time]],PeakCalc!$G$10:$G$303,0))</f>
        <v>0</v>
      </c>
    </row>
    <row r="950" spans="1:9" x14ac:dyDescent="0.25">
      <c r="A950" t="s">
        <v>95</v>
      </c>
      <c r="B950" t="s">
        <v>102</v>
      </c>
      <c r="C950" t="s">
        <v>97</v>
      </c>
      <c r="D950" t="s">
        <v>93</v>
      </c>
      <c r="E950" t="s">
        <v>44</v>
      </c>
      <c r="F950" s="6">
        <v>0.75</v>
      </c>
      <c r="G950">
        <v>0</v>
      </c>
      <c r="H950" s="6">
        <f>FLOOR(tblPivotData[[#This Row],[Time]],Summary!$B$6/1440)</f>
        <v>0.75</v>
      </c>
      <c r="I950" s="49">
        <f>INDEX(PeakCalc!$L$10:$L$303,MATCH(tblPivotData[[#This Row],[Time]],PeakCalc!$G$10:$G$303,0))</f>
        <v>0</v>
      </c>
    </row>
    <row r="951" spans="1:9" x14ac:dyDescent="0.25">
      <c r="A951" t="s">
        <v>95</v>
      </c>
      <c r="B951" t="s">
        <v>102</v>
      </c>
      <c r="C951" t="s">
        <v>97</v>
      </c>
      <c r="D951" t="s">
        <v>93</v>
      </c>
      <c r="E951" t="s">
        <v>44</v>
      </c>
      <c r="F951" s="6">
        <v>0.76041666666666663</v>
      </c>
      <c r="G951">
        <v>0</v>
      </c>
      <c r="H951" s="6">
        <f>FLOOR(tblPivotData[[#This Row],[Time]],Summary!$B$6/1440)</f>
        <v>0.76041666666666663</v>
      </c>
      <c r="I951" s="49">
        <f>INDEX(PeakCalc!$L$10:$L$303,MATCH(tblPivotData[[#This Row],[Time]],PeakCalc!$G$10:$G$303,0))</f>
        <v>0</v>
      </c>
    </row>
    <row r="952" spans="1:9" x14ac:dyDescent="0.25">
      <c r="A952" t="s">
        <v>95</v>
      </c>
      <c r="B952" t="s">
        <v>103</v>
      </c>
      <c r="C952" t="s">
        <v>94</v>
      </c>
      <c r="D952" t="s">
        <v>89</v>
      </c>
      <c r="E952" t="s">
        <v>43</v>
      </c>
      <c r="F952" s="6">
        <v>0.27083333333333331</v>
      </c>
      <c r="G952">
        <v>16</v>
      </c>
      <c r="H952" s="6">
        <f>FLOOR(tblPivotData[[#This Row],[Time]],Summary!$B$6/1440)</f>
        <v>0.27083333333333331</v>
      </c>
      <c r="I952" s="49">
        <f>INDEX(PeakCalc!$L$10:$L$303,MATCH(tblPivotData[[#This Row],[Time]],PeakCalc!$G$10:$G$303,0))</f>
        <v>0</v>
      </c>
    </row>
    <row r="953" spans="1:9" x14ac:dyDescent="0.25">
      <c r="A953" t="s">
        <v>95</v>
      </c>
      <c r="B953" t="s">
        <v>103</v>
      </c>
      <c r="C953" t="s">
        <v>94</v>
      </c>
      <c r="D953" t="s">
        <v>89</v>
      </c>
      <c r="E953" t="s">
        <v>43</v>
      </c>
      <c r="F953" s="6">
        <v>0.28125</v>
      </c>
      <c r="G953">
        <v>18</v>
      </c>
      <c r="H953" s="6">
        <f>FLOOR(tblPivotData[[#This Row],[Time]],Summary!$B$6/1440)</f>
        <v>0.28125</v>
      </c>
      <c r="I953" s="49">
        <f>INDEX(PeakCalc!$L$10:$L$303,MATCH(tblPivotData[[#This Row],[Time]],PeakCalc!$G$10:$G$303,0))</f>
        <v>0</v>
      </c>
    </row>
    <row r="954" spans="1:9" x14ac:dyDescent="0.25">
      <c r="A954" t="s">
        <v>95</v>
      </c>
      <c r="B954" t="s">
        <v>103</v>
      </c>
      <c r="C954" t="s">
        <v>94</v>
      </c>
      <c r="D954" t="s">
        <v>89</v>
      </c>
      <c r="E954" t="s">
        <v>43</v>
      </c>
      <c r="F954" s="6">
        <v>0.29166666666666669</v>
      </c>
      <c r="G954">
        <v>32</v>
      </c>
      <c r="H954" s="6">
        <f>FLOOR(tblPivotData[[#This Row],[Time]],Summary!$B$6/1440)</f>
        <v>0.29166666666666663</v>
      </c>
      <c r="I954" s="49">
        <f>INDEX(PeakCalc!$L$10:$L$303,MATCH(tblPivotData[[#This Row],[Time]],PeakCalc!$G$10:$G$303,0))</f>
        <v>0</v>
      </c>
    </row>
    <row r="955" spans="1:9" x14ac:dyDescent="0.25">
      <c r="A955" t="s">
        <v>95</v>
      </c>
      <c r="B955" t="s">
        <v>103</v>
      </c>
      <c r="C955" t="s">
        <v>94</v>
      </c>
      <c r="D955" t="s">
        <v>89</v>
      </c>
      <c r="E955" t="s">
        <v>43</v>
      </c>
      <c r="F955" s="6">
        <v>0.30208333333333331</v>
      </c>
      <c r="G955">
        <v>35</v>
      </c>
      <c r="H955" s="6">
        <f>FLOOR(tblPivotData[[#This Row],[Time]],Summary!$B$6/1440)</f>
        <v>0.30208333333333331</v>
      </c>
      <c r="I955" s="49">
        <f>INDEX(PeakCalc!$L$10:$L$303,MATCH(tblPivotData[[#This Row],[Time]],PeakCalc!$G$10:$G$303,0))</f>
        <v>0</v>
      </c>
    </row>
    <row r="956" spans="1:9" x14ac:dyDescent="0.25">
      <c r="A956" t="s">
        <v>95</v>
      </c>
      <c r="B956" t="s">
        <v>103</v>
      </c>
      <c r="C956" t="s">
        <v>94</v>
      </c>
      <c r="D956" t="s">
        <v>89</v>
      </c>
      <c r="E956" t="s">
        <v>43</v>
      </c>
      <c r="F956" s="6">
        <v>0.3125</v>
      </c>
      <c r="G956">
        <v>43</v>
      </c>
      <c r="H956" s="6">
        <f>FLOOR(tblPivotData[[#This Row],[Time]],Summary!$B$6/1440)</f>
        <v>0.3125</v>
      </c>
      <c r="I956" s="49">
        <f>INDEX(PeakCalc!$L$10:$L$303,MATCH(tblPivotData[[#This Row],[Time]],PeakCalc!$G$10:$G$303,0))</f>
        <v>0</v>
      </c>
    </row>
    <row r="957" spans="1:9" x14ac:dyDescent="0.25">
      <c r="A957" t="s">
        <v>95</v>
      </c>
      <c r="B957" t="s">
        <v>103</v>
      </c>
      <c r="C957" t="s">
        <v>94</v>
      </c>
      <c r="D957" t="s">
        <v>89</v>
      </c>
      <c r="E957" t="s">
        <v>43</v>
      </c>
      <c r="F957" s="6">
        <v>0.32291666666666669</v>
      </c>
      <c r="G957">
        <v>57</v>
      </c>
      <c r="H957" s="6">
        <f>FLOOR(tblPivotData[[#This Row],[Time]],Summary!$B$6/1440)</f>
        <v>0.32291666666666663</v>
      </c>
      <c r="I957" s="49">
        <f>INDEX(PeakCalc!$L$10:$L$303,MATCH(tblPivotData[[#This Row],[Time]],PeakCalc!$G$10:$G$303,0))</f>
        <v>1</v>
      </c>
    </row>
    <row r="958" spans="1:9" x14ac:dyDescent="0.25">
      <c r="A958" t="s">
        <v>95</v>
      </c>
      <c r="B958" t="s">
        <v>103</v>
      </c>
      <c r="C958" t="s">
        <v>94</v>
      </c>
      <c r="D958" t="s">
        <v>89</v>
      </c>
      <c r="E958" t="s">
        <v>43</v>
      </c>
      <c r="F958" s="6">
        <v>0.33333333333333331</v>
      </c>
      <c r="G958">
        <v>41</v>
      </c>
      <c r="H958" s="6">
        <f>FLOOR(tblPivotData[[#This Row],[Time]],Summary!$B$6/1440)</f>
        <v>0.33333333333333331</v>
      </c>
      <c r="I958" s="49">
        <f>INDEX(PeakCalc!$L$10:$L$303,MATCH(tblPivotData[[#This Row],[Time]],PeakCalc!$G$10:$G$303,0))</f>
        <v>1</v>
      </c>
    </row>
    <row r="959" spans="1:9" x14ac:dyDescent="0.25">
      <c r="A959" t="s">
        <v>95</v>
      </c>
      <c r="B959" t="s">
        <v>103</v>
      </c>
      <c r="C959" t="s">
        <v>94</v>
      </c>
      <c r="D959" t="s">
        <v>89</v>
      </c>
      <c r="E959" t="s">
        <v>43</v>
      </c>
      <c r="F959" s="6">
        <v>0.34375</v>
      </c>
      <c r="G959">
        <v>57</v>
      </c>
      <c r="H959" s="6">
        <f>FLOOR(tblPivotData[[#This Row],[Time]],Summary!$B$6/1440)</f>
        <v>0.34375</v>
      </c>
      <c r="I959" s="49">
        <f>INDEX(PeakCalc!$L$10:$L$303,MATCH(tblPivotData[[#This Row],[Time]],PeakCalc!$G$10:$G$303,0))</f>
        <v>1</v>
      </c>
    </row>
    <row r="960" spans="1:9" x14ac:dyDescent="0.25">
      <c r="A960" t="s">
        <v>95</v>
      </c>
      <c r="B960" t="s">
        <v>103</v>
      </c>
      <c r="C960" t="s">
        <v>94</v>
      </c>
      <c r="D960" t="s">
        <v>89</v>
      </c>
      <c r="E960" t="s">
        <v>43</v>
      </c>
      <c r="F960" s="6">
        <v>0.35416666666666669</v>
      </c>
      <c r="G960">
        <v>43</v>
      </c>
      <c r="H960" s="6">
        <f>FLOOR(tblPivotData[[#This Row],[Time]],Summary!$B$6/1440)</f>
        <v>0.35416666666666663</v>
      </c>
      <c r="I960" s="49">
        <f>INDEX(PeakCalc!$L$10:$L$303,MATCH(tblPivotData[[#This Row],[Time]],PeakCalc!$G$10:$G$303,0))</f>
        <v>1</v>
      </c>
    </row>
    <row r="961" spans="1:9" x14ac:dyDescent="0.25">
      <c r="A961" t="s">
        <v>95</v>
      </c>
      <c r="B961" t="s">
        <v>103</v>
      </c>
      <c r="C961" t="s">
        <v>94</v>
      </c>
      <c r="D961" t="s">
        <v>89</v>
      </c>
      <c r="E961" t="s">
        <v>43</v>
      </c>
      <c r="F961" s="6">
        <v>0.36458333333333331</v>
      </c>
      <c r="G961">
        <v>41</v>
      </c>
      <c r="H961" s="6">
        <f>FLOOR(tblPivotData[[#This Row],[Time]],Summary!$B$6/1440)</f>
        <v>0.36458333333333331</v>
      </c>
      <c r="I961" s="49">
        <f>INDEX(PeakCalc!$L$10:$L$303,MATCH(tblPivotData[[#This Row],[Time]],PeakCalc!$G$10:$G$303,0))</f>
        <v>0</v>
      </c>
    </row>
    <row r="962" spans="1:9" x14ac:dyDescent="0.25">
      <c r="A962" t="s">
        <v>95</v>
      </c>
      <c r="B962" t="s">
        <v>103</v>
      </c>
      <c r="C962" t="s">
        <v>94</v>
      </c>
      <c r="D962" t="s">
        <v>89</v>
      </c>
      <c r="E962" t="s">
        <v>43</v>
      </c>
      <c r="F962" s="6">
        <v>0.375</v>
      </c>
      <c r="G962">
        <v>47</v>
      </c>
      <c r="H962" s="6">
        <f>FLOOR(tblPivotData[[#This Row],[Time]],Summary!$B$6/1440)</f>
        <v>0.375</v>
      </c>
      <c r="I962" s="49">
        <f>INDEX(PeakCalc!$L$10:$L$303,MATCH(tblPivotData[[#This Row],[Time]],PeakCalc!$G$10:$G$303,0))</f>
        <v>0</v>
      </c>
    </row>
    <row r="963" spans="1:9" x14ac:dyDescent="0.25">
      <c r="A963" t="s">
        <v>95</v>
      </c>
      <c r="B963" t="s">
        <v>103</v>
      </c>
      <c r="C963" t="s">
        <v>94</v>
      </c>
      <c r="D963" t="s">
        <v>89</v>
      </c>
      <c r="E963" t="s">
        <v>43</v>
      </c>
      <c r="F963" s="6">
        <v>0.38541666666666669</v>
      </c>
      <c r="G963">
        <v>23</v>
      </c>
      <c r="H963" s="6">
        <f>FLOOR(tblPivotData[[#This Row],[Time]],Summary!$B$6/1440)</f>
        <v>0.38541666666666663</v>
      </c>
      <c r="I963" s="49">
        <f>INDEX(PeakCalc!$L$10:$L$303,MATCH(tblPivotData[[#This Row],[Time]],PeakCalc!$G$10:$G$303,0))</f>
        <v>0</v>
      </c>
    </row>
    <row r="964" spans="1:9" x14ac:dyDescent="0.25">
      <c r="A964" t="s">
        <v>95</v>
      </c>
      <c r="B964" t="s">
        <v>103</v>
      </c>
      <c r="C964" t="s">
        <v>94</v>
      </c>
      <c r="D964" t="s">
        <v>89</v>
      </c>
      <c r="E964" t="s">
        <v>110</v>
      </c>
      <c r="F964" s="6">
        <v>0.45833333333333331</v>
      </c>
      <c r="G964">
        <v>40</v>
      </c>
      <c r="H964" s="6">
        <f>FLOOR(tblPivotData[[#This Row],[Time]],Summary!$B$6/1440)</f>
        <v>0.45833333333333331</v>
      </c>
      <c r="I964" s="49">
        <f>INDEX(PeakCalc!$L$10:$L$303,MATCH(tblPivotData[[#This Row],[Time]],PeakCalc!$G$10:$G$303,0))</f>
        <v>0</v>
      </c>
    </row>
    <row r="965" spans="1:9" x14ac:dyDescent="0.25">
      <c r="A965" t="s">
        <v>95</v>
      </c>
      <c r="B965" t="s">
        <v>103</v>
      </c>
      <c r="C965" t="s">
        <v>94</v>
      </c>
      <c r="D965" t="s">
        <v>89</v>
      </c>
      <c r="E965" t="s">
        <v>110</v>
      </c>
      <c r="F965" s="6">
        <v>0.46875</v>
      </c>
      <c r="G965">
        <v>45</v>
      </c>
      <c r="H965" s="6">
        <f>FLOOR(tblPivotData[[#This Row],[Time]],Summary!$B$6/1440)</f>
        <v>0.46875</v>
      </c>
      <c r="I965" s="49">
        <f>INDEX(PeakCalc!$L$10:$L$303,MATCH(tblPivotData[[#This Row],[Time]],PeakCalc!$G$10:$G$303,0))</f>
        <v>0</v>
      </c>
    </row>
    <row r="966" spans="1:9" x14ac:dyDescent="0.25">
      <c r="A966" t="s">
        <v>95</v>
      </c>
      <c r="B966" t="s">
        <v>103</v>
      </c>
      <c r="C966" t="s">
        <v>94</v>
      </c>
      <c r="D966" t="s">
        <v>89</v>
      </c>
      <c r="E966" t="s">
        <v>110</v>
      </c>
      <c r="F966" s="6">
        <v>0.47916666666666669</v>
      </c>
      <c r="G966">
        <v>46</v>
      </c>
      <c r="H966" s="6">
        <f>FLOOR(tblPivotData[[#This Row],[Time]],Summary!$B$6/1440)</f>
        <v>0.47916666666666663</v>
      </c>
      <c r="I966" s="49">
        <f>INDEX(PeakCalc!$L$10:$L$303,MATCH(tblPivotData[[#This Row],[Time]],PeakCalc!$G$10:$G$303,0))</f>
        <v>0</v>
      </c>
    </row>
    <row r="967" spans="1:9" x14ac:dyDescent="0.25">
      <c r="A967" t="s">
        <v>95</v>
      </c>
      <c r="B967" t="s">
        <v>103</v>
      </c>
      <c r="C967" t="s">
        <v>94</v>
      </c>
      <c r="D967" t="s">
        <v>89</v>
      </c>
      <c r="E967" t="s">
        <v>110</v>
      </c>
      <c r="F967" s="6">
        <v>0.48958333333333331</v>
      </c>
      <c r="G967">
        <v>37</v>
      </c>
      <c r="H967" s="6">
        <f>FLOOR(tblPivotData[[#This Row],[Time]],Summary!$B$6/1440)</f>
        <v>0.48958333333333331</v>
      </c>
      <c r="I967" s="49">
        <f>INDEX(PeakCalc!$L$10:$L$303,MATCH(tblPivotData[[#This Row],[Time]],PeakCalc!$G$10:$G$303,0))</f>
        <v>0</v>
      </c>
    </row>
    <row r="968" spans="1:9" x14ac:dyDescent="0.25">
      <c r="A968" t="s">
        <v>95</v>
      </c>
      <c r="B968" t="s">
        <v>103</v>
      </c>
      <c r="C968" t="s">
        <v>94</v>
      </c>
      <c r="D968" t="s">
        <v>89</v>
      </c>
      <c r="E968" t="s">
        <v>110</v>
      </c>
      <c r="F968" s="6">
        <v>0.5</v>
      </c>
      <c r="G968">
        <v>61</v>
      </c>
      <c r="H968" s="6">
        <f>FLOOR(tblPivotData[[#This Row],[Time]],Summary!$B$6/1440)</f>
        <v>0.5</v>
      </c>
      <c r="I968" s="49">
        <f>INDEX(PeakCalc!$L$10:$L$303,MATCH(tblPivotData[[#This Row],[Time]],PeakCalc!$G$10:$G$303,0))</f>
        <v>0</v>
      </c>
    </row>
    <row r="969" spans="1:9" x14ac:dyDescent="0.25">
      <c r="A969" t="s">
        <v>95</v>
      </c>
      <c r="B969" t="s">
        <v>103</v>
      </c>
      <c r="C969" t="s">
        <v>94</v>
      </c>
      <c r="D969" t="s">
        <v>89</v>
      </c>
      <c r="E969" t="s">
        <v>110</v>
      </c>
      <c r="F969" s="6">
        <v>0.51041666666666663</v>
      </c>
      <c r="G969">
        <v>41</v>
      </c>
      <c r="H969" s="6">
        <f>FLOOR(tblPivotData[[#This Row],[Time]],Summary!$B$6/1440)</f>
        <v>0.51041666666666663</v>
      </c>
      <c r="I969" s="49">
        <f>INDEX(PeakCalc!$L$10:$L$303,MATCH(tblPivotData[[#This Row],[Time]],PeakCalc!$G$10:$G$303,0))</f>
        <v>0</v>
      </c>
    </row>
    <row r="970" spans="1:9" x14ac:dyDescent="0.25">
      <c r="A970" t="s">
        <v>95</v>
      </c>
      <c r="B970" t="s">
        <v>103</v>
      </c>
      <c r="C970" t="s">
        <v>94</v>
      </c>
      <c r="D970" t="s">
        <v>89</v>
      </c>
      <c r="E970" t="s">
        <v>110</v>
      </c>
      <c r="F970" s="6">
        <v>0.52083333333333337</v>
      </c>
      <c r="G970">
        <v>40</v>
      </c>
      <c r="H970" s="6">
        <f>FLOOR(tblPivotData[[#This Row],[Time]],Summary!$B$6/1440)</f>
        <v>0.52083333333333326</v>
      </c>
      <c r="I970" s="49">
        <f>INDEX(PeakCalc!$L$10:$L$303,MATCH(tblPivotData[[#This Row],[Time]],PeakCalc!$G$10:$G$303,0))</f>
        <v>1</v>
      </c>
    </row>
    <row r="971" spans="1:9" x14ac:dyDescent="0.25">
      <c r="A971" t="s">
        <v>95</v>
      </c>
      <c r="B971" t="s">
        <v>103</v>
      </c>
      <c r="C971" t="s">
        <v>94</v>
      </c>
      <c r="D971" t="s">
        <v>89</v>
      </c>
      <c r="E971" t="s">
        <v>110</v>
      </c>
      <c r="F971" s="6">
        <v>0.53125</v>
      </c>
      <c r="G971">
        <v>52</v>
      </c>
      <c r="H971" s="6">
        <f>FLOOR(tblPivotData[[#This Row],[Time]],Summary!$B$6/1440)</f>
        <v>0.53125</v>
      </c>
      <c r="I971" s="49">
        <f>INDEX(PeakCalc!$L$10:$L$303,MATCH(tblPivotData[[#This Row],[Time]],PeakCalc!$G$10:$G$303,0))</f>
        <v>1</v>
      </c>
    </row>
    <row r="972" spans="1:9" x14ac:dyDescent="0.25">
      <c r="A972" t="s">
        <v>95</v>
      </c>
      <c r="B972" t="s">
        <v>103</v>
      </c>
      <c r="C972" t="s">
        <v>94</v>
      </c>
      <c r="D972" t="s">
        <v>89</v>
      </c>
      <c r="E972" t="s">
        <v>110</v>
      </c>
      <c r="F972" s="6">
        <v>0.54166666666666663</v>
      </c>
      <c r="G972">
        <v>41</v>
      </c>
      <c r="H972" s="6">
        <f>FLOOR(tblPivotData[[#This Row],[Time]],Summary!$B$6/1440)</f>
        <v>0.54166666666666663</v>
      </c>
      <c r="I972" s="49">
        <f>INDEX(PeakCalc!$L$10:$L$303,MATCH(tblPivotData[[#This Row],[Time]],PeakCalc!$G$10:$G$303,0))</f>
        <v>1</v>
      </c>
    </row>
    <row r="973" spans="1:9" x14ac:dyDescent="0.25">
      <c r="A973" t="s">
        <v>95</v>
      </c>
      <c r="B973" t="s">
        <v>103</v>
      </c>
      <c r="C973" t="s">
        <v>94</v>
      </c>
      <c r="D973" t="s">
        <v>89</v>
      </c>
      <c r="E973" t="s">
        <v>110</v>
      </c>
      <c r="F973" s="6">
        <v>0.55208333333333337</v>
      </c>
      <c r="G973">
        <v>66</v>
      </c>
      <c r="H973" s="6">
        <f>FLOOR(tblPivotData[[#This Row],[Time]],Summary!$B$6/1440)</f>
        <v>0.55208333333333326</v>
      </c>
      <c r="I973" s="49">
        <f>INDEX(PeakCalc!$L$10:$L$303,MATCH(tblPivotData[[#This Row],[Time]],PeakCalc!$G$10:$G$303,0))</f>
        <v>1</v>
      </c>
    </row>
    <row r="974" spans="1:9" x14ac:dyDescent="0.25">
      <c r="A974" t="s">
        <v>95</v>
      </c>
      <c r="B974" t="s">
        <v>103</v>
      </c>
      <c r="C974" t="s">
        <v>94</v>
      </c>
      <c r="D974" t="s">
        <v>89</v>
      </c>
      <c r="E974" t="s">
        <v>110</v>
      </c>
      <c r="F974" s="6">
        <v>0.5625</v>
      </c>
      <c r="G974">
        <v>44</v>
      </c>
      <c r="H974" s="6">
        <f>FLOOR(tblPivotData[[#This Row],[Time]],Summary!$B$6/1440)</f>
        <v>0.5625</v>
      </c>
      <c r="I974" s="49">
        <f>INDEX(PeakCalc!$L$10:$L$303,MATCH(tblPivotData[[#This Row],[Time]],PeakCalc!$G$10:$G$303,0))</f>
        <v>0</v>
      </c>
    </row>
    <row r="975" spans="1:9" x14ac:dyDescent="0.25">
      <c r="A975" t="s">
        <v>95</v>
      </c>
      <c r="B975" t="s">
        <v>103</v>
      </c>
      <c r="C975" t="s">
        <v>94</v>
      </c>
      <c r="D975" t="s">
        <v>89</v>
      </c>
      <c r="E975" t="s">
        <v>110</v>
      </c>
      <c r="F975" s="6">
        <v>0.57291666666666663</v>
      </c>
      <c r="G975">
        <v>49</v>
      </c>
      <c r="H975" s="6">
        <f>FLOOR(tblPivotData[[#This Row],[Time]],Summary!$B$6/1440)</f>
        <v>0.57291666666666663</v>
      </c>
      <c r="I975" s="49">
        <f>INDEX(PeakCalc!$L$10:$L$303,MATCH(tblPivotData[[#This Row],[Time]],PeakCalc!$G$10:$G$303,0))</f>
        <v>0</v>
      </c>
    </row>
    <row r="976" spans="1:9" x14ac:dyDescent="0.25">
      <c r="A976" t="s">
        <v>95</v>
      </c>
      <c r="B976" t="s">
        <v>103</v>
      </c>
      <c r="C976" t="s">
        <v>94</v>
      </c>
      <c r="D976" t="s">
        <v>89</v>
      </c>
      <c r="E976" t="s">
        <v>44</v>
      </c>
      <c r="F976" s="6">
        <v>0.625</v>
      </c>
      <c r="G976">
        <v>74</v>
      </c>
      <c r="H976" s="6">
        <f>FLOOR(tblPivotData[[#This Row],[Time]],Summary!$B$6/1440)</f>
        <v>0.625</v>
      </c>
      <c r="I976" s="49">
        <f>INDEX(PeakCalc!$L$10:$L$303,MATCH(tblPivotData[[#This Row],[Time]],PeakCalc!$G$10:$G$303,0))</f>
        <v>0</v>
      </c>
    </row>
    <row r="977" spans="1:9" x14ac:dyDescent="0.25">
      <c r="A977" t="s">
        <v>95</v>
      </c>
      <c r="B977" t="s">
        <v>103</v>
      </c>
      <c r="C977" t="s">
        <v>94</v>
      </c>
      <c r="D977" t="s">
        <v>89</v>
      </c>
      <c r="E977" t="s">
        <v>44</v>
      </c>
      <c r="F977" s="6">
        <v>0.63541666666666663</v>
      </c>
      <c r="G977">
        <v>74</v>
      </c>
      <c r="H977" s="6">
        <f>FLOOR(tblPivotData[[#This Row],[Time]],Summary!$B$6/1440)</f>
        <v>0.63541666666666663</v>
      </c>
      <c r="I977" s="49">
        <f>INDEX(PeakCalc!$L$10:$L$303,MATCH(tblPivotData[[#This Row],[Time]],PeakCalc!$G$10:$G$303,0))</f>
        <v>0</v>
      </c>
    </row>
    <row r="978" spans="1:9" x14ac:dyDescent="0.25">
      <c r="A978" t="s">
        <v>95</v>
      </c>
      <c r="B978" t="s">
        <v>103</v>
      </c>
      <c r="C978" t="s">
        <v>94</v>
      </c>
      <c r="D978" t="s">
        <v>89</v>
      </c>
      <c r="E978" t="s">
        <v>44</v>
      </c>
      <c r="F978" s="6">
        <v>0.64583333333333337</v>
      </c>
      <c r="G978">
        <v>61</v>
      </c>
      <c r="H978" s="6">
        <f>FLOOR(tblPivotData[[#This Row],[Time]],Summary!$B$6/1440)</f>
        <v>0.64583333333333326</v>
      </c>
      <c r="I978" s="49">
        <f>INDEX(PeakCalc!$L$10:$L$303,MATCH(tblPivotData[[#This Row],[Time]],PeakCalc!$G$10:$G$303,0))</f>
        <v>0</v>
      </c>
    </row>
    <row r="979" spans="1:9" x14ac:dyDescent="0.25">
      <c r="A979" t="s">
        <v>95</v>
      </c>
      <c r="B979" t="s">
        <v>103</v>
      </c>
      <c r="C979" t="s">
        <v>94</v>
      </c>
      <c r="D979" t="s">
        <v>89</v>
      </c>
      <c r="E979" t="s">
        <v>44</v>
      </c>
      <c r="F979" s="6">
        <v>0.65625</v>
      </c>
      <c r="G979">
        <v>74</v>
      </c>
      <c r="H979" s="6">
        <f>FLOOR(tblPivotData[[#This Row],[Time]],Summary!$B$6/1440)</f>
        <v>0.65625</v>
      </c>
      <c r="I979" s="49">
        <f>INDEX(PeakCalc!$L$10:$L$303,MATCH(tblPivotData[[#This Row],[Time]],PeakCalc!$G$10:$G$303,0))</f>
        <v>0</v>
      </c>
    </row>
    <row r="980" spans="1:9" x14ac:dyDescent="0.25">
      <c r="A980" t="s">
        <v>95</v>
      </c>
      <c r="B980" t="s">
        <v>103</v>
      </c>
      <c r="C980" t="s">
        <v>94</v>
      </c>
      <c r="D980" t="s">
        <v>89</v>
      </c>
      <c r="E980" t="s">
        <v>44</v>
      </c>
      <c r="F980" s="6">
        <v>0.66666666666666663</v>
      </c>
      <c r="G980">
        <v>88</v>
      </c>
      <c r="H980" s="6">
        <f>FLOOR(tblPivotData[[#This Row],[Time]],Summary!$B$6/1440)</f>
        <v>0.66666666666666663</v>
      </c>
      <c r="I980" s="49">
        <f>INDEX(PeakCalc!$L$10:$L$303,MATCH(tblPivotData[[#This Row],[Time]],PeakCalc!$G$10:$G$303,0))</f>
        <v>0</v>
      </c>
    </row>
    <row r="981" spans="1:9" x14ac:dyDescent="0.25">
      <c r="A981" t="s">
        <v>95</v>
      </c>
      <c r="B981" t="s">
        <v>103</v>
      </c>
      <c r="C981" t="s">
        <v>94</v>
      </c>
      <c r="D981" t="s">
        <v>89</v>
      </c>
      <c r="E981" t="s">
        <v>44</v>
      </c>
      <c r="F981" s="6">
        <v>0.67708333333333337</v>
      </c>
      <c r="G981">
        <v>84</v>
      </c>
      <c r="H981" s="6">
        <f>FLOOR(tblPivotData[[#This Row],[Time]],Summary!$B$6/1440)</f>
        <v>0.67708333333333326</v>
      </c>
      <c r="I981" s="49">
        <f>INDEX(PeakCalc!$L$10:$L$303,MATCH(tblPivotData[[#This Row],[Time]],PeakCalc!$G$10:$G$303,0))</f>
        <v>0</v>
      </c>
    </row>
    <row r="982" spans="1:9" x14ac:dyDescent="0.25">
      <c r="A982" t="s">
        <v>95</v>
      </c>
      <c r="B982" t="s">
        <v>103</v>
      </c>
      <c r="C982" t="s">
        <v>94</v>
      </c>
      <c r="D982" t="s">
        <v>89</v>
      </c>
      <c r="E982" t="s">
        <v>44</v>
      </c>
      <c r="F982" s="6">
        <v>0.6875</v>
      </c>
      <c r="G982">
        <v>119</v>
      </c>
      <c r="H982" s="6">
        <f>FLOOR(tblPivotData[[#This Row],[Time]],Summary!$B$6/1440)</f>
        <v>0.6875</v>
      </c>
      <c r="I982" s="49">
        <f>INDEX(PeakCalc!$L$10:$L$303,MATCH(tblPivotData[[#This Row],[Time]],PeakCalc!$G$10:$G$303,0))</f>
        <v>1</v>
      </c>
    </row>
    <row r="983" spans="1:9" x14ac:dyDescent="0.25">
      <c r="A983" t="s">
        <v>95</v>
      </c>
      <c r="B983" t="s">
        <v>103</v>
      </c>
      <c r="C983" t="s">
        <v>94</v>
      </c>
      <c r="D983" t="s">
        <v>89</v>
      </c>
      <c r="E983" t="s">
        <v>44</v>
      </c>
      <c r="F983" s="6">
        <v>0.69791666666666663</v>
      </c>
      <c r="G983">
        <v>99</v>
      </c>
      <c r="H983" s="6">
        <f>FLOOR(tblPivotData[[#This Row],[Time]],Summary!$B$6/1440)</f>
        <v>0.69791666666666663</v>
      </c>
      <c r="I983" s="49">
        <f>INDEX(PeakCalc!$L$10:$L$303,MATCH(tblPivotData[[#This Row],[Time]],PeakCalc!$G$10:$G$303,0))</f>
        <v>1</v>
      </c>
    </row>
    <row r="984" spans="1:9" x14ac:dyDescent="0.25">
      <c r="A984" t="s">
        <v>95</v>
      </c>
      <c r="B984" t="s">
        <v>103</v>
      </c>
      <c r="C984" t="s">
        <v>94</v>
      </c>
      <c r="D984" t="s">
        <v>89</v>
      </c>
      <c r="E984" t="s">
        <v>44</v>
      </c>
      <c r="F984" s="6">
        <v>0.70833333333333337</v>
      </c>
      <c r="G984">
        <v>113</v>
      </c>
      <c r="H984" s="6">
        <f>FLOOR(tblPivotData[[#This Row],[Time]],Summary!$B$6/1440)</f>
        <v>0.70833333333333326</v>
      </c>
      <c r="I984" s="49">
        <f>INDEX(PeakCalc!$L$10:$L$303,MATCH(tblPivotData[[#This Row],[Time]],PeakCalc!$G$10:$G$303,0))</f>
        <v>1</v>
      </c>
    </row>
    <row r="985" spans="1:9" x14ac:dyDescent="0.25">
      <c r="A985" t="s">
        <v>95</v>
      </c>
      <c r="B985" t="s">
        <v>103</v>
      </c>
      <c r="C985" t="s">
        <v>94</v>
      </c>
      <c r="D985" t="s">
        <v>89</v>
      </c>
      <c r="E985" t="s">
        <v>44</v>
      </c>
      <c r="F985" s="6">
        <v>0.71875</v>
      </c>
      <c r="G985">
        <v>105</v>
      </c>
      <c r="H985" s="6">
        <f>FLOOR(tblPivotData[[#This Row],[Time]],Summary!$B$6/1440)</f>
        <v>0.71875</v>
      </c>
      <c r="I985" s="49">
        <f>INDEX(PeakCalc!$L$10:$L$303,MATCH(tblPivotData[[#This Row],[Time]],PeakCalc!$G$10:$G$303,0))</f>
        <v>1</v>
      </c>
    </row>
    <row r="986" spans="1:9" x14ac:dyDescent="0.25">
      <c r="A986" t="s">
        <v>95</v>
      </c>
      <c r="B986" t="s">
        <v>103</v>
      </c>
      <c r="C986" t="s">
        <v>94</v>
      </c>
      <c r="D986" t="s">
        <v>89</v>
      </c>
      <c r="E986" t="s">
        <v>44</v>
      </c>
      <c r="F986" s="6">
        <v>0.72916666666666663</v>
      </c>
      <c r="G986">
        <v>105</v>
      </c>
      <c r="H986" s="6">
        <f>FLOOR(tblPivotData[[#This Row],[Time]],Summary!$B$6/1440)</f>
        <v>0.72916666666666663</v>
      </c>
      <c r="I986" s="49">
        <f>INDEX(PeakCalc!$L$10:$L$303,MATCH(tblPivotData[[#This Row],[Time]],PeakCalc!$G$10:$G$303,0))</f>
        <v>0</v>
      </c>
    </row>
    <row r="987" spans="1:9" x14ac:dyDescent="0.25">
      <c r="A987" t="s">
        <v>95</v>
      </c>
      <c r="B987" t="s">
        <v>103</v>
      </c>
      <c r="C987" t="s">
        <v>94</v>
      </c>
      <c r="D987" t="s">
        <v>89</v>
      </c>
      <c r="E987" t="s">
        <v>44</v>
      </c>
      <c r="F987" s="6">
        <v>0.73958333333333337</v>
      </c>
      <c r="G987">
        <v>63</v>
      </c>
      <c r="H987" s="6">
        <f>FLOOR(tblPivotData[[#This Row],[Time]],Summary!$B$6/1440)</f>
        <v>0.73958333333333326</v>
      </c>
      <c r="I987" s="49">
        <f>INDEX(PeakCalc!$L$10:$L$303,MATCH(tblPivotData[[#This Row],[Time]],PeakCalc!$G$10:$G$303,0))</f>
        <v>0</v>
      </c>
    </row>
    <row r="988" spans="1:9" x14ac:dyDescent="0.25">
      <c r="A988" t="s">
        <v>95</v>
      </c>
      <c r="B988" t="s">
        <v>103</v>
      </c>
      <c r="C988" t="s">
        <v>94</v>
      </c>
      <c r="D988" t="s">
        <v>89</v>
      </c>
      <c r="E988" t="s">
        <v>44</v>
      </c>
      <c r="F988" s="6">
        <v>0.75</v>
      </c>
      <c r="G988">
        <v>54</v>
      </c>
      <c r="H988" s="6">
        <f>FLOOR(tblPivotData[[#This Row],[Time]],Summary!$B$6/1440)</f>
        <v>0.75</v>
      </c>
      <c r="I988" s="49">
        <f>INDEX(PeakCalc!$L$10:$L$303,MATCH(tblPivotData[[#This Row],[Time]],PeakCalc!$G$10:$G$303,0))</f>
        <v>0</v>
      </c>
    </row>
    <row r="989" spans="1:9" x14ac:dyDescent="0.25">
      <c r="A989" t="s">
        <v>95</v>
      </c>
      <c r="B989" t="s">
        <v>103</v>
      </c>
      <c r="C989" t="s">
        <v>94</v>
      </c>
      <c r="D989" t="s">
        <v>89</v>
      </c>
      <c r="E989" t="s">
        <v>44</v>
      </c>
      <c r="F989" s="6">
        <v>0.76041666666666663</v>
      </c>
      <c r="G989">
        <v>43</v>
      </c>
      <c r="H989" s="6">
        <f>FLOOR(tblPivotData[[#This Row],[Time]],Summary!$B$6/1440)</f>
        <v>0.76041666666666663</v>
      </c>
      <c r="I989" s="49">
        <f>INDEX(PeakCalc!$L$10:$L$303,MATCH(tblPivotData[[#This Row],[Time]],PeakCalc!$G$10:$G$303,0))</f>
        <v>0</v>
      </c>
    </row>
    <row r="990" spans="1:9" x14ac:dyDescent="0.25">
      <c r="A990" t="s">
        <v>95</v>
      </c>
      <c r="B990" t="s">
        <v>103</v>
      </c>
      <c r="C990" t="s">
        <v>94</v>
      </c>
      <c r="D990" t="s">
        <v>90</v>
      </c>
      <c r="E990" t="s">
        <v>43</v>
      </c>
      <c r="F990" s="6">
        <v>0.27083333333333331</v>
      </c>
      <c r="G990">
        <v>0</v>
      </c>
      <c r="H990" s="6">
        <f>FLOOR(tblPivotData[[#This Row],[Time]],Summary!$B$6/1440)</f>
        <v>0.27083333333333331</v>
      </c>
      <c r="I990" s="49">
        <f>INDEX(PeakCalc!$L$10:$L$303,MATCH(tblPivotData[[#This Row],[Time]],PeakCalc!$G$10:$G$303,0))</f>
        <v>0</v>
      </c>
    </row>
    <row r="991" spans="1:9" x14ac:dyDescent="0.25">
      <c r="A991" t="s">
        <v>95</v>
      </c>
      <c r="B991" t="s">
        <v>103</v>
      </c>
      <c r="C991" t="s">
        <v>94</v>
      </c>
      <c r="D991" t="s">
        <v>90</v>
      </c>
      <c r="E991" t="s">
        <v>43</v>
      </c>
      <c r="F991" s="6">
        <v>0.28125</v>
      </c>
      <c r="G991">
        <v>0</v>
      </c>
      <c r="H991" s="6">
        <f>FLOOR(tblPivotData[[#This Row],[Time]],Summary!$B$6/1440)</f>
        <v>0.28125</v>
      </c>
      <c r="I991" s="49">
        <f>INDEX(PeakCalc!$L$10:$L$303,MATCH(tblPivotData[[#This Row],[Time]],PeakCalc!$G$10:$G$303,0))</f>
        <v>0</v>
      </c>
    </row>
    <row r="992" spans="1:9" x14ac:dyDescent="0.25">
      <c r="A992" t="s">
        <v>95</v>
      </c>
      <c r="B992" t="s">
        <v>103</v>
      </c>
      <c r="C992" t="s">
        <v>94</v>
      </c>
      <c r="D992" t="s">
        <v>90</v>
      </c>
      <c r="E992" t="s">
        <v>43</v>
      </c>
      <c r="F992" s="6">
        <v>0.29166666666666669</v>
      </c>
      <c r="G992">
        <v>0</v>
      </c>
      <c r="H992" s="6">
        <f>FLOOR(tblPivotData[[#This Row],[Time]],Summary!$B$6/1440)</f>
        <v>0.29166666666666663</v>
      </c>
      <c r="I992" s="49">
        <f>INDEX(PeakCalc!$L$10:$L$303,MATCH(tblPivotData[[#This Row],[Time]],PeakCalc!$G$10:$G$303,0))</f>
        <v>0</v>
      </c>
    </row>
    <row r="993" spans="1:9" x14ac:dyDescent="0.25">
      <c r="A993" t="s">
        <v>95</v>
      </c>
      <c r="B993" t="s">
        <v>103</v>
      </c>
      <c r="C993" t="s">
        <v>94</v>
      </c>
      <c r="D993" t="s">
        <v>90</v>
      </c>
      <c r="E993" t="s">
        <v>43</v>
      </c>
      <c r="F993" s="6">
        <v>0.30208333333333331</v>
      </c>
      <c r="G993">
        <v>1</v>
      </c>
      <c r="H993" s="6">
        <f>FLOOR(tblPivotData[[#This Row],[Time]],Summary!$B$6/1440)</f>
        <v>0.30208333333333331</v>
      </c>
      <c r="I993" s="49">
        <f>INDEX(PeakCalc!$L$10:$L$303,MATCH(tblPivotData[[#This Row],[Time]],PeakCalc!$G$10:$G$303,0))</f>
        <v>0</v>
      </c>
    </row>
    <row r="994" spans="1:9" x14ac:dyDescent="0.25">
      <c r="A994" t="s">
        <v>95</v>
      </c>
      <c r="B994" t="s">
        <v>103</v>
      </c>
      <c r="C994" t="s">
        <v>94</v>
      </c>
      <c r="D994" t="s">
        <v>90</v>
      </c>
      <c r="E994" t="s">
        <v>43</v>
      </c>
      <c r="F994" s="6">
        <v>0.3125</v>
      </c>
      <c r="G994">
        <v>0</v>
      </c>
      <c r="H994" s="6">
        <f>FLOOR(tblPivotData[[#This Row],[Time]],Summary!$B$6/1440)</f>
        <v>0.3125</v>
      </c>
      <c r="I994" s="49">
        <f>INDEX(PeakCalc!$L$10:$L$303,MATCH(tblPivotData[[#This Row],[Time]],PeakCalc!$G$10:$G$303,0))</f>
        <v>0</v>
      </c>
    </row>
    <row r="995" spans="1:9" x14ac:dyDescent="0.25">
      <c r="A995" t="s">
        <v>95</v>
      </c>
      <c r="B995" t="s">
        <v>103</v>
      </c>
      <c r="C995" t="s">
        <v>94</v>
      </c>
      <c r="D995" t="s">
        <v>90</v>
      </c>
      <c r="E995" t="s">
        <v>43</v>
      </c>
      <c r="F995" s="6">
        <v>0.32291666666666669</v>
      </c>
      <c r="G995">
        <v>1</v>
      </c>
      <c r="H995" s="6">
        <f>FLOOR(tblPivotData[[#This Row],[Time]],Summary!$B$6/1440)</f>
        <v>0.32291666666666663</v>
      </c>
      <c r="I995" s="49">
        <f>INDEX(PeakCalc!$L$10:$L$303,MATCH(tblPivotData[[#This Row],[Time]],PeakCalc!$G$10:$G$303,0))</f>
        <v>1</v>
      </c>
    </row>
    <row r="996" spans="1:9" x14ac:dyDescent="0.25">
      <c r="A996" t="s">
        <v>95</v>
      </c>
      <c r="B996" t="s">
        <v>103</v>
      </c>
      <c r="C996" t="s">
        <v>94</v>
      </c>
      <c r="D996" t="s">
        <v>90</v>
      </c>
      <c r="E996" t="s">
        <v>43</v>
      </c>
      <c r="F996" s="6">
        <v>0.33333333333333331</v>
      </c>
      <c r="G996">
        <v>0</v>
      </c>
      <c r="H996" s="6">
        <f>FLOOR(tblPivotData[[#This Row],[Time]],Summary!$B$6/1440)</f>
        <v>0.33333333333333331</v>
      </c>
      <c r="I996" s="49">
        <f>INDEX(PeakCalc!$L$10:$L$303,MATCH(tblPivotData[[#This Row],[Time]],PeakCalc!$G$10:$G$303,0))</f>
        <v>1</v>
      </c>
    </row>
    <row r="997" spans="1:9" x14ac:dyDescent="0.25">
      <c r="A997" t="s">
        <v>95</v>
      </c>
      <c r="B997" t="s">
        <v>103</v>
      </c>
      <c r="C997" t="s">
        <v>94</v>
      </c>
      <c r="D997" t="s">
        <v>90</v>
      </c>
      <c r="E997" t="s">
        <v>43</v>
      </c>
      <c r="F997" s="6">
        <v>0.34375</v>
      </c>
      <c r="G997">
        <v>1</v>
      </c>
      <c r="H997" s="6">
        <f>FLOOR(tblPivotData[[#This Row],[Time]],Summary!$B$6/1440)</f>
        <v>0.34375</v>
      </c>
      <c r="I997" s="49">
        <f>INDEX(PeakCalc!$L$10:$L$303,MATCH(tblPivotData[[#This Row],[Time]],PeakCalc!$G$10:$G$303,0))</f>
        <v>1</v>
      </c>
    </row>
    <row r="998" spans="1:9" x14ac:dyDescent="0.25">
      <c r="A998" t="s">
        <v>95</v>
      </c>
      <c r="B998" t="s">
        <v>103</v>
      </c>
      <c r="C998" t="s">
        <v>94</v>
      </c>
      <c r="D998" t="s">
        <v>90</v>
      </c>
      <c r="E998" t="s">
        <v>43</v>
      </c>
      <c r="F998" s="6">
        <v>0.35416666666666669</v>
      </c>
      <c r="G998">
        <v>0</v>
      </c>
      <c r="H998" s="6">
        <f>FLOOR(tblPivotData[[#This Row],[Time]],Summary!$B$6/1440)</f>
        <v>0.35416666666666663</v>
      </c>
      <c r="I998" s="49">
        <f>INDEX(PeakCalc!$L$10:$L$303,MATCH(tblPivotData[[#This Row],[Time]],PeakCalc!$G$10:$G$303,0))</f>
        <v>1</v>
      </c>
    </row>
    <row r="999" spans="1:9" x14ac:dyDescent="0.25">
      <c r="A999" t="s">
        <v>95</v>
      </c>
      <c r="B999" t="s">
        <v>103</v>
      </c>
      <c r="C999" t="s">
        <v>94</v>
      </c>
      <c r="D999" t="s">
        <v>90</v>
      </c>
      <c r="E999" t="s">
        <v>43</v>
      </c>
      <c r="F999" s="6">
        <v>0.36458333333333331</v>
      </c>
      <c r="G999">
        <v>0</v>
      </c>
      <c r="H999" s="6">
        <f>FLOOR(tblPivotData[[#This Row],[Time]],Summary!$B$6/1440)</f>
        <v>0.36458333333333331</v>
      </c>
      <c r="I999" s="49">
        <f>INDEX(PeakCalc!$L$10:$L$303,MATCH(tblPivotData[[#This Row],[Time]],PeakCalc!$G$10:$G$303,0))</f>
        <v>0</v>
      </c>
    </row>
    <row r="1000" spans="1:9" x14ac:dyDescent="0.25">
      <c r="A1000" t="s">
        <v>95</v>
      </c>
      <c r="B1000" t="s">
        <v>103</v>
      </c>
      <c r="C1000" t="s">
        <v>94</v>
      </c>
      <c r="D1000" t="s">
        <v>90</v>
      </c>
      <c r="E1000" t="s">
        <v>43</v>
      </c>
      <c r="F1000" s="6">
        <v>0.375</v>
      </c>
      <c r="G1000">
        <v>0</v>
      </c>
      <c r="H1000" s="6">
        <f>FLOOR(tblPivotData[[#This Row],[Time]],Summary!$B$6/1440)</f>
        <v>0.375</v>
      </c>
      <c r="I1000" s="49">
        <f>INDEX(PeakCalc!$L$10:$L$303,MATCH(tblPivotData[[#This Row],[Time]],PeakCalc!$G$10:$G$303,0))</f>
        <v>0</v>
      </c>
    </row>
    <row r="1001" spans="1:9" x14ac:dyDescent="0.25">
      <c r="A1001" t="s">
        <v>95</v>
      </c>
      <c r="B1001" t="s">
        <v>103</v>
      </c>
      <c r="C1001" t="s">
        <v>94</v>
      </c>
      <c r="D1001" t="s">
        <v>90</v>
      </c>
      <c r="E1001" t="s">
        <v>43</v>
      </c>
      <c r="F1001" s="6">
        <v>0.38541666666666669</v>
      </c>
      <c r="G1001">
        <v>0</v>
      </c>
      <c r="H1001" s="6">
        <f>FLOOR(tblPivotData[[#This Row],[Time]],Summary!$B$6/1440)</f>
        <v>0.38541666666666663</v>
      </c>
      <c r="I1001" s="49">
        <f>INDEX(PeakCalc!$L$10:$L$303,MATCH(tblPivotData[[#This Row],[Time]],PeakCalc!$G$10:$G$303,0))</f>
        <v>0</v>
      </c>
    </row>
    <row r="1002" spans="1:9" x14ac:dyDescent="0.25">
      <c r="A1002" t="s">
        <v>95</v>
      </c>
      <c r="B1002" t="s">
        <v>103</v>
      </c>
      <c r="C1002" t="s">
        <v>94</v>
      </c>
      <c r="D1002" t="s">
        <v>90</v>
      </c>
      <c r="E1002" t="s">
        <v>110</v>
      </c>
      <c r="F1002" s="6">
        <v>0.45833333333333331</v>
      </c>
      <c r="G1002">
        <v>0</v>
      </c>
      <c r="H1002" s="6">
        <f>FLOOR(tblPivotData[[#This Row],[Time]],Summary!$B$6/1440)</f>
        <v>0.45833333333333331</v>
      </c>
      <c r="I1002" s="49">
        <f>INDEX(PeakCalc!$L$10:$L$303,MATCH(tblPivotData[[#This Row],[Time]],PeakCalc!$G$10:$G$303,0))</f>
        <v>0</v>
      </c>
    </row>
    <row r="1003" spans="1:9" x14ac:dyDescent="0.25">
      <c r="A1003" t="s">
        <v>95</v>
      </c>
      <c r="B1003" t="s">
        <v>103</v>
      </c>
      <c r="C1003" t="s">
        <v>94</v>
      </c>
      <c r="D1003" t="s">
        <v>90</v>
      </c>
      <c r="E1003" t="s">
        <v>110</v>
      </c>
      <c r="F1003" s="6">
        <v>0.46875</v>
      </c>
      <c r="G1003">
        <v>0</v>
      </c>
      <c r="H1003" s="6">
        <f>FLOOR(tblPivotData[[#This Row],[Time]],Summary!$B$6/1440)</f>
        <v>0.46875</v>
      </c>
      <c r="I1003" s="49">
        <f>INDEX(PeakCalc!$L$10:$L$303,MATCH(tblPivotData[[#This Row],[Time]],PeakCalc!$G$10:$G$303,0))</f>
        <v>0</v>
      </c>
    </row>
    <row r="1004" spans="1:9" x14ac:dyDescent="0.25">
      <c r="A1004" t="s">
        <v>95</v>
      </c>
      <c r="B1004" t="s">
        <v>103</v>
      </c>
      <c r="C1004" t="s">
        <v>94</v>
      </c>
      <c r="D1004" t="s">
        <v>90</v>
      </c>
      <c r="E1004" t="s">
        <v>110</v>
      </c>
      <c r="F1004" s="6">
        <v>0.47916666666666669</v>
      </c>
      <c r="G1004">
        <v>0</v>
      </c>
      <c r="H1004" s="6">
        <f>FLOOR(tblPivotData[[#This Row],[Time]],Summary!$B$6/1440)</f>
        <v>0.47916666666666663</v>
      </c>
      <c r="I1004" s="49">
        <f>INDEX(PeakCalc!$L$10:$L$303,MATCH(tblPivotData[[#This Row],[Time]],PeakCalc!$G$10:$G$303,0))</f>
        <v>0</v>
      </c>
    </row>
    <row r="1005" spans="1:9" x14ac:dyDescent="0.25">
      <c r="A1005" t="s">
        <v>95</v>
      </c>
      <c r="B1005" t="s">
        <v>103</v>
      </c>
      <c r="C1005" t="s">
        <v>94</v>
      </c>
      <c r="D1005" t="s">
        <v>90</v>
      </c>
      <c r="E1005" t="s">
        <v>110</v>
      </c>
      <c r="F1005" s="6">
        <v>0.48958333333333331</v>
      </c>
      <c r="G1005">
        <v>0</v>
      </c>
      <c r="H1005" s="6">
        <f>FLOOR(tblPivotData[[#This Row],[Time]],Summary!$B$6/1440)</f>
        <v>0.48958333333333331</v>
      </c>
      <c r="I1005" s="49">
        <f>INDEX(PeakCalc!$L$10:$L$303,MATCH(tblPivotData[[#This Row],[Time]],PeakCalc!$G$10:$G$303,0))</f>
        <v>0</v>
      </c>
    </row>
    <row r="1006" spans="1:9" x14ac:dyDescent="0.25">
      <c r="A1006" t="s">
        <v>95</v>
      </c>
      <c r="B1006" t="s">
        <v>103</v>
      </c>
      <c r="C1006" t="s">
        <v>94</v>
      </c>
      <c r="D1006" t="s">
        <v>90</v>
      </c>
      <c r="E1006" t="s">
        <v>110</v>
      </c>
      <c r="F1006" s="6">
        <v>0.5</v>
      </c>
      <c r="G1006">
        <v>0</v>
      </c>
      <c r="H1006" s="6">
        <f>FLOOR(tblPivotData[[#This Row],[Time]],Summary!$B$6/1440)</f>
        <v>0.5</v>
      </c>
      <c r="I1006" s="49">
        <f>INDEX(PeakCalc!$L$10:$L$303,MATCH(tblPivotData[[#This Row],[Time]],PeakCalc!$G$10:$G$303,0))</f>
        <v>0</v>
      </c>
    </row>
    <row r="1007" spans="1:9" x14ac:dyDescent="0.25">
      <c r="A1007" t="s">
        <v>95</v>
      </c>
      <c r="B1007" t="s">
        <v>103</v>
      </c>
      <c r="C1007" t="s">
        <v>94</v>
      </c>
      <c r="D1007" t="s">
        <v>90</v>
      </c>
      <c r="E1007" t="s">
        <v>110</v>
      </c>
      <c r="F1007" s="6">
        <v>0.51041666666666663</v>
      </c>
      <c r="G1007">
        <v>0</v>
      </c>
      <c r="H1007" s="6">
        <f>FLOOR(tblPivotData[[#This Row],[Time]],Summary!$B$6/1440)</f>
        <v>0.51041666666666663</v>
      </c>
      <c r="I1007" s="49">
        <f>INDEX(PeakCalc!$L$10:$L$303,MATCH(tblPivotData[[#This Row],[Time]],PeakCalc!$G$10:$G$303,0))</f>
        <v>0</v>
      </c>
    </row>
    <row r="1008" spans="1:9" x14ac:dyDescent="0.25">
      <c r="A1008" t="s">
        <v>95</v>
      </c>
      <c r="B1008" t="s">
        <v>103</v>
      </c>
      <c r="C1008" t="s">
        <v>94</v>
      </c>
      <c r="D1008" t="s">
        <v>90</v>
      </c>
      <c r="E1008" t="s">
        <v>110</v>
      </c>
      <c r="F1008" s="6">
        <v>0.52083333333333337</v>
      </c>
      <c r="G1008">
        <v>0</v>
      </c>
      <c r="H1008" s="6">
        <f>FLOOR(tblPivotData[[#This Row],[Time]],Summary!$B$6/1440)</f>
        <v>0.52083333333333326</v>
      </c>
      <c r="I1008" s="49">
        <f>INDEX(PeakCalc!$L$10:$L$303,MATCH(tblPivotData[[#This Row],[Time]],PeakCalc!$G$10:$G$303,0))</f>
        <v>1</v>
      </c>
    </row>
    <row r="1009" spans="1:9" x14ac:dyDescent="0.25">
      <c r="A1009" t="s">
        <v>95</v>
      </c>
      <c r="B1009" t="s">
        <v>103</v>
      </c>
      <c r="C1009" t="s">
        <v>94</v>
      </c>
      <c r="D1009" t="s">
        <v>90</v>
      </c>
      <c r="E1009" t="s">
        <v>110</v>
      </c>
      <c r="F1009" s="6">
        <v>0.53125</v>
      </c>
      <c r="G1009">
        <v>0</v>
      </c>
      <c r="H1009" s="6">
        <f>FLOOR(tblPivotData[[#This Row],[Time]],Summary!$B$6/1440)</f>
        <v>0.53125</v>
      </c>
      <c r="I1009" s="49">
        <f>INDEX(PeakCalc!$L$10:$L$303,MATCH(tblPivotData[[#This Row],[Time]],PeakCalc!$G$10:$G$303,0))</f>
        <v>1</v>
      </c>
    </row>
    <row r="1010" spans="1:9" x14ac:dyDescent="0.25">
      <c r="A1010" t="s">
        <v>95</v>
      </c>
      <c r="B1010" t="s">
        <v>103</v>
      </c>
      <c r="C1010" t="s">
        <v>94</v>
      </c>
      <c r="D1010" t="s">
        <v>90</v>
      </c>
      <c r="E1010" t="s">
        <v>110</v>
      </c>
      <c r="F1010" s="6">
        <v>0.54166666666666663</v>
      </c>
      <c r="G1010">
        <v>0</v>
      </c>
      <c r="H1010" s="6">
        <f>FLOOR(tblPivotData[[#This Row],[Time]],Summary!$B$6/1440)</f>
        <v>0.54166666666666663</v>
      </c>
      <c r="I1010" s="49">
        <f>INDEX(PeakCalc!$L$10:$L$303,MATCH(tblPivotData[[#This Row],[Time]],PeakCalc!$G$10:$G$303,0))</f>
        <v>1</v>
      </c>
    </row>
    <row r="1011" spans="1:9" x14ac:dyDescent="0.25">
      <c r="A1011" t="s">
        <v>95</v>
      </c>
      <c r="B1011" t="s">
        <v>103</v>
      </c>
      <c r="C1011" t="s">
        <v>94</v>
      </c>
      <c r="D1011" t="s">
        <v>90</v>
      </c>
      <c r="E1011" t="s">
        <v>110</v>
      </c>
      <c r="F1011" s="6">
        <v>0.55208333333333337</v>
      </c>
      <c r="G1011">
        <v>1</v>
      </c>
      <c r="H1011" s="6">
        <f>FLOOR(tblPivotData[[#This Row],[Time]],Summary!$B$6/1440)</f>
        <v>0.55208333333333326</v>
      </c>
      <c r="I1011" s="49">
        <f>INDEX(PeakCalc!$L$10:$L$303,MATCH(tblPivotData[[#This Row],[Time]],PeakCalc!$G$10:$G$303,0))</f>
        <v>1</v>
      </c>
    </row>
    <row r="1012" spans="1:9" x14ac:dyDescent="0.25">
      <c r="A1012" t="s">
        <v>95</v>
      </c>
      <c r="B1012" t="s">
        <v>103</v>
      </c>
      <c r="C1012" t="s">
        <v>94</v>
      </c>
      <c r="D1012" t="s">
        <v>90</v>
      </c>
      <c r="E1012" t="s">
        <v>110</v>
      </c>
      <c r="F1012" s="6">
        <v>0.5625</v>
      </c>
      <c r="G1012">
        <v>1</v>
      </c>
      <c r="H1012" s="6">
        <f>FLOOR(tblPivotData[[#This Row],[Time]],Summary!$B$6/1440)</f>
        <v>0.5625</v>
      </c>
      <c r="I1012" s="49">
        <f>INDEX(PeakCalc!$L$10:$L$303,MATCH(tblPivotData[[#This Row],[Time]],PeakCalc!$G$10:$G$303,0))</f>
        <v>0</v>
      </c>
    </row>
    <row r="1013" spans="1:9" x14ac:dyDescent="0.25">
      <c r="A1013" t="s">
        <v>95</v>
      </c>
      <c r="B1013" t="s">
        <v>103</v>
      </c>
      <c r="C1013" t="s">
        <v>94</v>
      </c>
      <c r="D1013" t="s">
        <v>90</v>
      </c>
      <c r="E1013" t="s">
        <v>110</v>
      </c>
      <c r="F1013" s="6">
        <v>0.57291666666666663</v>
      </c>
      <c r="G1013">
        <v>0</v>
      </c>
      <c r="H1013" s="6">
        <f>FLOOR(tblPivotData[[#This Row],[Time]],Summary!$B$6/1440)</f>
        <v>0.57291666666666663</v>
      </c>
      <c r="I1013" s="49">
        <f>INDEX(PeakCalc!$L$10:$L$303,MATCH(tblPivotData[[#This Row],[Time]],PeakCalc!$G$10:$G$303,0))</f>
        <v>0</v>
      </c>
    </row>
    <row r="1014" spans="1:9" x14ac:dyDescent="0.25">
      <c r="A1014" t="s">
        <v>95</v>
      </c>
      <c r="B1014" t="s">
        <v>103</v>
      </c>
      <c r="C1014" t="s">
        <v>94</v>
      </c>
      <c r="D1014" t="s">
        <v>90</v>
      </c>
      <c r="E1014" t="s">
        <v>44</v>
      </c>
      <c r="F1014" s="6">
        <v>0.625</v>
      </c>
      <c r="G1014">
        <v>1</v>
      </c>
      <c r="H1014" s="6">
        <f>FLOOR(tblPivotData[[#This Row],[Time]],Summary!$B$6/1440)</f>
        <v>0.625</v>
      </c>
      <c r="I1014" s="49">
        <f>INDEX(PeakCalc!$L$10:$L$303,MATCH(tblPivotData[[#This Row],[Time]],PeakCalc!$G$10:$G$303,0))</f>
        <v>0</v>
      </c>
    </row>
    <row r="1015" spans="1:9" x14ac:dyDescent="0.25">
      <c r="A1015" t="s">
        <v>95</v>
      </c>
      <c r="B1015" t="s">
        <v>103</v>
      </c>
      <c r="C1015" t="s">
        <v>94</v>
      </c>
      <c r="D1015" t="s">
        <v>90</v>
      </c>
      <c r="E1015" t="s">
        <v>44</v>
      </c>
      <c r="F1015" s="6">
        <v>0.63541666666666663</v>
      </c>
      <c r="G1015">
        <v>0</v>
      </c>
      <c r="H1015" s="6">
        <f>FLOOR(tblPivotData[[#This Row],[Time]],Summary!$B$6/1440)</f>
        <v>0.63541666666666663</v>
      </c>
      <c r="I1015" s="49">
        <f>INDEX(PeakCalc!$L$10:$L$303,MATCH(tblPivotData[[#This Row],[Time]],PeakCalc!$G$10:$G$303,0))</f>
        <v>0</v>
      </c>
    </row>
    <row r="1016" spans="1:9" x14ac:dyDescent="0.25">
      <c r="A1016" t="s">
        <v>95</v>
      </c>
      <c r="B1016" t="s">
        <v>103</v>
      </c>
      <c r="C1016" t="s">
        <v>94</v>
      </c>
      <c r="D1016" t="s">
        <v>90</v>
      </c>
      <c r="E1016" t="s">
        <v>44</v>
      </c>
      <c r="F1016" s="6">
        <v>0.64583333333333337</v>
      </c>
      <c r="G1016">
        <v>0</v>
      </c>
      <c r="H1016" s="6">
        <f>FLOOR(tblPivotData[[#This Row],[Time]],Summary!$B$6/1440)</f>
        <v>0.64583333333333326</v>
      </c>
      <c r="I1016" s="49">
        <f>INDEX(PeakCalc!$L$10:$L$303,MATCH(tblPivotData[[#This Row],[Time]],PeakCalc!$G$10:$G$303,0))</f>
        <v>0</v>
      </c>
    </row>
    <row r="1017" spans="1:9" x14ac:dyDescent="0.25">
      <c r="A1017" t="s">
        <v>95</v>
      </c>
      <c r="B1017" t="s">
        <v>103</v>
      </c>
      <c r="C1017" t="s">
        <v>94</v>
      </c>
      <c r="D1017" t="s">
        <v>90</v>
      </c>
      <c r="E1017" t="s">
        <v>44</v>
      </c>
      <c r="F1017" s="6">
        <v>0.65625</v>
      </c>
      <c r="G1017">
        <v>0</v>
      </c>
      <c r="H1017" s="6">
        <f>FLOOR(tblPivotData[[#This Row],[Time]],Summary!$B$6/1440)</f>
        <v>0.65625</v>
      </c>
      <c r="I1017" s="49">
        <f>INDEX(PeakCalc!$L$10:$L$303,MATCH(tblPivotData[[#This Row],[Time]],PeakCalc!$G$10:$G$303,0))</f>
        <v>0</v>
      </c>
    </row>
    <row r="1018" spans="1:9" x14ac:dyDescent="0.25">
      <c r="A1018" t="s">
        <v>95</v>
      </c>
      <c r="B1018" t="s">
        <v>103</v>
      </c>
      <c r="C1018" t="s">
        <v>94</v>
      </c>
      <c r="D1018" t="s">
        <v>90</v>
      </c>
      <c r="E1018" t="s">
        <v>44</v>
      </c>
      <c r="F1018" s="6">
        <v>0.66666666666666663</v>
      </c>
      <c r="G1018">
        <v>0</v>
      </c>
      <c r="H1018" s="6">
        <f>FLOOR(tblPivotData[[#This Row],[Time]],Summary!$B$6/1440)</f>
        <v>0.66666666666666663</v>
      </c>
      <c r="I1018" s="49">
        <f>INDEX(PeakCalc!$L$10:$L$303,MATCH(tblPivotData[[#This Row],[Time]],PeakCalc!$G$10:$G$303,0))</f>
        <v>0</v>
      </c>
    </row>
    <row r="1019" spans="1:9" x14ac:dyDescent="0.25">
      <c r="A1019" t="s">
        <v>95</v>
      </c>
      <c r="B1019" t="s">
        <v>103</v>
      </c>
      <c r="C1019" t="s">
        <v>94</v>
      </c>
      <c r="D1019" t="s">
        <v>90</v>
      </c>
      <c r="E1019" t="s">
        <v>44</v>
      </c>
      <c r="F1019" s="6">
        <v>0.67708333333333337</v>
      </c>
      <c r="G1019">
        <v>0</v>
      </c>
      <c r="H1019" s="6">
        <f>FLOOR(tblPivotData[[#This Row],[Time]],Summary!$B$6/1440)</f>
        <v>0.67708333333333326</v>
      </c>
      <c r="I1019" s="49">
        <f>INDEX(PeakCalc!$L$10:$L$303,MATCH(tblPivotData[[#This Row],[Time]],PeakCalc!$G$10:$G$303,0))</f>
        <v>0</v>
      </c>
    </row>
    <row r="1020" spans="1:9" x14ac:dyDescent="0.25">
      <c r="A1020" t="s">
        <v>95</v>
      </c>
      <c r="B1020" t="s">
        <v>103</v>
      </c>
      <c r="C1020" t="s">
        <v>94</v>
      </c>
      <c r="D1020" t="s">
        <v>90</v>
      </c>
      <c r="E1020" t="s">
        <v>44</v>
      </c>
      <c r="F1020" s="6">
        <v>0.6875</v>
      </c>
      <c r="G1020">
        <v>0</v>
      </c>
      <c r="H1020" s="6">
        <f>FLOOR(tblPivotData[[#This Row],[Time]],Summary!$B$6/1440)</f>
        <v>0.6875</v>
      </c>
      <c r="I1020" s="49">
        <f>INDEX(PeakCalc!$L$10:$L$303,MATCH(tblPivotData[[#This Row],[Time]],PeakCalc!$G$10:$G$303,0))</f>
        <v>1</v>
      </c>
    </row>
    <row r="1021" spans="1:9" x14ac:dyDescent="0.25">
      <c r="A1021" t="s">
        <v>95</v>
      </c>
      <c r="B1021" t="s">
        <v>103</v>
      </c>
      <c r="C1021" t="s">
        <v>94</v>
      </c>
      <c r="D1021" t="s">
        <v>90</v>
      </c>
      <c r="E1021" t="s">
        <v>44</v>
      </c>
      <c r="F1021" s="6">
        <v>0.69791666666666663</v>
      </c>
      <c r="G1021">
        <v>0</v>
      </c>
      <c r="H1021" s="6">
        <f>FLOOR(tblPivotData[[#This Row],[Time]],Summary!$B$6/1440)</f>
        <v>0.69791666666666663</v>
      </c>
      <c r="I1021" s="49">
        <f>INDEX(PeakCalc!$L$10:$L$303,MATCH(tblPivotData[[#This Row],[Time]],PeakCalc!$G$10:$G$303,0))</f>
        <v>1</v>
      </c>
    </row>
    <row r="1022" spans="1:9" x14ac:dyDescent="0.25">
      <c r="A1022" t="s">
        <v>95</v>
      </c>
      <c r="B1022" t="s">
        <v>103</v>
      </c>
      <c r="C1022" t="s">
        <v>94</v>
      </c>
      <c r="D1022" t="s">
        <v>90</v>
      </c>
      <c r="E1022" t="s">
        <v>44</v>
      </c>
      <c r="F1022" s="6">
        <v>0.70833333333333337</v>
      </c>
      <c r="G1022">
        <v>0</v>
      </c>
      <c r="H1022" s="6">
        <f>FLOOR(tblPivotData[[#This Row],[Time]],Summary!$B$6/1440)</f>
        <v>0.70833333333333326</v>
      </c>
      <c r="I1022" s="49">
        <f>INDEX(PeakCalc!$L$10:$L$303,MATCH(tblPivotData[[#This Row],[Time]],PeakCalc!$G$10:$G$303,0))</f>
        <v>1</v>
      </c>
    </row>
    <row r="1023" spans="1:9" x14ac:dyDescent="0.25">
      <c r="A1023" t="s">
        <v>95</v>
      </c>
      <c r="B1023" t="s">
        <v>103</v>
      </c>
      <c r="C1023" t="s">
        <v>94</v>
      </c>
      <c r="D1023" t="s">
        <v>90</v>
      </c>
      <c r="E1023" t="s">
        <v>44</v>
      </c>
      <c r="F1023" s="6">
        <v>0.71875</v>
      </c>
      <c r="G1023">
        <v>0</v>
      </c>
      <c r="H1023" s="6">
        <f>FLOOR(tblPivotData[[#This Row],[Time]],Summary!$B$6/1440)</f>
        <v>0.71875</v>
      </c>
      <c r="I1023" s="49">
        <f>INDEX(PeakCalc!$L$10:$L$303,MATCH(tblPivotData[[#This Row],[Time]],PeakCalc!$G$10:$G$303,0))</f>
        <v>1</v>
      </c>
    </row>
    <row r="1024" spans="1:9" x14ac:dyDescent="0.25">
      <c r="A1024" t="s">
        <v>95</v>
      </c>
      <c r="B1024" t="s">
        <v>103</v>
      </c>
      <c r="C1024" t="s">
        <v>94</v>
      </c>
      <c r="D1024" t="s">
        <v>90</v>
      </c>
      <c r="E1024" t="s">
        <v>44</v>
      </c>
      <c r="F1024" s="6">
        <v>0.72916666666666663</v>
      </c>
      <c r="G1024">
        <v>0</v>
      </c>
      <c r="H1024" s="6">
        <f>FLOOR(tblPivotData[[#This Row],[Time]],Summary!$B$6/1440)</f>
        <v>0.72916666666666663</v>
      </c>
      <c r="I1024" s="49">
        <f>INDEX(PeakCalc!$L$10:$L$303,MATCH(tblPivotData[[#This Row],[Time]],PeakCalc!$G$10:$G$303,0))</f>
        <v>0</v>
      </c>
    </row>
    <row r="1025" spans="1:9" x14ac:dyDescent="0.25">
      <c r="A1025" t="s">
        <v>95</v>
      </c>
      <c r="B1025" t="s">
        <v>103</v>
      </c>
      <c r="C1025" t="s">
        <v>94</v>
      </c>
      <c r="D1025" t="s">
        <v>90</v>
      </c>
      <c r="E1025" t="s">
        <v>44</v>
      </c>
      <c r="F1025" s="6">
        <v>0.73958333333333337</v>
      </c>
      <c r="G1025">
        <v>0</v>
      </c>
      <c r="H1025" s="6">
        <f>FLOOR(tblPivotData[[#This Row],[Time]],Summary!$B$6/1440)</f>
        <v>0.73958333333333326</v>
      </c>
      <c r="I1025" s="49">
        <f>INDEX(PeakCalc!$L$10:$L$303,MATCH(tblPivotData[[#This Row],[Time]],PeakCalc!$G$10:$G$303,0))</f>
        <v>0</v>
      </c>
    </row>
    <row r="1026" spans="1:9" x14ac:dyDescent="0.25">
      <c r="A1026" t="s">
        <v>95</v>
      </c>
      <c r="B1026" t="s">
        <v>103</v>
      </c>
      <c r="C1026" t="s">
        <v>94</v>
      </c>
      <c r="D1026" t="s">
        <v>90</v>
      </c>
      <c r="E1026" t="s">
        <v>44</v>
      </c>
      <c r="F1026" s="6">
        <v>0.75</v>
      </c>
      <c r="G1026">
        <v>0</v>
      </c>
      <c r="H1026" s="6">
        <f>FLOOR(tblPivotData[[#This Row],[Time]],Summary!$B$6/1440)</f>
        <v>0.75</v>
      </c>
      <c r="I1026" s="49">
        <f>INDEX(PeakCalc!$L$10:$L$303,MATCH(tblPivotData[[#This Row],[Time]],PeakCalc!$G$10:$G$303,0))</f>
        <v>0</v>
      </c>
    </row>
    <row r="1027" spans="1:9" x14ac:dyDescent="0.25">
      <c r="A1027" t="s">
        <v>95</v>
      </c>
      <c r="B1027" t="s">
        <v>103</v>
      </c>
      <c r="C1027" t="s">
        <v>94</v>
      </c>
      <c r="D1027" t="s">
        <v>90</v>
      </c>
      <c r="E1027" t="s">
        <v>44</v>
      </c>
      <c r="F1027" s="6">
        <v>0.76041666666666663</v>
      </c>
      <c r="G1027">
        <v>0</v>
      </c>
      <c r="H1027" s="6">
        <f>FLOOR(tblPivotData[[#This Row],[Time]],Summary!$B$6/1440)</f>
        <v>0.76041666666666663</v>
      </c>
      <c r="I1027" s="49">
        <f>INDEX(PeakCalc!$L$10:$L$303,MATCH(tblPivotData[[#This Row],[Time]],PeakCalc!$G$10:$G$303,0))</f>
        <v>0</v>
      </c>
    </row>
    <row r="1028" spans="1:9" x14ac:dyDescent="0.25">
      <c r="A1028" t="s">
        <v>95</v>
      </c>
      <c r="B1028" t="s">
        <v>103</v>
      </c>
      <c r="C1028" t="s">
        <v>94</v>
      </c>
      <c r="D1028" t="s">
        <v>91</v>
      </c>
      <c r="E1028" t="s">
        <v>43</v>
      </c>
      <c r="F1028" s="6">
        <v>0.27083333333333331</v>
      </c>
      <c r="G1028">
        <v>0</v>
      </c>
      <c r="H1028" s="6">
        <f>FLOOR(tblPivotData[[#This Row],[Time]],Summary!$B$6/1440)</f>
        <v>0.27083333333333331</v>
      </c>
      <c r="I1028" s="49">
        <f>INDEX(PeakCalc!$L$10:$L$303,MATCH(tblPivotData[[#This Row],[Time]],PeakCalc!$G$10:$G$303,0))</f>
        <v>0</v>
      </c>
    </row>
    <row r="1029" spans="1:9" x14ac:dyDescent="0.25">
      <c r="A1029" t="s">
        <v>95</v>
      </c>
      <c r="B1029" t="s">
        <v>103</v>
      </c>
      <c r="C1029" t="s">
        <v>94</v>
      </c>
      <c r="D1029" t="s">
        <v>91</v>
      </c>
      <c r="E1029" t="s">
        <v>43</v>
      </c>
      <c r="F1029" s="6">
        <v>0.28125</v>
      </c>
      <c r="G1029">
        <v>1</v>
      </c>
      <c r="H1029" s="6">
        <f>FLOOR(tblPivotData[[#This Row],[Time]],Summary!$B$6/1440)</f>
        <v>0.28125</v>
      </c>
      <c r="I1029" s="49">
        <f>INDEX(PeakCalc!$L$10:$L$303,MATCH(tblPivotData[[#This Row],[Time]],PeakCalc!$G$10:$G$303,0))</f>
        <v>0</v>
      </c>
    </row>
    <row r="1030" spans="1:9" x14ac:dyDescent="0.25">
      <c r="A1030" t="s">
        <v>95</v>
      </c>
      <c r="B1030" t="s">
        <v>103</v>
      </c>
      <c r="C1030" t="s">
        <v>94</v>
      </c>
      <c r="D1030" t="s">
        <v>91</v>
      </c>
      <c r="E1030" t="s">
        <v>43</v>
      </c>
      <c r="F1030" s="6">
        <v>0.29166666666666669</v>
      </c>
      <c r="G1030">
        <v>0</v>
      </c>
      <c r="H1030" s="6">
        <f>FLOOR(tblPivotData[[#This Row],[Time]],Summary!$B$6/1440)</f>
        <v>0.29166666666666663</v>
      </c>
      <c r="I1030" s="49">
        <f>INDEX(PeakCalc!$L$10:$L$303,MATCH(tblPivotData[[#This Row],[Time]],PeakCalc!$G$10:$G$303,0))</f>
        <v>0</v>
      </c>
    </row>
    <row r="1031" spans="1:9" x14ac:dyDescent="0.25">
      <c r="A1031" t="s">
        <v>95</v>
      </c>
      <c r="B1031" t="s">
        <v>103</v>
      </c>
      <c r="C1031" t="s">
        <v>94</v>
      </c>
      <c r="D1031" t="s">
        <v>91</v>
      </c>
      <c r="E1031" t="s">
        <v>43</v>
      </c>
      <c r="F1031" s="6">
        <v>0.30208333333333331</v>
      </c>
      <c r="G1031">
        <v>0</v>
      </c>
      <c r="H1031" s="6">
        <f>FLOOR(tblPivotData[[#This Row],[Time]],Summary!$B$6/1440)</f>
        <v>0.30208333333333331</v>
      </c>
      <c r="I1031" s="49">
        <f>INDEX(PeakCalc!$L$10:$L$303,MATCH(tblPivotData[[#This Row],[Time]],PeakCalc!$G$10:$G$303,0))</f>
        <v>0</v>
      </c>
    </row>
    <row r="1032" spans="1:9" x14ac:dyDescent="0.25">
      <c r="A1032" t="s">
        <v>95</v>
      </c>
      <c r="B1032" t="s">
        <v>103</v>
      </c>
      <c r="C1032" t="s">
        <v>94</v>
      </c>
      <c r="D1032" t="s">
        <v>91</v>
      </c>
      <c r="E1032" t="s">
        <v>43</v>
      </c>
      <c r="F1032" s="6">
        <v>0.3125</v>
      </c>
      <c r="G1032">
        <v>0</v>
      </c>
      <c r="H1032" s="6">
        <f>FLOOR(tblPivotData[[#This Row],[Time]],Summary!$B$6/1440)</f>
        <v>0.3125</v>
      </c>
      <c r="I1032" s="49">
        <f>INDEX(PeakCalc!$L$10:$L$303,MATCH(tblPivotData[[#This Row],[Time]],PeakCalc!$G$10:$G$303,0))</f>
        <v>0</v>
      </c>
    </row>
    <row r="1033" spans="1:9" x14ac:dyDescent="0.25">
      <c r="A1033" t="s">
        <v>95</v>
      </c>
      <c r="B1033" t="s">
        <v>103</v>
      </c>
      <c r="C1033" t="s">
        <v>94</v>
      </c>
      <c r="D1033" t="s">
        <v>91</v>
      </c>
      <c r="E1033" t="s">
        <v>43</v>
      </c>
      <c r="F1033" s="6">
        <v>0.32291666666666669</v>
      </c>
      <c r="G1033">
        <v>0</v>
      </c>
      <c r="H1033" s="6">
        <f>FLOOR(tblPivotData[[#This Row],[Time]],Summary!$B$6/1440)</f>
        <v>0.32291666666666663</v>
      </c>
      <c r="I1033" s="49">
        <f>INDEX(PeakCalc!$L$10:$L$303,MATCH(tblPivotData[[#This Row],[Time]],PeakCalc!$G$10:$G$303,0))</f>
        <v>1</v>
      </c>
    </row>
    <row r="1034" spans="1:9" x14ac:dyDescent="0.25">
      <c r="A1034" t="s">
        <v>95</v>
      </c>
      <c r="B1034" t="s">
        <v>103</v>
      </c>
      <c r="C1034" t="s">
        <v>94</v>
      </c>
      <c r="D1034" t="s">
        <v>91</v>
      </c>
      <c r="E1034" t="s">
        <v>43</v>
      </c>
      <c r="F1034" s="6">
        <v>0.33333333333333331</v>
      </c>
      <c r="G1034">
        <v>0</v>
      </c>
      <c r="H1034" s="6">
        <f>FLOOR(tblPivotData[[#This Row],[Time]],Summary!$B$6/1440)</f>
        <v>0.33333333333333331</v>
      </c>
      <c r="I1034" s="49">
        <f>INDEX(PeakCalc!$L$10:$L$303,MATCH(tblPivotData[[#This Row],[Time]],PeakCalc!$G$10:$G$303,0))</f>
        <v>1</v>
      </c>
    </row>
    <row r="1035" spans="1:9" x14ac:dyDescent="0.25">
      <c r="A1035" t="s">
        <v>95</v>
      </c>
      <c r="B1035" t="s">
        <v>103</v>
      </c>
      <c r="C1035" t="s">
        <v>94</v>
      </c>
      <c r="D1035" t="s">
        <v>91</v>
      </c>
      <c r="E1035" t="s">
        <v>43</v>
      </c>
      <c r="F1035" s="6">
        <v>0.34375</v>
      </c>
      <c r="G1035">
        <v>1</v>
      </c>
      <c r="H1035" s="6">
        <f>FLOOR(tblPivotData[[#This Row],[Time]],Summary!$B$6/1440)</f>
        <v>0.34375</v>
      </c>
      <c r="I1035" s="49">
        <f>INDEX(PeakCalc!$L$10:$L$303,MATCH(tblPivotData[[#This Row],[Time]],PeakCalc!$G$10:$G$303,0))</f>
        <v>1</v>
      </c>
    </row>
    <row r="1036" spans="1:9" x14ac:dyDescent="0.25">
      <c r="A1036" t="s">
        <v>95</v>
      </c>
      <c r="B1036" t="s">
        <v>103</v>
      </c>
      <c r="C1036" t="s">
        <v>94</v>
      </c>
      <c r="D1036" t="s">
        <v>91</v>
      </c>
      <c r="E1036" t="s">
        <v>43</v>
      </c>
      <c r="F1036" s="6">
        <v>0.35416666666666669</v>
      </c>
      <c r="G1036">
        <v>1</v>
      </c>
      <c r="H1036" s="6">
        <f>FLOOR(tblPivotData[[#This Row],[Time]],Summary!$B$6/1440)</f>
        <v>0.35416666666666663</v>
      </c>
      <c r="I1036" s="49">
        <f>INDEX(PeakCalc!$L$10:$L$303,MATCH(tblPivotData[[#This Row],[Time]],PeakCalc!$G$10:$G$303,0))</f>
        <v>1</v>
      </c>
    </row>
    <row r="1037" spans="1:9" x14ac:dyDescent="0.25">
      <c r="A1037" t="s">
        <v>95</v>
      </c>
      <c r="B1037" t="s">
        <v>103</v>
      </c>
      <c r="C1037" t="s">
        <v>94</v>
      </c>
      <c r="D1037" t="s">
        <v>91</v>
      </c>
      <c r="E1037" t="s">
        <v>43</v>
      </c>
      <c r="F1037" s="6">
        <v>0.36458333333333331</v>
      </c>
      <c r="G1037">
        <v>0</v>
      </c>
      <c r="H1037" s="6">
        <f>FLOOR(tblPivotData[[#This Row],[Time]],Summary!$B$6/1440)</f>
        <v>0.36458333333333331</v>
      </c>
      <c r="I1037" s="49">
        <f>INDEX(PeakCalc!$L$10:$L$303,MATCH(tblPivotData[[#This Row],[Time]],PeakCalc!$G$10:$G$303,0))</f>
        <v>0</v>
      </c>
    </row>
    <row r="1038" spans="1:9" x14ac:dyDescent="0.25">
      <c r="A1038" t="s">
        <v>95</v>
      </c>
      <c r="B1038" t="s">
        <v>103</v>
      </c>
      <c r="C1038" t="s">
        <v>94</v>
      </c>
      <c r="D1038" t="s">
        <v>91</v>
      </c>
      <c r="E1038" t="s">
        <v>43</v>
      </c>
      <c r="F1038" s="6">
        <v>0.375</v>
      </c>
      <c r="G1038">
        <v>0</v>
      </c>
      <c r="H1038" s="6">
        <f>FLOOR(tblPivotData[[#This Row],[Time]],Summary!$B$6/1440)</f>
        <v>0.375</v>
      </c>
      <c r="I1038" s="49">
        <f>INDEX(PeakCalc!$L$10:$L$303,MATCH(tblPivotData[[#This Row],[Time]],PeakCalc!$G$10:$G$303,0))</f>
        <v>0</v>
      </c>
    </row>
    <row r="1039" spans="1:9" x14ac:dyDescent="0.25">
      <c r="A1039" t="s">
        <v>95</v>
      </c>
      <c r="B1039" t="s">
        <v>103</v>
      </c>
      <c r="C1039" t="s">
        <v>94</v>
      </c>
      <c r="D1039" t="s">
        <v>91</v>
      </c>
      <c r="E1039" t="s">
        <v>43</v>
      </c>
      <c r="F1039" s="6">
        <v>0.38541666666666669</v>
      </c>
      <c r="G1039">
        <v>1</v>
      </c>
      <c r="H1039" s="6">
        <f>FLOOR(tblPivotData[[#This Row],[Time]],Summary!$B$6/1440)</f>
        <v>0.38541666666666663</v>
      </c>
      <c r="I1039" s="49">
        <f>INDEX(PeakCalc!$L$10:$L$303,MATCH(tblPivotData[[#This Row],[Time]],PeakCalc!$G$10:$G$303,0))</f>
        <v>0</v>
      </c>
    </row>
    <row r="1040" spans="1:9" x14ac:dyDescent="0.25">
      <c r="A1040" t="s">
        <v>95</v>
      </c>
      <c r="B1040" t="s">
        <v>103</v>
      </c>
      <c r="C1040" t="s">
        <v>94</v>
      </c>
      <c r="D1040" t="s">
        <v>91</v>
      </c>
      <c r="E1040" t="s">
        <v>110</v>
      </c>
      <c r="F1040" s="6">
        <v>0.45833333333333331</v>
      </c>
      <c r="G1040">
        <v>0</v>
      </c>
      <c r="H1040" s="6">
        <f>FLOOR(tblPivotData[[#This Row],[Time]],Summary!$B$6/1440)</f>
        <v>0.45833333333333331</v>
      </c>
      <c r="I1040" s="49">
        <f>INDEX(PeakCalc!$L$10:$L$303,MATCH(tblPivotData[[#This Row],[Time]],PeakCalc!$G$10:$G$303,0))</f>
        <v>0</v>
      </c>
    </row>
    <row r="1041" spans="1:9" x14ac:dyDescent="0.25">
      <c r="A1041" t="s">
        <v>95</v>
      </c>
      <c r="B1041" t="s">
        <v>103</v>
      </c>
      <c r="C1041" t="s">
        <v>94</v>
      </c>
      <c r="D1041" t="s">
        <v>91</v>
      </c>
      <c r="E1041" t="s">
        <v>110</v>
      </c>
      <c r="F1041" s="6">
        <v>0.46875</v>
      </c>
      <c r="G1041">
        <v>0</v>
      </c>
      <c r="H1041" s="6">
        <f>FLOOR(tblPivotData[[#This Row],[Time]],Summary!$B$6/1440)</f>
        <v>0.46875</v>
      </c>
      <c r="I1041" s="49">
        <f>INDEX(PeakCalc!$L$10:$L$303,MATCH(tblPivotData[[#This Row],[Time]],PeakCalc!$G$10:$G$303,0))</f>
        <v>0</v>
      </c>
    </row>
    <row r="1042" spans="1:9" x14ac:dyDescent="0.25">
      <c r="A1042" t="s">
        <v>95</v>
      </c>
      <c r="B1042" t="s">
        <v>103</v>
      </c>
      <c r="C1042" t="s">
        <v>94</v>
      </c>
      <c r="D1042" t="s">
        <v>91</v>
      </c>
      <c r="E1042" t="s">
        <v>110</v>
      </c>
      <c r="F1042" s="6">
        <v>0.47916666666666669</v>
      </c>
      <c r="G1042">
        <v>4</v>
      </c>
      <c r="H1042" s="6">
        <f>FLOOR(tblPivotData[[#This Row],[Time]],Summary!$B$6/1440)</f>
        <v>0.47916666666666663</v>
      </c>
      <c r="I1042" s="49">
        <f>INDEX(PeakCalc!$L$10:$L$303,MATCH(tblPivotData[[#This Row],[Time]],PeakCalc!$G$10:$G$303,0))</f>
        <v>0</v>
      </c>
    </row>
    <row r="1043" spans="1:9" x14ac:dyDescent="0.25">
      <c r="A1043" t="s">
        <v>95</v>
      </c>
      <c r="B1043" t="s">
        <v>103</v>
      </c>
      <c r="C1043" t="s">
        <v>94</v>
      </c>
      <c r="D1043" t="s">
        <v>91</v>
      </c>
      <c r="E1043" t="s">
        <v>110</v>
      </c>
      <c r="F1043" s="6">
        <v>0.48958333333333331</v>
      </c>
      <c r="G1043">
        <v>1</v>
      </c>
      <c r="H1043" s="6">
        <f>FLOOR(tblPivotData[[#This Row],[Time]],Summary!$B$6/1440)</f>
        <v>0.48958333333333331</v>
      </c>
      <c r="I1043" s="49">
        <f>INDEX(PeakCalc!$L$10:$L$303,MATCH(tblPivotData[[#This Row],[Time]],PeakCalc!$G$10:$G$303,0))</f>
        <v>0</v>
      </c>
    </row>
    <row r="1044" spans="1:9" x14ac:dyDescent="0.25">
      <c r="A1044" t="s">
        <v>95</v>
      </c>
      <c r="B1044" t="s">
        <v>103</v>
      </c>
      <c r="C1044" t="s">
        <v>94</v>
      </c>
      <c r="D1044" t="s">
        <v>91</v>
      </c>
      <c r="E1044" t="s">
        <v>110</v>
      </c>
      <c r="F1044" s="6">
        <v>0.5</v>
      </c>
      <c r="G1044">
        <v>3</v>
      </c>
      <c r="H1044" s="6">
        <f>FLOOR(tblPivotData[[#This Row],[Time]],Summary!$B$6/1440)</f>
        <v>0.5</v>
      </c>
      <c r="I1044" s="49">
        <f>INDEX(PeakCalc!$L$10:$L$303,MATCH(tblPivotData[[#This Row],[Time]],PeakCalc!$G$10:$G$303,0))</f>
        <v>0</v>
      </c>
    </row>
    <row r="1045" spans="1:9" x14ac:dyDescent="0.25">
      <c r="A1045" t="s">
        <v>95</v>
      </c>
      <c r="B1045" t="s">
        <v>103</v>
      </c>
      <c r="C1045" t="s">
        <v>94</v>
      </c>
      <c r="D1045" t="s">
        <v>91</v>
      </c>
      <c r="E1045" t="s">
        <v>110</v>
      </c>
      <c r="F1045" s="6">
        <v>0.51041666666666663</v>
      </c>
      <c r="G1045">
        <v>0</v>
      </c>
      <c r="H1045" s="6">
        <f>FLOOR(tblPivotData[[#This Row],[Time]],Summary!$B$6/1440)</f>
        <v>0.51041666666666663</v>
      </c>
      <c r="I1045" s="49">
        <f>INDEX(PeakCalc!$L$10:$L$303,MATCH(tblPivotData[[#This Row],[Time]],PeakCalc!$G$10:$G$303,0))</f>
        <v>0</v>
      </c>
    </row>
    <row r="1046" spans="1:9" x14ac:dyDescent="0.25">
      <c r="A1046" t="s">
        <v>95</v>
      </c>
      <c r="B1046" t="s">
        <v>103</v>
      </c>
      <c r="C1046" t="s">
        <v>94</v>
      </c>
      <c r="D1046" t="s">
        <v>91</v>
      </c>
      <c r="E1046" t="s">
        <v>110</v>
      </c>
      <c r="F1046" s="6">
        <v>0.52083333333333337</v>
      </c>
      <c r="G1046">
        <v>0</v>
      </c>
      <c r="H1046" s="6">
        <f>FLOOR(tblPivotData[[#This Row],[Time]],Summary!$B$6/1440)</f>
        <v>0.52083333333333326</v>
      </c>
      <c r="I1046" s="49">
        <f>INDEX(PeakCalc!$L$10:$L$303,MATCH(tblPivotData[[#This Row],[Time]],PeakCalc!$G$10:$G$303,0))</f>
        <v>1</v>
      </c>
    </row>
    <row r="1047" spans="1:9" x14ac:dyDescent="0.25">
      <c r="A1047" t="s">
        <v>95</v>
      </c>
      <c r="B1047" t="s">
        <v>103</v>
      </c>
      <c r="C1047" t="s">
        <v>94</v>
      </c>
      <c r="D1047" t="s">
        <v>91</v>
      </c>
      <c r="E1047" t="s">
        <v>110</v>
      </c>
      <c r="F1047" s="6">
        <v>0.53125</v>
      </c>
      <c r="G1047">
        <v>0</v>
      </c>
      <c r="H1047" s="6">
        <f>FLOOR(tblPivotData[[#This Row],[Time]],Summary!$B$6/1440)</f>
        <v>0.53125</v>
      </c>
      <c r="I1047" s="49">
        <f>INDEX(PeakCalc!$L$10:$L$303,MATCH(tblPivotData[[#This Row],[Time]],PeakCalc!$G$10:$G$303,0))</f>
        <v>1</v>
      </c>
    </row>
    <row r="1048" spans="1:9" x14ac:dyDescent="0.25">
      <c r="A1048" t="s">
        <v>95</v>
      </c>
      <c r="B1048" t="s">
        <v>103</v>
      </c>
      <c r="C1048" t="s">
        <v>94</v>
      </c>
      <c r="D1048" t="s">
        <v>91</v>
      </c>
      <c r="E1048" t="s">
        <v>110</v>
      </c>
      <c r="F1048" s="6">
        <v>0.54166666666666663</v>
      </c>
      <c r="G1048">
        <v>1</v>
      </c>
      <c r="H1048" s="6">
        <f>FLOOR(tblPivotData[[#This Row],[Time]],Summary!$B$6/1440)</f>
        <v>0.54166666666666663</v>
      </c>
      <c r="I1048" s="49">
        <f>INDEX(PeakCalc!$L$10:$L$303,MATCH(tblPivotData[[#This Row],[Time]],PeakCalc!$G$10:$G$303,0))</f>
        <v>1</v>
      </c>
    </row>
    <row r="1049" spans="1:9" x14ac:dyDescent="0.25">
      <c r="A1049" t="s">
        <v>95</v>
      </c>
      <c r="B1049" t="s">
        <v>103</v>
      </c>
      <c r="C1049" t="s">
        <v>94</v>
      </c>
      <c r="D1049" t="s">
        <v>91</v>
      </c>
      <c r="E1049" t="s">
        <v>110</v>
      </c>
      <c r="F1049" s="6">
        <v>0.55208333333333337</v>
      </c>
      <c r="G1049">
        <v>1</v>
      </c>
      <c r="H1049" s="6">
        <f>FLOOR(tblPivotData[[#This Row],[Time]],Summary!$B$6/1440)</f>
        <v>0.55208333333333326</v>
      </c>
      <c r="I1049" s="49">
        <f>INDEX(PeakCalc!$L$10:$L$303,MATCH(tblPivotData[[#This Row],[Time]],PeakCalc!$G$10:$G$303,0))</f>
        <v>1</v>
      </c>
    </row>
    <row r="1050" spans="1:9" x14ac:dyDescent="0.25">
      <c r="A1050" t="s">
        <v>95</v>
      </c>
      <c r="B1050" t="s">
        <v>103</v>
      </c>
      <c r="C1050" t="s">
        <v>94</v>
      </c>
      <c r="D1050" t="s">
        <v>91</v>
      </c>
      <c r="E1050" t="s">
        <v>110</v>
      </c>
      <c r="F1050" s="6">
        <v>0.5625</v>
      </c>
      <c r="G1050">
        <v>1</v>
      </c>
      <c r="H1050" s="6">
        <f>FLOOR(tblPivotData[[#This Row],[Time]],Summary!$B$6/1440)</f>
        <v>0.5625</v>
      </c>
      <c r="I1050" s="49">
        <f>INDEX(PeakCalc!$L$10:$L$303,MATCH(tblPivotData[[#This Row],[Time]],PeakCalc!$G$10:$G$303,0))</f>
        <v>0</v>
      </c>
    </row>
    <row r="1051" spans="1:9" x14ac:dyDescent="0.25">
      <c r="A1051" t="s">
        <v>95</v>
      </c>
      <c r="B1051" t="s">
        <v>103</v>
      </c>
      <c r="C1051" t="s">
        <v>94</v>
      </c>
      <c r="D1051" t="s">
        <v>91</v>
      </c>
      <c r="E1051" t="s">
        <v>110</v>
      </c>
      <c r="F1051" s="6">
        <v>0.57291666666666663</v>
      </c>
      <c r="G1051">
        <v>1</v>
      </c>
      <c r="H1051" s="6">
        <f>FLOOR(tblPivotData[[#This Row],[Time]],Summary!$B$6/1440)</f>
        <v>0.57291666666666663</v>
      </c>
      <c r="I1051" s="49">
        <f>INDEX(PeakCalc!$L$10:$L$303,MATCH(tblPivotData[[#This Row],[Time]],PeakCalc!$G$10:$G$303,0))</f>
        <v>0</v>
      </c>
    </row>
    <row r="1052" spans="1:9" x14ac:dyDescent="0.25">
      <c r="A1052" t="s">
        <v>95</v>
      </c>
      <c r="B1052" t="s">
        <v>103</v>
      </c>
      <c r="C1052" t="s">
        <v>94</v>
      </c>
      <c r="D1052" t="s">
        <v>91</v>
      </c>
      <c r="E1052" t="s">
        <v>44</v>
      </c>
      <c r="F1052" s="6">
        <v>0.625</v>
      </c>
      <c r="G1052">
        <v>0</v>
      </c>
      <c r="H1052" s="6">
        <f>FLOOR(tblPivotData[[#This Row],[Time]],Summary!$B$6/1440)</f>
        <v>0.625</v>
      </c>
      <c r="I1052" s="49">
        <f>INDEX(PeakCalc!$L$10:$L$303,MATCH(tblPivotData[[#This Row],[Time]],PeakCalc!$G$10:$G$303,0))</f>
        <v>0</v>
      </c>
    </row>
    <row r="1053" spans="1:9" x14ac:dyDescent="0.25">
      <c r="A1053" t="s">
        <v>95</v>
      </c>
      <c r="B1053" t="s">
        <v>103</v>
      </c>
      <c r="C1053" t="s">
        <v>94</v>
      </c>
      <c r="D1053" t="s">
        <v>91</v>
      </c>
      <c r="E1053" t="s">
        <v>44</v>
      </c>
      <c r="F1053" s="6">
        <v>0.63541666666666663</v>
      </c>
      <c r="G1053">
        <v>0</v>
      </c>
      <c r="H1053" s="6">
        <f>FLOOR(tblPivotData[[#This Row],[Time]],Summary!$B$6/1440)</f>
        <v>0.63541666666666663</v>
      </c>
      <c r="I1053" s="49">
        <f>INDEX(PeakCalc!$L$10:$L$303,MATCH(tblPivotData[[#This Row],[Time]],PeakCalc!$G$10:$G$303,0))</f>
        <v>0</v>
      </c>
    </row>
    <row r="1054" spans="1:9" x14ac:dyDescent="0.25">
      <c r="A1054" t="s">
        <v>95</v>
      </c>
      <c r="B1054" t="s">
        <v>103</v>
      </c>
      <c r="C1054" t="s">
        <v>94</v>
      </c>
      <c r="D1054" t="s">
        <v>91</v>
      </c>
      <c r="E1054" t="s">
        <v>44</v>
      </c>
      <c r="F1054" s="6">
        <v>0.64583333333333337</v>
      </c>
      <c r="G1054">
        <v>1</v>
      </c>
      <c r="H1054" s="6">
        <f>FLOOR(tblPivotData[[#This Row],[Time]],Summary!$B$6/1440)</f>
        <v>0.64583333333333326</v>
      </c>
      <c r="I1054" s="49">
        <f>INDEX(PeakCalc!$L$10:$L$303,MATCH(tblPivotData[[#This Row],[Time]],PeakCalc!$G$10:$G$303,0))</f>
        <v>0</v>
      </c>
    </row>
    <row r="1055" spans="1:9" x14ac:dyDescent="0.25">
      <c r="A1055" t="s">
        <v>95</v>
      </c>
      <c r="B1055" t="s">
        <v>103</v>
      </c>
      <c r="C1055" t="s">
        <v>94</v>
      </c>
      <c r="D1055" t="s">
        <v>91</v>
      </c>
      <c r="E1055" t="s">
        <v>44</v>
      </c>
      <c r="F1055" s="6">
        <v>0.65625</v>
      </c>
      <c r="G1055">
        <v>1</v>
      </c>
      <c r="H1055" s="6">
        <f>FLOOR(tblPivotData[[#This Row],[Time]],Summary!$B$6/1440)</f>
        <v>0.65625</v>
      </c>
      <c r="I1055" s="49">
        <f>INDEX(PeakCalc!$L$10:$L$303,MATCH(tblPivotData[[#This Row],[Time]],PeakCalc!$G$10:$G$303,0))</f>
        <v>0</v>
      </c>
    </row>
    <row r="1056" spans="1:9" x14ac:dyDescent="0.25">
      <c r="A1056" t="s">
        <v>95</v>
      </c>
      <c r="B1056" t="s">
        <v>103</v>
      </c>
      <c r="C1056" t="s">
        <v>94</v>
      </c>
      <c r="D1056" t="s">
        <v>91</v>
      </c>
      <c r="E1056" t="s">
        <v>44</v>
      </c>
      <c r="F1056" s="6">
        <v>0.66666666666666663</v>
      </c>
      <c r="G1056">
        <v>1</v>
      </c>
      <c r="H1056" s="6">
        <f>FLOOR(tblPivotData[[#This Row],[Time]],Summary!$B$6/1440)</f>
        <v>0.66666666666666663</v>
      </c>
      <c r="I1056" s="49">
        <f>INDEX(PeakCalc!$L$10:$L$303,MATCH(tblPivotData[[#This Row],[Time]],PeakCalc!$G$10:$G$303,0))</f>
        <v>0</v>
      </c>
    </row>
    <row r="1057" spans="1:9" x14ac:dyDescent="0.25">
      <c r="A1057" t="s">
        <v>95</v>
      </c>
      <c r="B1057" t="s">
        <v>103</v>
      </c>
      <c r="C1057" t="s">
        <v>94</v>
      </c>
      <c r="D1057" t="s">
        <v>91</v>
      </c>
      <c r="E1057" t="s">
        <v>44</v>
      </c>
      <c r="F1057" s="6">
        <v>0.67708333333333337</v>
      </c>
      <c r="G1057">
        <v>0</v>
      </c>
      <c r="H1057" s="6">
        <f>FLOOR(tblPivotData[[#This Row],[Time]],Summary!$B$6/1440)</f>
        <v>0.67708333333333326</v>
      </c>
      <c r="I1057" s="49">
        <f>INDEX(PeakCalc!$L$10:$L$303,MATCH(tblPivotData[[#This Row],[Time]],PeakCalc!$G$10:$G$303,0))</f>
        <v>0</v>
      </c>
    </row>
    <row r="1058" spans="1:9" x14ac:dyDescent="0.25">
      <c r="A1058" t="s">
        <v>95</v>
      </c>
      <c r="B1058" t="s">
        <v>103</v>
      </c>
      <c r="C1058" t="s">
        <v>94</v>
      </c>
      <c r="D1058" t="s">
        <v>91</v>
      </c>
      <c r="E1058" t="s">
        <v>44</v>
      </c>
      <c r="F1058" s="6">
        <v>0.6875</v>
      </c>
      <c r="G1058">
        <v>0</v>
      </c>
      <c r="H1058" s="6">
        <f>FLOOR(tblPivotData[[#This Row],[Time]],Summary!$B$6/1440)</f>
        <v>0.6875</v>
      </c>
      <c r="I1058" s="49">
        <f>INDEX(PeakCalc!$L$10:$L$303,MATCH(tblPivotData[[#This Row],[Time]],PeakCalc!$G$10:$G$303,0))</f>
        <v>1</v>
      </c>
    </row>
    <row r="1059" spans="1:9" x14ac:dyDescent="0.25">
      <c r="A1059" t="s">
        <v>95</v>
      </c>
      <c r="B1059" t="s">
        <v>103</v>
      </c>
      <c r="C1059" t="s">
        <v>94</v>
      </c>
      <c r="D1059" t="s">
        <v>91</v>
      </c>
      <c r="E1059" t="s">
        <v>44</v>
      </c>
      <c r="F1059" s="6">
        <v>0.69791666666666663</v>
      </c>
      <c r="G1059">
        <v>1</v>
      </c>
      <c r="H1059" s="6">
        <f>FLOOR(tblPivotData[[#This Row],[Time]],Summary!$B$6/1440)</f>
        <v>0.69791666666666663</v>
      </c>
      <c r="I1059" s="49">
        <f>INDEX(PeakCalc!$L$10:$L$303,MATCH(tblPivotData[[#This Row],[Time]],PeakCalc!$G$10:$G$303,0))</f>
        <v>1</v>
      </c>
    </row>
    <row r="1060" spans="1:9" x14ac:dyDescent="0.25">
      <c r="A1060" t="s">
        <v>95</v>
      </c>
      <c r="B1060" t="s">
        <v>103</v>
      </c>
      <c r="C1060" t="s">
        <v>94</v>
      </c>
      <c r="D1060" t="s">
        <v>91</v>
      </c>
      <c r="E1060" t="s">
        <v>44</v>
      </c>
      <c r="F1060" s="6">
        <v>0.70833333333333337</v>
      </c>
      <c r="G1060">
        <v>1</v>
      </c>
      <c r="H1060" s="6">
        <f>FLOOR(tblPivotData[[#This Row],[Time]],Summary!$B$6/1440)</f>
        <v>0.70833333333333326</v>
      </c>
      <c r="I1060" s="49">
        <f>INDEX(PeakCalc!$L$10:$L$303,MATCH(tblPivotData[[#This Row],[Time]],PeakCalc!$G$10:$G$303,0))</f>
        <v>1</v>
      </c>
    </row>
    <row r="1061" spans="1:9" x14ac:dyDescent="0.25">
      <c r="A1061" t="s">
        <v>95</v>
      </c>
      <c r="B1061" t="s">
        <v>103</v>
      </c>
      <c r="C1061" t="s">
        <v>94</v>
      </c>
      <c r="D1061" t="s">
        <v>91</v>
      </c>
      <c r="E1061" t="s">
        <v>44</v>
      </c>
      <c r="F1061" s="6">
        <v>0.71875</v>
      </c>
      <c r="G1061">
        <v>0</v>
      </c>
      <c r="H1061" s="6">
        <f>FLOOR(tblPivotData[[#This Row],[Time]],Summary!$B$6/1440)</f>
        <v>0.71875</v>
      </c>
      <c r="I1061" s="49">
        <f>INDEX(PeakCalc!$L$10:$L$303,MATCH(tblPivotData[[#This Row],[Time]],PeakCalc!$G$10:$G$303,0))</f>
        <v>1</v>
      </c>
    </row>
    <row r="1062" spans="1:9" x14ac:dyDescent="0.25">
      <c r="A1062" t="s">
        <v>95</v>
      </c>
      <c r="B1062" t="s">
        <v>103</v>
      </c>
      <c r="C1062" t="s">
        <v>94</v>
      </c>
      <c r="D1062" t="s">
        <v>91</v>
      </c>
      <c r="E1062" t="s">
        <v>44</v>
      </c>
      <c r="F1062" s="6">
        <v>0.72916666666666663</v>
      </c>
      <c r="G1062">
        <v>0</v>
      </c>
      <c r="H1062" s="6">
        <f>FLOOR(tblPivotData[[#This Row],[Time]],Summary!$B$6/1440)</f>
        <v>0.72916666666666663</v>
      </c>
      <c r="I1062" s="49">
        <f>INDEX(PeakCalc!$L$10:$L$303,MATCH(tblPivotData[[#This Row],[Time]],PeakCalc!$G$10:$G$303,0))</f>
        <v>0</v>
      </c>
    </row>
    <row r="1063" spans="1:9" x14ac:dyDescent="0.25">
      <c r="A1063" t="s">
        <v>95</v>
      </c>
      <c r="B1063" t="s">
        <v>103</v>
      </c>
      <c r="C1063" t="s">
        <v>94</v>
      </c>
      <c r="D1063" t="s">
        <v>91</v>
      </c>
      <c r="E1063" t="s">
        <v>44</v>
      </c>
      <c r="F1063" s="6">
        <v>0.73958333333333337</v>
      </c>
      <c r="G1063">
        <v>0</v>
      </c>
      <c r="H1063" s="6">
        <f>FLOOR(tblPivotData[[#This Row],[Time]],Summary!$B$6/1440)</f>
        <v>0.73958333333333326</v>
      </c>
      <c r="I1063" s="49">
        <f>INDEX(PeakCalc!$L$10:$L$303,MATCH(tblPivotData[[#This Row],[Time]],PeakCalc!$G$10:$G$303,0))</f>
        <v>0</v>
      </c>
    </row>
    <row r="1064" spans="1:9" x14ac:dyDescent="0.25">
      <c r="A1064" t="s">
        <v>95</v>
      </c>
      <c r="B1064" t="s">
        <v>103</v>
      </c>
      <c r="C1064" t="s">
        <v>94</v>
      </c>
      <c r="D1064" t="s">
        <v>91</v>
      </c>
      <c r="E1064" t="s">
        <v>44</v>
      </c>
      <c r="F1064" s="6">
        <v>0.75</v>
      </c>
      <c r="G1064">
        <v>2</v>
      </c>
      <c r="H1064" s="6">
        <f>FLOOR(tblPivotData[[#This Row],[Time]],Summary!$B$6/1440)</f>
        <v>0.75</v>
      </c>
      <c r="I1064" s="49">
        <f>INDEX(PeakCalc!$L$10:$L$303,MATCH(tblPivotData[[#This Row],[Time]],PeakCalc!$G$10:$G$303,0))</f>
        <v>0</v>
      </c>
    </row>
    <row r="1065" spans="1:9" x14ac:dyDescent="0.25">
      <c r="A1065" t="s">
        <v>95</v>
      </c>
      <c r="B1065" t="s">
        <v>103</v>
      </c>
      <c r="C1065" t="s">
        <v>94</v>
      </c>
      <c r="D1065" t="s">
        <v>91</v>
      </c>
      <c r="E1065" t="s">
        <v>44</v>
      </c>
      <c r="F1065" s="6">
        <v>0.76041666666666663</v>
      </c>
      <c r="G1065">
        <v>0</v>
      </c>
      <c r="H1065" s="6">
        <f>FLOOR(tblPivotData[[#This Row],[Time]],Summary!$B$6/1440)</f>
        <v>0.76041666666666663</v>
      </c>
      <c r="I1065" s="49">
        <f>INDEX(PeakCalc!$L$10:$L$303,MATCH(tblPivotData[[#This Row],[Time]],PeakCalc!$G$10:$G$303,0))</f>
        <v>0</v>
      </c>
    </row>
    <row r="1066" spans="1:9" x14ac:dyDescent="0.25">
      <c r="A1066" t="s">
        <v>95</v>
      </c>
      <c r="B1066" t="s">
        <v>103</v>
      </c>
      <c r="C1066" t="s">
        <v>94</v>
      </c>
      <c r="D1066" t="s">
        <v>92</v>
      </c>
      <c r="E1066" t="s">
        <v>43</v>
      </c>
      <c r="F1066" s="6">
        <v>0.27083333333333331</v>
      </c>
      <c r="G1066">
        <v>0</v>
      </c>
      <c r="H1066" s="6">
        <f>FLOOR(tblPivotData[[#This Row],[Time]],Summary!$B$6/1440)</f>
        <v>0.27083333333333331</v>
      </c>
      <c r="I1066" s="49">
        <f>INDEX(PeakCalc!$L$10:$L$303,MATCH(tblPivotData[[#This Row],[Time]],PeakCalc!$G$10:$G$303,0))</f>
        <v>0</v>
      </c>
    </row>
    <row r="1067" spans="1:9" x14ac:dyDescent="0.25">
      <c r="A1067" t="s">
        <v>95</v>
      </c>
      <c r="B1067" t="s">
        <v>103</v>
      </c>
      <c r="C1067" t="s">
        <v>94</v>
      </c>
      <c r="D1067" t="s">
        <v>92</v>
      </c>
      <c r="E1067" t="s">
        <v>43</v>
      </c>
      <c r="F1067" s="6">
        <v>0.28125</v>
      </c>
      <c r="G1067">
        <v>0</v>
      </c>
      <c r="H1067" s="6">
        <f>FLOOR(tblPivotData[[#This Row],[Time]],Summary!$B$6/1440)</f>
        <v>0.28125</v>
      </c>
      <c r="I1067" s="49">
        <f>INDEX(PeakCalc!$L$10:$L$303,MATCH(tblPivotData[[#This Row],[Time]],PeakCalc!$G$10:$G$303,0))</f>
        <v>0</v>
      </c>
    </row>
    <row r="1068" spans="1:9" x14ac:dyDescent="0.25">
      <c r="A1068" t="s">
        <v>95</v>
      </c>
      <c r="B1068" t="s">
        <v>103</v>
      </c>
      <c r="C1068" t="s">
        <v>94</v>
      </c>
      <c r="D1068" t="s">
        <v>92</v>
      </c>
      <c r="E1068" t="s">
        <v>43</v>
      </c>
      <c r="F1068" s="6">
        <v>0.29166666666666669</v>
      </c>
      <c r="G1068">
        <v>0</v>
      </c>
      <c r="H1068" s="6">
        <f>FLOOR(tblPivotData[[#This Row],[Time]],Summary!$B$6/1440)</f>
        <v>0.29166666666666663</v>
      </c>
      <c r="I1068" s="49">
        <f>INDEX(PeakCalc!$L$10:$L$303,MATCH(tblPivotData[[#This Row],[Time]],PeakCalc!$G$10:$G$303,0))</f>
        <v>0</v>
      </c>
    </row>
    <row r="1069" spans="1:9" x14ac:dyDescent="0.25">
      <c r="A1069" t="s">
        <v>95</v>
      </c>
      <c r="B1069" t="s">
        <v>103</v>
      </c>
      <c r="C1069" t="s">
        <v>94</v>
      </c>
      <c r="D1069" t="s">
        <v>92</v>
      </c>
      <c r="E1069" t="s">
        <v>43</v>
      </c>
      <c r="F1069" s="6">
        <v>0.30208333333333331</v>
      </c>
      <c r="G1069">
        <v>0</v>
      </c>
      <c r="H1069" s="6">
        <f>FLOOR(tblPivotData[[#This Row],[Time]],Summary!$B$6/1440)</f>
        <v>0.30208333333333331</v>
      </c>
      <c r="I1069" s="49">
        <f>INDEX(PeakCalc!$L$10:$L$303,MATCH(tblPivotData[[#This Row],[Time]],PeakCalc!$G$10:$G$303,0))</f>
        <v>0</v>
      </c>
    </row>
    <row r="1070" spans="1:9" x14ac:dyDescent="0.25">
      <c r="A1070" t="s">
        <v>95</v>
      </c>
      <c r="B1070" t="s">
        <v>103</v>
      </c>
      <c r="C1070" t="s">
        <v>94</v>
      </c>
      <c r="D1070" t="s">
        <v>92</v>
      </c>
      <c r="E1070" t="s">
        <v>43</v>
      </c>
      <c r="F1070" s="6">
        <v>0.3125</v>
      </c>
      <c r="G1070">
        <v>0</v>
      </c>
      <c r="H1070" s="6">
        <f>FLOOR(tblPivotData[[#This Row],[Time]],Summary!$B$6/1440)</f>
        <v>0.3125</v>
      </c>
      <c r="I1070" s="49">
        <f>INDEX(PeakCalc!$L$10:$L$303,MATCH(tblPivotData[[#This Row],[Time]],PeakCalc!$G$10:$G$303,0))</f>
        <v>0</v>
      </c>
    </row>
    <row r="1071" spans="1:9" x14ac:dyDescent="0.25">
      <c r="A1071" t="s">
        <v>95</v>
      </c>
      <c r="B1071" t="s">
        <v>103</v>
      </c>
      <c r="C1071" t="s">
        <v>94</v>
      </c>
      <c r="D1071" t="s">
        <v>92</v>
      </c>
      <c r="E1071" t="s">
        <v>43</v>
      </c>
      <c r="F1071" s="6">
        <v>0.32291666666666669</v>
      </c>
      <c r="G1071">
        <v>0</v>
      </c>
      <c r="H1071" s="6">
        <f>FLOOR(tblPivotData[[#This Row],[Time]],Summary!$B$6/1440)</f>
        <v>0.32291666666666663</v>
      </c>
      <c r="I1071" s="49">
        <f>INDEX(PeakCalc!$L$10:$L$303,MATCH(tblPivotData[[#This Row],[Time]],PeakCalc!$G$10:$G$303,0))</f>
        <v>1</v>
      </c>
    </row>
    <row r="1072" spans="1:9" x14ac:dyDescent="0.25">
      <c r="A1072" t="s">
        <v>95</v>
      </c>
      <c r="B1072" t="s">
        <v>103</v>
      </c>
      <c r="C1072" t="s">
        <v>94</v>
      </c>
      <c r="D1072" t="s">
        <v>92</v>
      </c>
      <c r="E1072" t="s">
        <v>43</v>
      </c>
      <c r="F1072" s="6">
        <v>0.33333333333333331</v>
      </c>
      <c r="G1072">
        <v>0</v>
      </c>
      <c r="H1072" s="6">
        <f>FLOOR(tblPivotData[[#This Row],[Time]],Summary!$B$6/1440)</f>
        <v>0.33333333333333331</v>
      </c>
      <c r="I1072" s="49">
        <f>INDEX(PeakCalc!$L$10:$L$303,MATCH(tblPivotData[[#This Row],[Time]],PeakCalc!$G$10:$G$303,0))</f>
        <v>1</v>
      </c>
    </row>
    <row r="1073" spans="1:9" x14ac:dyDescent="0.25">
      <c r="A1073" t="s">
        <v>95</v>
      </c>
      <c r="B1073" t="s">
        <v>103</v>
      </c>
      <c r="C1073" t="s">
        <v>94</v>
      </c>
      <c r="D1073" t="s">
        <v>92</v>
      </c>
      <c r="E1073" t="s">
        <v>43</v>
      </c>
      <c r="F1073" s="6">
        <v>0.34375</v>
      </c>
      <c r="G1073">
        <v>0</v>
      </c>
      <c r="H1073" s="6">
        <f>FLOOR(tblPivotData[[#This Row],[Time]],Summary!$B$6/1440)</f>
        <v>0.34375</v>
      </c>
      <c r="I1073" s="49">
        <f>INDEX(PeakCalc!$L$10:$L$303,MATCH(tblPivotData[[#This Row],[Time]],PeakCalc!$G$10:$G$303,0))</f>
        <v>1</v>
      </c>
    </row>
    <row r="1074" spans="1:9" x14ac:dyDescent="0.25">
      <c r="A1074" t="s">
        <v>95</v>
      </c>
      <c r="B1074" t="s">
        <v>103</v>
      </c>
      <c r="C1074" t="s">
        <v>94</v>
      </c>
      <c r="D1074" t="s">
        <v>92</v>
      </c>
      <c r="E1074" t="s">
        <v>43</v>
      </c>
      <c r="F1074" s="6">
        <v>0.35416666666666669</v>
      </c>
      <c r="G1074">
        <v>0</v>
      </c>
      <c r="H1074" s="6">
        <f>FLOOR(tblPivotData[[#This Row],[Time]],Summary!$B$6/1440)</f>
        <v>0.35416666666666663</v>
      </c>
      <c r="I1074" s="49">
        <f>INDEX(PeakCalc!$L$10:$L$303,MATCH(tblPivotData[[#This Row],[Time]],PeakCalc!$G$10:$G$303,0))</f>
        <v>1</v>
      </c>
    </row>
    <row r="1075" spans="1:9" x14ac:dyDescent="0.25">
      <c r="A1075" t="s">
        <v>95</v>
      </c>
      <c r="B1075" t="s">
        <v>103</v>
      </c>
      <c r="C1075" t="s">
        <v>94</v>
      </c>
      <c r="D1075" t="s">
        <v>92</v>
      </c>
      <c r="E1075" t="s">
        <v>43</v>
      </c>
      <c r="F1075" s="6">
        <v>0.36458333333333331</v>
      </c>
      <c r="G1075">
        <v>0</v>
      </c>
      <c r="H1075" s="6">
        <f>FLOOR(tblPivotData[[#This Row],[Time]],Summary!$B$6/1440)</f>
        <v>0.36458333333333331</v>
      </c>
      <c r="I1075" s="49">
        <f>INDEX(PeakCalc!$L$10:$L$303,MATCH(tblPivotData[[#This Row],[Time]],PeakCalc!$G$10:$G$303,0))</f>
        <v>0</v>
      </c>
    </row>
    <row r="1076" spans="1:9" x14ac:dyDescent="0.25">
      <c r="A1076" t="s">
        <v>95</v>
      </c>
      <c r="B1076" t="s">
        <v>103</v>
      </c>
      <c r="C1076" t="s">
        <v>94</v>
      </c>
      <c r="D1076" t="s">
        <v>92</v>
      </c>
      <c r="E1076" t="s">
        <v>43</v>
      </c>
      <c r="F1076" s="6">
        <v>0.375</v>
      </c>
      <c r="G1076">
        <v>0</v>
      </c>
      <c r="H1076" s="6">
        <f>FLOOR(tblPivotData[[#This Row],[Time]],Summary!$B$6/1440)</f>
        <v>0.375</v>
      </c>
      <c r="I1076" s="49">
        <f>INDEX(PeakCalc!$L$10:$L$303,MATCH(tblPivotData[[#This Row],[Time]],PeakCalc!$G$10:$G$303,0))</f>
        <v>0</v>
      </c>
    </row>
    <row r="1077" spans="1:9" x14ac:dyDescent="0.25">
      <c r="A1077" t="s">
        <v>95</v>
      </c>
      <c r="B1077" t="s">
        <v>103</v>
      </c>
      <c r="C1077" t="s">
        <v>94</v>
      </c>
      <c r="D1077" t="s">
        <v>92</v>
      </c>
      <c r="E1077" t="s">
        <v>43</v>
      </c>
      <c r="F1077" s="6">
        <v>0.38541666666666669</v>
      </c>
      <c r="G1077">
        <v>0</v>
      </c>
      <c r="H1077" s="6">
        <f>FLOOR(tblPivotData[[#This Row],[Time]],Summary!$B$6/1440)</f>
        <v>0.38541666666666663</v>
      </c>
      <c r="I1077" s="49">
        <f>INDEX(PeakCalc!$L$10:$L$303,MATCH(tblPivotData[[#This Row],[Time]],PeakCalc!$G$10:$G$303,0))</f>
        <v>0</v>
      </c>
    </row>
    <row r="1078" spans="1:9" x14ac:dyDescent="0.25">
      <c r="A1078" t="s">
        <v>95</v>
      </c>
      <c r="B1078" t="s">
        <v>103</v>
      </c>
      <c r="C1078" t="s">
        <v>94</v>
      </c>
      <c r="D1078" t="s">
        <v>92</v>
      </c>
      <c r="E1078" t="s">
        <v>110</v>
      </c>
      <c r="F1078" s="6">
        <v>0.45833333333333331</v>
      </c>
      <c r="G1078">
        <v>0</v>
      </c>
      <c r="H1078" s="6">
        <f>FLOOR(tblPivotData[[#This Row],[Time]],Summary!$B$6/1440)</f>
        <v>0.45833333333333331</v>
      </c>
      <c r="I1078" s="49">
        <f>INDEX(PeakCalc!$L$10:$L$303,MATCH(tblPivotData[[#This Row],[Time]],PeakCalc!$G$10:$G$303,0))</f>
        <v>0</v>
      </c>
    </row>
    <row r="1079" spans="1:9" x14ac:dyDescent="0.25">
      <c r="A1079" t="s">
        <v>95</v>
      </c>
      <c r="B1079" t="s">
        <v>103</v>
      </c>
      <c r="C1079" t="s">
        <v>94</v>
      </c>
      <c r="D1079" t="s">
        <v>92</v>
      </c>
      <c r="E1079" t="s">
        <v>110</v>
      </c>
      <c r="F1079" s="6">
        <v>0.46875</v>
      </c>
      <c r="G1079">
        <v>0</v>
      </c>
      <c r="H1079" s="6">
        <f>FLOOR(tblPivotData[[#This Row],[Time]],Summary!$B$6/1440)</f>
        <v>0.46875</v>
      </c>
      <c r="I1079" s="49">
        <f>INDEX(PeakCalc!$L$10:$L$303,MATCH(tblPivotData[[#This Row],[Time]],PeakCalc!$G$10:$G$303,0))</f>
        <v>0</v>
      </c>
    </row>
    <row r="1080" spans="1:9" x14ac:dyDescent="0.25">
      <c r="A1080" t="s">
        <v>95</v>
      </c>
      <c r="B1080" t="s">
        <v>103</v>
      </c>
      <c r="C1080" t="s">
        <v>94</v>
      </c>
      <c r="D1080" t="s">
        <v>92</v>
      </c>
      <c r="E1080" t="s">
        <v>110</v>
      </c>
      <c r="F1080" s="6">
        <v>0.47916666666666669</v>
      </c>
      <c r="G1080">
        <v>0</v>
      </c>
      <c r="H1080" s="6">
        <f>FLOOR(tblPivotData[[#This Row],[Time]],Summary!$B$6/1440)</f>
        <v>0.47916666666666663</v>
      </c>
      <c r="I1080" s="49">
        <f>INDEX(PeakCalc!$L$10:$L$303,MATCH(tblPivotData[[#This Row],[Time]],PeakCalc!$G$10:$G$303,0))</f>
        <v>0</v>
      </c>
    </row>
    <row r="1081" spans="1:9" x14ac:dyDescent="0.25">
      <c r="A1081" t="s">
        <v>95</v>
      </c>
      <c r="B1081" t="s">
        <v>103</v>
      </c>
      <c r="C1081" t="s">
        <v>94</v>
      </c>
      <c r="D1081" t="s">
        <v>92</v>
      </c>
      <c r="E1081" t="s">
        <v>110</v>
      </c>
      <c r="F1081" s="6">
        <v>0.48958333333333331</v>
      </c>
      <c r="G1081">
        <v>0</v>
      </c>
      <c r="H1081" s="6">
        <f>FLOOR(tblPivotData[[#This Row],[Time]],Summary!$B$6/1440)</f>
        <v>0.48958333333333331</v>
      </c>
      <c r="I1081" s="49">
        <f>INDEX(PeakCalc!$L$10:$L$303,MATCH(tblPivotData[[#This Row],[Time]],PeakCalc!$G$10:$G$303,0))</f>
        <v>0</v>
      </c>
    </row>
    <row r="1082" spans="1:9" x14ac:dyDescent="0.25">
      <c r="A1082" t="s">
        <v>95</v>
      </c>
      <c r="B1082" t="s">
        <v>103</v>
      </c>
      <c r="C1082" t="s">
        <v>94</v>
      </c>
      <c r="D1082" t="s">
        <v>92</v>
      </c>
      <c r="E1082" t="s">
        <v>110</v>
      </c>
      <c r="F1082" s="6">
        <v>0.5</v>
      </c>
      <c r="G1082">
        <v>0</v>
      </c>
      <c r="H1082" s="6">
        <f>FLOOR(tblPivotData[[#This Row],[Time]],Summary!$B$6/1440)</f>
        <v>0.5</v>
      </c>
      <c r="I1082" s="49">
        <f>INDEX(PeakCalc!$L$10:$L$303,MATCH(tblPivotData[[#This Row],[Time]],PeakCalc!$G$10:$G$303,0))</f>
        <v>0</v>
      </c>
    </row>
    <row r="1083" spans="1:9" x14ac:dyDescent="0.25">
      <c r="A1083" t="s">
        <v>95</v>
      </c>
      <c r="B1083" t="s">
        <v>103</v>
      </c>
      <c r="C1083" t="s">
        <v>94</v>
      </c>
      <c r="D1083" t="s">
        <v>92</v>
      </c>
      <c r="E1083" t="s">
        <v>110</v>
      </c>
      <c r="F1083" s="6">
        <v>0.51041666666666663</v>
      </c>
      <c r="G1083">
        <v>0</v>
      </c>
      <c r="H1083" s="6">
        <f>FLOOR(tblPivotData[[#This Row],[Time]],Summary!$B$6/1440)</f>
        <v>0.51041666666666663</v>
      </c>
      <c r="I1083" s="49">
        <f>INDEX(PeakCalc!$L$10:$L$303,MATCH(tblPivotData[[#This Row],[Time]],PeakCalc!$G$10:$G$303,0))</f>
        <v>0</v>
      </c>
    </row>
    <row r="1084" spans="1:9" x14ac:dyDescent="0.25">
      <c r="A1084" t="s">
        <v>95</v>
      </c>
      <c r="B1084" t="s">
        <v>103</v>
      </c>
      <c r="C1084" t="s">
        <v>94</v>
      </c>
      <c r="D1084" t="s">
        <v>92</v>
      </c>
      <c r="E1084" t="s">
        <v>110</v>
      </c>
      <c r="F1084" s="6">
        <v>0.52083333333333337</v>
      </c>
      <c r="G1084">
        <v>0</v>
      </c>
      <c r="H1084" s="6">
        <f>FLOOR(tblPivotData[[#This Row],[Time]],Summary!$B$6/1440)</f>
        <v>0.52083333333333326</v>
      </c>
      <c r="I1084" s="49">
        <f>INDEX(PeakCalc!$L$10:$L$303,MATCH(tblPivotData[[#This Row],[Time]],PeakCalc!$G$10:$G$303,0))</f>
        <v>1</v>
      </c>
    </row>
    <row r="1085" spans="1:9" x14ac:dyDescent="0.25">
      <c r="A1085" t="s">
        <v>95</v>
      </c>
      <c r="B1085" t="s">
        <v>103</v>
      </c>
      <c r="C1085" t="s">
        <v>94</v>
      </c>
      <c r="D1085" t="s">
        <v>92</v>
      </c>
      <c r="E1085" t="s">
        <v>110</v>
      </c>
      <c r="F1085" s="6">
        <v>0.53125</v>
      </c>
      <c r="G1085">
        <v>0</v>
      </c>
      <c r="H1085" s="6">
        <f>FLOOR(tblPivotData[[#This Row],[Time]],Summary!$B$6/1440)</f>
        <v>0.53125</v>
      </c>
      <c r="I1085" s="49">
        <f>INDEX(PeakCalc!$L$10:$L$303,MATCH(tblPivotData[[#This Row],[Time]],PeakCalc!$G$10:$G$303,0))</f>
        <v>1</v>
      </c>
    </row>
    <row r="1086" spans="1:9" x14ac:dyDescent="0.25">
      <c r="A1086" t="s">
        <v>95</v>
      </c>
      <c r="B1086" t="s">
        <v>103</v>
      </c>
      <c r="C1086" t="s">
        <v>94</v>
      </c>
      <c r="D1086" t="s">
        <v>92</v>
      </c>
      <c r="E1086" t="s">
        <v>110</v>
      </c>
      <c r="F1086" s="6">
        <v>0.54166666666666663</v>
      </c>
      <c r="G1086">
        <v>0</v>
      </c>
      <c r="H1086" s="6">
        <f>FLOOR(tblPivotData[[#This Row],[Time]],Summary!$B$6/1440)</f>
        <v>0.54166666666666663</v>
      </c>
      <c r="I1086" s="49">
        <f>INDEX(PeakCalc!$L$10:$L$303,MATCH(tblPivotData[[#This Row],[Time]],PeakCalc!$G$10:$G$303,0))</f>
        <v>1</v>
      </c>
    </row>
    <row r="1087" spans="1:9" x14ac:dyDescent="0.25">
      <c r="A1087" t="s">
        <v>95</v>
      </c>
      <c r="B1087" t="s">
        <v>103</v>
      </c>
      <c r="C1087" t="s">
        <v>94</v>
      </c>
      <c r="D1087" t="s">
        <v>92</v>
      </c>
      <c r="E1087" t="s">
        <v>110</v>
      </c>
      <c r="F1087" s="6">
        <v>0.55208333333333337</v>
      </c>
      <c r="G1087">
        <v>0</v>
      </c>
      <c r="H1087" s="6">
        <f>FLOOR(tblPivotData[[#This Row],[Time]],Summary!$B$6/1440)</f>
        <v>0.55208333333333326</v>
      </c>
      <c r="I1087" s="49">
        <f>INDEX(PeakCalc!$L$10:$L$303,MATCH(tblPivotData[[#This Row],[Time]],PeakCalc!$G$10:$G$303,0))</f>
        <v>1</v>
      </c>
    </row>
    <row r="1088" spans="1:9" x14ac:dyDescent="0.25">
      <c r="A1088" t="s">
        <v>95</v>
      </c>
      <c r="B1088" t="s">
        <v>103</v>
      </c>
      <c r="C1088" t="s">
        <v>94</v>
      </c>
      <c r="D1088" t="s">
        <v>92</v>
      </c>
      <c r="E1088" t="s">
        <v>110</v>
      </c>
      <c r="F1088" s="6">
        <v>0.5625</v>
      </c>
      <c r="G1088">
        <v>0</v>
      </c>
      <c r="H1088" s="6">
        <f>FLOOR(tblPivotData[[#This Row],[Time]],Summary!$B$6/1440)</f>
        <v>0.5625</v>
      </c>
      <c r="I1088" s="49">
        <f>INDEX(PeakCalc!$L$10:$L$303,MATCH(tblPivotData[[#This Row],[Time]],PeakCalc!$G$10:$G$303,0))</f>
        <v>0</v>
      </c>
    </row>
    <row r="1089" spans="1:9" x14ac:dyDescent="0.25">
      <c r="A1089" t="s">
        <v>95</v>
      </c>
      <c r="B1089" t="s">
        <v>103</v>
      </c>
      <c r="C1089" t="s">
        <v>94</v>
      </c>
      <c r="D1089" t="s">
        <v>92</v>
      </c>
      <c r="E1089" t="s">
        <v>110</v>
      </c>
      <c r="F1089" s="6">
        <v>0.57291666666666663</v>
      </c>
      <c r="G1089">
        <v>0</v>
      </c>
      <c r="H1089" s="6">
        <f>FLOOR(tblPivotData[[#This Row],[Time]],Summary!$B$6/1440)</f>
        <v>0.57291666666666663</v>
      </c>
      <c r="I1089" s="49">
        <f>INDEX(PeakCalc!$L$10:$L$303,MATCH(tblPivotData[[#This Row],[Time]],PeakCalc!$G$10:$G$303,0))</f>
        <v>0</v>
      </c>
    </row>
    <row r="1090" spans="1:9" x14ac:dyDescent="0.25">
      <c r="A1090" t="s">
        <v>95</v>
      </c>
      <c r="B1090" t="s">
        <v>103</v>
      </c>
      <c r="C1090" t="s">
        <v>94</v>
      </c>
      <c r="D1090" t="s">
        <v>92</v>
      </c>
      <c r="E1090" t="s">
        <v>44</v>
      </c>
      <c r="F1090" s="6">
        <v>0.625</v>
      </c>
      <c r="G1090">
        <v>0</v>
      </c>
      <c r="H1090" s="6">
        <f>FLOOR(tblPivotData[[#This Row],[Time]],Summary!$B$6/1440)</f>
        <v>0.625</v>
      </c>
      <c r="I1090" s="49">
        <f>INDEX(PeakCalc!$L$10:$L$303,MATCH(tblPivotData[[#This Row],[Time]],PeakCalc!$G$10:$G$303,0))</f>
        <v>0</v>
      </c>
    </row>
    <row r="1091" spans="1:9" x14ac:dyDescent="0.25">
      <c r="A1091" t="s">
        <v>95</v>
      </c>
      <c r="B1091" t="s">
        <v>103</v>
      </c>
      <c r="C1091" t="s">
        <v>94</v>
      </c>
      <c r="D1091" t="s">
        <v>92</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95</v>
      </c>
      <c r="B1092" t="s">
        <v>103</v>
      </c>
      <c r="C1092" t="s">
        <v>94</v>
      </c>
      <c r="D1092" t="s">
        <v>92</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95</v>
      </c>
      <c r="B1093" t="s">
        <v>103</v>
      </c>
      <c r="C1093" t="s">
        <v>94</v>
      </c>
      <c r="D1093" t="s">
        <v>92</v>
      </c>
      <c r="E1093" t="s">
        <v>44</v>
      </c>
      <c r="F1093" s="6">
        <v>0.65625</v>
      </c>
      <c r="G1093">
        <v>0</v>
      </c>
      <c r="H1093" s="6">
        <f>FLOOR(tblPivotData[[#This Row],[Time]],Summary!$B$6/1440)</f>
        <v>0.65625</v>
      </c>
      <c r="I1093" s="49">
        <f>INDEX(PeakCalc!$L$10:$L$303,MATCH(tblPivotData[[#This Row],[Time]],PeakCalc!$G$10:$G$303,0))</f>
        <v>0</v>
      </c>
    </row>
    <row r="1094" spans="1:9" x14ac:dyDescent="0.25">
      <c r="A1094" t="s">
        <v>95</v>
      </c>
      <c r="B1094" t="s">
        <v>103</v>
      </c>
      <c r="C1094" t="s">
        <v>94</v>
      </c>
      <c r="D1094" t="s">
        <v>92</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95</v>
      </c>
      <c r="B1095" t="s">
        <v>103</v>
      </c>
      <c r="C1095" t="s">
        <v>94</v>
      </c>
      <c r="D1095" t="s">
        <v>92</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95</v>
      </c>
      <c r="B1096" t="s">
        <v>103</v>
      </c>
      <c r="C1096" t="s">
        <v>94</v>
      </c>
      <c r="D1096" t="s">
        <v>92</v>
      </c>
      <c r="E1096" t="s">
        <v>44</v>
      </c>
      <c r="F1096" s="6">
        <v>0.6875</v>
      </c>
      <c r="G1096">
        <v>0</v>
      </c>
      <c r="H1096" s="6">
        <f>FLOOR(tblPivotData[[#This Row],[Time]],Summary!$B$6/1440)</f>
        <v>0.6875</v>
      </c>
      <c r="I1096" s="49">
        <f>INDEX(PeakCalc!$L$10:$L$303,MATCH(tblPivotData[[#This Row],[Time]],PeakCalc!$G$10:$G$303,0))</f>
        <v>1</v>
      </c>
    </row>
    <row r="1097" spans="1:9" x14ac:dyDescent="0.25">
      <c r="A1097" t="s">
        <v>95</v>
      </c>
      <c r="B1097" t="s">
        <v>103</v>
      </c>
      <c r="C1097" t="s">
        <v>94</v>
      </c>
      <c r="D1097" t="s">
        <v>92</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95</v>
      </c>
      <c r="B1098" t="s">
        <v>103</v>
      </c>
      <c r="C1098" t="s">
        <v>94</v>
      </c>
      <c r="D1098" t="s">
        <v>92</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95</v>
      </c>
      <c r="B1099" t="s">
        <v>103</v>
      </c>
      <c r="C1099" t="s">
        <v>94</v>
      </c>
      <c r="D1099" t="s">
        <v>92</v>
      </c>
      <c r="E1099" t="s">
        <v>44</v>
      </c>
      <c r="F1099" s="6">
        <v>0.71875</v>
      </c>
      <c r="G1099">
        <v>0</v>
      </c>
      <c r="H1099" s="6">
        <f>FLOOR(tblPivotData[[#This Row],[Time]],Summary!$B$6/1440)</f>
        <v>0.71875</v>
      </c>
      <c r="I1099" s="49">
        <f>INDEX(PeakCalc!$L$10:$L$303,MATCH(tblPivotData[[#This Row],[Time]],PeakCalc!$G$10:$G$303,0))</f>
        <v>1</v>
      </c>
    </row>
    <row r="1100" spans="1:9" x14ac:dyDescent="0.25">
      <c r="A1100" t="s">
        <v>95</v>
      </c>
      <c r="B1100" t="s">
        <v>103</v>
      </c>
      <c r="C1100" t="s">
        <v>94</v>
      </c>
      <c r="D1100" t="s">
        <v>92</v>
      </c>
      <c r="E1100" t="s">
        <v>44</v>
      </c>
      <c r="F1100" s="6">
        <v>0.72916666666666663</v>
      </c>
      <c r="G1100">
        <v>0</v>
      </c>
      <c r="H1100" s="6">
        <f>FLOOR(tblPivotData[[#This Row],[Time]],Summary!$B$6/1440)</f>
        <v>0.72916666666666663</v>
      </c>
      <c r="I1100" s="49">
        <f>INDEX(PeakCalc!$L$10:$L$303,MATCH(tblPivotData[[#This Row],[Time]],PeakCalc!$G$10:$G$303,0))</f>
        <v>0</v>
      </c>
    </row>
    <row r="1101" spans="1:9" x14ac:dyDescent="0.25">
      <c r="A1101" t="s">
        <v>95</v>
      </c>
      <c r="B1101" t="s">
        <v>103</v>
      </c>
      <c r="C1101" t="s">
        <v>94</v>
      </c>
      <c r="D1101" t="s">
        <v>92</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95</v>
      </c>
      <c r="B1102" t="s">
        <v>103</v>
      </c>
      <c r="C1102" t="s">
        <v>94</v>
      </c>
      <c r="D1102" t="s">
        <v>92</v>
      </c>
      <c r="E1102" t="s">
        <v>44</v>
      </c>
      <c r="F1102" s="6">
        <v>0.75</v>
      </c>
      <c r="G1102">
        <v>0</v>
      </c>
      <c r="H1102" s="6">
        <f>FLOOR(tblPivotData[[#This Row],[Time]],Summary!$B$6/1440)</f>
        <v>0.75</v>
      </c>
      <c r="I1102" s="49">
        <f>INDEX(PeakCalc!$L$10:$L$303,MATCH(tblPivotData[[#This Row],[Time]],PeakCalc!$G$10:$G$303,0))</f>
        <v>0</v>
      </c>
    </row>
    <row r="1103" spans="1:9" x14ac:dyDescent="0.25">
      <c r="A1103" t="s">
        <v>95</v>
      </c>
      <c r="B1103" t="s">
        <v>103</v>
      </c>
      <c r="C1103" t="s">
        <v>94</v>
      </c>
      <c r="D1103" t="s">
        <v>92</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95</v>
      </c>
      <c r="B1104" t="s">
        <v>103</v>
      </c>
      <c r="C1104" t="s">
        <v>94</v>
      </c>
      <c r="D1104" t="s">
        <v>93</v>
      </c>
      <c r="E1104" t="s">
        <v>43</v>
      </c>
      <c r="F1104" s="6">
        <v>0.27083333333333331</v>
      </c>
      <c r="G1104">
        <v>0</v>
      </c>
      <c r="H1104" s="6">
        <f>FLOOR(tblPivotData[[#This Row],[Time]],Summary!$B$6/1440)</f>
        <v>0.27083333333333331</v>
      </c>
      <c r="I1104" s="49">
        <f>INDEX(PeakCalc!$L$10:$L$303,MATCH(tblPivotData[[#This Row],[Time]],PeakCalc!$G$10:$G$303,0))</f>
        <v>0</v>
      </c>
    </row>
    <row r="1105" spans="1:9" x14ac:dyDescent="0.25">
      <c r="A1105" t="s">
        <v>95</v>
      </c>
      <c r="B1105" t="s">
        <v>103</v>
      </c>
      <c r="C1105" t="s">
        <v>94</v>
      </c>
      <c r="D1105" t="s">
        <v>93</v>
      </c>
      <c r="E1105" t="s">
        <v>43</v>
      </c>
      <c r="F1105" s="6">
        <v>0.28125</v>
      </c>
      <c r="G1105">
        <v>0</v>
      </c>
      <c r="H1105" s="6">
        <f>FLOOR(tblPivotData[[#This Row],[Time]],Summary!$B$6/1440)</f>
        <v>0.28125</v>
      </c>
      <c r="I1105" s="49">
        <f>INDEX(PeakCalc!$L$10:$L$303,MATCH(tblPivotData[[#This Row],[Time]],PeakCalc!$G$10:$G$303,0))</f>
        <v>0</v>
      </c>
    </row>
    <row r="1106" spans="1:9" x14ac:dyDescent="0.25">
      <c r="A1106" t="s">
        <v>95</v>
      </c>
      <c r="B1106" t="s">
        <v>103</v>
      </c>
      <c r="C1106" t="s">
        <v>94</v>
      </c>
      <c r="D1106" t="s">
        <v>93</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95</v>
      </c>
      <c r="B1107" t="s">
        <v>103</v>
      </c>
      <c r="C1107" t="s">
        <v>94</v>
      </c>
      <c r="D1107" t="s">
        <v>93</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95</v>
      </c>
      <c r="B1108" t="s">
        <v>103</v>
      </c>
      <c r="C1108" t="s">
        <v>94</v>
      </c>
      <c r="D1108" t="s">
        <v>93</v>
      </c>
      <c r="E1108" t="s">
        <v>43</v>
      </c>
      <c r="F1108" s="6">
        <v>0.3125</v>
      </c>
      <c r="G1108">
        <v>0</v>
      </c>
      <c r="H1108" s="6">
        <f>FLOOR(tblPivotData[[#This Row],[Time]],Summary!$B$6/1440)</f>
        <v>0.3125</v>
      </c>
      <c r="I1108" s="49">
        <f>INDEX(PeakCalc!$L$10:$L$303,MATCH(tblPivotData[[#This Row],[Time]],PeakCalc!$G$10:$G$303,0))</f>
        <v>0</v>
      </c>
    </row>
    <row r="1109" spans="1:9" x14ac:dyDescent="0.25">
      <c r="A1109" t="s">
        <v>95</v>
      </c>
      <c r="B1109" t="s">
        <v>103</v>
      </c>
      <c r="C1109" t="s">
        <v>94</v>
      </c>
      <c r="D1109" t="s">
        <v>93</v>
      </c>
      <c r="E1109" t="s">
        <v>43</v>
      </c>
      <c r="F1109" s="6">
        <v>0.32291666666666669</v>
      </c>
      <c r="G1109">
        <v>0</v>
      </c>
      <c r="H1109" s="6">
        <f>FLOOR(tblPivotData[[#This Row],[Time]],Summary!$B$6/1440)</f>
        <v>0.32291666666666663</v>
      </c>
      <c r="I1109" s="49">
        <f>INDEX(PeakCalc!$L$10:$L$303,MATCH(tblPivotData[[#This Row],[Time]],PeakCalc!$G$10:$G$303,0))</f>
        <v>1</v>
      </c>
    </row>
    <row r="1110" spans="1:9" x14ac:dyDescent="0.25">
      <c r="A1110" t="s">
        <v>95</v>
      </c>
      <c r="B1110" t="s">
        <v>103</v>
      </c>
      <c r="C1110" t="s">
        <v>94</v>
      </c>
      <c r="D1110" t="s">
        <v>93</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95</v>
      </c>
      <c r="B1111" t="s">
        <v>103</v>
      </c>
      <c r="C1111" t="s">
        <v>94</v>
      </c>
      <c r="D1111" t="s">
        <v>93</v>
      </c>
      <c r="E1111" t="s">
        <v>43</v>
      </c>
      <c r="F1111" s="6">
        <v>0.34375</v>
      </c>
      <c r="G1111">
        <v>0</v>
      </c>
      <c r="H1111" s="6">
        <f>FLOOR(tblPivotData[[#This Row],[Time]],Summary!$B$6/1440)</f>
        <v>0.34375</v>
      </c>
      <c r="I1111" s="49">
        <f>INDEX(PeakCalc!$L$10:$L$303,MATCH(tblPivotData[[#This Row],[Time]],PeakCalc!$G$10:$G$303,0))</f>
        <v>1</v>
      </c>
    </row>
    <row r="1112" spans="1:9" x14ac:dyDescent="0.25">
      <c r="A1112" t="s">
        <v>95</v>
      </c>
      <c r="B1112" t="s">
        <v>103</v>
      </c>
      <c r="C1112" t="s">
        <v>94</v>
      </c>
      <c r="D1112" t="s">
        <v>93</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95</v>
      </c>
      <c r="B1113" t="s">
        <v>103</v>
      </c>
      <c r="C1113" t="s">
        <v>94</v>
      </c>
      <c r="D1113" t="s">
        <v>93</v>
      </c>
      <c r="E1113" t="s">
        <v>43</v>
      </c>
      <c r="F1113" s="6">
        <v>0.36458333333333331</v>
      </c>
      <c r="G1113">
        <v>0</v>
      </c>
      <c r="H1113" s="6">
        <f>FLOOR(tblPivotData[[#This Row],[Time]],Summary!$B$6/1440)</f>
        <v>0.36458333333333331</v>
      </c>
      <c r="I1113" s="49">
        <f>INDEX(PeakCalc!$L$10:$L$303,MATCH(tblPivotData[[#This Row],[Time]],PeakCalc!$G$10:$G$303,0))</f>
        <v>0</v>
      </c>
    </row>
    <row r="1114" spans="1:9" x14ac:dyDescent="0.25">
      <c r="A1114" t="s">
        <v>95</v>
      </c>
      <c r="B1114" t="s">
        <v>103</v>
      </c>
      <c r="C1114" t="s">
        <v>94</v>
      </c>
      <c r="D1114" t="s">
        <v>93</v>
      </c>
      <c r="E1114" t="s">
        <v>43</v>
      </c>
      <c r="F1114" s="6">
        <v>0.375</v>
      </c>
      <c r="G1114">
        <v>0</v>
      </c>
      <c r="H1114" s="6">
        <f>FLOOR(tblPivotData[[#This Row],[Time]],Summary!$B$6/1440)</f>
        <v>0.375</v>
      </c>
      <c r="I1114" s="49">
        <f>INDEX(PeakCalc!$L$10:$L$303,MATCH(tblPivotData[[#This Row],[Time]],PeakCalc!$G$10:$G$303,0))</f>
        <v>0</v>
      </c>
    </row>
    <row r="1115" spans="1:9" x14ac:dyDescent="0.25">
      <c r="A1115" t="s">
        <v>95</v>
      </c>
      <c r="B1115" t="s">
        <v>103</v>
      </c>
      <c r="C1115" t="s">
        <v>94</v>
      </c>
      <c r="D1115" t="s">
        <v>93</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95</v>
      </c>
      <c r="B1116" t="s">
        <v>103</v>
      </c>
      <c r="C1116" t="s">
        <v>94</v>
      </c>
      <c r="D1116" t="s">
        <v>93</v>
      </c>
      <c r="E1116" t="s">
        <v>110</v>
      </c>
      <c r="F1116" s="6">
        <v>0.45833333333333331</v>
      </c>
      <c r="G1116">
        <v>0</v>
      </c>
      <c r="H1116" s="6">
        <f>FLOOR(tblPivotData[[#This Row],[Time]],Summary!$B$6/1440)</f>
        <v>0.45833333333333331</v>
      </c>
      <c r="I1116" s="49">
        <f>INDEX(PeakCalc!$L$10:$L$303,MATCH(tblPivotData[[#This Row],[Time]],PeakCalc!$G$10:$G$303,0))</f>
        <v>0</v>
      </c>
    </row>
    <row r="1117" spans="1:9" x14ac:dyDescent="0.25">
      <c r="A1117" t="s">
        <v>95</v>
      </c>
      <c r="B1117" t="s">
        <v>103</v>
      </c>
      <c r="C1117" t="s">
        <v>94</v>
      </c>
      <c r="D1117" t="s">
        <v>93</v>
      </c>
      <c r="E1117" t="s">
        <v>110</v>
      </c>
      <c r="F1117" s="6">
        <v>0.46875</v>
      </c>
      <c r="G1117">
        <v>0</v>
      </c>
      <c r="H1117" s="6">
        <f>FLOOR(tblPivotData[[#This Row],[Time]],Summary!$B$6/1440)</f>
        <v>0.46875</v>
      </c>
      <c r="I1117" s="49">
        <f>INDEX(PeakCalc!$L$10:$L$303,MATCH(tblPivotData[[#This Row],[Time]],PeakCalc!$G$10:$G$303,0))</f>
        <v>0</v>
      </c>
    </row>
    <row r="1118" spans="1:9" x14ac:dyDescent="0.25">
      <c r="A1118" t="s">
        <v>95</v>
      </c>
      <c r="B1118" t="s">
        <v>103</v>
      </c>
      <c r="C1118" t="s">
        <v>94</v>
      </c>
      <c r="D1118" t="s">
        <v>93</v>
      </c>
      <c r="E1118" t="s">
        <v>110</v>
      </c>
      <c r="F1118" s="6">
        <v>0.47916666666666669</v>
      </c>
      <c r="G1118">
        <v>0</v>
      </c>
      <c r="H1118" s="6">
        <f>FLOOR(tblPivotData[[#This Row],[Time]],Summary!$B$6/1440)</f>
        <v>0.47916666666666663</v>
      </c>
      <c r="I1118" s="49">
        <f>INDEX(PeakCalc!$L$10:$L$303,MATCH(tblPivotData[[#This Row],[Time]],PeakCalc!$G$10:$G$303,0))</f>
        <v>0</v>
      </c>
    </row>
    <row r="1119" spans="1:9" x14ac:dyDescent="0.25">
      <c r="A1119" t="s">
        <v>95</v>
      </c>
      <c r="B1119" t="s">
        <v>103</v>
      </c>
      <c r="C1119" t="s">
        <v>94</v>
      </c>
      <c r="D1119" t="s">
        <v>93</v>
      </c>
      <c r="E1119" t="s">
        <v>110</v>
      </c>
      <c r="F1119" s="6">
        <v>0.48958333333333331</v>
      </c>
      <c r="G1119">
        <v>0</v>
      </c>
      <c r="H1119" s="6">
        <f>FLOOR(tblPivotData[[#This Row],[Time]],Summary!$B$6/1440)</f>
        <v>0.48958333333333331</v>
      </c>
      <c r="I1119" s="49">
        <f>INDEX(PeakCalc!$L$10:$L$303,MATCH(tblPivotData[[#This Row],[Time]],PeakCalc!$G$10:$G$303,0))</f>
        <v>0</v>
      </c>
    </row>
    <row r="1120" spans="1:9" x14ac:dyDescent="0.25">
      <c r="A1120" t="s">
        <v>95</v>
      </c>
      <c r="B1120" t="s">
        <v>103</v>
      </c>
      <c r="C1120" t="s">
        <v>94</v>
      </c>
      <c r="D1120" t="s">
        <v>93</v>
      </c>
      <c r="E1120" t="s">
        <v>110</v>
      </c>
      <c r="F1120" s="6">
        <v>0.5</v>
      </c>
      <c r="G1120">
        <v>0</v>
      </c>
      <c r="H1120" s="6">
        <f>FLOOR(tblPivotData[[#This Row],[Time]],Summary!$B$6/1440)</f>
        <v>0.5</v>
      </c>
      <c r="I1120" s="49">
        <f>INDEX(PeakCalc!$L$10:$L$303,MATCH(tblPivotData[[#This Row],[Time]],PeakCalc!$G$10:$G$303,0))</f>
        <v>0</v>
      </c>
    </row>
    <row r="1121" spans="1:9" x14ac:dyDescent="0.25">
      <c r="A1121" t="s">
        <v>95</v>
      </c>
      <c r="B1121" t="s">
        <v>103</v>
      </c>
      <c r="C1121" t="s">
        <v>94</v>
      </c>
      <c r="D1121" t="s">
        <v>93</v>
      </c>
      <c r="E1121" t="s">
        <v>110</v>
      </c>
      <c r="F1121" s="6">
        <v>0.51041666666666663</v>
      </c>
      <c r="G1121">
        <v>0</v>
      </c>
      <c r="H1121" s="6">
        <f>FLOOR(tblPivotData[[#This Row],[Time]],Summary!$B$6/1440)</f>
        <v>0.51041666666666663</v>
      </c>
      <c r="I1121" s="49">
        <f>INDEX(PeakCalc!$L$10:$L$303,MATCH(tblPivotData[[#This Row],[Time]],PeakCalc!$G$10:$G$303,0))</f>
        <v>0</v>
      </c>
    </row>
    <row r="1122" spans="1:9" x14ac:dyDescent="0.25">
      <c r="A1122" t="s">
        <v>95</v>
      </c>
      <c r="B1122" t="s">
        <v>103</v>
      </c>
      <c r="C1122" t="s">
        <v>94</v>
      </c>
      <c r="D1122" t="s">
        <v>93</v>
      </c>
      <c r="E1122" t="s">
        <v>110</v>
      </c>
      <c r="F1122" s="6">
        <v>0.52083333333333337</v>
      </c>
      <c r="G1122">
        <v>0</v>
      </c>
      <c r="H1122" s="6">
        <f>FLOOR(tblPivotData[[#This Row],[Time]],Summary!$B$6/1440)</f>
        <v>0.52083333333333326</v>
      </c>
      <c r="I1122" s="49">
        <f>INDEX(PeakCalc!$L$10:$L$303,MATCH(tblPivotData[[#This Row],[Time]],PeakCalc!$G$10:$G$303,0))</f>
        <v>1</v>
      </c>
    </row>
    <row r="1123" spans="1:9" x14ac:dyDescent="0.25">
      <c r="A1123" t="s">
        <v>95</v>
      </c>
      <c r="B1123" t="s">
        <v>103</v>
      </c>
      <c r="C1123" t="s">
        <v>94</v>
      </c>
      <c r="D1123" t="s">
        <v>93</v>
      </c>
      <c r="E1123" t="s">
        <v>110</v>
      </c>
      <c r="F1123" s="6">
        <v>0.53125</v>
      </c>
      <c r="G1123">
        <v>0</v>
      </c>
      <c r="H1123" s="6">
        <f>FLOOR(tblPivotData[[#This Row],[Time]],Summary!$B$6/1440)</f>
        <v>0.53125</v>
      </c>
      <c r="I1123" s="49">
        <f>INDEX(PeakCalc!$L$10:$L$303,MATCH(tblPivotData[[#This Row],[Time]],PeakCalc!$G$10:$G$303,0))</f>
        <v>1</v>
      </c>
    </row>
    <row r="1124" spans="1:9" x14ac:dyDescent="0.25">
      <c r="A1124" t="s">
        <v>95</v>
      </c>
      <c r="B1124" t="s">
        <v>103</v>
      </c>
      <c r="C1124" t="s">
        <v>94</v>
      </c>
      <c r="D1124" t="s">
        <v>93</v>
      </c>
      <c r="E1124" t="s">
        <v>110</v>
      </c>
      <c r="F1124" s="6">
        <v>0.54166666666666663</v>
      </c>
      <c r="G1124">
        <v>0</v>
      </c>
      <c r="H1124" s="6">
        <f>FLOOR(tblPivotData[[#This Row],[Time]],Summary!$B$6/1440)</f>
        <v>0.54166666666666663</v>
      </c>
      <c r="I1124" s="49">
        <f>INDEX(PeakCalc!$L$10:$L$303,MATCH(tblPivotData[[#This Row],[Time]],PeakCalc!$G$10:$G$303,0))</f>
        <v>1</v>
      </c>
    </row>
    <row r="1125" spans="1:9" x14ac:dyDescent="0.25">
      <c r="A1125" t="s">
        <v>95</v>
      </c>
      <c r="B1125" t="s">
        <v>103</v>
      </c>
      <c r="C1125" t="s">
        <v>94</v>
      </c>
      <c r="D1125" t="s">
        <v>93</v>
      </c>
      <c r="E1125" t="s">
        <v>110</v>
      </c>
      <c r="F1125" s="6">
        <v>0.55208333333333337</v>
      </c>
      <c r="G1125">
        <v>0</v>
      </c>
      <c r="H1125" s="6">
        <f>FLOOR(tblPivotData[[#This Row],[Time]],Summary!$B$6/1440)</f>
        <v>0.55208333333333326</v>
      </c>
      <c r="I1125" s="49">
        <f>INDEX(PeakCalc!$L$10:$L$303,MATCH(tblPivotData[[#This Row],[Time]],PeakCalc!$G$10:$G$303,0))</f>
        <v>1</v>
      </c>
    </row>
    <row r="1126" spans="1:9" x14ac:dyDescent="0.25">
      <c r="A1126" t="s">
        <v>95</v>
      </c>
      <c r="B1126" t="s">
        <v>103</v>
      </c>
      <c r="C1126" t="s">
        <v>94</v>
      </c>
      <c r="D1126" t="s">
        <v>93</v>
      </c>
      <c r="E1126" t="s">
        <v>110</v>
      </c>
      <c r="F1126" s="6">
        <v>0.5625</v>
      </c>
      <c r="G1126">
        <v>0</v>
      </c>
      <c r="H1126" s="6">
        <f>FLOOR(tblPivotData[[#This Row],[Time]],Summary!$B$6/1440)</f>
        <v>0.5625</v>
      </c>
      <c r="I1126" s="49">
        <f>INDEX(PeakCalc!$L$10:$L$303,MATCH(tblPivotData[[#This Row],[Time]],PeakCalc!$G$10:$G$303,0))</f>
        <v>0</v>
      </c>
    </row>
    <row r="1127" spans="1:9" x14ac:dyDescent="0.25">
      <c r="A1127" t="s">
        <v>95</v>
      </c>
      <c r="B1127" t="s">
        <v>103</v>
      </c>
      <c r="C1127" t="s">
        <v>94</v>
      </c>
      <c r="D1127" t="s">
        <v>93</v>
      </c>
      <c r="E1127" t="s">
        <v>110</v>
      </c>
      <c r="F1127" s="6">
        <v>0.57291666666666663</v>
      </c>
      <c r="G1127">
        <v>0</v>
      </c>
      <c r="H1127" s="6">
        <f>FLOOR(tblPivotData[[#This Row],[Time]],Summary!$B$6/1440)</f>
        <v>0.57291666666666663</v>
      </c>
      <c r="I1127" s="49">
        <f>INDEX(PeakCalc!$L$10:$L$303,MATCH(tblPivotData[[#This Row],[Time]],PeakCalc!$G$10:$G$303,0))</f>
        <v>0</v>
      </c>
    </row>
    <row r="1128" spans="1:9" x14ac:dyDescent="0.25">
      <c r="A1128" t="s">
        <v>95</v>
      </c>
      <c r="B1128" t="s">
        <v>103</v>
      </c>
      <c r="C1128" t="s">
        <v>94</v>
      </c>
      <c r="D1128" t="s">
        <v>93</v>
      </c>
      <c r="E1128" t="s">
        <v>44</v>
      </c>
      <c r="F1128" s="6">
        <v>0.625</v>
      </c>
      <c r="G1128">
        <v>0</v>
      </c>
      <c r="H1128" s="6">
        <f>FLOOR(tblPivotData[[#This Row],[Time]],Summary!$B$6/1440)</f>
        <v>0.625</v>
      </c>
      <c r="I1128" s="49">
        <f>INDEX(PeakCalc!$L$10:$L$303,MATCH(tblPivotData[[#This Row],[Time]],PeakCalc!$G$10:$G$303,0))</f>
        <v>0</v>
      </c>
    </row>
    <row r="1129" spans="1:9" x14ac:dyDescent="0.25">
      <c r="A1129" t="s">
        <v>95</v>
      </c>
      <c r="B1129" t="s">
        <v>103</v>
      </c>
      <c r="C1129" t="s">
        <v>94</v>
      </c>
      <c r="D1129" t="s">
        <v>93</v>
      </c>
      <c r="E1129" t="s">
        <v>44</v>
      </c>
      <c r="F1129" s="6">
        <v>0.63541666666666663</v>
      </c>
      <c r="G1129">
        <v>0</v>
      </c>
      <c r="H1129" s="6">
        <f>FLOOR(tblPivotData[[#This Row],[Time]],Summary!$B$6/1440)</f>
        <v>0.63541666666666663</v>
      </c>
      <c r="I1129" s="49">
        <f>INDEX(PeakCalc!$L$10:$L$303,MATCH(tblPivotData[[#This Row],[Time]],PeakCalc!$G$10:$G$303,0))</f>
        <v>0</v>
      </c>
    </row>
    <row r="1130" spans="1:9" x14ac:dyDescent="0.25">
      <c r="A1130" t="s">
        <v>95</v>
      </c>
      <c r="B1130" t="s">
        <v>103</v>
      </c>
      <c r="C1130" t="s">
        <v>94</v>
      </c>
      <c r="D1130" t="s">
        <v>93</v>
      </c>
      <c r="E1130" t="s">
        <v>44</v>
      </c>
      <c r="F1130" s="6">
        <v>0.64583333333333337</v>
      </c>
      <c r="G1130">
        <v>0</v>
      </c>
      <c r="H1130" s="6">
        <f>FLOOR(tblPivotData[[#This Row],[Time]],Summary!$B$6/1440)</f>
        <v>0.64583333333333326</v>
      </c>
      <c r="I1130" s="49">
        <f>INDEX(PeakCalc!$L$10:$L$303,MATCH(tblPivotData[[#This Row],[Time]],PeakCalc!$G$10:$G$303,0))</f>
        <v>0</v>
      </c>
    </row>
    <row r="1131" spans="1:9" x14ac:dyDescent="0.25">
      <c r="A1131" t="s">
        <v>95</v>
      </c>
      <c r="B1131" t="s">
        <v>103</v>
      </c>
      <c r="C1131" t="s">
        <v>94</v>
      </c>
      <c r="D1131" t="s">
        <v>93</v>
      </c>
      <c r="E1131" t="s">
        <v>44</v>
      </c>
      <c r="F1131" s="6">
        <v>0.65625</v>
      </c>
      <c r="G1131">
        <v>0</v>
      </c>
      <c r="H1131" s="6">
        <f>FLOOR(tblPivotData[[#This Row],[Time]],Summary!$B$6/1440)</f>
        <v>0.65625</v>
      </c>
      <c r="I1131" s="49">
        <f>INDEX(PeakCalc!$L$10:$L$303,MATCH(tblPivotData[[#This Row],[Time]],PeakCalc!$G$10:$G$303,0))</f>
        <v>0</v>
      </c>
    </row>
    <row r="1132" spans="1:9" x14ac:dyDescent="0.25">
      <c r="A1132" t="s">
        <v>95</v>
      </c>
      <c r="B1132" t="s">
        <v>103</v>
      </c>
      <c r="C1132" t="s">
        <v>94</v>
      </c>
      <c r="D1132" t="s">
        <v>93</v>
      </c>
      <c r="E1132" t="s">
        <v>44</v>
      </c>
      <c r="F1132" s="6">
        <v>0.66666666666666663</v>
      </c>
      <c r="G1132">
        <v>1</v>
      </c>
      <c r="H1132" s="6">
        <f>FLOOR(tblPivotData[[#This Row],[Time]],Summary!$B$6/1440)</f>
        <v>0.66666666666666663</v>
      </c>
      <c r="I1132" s="49">
        <f>INDEX(PeakCalc!$L$10:$L$303,MATCH(tblPivotData[[#This Row],[Time]],PeakCalc!$G$10:$G$303,0))</f>
        <v>0</v>
      </c>
    </row>
    <row r="1133" spans="1:9" x14ac:dyDescent="0.25">
      <c r="A1133" t="s">
        <v>95</v>
      </c>
      <c r="B1133" t="s">
        <v>103</v>
      </c>
      <c r="C1133" t="s">
        <v>94</v>
      </c>
      <c r="D1133" t="s">
        <v>93</v>
      </c>
      <c r="E1133" t="s">
        <v>44</v>
      </c>
      <c r="F1133" s="6">
        <v>0.67708333333333337</v>
      </c>
      <c r="G1133">
        <v>0</v>
      </c>
      <c r="H1133" s="6">
        <f>FLOOR(tblPivotData[[#This Row],[Time]],Summary!$B$6/1440)</f>
        <v>0.67708333333333326</v>
      </c>
      <c r="I1133" s="49">
        <f>INDEX(PeakCalc!$L$10:$L$303,MATCH(tblPivotData[[#This Row],[Time]],PeakCalc!$G$10:$G$303,0))</f>
        <v>0</v>
      </c>
    </row>
    <row r="1134" spans="1:9" x14ac:dyDescent="0.25">
      <c r="A1134" t="s">
        <v>95</v>
      </c>
      <c r="B1134" t="s">
        <v>103</v>
      </c>
      <c r="C1134" t="s">
        <v>94</v>
      </c>
      <c r="D1134" t="s">
        <v>93</v>
      </c>
      <c r="E1134" t="s">
        <v>44</v>
      </c>
      <c r="F1134" s="6">
        <v>0.6875</v>
      </c>
      <c r="G1134">
        <v>0</v>
      </c>
      <c r="H1134" s="6">
        <f>FLOOR(tblPivotData[[#This Row],[Time]],Summary!$B$6/1440)</f>
        <v>0.6875</v>
      </c>
      <c r="I1134" s="49">
        <f>INDEX(PeakCalc!$L$10:$L$303,MATCH(tblPivotData[[#This Row],[Time]],PeakCalc!$G$10:$G$303,0))</f>
        <v>1</v>
      </c>
    </row>
    <row r="1135" spans="1:9" x14ac:dyDescent="0.25">
      <c r="A1135" t="s">
        <v>95</v>
      </c>
      <c r="B1135" t="s">
        <v>103</v>
      </c>
      <c r="C1135" t="s">
        <v>94</v>
      </c>
      <c r="D1135" t="s">
        <v>93</v>
      </c>
      <c r="E1135" t="s">
        <v>44</v>
      </c>
      <c r="F1135" s="6">
        <v>0.69791666666666663</v>
      </c>
      <c r="G1135">
        <v>0</v>
      </c>
      <c r="H1135" s="6">
        <f>FLOOR(tblPivotData[[#This Row],[Time]],Summary!$B$6/1440)</f>
        <v>0.69791666666666663</v>
      </c>
      <c r="I1135" s="49">
        <f>INDEX(PeakCalc!$L$10:$L$303,MATCH(tblPivotData[[#This Row],[Time]],PeakCalc!$G$10:$G$303,0))</f>
        <v>1</v>
      </c>
    </row>
    <row r="1136" spans="1:9" x14ac:dyDescent="0.25">
      <c r="A1136" t="s">
        <v>95</v>
      </c>
      <c r="B1136" t="s">
        <v>103</v>
      </c>
      <c r="C1136" t="s">
        <v>94</v>
      </c>
      <c r="D1136" t="s">
        <v>93</v>
      </c>
      <c r="E1136" t="s">
        <v>44</v>
      </c>
      <c r="F1136" s="6">
        <v>0.70833333333333337</v>
      </c>
      <c r="G1136">
        <v>0</v>
      </c>
      <c r="H1136" s="6">
        <f>FLOOR(tblPivotData[[#This Row],[Time]],Summary!$B$6/1440)</f>
        <v>0.70833333333333326</v>
      </c>
      <c r="I1136" s="49">
        <f>INDEX(PeakCalc!$L$10:$L$303,MATCH(tblPivotData[[#This Row],[Time]],PeakCalc!$G$10:$G$303,0))</f>
        <v>1</v>
      </c>
    </row>
    <row r="1137" spans="1:9" x14ac:dyDescent="0.25">
      <c r="A1137" t="s">
        <v>95</v>
      </c>
      <c r="B1137" t="s">
        <v>103</v>
      </c>
      <c r="C1137" t="s">
        <v>94</v>
      </c>
      <c r="D1137" t="s">
        <v>93</v>
      </c>
      <c r="E1137" t="s">
        <v>44</v>
      </c>
      <c r="F1137" s="6">
        <v>0.71875</v>
      </c>
      <c r="G1137">
        <v>0</v>
      </c>
      <c r="H1137" s="6">
        <f>FLOOR(tblPivotData[[#This Row],[Time]],Summary!$B$6/1440)</f>
        <v>0.71875</v>
      </c>
      <c r="I1137" s="49">
        <f>INDEX(PeakCalc!$L$10:$L$303,MATCH(tblPivotData[[#This Row],[Time]],PeakCalc!$G$10:$G$303,0))</f>
        <v>1</v>
      </c>
    </row>
    <row r="1138" spans="1:9" x14ac:dyDescent="0.25">
      <c r="A1138" t="s">
        <v>95</v>
      </c>
      <c r="B1138" t="s">
        <v>103</v>
      </c>
      <c r="C1138" t="s">
        <v>94</v>
      </c>
      <c r="D1138" t="s">
        <v>93</v>
      </c>
      <c r="E1138" t="s">
        <v>44</v>
      </c>
      <c r="F1138" s="6">
        <v>0.72916666666666663</v>
      </c>
      <c r="G1138">
        <v>0</v>
      </c>
      <c r="H1138" s="6">
        <f>FLOOR(tblPivotData[[#This Row],[Time]],Summary!$B$6/1440)</f>
        <v>0.72916666666666663</v>
      </c>
      <c r="I1138" s="49">
        <f>INDEX(PeakCalc!$L$10:$L$303,MATCH(tblPivotData[[#This Row],[Time]],PeakCalc!$G$10:$G$303,0))</f>
        <v>0</v>
      </c>
    </row>
    <row r="1139" spans="1:9" x14ac:dyDescent="0.25">
      <c r="A1139" t="s">
        <v>95</v>
      </c>
      <c r="B1139" t="s">
        <v>103</v>
      </c>
      <c r="C1139" t="s">
        <v>94</v>
      </c>
      <c r="D1139" t="s">
        <v>93</v>
      </c>
      <c r="E1139" t="s">
        <v>44</v>
      </c>
      <c r="F1139" s="6">
        <v>0.73958333333333337</v>
      </c>
      <c r="G1139">
        <v>0</v>
      </c>
      <c r="H1139" s="6">
        <f>FLOOR(tblPivotData[[#This Row],[Time]],Summary!$B$6/1440)</f>
        <v>0.73958333333333326</v>
      </c>
      <c r="I1139" s="49">
        <f>INDEX(PeakCalc!$L$10:$L$303,MATCH(tblPivotData[[#This Row],[Time]],PeakCalc!$G$10:$G$303,0))</f>
        <v>0</v>
      </c>
    </row>
    <row r="1140" spans="1:9" x14ac:dyDescent="0.25">
      <c r="A1140" t="s">
        <v>95</v>
      </c>
      <c r="B1140" t="s">
        <v>103</v>
      </c>
      <c r="C1140" t="s">
        <v>94</v>
      </c>
      <c r="D1140" t="s">
        <v>93</v>
      </c>
      <c r="E1140" t="s">
        <v>44</v>
      </c>
      <c r="F1140" s="6">
        <v>0.75</v>
      </c>
      <c r="G1140">
        <v>0</v>
      </c>
      <c r="H1140" s="6">
        <f>FLOOR(tblPivotData[[#This Row],[Time]],Summary!$B$6/1440)</f>
        <v>0.75</v>
      </c>
      <c r="I1140" s="49">
        <f>INDEX(PeakCalc!$L$10:$L$303,MATCH(tblPivotData[[#This Row],[Time]],PeakCalc!$G$10:$G$303,0))</f>
        <v>0</v>
      </c>
    </row>
    <row r="1141" spans="1:9" x14ac:dyDescent="0.25">
      <c r="A1141" t="s">
        <v>95</v>
      </c>
      <c r="B1141" t="s">
        <v>103</v>
      </c>
      <c r="C1141" t="s">
        <v>94</v>
      </c>
      <c r="D1141" t="s">
        <v>93</v>
      </c>
      <c r="E1141" t="s">
        <v>44</v>
      </c>
      <c r="F1141" s="6">
        <v>0.76041666666666663</v>
      </c>
      <c r="G1141">
        <v>0</v>
      </c>
      <c r="H1141" s="6">
        <f>FLOOR(tblPivotData[[#This Row],[Time]],Summary!$B$6/1440)</f>
        <v>0.76041666666666663</v>
      </c>
      <c r="I1141" s="49">
        <f>INDEX(PeakCalc!$L$10:$L$303,MATCH(tblPivotData[[#This Row],[Time]],PeakCalc!$G$10:$G$303,0))</f>
        <v>0</v>
      </c>
    </row>
    <row r="1142" spans="1:9" x14ac:dyDescent="0.25">
      <c r="A1142" t="s">
        <v>96</v>
      </c>
      <c r="B1142" t="s">
        <v>104</v>
      </c>
      <c r="C1142" t="s">
        <v>97</v>
      </c>
      <c r="D1142" t="s">
        <v>89</v>
      </c>
      <c r="E1142" t="s">
        <v>43</v>
      </c>
      <c r="F1142" s="6">
        <v>0.27083333333333331</v>
      </c>
      <c r="G1142">
        <v>3</v>
      </c>
      <c r="H1142" s="6">
        <f>FLOOR(tblPivotData[[#This Row],[Time]],Summary!$B$6/1440)</f>
        <v>0.27083333333333331</v>
      </c>
      <c r="I1142" s="49">
        <f>INDEX(PeakCalc!$L$10:$L$303,MATCH(tblPivotData[[#This Row],[Time]],PeakCalc!$G$10:$G$303,0))</f>
        <v>0</v>
      </c>
    </row>
    <row r="1143" spans="1:9" x14ac:dyDescent="0.25">
      <c r="A1143" t="s">
        <v>96</v>
      </c>
      <c r="B1143" t="s">
        <v>104</v>
      </c>
      <c r="C1143" t="s">
        <v>97</v>
      </c>
      <c r="D1143" t="s">
        <v>89</v>
      </c>
      <c r="E1143" t="s">
        <v>43</v>
      </c>
      <c r="F1143" s="6">
        <v>0.28125</v>
      </c>
      <c r="G1143">
        <v>3</v>
      </c>
      <c r="H1143" s="6">
        <f>FLOOR(tblPivotData[[#This Row],[Time]],Summary!$B$6/1440)</f>
        <v>0.28125</v>
      </c>
      <c r="I1143" s="49">
        <f>INDEX(PeakCalc!$L$10:$L$303,MATCH(tblPivotData[[#This Row],[Time]],PeakCalc!$G$10:$G$303,0))</f>
        <v>0</v>
      </c>
    </row>
    <row r="1144" spans="1:9" x14ac:dyDescent="0.25">
      <c r="A1144" t="s">
        <v>96</v>
      </c>
      <c r="B1144" t="s">
        <v>104</v>
      </c>
      <c r="C1144" t="s">
        <v>97</v>
      </c>
      <c r="D1144" t="s">
        <v>89</v>
      </c>
      <c r="E1144" t="s">
        <v>43</v>
      </c>
      <c r="F1144" s="6">
        <v>0.29166666666666669</v>
      </c>
      <c r="G1144">
        <v>3</v>
      </c>
      <c r="H1144" s="6">
        <f>FLOOR(tblPivotData[[#This Row],[Time]],Summary!$B$6/1440)</f>
        <v>0.29166666666666663</v>
      </c>
      <c r="I1144" s="49">
        <f>INDEX(PeakCalc!$L$10:$L$303,MATCH(tblPivotData[[#This Row],[Time]],PeakCalc!$G$10:$G$303,0))</f>
        <v>0</v>
      </c>
    </row>
    <row r="1145" spans="1:9" x14ac:dyDescent="0.25">
      <c r="A1145" t="s">
        <v>96</v>
      </c>
      <c r="B1145" t="s">
        <v>104</v>
      </c>
      <c r="C1145" t="s">
        <v>97</v>
      </c>
      <c r="D1145" t="s">
        <v>89</v>
      </c>
      <c r="E1145" t="s">
        <v>43</v>
      </c>
      <c r="F1145" s="6">
        <v>0.30208333333333331</v>
      </c>
      <c r="G1145">
        <v>8</v>
      </c>
      <c r="H1145" s="6">
        <f>FLOOR(tblPivotData[[#This Row],[Time]],Summary!$B$6/1440)</f>
        <v>0.30208333333333331</v>
      </c>
      <c r="I1145" s="49">
        <f>INDEX(PeakCalc!$L$10:$L$303,MATCH(tblPivotData[[#This Row],[Time]],PeakCalc!$G$10:$G$303,0))</f>
        <v>0</v>
      </c>
    </row>
    <row r="1146" spans="1:9" x14ac:dyDescent="0.25">
      <c r="A1146" t="s">
        <v>96</v>
      </c>
      <c r="B1146" t="s">
        <v>104</v>
      </c>
      <c r="C1146" t="s">
        <v>97</v>
      </c>
      <c r="D1146" t="s">
        <v>89</v>
      </c>
      <c r="E1146" t="s">
        <v>43</v>
      </c>
      <c r="F1146" s="6">
        <v>0.3125</v>
      </c>
      <c r="G1146">
        <v>15</v>
      </c>
      <c r="H1146" s="6">
        <f>FLOOR(tblPivotData[[#This Row],[Time]],Summary!$B$6/1440)</f>
        <v>0.3125</v>
      </c>
      <c r="I1146" s="49">
        <f>INDEX(PeakCalc!$L$10:$L$303,MATCH(tblPivotData[[#This Row],[Time]],PeakCalc!$G$10:$G$303,0))</f>
        <v>0</v>
      </c>
    </row>
    <row r="1147" spans="1:9" x14ac:dyDescent="0.25">
      <c r="A1147" t="s">
        <v>96</v>
      </c>
      <c r="B1147" t="s">
        <v>104</v>
      </c>
      <c r="C1147" t="s">
        <v>97</v>
      </c>
      <c r="D1147" t="s">
        <v>89</v>
      </c>
      <c r="E1147" t="s">
        <v>43</v>
      </c>
      <c r="F1147" s="6">
        <v>0.32291666666666669</v>
      </c>
      <c r="G1147">
        <v>11</v>
      </c>
      <c r="H1147" s="6">
        <f>FLOOR(tblPivotData[[#This Row],[Time]],Summary!$B$6/1440)</f>
        <v>0.32291666666666663</v>
      </c>
      <c r="I1147" s="49">
        <f>INDEX(PeakCalc!$L$10:$L$303,MATCH(tblPivotData[[#This Row],[Time]],PeakCalc!$G$10:$G$303,0))</f>
        <v>1</v>
      </c>
    </row>
    <row r="1148" spans="1:9" x14ac:dyDescent="0.25">
      <c r="A1148" t="s">
        <v>96</v>
      </c>
      <c r="B1148" t="s">
        <v>104</v>
      </c>
      <c r="C1148" t="s">
        <v>97</v>
      </c>
      <c r="D1148" t="s">
        <v>89</v>
      </c>
      <c r="E1148" t="s">
        <v>43</v>
      </c>
      <c r="F1148" s="6">
        <v>0.33333333333333331</v>
      </c>
      <c r="G1148">
        <v>8</v>
      </c>
      <c r="H1148" s="6">
        <f>FLOOR(tblPivotData[[#This Row],[Time]],Summary!$B$6/1440)</f>
        <v>0.33333333333333331</v>
      </c>
      <c r="I1148" s="49">
        <f>INDEX(PeakCalc!$L$10:$L$303,MATCH(tblPivotData[[#This Row],[Time]],PeakCalc!$G$10:$G$303,0))</f>
        <v>1</v>
      </c>
    </row>
    <row r="1149" spans="1:9" x14ac:dyDescent="0.25">
      <c r="A1149" t="s">
        <v>96</v>
      </c>
      <c r="B1149" t="s">
        <v>104</v>
      </c>
      <c r="C1149" t="s">
        <v>97</v>
      </c>
      <c r="D1149" t="s">
        <v>89</v>
      </c>
      <c r="E1149" t="s">
        <v>43</v>
      </c>
      <c r="F1149" s="6">
        <v>0.34375</v>
      </c>
      <c r="G1149">
        <v>16</v>
      </c>
      <c r="H1149" s="6">
        <f>FLOOR(tblPivotData[[#This Row],[Time]],Summary!$B$6/1440)</f>
        <v>0.34375</v>
      </c>
      <c r="I1149" s="49">
        <f>INDEX(PeakCalc!$L$10:$L$303,MATCH(tblPivotData[[#This Row],[Time]],PeakCalc!$G$10:$G$303,0))</f>
        <v>1</v>
      </c>
    </row>
    <row r="1150" spans="1:9" x14ac:dyDescent="0.25">
      <c r="A1150" t="s">
        <v>96</v>
      </c>
      <c r="B1150" t="s">
        <v>104</v>
      </c>
      <c r="C1150" t="s">
        <v>97</v>
      </c>
      <c r="D1150" t="s">
        <v>89</v>
      </c>
      <c r="E1150" t="s">
        <v>43</v>
      </c>
      <c r="F1150" s="6">
        <v>0.35416666666666669</v>
      </c>
      <c r="G1150">
        <v>13</v>
      </c>
      <c r="H1150" s="6">
        <f>FLOOR(tblPivotData[[#This Row],[Time]],Summary!$B$6/1440)</f>
        <v>0.35416666666666663</v>
      </c>
      <c r="I1150" s="49">
        <f>INDEX(PeakCalc!$L$10:$L$303,MATCH(tblPivotData[[#This Row],[Time]],PeakCalc!$G$10:$G$303,0))</f>
        <v>1</v>
      </c>
    </row>
    <row r="1151" spans="1:9" x14ac:dyDescent="0.25">
      <c r="A1151" t="s">
        <v>96</v>
      </c>
      <c r="B1151" t="s">
        <v>104</v>
      </c>
      <c r="C1151" t="s">
        <v>97</v>
      </c>
      <c r="D1151" t="s">
        <v>89</v>
      </c>
      <c r="E1151" t="s">
        <v>43</v>
      </c>
      <c r="F1151" s="6">
        <v>0.36458333333333331</v>
      </c>
      <c r="G1151">
        <v>20</v>
      </c>
      <c r="H1151" s="6">
        <f>FLOOR(tblPivotData[[#This Row],[Time]],Summary!$B$6/1440)</f>
        <v>0.36458333333333331</v>
      </c>
      <c r="I1151" s="49">
        <f>INDEX(PeakCalc!$L$10:$L$303,MATCH(tblPivotData[[#This Row],[Time]],PeakCalc!$G$10:$G$303,0))</f>
        <v>0</v>
      </c>
    </row>
    <row r="1152" spans="1:9" x14ac:dyDescent="0.25">
      <c r="A1152" t="s">
        <v>96</v>
      </c>
      <c r="B1152" t="s">
        <v>104</v>
      </c>
      <c r="C1152" t="s">
        <v>97</v>
      </c>
      <c r="D1152" t="s">
        <v>89</v>
      </c>
      <c r="E1152" t="s">
        <v>43</v>
      </c>
      <c r="F1152" s="6">
        <v>0.375</v>
      </c>
      <c r="G1152">
        <v>13</v>
      </c>
      <c r="H1152" s="6">
        <f>FLOOR(tblPivotData[[#This Row],[Time]],Summary!$B$6/1440)</f>
        <v>0.375</v>
      </c>
      <c r="I1152" s="49">
        <f>INDEX(PeakCalc!$L$10:$L$303,MATCH(tblPivotData[[#This Row],[Time]],PeakCalc!$G$10:$G$303,0))</f>
        <v>0</v>
      </c>
    </row>
    <row r="1153" spans="1:9" x14ac:dyDescent="0.25">
      <c r="A1153" t="s">
        <v>96</v>
      </c>
      <c r="B1153" t="s">
        <v>104</v>
      </c>
      <c r="C1153" t="s">
        <v>97</v>
      </c>
      <c r="D1153" t="s">
        <v>89</v>
      </c>
      <c r="E1153" t="s">
        <v>43</v>
      </c>
      <c r="F1153" s="6">
        <v>0.38541666666666669</v>
      </c>
      <c r="G1153">
        <v>19</v>
      </c>
      <c r="H1153" s="6">
        <f>FLOOR(tblPivotData[[#This Row],[Time]],Summary!$B$6/1440)</f>
        <v>0.38541666666666663</v>
      </c>
      <c r="I1153" s="49">
        <f>INDEX(PeakCalc!$L$10:$L$303,MATCH(tblPivotData[[#This Row],[Time]],PeakCalc!$G$10:$G$303,0))</f>
        <v>0</v>
      </c>
    </row>
    <row r="1154" spans="1:9" x14ac:dyDescent="0.25">
      <c r="A1154" t="s">
        <v>96</v>
      </c>
      <c r="B1154" t="s">
        <v>104</v>
      </c>
      <c r="C1154" t="s">
        <v>97</v>
      </c>
      <c r="D1154" t="s">
        <v>89</v>
      </c>
      <c r="E1154" t="s">
        <v>110</v>
      </c>
      <c r="F1154" s="6">
        <v>0.45833333333333331</v>
      </c>
      <c r="G1154">
        <v>22</v>
      </c>
      <c r="H1154" s="6">
        <f>FLOOR(tblPivotData[[#This Row],[Time]],Summary!$B$6/1440)</f>
        <v>0.45833333333333331</v>
      </c>
      <c r="I1154" s="49">
        <f>INDEX(PeakCalc!$L$10:$L$303,MATCH(tblPivotData[[#This Row],[Time]],PeakCalc!$G$10:$G$303,0))</f>
        <v>0</v>
      </c>
    </row>
    <row r="1155" spans="1:9" x14ac:dyDescent="0.25">
      <c r="A1155" t="s">
        <v>96</v>
      </c>
      <c r="B1155" t="s">
        <v>104</v>
      </c>
      <c r="C1155" t="s">
        <v>97</v>
      </c>
      <c r="D1155" t="s">
        <v>89</v>
      </c>
      <c r="E1155" t="s">
        <v>110</v>
      </c>
      <c r="F1155" s="6">
        <v>0.46875</v>
      </c>
      <c r="G1155">
        <v>19</v>
      </c>
      <c r="H1155" s="6">
        <f>FLOOR(tblPivotData[[#This Row],[Time]],Summary!$B$6/1440)</f>
        <v>0.46875</v>
      </c>
      <c r="I1155" s="49">
        <f>INDEX(PeakCalc!$L$10:$L$303,MATCH(tblPivotData[[#This Row],[Time]],PeakCalc!$G$10:$G$303,0))</f>
        <v>0</v>
      </c>
    </row>
    <row r="1156" spans="1:9" x14ac:dyDescent="0.25">
      <c r="A1156" t="s">
        <v>96</v>
      </c>
      <c r="B1156" t="s">
        <v>104</v>
      </c>
      <c r="C1156" t="s">
        <v>97</v>
      </c>
      <c r="D1156" t="s">
        <v>89</v>
      </c>
      <c r="E1156" t="s">
        <v>110</v>
      </c>
      <c r="F1156" s="6">
        <v>0.47916666666666669</v>
      </c>
      <c r="G1156">
        <v>20</v>
      </c>
      <c r="H1156" s="6">
        <f>FLOOR(tblPivotData[[#This Row],[Time]],Summary!$B$6/1440)</f>
        <v>0.47916666666666663</v>
      </c>
      <c r="I1156" s="49">
        <f>INDEX(PeakCalc!$L$10:$L$303,MATCH(tblPivotData[[#This Row],[Time]],PeakCalc!$G$10:$G$303,0))</f>
        <v>0</v>
      </c>
    </row>
    <row r="1157" spans="1:9" x14ac:dyDescent="0.25">
      <c r="A1157" t="s">
        <v>96</v>
      </c>
      <c r="B1157" t="s">
        <v>104</v>
      </c>
      <c r="C1157" t="s">
        <v>97</v>
      </c>
      <c r="D1157" t="s">
        <v>89</v>
      </c>
      <c r="E1157" t="s">
        <v>110</v>
      </c>
      <c r="F1157" s="6">
        <v>0.48958333333333331</v>
      </c>
      <c r="G1157">
        <v>36</v>
      </c>
      <c r="H1157" s="6">
        <f>FLOOR(tblPivotData[[#This Row],[Time]],Summary!$B$6/1440)</f>
        <v>0.48958333333333331</v>
      </c>
      <c r="I1157" s="49">
        <f>INDEX(PeakCalc!$L$10:$L$303,MATCH(tblPivotData[[#This Row],[Time]],PeakCalc!$G$10:$G$303,0))</f>
        <v>0</v>
      </c>
    </row>
    <row r="1158" spans="1:9" x14ac:dyDescent="0.25">
      <c r="A1158" t="s">
        <v>96</v>
      </c>
      <c r="B1158" t="s">
        <v>104</v>
      </c>
      <c r="C1158" t="s">
        <v>97</v>
      </c>
      <c r="D1158" t="s">
        <v>89</v>
      </c>
      <c r="E1158" t="s">
        <v>110</v>
      </c>
      <c r="F1158" s="6">
        <v>0.5</v>
      </c>
      <c r="G1158">
        <v>25</v>
      </c>
      <c r="H1158" s="6">
        <f>FLOOR(tblPivotData[[#This Row],[Time]],Summary!$B$6/1440)</f>
        <v>0.5</v>
      </c>
      <c r="I1158" s="49">
        <f>INDEX(PeakCalc!$L$10:$L$303,MATCH(tblPivotData[[#This Row],[Time]],PeakCalc!$G$10:$G$303,0))</f>
        <v>0</v>
      </c>
    </row>
    <row r="1159" spans="1:9" x14ac:dyDescent="0.25">
      <c r="A1159" t="s">
        <v>96</v>
      </c>
      <c r="B1159" t="s">
        <v>104</v>
      </c>
      <c r="C1159" t="s">
        <v>97</v>
      </c>
      <c r="D1159" t="s">
        <v>89</v>
      </c>
      <c r="E1159" t="s">
        <v>110</v>
      </c>
      <c r="F1159" s="6">
        <v>0.51041666666666663</v>
      </c>
      <c r="G1159">
        <v>33</v>
      </c>
      <c r="H1159" s="6">
        <f>FLOOR(tblPivotData[[#This Row],[Time]],Summary!$B$6/1440)</f>
        <v>0.51041666666666663</v>
      </c>
      <c r="I1159" s="49">
        <f>INDEX(PeakCalc!$L$10:$L$303,MATCH(tblPivotData[[#This Row],[Time]],PeakCalc!$G$10:$G$303,0))</f>
        <v>0</v>
      </c>
    </row>
    <row r="1160" spans="1:9" x14ac:dyDescent="0.25">
      <c r="A1160" t="s">
        <v>96</v>
      </c>
      <c r="B1160" t="s">
        <v>104</v>
      </c>
      <c r="C1160" t="s">
        <v>97</v>
      </c>
      <c r="D1160" t="s">
        <v>89</v>
      </c>
      <c r="E1160" t="s">
        <v>110</v>
      </c>
      <c r="F1160" s="6">
        <v>0.52083333333333337</v>
      </c>
      <c r="G1160">
        <v>29</v>
      </c>
      <c r="H1160" s="6">
        <f>FLOOR(tblPivotData[[#This Row],[Time]],Summary!$B$6/1440)</f>
        <v>0.52083333333333326</v>
      </c>
      <c r="I1160" s="49">
        <f>INDEX(PeakCalc!$L$10:$L$303,MATCH(tblPivotData[[#This Row],[Time]],PeakCalc!$G$10:$G$303,0))</f>
        <v>1</v>
      </c>
    </row>
    <row r="1161" spans="1:9" x14ac:dyDescent="0.25">
      <c r="A1161" t="s">
        <v>96</v>
      </c>
      <c r="B1161" t="s">
        <v>104</v>
      </c>
      <c r="C1161" t="s">
        <v>97</v>
      </c>
      <c r="D1161" t="s">
        <v>89</v>
      </c>
      <c r="E1161" t="s">
        <v>110</v>
      </c>
      <c r="F1161" s="6">
        <v>0.53125</v>
      </c>
      <c r="G1161">
        <v>22</v>
      </c>
      <c r="H1161" s="6">
        <f>FLOOR(tblPivotData[[#This Row],[Time]],Summary!$B$6/1440)</f>
        <v>0.53125</v>
      </c>
      <c r="I1161" s="49">
        <f>INDEX(PeakCalc!$L$10:$L$303,MATCH(tblPivotData[[#This Row],[Time]],PeakCalc!$G$10:$G$303,0))</f>
        <v>1</v>
      </c>
    </row>
    <row r="1162" spans="1:9" x14ac:dyDescent="0.25">
      <c r="A1162" t="s">
        <v>96</v>
      </c>
      <c r="B1162" t="s">
        <v>104</v>
      </c>
      <c r="C1162" t="s">
        <v>97</v>
      </c>
      <c r="D1162" t="s">
        <v>89</v>
      </c>
      <c r="E1162" t="s">
        <v>110</v>
      </c>
      <c r="F1162" s="6">
        <v>0.54166666666666663</v>
      </c>
      <c r="G1162">
        <v>32</v>
      </c>
      <c r="H1162" s="6">
        <f>FLOOR(tblPivotData[[#This Row],[Time]],Summary!$B$6/1440)</f>
        <v>0.54166666666666663</v>
      </c>
      <c r="I1162" s="49">
        <f>INDEX(PeakCalc!$L$10:$L$303,MATCH(tblPivotData[[#This Row],[Time]],PeakCalc!$G$10:$G$303,0))</f>
        <v>1</v>
      </c>
    </row>
    <row r="1163" spans="1:9" x14ac:dyDescent="0.25">
      <c r="A1163" t="s">
        <v>96</v>
      </c>
      <c r="B1163" t="s">
        <v>104</v>
      </c>
      <c r="C1163" t="s">
        <v>97</v>
      </c>
      <c r="D1163" t="s">
        <v>89</v>
      </c>
      <c r="E1163" t="s">
        <v>110</v>
      </c>
      <c r="F1163" s="6">
        <v>0.55208333333333337</v>
      </c>
      <c r="G1163">
        <v>28</v>
      </c>
      <c r="H1163" s="6">
        <f>FLOOR(tblPivotData[[#This Row],[Time]],Summary!$B$6/1440)</f>
        <v>0.55208333333333326</v>
      </c>
      <c r="I1163" s="49">
        <f>INDEX(PeakCalc!$L$10:$L$303,MATCH(tblPivotData[[#This Row],[Time]],PeakCalc!$G$10:$G$303,0))</f>
        <v>1</v>
      </c>
    </row>
    <row r="1164" spans="1:9" x14ac:dyDescent="0.25">
      <c r="A1164" t="s">
        <v>96</v>
      </c>
      <c r="B1164" t="s">
        <v>104</v>
      </c>
      <c r="C1164" t="s">
        <v>97</v>
      </c>
      <c r="D1164" t="s">
        <v>89</v>
      </c>
      <c r="E1164" t="s">
        <v>110</v>
      </c>
      <c r="F1164" s="6">
        <v>0.5625</v>
      </c>
      <c r="G1164">
        <v>22</v>
      </c>
      <c r="H1164" s="6">
        <f>FLOOR(tblPivotData[[#This Row],[Time]],Summary!$B$6/1440)</f>
        <v>0.5625</v>
      </c>
      <c r="I1164" s="49">
        <f>INDEX(PeakCalc!$L$10:$L$303,MATCH(tblPivotData[[#This Row],[Time]],PeakCalc!$G$10:$G$303,0))</f>
        <v>0</v>
      </c>
    </row>
    <row r="1165" spans="1:9" x14ac:dyDescent="0.25">
      <c r="A1165" t="s">
        <v>96</v>
      </c>
      <c r="B1165" t="s">
        <v>104</v>
      </c>
      <c r="C1165" t="s">
        <v>97</v>
      </c>
      <c r="D1165" t="s">
        <v>89</v>
      </c>
      <c r="E1165" t="s">
        <v>110</v>
      </c>
      <c r="F1165" s="6">
        <v>0.57291666666666663</v>
      </c>
      <c r="G1165">
        <v>22</v>
      </c>
      <c r="H1165" s="6">
        <f>FLOOR(tblPivotData[[#This Row],[Time]],Summary!$B$6/1440)</f>
        <v>0.57291666666666663</v>
      </c>
      <c r="I1165" s="49">
        <f>INDEX(PeakCalc!$L$10:$L$303,MATCH(tblPivotData[[#This Row],[Time]],PeakCalc!$G$10:$G$303,0))</f>
        <v>0</v>
      </c>
    </row>
    <row r="1166" spans="1:9" x14ac:dyDescent="0.25">
      <c r="A1166" t="s">
        <v>96</v>
      </c>
      <c r="B1166" t="s">
        <v>104</v>
      </c>
      <c r="C1166" t="s">
        <v>97</v>
      </c>
      <c r="D1166" t="s">
        <v>89</v>
      </c>
      <c r="E1166" t="s">
        <v>44</v>
      </c>
      <c r="F1166" s="6">
        <v>0.625</v>
      </c>
      <c r="G1166">
        <v>20</v>
      </c>
      <c r="H1166" s="6">
        <f>FLOOR(tblPivotData[[#This Row],[Time]],Summary!$B$6/1440)</f>
        <v>0.625</v>
      </c>
      <c r="I1166" s="49">
        <f>INDEX(PeakCalc!$L$10:$L$303,MATCH(tblPivotData[[#This Row],[Time]],PeakCalc!$G$10:$G$303,0))</f>
        <v>0</v>
      </c>
    </row>
    <row r="1167" spans="1:9" x14ac:dyDescent="0.25">
      <c r="A1167" t="s">
        <v>96</v>
      </c>
      <c r="B1167" t="s">
        <v>104</v>
      </c>
      <c r="C1167" t="s">
        <v>97</v>
      </c>
      <c r="D1167" t="s">
        <v>89</v>
      </c>
      <c r="E1167" t="s">
        <v>44</v>
      </c>
      <c r="F1167" s="6">
        <v>0.63541666666666663</v>
      </c>
      <c r="G1167">
        <v>23</v>
      </c>
      <c r="H1167" s="6">
        <f>FLOOR(tblPivotData[[#This Row],[Time]],Summary!$B$6/1440)</f>
        <v>0.63541666666666663</v>
      </c>
      <c r="I1167" s="49">
        <f>INDEX(PeakCalc!$L$10:$L$303,MATCH(tblPivotData[[#This Row],[Time]],PeakCalc!$G$10:$G$303,0))</f>
        <v>0</v>
      </c>
    </row>
    <row r="1168" spans="1:9" x14ac:dyDescent="0.25">
      <c r="A1168" t="s">
        <v>96</v>
      </c>
      <c r="B1168" t="s">
        <v>104</v>
      </c>
      <c r="C1168" t="s">
        <v>97</v>
      </c>
      <c r="D1168" t="s">
        <v>89</v>
      </c>
      <c r="E1168" t="s">
        <v>44</v>
      </c>
      <c r="F1168" s="6">
        <v>0.64583333333333337</v>
      </c>
      <c r="G1168">
        <v>23</v>
      </c>
      <c r="H1168" s="6">
        <f>FLOOR(tblPivotData[[#This Row],[Time]],Summary!$B$6/1440)</f>
        <v>0.64583333333333326</v>
      </c>
      <c r="I1168" s="49">
        <f>INDEX(PeakCalc!$L$10:$L$303,MATCH(tblPivotData[[#This Row],[Time]],PeakCalc!$G$10:$G$303,0))</f>
        <v>0</v>
      </c>
    </row>
    <row r="1169" spans="1:9" x14ac:dyDescent="0.25">
      <c r="A1169" t="s">
        <v>96</v>
      </c>
      <c r="B1169" t="s">
        <v>104</v>
      </c>
      <c r="C1169" t="s">
        <v>97</v>
      </c>
      <c r="D1169" t="s">
        <v>89</v>
      </c>
      <c r="E1169" t="s">
        <v>44</v>
      </c>
      <c r="F1169" s="6">
        <v>0.65625</v>
      </c>
      <c r="G1169">
        <v>19</v>
      </c>
      <c r="H1169" s="6">
        <f>FLOOR(tblPivotData[[#This Row],[Time]],Summary!$B$6/1440)</f>
        <v>0.65625</v>
      </c>
      <c r="I1169" s="49">
        <f>INDEX(PeakCalc!$L$10:$L$303,MATCH(tblPivotData[[#This Row],[Time]],PeakCalc!$G$10:$G$303,0))</f>
        <v>0</v>
      </c>
    </row>
    <row r="1170" spans="1:9" x14ac:dyDescent="0.25">
      <c r="A1170" t="s">
        <v>96</v>
      </c>
      <c r="B1170" t="s">
        <v>104</v>
      </c>
      <c r="C1170" t="s">
        <v>97</v>
      </c>
      <c r="D1170" t="s">
        <v>89</v>
      </c>
      <c r="E1170" t="s">
        <v>44</v>
      </c>
      <c r="F1170" s="6">
        <v>0.66666666666666663</v>
      </c>
      <c r="G1170">
        <v>19</v>
      </c>
      <c r="H1170" s="6">
        <f>FLOOR(tblPivotData[[#This Row],[Time]],Summary!$B$6/1440)</f>
        <v>0.66666666666666663</v>
      </c>
      <c r="I1170" s="49">
        <f>INDEX(PeakCalc!$L$10:$L$303,MATCH(tblPivotData[[#This Row],[Time]],PeakCalc!$G$10:$G$303,0))</f>
        <v>0</v>
      </c>
    </row>
    <row r="1171" spans="1:9" x14ac:dyDescent="0.25">
      <c r="A1171" t="s">
        <v>96</v>
      </c>
      <c r="B1171" t="s">
        <v>104</v>
      </c>
      <c r="C1171" t="s">
        <v>97</v>
      </c>
      <c r="D1171" t="s">
        <v>89</v>
      </c>
      <c r="E1171" t="s">
        <v>44</v>
      </c>
      <c r="F1171" s="6">
        <v>0.67708333333333337</v>
      </c>
      <c r="G1171">
        <v>26</v>
      </c>
      <c r="H1171" s="6">
        <f>FLOOR(tblPivotData[[#This Row],[Time]],Summary!$B$6/1440)</f>
        <v>0.67708333333333326</v>
      </c>
      <c r="I1171" s="49">
        <f>INDEX(PeakCalc!$L$10:$L$303,MATCH(tblPivotData[[#This Row],[Time]],PeakCalc!$G$10:$G$303,0))</f>
        <v>0</v>
      </c>
    </row>
    <row r="1172" spans="1:9" x14ac:dyDescent="0.25">
      <c r="A1172" t="s">
        <v>96</v>
      </c>
      <c r="B1172" t="s">
        <v>104</v>
      </c>
      <c r="C1172" t="s">
        <v>97</v>
      </c>
      <c r="D1172" t="s">
        <v>89</v>
      </c>
      <c r="E1172" t="s">
        <v>44</v>
      </c>
      <c r="F1172" s="6">
        <v>0.6875</v>
      </c>
      <c r="G1172">
        <v>21</v>
      </c>
      <c r="H1172" s="6">
        <f>FLOOR(tblPivotData[[#This Row],[Time]],Summary!$B$6/1440)</f>
        <v>0.6875</v>
      </c>
      <c r="I1172" s="49">
        <f>INDEX(PeakCalc!$L$10:$L$303,MATCH(tblPivotData[[#This Row],[Time]],PeakCalc!$G$10:$G$303,0))</f>
        <v>1</v>
      </c>
    </row>
    <row r="1173" spans="1:9" x14ac:dyDescent="0.25">
      <c r="A1173" t="s">
        <v>96</v>
      </c>
      <c r="B1173" t="s">
        <v>104</v>
      </c>
      <c r="C1173" t="s">
        <v>97</v>
      </c>
      <c r="D1173" t="s">
        <v>89</v>
      </c>
      <c r="E1173" t="s">
        <v>44</v>
      </c>
      <c r="F1173" s="6">
        <v>0.69791666666666663</v>
      </c>
      <c r="G1173">
        <v>24</v>
      </c>
      <c r="H1173" s="6">
        <f>FLOOR(tblPivotData[[#This Row],[Time]],Summary!$B$6/1440)</f>
        <v>0.69791666666666663</v>
      </c>
      <c r="I1173" s="49">
        <f>INDEX(PeakCalc!$L$10:$L$303,MATCH(tblPivotData[[#This Row],[Time]],PeakCalc!$G$10:$G$303,0))</f>
        <v>1</v>
      </c>
    </row>
    <row r="1174" spans="1:9" x14ac:dyDescent="0.25">
      <c r="A1174" t="s">
        <v>96</v>
      </c>
      <c r="B1174" t="s">
        <v>104</v>
      </c>
      <c r="C1174" t="s">
        <v>97</v>
      </c>
      <c r="D1174" t="s">
        <v>89</v>
      </c>
      <c r="E1174" t="s">
        <v>44</v>
      </c>
      <c r="F1174" s="6">
        <v>0.70833333333333337</v>
      </c>
      <c r="G1174">
        <v>13</v>
      </c>
      <c r="H1174" s="6">
        <f>FLOOR(tblPivotData[[#This Row],[Time]],Summary!$B$6/1440)</f>
        <v>0.70833333333333326</v>
      </c>
      <c r="I1174" s="49">
        <f>INDEX(PeakCalc!$L$10:$L$303,MATCH(tblPivotData[[#This Row],[Time]],PeakCalc!$G$10:$G$303,0))</f>
        <v>1</v>
      </c>
    </row>
    <row r="1175" spans="1:9" x14ac:dyDescent="0.25">
      <c r="A1175" t="s">
        <v>96</v>
      </c>
      <c r="B1175" t="s">
        <v>104</v>
      </c>
      <c r="C1175" t="s">
        <v>97</v>
      </c>
      <c r="D1175" t="s">
        <v>89</v>
      </c>
      <c r="E1175" t="s">
        <v>44</v>
      </c>
      <c r="F1175" s="6">
        <v>0.71875</v>
      </c>
      <c r="G1175">
        <v>18</v>
      </c>
      <c r="H1175" s="6">
        <f>FLOOR(tblPivotData[[#This Row],[Time]],Summary!$B$6/1440)</f>
        <v>0.71875</v>
      </c>
      <c r="I1175" s="49">
        <f>INDEX(PeakCalc!$L$10:$L$303,MATCH(tblPivotData[[#This Row],[Time]],PeakCalc!$G$10:$G$303,0))</f>
        <v>1</v>
      </c>
    </row>
    <row r="1176" spans="1:9" x14ac:dyDescent="0.25">
      <c r="A1176" t="s">
        <v>96</v>
      </c>
      <c r="B1176" t="s">
        <v>104</v>
      </c>
      <c r="C1176" t="s">
        <v>97</v>
      </c>
      <c r="D1176" t="s">
        <v>89</v>
      </c>
      <c r="E1176" t="s">
        <v>44</v>
      </c>
      <c r="F1176" s="6">
        <v>0.72916666666666663</v>
      </c>
      <c r="G1176">
        <v>13</v>
      </c>
      <c r="H1176" s="6">
        <f>FLOOR(tblPivotData[[#This Row],[Time]],Summary!$B$6/1440)</f>
        <v>0.72916666666666663</v>
      </c>
      <c r="I1176" s="49">
        <f>INDEX(PeakCalc!$L$10:$L$303,MATCH(tblPivotData[[#This Row],[Time]],PeakCalc!$G$10:$G$303,0))</f>
        <v>0</v>
      </c>
    </row>
    <row r="1177" spans="1:9" x14ac:dyDescent="0.25">
      <c r="A1177" t="s">
        <v>96</v>
      </c>
      <c r="B1177" t="s">
        <v>104</v>
      </c>
      <c r="C1177" t="s">
        <v>97</v>
      </c>
      <c r="D1177" t="s">
        <v>89</v>
      </c>
      <c r="E1177" t="s">
        <v>44</v>
      </c>
      <c r="F1177" s="6">
        <v>0.73958333333333337</v>
      </c>
      <c r="G1177">
        <v>23</v>
      </c>
      <c r="H1177" s="6">
        <f>FLOOR(tblPivotData[[#This Row],[Time]],Summary!$B$6/1440)</f>
        <v>0.73958333333333326</v>
      </c>
      <c r="I1177" s="49">
        <f>INDEX(PeakCalc!$L$10:$L$303,MATCH(tblPivotData[[#This Row],[Time]],PeakCalc!$G$10:$G$303,0))</f>
        <v>0</v>
      </c>
    </row>
    <row r="1178" spans="1:9" x14ac:dyDescent="0.25">
      <c r="A1178" t="s">
        <v>96</v>
      </c>
      <c r="B1178" t="s">
        <v>104</v>
      </c>
      <c r="C1178" t="s">
        <v>97</v>
      </c>
      <c r="D1178" t="s">
        <v>89</v>
      </c>
      <c r="E1178" t="s">
        <v>44</v>
      </c>
      <c r="F1178" s="6">
        <v>0.75</v>
      </c>
      <c r="G1178">
        <v>13</v>
      </c>
      <c r="H1178" s="6">
        <f>FLOOR(tblPivotData[[#This Row],[Time]],Summary!$B$6/1440)</f>
        <v>0.75</v>
      </c>
      <c r="I1178" s="49">
        <f>INDEX(PeakCalc!$L$10:$L$303,MATCH(tblPivotData[[#This Row],[Time]],PeakCalc!$G$10:$G$303,0))</f>
        <v>0</v>
      </c>
    </row>
    <row r="1179" spans="1:9" x14ac:dyDescent="0.25">
      <c r="A1179" t="s">
        <v>96</v>
      </c>
      <c r="B1179" t="s">
        <v>104</v>
      </c>
      <c r="C1179" t="s">
        <v>97</v>
      </c>
      <c r="D1179" t="s">
        <v>89</v>
      </c>
      <c r="E1179" t="s">
        <v>44</v>
      </c>
      <c r="F1179" s="6">
        <v>0.76041666666666663</v>
      </c>
      <c r="G1179">
        <v>25</v>
      </c>
      <c r="H1179" s="6">
        <f>FLOOR(tblPivotData[[#This Row],[Time]],Summary!$B$6/1440)</f>
        <v>0.76041666666666663</v>
      </c>
      <c r="I1179" s="49">
        <f>INDEX(PeakCalc!$L$10:$L$303,MATCH(tblPivotData[[#This Row],[Time]],PeakCalc!$G$10:$G$303,0))</f>
        <v>0</v>
      </c>
    </row>
    <row r="1180" spans="1:9" x14ac:dyDescent="0.25">
      <c r="A1180" t="s">
        <v>96</v>
      </c>
      <c r="B1180" t="s">
        <v>104</v>
      </c>
      <c r="C1180" t="s">
        <v>97</v>
      </c>
      <c r="D1180" t="s">
        <v>90</v>
      </c>
      <c r="E1180" t="s">
        <v>43</v>
      </c>
      <c r="F1180" s="6">
        <v>0.27083333333333331</v>
      </c>
      <c r="G1180">
        <v>0</v>
      </c>
      <c r="H1180" s="6">
        <f>FLOOR(tblPivotData[[#This Row],[Time]],Summary!$B$6/1440)</f>
        <v>0.27083333333333331</v>
      </c>
      <c r="I1180" s="49">
        <f>INDEX(PeakCalc!$L$10:$L$303,MATCH(tblPivotData[[#This Row],[Time]],PeakCalc!$G$10:$G$303,0))</f>
        <v>0</v>
      </c>
    </row>
    <row r="1181" spans="1:9" x14ac:dyDescent="0.25">
      <c r="A1181" t="s">
        <v>96</v>
      </c>
      <c r="B1181" t="s">
        <v>104</v>
      </c>
      <c r="C1181" t="s">
        <v>97</v>
      </c>
      <c r="D1181" t="s">
        <v>90</v>
      </c>
      <c r="E1181" t="s">
        <v>43</v>
      </c>
      <c r="F1181" s="6">
        <v>0.28125</v>
      </c>
      <c r="G1181">
        <v>0</v>
      </c>
      <c r="H1181" s="6">
        <f>FLOOR(tblPivotData[[#This Row],[Time]],Summary!$B$6/1440)</f>
        <v>0.28125</v>
      </c>
      <c r="I1181" s="49">
        <f>INDEX(PeakCalc!$L$10:$L$303,MATCH(tblPivotData[[#This Row],[Time]],PeakCalc!$G$10:$G$303,0))</f>
        <v>0</v>
      </c>
    </row>
    <row r="1182" spans="1:9" x14ac:dyDescent="0.25">
      <c r="A1182" t="s">
        <v>96</v>
      </c>
      <c r="B1182" t="s">
        <v>104</v>
      </c>
      <c r="C1182" t="s">
        <v>97</v>
      </c>
      <c r="D1182" t="s">
        <v>90</v>
      </c>
      <c r="E1182" t="s">
        <v>43</v>
      </c>
      <c r="F1182" s="6">
        <v>0.29166666666666669</v>
      </c>
      <c r="G1182">
        <v>0</v>
      </c>
      <c r="H1182" s="6">
        <f>FLOOR(tblPivotData[[#This Row],[Time]],Summary!$B$6/1440)</f>
        <v>0.29166666666666663</v>
      </c>
      <c r="I1182" s="49">
        <f>INDEX(PeakCalc!$L$10:$L$303,MATCH(tblPivotData[[#This Row],[Time]],PeakCalc!$G$10:$G$303,0))</f>
        <v>0</v>
      </c>
    </row>
    <row r="1183" spans="1:9" x14ac:dyDescent="0.25">
      <c r="A1183" t="s">
        <v>96</v>
      </c>
      <c r="B1183" t="s">
        <v>104</v>
      </c>
      <c r="C1183" t="s">
        <v>97</v>
      </c>
      <c r="D1183" t="s">
        <v>90</v>
      </c>
      <c r="E1183" t="s">
        <v>43</v>
      </c>
      <c r="F1183" s="6">
        <v>0.30208333333333331</v>
      </c>
      <c r="G1183">
        <v>0</v>
      </c>
      <c r="H1183" s="6">
        <f>FLOOR(tblPivotData[[#This Row],[Time]],Summary!$B$6/1440)</f>
        <v>0.30208333333333331</v>
      </c>
      <c r="I1183" s="49">
        <f>INDEX(PeakCalc!$L$10:$L$303,MATCH(tblPivotData[[#This Row],[Time]],PeakCalc!$G$10:$G$303,0))</f>
        <v>0</v>
      </c>
    </row>
    <row r="1184" spans="1:9" x14ac:dyDescent="0.25">
      <c r="A1184" t="s">
        <v>96</v>
      </c>
      <c r="B1184" t="s">
        <v>104</v>
      </c>
      <c r="C1184" t="s">
        <v>97</v>
      </c>
      <c r="D1184" t="s">
        <v>90</v>
      </c>
      <c r="E1184" t="s">
        <v>43</v>
      </c>
      <c r="F1184" s="6">
        <v>0.3125</v>
      </c>
      <c r="G1184">
        <v>0</v>
      </c>
      <c r="H1184" s="6">
        <f>FLOOR(tblPivotData[[#This Row],[Time]],Summary!$B$6/1440)</f>
        <v>0.3125</v>
      </c>
      <c r="I1184" s="49">
        <f>INDEX(PeakCalc!$L$10:$L$303,MATCH(tblPivotData[[#This Row],[Time]],PeakCalc!$G$10:$G$303,0))</f>
        <v>0</v>
      </c>
    </row>
    <row r="1185" spans="1:9" x14ac:dyDescent="0.25">
      <c r="A1185" t="s">
        <v>96</v>
      </c>
      <c r="B1185" t="s">
        <v>104</v>
      </c>
      <c r="C1185" t="s">
        <v>97</v>
      </c>
      <c r="D1185" t="s">
        <v>90</v>
      </c>
      <c r="E1185" t="s">
        <v>43</v>
      </c>
      <c r="F1185" s="6">
        <v>0.32291666666666669</v>
      </c>
      <c r="G1185">
        <v>0</v>
      </c>
      <c r="H1185" s="6">
        <f>FLOOR(tblPivotData[[#This Row],[Time]],Summary!$B$6/1440)</f>
        <v>0.32291666666666663</v>
      </c>
      <c r="I1185" s="49">
        <f>INDEX(PeakCalc!$L$10:$L$303,MATCH(tblPivotData[[#This Row],[Time]],PeakCalc!$G$10:$G$303,0))</f>
        <v>1</v>
      </c>
    </row>
    <row r="1186" spans="1:9" x14ac:dyDescent="0.25">
      <c r="A1186" t="s">
        <v>96</v>
      </c>
      <c r="B1186" t="s">
        <v>104</v>
      </c>
      <c r="C1186" t="s">
        <v>97</v>
      </c>
      <c r="D1186" t="s">
        <v>90</v>
      </c>
      <c r="E1186" t="s">
        <v>43</v>
      </c>
      <c r="F1186" s="6">
        <v>0.33333333333333331</v>
      </c>
      <c r="G1186">
        <v>0</v>
      </c>
      <c r="H1186" s="6">
        <f>FLOOR(tblPivotData[[#This Row],[Time]],Summary!$B$6/1440)</f>
        <v>0.33333333333333331</v>
      </c>
      <c r="I1186" s="49">
        <f>INDEX(PeakCalc!$L$10:$L$303,MATCH(tblPivotData[[#This Row],[Time]],PeakCalc!$G$10:$G$303,0))</f>
        <v>1</v>
      </c>
    </row>
    <row r="1187" spans="1:9" x14ac:dyDescent="0.25">
      <c r="A1187" t="s">
        <v>96</v>
      </c>
      <c r="B1187" t="s">
        <v>104</v>
      </c>
      <c r="C1187" t="s">
        <v>97</v>
      </c>
      <c r="D1187" t="s">
        <v>90</v>
      </c>
      <c r="E1187" t="s">
        <v>43</v>
      </c>
      <c r="F1187" s="6">
        <v>0.34375</v>
      </c>
      <c r="G1187">
        <v>0</v>
      </c>
      <c r="H1187" s="6">
        <f>FLOOR(tblPivotData[[#This Row],[Time]],Summary!$B$6/1440)</f>
        <v>0.34375</v>
      </c>
      <c r="I1187" s="49">
        <f>INDEX(PeakCalc!$L$10:$L$303,MATCH(tblPivotData[[#This Row],[Time]],PeakCalc!$G$10:$G$303,0))</f>
        <v>1</v>
      </c>
    </row>
    <row r="1188" spans="1:9" x14ac:dyDescent="0.25">
      <c r="A1188" t="s">
        <v>96</v>
      </c>
      <c r="B1188" t="s">
        <v>104</v>
      </c>
      <c r="C1188" t="s">
        <v>97</v>
      </c>
      <c r="D1188" t="s">
        <v>90</v>
      </c>
      <c r="E1188" t="s">
        <v>43</v>
      </c>
      <c r="F1188" s="6">
        <v>0.35416666666666669</v>
      </c>
      <c r="G1188">
        <v>0</v>
      </c>
      <c r="H1188" s="6">
        <f>FLOOR(tblPivotData[[#This Row],[Time]],Summary!$B$6/1440)</f>
        <v>0.35416666666666663</v>
      </c>
      <c r="I1188" s="49">
        <f>INDEX(PeakCalc!$L$10:$L$303,MATCH(tblPivotData[[#This Row],[Time]],PeakCalc!$G$10:$G$303,0))</f>
        <v>1</v>
      </c>
    </row>
    <row r="1189" spans="1:9" x14ac:dyDescent="0.25">
      <c r="A1189" t="s">
        <v>96</v>
      </c>
      <c r="B1189" t="s">
        <v>104</v>
      </c>
      <c r="C1189" t="s">
        <v>97</v>
      </c>
      <c r="D1189" t="s">
        <v>90</v>
      </c>
      <c r="E1189" t="s">
        <v>43</v>
      </c>
      <c r="F1189" s="6">
        <v>0.36458333333333331</v>
      </c>
      <c r="G1189">
        <v>0</v>
      </c>
      <c r="H1189" s="6">
        <f>FLOOR(tblPivotData[[#This Row],[Time]],Summary!$B$6/1440)</f>
        <v>0.36458333333333331</v>
      </c>
      <c r="I1189" s="49">
        <f>INDEX(PeakCalc!$L$10:$L$303,MATCH(tblPivotData[[#This Row],[Time]],PeakCalc!$G$10:$G$303,0))</f>
        <v>0</v>
      </c>
    </row>
    <row r="1190" spans="1:9" x14ac:dyDescent="0.25">
      <c r="A1190" t="s">
        <v>96</v>
      </c>
      <c r="B1190" t="s">
        <v>104</v>
      </c>
      <c r="C1190" t="s">
        <v>97</v>
      </c>
      <c r="D1190" t="s">
        <v>90</v>
      </c>
      <c r="E1190" t="s">
        <v>43</v>
      </c>
      <c r="F1190" s="6">
        <v>0.375</v>
      </c>
      <c r="G1190">
        <v>0</v>
      </c>
      <c r="H1190" s="6">
        <f>FLOOR(tblPivotData[[#This Row],[Time]],Summary!$B$6/1440)</f>
        <v>0.375</v>
      </c>
      <c r="I1190" s="49">
        <f>INDEX(PeakCalc!$L$10:$L$303,MATCH(tblPivotData[[#This Row],[Time]],PeakCalc!$G$10:$G$303,0))</f>
        <v>0</v>
      </c>
    </row>
    <row r="1191" spans="1:9" x14ac:dyDescent="0.25">
      <c r="A1191" t="s">
        <v>96</v>
      </c>
      <c r="B1191" t="s">
        <v>104</v>
      </c>
      <c r="C1191" t="s">
        <v>97</v>
      </c>
      <c r="D1191" t="s">
        <v>90</v>
      </c>
      <c r="E1191" t="s">
        <v>43</v>
      </c>
      <c r="F1191" s="6">
        <v>0.38541666666666669</v>
      </c>
      <c r="G1191">
        <v>0</v>
      </c>
      <c r="H1191" s="6">
        <f>FLOOR(tblPivotData[[#This Row],[Time]],Summary!$B$6/1440)</f>
        <v>0.38541666666666663</v>
      </c>
      <c r="I1191" s="49">
        <f>INDEX(PeakCalc!$L$10:$L$303,MATCH(tblPivotData[[#This Row],[Time]],PeakCalc!$G$10:$G$303,0))</f>
        <v>0</v>
      </c>
    </row>
    <row r="1192" spans="1:9" x14ac:dyDescent="0.25">
      <c r="A1192" t="s">
        <v>96</v>
      </c>
      <c r="B1192" t="s">
        <v>104</v>
      </c>
      <c r="C1192" t="s">
        <v>97</v>
      </c>
      <c r="D1192" t="s">
        <v>90</v>
      </c>
      <c r="E1192" t="s">
        <v>110</v>
      </c>
      <c r="F1192" s="6">
        <v>0.45833333333333331</v>
      </c>
      <c r="G1192">
        <v>0</v>
      </c>
      <c r="H1192" s="6">
        <f>FLOOR(tblPivotData[[#This Row],[Time]],Summary!$B$6/1440)</f>
        <v>0.45833333333333331</v>
      </c>
      <c r="I1192" s="49">
        <f>INDEX(PeakCalc!$L$10:$L$303,MATCH(tblPivotData[[#This Row],[Time]],PeakCalc!$G$10:$G$303,0))</f>
        <v>0</v>
      </c>
    </row>
    <row r="1193" spans="1:9" x14ac:dyDescent="0.25">
      <c r="A1193" t="s">
        <v>96</v>
      </c>
      <c r="B1193" t="s">
        <v>104</v>
      </c>
      <c r="C1193" t="s">
        <v>97</v>
      </c>
      <c r="D1193" t="s">
        <v>90</v>
      </c>
      <c r="E1193" t="s">
        <v>110</v>
      </c>
      <c r="F1193" s="6">
        <v>0.46875</v>
      </c>
      <c r="G1193">
        <v>0</v>
      </c>
      <c r="H1193" s="6">
        <f>FLOOR(tblPivotData[[#This Row],[Time]],Summary!$B$6/1440)</f>
        <v>0.46875</v>
      </c>
      <c r="I1193" s="49">
        <f>INDEX(PeakCalc!$L$10:$L$303,MATCH(tblPivotData[[#This Row],[Time]],PeakCalc!$G$10:$G$303,0))</f>
        <v>0</v>
      </c>
    </row>
    <row r="1194" spans="1:9" x14ac:dyDescent="0.25">
      <c r="A1194" t="s">
        <v>96</v>
      </c>
      <c r="B1194" t="s">
        <v>104</v>
      </c>
      <c r="C1194" t="s">
        <v>97</v>
      </c>
      <c r="D1194" t="s">
        <v>90</v>
      </c>
      <c r="E1194" t="s">
        <v>110</v>
      </c>
      <c r="F1194" s="6">
        <v>0.47916666666666669</v>
      </c>
      <c r="G1194">
        <v>0</v>
      </c>
      <c r="H1194" s="6">
        <f>FLOOR(tblPivotData[[#This Row],[Time]],Summary!$B$6/1440)</f>
        <v>0.47916666666666663</v>
      </c>
      <c r="I1194" s="49">
        <f>INDEX(PeakCalc!$L$10:$L$303,MATCH(tblPivotData[[#This Row],[Time]],PeakCalc!$G$10:$G$303,0))</f>
        <v>0</v>
      </c>
    </row>
    <row r="1195" spans="1:9" x14ac:dyDescent="0.25">
      <c r="A1195" t="s">
        <v>96</v>
      </c>
      <c r="B1195" t="s">
        <v>104</v>
      </c>
      <c r="C1195" t="s">
        <v>97</v>
      </c>
      <c r="D1195" t="s">
        <v>90</v>
      </c>
      <c r="E1195" t="s">
        <v>110</v>
      </c>
      <c r="F1195" s="6">
        <v>0.48958333333333331</v>
      </c>
      <c r="G1195">
        <v>0</v>
      </c>
      <c r="H1195" s="6">
        <f>FLOOR(tblPivotData[[#This Row],[Time]],Summary!$B$6/1440)</f>
        <v>0.48958333333333331</v>
      </c>
      <c r="I1195" s="49">
        <f>INDEX(PeakCalc!$L$10:$L$303,MATCH(tblPivotData[[#This Row],[Time]],PeakCalc!$G$10:$G$303,0))</f>
        <v>0</v>
      </c>
    </row>
    <row r="1196" spans="1:9" x14ac:dyDescent="0.25">
      <c r="A1196" t="s">
        <v>96</v>
      </c>
      <c r="B1196" t="s">
        <v>104</v>
      </c>
      <c r="C1196" t="s">
        <v>97</v>
      </c>
      <c r="D1196" t="s">
        <v>90</v>
      </c>
      <c r="E1196" t="s">
        <v>110</v>
      </c>
      <c r="F1196" s="6">
        <v>0.5</v>
      </c>
      <c r="G1196">
        <v>0</v>
      </c>
      <c r="H1196" s="6">
        <f>FLOOR(tblPivotData[[#This Row],[Time]],Summary!$B$6/1440)</f>
        <v>0.5</v>
      </c>
      <c r="I1196" s="49">
        <f>INDEX(PeakCalc!$L$10:$L$303,MATCH(tblPivotData[[#This Row],[Time]],PeakCalc!$G$10:$G$303,0))</f>
        <v>0</v>
      </c>
    </row>
    <row r="1197" spans="1:9" x14ac:dyDescent="0.25">
      <c r="A1197" t="s">
        <v>96</v>
      </c>
      <c r="B1197" t="s">
        <v>104</v>
      </c>
      <c r="C1197" t="s">
        <v>97</v>
      </c>
      <c r="D1197" t="s">
        <v>90</v>
      </c>
      <c r="E1197" t="s">
        <v>110</v>
      </c>
      <c r="F1197" s="6">
        <v>0.51041666666666663</v>
      </c>
      <c r="G1197">
        <v>0</v>
      </c>
      <c r="H1197" s="6">
        <f>FLOOR(tblPivotData[[#This Row],[Time]],Summary!$B$6/1440)</f>
        <v>0.51041666666666663</v>
      </c>
      <c r="I1197" s="49">
        <f>INDEX(PeakCalc!$L$10:$L$303,MATCH(tblPivotData[[#This Row],[Time]],PeakCalc!$G$10:$G$303,0))</f>
        <v>0</v>
      </c>
    </row>
    <row r="1198" spans="1:9" x14ac:dyDescent="0.25">
      <c r="A1198" t="s">
        <v>96</v>
      </c>
      <c r="B1198" t="s">
        <v>104</v>
      </c>
      <c r="C1198" t="s">
        <v>97</v>
      </c>
      <c r="D1198" t="s">
        <v>90</v>
      </c>
      <c r="E1198" t="s">
        <v>110</v>
      </c>
      <c r="F1198" s="6">
        <v>0.52083333333333337</v>
      </c>
      <c r="G1198">
        <v>0</v>
      </c>
      <c r="H1198" s="6">
        <f>FLOOR(tblPivotData[[#This Row],[Time]],Summary!$B$6/1440)</f>
        <v>0.52083333333333326</v>
      </c>
      <c r="I1198" s="49">
        <f>INDEX(PeakCalc!$L$10:$L$303,MATCH(tblPivotData[[#This Row],[Time]],PeakCalc!$G$10:$G$303,0))</f>
        <v>1</v>
      </c>
    </row>
    <row r="1199" spans="1:9" x14ac:dyDescent="0.25">
      <c r="A1199" t="s">
        <v>96</v>
      </c>
      <c r="B1199" t="s">
        <v>104</v>
      </c>
      <c r="C1199" t="s">
        <v>97</v>
      </c>
      <c r="D1199" t="s">
        <v>90</v>
      </c>
      <c r="E1199" t="s">
        <v>110</v>
      </c>
      <c r="F1199" s="6">
        <v>0.53125</v>
      </c>
      <c r="G1199">
        <v>0</v>
      </c>
      <c r="H1199" s="6">
        <f>FLOOR(tblPivotData[[#This Row],[Time]],Summary!$B$6/1440)</f>
        <v>0.53125</v>
      </c>
      <c r="I1199" s="49">
        <f>INDEX(PeakCalc!$L$10:$L$303,MATCH(tblPivotData[[#This Row],[Time]],PeakCalc!$G$10:$G$303,0))</f>
        <v>1</v>
      </c>
    </row>
    <row r="1200" spans="1:9" x14ac:dyDescent="0.25">
      <c r="A1200" t="s">
        <v>96</v>
      </c>
      <c r="B1200" t="s">
        <v>104</v>
      </c>
      <c r="C1200" t="s">
        <v>97</v>
      </c>
      <c r="D1200" t="s">
        <v>90</v>
      </c>
      <c r="E1200" t="s">
        <v>110</v>
      </c>
      <c r="F1200" s="6">
        <v>0.54166666666666663</v>
      </c>
      <c r="G1200">
        <v>0</v>
      </c>
      <c r="H1200" s="6">
        <f>FLOOR(tblPivotData[[#This Row],[Time]],Summary!$B$6/1440)</f>
        <v>0.54166666666666663</v>
      </c>
      <c r="I1200" s="49">
        <f>INDEX(PeakCalc!$L$10:$L$303,MATCH(tblPivotData[[#This Row],[Time]],PeakCalc!$G$10:$G$303,0))</f>
        <v>1</v>
      </c>
    </row>
    <row r="1201" spans="1:9" x14ac:dyDescent="0.25">
      <c r="A1201" t="s">
        <v>96</v>
      </c>
      <c r="B1201" t="s">
        <v>104</v>
      </c>
      <c r="C1201" t="s">
        <v>97</v>
      </c>
      <c r="D1201" t="s">
        <v>90</v>
      </c>
      <c r="E1201" t="s">
        <v>110</v>
      </c>
      <c r="F1201" s="6">
        <v>0.55208333333333337</v>
      </c>
      <c r="G1201">
        <v>0</v>
      </c>
      <c r="H1201" s="6">
        <f>FLOOR(tblPivotData[[#This Row],[Time]],Summary!$B$6/1440)</f>
        <v>0.55208333333333326</v>
      </c>
      <c r="I1201" s="49">
        <f>INDEX(PeakCalc!$L$10:$L$303,MATCH(tblPivotData[[#This Row],[Time]],PeakCalc!$G$10:$G$303,0))</f>
        <v>1</v>
      </c>
    </row>
    <row r="1202" spans="1:9" x14ac:dyDescent="0.25">
      <c r="A1202" t="s">
        <v>96</v>
      </c>
      <c r="B1202" t="s">
        <v>104</v>
      </c>
      <c r="C1202" t="s">
        <v>97</v>
      </c>
      <c r="D1202" t="s">
        <v>90</v>
      </c>
      <c r="E1202" t="s">
        <v>110</v>
      </c>
      <c r="F1202" s="6">
        <v>0.5625</v>
      </c>
      <c r="G1202">
        <v>0</v>
      </c>
      <c r="H1202" s="6">
        <f>FLOOR(tblPivotData[[#This Row],[Time]],Summary!$B$6/1440)</f>
        <v>0.5625</v>
      </c>
      <c r="I1202" s="49">
        <f>INDEX(PeakCalc!$L$10:$L$303,MATCH(tblPivotData[[#This Row],[Time]],PeakCalc!$G$10:$G$303,0))</f>
        <v>0</v>
      </c>
    </row>
    <row r="1203" spans="1:9" x14ac:dyDescent="0.25">
      <c r="A1203" t="s">
        <v>96</v>
      </c>
      <c r="B1203" t="s">
        <v>104</v>
      </c>
      <c r="C1203" t="s">
        <v>97</v>
      </c>
      <c r="D1203" t="s">
        <v>90</v>
      </c>
      <c r="E1203" t="s">
        <v>110</v>
      </c>
      <c r="F1203" s="6">
        <v>0.57291666666666663</v>
      </c>
      <c r="G1203">
        <v>0</v>
      </c>
      <c r="H1203" s="6">
        <f>FLOOR(tblPivotData[[#This Row],[Time]],Summary!$B$6/1440)</f>
        <v>0.57291666666666663</v>
      </c>
      <c r="I1203" s="49">
        <f>INDEX(PeakCalc!$L$10:$L$303,MATCH(tblPivotData[[#This Row],[Time]],PeakCalc!$G$10:$G$303,0))</f>
        <v>0</v>
      </c>
    </row>
    <row r="1204" spans="1:9" x14ac:dyDescent="0.25">
      <c r="A1204" t="s">
        <v>96</v>
      </c>
      <c r="B1204" t="s">
        <v>104</v>
      </c>
      <c r="C1204" t="s">
        <v>97</v>
      </c>
      <c r="D1204" t="s">
        <v>90</v>
      </c>
      <c r="E1204" t="s">
        <v>44</v>
      </c>
      <c r="F1204" s="6">
        <v>0.625</v>
      </c>
      <c r="G1204">
        <v>0</v>
      </c>
      <c r="H1204" s="6">
        <f>FLOOR(tblPivotData[[#This Row],[Time]],Summary!$B$6/1440)</f>
        <v>0.625</v>
      </c>
      <c r="I1204" s="49">
        <f>INDEX(PeakCalc!$L$10:$L$303,MATCH(tblPivotData[[#This Row],[Time]],PeakCalc!$G$10:$G$303,0))</f>
        <v>0</v>
      </c>
    </row>
    <row r="1205" spans="1:9" x14ac:dyDescent="0.25">
      <c r="A1205" t="s">
        <v>96</v>
      </c>
      <c r="B1205" t="s">
        <v>104</v>
      </c>
      <c r="C1205" t="s">
        <v>97</v>
      </c>
      <c r="D1205" t="s">
        <v>90</v>
      </c>
      <c r="E1205" t="s">
        <v>44</v>
      </c>
      <c r="F1205" s="6">
        <v>0.63541666666666663</v>
      </c>
      <c r="G1205">
        <v>0</v>
      </c>
      <c r="H1205" s="6">
        <f>FLOOR(tblPivotData[[#This Row],[Time]],Summary!$B$6/1440)</f>
        <v>0.63541666666666663</v>
      </c>
      <c r="I1205" s="49">
        <f>INDEX(PeakCalc!$L$10:$L$303,MATCH(tblPivotData[[#This Row],[Time]],PeakCalc!$G$10:$G$303,0))</f>
        <v>0</v>
      </c>
    </row>
    <row r="1206" spans="1:9" x14ac:dyDescent="0.25">
      <c r="A1206" t="s">
        <v>96</v>
      </c>
      <c r="B1206" t="s">
        <v>104</v>
      </c>
      <c r="C1206" t="s">
        <v>97</v>
      </c>
      <c r="D1206" t="s">
        <v>90</v>
      </c>
      <c r="E1206" t="s">
        <v>44</v>
      </c>
      <c r="F1206" s="6">
        <v>0.64583333333333337</v>
      </c>
      <c r="G1206">
        <v>0</v>
      </c>
      <c r="H1206" s="6">
        <f>FLOOR(tblPivotData[[#This Row],[Time]],Summary!$B$6/1440)</f>
        <v>0.64583333333333326</v>
      </c>
      <c r="I1206" s="49">
        <f>INDEX(PeakCalc!$L$10:$L$303,MATCH(tblPivotData[[#This Row],[Time]],PeakCalc!$G$10:$G$303,0))</f>
        <v>0</v>
      </c>
    </row>
    <row r="1207" spans="1:9" x14ac:dyDescent="0.25">
      <c r="A1207" t="s">
        <v>96</v>
      </c>
      <c r="B1207" t="s">
        <v>104</v>
      </c>
      <c r="C1207" t="s">
        <v>97</v>
      </c>
      <c r="D1207" t="s">
        <v>90</v>
      </c>
      <c r="E1207" t="s">
        <v>44</v>
      </c>
      <c r="F1207" s="6">
        <v>0.65625</v>
      </c>
      <c r="G1207">
        <v>0</v>
      </c>
      <c r="H1207" s="6">
        <f>FLOOR(tblPivotData[[#This Row],[Time]],Summary!$B$6/1440)</f>
        <v>0.65625</v>
      </c>
      <c r="I1207" s="49">
        <f>INDEX(PeakCalc!$L$10:$L$303,MATCH(tblPivotData[[#This Row],[Time]],PeakCalc!$G$10:$G$303,0))</f>
        <v>0</v>
      </c>
    </row>
    <row r="1208" spans="1:9" x14ac:dyDescent="0.25">
      <c r="A1208" t="s">
        <v>96</v>
      </c>
      <c r="B1208" t="s">
        <v>104</v>
      </c>
      <c r="C1208" t="s">
        <v>97</v>
      </c>
      <c r="D1208" t="s">
        <v>90</v>
      </c>
      <c r="E1208" t="s">
        <v>44</v>
      </c>
      <c r="F1208" s="6">
        <v>0.66666666666666663</v>
      </c>
      <c r="G1208">
        <v>0</v>
      </c>
      <c r="H1208" s="6">
        <f>FLOOR(tblPivotData[[#This Row],[Time]],Summary!$B$6/1440)</f>
        <v>0.66666666666666663</v>
      </c>
      <c r="I1208" s="49">
        <f>INDEX(PeakCalc!$L$10:$L$303,MATCH(tblPivotData[[#This Row],[Time]],PeakCalc!$G$10:$G$303,0))</f>
        <v>0</v>
      </c>
    </row>
    <row r="1209" spans="1:9" x14ac:dyDescent="0.25">
      <c r="A1209" t="s">
        <v>96</v>
      </c>
      <c r="B1209" t="s">
        <v>104</v>
      </c>
      <c r="C1209" t="s">
        <v>97</v>
      </c>
      <c r="D1209" t="s">
        <v>90</v>
      </c>
      <c r="E1209" t="s">
        <v>44</v>
      </c>
      <c r="F1209" s="6">
        <v>0.67708333333333337</v>
      </c>
      <c r="G1209">
        <v>0</v>
      </c>
      <c r="H1209" s="6">
        <f>FLOOR(tblPivotData[[#This Row],[Time]],Summary!$B$6/1440)</f>
        <v>0.67708333333333326</v>
      </c>
      <c r="I1209" s="49">
        <f>INDEX(PeakCalc!$L$10:$L$303,MATCH(tblPivotData[[#This Row],[Time]],PeakCalc!$G$10:$G$303,0))</f>
        <v>0</v>
      </c>
    </row>
    <row r="1210" spans="1:9" x14ac:dyDescent="0.25">
      <c r="A1210" t="s">
        <v>96</v>
      </c>
      <c r="B1210" t="s">
        <v>104</v>
      </c>
      <c r="C1210" t="s">
        <v>97</v>
      </c>
      <c r="D1210" t="s">
        <v>90</v>
      </c>
      <c r="E1210" t="s">
        <v>44</v>
      </c>
      <c r="F1210" s="6">
        <v>0.6875</v>
      </c>
      <c r="G1210">
        <v>0</v>
      </c>
      <c r="H1210" s="6">
        <f>FLOOR(tblPivotData[[#This Row],[Time]],Summary!$B$6/1440)</f>
        <v>0.6875</v>
      </c>
      <c r="I1210" s="49">
        <f>INDEX(PeakCalc!$L$10:$L$303,MATCH(tblPivotData[[#This Row],[Time]],PeakCalc!$G$10:$G$303,0))</f>
        <v>1</v>
      </c>
    </row>
    <row r="1211" spans="1:9" x14ac:dyDescent="0.25">
      <c r="A1211" t="s">
        <v>96</v>
      </c>
      <c r="B1211" t="s">
        <v>104</v>
      </c>
      <c r="C1211" t="s">
        <v>97</v>
      </c>
      <c r="D1211" t="s">
        <v>90</v>
      </c>
      <c r="E1211" t="s">
        <v>44</v>
      </c>
      <c r="F1211" s="6">
        <v>0.69791666666666663</v>
      </c>
      <c r="G1211">
        <v>1</v>
      </c>
      <c r="H1211" s="6">
        <f>FLOOR(tblPivotData[[#This Row],[Time]],Summary!$B$6/1440)</f>
        <v>0.69791666666666663</v>
      </c>
      <c r="I1211" s="49">
        <f>INDEX(PeakCalc!$L$10:$L$303,MATCH(tblPivotData[[#This Row],[Time]],PeakCalc!$G$10:$G$303,0))</f>
        <v>1</v>
      </c>
    </row>
    <row r="1212" spans="1:9" x14ac:dyDescent="0.25">
      <c r="A1212" t="s">
        <v>96</v>
      </c>
      <c r="B1212" t="s">
        <v>104</v>
      </c>
      <c r="C1212" t="s">
        <v>97</v>
      </c>
      <c r="D1212" t="s">
        <v>90</v>
      </c>
      <c r="E1212" t="s">
        <v>44</v>
      </c>
      <c r="F1212" s="6">
        <v>0.70833333333333337</v>
      </c>
      <c r="G1212">
        <v>0</v>
      </c>
      <c r="H1212" s="6">
        <f>FLOOR(tblPivotData[[#This Row],[Time]],Summary!$B$6/1440)</f>
        <v>0.70833333333333326</v>
      </c>
      <c r="I1212" s="49">
        <f>INDEX(PeakCalc!$L$10:$L$303,MATCH(tblPivotData[[#This Row],[Time]],PeakCalc!$G$10:$G$303,0))</f>
        <v>1</v>
      </c>
    </row>
    <row r="1213" spans="1:9" x14ac:dyDescent="0.25">
      <c r="A1213" t="s">
        <v>96</v>
      </c>
      <c r="B1213" t="s">
        <v>104</v>
      </c>
      <c r="C1213" t="s">
        <v>97</v>
      </c>
      <c r="D1213" t="s">
        <v>90</v>
      </c>
      <c r="E1213" t="s">
        <v>44</v>
      </c>
      <c r="F1213" s="6">
        <v>0.71875</v>
      </c>
      <c r="G1213">
        <v>0</v>
      </c>
      <c r="H1213" s="6">
        <f>FLOOR(tblPivotData[[#This Row],[Time]],Summary!$B$6/1440)</f>
        <v>0.71875</v>
      </c>
      <c r="I1213" s="49">
        <f>INDEX(PeakCalc!$L$10:$L$303,MATCH(tblPivotData[[#This Row],[Time]],PeakCalc!$G$10:$G$303,0))</f>
        <v>1</v>
      </c>
    </row>
    <row r="1214" spans="1:9" x14ac:dyDescent="0.25">
      <c r="A1214" t="s">
        <v>96</v>
      </c>
      <c r="B1214" t="s">
        <v>104</v>
      </c>
      <c r="C1214" t="s">
        <v>97</v>
      </c>
      <c r="D1214" t="s">
        <v>90</v>
      </c>
      <c r="E1214" t="s">
        <v>44</v>
      </c>
      <c r="F1214" s="6">
        <v>0.72916666666666663</v>
      </c>
      <c r="G1214">
        <v>0</v>
      </c>
      <c r="H1214" s="6">
        <f>FLOOR(tblPivotData[[#This Row],[Time]],Summary!$B$6/1440)</f>
        <v>0.72916666666666663</v>
      </c>
      <c r="I1214" s="49">
        <f>INDEX(PeakCalc!$L$10:$L$303,MATCH(tblPivotData[[#This Row],[Time]],PeakCalc!$G$10:$G$303,0))</f>
        <v>0</v>
      </c>
    </row>
    <row r="1215" spans="1:9" x14ac:dyDescent="0.25">
      <c r="A1215" t="s">
        <v>96</v>
      </c>
      <c r="B1215" t="s">
        <v>104</v>
      </c>
      <c r="C1215" t="s">
        <v>97</v>
      </c>
      <c r="D1215" t="s">
        <v>90</v>
      </c>
      <c r="E1215" t="s">
        <v>44</v>
      </c>
      <c r="F1215" s="6">
        <v>0.73958333333333337</v>
      </c>
      <c r="G1215">
        <v>0</v>
      </c>
      <c r="H1215" s="6">
        <f>FLOOR(tblPivotData[[#This Row],[Time]],Summary!$B$6/1440)</f>
        <v>0.73958333333333326</v>
      </c>
      <c r="I1215" s="49">
        <f>INDEX(PeakCalc!$L$10:$L$303,MATCH(tblPivotData[[#This Row],[Time]],PeakCalc!$G$10:$G$303,0))</f>
        <v>0</v>
      </c>
    </row>
    <row r="1216" spans="1:9" x14ac:dyDescent="0.25">
      <c r="A1216" t="s">
        <v>96</v>
      </c>
      <c r="B1216" t="s">
        <v>104</v>
      </c>
      <c r="C1216" t="s">
        <v>97</v>
      </c>
      <c r="D1216" t="s">
        <v>90</v>
      </c>
      <c r="E1216" t="s">
        <v>44</v>
      </c>
      <c r="F1216" s="6">
        <v>0.75</v>
      </c>
      <c r="G1216">
        <v>0</v>
      </c>
      <c r="H1216" s="6">
        <f>FLOOR(tblPivotData[[#This Row],[Time]],Summary!$B$6/1440)</f>
        <v>0.75</v>
      </c>
      <c r="I1216" s="49">
        <f>INDEX(PeakCalc!$L$10:$L$303,MATCH(tblPivotData[[#This Row],[Time]],PeakCalc!$G$10:$G$303,0))</f>
        <v>0</v>
      </c>
    </row>
    <row r="1217" spans="1:9" x14ac:dyDescent="0.25">
      <c r="A1217" t="s">
        <v>96</v>
      </c>
      <c r="B1217" t="s">
        <v>104</v>
      </c>
      <c r="C1217" t="s">
        <v>97</v>
      </c>
      <c r="D1217" t="s">
        <v>90</v>
      </c>
      <c r="E1217" t="s">
        <v>44</v>
      </c>
      <c r="F1217" s="6">
        <v>0.76041666666666663</v>
      </c>
      <c r="G1217">
        <v>0</v>
      </c>
      <c r="H1217" s="6">
        <f>FLOOR(tblPivotData[[#This Row],[Time]],Summary!$B$6/1440)</f>
        <v>0.76041666666666663</v>
      </c>
      <c r="I1217" s="49">
        <f>INDEX(PeakCalc!$L$10:$L$303,MATCH(tblPivotData[[#This Row],[Time]],PeakCalc!$G$10:$G$303,0))</f>
        <v>0</v>
      </c>
    </row>
    <row r="1218" spans="1:9" x14ac:dyDescent="0.25">
      <c r="A1218" t="s">
        <v>96</v>
      </c>
      <c r="B1218" t="s">
        <v>104</v>
      </c>
      <c r="C1218" t="s">
        <v>97</v>
      </c>
      <c r="D1218" t="s">
        <v>91</v>
      </c>
      <c r="E1218" t="s">
        <v>43</v>
      </c>
      <c r="F1218" s="6">
        <v>0.27083333333333331</v>
      </c>
      <c r="G1218">
        <v>0</v>
      </c>
      <c r="H1218" s="6">
        <f>FLOOR(tblPivotData[[#This Row],[Time]],Summary!$B$6/1440)</f>
        <v>0.27083333333333331</v>
      </c>
      <c r="I1218" s="49">
        <f>INDEX(PeakCalc!$L$10:$L$303,MATCH(tblPivotData[[#This Row],[Time]],PeakCalc!$G$10:$G$303,0))</f>
        <v>0</v>
      </c>
    </row>
    <row r="1219" spans="1:9" x14ac:dyDescent="0.25">
      <c r="A1219" t="s">
        <v>96</v>
      </c>
      <c r="B1219" t="s">
        <v>104</v>
      </c>
      <c r="C1219" t="s">
        <v>97</v>
      </c>
      <c r="D1219" t="s">
        <v>91</v>
      </c>
      <c r="E1219" t="s">
        <v>43</v>
      </c>
      <c r="F1219" s="6">
        <v>0.28125</v>
      </c>
      <c r="G1219">
        <v>0</v>
      </c>
      <c r="H1219" s="6">
        <f>FLOOR(tblPivotData[[#This Row],[Time]],Summary!$B$6/1440)</f>
        <v>0.28125</v>
      </c>
      <c r="I1219" s="49">
        <f>INDEX(PeakCalc!$L$10:$L$303,MATCH(tblPivotData[[#This Row],[Time]],PeakCalc!$G$10:$G$303,0))</f>
        <v>0</v>
      </c>
    </row>
    <row r="1220" spans="1:9" x14ac:dyDescent="0.25">
      <c r="A1220" t="s">
        <v>96</v>
      </c>
      <c r="B1220" t="s">
        <v>104</v>
      </c>
      <c r="C1220" t="s">
        <v>97</v>
      </c>
      <c r="D1220" t="s">
        <v>91</v>
      </c>
      <c r="E1220" t="s">
        <v>43</v>
      </c>
      <c r="F1220" s="6">
        <v>0.29166666666666669</v>
      </c>
      <c r="G1220">
        <v>0</v>
      </c>
      <c r="H1220" s="6">
        <f>FLOOR(tblPivotData[[#This Row],[Time]],Summary!$B$6/1440)</f>
        <v>0.29166666666666663</v>
      </c>
      <c r="I1220" s="49">
        <f>INDEX(PeakCalc!$L$10:$L$303,MATCH(tblPivotData[[#This Row],[Time]],PeakCalc!$G$10:$G$303,0))</f>
        <v>0</v>
      </c>
    </row>
    <row r="1221" spans="1:9" x14ac:dyDescent="0.25">
      <c r="A1221" t="s">
        <v>96</v>
      </c>
      <c r="B1221" t="s">
        <v>104</v>
      </c>
      <c r="C1221" t="s">
        <v>97</v>
      </c>
      <c r="D1221" t="s">
        <v>91</v>
      </c>
      <c r="E1221" t="s">
        <v>43</v>
      </c>
      <c r="F1221" s="6">
        <v>0.30208333333333331</v>
      </c>
      <c r="G1221">
        <v>0</v>
      </c>
      <c r="H1221" s="6">
        <f>FLOOR(tblPivotData[[#This Row],[Time]],Summary!$B$6/1440)</f>
        <v>0.30208333333333331</v>
      </c>
      <c r="I1221" s="49">
        <f>INDEX(PeakCalc!$L$10:$L$303,MATCH(tblPivotData[[#This Row],[Time]],PeakCalc!$G$10:$G$303,0))</f>
        <v>0</v>
      </c>
    </row>
    <row r="1222" spans="1:9" x14ac:dyDescent="0.25">
      <c r="A1222" t="s">
        <v>96</v>
      </c>
      <c r="B1222" t="s">
        <v>104</v>
      </c>
      <c r="C1222" t="s">
        <v>97</v>
      </c>
      <c r="D1222" t="s">
        <v>91</v>
      </c>
      <c r="E1222" t="s">
        <v>43</v>
      </c>
      <c r="F1222" s="6">
        <v>0.3125</v>
      </c>
      <c r="G1222">
        <v>0</v>
      </c>
      <c r="H1222" s="6">
        <f>FLOOR(tblPivotData[[#This Row],[Time]],Summary!$B$6/1440)</f>
        <v>0.3125</v>
      </c>
      <c r="I1222" s="49">
        <f>INDEX(PeakCalc!$L$10:$L$303,MATCH(tblPivotData[[#This Row],[Time]],PeakCalc!$G$10:$G$303,0))</f>
        <v>0</v>
      </c>
    </row>
    <row r="1223" spans="1:9" x14ac:dyDescent="0.25">
      <c r="A1223" t="s">
        <v>96</v>
      </c>
      <c r="B1223" t="s">
        <v>104</v>
      </c>
      <c r="C1223" t="s">
        <v>97</v>
      </c>
      <c r="D1223" t="s">
        <v>91</v>
      </c>
      <c r="E1223" t="s">
        <v>43</v>
      </c>
      <c r="F1223" s="6">
        <v>0.32291666666666669</v>
      </c>
      <c r="G1223">
        <v>2</v>
      </c>
      <c r="H1223" s="6">
        <f>FLOOR(tblPivotData[[#This Row],[Time]],Summary!$B$6/1440)</f>
        <v>0.32291666666666663</v>
      </c>
      <c r="I1223" s="49">
        <f>INDEX(PeakCalc!$L$10:$L$303,MATCH(tblPivotData[[#This Row],[Time]],PeakCalc!$G$10:$G$303,0))</f>
        <v>1</v>
      </c>
    </row>
    <row r="1224" spans="1:9" x14ac:dyDescent="0.25">
      <c r="A1224" t="s">
        <v>96</v>
      </c>
      <c r="B1224" t="s">
        <v>104</v>
      </c>
      <c r="C1224" t="s">
        <v>97</v>
      </c>
      <c r="D1224" t="s">
        <v>91</v>
      </c>
      <c r="E1224" t="s">
        <v>43</v>
      </c>
      <c r="F1224" s="6">
        <v>0.33333333333333331</v>
      </c>
      <c r="G1224">
        <v>1</v>
      </c>
      <c r="H1224" s="6">
        <f>FLOOR(tblPivotData[[#This Row],[Time]],Summary!$B$6/1440)</f>
        <v>0.33333333333333331</v>
      </c>
      <c r="I1224" s="49">
        <f>INDEX(PeakCalc!$L$10:$L$303,MATCH(tblPivotData[[#This Row],[Time]],PeakCalc!$G$10:$G$303,0))</f>
        <v>1</v>
      </c>
    </row>
    <row r="1225" spans="1:9" x14ac:dyDescent="0.25">
      <c r="A1225" t="s">
        <v>96</v>
      </c>
      <c r="B1225" t="s">
        <v>104</v>
      </c>
      <c r="C1225" t="s">
        <v>97</v>
      </c>
      <c r="D1225" t="s">
        <v>91</v>
      </c>
      <c r="E1225" t="s">
        <v>43</v>
      </c>
      <c r="F1225" s="6">
        <v>0.34375</v>
      </c>
      <c r="G1225">
        <v>0</v>
      </c>
      <c r="H1225" s="6">
        <f>FLOOR(tblPivotData[[#This Row],[Time]],Summary!$B$6/1440)</f>
        <v>0.34375</v>
      </c>
      <c r="I1225" s="49">
        <f>INDEX(PeakCalc!$L$10:$L$303,MATCH(tblPivotData[[#This Row],[Time]],PeakCalc!$G$10:$G$303,0))</f>
        <v>1</v>
      </c>
    </row>
    <row r="1226" spans="1:9" x14ac:dyDescent="0.25">
      <c r="A1226" t="s">
        <v>96</v>
      </c>
      <c r="B1226" t="s">
        <v>104</v>
      </c>
      <c r="C1226" t="s">
        <v>97</v>
      </c>
      <c r="D1226" t="s">
        <v>91</v>
      </c>
      <c r="E1226" t="s">
        <v>43</v>
      </c>
      <c r="F1226" s="6">
        <v>0.35416666666666669</v>
      </c>
      <c r="G1226">
        <v>0</v>
      </c>
      <c r="H1226" s="6">
        <f>FLOOR(tblPivotData[[#This Row],[Time]],Summary!$B$6/1440)</f>
        <v>0.35416666666666663</v>
      </c>
      <c r="I1226" s="49">
        <f>INDEX(PeakCalc!$L$10:$L$303,MATCH(tblPivotData[[#This Row],[Time]],PeakCalc!$G$10:$G$303,0))</f>
        <v>1</v>
      </c>
    </row>
    <row r="1227" spans="1:9" x14ac:dyDescent="0.25">
      <c r="A1227" t="s">
        <v>96</v>
      </c>
      <c r="B1227" t="s">
        <v>104</v>
      </c>
      <c r="C1227" t="s">
        <v>97</v>
      </c>
      <c r="D1227" t="s">
        <v>91</v>
      </c>
      <c r="E1227" t="s">
        <v>43</v>
      </c>
      <c r="F1227" s="6">
        <v>0.36458333333333331</v>
      </c>
      <c r="G1227">
        <v>0</v>
      </c>
      <c r="H1227" s="6">
        <f>FLOOR(tblPivotData[[#This Row],[Time]],Summary!$B$6/1440)</f>
        <v>0.36458333333333331</v>
      </c>
      <c r="I1227" s="49">
        <f>INDEX(PeakCalc!$L$10:$L$303,MATCH(tblPivotData[[#This Row],[Time]],PeakCalc!$G$10:$G$303,0))</f>
        <v>0</v>
      </c>
    </row>
    <row r="1228" spans="1:9" x14ac:dyDescent="0.25">
      <c r="A1228" t="s">
        <v>96</v>
      </c>
      <c r="B1228" t="s">
        <v>104</v>
      </c>
      <c r="C1228" t="s">
        <v>97</v>
      </c>
      <c r="D1228" t="s">
        <v>91</v>
      </c>
      <c r="E1228" t="s">
        <v>43</v>
      </c>
      <c r="F1228" s="6">
        <v>0.375</v>
      </c>
      <c r="G1228">
        <v>0</v>
      </c>
      <c r="H1228" s="6">
        <f>FLOOR(tblPivotData[[#This Row],[Time]],Summary!$B$6/1440)</f>
        <v>0.375</v>
      </c>
      <c r="I1228" s="49">
        <f>INDEX(PeakCalc!$L$10:$L$303,MATCH(tblPivotData[[#This Row],[Time]],PeakCalc!$G$10:$G$303,0))</f>
        <v>0</v>
      </c>
    </row>
    <row r="1229" spans="1:9" x14ac:dyDescent="0.25">
      <c r="A1229" t="s">
        <v>96</v>
      </c>
      <c r="B1229" t="s">
        <v>104</v>
      </c>
      <c r="C1229" t="s">
        <v>97</v>
      </c>
      <c r="D1229" t="s">
        <v>91</v>
      </c>
      <c r="E1229" t="s">
        <v>43</v>
      </c>
      <c r="F1229" s="6">
        <v>0.38541666666666669</v>
      </c>
      <c r="G1229">
        <v>0</v>
      </c>
      <c r="H1229" s="6">
        <f>FLOOR(tblPivotData[[#This Row],[Time]],Summary!$B$6/1440)</f>
        <v>0.38541666666666663</v>
      </c>
      <c r="I1229" s="49">
        <f>INDEX(PeakCalc!$L$10:$L$303,MATCH(tblPivotData[[#This Row],[Time]],PeakCalc!$G$10:$G$303,0))</f>
        <v>0</v>
      </c>
    </row>
    <row r="1230" spans="1:9" x14ac:dyDescent="0.25">
      <c r="A1230" t="s">
        <v>96</v>
      </c>
      <c r="B1230" t="s">
        <v>104</v>
      </c>
      <c r="C1230" t="s">
        <v>97</v>
      </c>
      <c r="D1230" t="s">
        <v>91</v>
      </c>
      <c r="E1230" t="s">
        <v>110</v>
      </c>
      <c r="F1230" s="6">
        <v>0.45833333333333331</v>
      </c>
      <c r="G1230">
        <v>0</v>
      </c>
      <c r="H1230" s="6">
        <f>FLOOR(tblPivotData[[#This Row],[Time]],Summary!$B$6/1440)</f>
        <v>0.45833333333333331</v>
      </c>
      <c r="I1230" s="49">
        <f>INDEX(PeakCalc!$L$10:$L$303,MATCH(tblPivotData[[#This Row],[Time]],PeakCalc!$G$10:$G$303,0))</f>
        <v>0</v>
      </c>
    </row>
    <row r="1231" spans="1:9" x14ac:dyDescent="0.25">
      <c r="A1231" t="s">
        <v>96</v>
      </c>
      <c r="B1231" t="s">
        <v>104</v>
      </c>
      <c r="C1231" t="s">
        <v>97</v>
      </c>
      <c r="D1231" t="s">
        <v>91</v>
      </c>
      <c r="E1231" t="s">
        <v>110</v>
      </c>
      <c r="F1231" s="6">
        <v>0.46875</v>
      </c>
      <c r="G1231">
        <v>1</v>
      </c>
      <c r="H1231" s="6">
        <f>FLOOR(tblPivotData[[#This Row],[Time]],Summary!$B$6/1440)</f>
        <v>0.46875</v>
      </c>
      <c r="I1231" s="49">
        <f>INDEX(PeakCalc!$L$10:$L$303,MATCH(tblPivotData[[#This Row],[Time]],PeakCalc!$G$10:$G$303,0))</f>
        <v>0</v>
      </c>
    </row>
    <row r="1232" spans="1:9" x14ac:dyDescent="0.25">
      <c r="A1232" t="s">
        <v>96</v>
      </c>
      <c r="B1232" t="s">
        <v>104</v>
      </c>
      <c r="C1232" t="s">
        <v>97</v>
      </c>
      <c r="D1232" t="s">
        <v>91</v>
      </c>
      <c r="E1232" t="s">
        <v>110</v>
      </c>
      <c r="F1232" s="6">
        <v>0.47916666666666669</v>
      </c>
      <c r="G1232">
        <v>1</v>
      </c>
      <c r="H1232" s="6">
        <f>FLOOR(tblPivotData[[#This Row],[Time]],Summary!$B$6/1440)</f>
        <v>0.47916666666666663</v>
      </c>
      <c r="I1232" s="49">
        <f>INDEX(PeakCalc!$L$10:$L$303,MATCH(tblPivotData[[#This Row],[Time]],PeakCalc!$G$10:$G$303,0))</f>
        <v>0</v>
      </c>
    </row>
    <row r="1233" spans="1:9" x14ac:dyDescent="0.25">
      <c r="A1233" t="s">
        <v>96</v>
      </c>
      <c r="B1233" t="s">
        <v>104</v>
      </c>
      <c r="C1233" t="s">
        <v>97</v>
      </c>
      <c r="D1233" t="s">
        <v>91</v>
      </c>
      <c r="E1233" t="s">
        <v>110</v>
      </c>
      <c r="F1233" s="6">
        <v>0.48958333333333331</v>
      </c>
      <c r="G1233">
        <v>1</v>
      </c>
      <c r="H1233" s="6">
        <f>FLOOR(tblPivotData[[#This Row],[Time]],Summary!$B$6/1440)</f>
        <v>0.48958333333333331</v>
      </c>
      <c r="I1233" s="49">
        <f>INDEX(PeakCalc!$L$10:$L$303,MATCH(tblPivotData[[#This Row],[Time]],PeakCalc!$G$10:$G$303,0))</f>
        <v>0</v>
      </c>
    </row>
    <row r="1234" spans="1:9" x14ac:dyDescent="0.25">
      <c r="A1234" t="s">
        <v>96</v>
      </c>
      <c r="B1234" t="s">
        <v>104</v>
      </c>
      <c r="C1234" t="s">
        <v>97</v>
      </c>
      <c r="D1234" t="s">
        <v>91</v>
      </c>
      <c r="E1234" t="s">
        <v>110</v>
      </c>
      <c r="F1234" s="6">
        <v>0.5</v>
      </c>
      <c r="G1234">
        <v>1</v>
      </c>
      <c r="H1234" s="6">
        <f>FLOOR(tblPivotData[[#This Row],[Time]],Summary!$B$6/1440)</f>
        <v>0.5</v>
      </c>
      <c r="I1234" s="49">
        <f>INDEX(PeakCalc!$L$10:$L$303,MATCH(tblPivotData[[#This Row],[Time]],PeakCalc!$G$10:$G$303,0))</f>
        <v>0</v>
      </c>
    </row>
    <row r="1235" spans="1:9" x14ac:dyDescent="0.25">
      <c r="A1235" t="s">
        <v>96</v>
      </c>
      <c r="B1235" t="s">
        <v>104</v>
      </c>
      <c r="C1235" t="s">
        <v>97</v>
      </c>
      <c r="D1235" t="s">
        <v>91</v>
      </c>
      <c r="E1235" t="s">
        <v>110</v>
      </c>
      <c r="F1235" s="6">
        <v>0.51041666666666663</v>
      </c>
      <c r="G1235">
        <v>0</v>
      </c>
      <c r="H1235" s="6">
        <f>FLOOR(tblPivotData[[#This Row],[Time]],Summary!$B$6/1440)</f>
        <v>0.51041666666666663</v>
      </c>
      <c r="I1235" s="49">
        <f>INDEX(PeakCalc!$L$10:$L$303,MATCH(tblPivotData[[#This Row],[Time]],PeakCalc!$G$10:$G$303,0))</f>
        <v>0</v>
      </c>
    </row>
    <row r="1236" spans="1:9" x14ac:dyDescent="0.25">
      <c r="A1236" t="s">
        <v>96</v>
      </c>
      <c r="B1236" t="s">
        <v>104</v>
      </c>
      <c r="C1236" t="s">
        <v>97</v>
      </c>
      <c r="D1236" t="s">
        <v>91</v>
      </c>
      <c r="E1236" t="s">
        <v>110</v>
      </c>
      <c r="F1236" s="6">
        <v>0.52083333333333337</v>
      </c>
      <c r="G1236">
        <v>1</v>
      </c>
      <c r="H1236" s="6">
        <f>FLOOR(tblPivotData[[#This Row],[Time]],Summary!$B$6/1440)</f>
        <v>0.52083333333333326</v>
      </c>
      <c r="I1236" s="49">
        <f>INDEX(PeakCalc!$L$10:$L$303,MATCH(tblPivotData[[#This Row],[Time]],PeakCalc!$G$10:$G$303,0))</f>
        <v>1</v>
      </c>
    </row>
    <row r="1237" spans="1:9" x14ac:dyDescent="0.25">
      <c r="A1237" t="s">
        <v>96</v>
      </c>
      <c r="B1237" t="s">
        <v>104</v>
      </c>
      <c r="C1237" t="s">
        <v>97</v>
      </c>
      <c r="D1237" t="s">
        <v>91</v>
      </c>
      <c r="E1237" t="s">
        <v>110</v>
      </c>
      <c r="F1237" s="6">
        <v>0.53125</v>
      </c>
      <c r="G1237">
        <v>1</v>
      </c>
      <c r="H1237" s="6">
        <f>FLOOR(tblPivotData[[#This Row],[Time]],Summary!$B$6/1440)</f>
        <v>0.53125</v>
      </c>
      <c r="I1237" s="49">
        <f>INDEX(PeakCalc!$L$10:$L$303,MATCH(tblPivotData[[#This Row],[Time]],PeakCalc!$G$10:$G$303,0))</f>
        <v>1</v>
      </c>
    </row>
    <row r="1238" spans="1:9" x14ac:dyDescent="0.25">
      <c r="A1238" t="s">
        <v>96</v>
      </c>
      <c r="B1238" t="s">
        <v>104</v>
      </c>
      <c r="C1238" t="s">
        <v>97</v>
      </c>
      <c r="D1238" t="s">
        <v>91</v>
      </c>
      <c r="E1238" t="s">
        <v>110</v>
      </c>
      <c r="F1238" s="6">
        <v>0.54166666666666663</v>
      </c>
      <c r="G1238">
        <v>0</v>
      </c>
      <c r="H1238" s="6">
        <f>FLOOR(tblPivotData[[#This Row],[Time]],Summary!$B$6/1440)</f>
        <v>0.54166666666666663</v>
      </c>
      <c r="I1238" s="49">
        <f>INDEX(PeakCalc!$L$10:$L$303,MATCH(tblPivotData[[#This Row],[Time]],PeakCalc!$G$10:$G$303,0))</f>
        <v>1</v>
      </c>
    </row>
    <row r="1239" spans="1:9" x14ac:dyDescent="0.25">
      <c r="A1239" t="s">
        <v>96</v>
      </c>
      <c r="B1239" t="s">
        <v>104</v>
      </c>
      <c r="C1239" t="s">
        <v>97</v>
      </c>
      <c r="D1239" t="s">
        <v>91</v>
      </c>
      <c r="E1239" t="s">
        <v>110</v>
      </c>
      <c r="F1239" s="6">
        <v>0.55208333333333337</v>
      </c>
      <c r="G1239">
        <v>0</v>
      </c>
      <c r="H1239" s="6">
        <f>FLOOR(tblPivotData[[#This Row],[Time]],Summary!$B$6/1440)</f>
        <v>0.55208333333333326</v>
      </c>
      <c r="I1239" s="49">
        <f>INDEX(PeakCalc!$L$10:$L$303,MATCH(tblPivotData[[#This Row],[Time]],PeakCalc!$G$10:$G$303,0))</f>
        <v>1</v>
      </c>
    </row>
    <row r="1240" spans="1:9" x14ac:dyDescent="0.25">
      <c r="A1240" t="s">
        <v>96</v>
      </c>
      <c r="B1240" t="s">
        <v>104</v>
      </c>
      <c r="C1240" t="s">
        <v>97</v>
      </c>
      <c r="D1240" t="s">
        <v>91</v>
      </c>
      <c r="E1240" t="s">
        <v>110</v>
      </c>
      <c r="F1240" s="6">
        <v>0.5625</v>
      </c>
      <c r="G1240">
        <v>0</v>
      </c>
      <c r="H1240" s="6">
        <f>FLOOR(tblPivotData[[#This Row],[Time]],Summary!$B$6/1440)</f>
        <v>0.5625</v>
      </c>
      <c r="I1240" s="49">
        <f>INDEX(PeakCalc!$L$10:$L$303,MATCH(tblPivotData[[#This Row],[Time]],PeakCalc!$G$10:$G$303,0))</f>
        <v>0</v>
      </c>
    </row>
    <row r="1241" spans="1:9" x14ac:dyDescent="0.25">
      <c r="A1241" t="s">
        <v>96</v>
      </c>
      <c r="B1241" t="s">
        <v>104</v>
      </c>
      <c r="C1241" t="s">
        <v>97</v>
      </c>
      <c r="D1241" t="s">
        <v>91</v>
      </c>
      <c r="E1241" t="s">
        <v>110</v>
      </c>
      <c r="F1241" s="6">
        <v>0.57291666666666663</v>
      </c>
      <c r="G1241">
        <v>0</v>
      </c>
      <c r="H1241" s="6">
        <f>FLOOR(tblPivotData[[#This Row],[Time]],Summary!$B$6/1440)</f>
        <v>0.57291666666666663</v>
      </c>
      <c r="I1241" s="49">
        <f>INDEX(PeakCalc!$L$10:$L$303,MATCH(tblPivotData[[#This Row],[Time]],PeakCalc!$G$10:$G$303,0))</f>
        <v>0</v>
      </c>
    </row>
    <row r="1242" spans="1:9" x14ac:dyDescent="0.25">
      <c r="A1242" t="s">
        <v>96</v>
      </c>
      <c r="B1242" t="s">
        <v>104</v>
      </c>
      <c r="C1242" t="s">
        <v>97</v>
      </c>
      <c r="D1242" t="s">
        <v>91</v>
      </c>
      <c r="E1242" t="s">
        <v>44</v>
      </c>
      <c r="F1242" s="6">
        <v>0.625</v>
      </c>
      <c r="G1242">
        <v>0</v>
      </c>
      <c r="H1242" s="6">
        <f>FLOOR(tblPivotData[[#This Row],[Time]],Summary!$B$6/1440)</f>
        <v>0.625</v>
      </c>
      <c r="I1242" s="49">
        <f>INDEX(PeakCalc!$L$10:$L$303,MATCH(tblPivotData[[#This Row],[Time]],PeakCalc!$G$10:$G$303,0))</f>
        <v>0</v>
      </c>
    </row>
    <row r="1243" spans="1:9" x14ac:dyDescent="0.25">
      <c r="A1243" t="s">
        <v>96</v>
      </c>
      <c r="B1243" t="s">
        <v>104</v>
      </c>
      <c r="C1243" t="s">
        <v>97</v>
      </c>
      <c r="D1243" t="s">
        <v>91</v>
      </c>
      <c r="E1243" t="s">
        <v>44</v>
      </c>
      <c r="F1243" s="6">
        <v>0.63541666666666663</v>
      </c>
      <c r="G1243">
        <v>0</v>
      </c>
      <c r="H1243" s="6">
        <f>FLOOR(tblPivotData[[#This Row],[Time]],Summary!$B$6/1440)</f>
        <v>0.63541666666666663</v>
      </c>
      <c r="I1243" s="49">
        <f>INDEX(PeakCalc!$L$10:$L$303,MATCH(tblPivotData[[#This Row],[Time]],PeakCalc!$G$10:$G$303,0))</f>
        <v>0</v>
      </c>
    </row>
    <row r="1244" spans="1:9" x14ac:dyDescent="0.25">
      <c r="A1244" t="s">
        <v>96</v>
      </c>
      <c r="B1244" t="s">
        <v>104</v>
      </c>
      <c r="C1244" t="s">
        <v>97</v>
      </c>
      <c r="D1244" t="s">
        <v>91</v>
      </c>
      <c r="E1244" t="s">
        <v>44</v>
      </c>
      <c r="F1244" s="6">
        <v>0.64583333333333337</v>
      </c>
      <c r="G1244">
        <v>0</v>
      </c>
      <c r="H1244" s="6">
        <f>FLOOR(tblPivotData[[#This Row],[Time]],Summary!$B$6/1440)</f>
        <v>0.64583333333333326</v>
      </c>
      <c r="I1244" s="49">
        <f>INDEX(PeakCalc!$L$10:$L$303,MATCH(tblPivotData[[#This Row],[Time]],PeakCalc!$G$10:$G$303,0))</f>
        <v>0</v>
      </c>
    </row>
    <row r="1245" spans="1:9" x14ac:dyDescent="0.25">
      <c r="A1245" t="s">
        <v>96</v>
      </c>
      <c r="B1245" t="s">
        <v>104</v>
      </c>
      <c r="C1245" t="s">
        <v>97</v>
      </c>
      <c r="D1245" t="s">
        <v>91</v>
      </c>
      <c r="E1245" t="s">
        <v>44</v>
      </c>
      <c r="F1245" s="6">
        <v>0.65625</v>
      </c>
      <c r="G1245">
        <v>0</v>
      </c>
      <c r="H1245" s="6">
        <f>FLOOR(tblPivotData[[#This Row],[Time]],Summary!$B$6/1440)</f>
        <v>0.65625</v>
      </c>
      <c r="I1245" s="49">
        <f>INDEX(PeakCalc!$L$10:$L$303,MATCH(tblPivotData[[#This Row],[Time]],PeakCalc!$G$10:$G$303,0))</f>
        <v>0</v>
      </c>
    </row>
    <row r="1246" spans="1:9" x14ac:dyDescent="0.25">
      <c r="A1246" t="s">
        <v>96</v>
      </c>
      <c r="B1246" t="s">
        <v>104</v>
      </c>
      <c r="C1246" t="s">
        <v>97</v>
      </c>
      <c r="D1246" t="s">
        <v>91</v>
      </c>
      <c r="E1246" t="s">
        <v>44</v>
      </c>
      <c r="F1246" s="6">
        <v>0.66666666666666663</v>
      </c>
      <c r="G1246">
        <v>1</v>
      </c>
      <c r="H1246" s="6">
        <f>FLOOR(tblPivotData[[#This Row],[Time]],Summary!$B$6/1440)</f>
        <v>0.66666666666666663</v>
      </c>
      <c r="I1246" s="49">
        <f>INDEX(PeakCalc!$L$10:$L$303,MATCH(tblPivotData[[#This Row],[Time]],PeakCalc!$G$10:$G$303,0))</f>
        <v>0</v>
      </c>
    </row>
    <row r="1247" spans="1:9" x14ac:dyDescent="0.25">
      <c r="A1247" t="s">
        <v>96</v>
      </c>
      <c r="B1247" t="s">
        <v>104</v>
      </c>
      <c r="C1247" t="s">
        <v>97</v>
      </c>
      <c r="D1247" t="s">
        <v>91</v>
      </c>
      <c r="E1247" t="s">
        <v>44</v>
      </c>
      <c r="F1247" s="6">
        <v>0.67708333333333337</v>
      </c>
      <c r="G1247">
        <v>0</v>
      </c>
      <c r="H1247" s="6">
        <f>FLOOR(tblPivotData[[#This Row],[Time]],Summary!$B$6/1440)</f>
        <v>0.67708333333333326</v>
      </c>
      <c r="I1247" s="49">
        <f>INDEX(PeakCalc!$L$10:$L$303,MATCH(tblPivotData[[#This Row],[Time]],PeakCalc!$G$10:$G$303,0))</f>
        <v>0</v>
      </c>
    </row>
    <row r="1248" spans="1:9" x14ac:dyDescent="0.25">
      <c r="A1248" t="s">
        <v>96</v>
      </c>
      <c r="B1248" t="s">
        <v>104</v>
      </c>
      <c r="C1248" t="s">
        <v>97</v>
      </c>
      <c r="D1248" t="s">
        <v>91</v>
      </c>
      <c r="E1248" t="s">
        <v>44</v>
      </c>
      <c r="F1248" s="6">
        <v>0.6875</v>
      </c>
      <c r="G1248">
        <v>0</v>
      </c>
      <c r="H1248" s="6">
        <f>FLOOR(tblPivotData[[#This Row],[Time]],Summary!$B$6/1440)</f>
        <v>0.6875</v>
      </c>
      <c r="I1248" s="49">
        <f>INDEX(PeakCalc!$L$10:$L$303,MATCH(tblPivotData[[#This Row],[Time]],PeakCalc!$G$10:$G$303,0))</f>
        <v>1</v>
      </c>
    </row>
    <row r="1249" spans="1:9" x14ac:dyDescent="0.25">
      <c r="A1249" t="s">
        <v>96</v>
      </c>
      <c r="B1249" t="s">
        <v>104</v>
      </c>
      <c r="C1249" t="s">
        <v>97</v>
      </c>
      <c r="D1249" t="s">
        <v>91</v>
      </c>
      <c r="E1249" t="s">
        <v>44</v>
      </c>
      <c r="F1249" s="6">
        <v>0.69791666666666663</v>
      </c>
      <c r="G1249">
        <v>0</v>
      </c>
      <c r="H1249" s="6">
        <f>FLOOR(tblPivotData[[#This Row],[Time]],Summary!$B$6/1440)</f>
        <v>0.69791666666666663</v>
      </c>
      <c r="I1249" s="49">
        <f>INDEX(PeakCalc!$L$10:$L$303,MATCH(tblPivotData[[#This Row],[Time]],PeakCalc!$G$10:$G$303,0))</f>
        <v>1</v>
      </c>
    </row>
    <row r="1250" spans="1:9" x14ac:dyDescent="0.25">
      <c r="A1250" t="s">
        <v>96</v>
      </c>
      <c r="B1250" t="s">
        <v>104</v>
      </c>
      <c r="C1250" t="s">
        <v>97</v>
      </c>
      <c r="D1250" t="s">
        <v>91</v>
      </c>
      <c r="E1250" t="s">
        <v>44</v>
      </c>
      <c r="F1250" s="6">
        <v>0.70833333333333337</v>
      </c>
      <c r="G1250">
        <v>0</v>
      </c>
      <c r="H1250" s="6">
        <f>FLOOR(tblPivotData[[#This Row],[Time]],Summary!$B$6/1440)</f>
        <v>0.70833333333333326</v>
      </c>
      <c r="I1250" s="49">
        <f>INDEX(PeakCalc!$L$10:$L$303,MATCH(tblPivotData[[#This Row],[Time]],PeakCalc!$G$10:$G$303,0))</f>
        <v>1</v>
      </c>
    </row>
    <row r="1251" spans="1:9" x14ac:dyDescent="0.25">
      <c r="A1251" t="s">
        <v>96</v>
      </c>
      <c r="B1251" t="s">
        <v>104</v>
      </c>
      <c r="C1251" t="s">
        <v>97</v>
      </c>
      <c r="D1251" t="s">
        <v>91</v>
      </c>
      <c r="E1251" t="s">
        <v>44</v>
      </c>
      <c r="F1251" s="6">
        <v>0.71875</v>
      </c>
      <c r="G1251">
        <v>0</v>
      </c>
      <c r="H1251" s="6">
        <f>FLOOR(tblPivotData[[#This Row],[Time]],Summary!$B$6/1440)</f>
        <v>0.71875</v>
      </c>
      <c r="I1251" s="49">
        <f>INDEX(PeakCalc!$L$10:$L$303,MATCH(tblPivotData[[#This Row],[Time]],PeakCalc!$G$10:$G$303,0))</f>
        <v>1</v>
      </c>
    </row>
    <row r="1252" spans="1:9" x14ac:dyDescent="0.25">
      <c r="A1252" t="s">
        <v>96</v>
      </c>
      <c r="B1252" t="s">
        <v>104</v>
      </c>
      <c r="C1252" t="s">
        <v>97</v>
      </c>
      <c r="D1252" t="s">
        <v>91</v>
      </c>
      <c r="E1252" t="s">
        <v>44</v>
      </c>
      <c r="F1252" s="6">
        <v>0.72916666666666663</v>
      </c>
      <c r="G1252">
        <v>0</v>
      </c>
      <c r="H1252" s="6">
        <f>FLOOR(tblPivotData[[#This Row],[Time]],Summary!$B$6/1440)</f>
        <v>0.72916666666666663</v>
      </c>
      <c r="I1252" s="49">
        <f>INDEX(PeakCalc!$L$10:$L$303,MATCH(tblPivotData[[#This Row],[Time]],PeakCalc!$G$10:$G$303,0))</f>
        <v>0</v>
      </c>
    </row>
    <row r="1253" spans="1:9" x14ac:dyDescent="0.25">
      <c r="A1253" t="s">
        <v>96</v>
      </c>
      <c r="B1253" t="s">
        <v>104</v>
      </c>
      <c r="C1253" t="s">
        <v>97</v>
      </c>
      <c r="D1253" t="s">
        <v>91</v>
      </c>
      <c r="E1253" t="s">
        <v>44</v>
      </c>
      <c r="F1253" s="6">
        <v>0.73958333333333337</v>
      </c>
      <c r="G1253">
        <v>2</v>
      </c>
      <c r="H1253" s="6">
        <f>FLOOR(tblPivotData[[#This Row],[Time]],Summary!$B$6/1440)</f>
        <v>0.73958333333333326</v>
      </c>
      <c r="I1253" s="49">
        <f>INDEX(PeakCalc!$L$10:$L$303,MATCH(tblPivotData[[#This Row],[Time]],PeakCalc!$G$10:$G$303,0))</f>
        <v>0</v>
      </c>
    </row>
    <row r="1254" spans="1:9" x14ac:dyDescent="0.25">
      <c r="A1254" t="s">
        <v>96</v>
      </c>
      <c r="B1254" t="s">
        <v>104</v>
      </c>
      <c r="C1254" t="s">
        <v>97</v>
      </c>
      <c r="D1254" t="s">
        <v>91</v>
      </c>
      <c r="E1254" t="s">
        <v>44</v>
      </c>
      <c r="F1254" s="6">
        <v>0.75</v>
      </c>
      <c r="G1254">
        <v>0</v>
      </c>
      <c r="H1254" s="6">
        <f>FLOOR(tblPivotData[[#This Row],[Time]],Summary!$B$6/1440)</f>
        <v>0.75</v>
      </c>
      <c r="I1254" s="49">
        <f>INDEX(PeakCalc!$L$10:$L$303,MATCH(tblPivotData[[#This Row],[Time]],PeakCalc!$G$10:$G$303,0))</f>
        <v>0</v>
      </c>
    </row>
    <row r="1255" spans="1:9" x14ac:dyDescent="0.25">
      <c r="A1255" t="s">
        <v>96</v>
      </c>
      <c r="B1255" t="s">
        <v>104</v>
      </c>
      <c r="C1255" t="s">
        <v>97</v>
      </c>
      <c r="D1255" t="s">
        <v>91</v>
      </c>
      <c r="E1255" t="s">
        <v>44</v>
      </c>
      <c r="F1255" s="6">
        <v>0.76041666666666663</v>
      </c>
      <c r="G1255">
        <v>0</v>
      </c>
      <c r="H1255" s="6">
        <f>FLOOR(tblPivotData[[#This Row],[Time]],Summary!$B$6/1440)</f>
        <v>0.76041666666666663</v>
      </c>
      <c r="I1255" s="49">
        <f>INDEX(PeakCalc!$L$10:$L$303,MATCH(tblPivotData[[#This Row],[Time]],PeakCalc!$G$10:$G$303,0))</f>
        <v>0</v>
      </c>
    </row>
    <row r="1256" spans="1:9" x14ac:dyDescent="0.25">
      <c r="A1256" t="s">
        <v>96</v>
      </c>
      <c r="B1256" t="s">
        <v>104</v>
      </c>
      <c r="C1256" t="s">
        <v>97</v>
      </c>
      <c r="D1256" t="s">
        <v>92</v>
      </c>
      <c r="E1256" t="s">
        <v>43</v>
      </c>
      <c r="F1256" s="6">
        <v>0.27083333333333331</v>
      </c>
      <c r="G1256">
        <v>1</v>
      </c>
      <c r="H1256" s="6">
        <f>FLOOR(tblPivotData[[#This Row],[Time]],Summary!$B$6/1440)</f>
        <v>0.27083333333333331</v>
      </c>
      <c r="I1256" s="49">
        <f>INDEX(PeakCalc!$L$10:$L$303,MATCH(tblPivotData[[#This Row],[Time]],PeakCalc!$G$10:$G$303,0))</f>
        <v>0</v>
      </c>
    </row>
    <row r="1257" spans="1:9" x14ac:dyDescent="0.25">
      <c r="A1257" t="s">
        <v>96</v>
      </c>
      <c r="B1257" t="s">
        <v>104</v>
      </c>
      <c r="C1257" t="s">
        <v>97</v>
      </c>
      <c r="D1257" t="s">
        <v>92</v>
      </c>
      <c r="E1257" t="s">
        <v>43</v>
      </c>
      <c r="F1257" s="6">
        <v>0.28125</v>
      </c>
      <c r="G1257">
        <v>0</v>
      </c>
      <c r="H1257" s="6">
        <f>FLOOR(tblPivotData[[#This Row],[Time]],Summary!$B$6/1440)</f>
        <v>0.28125</v>
      </c>
      <c r="I1257" s="49">
        <f>INDEX(PeakCalc!$L$10:$L$303,MATCH(tblPivotData[[#This Row],[Time]],PeakCalc!$G$10:$G$303,0))</f>
        <v>0</v>
      </c>
    </row>
    <row r="1258" spans="1:9" x14ac:dyDescent="0.25">
      <c r="A1258" t="s">
        <v>96</v>
      </c>
      <c r="B1258" t="s">
        <v>104</v>
      </c>
      <c r="C1258" t="s">
        <v>97</v>
      </c>
      <c r="D1258" t="s">
        <v>92</v>
      </c>
      <c r="E1258" t="s">
        <v>43</v>
      </c>
      <c r="F1258" s="6">
        <v>0.29166666666666669</v>
      </c>
      <c r="G1258">
        <v>0</v>
      </c>
      <c r="H1258" s="6">
        <f>FLOOR(tblPivotData[[#This Row],[Time]],Summary!$B$6/1440)</f>
        <v>0.29166666666666663</v>
      </c>
      <c r="I1258" s="49">
        <f>INDEX(PeakCalc!$L$10:$L$303,MATCH(tblPivotData[[#This Row],[Time]],PeakCalc!$G$10:$G$303,0))</f>
        <v>0</v>
      </c>
    </row>
    <row r="1259" spans="1:9" x14ac:dyDescent="0.25">
      <c r="A1259" t="s">
        <v>96</v>
      </c>
      <c r="B1259" t="s">
        <v>104</v>
      </c>
      <c r="C1259" t="s">
        <v>97</v>
      </c>
      <c r="D1259" t="s">
        <v>92</v>
      </c>
      <c r="E1259" t="s">
        <v>43</v>
      </c>
      <c r="F1259" s="6">
        <v>0.30208333333333331</v>
      </c>
      <c r="G1259">
        <v>0</v>
      </c>
      <c r="H1259" s="6">
        <f>FLOOR(tblPivotData[[#This Row],[Time]],Summary!$B$6/1440)</f>
        <v>0.30208333333333331</v>
      </c>
      <c r="I1259" s="49">
        <f>INDEX(PeakCalc!$L$10:$L$303,MATCH(tblPivotData[[#This Row],[Time]],PeakCalc!$G$10:$G$303,0))</f>
        <v>0</v>
      </c>
    </row>
    <row r="1260" spans="1:9" x14ac:dyDescent="0.25">
      <c r="A1260" t="s">
        <v>96</v>
      </c>
      <c r="B1260" t="s">
        <v>104</v>
      </c>
      <c r="C1260" t="s">
        <v>97</v>
      </c>
      <c r="D1260" t="s">
        <v>92</v>
      </c>
      <c r="E1260" t="s">
        <v>43</v>
      </c>
      <c r="F1260" s="6">
        <v>0.3125</v>
      </c>
      <c r="G1260">
        <v>0</v>
      </c>
      <c r="H1260" s="6">
        <f>FLOOR(tblPivotData[[#This Row],[Time]],Summary!$B$6/1440)</f>
        <v>0.3125</v>
      </c>
      <c r="I1260" s="49">
        <f>INDEX(PeakCalc!$L$10:$L$303,MATCH(tblPivotData[[#This Row],[Time]],PeakCalc!$G$10:$G$303,0))</f>
        <v>0</v>
      </c>
    </row>
    <row r="1261" spans="1:9" x14ac:dyDescent="0.25">
      <c r="A1261" t="s">
        <v>96</v>
      </c>
      <c r="B1261" t="s">
        <v>104</v>
      </c>
      <c r="C1261" t="s">
        <v>97</v>
      </c>
      <c r="D1261" t="s">
        <v>92</v>
      </c>
      <c r="E1261" t="s">
        <v>43</v>
      </c>
      <c r="F1261" s="6">
        <v>0.32291666666666669</v>
      </c>
      <c r="G1261">
        <v>0</v>
      </c>
      <c r="H1261" s="6">
        <f>FLOOR(tblPivotData[[#This Row],[Time]],Summary!$B$6/1440)</f>
        <v>0.32291666666666663</v>
      </c>
      <c r="I1261" s="49">
        <f>INDEX(PeakCalc!$L$10:$L$303,MATCH(tblPivotData[[#This Row],[Time]],PeakCalc!$G$10:$G$303,0))</f>
        <v>1</v>
      </c>
    </row>
    <row r="1262" spans="1:9" x14ac:dyDescent="0.25">
      <c r="A1262" t="s">
        <v>96</v>
      </c>
      <c r="B1262" t="s">
        <v>104</v>
      </c>
      <c r="C1262" t="s">
        <v>97</v>
      </c>
      <c r="D1262" t="s">
        <v>92</v>
      </c>
      <c r="E1262" t="s">
        <v>43</v>
      </c>
      <c r="F1262" s="6">
        <v>0.33333333333333331</v>
      </c>
      <c r="G1262">
        <v>0</v>
      </c>
      <c r="H1262" s="6">
        <f>FLOOR(tblPivotData[[#This Row],[Time]],Summary!$B$6/1440)</f>
        <v>0.33333333333333331</v>
      </c>
      <c r="I1262" s="49">
        <f>INDEX(PeakCalc!$L$10:$L$303,MATCH(tblPivotData[[#This Row],[Time]],PeakCalc!$G$10:$G$303,0))</f>
        <v>1</v>
      </c>
    </row>
    <row r="1263" spans="1:9" x14ac:dyDescent="0.25">
      <c r="A1263" t="s">
        <v>96</v>
      </c>
      <c r="B1263" t="s">
        <v>104</v>
      </c>
      <c r="C1263" t="s">
        <v>97</v>
      </c>
      <c r="D1263" t="s">
        <v>92</v>
      </c>
      <c r="E1263" t="s">
        <v>43</v>
      </c>
      <c r="F1263" s="6">
        <v>0.34375</v>
      </c>
      <c r="G1263">
        <v>0</v>
      </c>
      <c r="H1263" s="6">
        <f>FLOOR(tblPivotData[[#This Row],[Time]],Summary!$B$6/1440)</f>
        <v>0.34375</v>
      </c>
      <c r="I1263" s="49">
        <f>INDEX(PeakCalc!$L$10:$L$303,MATCH(tblPivotData[[#This Row],[Time]],PeakCalc!$G$10:$G$303,0))</f>
        <v>1</v>
      </c>
    </row>
    <row r="1264" spans="1:9" x14ac:dyDescent="0.25">
      <c r="A1264" t="s">
        <v>96</v>
      </c>
      <c r="B1264" t="s">
        <v>104</v>
      </c>
      <c r="C1264" t="s">
        <v>97</v>
      </c>
      <c r="D1264" t="s">
        <v>92</v>
      </c>
      <c r="E1264" t="s">
        <v>43</v>
      </c>
      <c r="F1264" s="6">
        <v>0.35416666666666669</v>
      </c>
      <c r="G1264">
        <v>0</v>
      </c>
      <c r="H1264" s="6">
        <f>FLOOR(tblPivotData[[#This Row],[Time]],Summary!$B$6/1440)</f>
        <v>0.35416666666666663</v>
      </c>
      <c r="I1264" s="49">
        <f>INDEX(PeakCalc!$L$10:$L$303,MATCH(tblPivotData[[#This Row],[Time]],PeakCalc!$G$10:$G$303,0))</f>
        <v>1</v>
      </c>
    </row>
    <row r="1265" spans="1:9" x14ac:dyDescent="0.25">
      <c r="A1265" t="s">
        <v>96</v>
      </c>
      <c r="B1265" t="s">
        <v>104</v>
      </c>
      <c r="C1265" t="s">
        <v>97</v>
      </c>
      <c r="D1265" t="s">
        <v>92</v>
      </c>
      <c r="E1265" t="s">
        <v>43</v>
      </c>
      <c r="F1265" s="6">
        <v>0.36458333333333331</v>
      </c>
      <c r="G1265">
        <v>0</v>
      </c>
      <c r="H1265" s="6">
        <f>FLOOR(tblPivotData[[#This Row],[Time]],Summary!$B$6/1440)</f>
        <v>0.36458333333333331</v>
      </c>
      <c r="I1265" s="49">
        <f>INDEX(PeakCalc!$L$10:$L$303,MATCH(tblPivotData[[#This Row],[Time]],PeakCalc!$G$10:$G$303,0))</f>
        <v>0</v>
      </c>
    </row>
    <row r="1266" spans="1:9" x14ac:dyDescent="0.25">
      <c r="A1266" t="s">
        <v>96</v>
      </c>
      <c r="B1266" t="s">
        <v>104</v>
      </c>
      <c r="C1266" t="s">
        <v>97</v>
      </c>
      <c r="D1266" t="s">
        <v>92</v>
      </c>
      <c r="E1266" t="s">
        <v>43</v>
      </c>
      <c r="F1266" s="6">
        <v>0.375</v>
      </c>
      <c r="G1266">
        <v>0</v>
      </c>
      <c r="H1266" s="6">
        <f>FLOOR(tblPivotData[[#This Row],[Time]],Summary!$B$6/1440)</f>
        <v>0.375</v>
      </c>
      <c r="I1266" s="49">
        <f>INDEX(PeakCalc!$L$10:$L$303,MATCH(tblPivotData[[#This Row],[Time]],PeakCalc!$G$10:$G$303,0))</f>
        <v>0</v>
      </c>
    </row>
    <row r="1267" spans="1:9" x14ac:dyDescent="0.25">
      <c r="A1267" t="s">
        <v>96</v>
      </c>
      <c r="B1267" t="s">
        <v>104</v>
      </c>
      <c r="C1267" t="s">
        <v>97</v>
      </c>
      <c r="D1267" t="s">
        <v>92</v>
      </c>
      <c r="E1267" t="s">
        <v>43</v>
      </c>
      <c r="F1267" s="6">
        <v>0.38541666666666669</v>
      </c>
      <c r="G1267">
        <v>0</v>
      </c>
      <c r="H1267" s="6">
        <f>FLOOR(tblPivotData[[#This Row],[Time]],Summary!$B$6/1440)</f>
        <v>0.38541666666666663</v>
      </c>
      <c r="I1267" s="49">
        <f>INDEX(PeakCalc!$L$10:$L$303,MATCH(tblPivotData[[#This Row],[Time]],PeakCalc!$G$10:$G$303,0))</f>
        <v>0</v>
      </c>
    </row>
    <row r="1268" spans="1:9" x14ac:dyDescent="0.25">
      <c r="A1268" t="s">
        <v>96</v>
      </c>
      <c r="B1268" t="s">
        <v>104</v>
      </c>
      <c r="C1268" t="s">
        <v>97</v>
      </c>
      <c r="D1268" t="s">
        <v>92</v>
      </c>
      <c r="E1268" t="s">
        <v>110</v>
      </c>
      <c r="F1268" s="6">
        <v>0.45833333333333331</v>
      </c>
      <c r="G1268">
        <v>0</v>
      </c>
      <c r="H1268" s="6">
        <f>FLOOR(tblPivotData[[#This Row],[Time]],Summary!$B$6/1440)</f>
        <v>0.45833333333333331</v>
      </c>
      <c r="I1268" s="49">
        <f>INDEX(PeakCalc!$L$10:$L$303,MATCH(tblPivotData[[#This Row],[Time]],PeakCalc!$G$10:$G$303,0))</f>
        <v>0</v>
      </c>
    </row>
    <row r="1269" spans="1:9" x14ac:dyDescent="0.25">
      <c r="A1269" t="s">
        <v>96</v>
      </c>
      <c r="B1269" t="s">
        <v>104</v>
      </c>
      <c r="C1269" t="s">
        <v>97</v>
      </c>
      <c r="D1269" t="s">
        <v>92</v>
      </c>
      <c r="E1269" t="s">
        <v>110</v>
      </c>
      <c r="F1269" s="6">
        <v>0.46875</v>
      </c>
      <c r="G1269">
        <v>0</v>
      </c>
      <c r="H1269" s="6">
        <f>FLOOR(tblPivotData[[#This Row],[Time]],Summary!$B$6/1440)</f>
        <v>0.46875</v>
      </c>
      <c r="I1269" s="49">
        <f>INDEX(PeakCalc!$L$10:$L$303,MATCH(tblPivotData[[#This Row],[Time]],PeakCalc!$G$10:$G$303,0))</f>
        <v>0</v>
      </c>
    </row>
    <row r="1270" spans="1:9" x14ac:dyDescent="0.25">
      <c r="A1270" t="s">
        <v>96</v>
      </c>
      <c r="B1270" t="s">
        <v>104</v>
      </c>
      <c r="C1270" t="s">
        <v>97</v>
      </c>
      <c r="D1270" t="s">
        <v>92</v>
      </c>
      <c r="E1270" t="s">
        <v>110</v>
      </c>
      <c r="F1270" s="6">
        <v>0.47916666666666669</v>
      </c>
      <c r="G1270">
        <v>0</v>
      </c>
      <c r="H1270" s="6">
        <f>FLOOR(tblPivotData[[#This Row],[Time]],Summary!$B$6/1440)</f>
        <v>0.47916666666666663</v>
      </c>
      <c r="I1270" s="49">
        <f>INDEX(PeakCalc!$L$10:$L$303,MATCH(tblPivotData[[#This Row],[Time]],PeakCalc!$G$10:$G$303,0))</f>
        <v>0</v>
      </c>
    </row>
    <row r="1271" spans="1:9" x14ac:dyDescent="0.25">
      <c r="A1271" t="s">
        <v>96</v>
      </c>
      <c r="B1271" t="s">
        <v>104</v>
      </c>
      <c r="C1271" t="s">
        <v>97</v>
      </c>
      <c r="D1271" t="s">
        <v>92</v>
      </c>
      <c r="E1271" t="s">
        <v>110</v>
      </c>
      <c r="F1271" s="6">
        <v>0.48958333333333331</v>
      </c>
      <c r="G1271">
        <v>0</v>
      </c>
      <c r="H1271" s="6">
        <f>FLOOR(tblPivotData[[#This Row],[Time]],Summary!$B$6/1440)</f>
        <v>0.48958333333333331</v>
      </c>
      <c r="I1271" s="49">
        <f>INDEX(PeakCalc!$L$10:$L$303,MATCH(tblPivotData[[#This Row],[Time]],PeakCalc!$G$10:$G$303,0))</f>
        <v>0</v>
      </c>
    </row>
    <row r="1272" spans="1:9" x14ac:dyDescent="0.25">
      <c r="A1272" t="s">
        <v>96</v>
      </c>
      <c r="B1272" t="s">
        <v>104</v>
      </c>
      <c r="C1272" t="s">
        <v>97</v>
      </c>
      <c r="D1272" t="s">
        <v>92</v>
      </c>
      <c r="E1272" t="s">
        <v>110</v>
      </c>
      <c r="F1272" s="6">
        <v>0.5</v>
      </c>
      <c r="G1272">
        <v>0</v>
      </c>
      <c r="H1272" s="6">
        <f>FLOOR(tblPivotData[[#This Row],[Time]],Summary!$B$6/1440)</f>
        <v>0.5</v>
      </c>
      <c r="I1272" s="49">
        <f>INDEX(PeakCalc!$L$10:$L$303,MATCH(tblPivotData[[#This Row],[Time]],PeakCalc!$G$10:$G$303,0))</f>
        <v>0</v>
      </c>
    </row>
    <row r="1273" spans="1:9" x14ac:dyDescent="0.25">
      <c r="A1273" t="s">
        <v>96</v>
      </c>
      <c r="B1273" t="s">
        <v>104</v>
      </c>
      <c r="C1273" t="s">
        <v>97</v>
      </c>
      <c r="D1273" t="s">
        <v>92</v>
      </c>
      <c r="E1273" t="s">
        <v>110</v>
      </c>
      <c r="F1273" s="6">
        <v>0.51041666666666663</v>
      </c>
      <c r="G1273">
        <v>0</v>
      </c>
      <c r="H1273" s="6">
        <f>FLOOR(tblPivotData[[#This Row],[Time]],Summary!$B$6/1440)</f>
        <v>0.51041666666666663</v>
      </c>
      <c r="I1273" s="49">
        <f>INDEX(PeakCalc!$L$10:$L$303,MATCH(tblPivotData[[#This Row],[Time]],PeakCalc!$G$10:$G$303,0))</f>
        <v>0</v>
      </c>
    </row>
    <row r="1274" spans="1:9" x14ac:dyDescent="0.25">
      <c r="A1274" t="s">
        <v>96</v>
      </c>
      <c r="B1274" t="s">
        <v>104</v>
      </c>
      <c r="C1274" t="s">
        <v>97</v>
      </c>
      <c r="D1274" t="s">
        <v>92</v>
      </c>
      <c r="E1274" t="s">
        <v>110</v>
      </c>
      <c r="F1274" s="6">
        <v>0.52083333333333337</v>
      </c>
      <c r="G1274">
        <v>0</v>
      </c>
      <c r="H1274" s="6">
        <f>FLOOR(tblPivotData[[#This Row],[Time]],Summary!$B$6/1440)</f>
        <v>0.52083333333333326</v>
      </c>
      <c r="I1274" s="49">
        <f>INDEX(PeakCalc!$L$10:$L$303,MATCH(tblPivotData[[#This Row],[Time]],PeakCalc!$G$10:$G$303,0))</f>
        <v>1</v>
      </c>
    </row>
    <row r="1275" spans="1:9" x14ac:dyDescent="0.25">
      <c r="A1275" t="s">
        <v>96</v>
      </c>
      <c r="B1275" t="s">
        <v>104</v>
      </c>
      <c r="C1275" t="s">
        <v>97</v>
      </c>
      <c r="D1275" t="s">
        <v>92</v>
      </c>
      <c r="E1275" t="s">
        <v>110</v>
      </c>
      <c r="F1275" s="6">
        <v>0.53125</v>
      </c>
      <c r="G1275">
        <v>0</v>
      </c>
      <c r="H1275" s="6">
        <f>FLOOR(tblPivotData[[#This Row],[Time]],Summary!$B$6/1440)</f>
        <v>0.53125</v>
      </c>
      <c r="I1275" s="49">
        <f>INDEX(PeakCalc!$L$10:$L$303,MATCH(tblPivotData[[#This Row],[Time]],PeakCalc!$G$10:$G$303,0))</f>
        <v>1</v>
      </c>
    </row>
    <row r="1276" spans="1:9" x14ac:dyDescent="0.25">
      <c r="A1276" t="s">
        <v>96</v>
      </c>
      <c r="B1276" t="s">
        <v>104</v>
      </c>
      <c r="C1276" t="s">
        <v>97</v>
      </c>
      <c r="D1276" t="s">
        <v>92</v>
      </c>
      <c r="E1276" t="s">
        <v>110</v>
      </c>
      <c r="F1276" s="6">
        <v>0.54166666666666663</v>
      </c>
      <c r="G1276">
        <v>0</v>
      </c>
      <c r="H1276" s="6">
        <f>FLOOR(tblPivotData[[#This Row],[Time]],Summary!$B$6/1440)</f>
        <v>0.54166666666666663</v>
      </c>
      <c r="I1276" s="49">
        <f>INDEX(PeakCalc!$L$10:$L$303,MATCH(tblPivotData[[#This Row],[Time]],PeakCalc!$G$10:$G$303,0))</f>
        <v>1</v>
      </c>
    </row>
    <row r="1277" spans="1:9" x14ac:dyDescent="0.25">
      <c r="A1277" t="s">
        <v>96</v>
      </c>
      <c r="B1277" t="s">
        <v>104</v>
      </c>
      <c r="C1277" t="s">
        <v>97</v>
      </c>
      <c r="D1277" t="s">
        <v>92</v>
      </c>
      <c r="E1277" t="s">
        <v>110</v>
      </c>
      <c r="F1277" s="6">
        <v>0.55208333333333337</v>
      </c>
      <c r="G1277">
        <v>0</v>
      </c>
      <c r="H1277" s="6">
        <f>FLOOR(tblPivotData[[#This Row],[Time]],Summary!$B$6/1440)</f>
        <v>0.55208333333333326</v>
      </c>
      <c r="I1277" s="49">
        <f>INDEX(PeakCalc!$L$10:$L$303,MATCH(tblPivotData[[#This Row],[Time]],PeakCalc!$G$10:$G$303,0))</f>
        <v>1</v>
      </c>
    </row>
    <row r="1278" spans="1:9" x14ac:dyDescent="0.25">
      <c r="A1278" t="s">
        <v>96</v>
      </c>
      <c r="B1278" t="s">
        <v>104</v>
      </c>
      <c r="C1278" t="s">
        <v>97</v>
      </c>
      <c r="D1278" t="s">
        <v>92</v>
      </c>
      <c r="E1278" t="s">
        <v>110</v>
      </c>
      <c r="F1278" s="6">
        <v>0.5625</v>
      </c>
      <c r="G1278">
        <v>0</v>
      </c>
      <c r="H1278" s="6">
        <f>FLOOR(tblPivotData[[#This Row],[Time]],Summary!$B$6/1440)</f>
        <v>0.5625</v>
      </c>
      <c r="I1278" s="49">
        <f>INDEX(PeakCalc!$L$10:$L$303,MATCH(tblPivotData[[#This Row],[Time]],PeakCalc!$G$10:$G$303,0))</f>
        <v>0</v>
      </c>
    </row>
    <row r="1279" spans="1:9" x14ac:dyDescent="0.25">
      <c r="A1279" t="s">
        <v>96</v>
      </c>
      <c r="B1279" t="s">
        <v>104</v>
      </c>
      <c r="C1279" t="s">
        <v>97</v>
      </c>
      <c r="D1279" t="s">
        <v>92</v>
      </c>
      <c r="E1279" t="s">
        <v>110</v>
      </c>
      <c r="F1279" s="6">
        <v>0.57291666666666663</v>
      </c>
      <c r="G1279">
        <v>0</v>
      </c>
      <c r="H1279" s="6">
        <f>FLOOR(tblPivotData[[#This Row],[Time]],Summary!$B$6/1440)</f>
        <v>0.57291666666666663</v>
      </c>
      <c r="I1279" s="49">
        <f>INDEX(PeakCalc!$L$10:$L$303,MATCH(tblPivotData[[#This Row],[Time]],PeakCalc!$G$10:$G$303,0))</f>
        <v>0</v>
      </c>
    </row>
    <row r="1280" spans="1:9" x14ac:dyDescent="0.25">
      <c r="A1280" t="s">
        <v>96</v>
      </c>
      <c r="B1280" t="s">
        <v>104</v>
      </c>
      <c r="C1280" t="s">
        <v>97</v>
      </c>
      <c r="D1280" t="s">
        <v>92</v>
      </c>
      <c r="E1280" t="s">
        <v>44</v>
      </c>
      <c r="F1280" s="6">
        <v>0.625</v>
      </c>
      <c r="G1280">
        <v>0</v>
      </c>
      <c r="H1280" s="6">
        <f>FLOOR(tblPivotData[[#This Row],[Time]],Summary!$B$6/1440)</f>
        <v>0.625</v>
      </c>
      <c r="I1280" s="49">
        <f>INDEX(PeakCalc!$L$10:$L$303,MATCH(tblPivotData[[#This Row],[Time]],PeakCalc!$G$10:$G$303,0))</f>
        <v>0</v>
      </c>
    </row>
    <row r="1281" spans="1:9" x14ac:dyDescent="0.25">
      <c r="A1281" t="s">
        <v>96</v>
      </c>
      <c r="B1281" t="s">
        <v>104</v>
      </c>
      <c r="C1281" t="s">
        <v>97</v>
      </c>
      <c r="D1281" t="s">
        <v>92</v>
      </c>
      <c r="E1281" t="s">
        <v>44</v>
      </c>
      <c r="F1281" s="6">
        <v>0.63541666666666663</v>
      </c>
      <c r="G1281">
        <v>0</v>
      </c>
      <c r="H1281" s="6">
        <f>FLOOR(tblPivotData[[#This Row],[Time]],Summary!$B$6/1440)</f>
        <v>0.63541666666666663</v>
      </c>
      <c r="I1281" s="49">
        <f>INDEX(PeakCalc!$L$10:$L$303,MATCH(tblPivotData[[#This Row],[Time]],PeakCalc!$G$10:$G$303,0))</f>
        <v>0</v>
      </c>
    </row>
    <row r="1282" spans="1:9" x14ac:dyDescent="0.25">
      <c r="A1282" t="s">
        <v>96</v>
      </c>
      <c r="B1282" t="s">
        <v>104</v>
      </c>
      <c r="C1282" t="s">
        <v>97</v>
      </c>
      <c r="D1282" t="s">
        <v>92</v>
      </c>
      <c r="E1282" t="s">
        <v>44</v>
      </c>
      <c r="F1282" s="6">
        <v>0.64583333333333337</v>
      </c>
      <c r="G1282">
        <v>0</v>
      </c>
      <c r="H1282" s="6">
        <f>FLOOR(tblPivotData[[#This Row],[Time]],Summary!$B$6/1440)</f>
        <v>0.64583333333333326</v>
      </c>
      <c r="I1282" s="49">
        <f>INDEX(PeakCalc!$L$10:$L$303,MATCH(tblPivotData[[#This Row],[Time]],PeakCalc!$G$10:$G$303,0))</f>
        <v>0</v>
      </c>
    </row>
    <row r="1283" spans="1:9" x14ac:dyDescent="0.25">
      <c r="A1283" t="s">
        <v>96</v>
      </c>
      <c r="B1283" t="s">
        <v>104</v>
      </c>
      <c r="C1283" t="s">
        <v>97</v>
      </c>
      <c r="D1283" t="s">
        <v>92</v>
      </c>
      <c r="E1283" t="s">
        <v>44</v>
      </c>
      <c r="F1283" s="6">
        <v>0.65625</v>
      </c>
      <c r="G1283">
        <v>0</v>
      </c>
      <c r="H1283" s="6">
        <f>FLOOR(tblPivotData[[#This Row],[Time]],Summary!$B$6/1440)</f>
        <v>0.65625</v>
      </c>
      <c r="I1283" s="49">
        <f>INDEX(PeakCalc!$L$10:$L$303,MATCH(tblPivotData[[#This Row],[Time]],PeakCalc!$G$10:$G$303,0))</f>
        <v>0</v>
      </c>
    </row>
    <row r="1284" spans="1:9" x14ac:dyDescent="0.25">
      <c r="A1284" t="s">
        <v>96</v>
      </c>
      <c r="B1284" t="s">
        <v>104</v>
      </c>
      <c r="C1284" t="s">
        <v>97</v>
      </c>
      <c r="D1284" t="s">
        <v>92</v>
      </c>
      <c r="E1284" t="s">
        <v>44</v>
      </c>
      <c r="F1284" s="6">
        <v>0.66666666666666663</v>
      </c>
      <c r="G1284">
        <v>0</v>
      </c>
      <c r="H1284" s="6">
        <f>FLOOR(tblPivotData[[#This Row],[Time]],Summary!$B$6/1440)</f>
        <v>0.66666666666666663</v>
      </c>
      <c r="I1284" s="49">
        <f>INDEX(PeakCalc!$L$10:$L$303,MATCH(tblPivotData[[#This Row],[Time]],PeakCalc!$G$10:$G$303,0))</f>
        <v>0</v>
      </c>
    </row>
    <row r="1285" spans="1:9" x14ac:dyDescent="0.25">
      <c r="A1285" t="s">
        <v>96</v>
      </c>
      <c r="B1285" t="s">
        <v>104</v>
      </c>
      <c r="C1285" t="s">
        <v>97</v>
      </c>
      <c r="D1285" t="s">
        <v>92</v>
      </c>
      <c r="E1285" t="s">
        <v>44</v>
      </c>
      <c r="F1285" s="6">
        <v>0.67708333333333337</v>
      </c>
      <c r="G1285">
        <v>0</v>
      </c>
      <c r="H1285" s="6">
        <f>FLOOR(tblPivotData[[#This Row],[Time]],Summary!$B$6/1440)</f>
        <v>0.67708333333333326</v>
      </c>
      <c r="I1285" s="49">
        <f>INDEX(PeakCalc!$L$10:$L$303,MATCH(tblPivotData[[#This Row],[Time]],PeakCalc!$G$10:$G$303,0))</f>
        <v>0</v>
      </c>
    </row>
    <row r="1286" spans="1:9" x14ac:dyDescent="0.25">
      <c r="A1286" t="s">
        <v>96</v>
      </c>
      <c r="B1286" t="s">
        <v>104</v>
      </c>
      <c r="C1286" t="s">
        <v>97</v>
      </c>
      <c r="D1286" t="s">
        <v>92</v>
      </c>
      <c r="E1286" t="s">
        <v>44</v>
      </c>
      <c r="F1286" s="6">
        <v>0.6875</v>
      </c>
      <c r="G1286">
        <v>0</v>
      </c>
      <c r="H1286" s="6">
        <f>FLOOR(tblPivotData[[#This Row],[Time]],Summary!$B$6/1440)</f>
        <v>0.6875</v>
      </c>
      <c r="I1286" s="49">
        <f>INDEX(PeakCalc!$L$10:$L$303,MATCH(tblPivotData[[#This Row],[Time]],PeakCalc!$G$10:$G$303,0))</f>
        <v>1</v>
      </c>
    </row>
    <row r="1287" spans="1:9" x14ac:dyDescent="0.25">
      <c r="A1287" t="s">
        <v>96</v>
      </c>
      <c r="B1287" t="s">
        <v>104</v>
      </c>
      <c r="C1287" t="s">
        <v>97</v>
      </c>
      <c r="D1287" t="s">
        <v>92</v>
      </c>
      <c r="E1287" t="s">
        <v>44</v>
      </c>
      <c r="F1287" s="6">
        <v>0.69791666666666663</v>
      </c>
      <c r="G1287">
        <v>0</v>
      </c>
      <c r="H1287" s="6">
        <f>FLOOR(tblPivotData[[#This Row],[Time]],Summary!$B$6/1440)</f>
        <v>0.69791666666666663</v>
      </c>
      <c r="I1287" s="49">
        <f>INDEX(PeakCalc!$L$10:$L$303,MATCH(tblPivotData[[#This Row],[Time]],PeakCalc!$G$10:$G$303,0))</f>
        <v>1</v>
      </c>
    </row>
    <row r="1288" spans="1:9" x14ac:dyDescent="0.25">
      <c r="A1288" t="s">
        <v>96</v>
      </c>
      <c r="B1288" t="s">
        <v>104</v>
      </c>
      <c r="C1288" t="s">
        <v>97</v>
      </c>
      <c r="D1288" t="s">
        <v>92</v>
      </c>
      <c r="E1288" t="s">
        <v>44</v>
      </c>
      <c r="F1288" s="6">
        <v>0.70833333333333337</v>
      </c>
      <c r="G1288">
        <v>0</v>
      </c>
      <c r="H1288" s="6">
        <f>FLOOR(tblPivotData[[#This Row],[Time]],Summary!$B$6/1440)</f>
        <v>0.70833333333333326</v>
      </c>
      <c r="I1288" s="49">
        <f>INDEX(PeakCalc!$L$10:$L$303,MATCH(tblPivotData[[#This Row],[Time]],PeakCalc!$G$10:$G$303,0))</f>
        <v>1</v>
      </c>
    </row>
    <row r="1289" spans="1:9" x14ac:dyDescent="0.25">
      <c r="A1289" t="s">
        <v>96</v>
      </c>
      <c r="B1289" t="s">
        <v>104</v>
      </c>
      <c r="C1289" t="s">
        <v>97</v>
      </c>
      <c r="D1289" t="s">
        <v>92</v>
      </c>
      <c r="E1289" t="s">
        <v>44</v>
      </c>
      <c r="F1289" s="6">
        <v>0.71875</v>
      </c>
      <c r="G1289">
        <v>0</v>
      </c>
      <c r="H1289" s="6">
        <f>FLOOR(tblPivotData[[#This Row],[Time]],Summary!$B$6/1440)</f>
        <v>0.71875</v>
      </c>
      <c r="I1289" s="49">
        <f>INDEX(PeakCalc!$L$10:$L$303,MATCH(tblPivotData[[#This Row],[Time]],PeakCalc!$G$10:$G$303,0))</f>
        <v>1</v>
      </c>
    </row>
    <row r="1290" spans="1:9" x14ac:dyDescent="0.25">
      <c r="A1290" t="s">
        <v>96</v>
      </c>
      <c r="B1290" t="s">
        <v>104</v>
      </c>
      <c r="C1290" t="s">
        <v>97</v>
      </c>
      <c r="D1290" t="s">
        <v>92</v>
      </c>
      <c r="E1290" t="s">
        <v>44</v>
      </c>
      <c r="F1290" s="6">
        <v>0.72916666666666663</v>
      </c>
      <c r="G1290">
        <v>0</v>
      </c>
      <c r="H1290" s="6">
        <f>FLOOR(tblPivotData[[#This Row],[Time]],Summary!$B$6/1440)</f>
        <v>0.72916666666666663</v>
      </c>
      <c r="I1290" s="49">
        <f>INDEX(PeakCalc!$L$10:$L$303,MATCH(tblPivotData[[#This Row],[Time]],PeakCalc!$G$10:$G$303,0))</f>
        <v>0</v>
      </c>
    </row>
    <row r="1291" spans="1:9" x14ac:dyDescent="0.25">
      <c r="A1291" t="s">
        <v>96</v>
      </c>
      <c r="B1291" t="s">
        <v>104</v>
      </c>
      <c r="C1291" t="s">
        <v>97</v>
      </c>
      <c r="D1291" t="s">
        <v>92</v>
      </c>
      <c r="E1291" t="s">
        <v>44</v>
      </c>
      <c r="F1291" s="6">
        <v>0.73958333333333337</v>
      </c>
      <c r="G1291">
        <v>0</v>
      </c>
      <c r="H1291" s="6">
        <f>FLOOR(tblPivotData[[#This Row],[Time]],Summary!$B$6/1440)</f>
        <v>0.73958333333333326</v>
      </c>
      <c r="I1291" s="49">
        <f>INDEX(PeakCalc!$L$10:$L$303,MATCH(tblPivotData[[#This Row],[Time]],PeakCalc!$G$10:$G$303,0))</f>
        <v>0</v>
      </c>
    </row>
    <row r="1292" spans="1:9" x14ac:dyDescent="0.25">
      <c r="A1292" t="s">
        <v>96</v>
      </c>
      <c r="B1292" t="s">
        <v>104</v>
      </c>
      <c r="C1292" t="s">
        <v>97</v>
      </c>
      <c r="D1292" t="s">
        <v>92</v>
      </c>
      <c r="E1292" t="s">
        <v>44</v>
      </c>
      <c r="F1292" s="6">
        <v>0.75</v>
      </c>
      <c r="G1292">
        <v>0</v>
      </c>
      <c r="H1292" s="6">
        <f>FLOOR(tblPivotData[[#This Row],[Time]],Summary!$B$6/1440)</f>
        <v>0.75</v>
      </c>
      <c r="I1292" s="49">
        <f>INDEX(PeakCalc!$L$10:$L$303,MATCH(tblPivotData[[#This Row],[Time]],PeakCalc!$G$10:$G$303,0))</f>
        <v>0</v>
      </c>
    </row>
    <row r="1293" spans="1:9" x14ac:dyDescent="0.25">
      <c r="A1293" t="s">
        <v>96</v>
      </c>
      <c r="B1293" t="s">
        <v>104</v>
      </c>
      <c r="C1293" t="s">
        <v>97</v>
      </c>
      <c r="D1293" t="s">
        <v>92</v>
      </c>
      <c r="E1293" t="s">
        <v>44</v>
      </c>
      <c r="F1293" s="6">
        <v>0.76041666666666663</v>
      </c>
      <c r="G1293">
        <v>0</v>
      </c>
      <c r="H1293" s="6">
        <f>FLOOR(tblPivotData[[#This Row],[Time]],Summary!$B$6/1440)</f>
        <v>0.76041666666666663</v>
      </c>
      <c r="I1293" s="49">
        <f>INDEX(PeakCalc!$L$10:$L$303,MATCH(tblPivotData[[#This Row],[Time]],PeakCalc!$G$10:$G$303,0))</f>
        <v>0</v>
      </c>
    </row>
    <row r="1294" spans="1:9" x14ac:dyDescent="0.25">
      <c r="A1294" t="s">
        <v>96</v>
      </c>
      <c r="B1294" t="s">
        <v>104</v>
      </c>
      <c r="C1294" t="s">
        <v>97</v>
      </c>
      <c r="D1294" t="s">
        <v>93</v>
      </c>
      <c r="E1294" t="s">
        <v>43</v>
      </c>
      <c r="F1294" s="6">
        <v>0.27083333333333331</v>
      </c>
      <c r="G1294">
        <v>0</v>
      </c>
      <c r="H1294" s="6">
        <f>FLOOR(tblPivotData[[#This Row],[Time]],Summary!$B$6/1440)</f>
        <v>0.27083333333333331</v>
      </c>
      <c r="I1294" s="49">
        <f>INDEX(PeakCalc!$L$10:$L$303,MATCH(tblPivotData[[#This Row],[Time]],PeakCalc!$G$10:$G$303,0))</f>
        <v>0</v>
      </c>
    </row>
    <row r="1295" spans="1:9" x14ac:dyDescent="0.25">
      <c r="A1295" t="s">
        <v>96</v>
      </c>
      <c r="B1295" t="s">
        <v>104</v>
      </c>
      <c r="C1295" t="s">
        <v>97</v>
      </c>
      <c r="D1295" t="s">
        <v>93</v>
      </c>
      <c r="E1295" t="s">
        <v>43</v>
      </c>
      <c r="F1295" s="6">
        <v>0.28125</v>
      </c>
      <c r="G1295">
        <v>0</v>
      </c>
      <c r="H1295" s="6">
        <f>FLOOR(tblPivotData[[#This Row],[Time]],Summary!$B$6/1440)</f>
        <v>0.28125</v>
      </c>
      <c r="I1295" s="49">
        <f>INDEX(PeakCalc!$L$10:$L$303,MATCH(tblPivotData[[#This Row],[Time]],PeakCalc!$G$10:$G$303,0))</f>
        <v>0</v>
      </c>
    </row>
    <row r="1296" spans="1:9" x14ac:dyDescent="0.25">
      <c r="A1296" t="s">
        <v>96</v>
      </c>
      <c r="B1296" t="s">
        <v>104</v>
      </c>
      <c r="C1296" t="s">
        <v>97</v>
      </c>
      <c r="D1296" t="s">
        <v>93</v>
      </c>
      <c r="E1296" t="s">
        <v>43</v>
      </c>
      <c r="F1296" s="6">
        <v>0.29166666666666669</v>
      </c>
      <c r="G1296">
        <v>1</v>
      </c>
      <c r="H1296" s="6">
        <f>FLOOR(tblPivotData[[#This Row],[Time]],Summary!$B$6/1440)</f>
        <v>0.29166666666666663</v>
      </c>
      <c r="I1296" s="49">
        <f>INDEX(PeakCalc!$L$10:$L$303,MATCH(tblPivotData[[#This Row],[Time]],PeakCalc!$G$10:$G$303,0))</f>
        <v>0</v>
      </c>
    </row>
    <row r="1297" spans="1:9" x14ac:dyDescent="0.25">
      <c r="A1297" t="s">
        <v>96</v>
      </c>
      <c r="B1297" t="s">
        <v>104</v>
      </c>
      <c r="C1297" t="s">
        <v>97</v>
      </c>
      <c r="D1297" t="s">
        <v>93</v>
      </c>
      <c r="E1297" t="s">
        <v>43</v>
      </c>
      <c r="F1297" s="6">
        <v>0.30208333333333331</v>
      </c>
      <c r="G1297">
        <v>0</v>
      </c>
      <c r="H1297" s="6">
        <f>FLOOR(tblPivotData[[#This Row],[Time]],Summary!$B$6/1440)</f>
        <v>0.30208333333333331</v>
      </c>
      <c r="I1297" s="49">
        <f>INDEX(PeakCalc!$L$10:$L$303,MATCH(tblPivotData[[#This Row],[Time]],PeakCalc!$G$10:$G$303,0))</f>
        <v>0</v>
      </c>
    </row>
    <row r="1298" spans="1:9" x14ac:dyDescent="0.25">
      <c r="A1298" t="s">
        <v>96</v>
      </c>
      <c r="B1298" t="s">
        <v>104</v>
      </c>
      <c r="C1298" t="s">
        <v>97</v>
      </c>
      <c r="D1298" t="s">
        <v>93</v>
      </c>
      <c r="E1298" t="s">
        <v>43</v>
      </c>
      <c r="F1298" s="6">
        <v>0.3125</v>
      </c>
      <c r="G1298">
        <v>0</v>
      </c>
      <c r="H1298" s="6">
        <f>FLOOR(tblPivotData[[#This Row],[Time]],Summary!$B$6/1440)</f>
        <v>0.3125</v>
      </c>
      <c r="I1298" s="49">
        <f>INDEX(PeakCalc!$L$10:$L$303,MATCH(tblPivotData[[#This Row],[Time]],PeakCalc!$G$10:$G$303,0))</f>
        <v>0</v>
      </c>
    </row>
    <row r="1299" spans="1:9" x14ac:dyDescent="0.25">
      <c r="A1299" t="s">
        <v>96</v>
      </c>
      <c r="B1299" t="s">
        <v>104</v>
      </c>
      <c r="C1299" t="s">
        <v>97</v>
      </c>
      <c r="D1299" t="s">
        <v>93</v>
      </c>
      <c r="E1299" t="s">
        <v>43</v>
      </c>
      <c r="F1299" s="6">
        <v>0.32291666666666669</v>
      </c>
      <c r="G1299">
        <v>0</v>
      </c>
      <c r="H1299" s="6">
        <f>FLOOR(tblPivotData[[#This Row],[Time]],Summary!$B$6/1440)</f>
        <v>0.32291666666666663</v>
      </c>
      <c r="I1299" s="49">
        <f>INDEX(PeakCalc!$L$10:$L$303,MATCH(tblPivotData[[#This Row],[Time]],PeakCalc!$G$10:$G$303,0))</f>
        <v>1</v>
      </c>
    </row>
    <row r="1300" spans="1:9" x14ac:dyDescent="0.25">
      <c r="A1300" t="s">
        <v>96</v>
      </c>
      <c r="B1300" t="s">
        <v>104</v>
      </c>
      <c r="C1300" t="s">
        <v>97</v>
      </c>
      <c r="D1300" t="s">
        <v>93</v>
      </c>
      <c r="E1300" t="s">
        <v>43</v>
      </c>
      <c r="F1300" s="6">
        <v>0.33333333333333331</v>
      </c>
      <c r="G1300">
        <v>0</v>
      </c>
      <c r="H1300" s="6">
        <f>FLOOR(tblPivotData[[#This Row],[Time]],Summary!$B$6/1440)</f>
        <v>0.33333333333333331</v>
      </c>
      <c r="I1300" s="49">
        <f>INDEX(PeakCalc!$L$10:$L$303,MATCH(tblPivotData[[#This Row],[Time]],PeakCalc!$G$10:$G$303,0))</f>
        <v>1</v>
      </c>
    </row>
    <row r="1301" spans="1:9" x14ac:dyDescent="0.25">
      <c r="A1301" t="s">
        <v>96</v>
      </c>
      <c r="B1301" t="s">
        <v>104</v>
      </c>
      <c r="C1301" t="s">
        <v>97</v>
      </c>
      <c r="D1301" t="s">
        <v>93</v>
      </c>
      <c r="E1301" t="s">
        <v>43</v>
      </c>
      <c r="F1301" s="6">
        <v>0.34375</v>
      </c>
      <c r="G1301">
        <v>0</v>
      </c>
      <c r="H1301" s="6">
        <f>FLOOR(tblPivotData[[#This Row],[Time]],Summary!$B$6/1440)</f>
        <v>0.34375</v>
      </c>
      <c r="I1301" s="49">
        <f>INDEX(PeakCalc!$L$10:$L$303,MATCH(tblPivotData[[#This Row],[Time]],PeakCalc!$G$10:$G$303,0))</f>
        <v>1</v>
      </c>
    </row>
    <row r="1302" spans="1:9" x14ac:dyDescent="0.25">
      <c r="A1302" t="s">
        <v>96</v>
      </c>
      <c r="B1302" t="s">
        <v>104</v>
      </c>
      <c r="C1302" t="s">
        <v>97</v>
      </c>
      <c r="D1302" t="s">
        <v>93</v>
      </c>
      <c r="E1302" t="s">
        <v>43</v>
      </c>
      <c r="F1302" s="6">
        <v>0.35416666666666669</v>
      </c>
      <c r="G1302">
        <v>0</v>
      </c>
      <c r="H1302" s="6">
        <f>FLOOR(tblPivotData[[#This Row],[Time]],Summary!$B$6/1440)</f>
        <v>0.35416666666666663</v>
      </c>
      <c r="I1302" s="49">
        <f>INDEX(PeakCalc!$L$10:$L$303,MATCH(tblPivotData[[#This Row],[Time]],PeakCalc!$G$10:$G$303,0))</f>
        <v>1</v>
      </c>
    </row>
    <row r="1303" spans="1:9" x14ac:dyDescent="0.25">
      <c r="A1303" t="s">
        <v>96</v>
      </c>
      <c r="B1303" t="s">
        <v>104</v>
      </c>
      <c r="C1303" t="s">
        <v>97</v>
      </c>
      <c r="D1303" t="s">
        <v>93</v>
      </c>
      <c r="E1303" t="s">
        <v>43</v>
      </c>
      <c r="F1303" s="6">
        <v>0.36458333333333331</v>
      </c>
      <c r="G1303">
        <v>0</v>
      </c>
      <c r="H1303" s="6">
        <f>FLOOR(tblPivotData[[#This Row],[Time]],Summary!$B$6/1440)</f>
        <v>0.36458333333333331</v>
      </c>
      <c r="I1303" s="49">
        <f>INDEX(PeakCalc!$L$10:$L$303,MATCH(tblPivotData[[#This Row],[Time]],PeakCalc!$G$10:$G$303,0))</f>
        <v>0</v>
      </c>
    </row>
    <row r="1304" spans="1:9" x14ac:dyDescent="0.25">
      <c r="A1304" t="s">
        <v>96</v>
      </c>
      <c r="B1304" t="s">
        <v>104</v>
      </c>
      <c r="C1304" t="s">
        <v>97</v>
      </c>
      <c r="D1304" t="s">
        <v>93</v>
      </c>
      <c r="E1304" t="s">
        <v>43</v>
      </c>
      <c r="F1304" s="6">
        <v>0.375</v>
      </c>
      <c r="G1304">
        <v>0</v>
      </c>
      <c r="H1304" s="6">
        <f>FLOOR(tblPivotData[[#This Row],[Time]],Summary!$B$6/1440)</f>
        <v>0.375</v>
      </c>
      <c r="I1304" s="49">
        <f>INDEX(PeakCalc!$L$10:$L$303,MATCH(tblPivotData[[#This Row],[Time]],PeakCalc!$G$10:$G$303,0))</f>
        <v>0</v>
      </c>
    </row>
    <row r="1305" spans="1:9" x14ac:dyDescent="0.25">
      <c r="A1305" t="s">
        <v>96</v>
      </c>
      <c r="B1305" t="s">
        <v>104</v>
      </c>
      <c r="C1305" t="s">
        <v>97</v>
      </c>
      <c r="D1305" t="s">
        <v>93</v>
      </c>
      <c r="E1305" t="s">
        <v>43</v>
      </c>
      <c r="F1305" s="6">
        <v>0.38541666666666669</v>
      </c>
      <c r="G1305">
        <v>0</v>
      </c>
      <c r="H1305" s="6">
        <f>FLOOR(tblPivotData[[#This Row],[Time]],Summary!$B$6/1440)</f>
        <v>0.38541666666666663</v>
      </c>
      <c r="I1305" s="49">
        <f>INDEX(PeakCalc!$L$10:$L$303,MATCH(tblPivotData[[#This Row],[Time]],PeakCalc!$G$10:$G$303,0))</f>
        <v>0</v>
      </c>
    </row>
    <row r="1306" spans="1:9" x14ac:dyDescent="0.25">
      <c r="A1306" t="s">
        <v>96</v>
      </c>
      <c r="B1306" t="s">
        <v>104</v>
      </c>
      <c r="C1306" t="s">
        <v>97</v>
      </c>
      <c r="D1306" t="s">
        <v>93</v>
      </c>
      <c r="E1306" t="s">
        <v>110</v>
      </c>
      <c r="F1306" s="6">
        <v>0.45833333333333331</v>
      </c>
      <c r="G1306">
        <v>0</v>
      </c>
      <c r="H1306" s="6">
        <f>FLOOR(tblPivotData[[#This Row],[Time]],Summary!$B$6/1440)</f>
        <v>0.45833333333333331</v>
      </c>
      <c r="I1306" s="49">
        <f>INDEX(PeakCalc!$L$10:$L$303,MATCH(tblPivotData[[#This Row],[Time]],PeakCalc!$G$10:$G$303,0))</f>
        <v>0</v>
      </c>
    </row>
    <row r="1307" spans="1:9" x14ac:dyDescent="0.25">
      <c r="A1307" t="s">
        <v>96</v>
      </c>
      <c r="B1307" t="s">
        <v>104</v>
      </c>
      <c r="C1307" t="s">
        <v>97</v>
      </c>
      <c r="D1307" t="s">
        <v>93</v>
      </c>
      <c r="E1307" t="s">
        <v>110</v>
      </c>
      <c r="F1307" s="6">
        <v>0.46875</v>
      </c>
      <c r="G1307">
        <v>0</v>
      </c>
      <c r="H1307" s="6">
        <f>FLOOR(tblPivotData[[#This Row],[Time]],Summary!$B$6/1440)</f>
        <v>0.46875</v>
      </c>
      <c r="I1307" s="49">
        <f>INDEX(PeakCalc!$L$10:$L$303,MATCH(tblPivotData[[#This Row],[Time]],PeakCalc!$G$10:$G$303,0))</f>
        <v>0</v>
      </c>
    </row>
    <row r="1308" spans="1:9" x14ac:dyDescent="0.25">
      <c r="A1308" t="s">
        <v>96</v>
      </c>
      <c r="B1308" t="s">
        <v>104</v>
      </c>
      <c r="C1308" t="s">
        <v>97</v>
      </c>
      <c r="D1308" t="s">
        <v>93</v>
      </c>
      <c r="E1308" t="s">
        <v>110</v>
      </c>
      <c r="F1308" s="6">
        <v>0.47916666666666669</v>
      </c>
      <c r="G1308">
        <v>0</v>
      </c>
      <c r="H1308" s="6">
        <f>FLOOR(tblPivotData[[#This Row],[Time]],Summary!$B$6/1440)</f>
        <v>0.47916666666666663</v>
      </c>
      <c r="I1308" s="49">
        <f>INDEX(PeakCalc!$L$10:$L$303,MATCH(tblPivotData[[#This Row],[Time]],PeakCalc!$G$10:$G$303,0))</f>
        <v>0</v>
      </c>
    </row>
    <row r="1309" spans="1:9" x14ac:dyDescent="0.25">
      <c r="A1309" t="s">
        <v>96</v>
      </c>
      <c r="B1309" t="s">
        <v>104</v>
      </c>
      <c r="C1309" t="s">
        <v>97</v>
      </c>
      <c r="D1309" t="s">
        <v>93</v>
      </c>
      <c r="E1309" t="s">
        <v>110</v>
      </c>
      <c r="F1309" s="6">
        <v>0.48958333333333331</v>
      </c>
      <c r="G1309">
        <v>0</v>
      </c>
      <c r="H1309" s="6">
        <f>FLOOR(tblPivotData[[#This Row],[Time]],Summary!$B$6/1440)</f>
        <v>0.48958333333333331</v>
      </c>
      <c r="I1309" s="49">
        <f>INDEX(PeakCalc!$L$10:$L$303,MATCH(tblPivotData[[#This Row],[Time]],PeakCalc!$G$10:$G$303,0))</f>
        <v>0</v>
      </c>
    </row>
    <row r="1310" spans="1:9" x14ac:dyDescent="0.25">
      <c r="A1310" t="s">
        <v>96</v>
      </c>
      <c r="B1310" t="s">
        <v>104</v>
      </c>
      <c r="C1310" t="s">
        <v>97</v>
      </c>
      <c r="D1310" t="s">
        <v>93</v>
      </c>
      <c r="E1310" t="s">
        <v>110</v>
      </c>
      <c r="F1310" s="6">
        <v>0.5</v>
      </c>
      <c r="G1310">
        <v>0</v>
      </c>
      <c r="H1310" s="6">
        <f>FLOOR(tblPivotData[[#This Row],[Time]],Summary!$B$6/1440)</f>
        <v>0.5</v>
      </c>
      <c r="I1310" s="49">
        <f>INDEX(PeakCalc!$L$10:$L$303,MATCH(tblPivotData[[#This Row],[Time]],PeakCalc!$G$10:$G$303,0))</f>
        <v>0</v>
      </c>
    </row>
    <row r="1311" spans="1:9" x14ac:dyDescent="0.25">
      <c r="A1311" t="s">
        <v>96</v>
      </c>
      <c r="B1311" t="s">
        <v>104</v>
      </c>
      <c r="C1311" t="s">
        <v>97</v>
      </c>
      <c r="D1311" t="s">
        <v>93</v>
      </c>
      <c r="E1311" t="s">
        <v>110</v>
      </c>
      <c r="F1311" s="6">
        <v>0.51041666666666663</v>
      </c>
      <c r="G1311">
        <v>0</v>
      </c>
      <c r="H1311" s="6">
        <f>FLOOR(tblPivotData[[#This Row],[Time]],Summary!$B$6/1440)</f>
        <v>0.51041666666666663</v>
      </c>
      <c r="I1311" s="49">
        <f>INDEX(PeakCalc!$L$10:$L$303,MATCH(tblPivotData[[#This Row],[Time]],PeakCalc!$G$10:$G$303,0))</f>
        <v>0</v>
      </c>
    </row>
    <row r="1312" spans="1:9" x14ac:dyDescent="0.25">
      <c r="A1312" t="s">
        <v>96</v>
      </c>
      <c r="B1312" t="s">
        <v>104</v>
      </c>
      <c r="C1312" t="s">
        <v>97</v>
      </c>
      <c r="D1312" t="s">
        <v>93</v>
      </c>
      <c r="E1312" t="s">
        <v>110</v>
      </c>
      <c r="F1312" s="6">
        <v>0.52083333333333337</v>
      </c>
      <c r="G1312">
        <v>0</v>
      </c>
      <c r="H1312" s="6">
        <f>FLOOR(tblPivotData[[#This Row],[Time]],Summary!$B$6/1440)</f>
        <v>0.52083333333333326</v>
      </c>
      <c r="I1312" s="49">
        <f>INDEX(PeakCalc!$L$10:$L$303,MATCH(tblPivotData[[#This Row],[Time]],PeakCalc!$G$10:$G$303,0))</f>
        <v>1</v>
      </c>
    </row>
    <row r="1313" spans="1:9" x14ac:dyDescent="0.25">
      <c r="A1313" t="s">
        <v>96</v>
      </c>
      <c r="B1313" t="s">
        <v>104</v>
      </c>
      <c r="C1313" t="s">
        <v>97</v>
      </c>
      <c r="D1313" t="s">
        <v>93</v>
      </c>
      <c r="E1313" t="s">
        <v>110</v>
      </c>
      <c r="F1313" s="6">
        <v>0.53125</v>
      </c>
      <c r="G1313">
        <v>0</v>
      </c>
      <c r="H1313" s="6">
        <f>FLOOR(tblPivotData[[#This Row],[Time]],Summary!$B$6/1440)</f>
        <v>0.53125</v>
      </c>
      <c r="I1313" s="49">
        <f>INDEX(PeakCalc!$L$10:$L$303,MATCH(tblPivotData[[#This Row],[Time]],PeakCalc!$G$10:$G$303,0))</f>
        <v>1</v>
      </c>
    </row>
    <row r="1314" spans="1:9" x14ac:dyDescent="0.25">
      <c r="A1314" t="s">
        <v>96</v>
      </c>
      <c r="B1314" t="s">
        <v>104</v>
      </c>
      <c r="C1314" t="s">
        <v>97</v>
      </c>
      <c r="D1314" t="s">
        <v>93</v>
      </c>
      <c r="E1314" t="s">
        <v>110</v>
      </c>
      <c r="F1314" s="6">
        <v>0.54166666666666663</v>
      </c>
      <c r="G1314">
        <v>0</v>
      </c>
      <c r="H1314" s="6">
        <f>FLOOR(tblPivotData[[#This Row],[Time]],Summary!$B$6/1440)</f>
        <v>0.54166666666666663</v>
      </c>
      <c r="I1314" s="49">
        <f>INDEX(PeakCalc!$L$10:$L$303,MATCH(tblPivotData[[#This Row],[Time]],PeakCalc!$G$10:$G$303,0))</f>
        <v>1</v>
      </c>
    </row>
    <row r="1315" spans="1:9" x14ac:dyDescent="0.25">
      <c r="A1315" t="s">
        <v>96</v>
      </c>
      <c r="B1315" t="s">
        <v>104</v>
      </c>
      <c r="C1315" t="s">
        <v>97</v>
      </c>
      <c r="D1315" t="s">
        <v>93</v>
      </c>
      <c r="E1315" t="s">
        <v>110</v>
      </c>
      <c r="F1315" s="6">
        <v>0.55208333333333337</v>
      </c>
      <c r="G1315">
        <v>0</v>
      </c>
      <c r="H1315" s="6">
        <f>FLOOR(tblPivotData[[#This Row],[Time]],Summary!$B$6/1440)</f>
        <v>0.55208333333333326</v>
      </c>
      <c r="I1315" s="49">
        <f>INDEX(PeakCalc!$L$10:$L$303,MATCH(tblPivotData[[#This Row],[Time]],PeakCalc!$G$10:$G$303,0))</f>
        <v>1</v>
      </c>
    </row>
    <row r="1316" spans="1:9" x14ac:dyDescent="0.25">
      <c r="A1316" t="s">
        <v>96</v>
      </c>
      <c r="B1316" t="s">
        <v>104</v>
      </c>
      <c r="C1316" t="s">
        <v>97</v>
      </c>
      <c r="D1316" t="s">
        <v>93</v>
      </c>
      <c r="E1316" t="s">
        <v>110</v>
      </c>
      <c r="F1316" s="6">
        <v>0.5625</v>
      </c>
      <c r="G1316">
        <v>0</v>
      </c>
      <c r="H1316" s="6">
        <f>FLOOR(tblPivotData[[#This Row],[Time]],Summary!$B$6/1440)</f>
        <v>0.5625</v>
      </c>
      <c r="I1316" s="49">
        <f>INDEX(PeakCalc!$L$10:$L$303,MATCH(tblPivotData[[#This Row],[Time]],PeakCalc!$G$10:$G$303,0))</f>
        <v>0</v>
      </c>
    </row>
    <row r="1317" spans="1:9" x14ac:dyDescent="0.25">
      <c r="A1317" t="s">
        <v>96</v>
      </c>
      <c r="B1317" t="s">
        <v>104</v>
      </c>
      <c r="C1317" t="s">
        <v>97</v>
      </c>
      <c r="D1317" t="s">
        <v>93</v>
      </c>
      <c r="E1317" t="s">
        <v>110</v>
      </c>
      <c r="F1317" s="6">
        <v>0.57291666666666663</v>
      </c>
      <c r="G1317">
        <v>0</v>
      </c>
      <c r="H1317" s="6">
        <f>FLOOR(tblPivotData[[#This Row],[Time]],Summary!$B$6/1440)</f>
        <v>0.57291666666666663</v>
      </c>
      <c r="I1317" s="49">
        <f>INDEX(PeakCalc!$L$10:$L$303,MATCH(tblPivotData[[#This Row],[Time]],PeakCalc!$G$10:$G$303,0))</f>
        <v>0</v>
      </c>
    </row>
    <row r="1318" spans="1:9" x14ac:dyDescent="0.25">
      <c r="A1318" t="s">
        <v>96</v>
      </c>
      <c r="B1318" t="s">
        <v>104</v>
      </c>
      <c r="C1318" t="s">
        <v>97</v>
      </c>
      <c r="D1318" t="s">
        <v>93</v>
      </c>
      <c r="E1318" t="s">
        <v>44</v>
      </c>
      <c r="F1318" s="6">
        <v>0.625</v>
      </c>
      <c r="G1318">
        <v>1</v>
      </c>
      <c r="H1318" s="6">
        <f>FLOOR(tblPivotData[[#This Row],[Time]],Summary!$B$6/1440)</f>
        <v>0.625</v>
      </c>
      <c r="I1318" s="49">
        <f>INDEX(PeakCalc!$L$10:$L$303,MATCH(tblPivotData[[#This Row],[Time]],PeakCalc!$G$10:$G$303,0))</f>
        <v>0</v>
      </c>
    </row>
    <row r="1319" spans="1:9" x14ac:dyDescent="0.25">
      <c r="A1319" t="s">
        <v>96</v>
      </c>
      <c r="B1319" t="s">
        <v>104</v>
      </c>
      <c r="C1319" t="s">
        <v>97</v>
      </c>
      <c r="D1319" t="s">
        <v>93</v>
      </c>
      <c r="E1319" t="s">
        <v>44</v>
      </c>
      <c r="F1319" s="6">
        <v>0.63541666666666663</v>
      </c>
      <c r="G1319">
        <v>0</v>
      </c>
      <c r="H1319" s="6">
        <f>FLOOR(tblPivotData[[#This Row],[Time]],Summary!$B$6/1440)</f>
        <v>0.63541666666666663</v>
      </c>
      <c r="I1319" s="49">
        <f>INDEX(PeakCalc!$L$10:$L$303,MATCH(tblPivotData[[#This Row],[Time]],PeakCalc!$G$10:$G$303,0))</f>
        <v>0</v>
      </c>
    </row>
    <row r="1320" spans="1:9" x14ac:dyDescent="0.25">
      <c r="A1320" t="s">
        <v>96</v>
      </c>
      <c r="B1320" t="s">
        <v>104</v>
      </c>
      <c r="C1320" t="s">
        <v>97</v>
      </c>
      <c r="D1320" t="s">
        <v>93</v>
      </c>
      <c r="E1320" t="s">
        <v>44</v>
      </c>
      <c r="F1320" s="6">
        <v>0.64583333333333337</v>
      </c>
      <c r="G1320">
        <v>0</v>
      </c>
      <c r="H1320" s="6">
        <f>FLOOR(tblPivotData[[#This Row],[Time]],Summary!$B$6/1440)</f>
        <v>0.64583333333333326</v>
      </c>
      <c r="I1320" s="49">
        <f>INDEX(PeakCalc!$L$10:$L$303,MATCH(tblPivotData[[#This Row],[Time]],PeakCalc!$G$10:$G$303,0))</f>
        <v>0</v>
      </c>
    </row>
    <row r="1321" spans="1:9" x14ac:dyDescent="0.25">
      <c r="A1321" t="s">
        <v>96</v>
      </c>
      <c r="B1321" t="s">
        <v>104</v>
      </c>
      <c r="C1321" t="s">
        <v>97</v>
      </c>
      <c r="D1321" t="s">
        <v>93</v>
      </c>
      <c r="E1321" t="s">
        <v>44</v>
      </c>
      <c r="F1321" s="6">
        <v>0.65625</v>
      </c>
      <c r="G1321">
        <v>0</v>
      </c>
      <c r="H1321" s="6">
        <f>FLOOR(tblPivotData[[#This Row],[Time]],Summary!$B$6/1440)</f>
        <v>0.65625</v>
      </c>
      <c r="I1321" s="49">
        <f>INDEX(PeakCalc!$L$10:$L$303,MATCH(tblPivotData[[#This Row],[Time]],PeakCalc!$G$10:$G$303,0))</f>
        <v>0</v>
      </c>
    </row>
    <row r="1322" spans="1:9" x14ac:dyDescent="0.25">
      <c r="A1322" t="s">
        <v>96</v>
      </c>
      <c r="B1322" t="s">
        <v>104</v>
      </c>
      <c r="C1322" t="s">
        <v>97</v>
      </c>
      <c r="D1322" t="s">
        <v>93</v>
      </c>
      <c r="E1322" t="s">
        <v>44</v>
      </c>
      <c r="F1322" s="6">
        <v>0.66666666666666663</v>
      </c>
      <c r="G1322">
        <v>0</v>
      </c>
      <c r="H1322" s="6">
        <f>FLOOR(tblPivotData[[#This Row],[Time]],Summary!$B$6/1440)</f>
        <v>0.66666666666666663</v>
      </c>
      <c r="I1322" s="49">
        <f>INDEX(PeakCalc!$L$10:$L$303,MATCH(tblPivotData[[#This Row],[Time]],PeakCalc!$G$10:$G$303,0))</f>
        <v>0</v>
      </c>
    </row>
    <row r="1323" spans="1:9" x14ac:dyDescent="0.25">
      <c r="A1323" t="s">
        <v>96</v>
      </c>
      <c r="B1323" t="s">
        <v>104</v>
      </c>
      <c r="C1323" t="s">
        <v>97</v>
      </c>
      <c r="D1323" t="s">
        <v>93</v>
      </c>
      <c r="E1323" t="s">
        <v>44</v>
      </c>
      <c r="F1323" s="6">
        <v>0.67708333333333337</v>
      </c>
      <c r="G1323">
        <v>0</v>
      </c>
      <c r="H1323" s="6">
        <f>FLOOR(tblPivotData[[#This Row],[Time]],Summary!$B$6/1440)</f>
        <v>0.67708333333333326</v>
      </c>
      <c r="I1323" s="49">
        <f>INDEX(PeakCalc!$L$10:$L$303,MATCH(tblPivotData[[#This Row],[Time]],PeakCalc!$G$10:$G$303,0))</f>
        <v>0</v>
      </c>
    </row>
    <row r="1324" spans="1:9" x14ac:dyDescent="0.25">
      <c r="A1324" t="s">
        <v>96</v>
      </c>
      <c r="B1324" t="s">
        <v>104</v>
      </c>
      <c r="C1324" t="s">
        <v>97</v>
      </c>
      <c r="D1324" t="s">
        <v>93</v>
      </c>
      <c r="E1324" t="s">
        <v>44</v>
      </c>
      <c r="F1324" s="6">
        <v>0.6875</v>
      </c>
      <c r="G1324">
        <v>0</v>
      </c>
      <c r="H1324" s="6">
        <f>FLOOR(tblPivotData[[#This Row],[Time]],Summary!$B$6/1440)</f>
        <v>0.6875</v>
      </c>
      <c r="I1324" s="49">
        <f>INDEX(PeakCalc!$L$10:$L$303,MATCH(tblPivotData[[#This Row],[Time]],PeakCalc!$G$10:$G$303,0))</f>
        <v>1</v>
      </c>
    </row>
    <row r="1325" spans="1:9" x14ac:dyDescent="0.25">
      <c r="A1325" t="s">
        <v>96</v>
      </c>
      <c r="B1325" t="s">
        <v>104</v>
      </c>
      <c r="C1325" t="s">
        <v>97</v>
      </c>
      <c r="D1325" t="s">
        <v>93</v>
      </c>
      <c r="E1325" t="s">
        <v>44</v>
      </c>
      <c r="F1325" s="6">
        <v>0.69791666666666663</v>
      </c>
      <c r="G1325">
        <v>0</v>
      </c>
      <c r="H1325" s="6">
        <f>FLOOR(tblPivotData[[#This Row],[Time]],Summary!$B$6/1440)</f>
        <v>0.69791666666666663</v>
      </c>
      <c r="I1325" s="49">
        <f>INDEX(PeakCalc!$L$10:$L$303,MATCH(tblPivotData[[#This Row],[Time]],PeakCalc!$G$10:$G$303,0))</f>
        <v>1</v>
      </c>
    </row>
    <row r="1326" spans="1:9" x14ac:dyDescent="0.25">
      <c r="A1326" t="s">
        <v>96</v>
      </c>
      <c r="B1326" t="s">
        <v>104</v>
      </c>
      <c r="C1326" t="s">
        <v>97</v>
      </c>
      <c r="D1326" t="s">
        <v>93</v>
      </c>
      <c r="E1326" t="s">
        <v>44</v>
      </c>
      <c r="F1326" s="6">
        <v>0.70833333333333337</v>
      </c>
      <c r="G1326">
        <v>0</v>
      </c>
      <c r="H1326" s="6">
        <f>FLOOR(tblPivotData[[#This Row],[Time]],Summary!$B$6/1440)</f>
        <v>0.70833333333333326</v>
      </c>
      <c r="I1326" s="49">
        <f>INDEX(PeakCalc!$L$10:$L$303,MATCH(tblPivotData[[#This Row],[Time]],PeakCalc!$G$10:$G$303,0))</f>
        <v>1</v>
      </c>
    </row>
    <row r="1327" spans="1:9" x14ac:dyDescent="0.25">
      <c r="A1327" t="s">
        <v>96</v>
      </c>
      <c r="B1327" t="s">
        <v>104</v>
      </c>
      <c r="C1327" t="s">
        <v>97</v>
      </c>
      <c r="D1327" t="s">
        <v>93</v>
      </c>
      <c r="E1327" t="s">
        <v>44</v>
      </c>
      <c r="F1327" s="6">
        <v>0.71875</v>
      </c>
      <c r="G1327">
        <v>0</v>
      </c>
      <c r="H1327" s="6">
        <f>FLOOR(tblPivotData[[#This Row],[Time]],Summary!$B$6/1440)</f>
        <v>0.71875</v>
      </c>
      <c r="I1327" s="49">
        <f>INDEX(PeakCalc!$L$10:$L$303,MATCH(tblPivotData[[#This Row],[Time]],PeakCalc!$G$10:$G$303,0))</f>
        <v>1</v>
      </c>
    </row>
    <row r="1328" spans="1:9" x14ac:dyDescent="0.25">
      <c r="A1328" t="s">
        <v>96</v>
      </c>
      <c r="B1328" t="s">
        <v>104</v>
      </c>
      <c r="C1328" t="s">
        <v>97</v>
      </c>
      <c r="D1328" t="s">
        <v>93</v>
      </c>
      <c r="E1328" t="s">
        <v>44</v>
      </c>
      <c r="F1328" s="6">
        <v>0.72916666666666663</v>
      </c>
      <c r="G1328">
        <v>0</v>
      </c>
      <c r="H1328" s="6">
        <f>FLOOR(tblPivotData[[#This Row],[Time]],Summary!$B$6/1440)</f>
        <v>0.72916666666666663</v>
      </c>
      <c r="I1328" s="49">
        <f>INDEX(PeakCalc!$L$10:$L$303,MATCH(tblPivotData[[#This Row],[Time]],PeakCalc!$G$10:$G$303,0))</f>
        <v>0</v>
      </c>
    </row>
    <row r="1329" spans="1:9" x14ac:dyDescent="0.25">
      <c r="A1329" t="s">
        <v>96</v>
      </c>
      <c r="B1329" t="s">
        <v>104</v>
      </c>
      <c r="C1329" t="s">
        <v>97</v>
      </c>
      <c r="D1329" t="s">
        <v>93</v>
      </c>
      <c r="E1329" t="s">
        <v>44</v>
      </c>
      <c r="F1329" s="6">
        <v>0.73958333333333337</v>
      </c>
      <c r="G1329">
        <v>0</v>
      </c>
      <c r="H1329" s="6">
        <f>FLOOR(tblPivotData[[#This Row],[Time]],Summary!$B$6/1440)</f>
        <v>0.73958333333333326</v>
      </c>
      <c r="I1329" s="49">
        <f>INDEX(PeakCalc!$L$10:$L$303,MATCH(tblPivotData[[#This Row],[Time]],PeakCalc!$G$10:$G$303,0))</f>
        <v>0</v>
      </c>
    </row>
    <row r="1330" spans="1:9" x14ac:dyDescent="0.25">
      <c r="A1330" t="s">
        <v>96</v>
      </c>
      <c r="B1330" t="s">
        <v>104</v>
      </c>
      <c r="C1330" t="s">
        <v>97</v>
      </c>
      <c r="D1330" t="s">
        <v>93</v>
      </c>
      <c r="E1330" t="s">
        <v>44</v>
      </c>
      <c r="F1330" s="6">
        <v>0.75</v>
      </c>
      <c r="G1330">
        <v>0</v>
      </c>
      <c r="H1330" s="6">
        <f>FLOOR(tblPivotData[[#This Row],[Time]],Summary!$B$6/1440)</f>
        <v>0.75</v>
      </c>
      <c r="I1330" s="49">
        <f>INDEX(PeakCalc!$L$10:$L$303,MATCH(tblPivotData[[#This Row],[Time]],PeakCalc!$G$10:$G$303,0))</f>
        <v>0</v>
      </c>
    </row>
    <row r="1331" spans="1:9" x14ac:dyDescent="0.25">
      <c r="A1331" t="s">
        <v>96</v>
      </c>
      <c r="B1331" t="s">
        <v>104</v>
      </c>
      <c r="C1331" t="s">
        <v>97</v>
      </c>
      <c r="D1331" t="s">
        <v>93</v>
      </c>
      <c r="E1331" t="s">
        <v>44</v>
      </c>
      <c r="F1331" s="6">
        <v>0.76041666666666663</v>
      </c>
      <c r="G1331">
        <v>0</v>
      </c>
      <c r="H1331" s="6">
        <f>FLOOR(tblPivotData[[#This Row],[Time]],Summary!$B$6/1440)</f>
        <v>0.76041666666666663</v>
      </c>
      <c r="I1331" s="49">
        <f>INDEX(PeakCalc!$L$10:$L$303,MATCH(tblPivotData[[#This Row],[Time]],PeakCalc!$G$10:$G$303,0))</f>
        <v>0</v>
      </c>
    </row>
    <row r="1332" spans="1:9" x14ac:dyDescent="0.25">
      <c r="A1332" t="s">
        <v>96</v>
      </c>
      <c r="B1332" t="s">
        <v>105</v>
      </c>
      <c r="C1332" t="s">
        <v>94</v>
      </c>
      <c r="D1332" t="s">
        <v>89</v>
      </c>
      <c r="E1332" t="s">
        <v>43</v>
      </c>
      <c r="F1332" s="6">
        <v>0.27083333333333331</v>
      </c>
      <c r="G1332">
        <v>44</v>
      </c>
      <c r="H1332" s="6">
        <f>FLOOR(tblPivotData[[#This Row],[Time]],Summary!$B$6/1440)</f>
        <v>0.27083333333333331</v>
      </c>
      <c r="I1332" s="49">
        <f>INDEX(PeakCalc!$L$10:$L$303,MATCH(tblPivotData[[#This Row],[Time]],PeakCalc!$G$10:$G$303,0))</f>
        <v>0</v>
      </c>
    </row>
    <row r="1333" spans="1:9" x14ac:dyDescent="0.25">
      <c r="A1333" t="s">
        <v>96</v>
      </c>
      <c r="B1333" t="s">
        <v>105</v>
      </c>
      <c r="C1333" t="s">
        <v>94</v>
      </c>
      <c r="D1333" t="s">
        <v>89</v>
      </c>
      <c r="E1333" t="s">
        <v>43</v>
      </c>
      <c r="F1333" s="6">
        <v>0.28125</v>
      </c>
      <c r="G1333">
        <v>29</v>
      </c>
      <c r="H1333" s="6">
        <f>FLOOR(tblPivotData[[#This Row],[Time]],Summary!$B$6/1440)</f>
        <v>0.28125</v>
      </c>
      <c r="I1333" s="49">
        <f>INDEX(PeakCalc!$L$10:$L$303,MATCH(tblPivotData[[#This Row],[Time]],PeakCalc!$G$10:$G$303,0))</f>
        <v>0</v>
      </c>
    </row>
    <row r="1334" spans="1:9" x14ac:dyDescent="0.25">
      <c r="A1334" t="s">
        <v>96</v>
      </c>
      <c r="B1334" t="s">
        <v>105</v>
      </c>
      <c r="C1334" t="s">
        <v>94</v>
      </c>
      <c r="D1334" t="s">
        <v>89</v>
      </c>
      <c r="E1334" t="s">
        <v>43</v>
      </c>
      <c r="F1334" s="6">
        <v>0.29166666666666669</v>
      </c>
      <c r="G1334">
        <v>46</v>
      </c>
      <c r="H1334" s="6">
        <f>FLOOR(tblPivotData[[#This Row],[Time]],Summary!$B$6/1440)</f>
        <v>0.29166666666666663</v>
      </c>
      <c r="I1334" s="49">
        <f>INDEX(PeakCalc!$L$10:$L$303,MATCH(tblPivotData[[#This Row],[Time]],PeakCalc!$G$10:$G$303,0))</f>
        <v>0</v>
      </c>
    </row>
    <row r="1335" spans="1:9" x14ac:dyDescent="0.25">
      <c r="A1335" t="s">
        <v>96</v>
      </c>
      <c r="B1335" t="s">
        <v>105</v>
      </c>
      <c r="C1335" t="s">
        <v>94</v>
      </c>
      <c r="D1335" t="s">
        <v>89</v>
      </c>
      <c r="E1335" t="s">
        <v>43</v>
      </c>
      <c r="F1335" s="6">
        <v>0.30208333333333331</v>
      </c>
      <c r="G1335">
        <v>75</v>
      </c>
      <c r="H1335" s="6">
        <f>FLOOR(tblPivotData[[#This Row],[Time]],Summary!$B$6/1440)</f>
        <v>0.30208333333333331</v>
      </c>
      <c r="I1335" s="49">
        <f>INDEX(PeakCalc!$L$10:$L$303,MATCH(tblPivotData[[#This Row],[Time]],PeakCalc!$G$10:$G$303,0))</f>
        <v>0</v>
      </c>
    </row>
    <row r="1336" spans="1:9" x14ac:dyDescent="0.25">
      <c r="A1336" t="s">
        <v>96</v>
      </c>
      <c r="B1336" t="s">
        <v>105</v>
      </c>
      <c r="C1336" t="s">
        <v>94</v>
      </c>
      <c r="D1336" t="s">
        <v>89</v>
      </c>
      <c r="E1336" t="s">
        <v>43</v>
      </c>
      <c r="F1336" s="6">
        <v>0.3125</v>
      </c>
      <c r="G1336">
        <v>94</v>
      </c>
      <c r="H1336" s="6">
        <f>FLOOR(tblPivotData[[#This Row],[Time]],Summary!$B$6/1440)</f>
        <v>0.3125</v>
      </c>
      <c r="I1336" s="49">
        <f>INDEX(PeakCalc!$L$10:$L$303,MATCH(tblPivotData[[#This Row],[Time]],PeakCalc!$G$10:$G$303,0))</f>
        <v>0</v>
      </c>
    </row>
    <row r="1337" spans="1:9" x14ac:dyDescent="0.25">
      <c r="A1337" t="s">
        <v>96</v>
      </c>
      <c r="B1337" t="s">
        <v>105</v>
      </c>
      <c r="C1337" t="s">
        <v>94</v>
      </c>
      <c r="D1337" t="s">
        <v>89</v>
      </c>
      <c r="E1337" t="s">
        <v>43</v>
      </c>
      <c r="F1337" s="6">
        <v>0.32291666666666669</v>
      </c>
      <c r="G1337">
        <v>86</v>
      </c>
      <c r="H1337" s="6">
        <f>FLOOR(tblPivotData[[#This Row],[Time]],Summary!$B$6/1440)</f>
        <v>0.32291666666666663</v>
      </c>
      <c r="I1337" s="49">
        <f>INDEX(PeakCalc!$L$10:$L$303,MATCH(tblPivotData[[#This Row],[Time]],PeakCalc!$G$10:$G$303,0))</f>
        <v>1</v>
      </c>
    </row>
    <row r="1338" spans="1:9" x14ac:dyDescent="0.25">
      <c r="A1338" t="s">
        <v>96</v>
      </c>
      <c r="B1338" t="s">
        <v>105</v>
      </c>
      <c r="C1338" t="s">
        <v>94</v>
      </c>
      <c r="D1338" t="s">
        <v>89</v>
      </c>
      <c r="E1338" t="s">
        <v>43</v>
      </c>
      <c r="F1338" s="6">
        <v>0.33333333333333331</v>
      </c>
      <c r="G1338">
        <v>99</v>
      </c>
      <c r="H1338" s="6">
        <f>FLOOR(tblPivotData[[#This Row],[Time]],Summary!$B$6/1440)</f>
        <v>0.33333333333333331</v>
      </c>
      <c r="I1338" s="49">
        <f>INDEX(PeakCalc!$L$10:$L$303,MATCH(tblPivotData[[#This Row],[Time]],PeakCalc!$G$10:$G$303,0))</f>
        <v>1</v>
      </c>
    </row>
    <row r="1339" spans="1:9" x14ac:dyDescent="0.25">
      <c r="A1339" t="s">
        <v>96</v>
      </c>
      <c r="B1339" t="s">
        <v>105</v>
      </c>
      <c r="C1339" t="s">
        <v>94</v>
      </c>
      <c r="D1339" t="s">
        <v>89</v>
      </c>
      <c r="E1339" t="s">
        <v>43</v>
      </c>
      <c r="F1339" s="6">
        <v>0.34375</v>
      </c>
      <c r="G1339">
        <v>122</v>
      </c>
      <c r="H1339" s="6">
        <f>FLOOR(tblPivotData[[#This Row],[Time]],Summary!$B$6/1440)</f>
        <v>0.34375</v>
      </c>
      <c r="I1339" s="49">
        <f>INDEX(PeakCalc!$L$10:$L$303,MATCH(tblPivotData[[#This Row],[Time]],PeakCalc!$G$10:$G$303,0))</f>
        <v>1</v>
      </c>
    </row>
    <row r="1340" spans="1:9" x14ac:dyDescent="0.25">
      <c r="A1340" t="s">
        <v>96</v>
      </c>
      <c r="B1340" t="s">
        <v>105</v>
      </c>
      <c r="C1340" t="s">
        <v>94</v>
      </c>
      <c r="D1340" t="s">
        <v>89</v>
      </c>
      <c r="E1340" t="s">
        <v>43</v>
      </c>
      <c r="F1340" s="6">
        <v>0.35416666666666669</v>
      </c>
      <c r="G1340">
        <v>90</v>
      </c>
      <c r="H1340" s="6">
        <f>FLOOR(tblPivotData[[#This Row],[Time]],Summary!$B$6/1440)</f>
        <v>0.35416666666666663</v>
      </c>
      <c r="I1340" s="49">
        <f>INDEX(PeakCalc!$L$10:$L$303,MATCH(tblPivotData[[#This Row],[Time]],PeakCalc!$G$10:$G$303,0))</f>
        <v>1</v>
      </c>
    </row>
    <row r="1341" spans="1:9" x14ac:dyDescent="0.25">
      <c r="A1341" t="s">
        <v>96</v>
      </c>
      <c r="B1341" t="s">
        <v>105</v>
      </c>
      <c r="C1341" t="s">
        <v>94</v>
      </c>
      <c r="D1341" t="s">
        <v>89</v>
      </c>
      <c r="E1341" t="s">
        <v>43</v>
      </c>
      <c r="F1341" s="6">
        <v>0.36458333333333331</v>
      </c>
      <c r="G1341">
        <v>99</v>
      </c>
      <c r="H1341" s="6">
        <f>FLOOR(tblPivotData[[#This Row],[Time]],Summary!$B$6/1440)</f>
        <v>0.36458333333333331</v>
      </c>
      <c r="I1341" s="49">
        <f>INDEX(PeakCalc!$L$10:$L$303,MATCH(tblPivotData[[#This Row],[Time]],PeakCalc!$G$10:$G$303,0))</f>
        <v>0</v>
      </c>
    </row>
    <row r="1342" spans="1:9" x14ac:dyDescent="0.25">
      <c r="A1342" t="s">
        <v>96</v>
      </c>
      <c r="B1342" t="s">
        <v>105</v>
      </c>
      <c r="C1342" t="s">
        <v>94</v>
      </c>
      <c r="D1342" t="s">
        <v>89</v>
      </c>
      <c r="E1342" t="s">
        <v>43</v>
      </c>
      <c r="F1342" s="6">
        <v>0.375</v>
      </c>
      <c r="G1342">
        <v>54</v>
      </c>
      <c r="H1342" s="6">
        <f>FLOOR(tblPivotData[[#This Row],[Time]],Summary!$B$6/1440)</f>
        <v>0.375</v>
      </c>
      <c r="I1342" s="49">
        <f>INDEX(PeakCalc!$L$10:$L$303,MATCH(tblPivotData[[#This Row],[Time]],PeakCalc!$G$10:$G$303,0))</f>
        <v>0</v>
      </c>
    </row>
    <row r="1343" spans="1:9" x14ac:dyDescent="0.25">
      <c r="A1343" t="s">
        <v>96</v>
      </c>
      <c r="B1343" t="s">
        <v>105</v>
      </c>
      <c r="C1343" t="s">
        <v>94</v>
      </c>
      <c r="D1343" t="s">
        <v>89</v>
      </c>
      <c r="E1343" t="s">
        <v>43</v>
      </c>
      <c r="F1343" s="6">
        <v>0.38541666666666669</v>
      </c>
      <c r="G1343">
        <v>87</v>
      </c>
      <c r="H1343" s="6">
        <f>FLOOR(tblPivotData[[#This Row],[Time]],Summary!$B$6/1440)</f>
        <v>0.38541666666666663</v>
      </c>
      <c r="I1343" s="49">
        <f>INDEX(PeakCalc!$L$10:$L$303,MATCH(tblPivotData[[#This Row],[Time]],PeakCalc!$G$10:$G$303,0))</f>
        <v>0</v>
      </c>
    </row>
    <row r="1344" spans="1:9" x14ac:dyDescent="0.25">
      <c r="A1344" t="s">
        <v>96</v>
      </c>
      <c r="B1344" t="s">
        <v>105</v>
      </c>
      <c r="C1344" t="s">
        <v>94</v>
      </c>
      <c r="D1344" t="s">
        <v>89</v>
      </c>
      <c r="E1344" t="s">
        <v>110</v>
      </c>
      <c r="F1344" s="6">
        <v>0.45833333333333331</v>
      </c>
      <c r="G1344">
        <v>84</v>
      </c>
      <c r="H1344" s="6">
        <f>FLOOR(tblPivotData[[#This Row],[Time]],Summary!$B$6/1440)</f>
        <v>0.45833333333333331</v>
      </c>
      <c r="I1344" s="49">
        <f>INDEX(PeakCalc!$L$10:$L$303,MATCH(tblPivotData[[#This Row],[Time]],PeakCalc!$G$10:$G$303,0))</f>
        <v>0</v>
      </c>
    </row>
    <row r="1345" spans="1:9" x14ac:dyDescent="0.25">
      <c r="A1345" t="s">
        <v>96</v>
      </c>
      <c r="B1345" t="s">
        <v>105</v>
      </c>
      <c r="C1345" t="s">
        <v>94</v>
      </c>
      <c r="D1345" t="s">
        <v>89</v>
      </c>
      <c r="E1345" t="s">
        <v>110</v>
      </c>
      <c r="F1345" s="6">
        <v>0.46875</v>
      </c>
      <c r="G1345">
        <v>79</v>
      </c>
      <c r="H1345" s="6">
        <f>FLOOR(tblPivotData[[#This Row],[Time]],Summary!$B$6/1440)</f>
        <v>0.46875</v>
      </c>
      <c r="I1345" s="49">
        <f>INDEX(PeakCalc!$L$10:$L$303,MATCH(tblPivotData[[#This Row],[Time]],PeakCalc!$G$10:$G$303,0))</f>
        <v>0</v>
      </c>
    </row>
    <row r="1346" spans="1:9" x14ac:dyDescent="0.25">
      <c r="A1346" t="s">
        <v>96</v>
      </c>
      <c r="B1346" t="s">
        <v>105</v>
      </c>
      <c r="C1346" t="s">
        <v>94</v>
      </c>
      <c r="D1346" t="s">
        <v>89</v>
      </c>
      <c r="E1346" t="s">
        <v>110</v>
      </c>
      <c r="F1346" s="6">
        <v>0.47916666666666669</v>
      </c>
      <c r="G1346">
        <v>88</v>
      </c>
      <c r="H1346" s="6">
        <f>FLOOR(tblPivotData[[#This Row],[Time]],Summary!$B$6/1440)</f>
        <v>0.47916666666666663</v>
      </c>
      <c r="I1346" s="49">
        <f>INDEX(PeakCalc!$L$10:$L$303,MATCH(tblPivotData[[#This Row],[Time]],PeakCalc!$G$10:$G$303,0))</f>
        <v>0</v>
      </c>
    </row>
    <row r="1347" spans="1:9" x14ac:dyDescent="0.25">
      <c r="A1347" t="s">
        <v>96</v>
      </c>
      <c r="B1347" t="s">
        <v>105</v>
      </c>
      <c r="C1347" t="s">
        <v>94</v>
      </c>
      <c r="D1347" t="s">
        <v>89</v>
      </c>
      <c r="E1347" t="s">
        <v>110</v>
      </c>
      <c r="F1347" s="6">
        <v>0.48958333333333331</v>
      </c>
      <c r="G1347">
        <v>114</v>
      </c>
      <c r="H1347" s="6">
        <f>FLOOR(tblPivotData[[#This Row],[Time]],Summary!$B$6/1440)</f>
        <v>0.48958333333333331</v>
      </c>
      <c r="I1347" s="49">
        <f>INDEX(PeakCalc!$L$10:$L$303,MATCH(tblPivotData[[#This Row],[Time]],PeakCalc!$G$10:$G$303,0))</f>
        <v>0</v>
      </c>
    </row>
    <row r="1348" spans="1:9" x14ac:dyDescent="0.25">
      <c r="A1348" t="s">
        <v>96</v>
      </c>
      <c r="B1348" t="s">
        <v>105</v>
      </c>
      <c r="C1348" t="s">
        <v>94</v>
      </c>
      <c r="D1348" t="s">
        <v>89</v>
      </c>
      <c r="E1348" t="s">
        <v>110</v>
      </c>
      <c r="F1348" s="6">
        <v>0.5</v>
      </c>
      <c r="G1348">
        <v>98</v>
      </c>
      <c r="H1348" s="6">
        <f>FLOOR(tblPivotData[[#This Row],[Time]],Summary!$B$6/1440)</f>
        <v>0.5</v>
      </c>
      <c r="I1348" s="49">
        <f>INDEX(PeakCalc!$L$10:$L$303,MATCH(tblPivotData[[#This Row],[Time]],PeakCalc!$G$10:$G$303,0))</f>
        <v>0</v>
      </c>
    </row>
    <row r="1349" spans="1:9" x14ac:dyDescent="0.25">
      <c r="A1349" t="s">
        <v>96</v>
      </c>
      <c r="B1349" t="s">
        <v>105</v>
      </c>
      <c r="C1349" t="s">
        <v>94</v>
      </c>
      <c r="D1349" t="s">
        <v>89</v>
      </c>
      <c r="E1349" t="s">
        <v>110</v>
      </c>
      <c r="F1349" s="6">
        <v>0.51041666666666663</v>
      </c>
      <c r="G1349">
        <v>117</v>
      </c>
      <c r="H1349" s="6">
        <f>FLOOR(tblPivotData[[#This Row],[Time]],Summary!$B$6/1440)</f>
        <v>0.51041666666666663</v>
      </c>
      <c r="I1349" s="49">
        <f>INDEX(PeakCalc!$L$10:$L$303,MATCH(tblPivotData[[#This Row],[Time]],PeakCalc!$G$10:$G$303,0))</f>
        <v>0</v>
      </c>
    </row>
    <row r="1350" spans="1:9" x14ac:dyDescent="0.25">
      <c r="A1350" t="s">
        <v>96</v>
      </c>
      <c r="B1350" t="s">
        <v>105</v>
      </c>
      <c r="C1350" t="s">
        <v>94</v>
      </c>
      <c r="D1350" t="s">
        <v>89</v>
      </c>
      <c r="E1350" t="s">
        <v>110</v>
      </c>
      <c r="F1350" s="6">
        <v>0.52083333333333337</v>
      </c>
      <c r="G1350">
        <v>87</v>
      </c>
      <c r="H1350" s="6">
        <f>FLOOR(tblPivotData[[#This Row],[Time]],Summary!$B$6/1440)</f>
        <v>0.52083333333333326</v>
      </c>
      <c r="I1350" s="49">
        <f>INDEX(PeakCalc!$L$10:$L$303,MATCH(tblPivotData[[#This Row],[Time]],PeakCalc!$G$10:$G$303,0))</f>
        <v>1</v>
      </c>
    </row>
    <row r="1351" spans="1:9" x14ac:dyDescent="0.25">
      <c r="A1351" t="s">
        <v>96</v>
      </c>
      <c r="B1351" t="s">
        <v>105</v>
      </c>
      <c r="C1351" t="s">
        <v>94</v>
      </c>
      <c r="D1351" t="s">
        <v>89</v>
      </c>
      <c r="E1351" t="s">
        <v>110</v>
      </c>
      <c r="F1351" s="6">
        <v>0.53125</v>
      </c>
      <c r="G1351">
        <v>79</v>
      </c>
      <c r="H1351" s="6">
        <f>FLOOR(tblPivotData[[#This Row],[Time]],Summary!$B$6/1440)</f>
        <v>0.53125</v>
      </c>
      <c r="I1351" s="49">
        <f>INDEX(PeakCalc!$L$10:$L$303,MATCH(tblPivotData[[#This Row],[Time]],PeakCalc!$G$10:$G$303,0))</f>
        <v>1</v>
      </c>
    </row>
    <row r="1352" spans="1:9" x14ac:dyDescent="0.25">
      <c r="A1352" t="s">
        <v>96</v>
      </c>
      <c r="B1352" t="s">
        <v>105</v>
      </c>
      <c r="C1352" t="s">
        <v>94</v>
      </c>
      <c r="D1352" t="s">
        <v>89</v>
      </c>
      <c r="E1352" t="s">
        <v>110</v>
      </c>
      <c r="F1352" s="6">
        <v>0.54166666666666663</v>
      </c>
      <c r="G1352">
        <v>106</v>
      </c>
      <c r="H1352" s="6">
        <f>FLOOR(tblPivotData[[#This Row],[Time]],Summary!$B$6/1440)</f>
        <v>0.54166666666666663</v>
      </c>
      <c r="I1352" s="49">
        <f>INDEX(PeakCalc!$L$10:$L$303,MATCH(tblPivotData[[#This Row],[Time]],PeakCalc!$G$10:$G$303,0))</f>
        <v>1</v>
      </c>
    </row>
    <row r="1353" spans="1:9" x14ac:dyDescent="0.25">
      <c r="A1353" t="s">
        <v>96</v>
      </c>
      <c r="B1353" t="s">
        <v>105</v>
      </c>
      <c r="C1353" t="s">
        <v>94</v>
      </c>
      <c r="D1353" t="s">
        <v>89</v>
      </c>
      <c r="E1353" t="s">
        <v>110</v>
      </c>
      <c r="F1353" s="6">
        <v>0.55208333333333337</v>
      </c>
      <c r="G1353">
        <v>109</v>
      </c>
      <c r="H1353" s="6">
        <f>FLOOR(tblPivotData[[#This Row],[Time]],Summary!$B$6/1440)</f>
        <v>0.55208333333333326</v>
      </c>
      <c r="I1353" s="49">
        <f>INDEX(PeakCalc!$L$10:$L$303,MATCH(tblPivotData[[#This Row],[Time]],PeakCalc!$G$10:$G$303,0))</f>
        <v>1</v>
      </c>
    </row>
    <row r="1354" spans="1:9" x14ac:dyDescent="0.25">
      <c r="A1354" t="s">
        <v>96</v>
      </c>
      <c r="B1354" t="s">
        <v>105</v>
      </c>
      <c r="C1354" t="s">
        <v>94</v>
      </c>
      <c r="D1354" t="s">
        <v>89</v>
      </c>
      <c r="E1354" t="s">
        <v>110</v>
      </c>
      <c r="F1354" s="6">
        <v>0.5625</v>
      </c>
      <c r="G1354">
        <v>98</v>
      </c>
      <c r="H1354" s="6">
        <f>FLOOR(tblPivotData[[#This Row],[Time]],Summary!$B$6/1440)</f>
        <v>0.5625</v>
      </c>
      <c r="I1354" s="49">
        <f>INDEX(PeakCalc!$L$10:$L$303,MATCH(tblPivotData[[#This Row],[Time]],PeakCalc!$G$10:$G$303,0))</f>
        <v>0</v>
      </c>
    </row>
    <row r="1355" spans="1:9" x14ac:dyDescent="0.25">
      <c r="A1355" t="s">
        <v>96</v>
      </c>
      <c r="B1355" t="s">
        <v>105</v>
      </c>
      <c r="C1355" t="s">
        <v>94</v>
      </c>
      <c r="D1355" t="s">
        <v>89</v>
      </c>
      <c r="E1355" t="s">
        <v>110</v>
      </c>
      <c r="F1355" s="6">
        <v>0.57291666666666663</v>
      </c>
      <c r="G1355">
        <v>84</v>
      </c>
      <c r="H1355" s="6">
        <f>FLOOR(tblPivotData[[#This Row],[Time]],Summary!$B$6/1440)</f>
        <v>0.57291666666666663</v>
      </c>
      <c r="I1355" s="49">
        <f>INDEX(PeakCalc!$L$10:$L$303,MATCH(tblPivotData[[#This Row],[Time]],PeakCalc!$G$10:$G$303,0))</f>
        <v>0</v>
      </c>
    </row>
    <row r="1356" spans="1:9" x14ac:dyDescent="0.25">
      <c r="A1356" t="s">
        <v>96</v>
      </c>
      <c r="B1356" t="s">
        <v>105</v>
      </c>
      <c r="C1356" t="s">
        <v>94</v>
      </c>
      <c r="D1356" t="s">
        <v>89</v>
      </c>
      <c r="E1356" t="s">
        <v>44</v>
      </c>
      <c r="F1356" s="6">
        <v>0.625</v>
      </c>
      <c r="G1356">
        <v>150</v>
      </c>
      <c r="H1356" s="6">
        <f>FLOOR(tblPivotData[[#This Row],[Time]],Summary!$B$6/1440)</f>
        <v>0.625</v>
      </c>
      <c r="I1356" s="49">
        <f>INDEX(PeakCalc!$L$10:$L$303,MATCH(tblPivotData[[#This Row],[Time]],PeakCalc!$G$10:$G$303,0))</f>
        <v>0</v>
      </c>
    </row>
    <row r="1357" spans="1:9" x14ac:dyDescent="0.25">
      <c r="A1357" t="s">
        <v>96</v>
      </c>
      <c r="B1357" t="s">
        <v>105</v>
      </c>
      <c r="C1357" t="s">
        <v>94</v>
      </c>
      <c r="D1357" t="s">
        <v>89</v>
      </c>
      <c r="E1357" t="s">
        <v>44</v>
      </c>
      <c r="F1357" s="6">
        <v>0.63541666666666663</v>
      </c>
      <c r="G1357">
        <v>120</v>
      </c>
      <c r="H1357" s="6">
        <f>FLOOR(tblPivotData[[#This Row],[Time]],Summary!$B$6/1440)</f>
        <v>0.63541666666666663</v>
      </c>
      <c r="I1357" s="49">
        <f>INDEX(PeakCalc!$L$10:$L$303,MATCH(tblPivotData[[#This Row],[Time]],PeakCalc!$G$10:$G$303,0))</f>
        <v>0</v>
      </c>
    </row>
    <row r="1358" spans="1:9" x14ac:dyDescent="0.25">
      <c r="A1358" t="s">
        <v>96</v>
      </c>
      <c r="B1358" t="s">
        <v>105</v>
      </c>
      <c r="C1358" t="s">
        <v>94</v>
      </c>
      <c r="D1358" t="s">
        <v>89</v>
      </c>
      <c r="E1358" t="s">
        <v>44</v>
      </c>
      <c r="F1358" s="6">
        <v>0.64583333333333337</v>
      </c>
      <c r="G1358">
        <v>123</v>
      </c>
      <c r="H1358" s="6">
        <f>FLOOR(tblPivotData[[#This Row],[Time]],Summary!$B$6/1440)</f>
        <v>0.64583333333333326</v>
      </c>
      <c r="I1358" s="49">
        <f>INDEX(PeakCalc!$L$10:$L$303,MATCH(tblPivotData[[#This Row],[Time]],PeakCalc!$G$10:$G$303,0))</f>
        <v>0</v>
      </c>
    </row>
    <row r="1359" spans="1:9" x14ac:dyDescent="0.25">
      <c r="A1359" t="s">
        <v>96</v>
      </c>
      <c r="B1359" t="s">
        <v>105</v>
      </c>
      <c r="C1359" t="s">
        <v>94</v>
      </c>
      <c r="D1359" t="s">
        <v>89</v>
      </c>
      <c r="E1359" t="s">
        <v>44</v>
      </c>
      <c r="F1359" s="6">
        <v>0.65625</v>
      </c>
      <c r="G1359">
        <v>136</v>
      </c>
      <c r="H1359" s="6">
        <f>FLOOR(tblPivotData[[#This Row],[Time]],Summary!$B$6/1440)</f>
        <v>0.65625</v>
      </c>
      <c r="I1359" s="49">
        <f>INDEX(PeakCalc!$L$10:$L$303,MATCH(tblPivotData[[#This Row],[Time]],PeakCalc!$G$10:$G$303,0))</f>
        <v>0</v>
      </c>
    </row>
    <row r="1360" spans="1:9" x14ac:dyDescent="0.25">
      <c r="A1360" t="s">
        <v>96</v>
      </c>
      <c r="B1360" t="s">
        <v>105</v>
      </c>
      <c r="C1360" t="s">
        <v>94</v>
      </c>
      <c r="D1360" t="s">
        <v>89</v>
      </c>
      <c r="E1360" t="s">
        <v>44</v>
      </c>
      <c r="F1360" s="6">
        <v>0.66666666666666663</v>
      </c>
      <c r="G1360">
        <v>136</v>
      </c>
      <c r="H1360" s="6">
        <f>FLOOR(tblPivotData[[#This Row],[Time]],Summary!$B$6/1440)</f>
        <v>0.66666666666666663</v>
      </c>
      <c r="I1360" s="49">
        <f>INDEX(PeakCalc!$L$10:$L$303,MATCH(tblPivotData[[#This Row],[Time]],PeakCalc!$G$10:$G$303,0))</f>
        <v>0</v>
      </c>
    </row>
    <row r="1361" spans="1:9" x14ac:dyDescent="0.25">
      <c r="A1361" t="s">
        <v>96</v>
      </c>
      <c r="B1361" t="s">
        <v>105</v>
      </c>
      <c r="C1361" t="s">
        <v>94</v>
      </c>
      <c r="D1361" t="s">
        <v>89</v>
      </c>
      <c r="E1361" t="s">
        <v>44</v>
      </c>
      <c r="F1361" s="6">
        <v>0.67708333333333337</v>
      </c>
      <c r="G1361">
        <v>171</v>
      </c>
      <c r="H1361" s="6">
        <f>FLOOR(tblPivotData[[#This Row],[Time]],Summary!$B$6/1440)</f>
        <v>0.67708333333333326</v>
      </c>
      <c r="I1361" s="49">
        <f>INDEX(PeakCalc!$L$10:$L$303,MATCH(tblPivotData[[#This Row],[Time]],PeakCalc!$G$10:$G$303,0))</f>
        <v>0</v>
      </c>
    </row>
    <row r="1362" spans="1:9" x14ac:dyDescent="0.25">
      <c r="A1362" t="s">
        <v>96</v>
      </c>
      <c r="B1362" t="s">
        <v>105</v>
      </c>
      <c r="C1362" t="s">
        <v>94</v>
      </c>
      <c r="D1362" t="s">
        <v>89</v>
      </c>
      <c r="E1362" t="s">
        <v>44</v>
      </c>
      <c r="F1362" s="6">
        <v>0.6875</v>
      </c>
      <c r="G1362">
        <v>179</v>
      </c>
      <c r="H1362" s="6">
        <f>FLOOR(tblPivotData[[#This Row],[Time]],Summary!$B$6/1440)</f>
        <v>0.6875</v>
      </c>
      <c r="I1362" s="49">
        <f>INDEX(PeakCalc!$L$10:$L$303,MATCH(tblPivotData[[#This Row],[Time]],PeakCalc!$G$10:$G$303,0))</f>
        <v>1</v>
      </c>
    </row>
    <row r="1363" spans="1:9" x14ac:dyDescent="0.25">
      <c r="A1363" t="s">
        <v>96</v>
      </c>
      <c r="B1363" t="s">
        <v>105</v>
      </c>
      <c r="C1363" t="s">
        <v>94</v>
      </c>
      <c r="D1363" t="s">
        <v>89</v>
      </c>
      <c r="E1363" t="s">
        <v>44</v>
      </c>
      <c r="F1363" s="6">
        <v>0.69791666666666663</v>
      </c>
      <c r="G1363">
        <v>151</v>
      </c>
      <c r="H1363" s="6">
        <f>FLOOR(tblPivotData[[#This Row],[Time]],Summary!$B$6/1440)</f>
        <v>0.69791666666666663</v>
      </c>
      <c r="I1363" s="49">
        <f>INDEX(PeakCalc!$L$10:$L$303,MATCH(tblPivotData[[#This Row],[Time]],PeakCalc!$G$10:$G$303,0))</f>
        <v>1</v>
      </c>
    </row>
    <row r="1364" spans="1:9" x14ac:dyDescent="0.25">
      <c r="A1364" t="s">
        <v>96</v>
      </c>
      <c r="B1364" t="s">
        <v>105</v>
      </c>
      <c r="C1364" t="s">
        <v>94</v>
      </c>
      <c r="D1364" t="s">
        <v>89</v>
      </c>
      <c r="E1364" t="s">
        <v>44</v>
      </c>
      <c r="F1364" s="6">
        <v>0.70833333333333337</v>
      </c>
      <c r="G1364">
        <v>142</v>
      </c>
      <c r="H1364" s="6">
        <f>FLOOR(tblPivotData[[#This Row],[Time]],Summary!$B$6/1440)</f>
        <v>0.70833333333333326</v>
      </c>
      <c r="I1364" s="49">
        <f>INDEX(PeakCalc!$L$10:$L$303,MATCH(tblPivotData[[#This Row],[Time]],PeakCalc!$G$10:$G$303,0))</f>
        <v>1</v>
      </c>
    </row>
    <row r="1365" spans="1:9" x14ac:dyDescent="0.25">
      <c r="A1365" t="s">
        <v>96</v>
      </c>
      <c r="B1365" t="s">
        <v>105</v>
      </c>
      <c r="C1365" t="s">
        <v>94</v>
      </c>
      <c r="D1365" t="s">
        <v>89</v>
      </c>
      <c r="E1365" t="s">
        <v>44</v>
      </c>
      <c r="F1365" s="6">
        <v>0.71875</v>
      </c>
      <c r="G1365">
        <v>155</v>
      </c>
      <c r="H1365" s="6">
        <f>FLOOR(tblPivotData[[#This Row],[Time]],Summary!$B$6/1440)</f>
        <v>0.71875</v>
      </c>
      <c r="I1365" s="49">
        <f>INDEX(PeakCalc!$L$10:$L$303,MATCH(tblPivotData[[#This Row],[Time]],PeakCalc!$G$10:$G$303,0))</f>
        <v>1</v>
      </c>
    </row>
    <row r="1366" spans="1:9" x14ac:dyDescent="0.25">
      <c r="A1366" t="s">
        <v>96</v>
      </c>
      <c r="B1366" t="s">
        <v>105</v>
      </c>
      <c r="C1366" t="s">
        <v>94</v>
      </c>
      <c r="D1366" t="s">
        <v>89</v>
      </c>
      <c r="E1366" t="s">
        <v>44</v>
      </c>
      <c r="F1366" s="6">
        <v>0.72916666666666663</v>
      </c>
      <c r="G1366">
        <v>170</v>
      </c>
      <c r="H1366" s="6">
        <f>FLOOR(tblPivotData[[#This Row],[Time]],Summary!$B$6/1440)</f>
        <v>0.72916666666666663</v>
      </c>
      <c r="I1366" s="49">
        <f>INDEX(PeakCalc!$L$10:$L$303,MATCH(tblPivotData[[#This Row],[Time]],PeakCalc!$G$10:$G$303,0))</f>
        <v>0</v>
      </c>
    </row>
    <row r="1367" spans="1:9" x14ac:dyDescent="0.25">
      <c r="A1367" t="s">
        <v>96</v>
      </c>
      <c r="B1367" t="s">
        <v>105</v>
      </c>
      <c r="C1367" t="s">
        <v>94</v>
      </c>
      <c r="D1367" t="s">
        <v>89</v>
      </c>
      <c r="E1367" t="s">
        <v>44</v>
      </c>
      <c r="F1367" s="6">
        <v>0.73958333333333337</v>
      </c>
      <c r="G1367">
        <v>108</v>
      </c>
      <c r="H1367" s="6">
        <f>FLOOR(tblPivotData[[#This Row],[Time]],Summary!$B$6/1440)</f>
        <v>0.73958333333333326</v>
      </c>
      <c r="I1367" s="49">
        <f>INDEX(PeakCalc!$L$10:$L$303,MATCH(tblPivotData[[#This Row],[Time]],PeakCalc!$G$10:$G$303,0))</f>
        <v>0</v>
      </c>
    </row>
    <row r="1368" spans="1:9" x14ac:dyDescent="0.25">
      <c r="A1368" t="s">
        <v>96</v>
      </c>
      <c r="B1368" t="s">
        <v>105</v>
      </c>
      <c r="C1368" t="s">
        <v>94</v>
      </c>
      <c r="D1368" t="s">
        <v>89</v>
      </c>
      <c r="E1368" t="s">
        <v>44</v>
      </c>
      <c r="F1368" s="6">
        <v>0.75</v>
      </c>
      <c r="G1368">
        <v>95</v>
      </c>
      <c r="H1368" s="6">
        <f>FLOOR(tblPivotData[[#This Row],[Time]],Summary!$B$6/1440)</f>
        <v>0.75</v>
      </c>
      <c r="I1368" s="49">
        <f>INDEX(PeakCalc!$L$10:$L$303,MATCH(tblPivotData[[#This Row],[Time]],PeakCalc!$G$10:$G$303,0))</f>
        <v>0</v>
      </c>
    </row>
    <row r="1369" spans="1:9" x14ac:dyDescent="0.25">
      <c r="A1369" t="s">
        <v>96</v>
      </c>
      <c r="B1369" t="s">
        <v>105</v>
      </c>
      <c r="C1369" t="s">
        <v>94</v>
      </c>
      <c r="D1369" t="s">
        <v>89</v>
      </c>
      <c r="E1369" t="s">
        <v>44</v>
      </c>
      <c r="F1369" s="6">
        <v>0.76041666666666663</v>
      </c>
      <c r="G1369">
        <v>85</v>
      </c>
      <c r="H1369" s="6">
        <f>FLOOR(tblPivotData[[#This Row],[Time]],Summary!$B$6/1440)</f>
        <v>0.76041666666666663</v>
      </c>
      <c r="I1369" s="49">
        <f>INDEX(PeakCalc!$L$10:$L$303,MATCH(tblPivotData[[#This Row],[Time]],PeakCalc!$G$10:$G$303,0))</f>
        <v>0</v>
      </c>
    </row>
    <row r="1370" spans="1:9" x14ac:dyDescent="0.25">
      <c r="A1370" t="s">
        <v>96</v>
      </c>
      <c r="B1370" t="s">
        <v>105</v>
      </c>
      <c r="C1370" t="s">
        <v>94</v>
      </c>
      <c r="D1370" t="s">
        <v>90</v>
      </c>
      <c r="E1370" t="s">
        <v>43</v>
      </c>
      <c r="F1370" s="6">
        <v>0.27083333333333331</v>
      </c>
      <c r="G1370">
        <v>0</v>
      </c>
      <c r="H1370" s="6">
        <f>FLOOR(tblPivotData[[#This Row],[Time]],Summary!$B$6/1440)</f>
        <v>0.27083333333333331</v>
      </c>
      <c r="I1370" s="49">
        <f>INDEX(PeakCalc!$L$10:$L$303,MATCH(tblPivotData[[#This Row],[Time]],PeakCalc!$G$10:$G$303,0))</f>
        <v>0</v>
      </c>
    </row>
    <row r="1371" spans="1:9" x14ac:dyDescent="0.25">
      <c r="A1371" t="s">
        <v>96</v>
      </c>
      <c r="B1371" t="s">
        <v>105</v>
      </c>
      <c r="C1371" t="s">
        <v>94</v>
      </c>
      <c r="D1371" t="s">
        <v>90</v>
      </c>
      <c r="E1371" t="s">
        <v>43</v>
      </c>
      <c r="F1371" s="6">
        <v>0.28125</v>
      </c>
      <c r="G1371">
        <v>0</v>
      </c>
      <c r="H1371" s="6">
        <f>FLOOR(tblPivotData[[#This Row],[Time]],Summary!$B$6/1440)</f>
        <v>0.28125</v>
      </c>
      <c r="I1371" s="49">
        <f>INDEX(PeakCalc!$L$10:$L$303,MATCH(tblPivotData[[#This Row],[Time]],PeakCalc!$G$10:$G$303,0))</f>
        <v>0</v>
      </c>
    </row>
    <row r="1372" spans="1:9" x14ac:dyDescent="0.25">
      <c r="A1372" t="s">
        <v>96</v>
      </c>
      <c r="B1372" t="s">
        <v>105</v>
      </c>
      <c r="C1372" t="s">
        <v>94</v>
      </c>
      <c r="D1372" t="s">
        <v>90</v>
      </c>
      <c r="E1372" t="s">
        <v>43</v>
      </c>
      <c r="F1372" s="6">
        <v>0.29166666666666669</v>
      </c>
      <c r="G1372">
        <v>0</v>
      </c>
      <c r="H1372" s="6">
        <f>FLOOR(tblPivotData[[#This Row],[Time]],Summary!$B$6/1440)</f>
        <v>0.29166666666666663</v>
      </c>
      <c r="I1372" s="49">
        <f>INDEX(PeakCalc!$L$10:$L$303,MATCH(tblPivotData[[#This Row],[Time]],PeakCalc!$G$10:$G$303,0))</f>
        <v>0</v>
      </c>
    </row>
    <row r="1373" spans="1:9" x14ac:dyDescent="0.25">
      <c r="A1373" t="s">
        <v>96</v>
      </c>
      <c r="B1373" t="s">
        <v>105</v>
      </c>
      <c r="C1373" t="s">
        <v>94</v>
      </c>
      <c r="D1373" t="s">
        <v>90</v>
      </c>
      <c r="E1373" t="s">
        <v>43</v>
      </c>
      <c r="F1373" s="6">
        <v>0.30208333333333331</v>
      </c>
      <c r="G1373">
        <v>0</v>
      </c>
      <c r="H1373" s="6">
        <f>FLOOR(tblPivotData[[#This Row],[Time]],Summary!$B$6/1440)</f>
        <v>0.30208333333333331</v>
      </c>
      <c r="I1373" s="49">
        <f>INDEX(PeakCalc!$L$10:$L$303,MATCH(tblPivotData[[#This Row],[Time]],PeakCalc!$G$10:$G$303,0))</f>
        <v>0</v>
      </c>
    </row>
    <row r="1374" spans="1:9" x14ac:dyDescent="0.25">
      <c r="A1374" t="s">
        <v>96</v>
      </c>
      <c r="B1374" t="s">
        <v>105</v>
      </c>
      <c r="C1374" t="s">
        <v>94</v>
      </c>
      <c r="D1374" t="s">
        <v>90</v>
      </c>
      <c r="E1374" t="s">
        <v>43</v>
      </c>
      <c r="F1374" s="6">
        <v>0.3125</v>
      </c>
      <c r="G1374">
        <v>0</v>
      </c>
      <c r="H1374" s="6">
        <f>FLOOR(tblPivotData[[#This Row],[Time]],Summary!$B$6/1440)</f>
        <v>0.3125</v>
      </c>
      <c r="I1374" s="49">
        <f>INDEX(PeakCalc!$L$10:$L$303,MATCH(tblPivotData[[#This Row],[Time]],PeakCalc!$G$10:$G$303,0))</f>
        <v>0</v>
      </c>
    </row>
    <row r="1375" spans="1:9" x14ac:dyDescent="0.25">
      <c r="A1375" t="s">
        <v>96</v>
      </c>
      <c r="B1375" t="s">
        <v>105</v>
      </c>
      <c r="C1375" t="s">
        <v>94</v>
      </c>
      <c r="D1375" t="s">
        <v>90</v>
      </c>
      <c r="E1375" t="s">
        <v>43</v>
      </c>
      <c r="F1375" s="6">
        <v>0.32291666666666669</v>
      </c>
      <c r="G1375">
        <v>0</v>
      </c>
      <c r="H1375" s="6">
        <f>FLOOR(tblPivotData[[#This Row],[Time]],Summary!$B$6/1440)</f>
        <v>0.32291666666666663</v>
      </c>
      <c r="I1375" s="49">
        <f>INDEX(PeakCalc!$L$10:$L$303,MATCH(tblPivotData[[#This Row],[Time]],PeakCalc!$G$10:$G$303,0))</f>
        <v>1</v>
      </c>
    </row>
    <row r="1376" spans="1:9" x14ac:dyDescent="0.25">
      <c r="A1376" t="s">
        <v>96</v>
      </c>
      <c r="B1376" t="s">
        <v>105</v>
      </c>
      <c r="C1376" t="s">
        <v>94</v>
      </c>
      <c r="D1376" t="s">
        <v>90</v>
      </c>
      <c r="E1376" t="s">
        <v>43</v>
      </c>
      <c r="F1376" s="6">
        <v>0.33333333333333331</v>
      </c>
      <c r="G1376">
        <v>0</v>
      </c>
      <c r="H1376" s="6">
        <f>FLOOR(tblPivotData[[#This Row],[Time]],Summary!$B$6/1440)</f>
        <v>0.33333333333333331</v>
      </c>
      <c r="I1376" s="49">
        <f>INDEX(PeakCalc!$L$10:$L$303,MATCH(tblPivotData[[#This Row],[Time]],PeakCalc!$G$10:$G$303,0))</f>
        <v>1</v>
      </c>
    </row>
    <row r="1377" spans="1:9" x14ac:dyDescent="0.25">
      <c r="A1377" t="s">
        <v>96</v>
      </c>
      <c r="B1377" t="s">
        <v>105</v>
      </c>
      <c r="C1377" t="s">
        <v>94</v>
      </c>
      <c r="D1377" t="s">
        <v>90</v>
      </c>
      <c r="E1377" t="s">
        <v>43</v>
      </c>
      <c r="F1377" s="6">
        <v>0.34375</v>
      </c>
      <c r="G1377">
        <v>1</v>
      </c>
      <c r="H1377" s="6">
        <f>FLOOR(tblPivotData[[#This Row],[Time]],Summary!$B$6/1440)</f>
        <v>0.34375</v>
      </c>
      <c r="I1377" s="49">
        <f>INDEX(PeakCalc!$L$10:$L$303,MATCH(tblPivotData[[#This Row],[Time]],PeakCalc!$G$10:$G$303,0))</f>
        <v>1</v>
      </c>
    </row>
    <row r="1378" spans="1:9" x14ac:dyDescent="0.25">
      <c r="A1378" t="s">
        <v>96</v>
      </c>
      <c r="B1378" t="s">
        <v>105</v>
      </c>
      <c r="C1378" t="s">
        <v>94</v>
      </c>
      <c r="D1378" t="s">
        <v>90</v>
      </c>
      <c r="E1378" t="s">
        <v>43</v>
      </c>
      <c r="F1378" s="6">
        <v>0.35416666666666669</v>
      </c>
      <c r="G1378">
        <v>0</v>
      </c>
      <c r="H1378" s="6">
        <f>FLOOR(tblPivotData[[#This Row],[Time]],Summary!$B$6/1440)</f>
        <v>0.35416666666666663</v>
      </c>
      <c r="I1378" s="49">
        <f>INDEX(PeakCalc!$L$10:$L$303,MATCH(tblPivotData[[#This Row],[Time]],PeakCalc!$G$10:$G$303,0))</f>
        <v>1</v>
      </c>
    </row>
    <row r="1379" spans="1:9" x14ac:dyDescent="0.25">
      <c r="A1379" t="s">
        <v>96</v>
      </c>
      <c r="B1379" t="s">
        <v>105</v>
      </c>
      <c r="C1379" t="s">
        <v>94</v>
      </c>
      <c r="D1379" t="s">
        <v>90</v>
      </c>
      <c r="E1379" t="s">
        <v>43</v>
      </c>
      <c r="F1379" s="6">
        <v>0.36458333333333331</v>
      </c>
      <c r="G1379">
        <v>1</v>
      </c>
      <c r="H1379" s="6">
        <f>FLOOR(tblPivotData[[#This Row],[Time]],Summary!$B$6/1440)</f>
        <v>0.36458333333333331</v>
      </c>
      <c r="I1379" s="49">
        <f>INDEX(PeakCalc!$L$10:$L$303,MATCH(tblPivotData[[#This Row],[Time]],PeakCalc!$G$10:$G$303,0))</f>
        <v>0</v>
      </c>
    </row>
    <row r="1380" spans="1:9" x14ac:dyDescent="0.25">
      <c r="A1380" t="s">
        <v>96</v>
      </c>
      <c r="B1380" t="s">
        <v>105</v>
      </c>
      <c r="C1380" t="s">
        <v>94</v>
      </c>
      <c r="D1380" t="s">
        <v>90</v>
      </c>
      <c r="E1380" t="s">
        <v>43</v>
      </c>
      <c r="F1380" s="6">
        <v>0.375</v>
      </c>
      <c r="G1380">
        <v>0</v>
      </c>
      <c r="H1380" s="6">
        <f>FLOOR(tblPivotData[[#This Row],[Time]],Summary!$B$6/1440)</f>
        <v>0.375</v>
      </c>
      <c r="I1380" s="49">
        <f>INDEX(PeakCalc!$L$10:$L$303,MATCH(tblPivotData[[#This Row],[Time]],PeakCalc!$G$10:$G$303,0))</f>
        <v>0</v>
      </c>
    </row>
    <row r="1381" spans="1:9" x14ac:dyDescent="0.25">
      <c r="A1381" t="s">
        <v>96</v>
      </c>
      <c r="B1381" t="s">
        <v>105</v>
      </c>
      <c r="C1381" t="s">
        <v>94</v>
      </c>
      <c r="D1381" t="s">
        <v>90</v>
      </c>
      <c r="E1381" t="s">
        <v>43</v>
      </c>
      <c r="F1381" s="6">
        <v>0.38541666666666669</v>
      </c>
      <c r="G1381">
        <v>0</v>
      </c>
      <c r="H1381" s="6">
        <f>FLOOR(tblPivotData[[#This Row],[Time]],Summary!$B$6/1440)</f>
        <v>0.38541666666666663</v>
      </c>
      <c r="I1381" s="49">
        <f>INDEX(PeakCalc!$L$10:$L$303,MATCH(tblPivotData[[#This Row],[Time]],PeakCalc!$G$10:$G$303,0))</f>
        <v>0</v>
      </c>
    </row>
    <row r="1382" spans="1:9" x14ac:dyDescent="0.25">
      <c r="A1382" t="s">
        <v>96</v>
      </c>
      <c r="B1382" t="s">
        <v>105</v>
      </c>
      <c r="C1382" t="s">
        <v>94</v>
      </c>
      <c r="D1382" t="s">
        <v>90</v>
      </c>
      <c r="E1382" t="s">
        <v>110</v>
      </c>
      <c r="F1382" s="6">
        <v>0.45833333333333331</v>
      </c>
      <c r="G1382">
        <v>0</v>
      </c>
      <c r="H1382" s="6">
        <f>FLOOR(tblPivotData[[#This Row],[Time]],Summary!$B$6/1440)</f>
        <v>0.45833333333333331</v>
      </c>
      <c r="I1382" s="49">
        <f>INDEX(PeakCalc!$L$10:$L$303,MATCH(tblPivotData[[#This Row],[Time]],PeakCalc!$G$10:$G$303,0))</f>
        <v>0</v>
      </c>
    </row>
    <row r="1383" spans="1:9" x14ac:dyDescent="0.25">
      <c r="A1383" t="s">
        <v>96</v>
      </c>
      <c r="B1383" t="s">
        <v>105</v>
      </c>
      <c r="C1383" t="s">
        <v>94</v>
      </c>
      <c r="D1383" t="s">
        <v>90</v>
      </c>
      <c r="E1383" t="s">
        <v>110</v>
      </c>
      <c r="F1383" s="6">
        <v>0.46875</v>
      </c>
      <c r="G1383">
        <v>0</v>
      </c>
      <c r="H1383" s="6">
        <f>FLOOR(tblPivotData[[#This Row],[Time]],Summary!$B$6/1440)</f>
        <v>0.46875</v>
      </c>
      <c r="I1383" s="49">
        <f>INDEX(PeakCalc!$L$10:$L$303,MATCH(tblPivotData[[#This Row],[Time]],PeakCalc!$G$10:$G$303,0))</f>
        <v>0</v>
      </c>
    </row>
    <row r="1384" spans="1:9" x14ac:dyDescent="0.25">
      <c r="A1384" t="s">
        <v>96</v>
      </c>
      <c r="B1384" t="s">
        <v>105</v>
      </c>
      <c r="C1384" t="s">
        <v>94</v>
      </c>
      <c r="D1384" t="s">
        <v>90</v>
      </c>
      <c r="E1384" t="s">
        <v>110</v>
      </c>
      <c r="F1384" s="6">
        <v>0.47916666666666669</v>
      </c>
      <c r="G1384">
        <v>0</v>
      </c>
      <c r="H1384" s="6">
        <f>FLOOR(tblPivotData[[#This Row],[Time]],Summary!$B$6/1440)</f>
        <v>0.47916666666666663</v>
      </c>
      <c r="I1384" s="49">
        <f>INDEX(PeakCalc!$L$10:$L$303,MATCH(tblPivotData[[#This Row],[Time]],PeakCalc!$G$10:$G$303,0))</f>
        <v>0</v>
      </c>
    </row>
    <row r="1385" spans="1:9" x14ac:dyDescent="0.25">
      <c r="A1385" t="s">
        <v>96</v>
      </c>
      <c r="B1385" t="s">
        <v>105</v>
      </c>
      <c r="C1385" t="s">
        <v>94</v>
      </c>
      <c r="D1385" t="s">
        <v>90</v>
      </c>
      <c r="E1385" t="s">
        <v>110</v>
      </c>
      <c r="F1385" s="6">
        <v>0.48958333333333331</v>
      </c>
      <c r="G1385">
        <v>0</v>
      </c>
      <c r="H1385" s="6">
        <f>FLOOR(tblPivotData[[#This Row],[Time]],Summary!$B$6/1440)</f>
        <v>0.48958333333333331</v>
      </c>
      <c r="I1385" s="49">
        <f>INDEX(PeakCalc!$L$10:$L$303,MATCH(tblPivotData[[#This Row],[Time]],PeakCalc!$G$10:$G$303,0))</f>
        <v>0</v>
      </c>
    </row>
    <row r="1386" spans="1:9" x14ac:dyDescent="0.25">
      <c r="A1386" t="s">
        <v>96</v>
      </c>
      <c r="B1386" t="s">
        <v>105</v>
      </c>
      <c r="C1386" t="s">
        <v>94</v>
      </c>
      <c r="D1386" t="s">
        <v>90</v>
      </c>
      <c r="E1386" t="s">
        <v>110</v>
      </c>
      <c r="F1386" s="6">
        <v>0.5</v>
      </c>
      <c r="G1386">
        <v>3</v>
      </c>
      <c r="H1386" s="6">
        <f>FLOOR(tblPivotData[[#This Row],[Time]],Summary!$B$6/1440)</f>
        <v>0.5</v>
      </c>
      <c r="I1386" s="49">
        <f>INDEX(PeakCalc!$L$10:$L$303,MATCH(tblPivotData[[#This Row],[Time]],PeakCalc!$G$10:$G$303,0))</f>
        <v>0</v>
      </c>
    </row>
    <row r="1387" spans="1:9" x14ac:dyDescent="0.25">
      <c r="A1387" t="s">
        <v>96</v>
      </c>
      <c r="B1387" t="s">
        <v>105</v>
      </c>
      <c r="C1387" t="s">
        <v>94</v>
      </c>
      <c r="D1387" t="s">
        <v>90</v>
      </c>
      <c r="E1387" t="s">
        <v>110</v>
      </c>
      <c r="F1387" s="6">
        <v>0.51041666666666663</v>
      </c>
      <c r="G1387">
        <v>0</v>
      </c>
      <c r="H1387" s="6">
        <f>FLOOR(tblPivotData[[#This Row],[Time]],Summary!$B$6/1440)</f>
        <v>0.51041666666666663</v>
      </c>
      <c r="I1387" s="49">
        <f>INDEX(PeakCalc!$L$10:$L$303,MATCH(tblPivotData[[#This Row],[Time]],PeakCalc!$G$10:$G$303,0))</f>
        <v>0</v>
      </c>
    </row>
    <row r="1388" spans="1:9" x14ac:dyDescent="0.25">
      <c r="A1388" t="s">
        <v>96</v>
      </c>
      <c r="B1388" t="s">
        <v>105</v>
      </c>
      <c r="C1388" t="s">
        <v>94</v>
      </c>
      <c r="D1388" t="s">
        <v>90</v>
      </c>
      <c r="E1388" t="s">
        <v>110</v>
      </c>
      <c r="F1388" s="6">
        <v>0.52083333333333337</v>
      </c>
      <c r="G1388">
        <v>0</v>
      </c>
      <c r="H1388" s="6">
        <f>FLOOR(tblPivotData[[#This Row],[Time]],Summary!$B$6/1440)</f>
        <v>0.52083333333333326</v>
      </c>
      <c r="I1388" s="49">
        <f>INDEX(PeakCalc!$L$10:$L$303,MATCH(tblPivotData[[#This Row],[Time]],PeakCalc!$G$10:$G$303,0))</f>
        <v>1</v>
      </c>
    </row>
    <row r="1389" spans="1:9" x14ac:dyDescent="0.25">
      <c r="A1389" t="s">
        <v>96</v>
      </c>
      <c r="B1389" t="s">
        <v>105</v>
      </c>
      <c r="C1389" t="s">
        <v>94</v>
      </c>
      <c r="D1389" t="s">
        <v>90</v>
      </c>
      <c r="E1389" t="s">
        <v>110</v>
      </c>
      <c r="F1389" s="6">
        <v>0.53125</v>
      </c>
      <c r="G1389">
        <v>0</v>
      </c>
      <c r="H1389" s="6">
        <f>FLOOR(tblPivotData[[#This Row],[Time]],Summary!$B$6/1440)</f>
        <v>0.53125</v>
      </c>
      <c r="I1389" s="49">
        <f>INDEX(PeakCalc!$L$10:$L$303,MATCH(tblPivotData[[#This Row],[Time]],PeakCalc!$G$10:$G$303,0))</f>
        <v>1</v>
      </c>
    </row>
    <row r="1390" spans="1:9" x14ac:dyDescent="0.25">
      <c r="A1390" t="s">
        <v>96</v>
      </c>
      <c r="B1390" t="s">
        <v>105</v>
      </c>
      <c r="C1390" t="s">
        <v>94</v>
      </c>
      <c r="D1390" t="s">
        <v>90</v>
      </c>
      <c r="E1390" t="s">
        <v>110</v>
      </c>
      <c r="F1390" s="6">
        <v>0.54166666666666663</v>
      </c>
      <c r="G1390">
        <v>1</v>
      </c>
      <c r="H1390" s="6">
        <f>FLOOR(tblPivotData[[#This Row],[Time]],Summary!$B$6/1440)</f>
        <v>0.54166666666666663</v>
      </c>
      <c r="I1390" s="49">
        <f>INDEX(PeakCalc!$L$10:$L$303,MATCH(tblPivotData[[#This Row],[Time]],PeakCalc!$G$10:$G$303,0))</f>
        <v>1</v>
      </c>
    </row>
    <row r="1391" spans="1:9" x14ac:dyDescent="0.25">
      <c r="A1391" t="s">
        <v>96</v>
      </c>
      <c r="B1391" t="s">
        <v>105</v>
      </c>
      <c r="C1391" t="s">
        <v>94</v>
      </c>
      <c r="D1391" t="s">
        <v>90</v>
      </c>
      <c r="E1391" t="s">
        <v>110</v>
      </c>
      <c r="F1391" s="6">
        <v>0.55208333333333337</v>
      </c>
      <c r="G1391">
        <v>1</v>
      </c>
      <c r="H1391" s="6">
        <f>FLOOR(tblPivotData[[#This Row],[Time]],Summary!$B$6/1440)</f>
        <v>0.55208333333333326</v>
      </c>
      <c r="I1391" s="49">
        <f>INDEX(PeakCalc!$L$10:$L$303,MATCH(tblPivotData[[#This Row],[Time]],PeakCalc!$G$10:$G$303,0))</f>
        <v>1</v>
      </c>
    </row>
    <row r="1392" spans="1:9" x14ac:dyDescent="0.25">
      <c r="A1392" t="s">
        <v>96</v>
      </c>
      <c r="B1392" t="s">
        <v>105</v>
      </c>
      <c r="C1392" t="s">
        <v>94</v>
      </c>
      <c r="D1392" t="s">
        <v>90</v>
      </c>
      <c r="E1392" t="s">
        <v>110</v>
      </c>
      <c r="F1392" s="6">
        <v>0.5625</v>
      </c>
      <c r="G1392">
        <v>0</v>
      </c>
      <c r="H1392" s="6">
        <f>FLOOR(tblPivotData[[#This Row],[Time]],Summary!$B$6/1440)</f>
        <v>0.5625</v>
      </c>
      <c r="I1392" s="49">
        <f>INDEX(PeakCalc!$L$10:$L$303,MATCH(tblPivotData[[#This Row],[Time]],PeakCalc!$G$10:$G$303,0))</f>
        <v>0</v>
      </c>
    </row>
    <row r="1393" spans="1:9" x14ac:dyDescent="0.25">
      <c r="A1393" t="s">
        <v>96</v>
      </c>
      <c r="B1393" t="s">
        <v>105</v>
      </c>
      <c r="C1393" t="s">
        <v>94</v>
      </c>
      <c r="D1393" t="s">
        <v>90</v>
      </c>
      <c r="E1393" t="s">
        <v>110</v>
      </c>
      <c r="F1393" s="6">
        <v>0.57291666666666663</v>
      </c>
      <c r="G1393">
        <v>0</v>
      </c>
      <c r="H1393" s="6">
        <f>FLOOR(tblPivotData[[#This Row],[Time]],Summary!$B$6/1440)</f>
        <v>0.57291666666666663</v>
      </c>
      <c r="I1393" s="49">
        <f>INDEX(PeakCalc!$L$10:$L$303,MATCH(tblPivotData[[#This Row],[Time]],PeakCalc!$G$10:$G$303,0))</f>
        <v>0</v>
      </c>
    </row>
    <row r="1394" spans="1:9" x14ac:dyDescent="0.25">
      <c r="A1394" t="s">
        <v>96</v>
      </c>
      <c r="B1394" t="s">
        <v>105</v>
      </c>
      <c r="C1394" t="s">
        <v>94</v>
      </c>
      <c r="D1394" t="s">
        <v>90</v>
      </c>
      <c r="E1394" t="s">
        <v>44</v>
      </c>
      <c r="F1394" s="6">
        <v>0.625</v>
      </c>
      <c r="G1394">
        <v>0</v>
      </c>
      <c r="H1394" s="6">
        <f>FLOOR(tblPivotData[[#This Row],[Time]],Summary!$B$6/1440)</f>
        <v>0.625</v>
      </c>
      <c r="I1394" s="49">
        <f>INDEX(PeakCalc!$L$10:$L$303,MATCH(tblPivotData[[#This Row],[Time]],PeakCalc!$G$10:$G$303,0))</f>
        <v>0</v>
      </c>
    </row>
    <row r="1395" spans="1:9" x14ac:dyDescent="0.25">
      <c r="A1395" t="s">
        <v>96</v>
      </c>
      <c r="B1395" t="s">
        <v>105</v>
      </c>
      <c r="C1395" t="s">
        <v>94</v>
      </c>
      <c r="D1395" t="s">
        <v>90</v>
      </c>
      <c r="E1395" t="s">
        <v>44</v>
      </c>
      <c r="F1395" s="6">
        <v>0.63541666666666663</v>
      </c>
      <c r="G1395">
        <v>0</v>
      </c>
      <c r="H1395" s="6">
        <f>FLOOR(tblPivotData[[#This Row],[Time]],Summary!$B$6/1440)</f>
        <v>0.63541666666666663</v>
      </c>
      <c r="I1395" s="49">
        <f>INDEX(PeakCalc!$L$10:$L$303,MATCH(tblPivotData[[#This Row],[Time]],PeakCalc!$G$10:$G$303,0))</f>
        <v>0</v>
      </c>
    </row>
    <row r="1396" spans="1:9" x14ac:dyDescent="0.25">
      <c r="A1396" t="s">
        <v>96</v>
      </c>
      <c r="B1396" t="s">
        <v>105</v>
      </c>
      <c r="C1396" t="s">
        <v>94</v>
      </c>
      <c r="D1396" t="s">
        <v>90</v>
      </c>
      <c r="E1396" t="s">
        <v>44</v>
      </c>
      <c r="F1396" s="6">
        <v>0.64583333333333337</v>
      </c>
      <c r="G1396">
        <v>0</v>
      </c>
      <c r="H1396" s="6">
        <f>FLOOR(tblPivotData[[#This Row],[Time]],Summary!$B$6/1440)</f>
        <v>0.64583333333333326</v>
      </c>
      <c r="I1396" s="49">
        <f>INDEX(PeakCalc!$L$10:$L$303,MATCH(tblPivotData[[#This Row],[Time]],PeakCalc!$G$10:$G$303,0))</f>
        <v>0</v>
      </c>
    </row>
    <row r="1397" spans="1:9" x14ac:dyDescent="0.25">
      <c r="A1397" t="s">
        <v>96</v>
      </c>
      <c r="B1397" t="s">
        <v>105</v>
      </c>
      <c r="C1397" t="s">
        <v>94</v>
      </c>
      <c r="D1397" t="s">
        <v>90</v>
      </c>
      <c r="E1397" t="s">
        <v>44</v>
      </c>
      <c r="F1397" s="6">
        <v>0.65625</v>
      </c>
      <c r="G1397">
        <v>0</v>
      </c>
      <c r="H1397" s="6">
        <f>FLOOR(tblPivotData[[#This Row],[Time]],Summary!$B$6/1440)</f>
        <v>0.65625</v>
      </c>
      <c r="I1397" s="49">
        <f>INDEX(PeakCalc!$L$10:$L$303,MATCH(tblPivotData[[#This Row],[Time]],PeakCalc!$G$10:$G$303,0))</f>
        <v>0</v>
      </c>
    </row>
    <row r="1398" spans="1:9" x14ac:dyDescent="0.25">
      <c r="A1398" t="s">
        <v>96</v>
      </c>
      <c r="B1398" t="s">
        <v>105</v>
      </c>
      <c r="C1398" t="s">
        <v>94</v>
      </c>
      <c r="D1398" t="s">
        <v>90</v>
      </c>
      <c r="E1398" t="s">
        <v>44</v>
      </c>
      <c r="F1398" s="6">
        <v>0.66666666666666663</v>
      </c>
      <c r="G1398">
        <v>0</v>
      </c>
      <c r="H1398" s="6">
        <f>FLOOR(tblPivotData[[#This Row],[Time]],Summary!$B$6/1440)</f>
        <v>0.66666666666666663</v>
      </c>
      <c r="I1398" s="49">
        <f>INDEX(PeakCalc!$L$10:$L$303,MATCH(tblPivotData[[#This Row],[Time]],PeakCalc!$G$10:$G$303,0))</f>
        <v>0</v>
      </c>
    </row>
    <row r="1399" spans="1:9" x14ac:dyDescent="0.25">
      <c r="A1399" t="s">
        <v>96</v>
      </c>
      <c r="B1399" t="s">
        <v>105</v>
      </c>
      <c r="C1399" t="s">
        <v>94</v>
      </c>
      <c r="D1399" t="s">
        <v>90</v>
      </c>
      <c r="E1399" t="s">
        <v>44</v>
      </c>
      <c r="F1399" s="6">
        <v>0.67708333333333337</v>
      </c>
      <c r="G1399">
        <v>0</v>
      </c>
      <c r="H1399" s="6">
        <f>FLOOR(tblPivotData[[#This Row],[Time]],Summary!$B$6/1440)</f>
        <v>0.67708333333333326</v>
      </c>
      <c r="I1399" s="49">
        <f>INDEX(PeakCalc!$L$10:$L$303,MATCH(tblPivotData[[#This Row],[Time]],PeakCalc!$G$10:$G$303,0))</f>
        <v>0</v>
      </c>
    </row>
    <row r="1400" spans="1:9" x14ac:dyDescent="0.25">
      <c r="A1400" t="s">
        <v>96</v>
      </c>
      <c r="B1400" t="s">
        <v>105</v>
      </c>
      <c r="C1400" t="s">
        <v>94</v>
      </c>
      <c r="D1400" t="s">
        <v>90</v>
      </c>
      <c r="E1400" t="s">
        <v>44</v>
      </c>
      <c r="F1400" s="6">
        <v>0.6875</v>
      </c>
      <c r="G1400">
        <v>0</v>
      </c>
      <c r="H1400" s="6">
        <f>FLOOR(tblPivotData[[#This Row],[Time]],Summary!$B$6/1440)</f>
        <v>0.6875</v>
      </c>
      <c r="I1400" s="49">
        <f>INDEX(PeakCalc!$L$10:$L$303,MATCH(tblPivotData[[#This Row],[Time]],PeakCalc!$G$10:$G$303,0))</f>
        <v>1</v>
      </c>
    </row>
    <row r="1401" spans="1:9" x14ac:dyDescent="0.25">
      <c r="A1401" t="s">
        <v>96</v>
      </c>
      <c r="B1401" t="s">
        <v>105</v>
      </c>
      <c r="C1401" t="s">
        <v>94</v>
      </c>
      <c r="D1401" t="s">
        <v>90</v>
      </c>
      <c r="E1401" t="s">
        <v>44</v>
      </c>
      <c r="F1401" s="6">
        <v>0.69791666666666663</v>
      </c>
      <c r="G1401">
        <v>0</v>
      </c>
      <c r="H1401" s="6">
        <f>FLOOR(tblPivotData[[#This Row],[Time]],Summary!$B$6/1440)</f>
        <v>0.69791666666666663</v>
      </c>
      <c r="I1401" s="49">
        <f>INDEX(PeakCalc!$L$10:$L$303,MATCH(tblPivotData[[#This Row],[Time]],PeakCalc!$G$10:$G$303,0))</f>
        <v>1</v>
      </c>
    </row>
    <row r="1402" spans="1:9" x14ac:dyDescent="0.25">
      <c r="A1402" t="s">
        <v>96</v>
      </c>
      <c r="B1402" t="s">
        <v>105</v>
      </c>
      <c r="C1402" t="s">
        <v>94</v>
      </c>
      <c r="D1402" t="s">
        <v>90</v>
      </c>
      <c r="E1402" t="s">
        <v>44</v>
      </c>
      <c r="F1402" s="6">
        <v>0.70833333333333337</v>
      </c>
      <c r="G1402">
        <v>0</v>
      </c>
      <c r="H1402" s="6">
        <f>FLOOR(tblPivotData[[#This Row],[Time]],Summary!$B$6/1440)</f>
        <v>0.70833333333333326</v>
      </c>
      <c r="I1402" s="49">
        <f>INDEX(PeakCalc!$L$10:$L$303,MATCH(tblPivotData[[#This Row],[Time]],PeakCalc!$G$10:$G$303,0))</f>
        <v>1</v>
      </c>
    </row>
    <row r="1403" spans="1:9" x14ac:dyDescent="0.25">
      <c r="A1403" t="s">
        <v>96</v>
      </c>
      <c r="B1403" t="s">
        <v>105</v>
      </c>
      <c r="C1403" t="s">
        <v>94</v>
      </c>
      <c r="D1403" t="s">
        <v>90</v>
      </c>
      <c r="E1403" t="s">
        <v>44</v>
      </c>
      <c r="F1403" s="6">
        <v>0.71875</v>
      </c>
      <c r="G1403">
        <v>0</v>
      </c>
      <c r="H1403" s="6">
        <f>FLOOR(tblPivotData[[#This Row],[Time]],Summary!$B$6/1440)</f>
        <v>0.71875</v>
      </c>
      <c r="I1403" s="49">
        <f>INDEX(PeakCalc!$L$10:$L$303,MATCH(tblPivotData[[#This Row],[Time]],PeakCalc!$G$10:$G$303,0))</f>
        <v>1</v>
      </c>
    </row>
    <row r="1404" spans="1:9" x14ac:dyDescent="0.25">
      <c r="A1404" t="s">
        <v>96</v>
      </c>
      <c r="B1404" t="s">
        <v>105</v>
      </c>
      <c r="C1404" t="s">
        <v>94</v>
      </c>
      <c r="D1404" t="s">
        <v>90</v>
      </c>
      <c r="E1404" t="s">
        <v>44</v>
      </c>
      <c r="F1404" s="6">
        <v>0.72916666666666663</v>
      </c>
      <c r="G1404">
        <v>0</v>
      </c>
      <c r="H1404" s="6">
        <f>FLOOR(tblPivotData[[#This Row],[Time]],Summary!$B$6/1440)</f>
        <v>0.72916666666666663</v>
      </c>
      <c r="I1404" s="49">
        <f>INDEX(PeakCalc!$L$10:$L$303,MATCH(tblPivotData[[#This Row],[Time]],PeakCalc!$G$10:$G$303,0))</f>
        <v>0</v>
      </c>
    </row>
    <row r="1405" spans="1:9" x14ac:dyDescent="0.25">
      <c r="A1405" t="s">
        <v>96</v>
      </c>
      <c r="B1405" t="s">
        <v>105</v>
      </c>
      <c r="C1405" t="s">
        <v>94</v>
      </c>
      <c r="D1405" t="s">
        <v>90</v>
      </c>
      <c r="E1405" t="s">
        <v>44</v>
      </c>
      <c r="F1405" s="6">
        <v>0.73958333333333337</v>
      </c>
      <c r="G1405">
        <v>0</v>
      </c>
      <c r="H1405" s="6">
        <f>FLOOR(tblPivotData[[#This Row],[Time]],Summary!$B$6/1440)</f>
        <v>0.73958333333333326</v>
      </c>
      <c r="I1405" s="49">
        <f>INDEX(PeakCalc!$L$10:$L$303,MATCH(tblPivotData[[#This Row],[Time]],PeakCalc!$G$10:$G$303,0))</f>
        <v>0</v>
      </c>
    </row>
    <row r="1406" spans="1:9" x14ac:dyDescent="0.25">
      <c r="A1406" t="s">
        <v>96</v>
      </c>
      <c r="B1406" t="s">
        <v>105</v>
      </c>
      <c r="C1406" t="s">
        <v>94</v>
      </c>
      <c r="D1406" t="s">
        <v>90</v>
      </c>
      <c r="E1406" t="s">
        <v>44</v>
      </c>
      <c r="F1406" s="6">
        <v>0.75</v>
      </c>
      <c r="G1406">
        <v>0</v>
      </c>
      <c r="H1406" s="6">
        <f>FLOOR(tblPivotData[[#This Row],[Time]],Summary!$B$6/1440)</f>
        <v>0.75</v>
      </c>
      <c r="I1406" s="49">
        <f>INDEX(PeakCalc!$L$10:$L$303,MATCH(tblPivotData[[#This Row],[Time]],PeakCalc!$G$10:$G$303,0))</f>
        <v>0</v>
      </c>
    </row>
    <row r="1407" spans="1:9" x14ac:dyDescent="0.25">
      <c r="A1407" t="s">
        <v>96</v>
      </c>
      <c r="B1407" t="s">
        <v>105</v>
      </c>
      <c r="C1407" t="s">
        <v>94</v>
      </c>
      <c r="D1407" t="s">
        <v>90</v>
      </c>
      <c r="E1407" t="s">
        <v>44</v>
      </c>
      <c r="F1407" s="6">
        <v>0.76041666666666663</v>
      </c>
      <c r="G1407">
        <v>0</v>
      </c>
      <c r="H1407" s="6">
        <f>FLOOR(tblPivotData[[#This Row],[Time]],Summary!$B$6/1440)</f>
        <v>0.76041666666666663</v>
      </c>
      <c r="I1407" s="49">
        <f>INDEX(PeakCalc!$L$10:$L$303,MATCH(tblPivotData[[#This Row],[Time]],PeakCalc!$G$10:$G$303,0))</f>
        <v>0</v>
      </c>
    </row>
    <row r="1408" spans="1:9" x14ac:dyDescent="0.25">
      <c r="A1408" t="s">
        <v>96</v>
      </c>
      <c r="B1408" t="s">
        <v>105</v>
      </c>
      <c r="C1408" t="s">
        <v>94</v>
      </c>
      <c r="D1408" t="s">
        <v>91</v>
      </c>
      <c r="E1408" t="s">
        <v>43</v>
      </c>
      <c r="F1408" s="6">
        <v>0.27083333333333331</v>
      </c>
      <c r="G1408">
        <v>2</v>
      </c>
      <c r="H1408" s="6">
        <f>FLOOR(tblPivotData[[#This Row],[Time]],Summary!$B$6/1440)</f>
        <v>0.27083333333333331</v>
      </c>
      <c r="I1408" s="49">
        <f>INDEX(PeakCalc!$L$10:$L$303,MATCH(tblPivotData[[#This Row],[Time]],PeakCalc!$G$10:$G$303,0))</f>
        <v>0</v>
      </c>
    </row>
    <row r="1409" spans="1:9" x14ac:dyDescent="0.25">
      <c r="A1409" t="s">
        <v>96</v>
      </c>
      <c r="B1409" t="s">
        <v>105</v>
      </c>
      <c r="C1409" t="s">
        <v>94</v>
      </c>
      <c r="D1409" t="s">
        <v>91</v>
      </c>
      <c r="E1409" t="s">
        <v>43</v>
      </c>
      <c r="F1409" s="6">
        <v>0.28125</v>
      </c>
      <c r="G1409">
        <v>1</v>
      </c>
      <c r="H1409" s="6">
        <f>FLOOR(tblPivotData[[#This Row],[Time]],Summary!$B$6/1440)</f>
        <v>0.28125</v>
      </c>
      <c r="I1409" s="49">
        <f>INDEX(PeakCalc!$L$10:$L$303,MATCH(tblPivotData[[#This Row],[Time]],PeakCalc!$G$10:$G$303,0))</f>
        <v>0</v>
      </c>
    </row>
    <row r="1410" spans="1:9" x14ac:dyDescent="0.25">
      <c r="A1410" t="s">
        <v>96</v>
      </c>
      <c r="B1410" t="s">
        <v>105</v>
      </c>
      <c r="C1410" t="s">
        <v>94</v>
      </c>
      <c r="D1410" t="s">
        <v>91</v>
      </c>
      <c r="E1410" t="s">
        <v>43</v>
      </c>
      <c r="F1410" s="6">
        <v>0.29166666666666669</v>
      </c>
      <c r="G1410">
        <v>0</v>
      </c>
      <c r="H1410" s="6">
        <f>FLOOR(tblPivotData[[#This Row],[Time]],Summary!$B$6/1440)</f>
        <v>0.29166666666666663</v>
      </c>
      <c r="I1410" s="49">
        <f>INDEX(PeakCalc!$L$10:$L$303,MATCH(tblPivotData[[#This Row],[Time]],PeakCalc!$G$10:$G$303,0))</f>
        <v>0</v>
      </c>
    </row>
    <row r="1411" spans="1:9" x14ac:dyDescent="0.25">
      <c r="A1411" t="s">
        <v>96</v>
      </c>
      <c r="B1411" t="s">
        <v>105</v>
      </c>
      <c r="C1411" t="s">
        <v>94</v>
      </c>
      <c r="D1411" t="s">
        <v>91</v>
      </c>
      <c r="E1411" t="s">
        <v>43</v>
      </c>
      <c r="F1411" s="6">
        <v>0.30208333333333331</v>
      </c>
      <c r="G1411">
        <v>2</v>
      </c>
      <c r="H1411" s="6">
        <f>FLOOR(tblPivotData[[#This Row],[Time]],Summary!$B$6/1440)</f>
        <v>0.30208333333333331</v>
      </c>
      <c r="I1411" s="49">
        <f>INDEX(PeakCalc!$L$10:$L$303,MATCH(tblPivotData[[#This Row],[Time]],PeakCalc!$G$10:$G$303,0))</f>
        <v>0</v>
      </c>
    </row>
    <row r="1412" spans="1:9" x14ac:dyDescent="0.25">
      <c r="A1412" t="s">
        <v>96</v>
      </c>
      <c r="B1412" t="s">
        <v>105</v>
      </c>
      <c r="C1412" t="s">
        <v>94</v>
      </c>
      <c r="D1412" t="s">
        <v>91</v>
      </c>
      <c r="E1412" t="s">
        <v>43</v>
      </c>
      <c r="F1412" s="6">
        <v>0.3125</v>
      </c>
      <c r="G1412">
        <v>2</v>
      </c>
      <c r="H1412" s="6">
        <f>FLOOR(tblPivotData[[#This Row],[Time]],Summary!$B$6/1440)</f>
        <v>0.3125</v>
      </c>
      <c r="I1412" s="49">
        <f>INDEX(PeakCalc!$L$10:$L$303,MATCH(tblPivotData[[#This Row],[Time]],PeakCalc!$G$10:$G$303,0))</f>
        <v>0</v>
      </c>
    </row>
    <row r="1413" spans="1:9" x14ac:dyDescent="0.25">
      <c r="A1413" t="s">
        <v>96</v>
      </c>
      <c r="B1413" t="s">
        <v>105</v>
      </c>
      <c r="C1413" t="s">
        <v>94</v>
      </c>
      <c r="D1413" t="s">
        <v>91</v>
      </c>
      <c r="E1413" t="s">
        <v>43</v>
      </c>
      <c r="F1413" s="6">
        <v>0.32291666666666669</v>
      </c>
      <c r="G1413">
        <v>5</v>
      </c>
      <c r="H1413" s="6">
        <f>FLOOR(tblPivotData[[#This Row],[Time]],Summary!$B$6/1440)</f>
        <v>0.32291666666666663</v>
      </c>
      <c r="I1413" s="49">
        <f>INDEX(PeakCalc!$L$10:$L$303,MATCH(tblPivotData[[#This Row],[Time]],PeakCalc!$G$10:$G$303,0))</f>
        <v>1</v>
      </c>
    </row>
    <row r="1414" spans="1:9" x14ac:dyDescent="0.25">
      <c r="A1414" t="s">
        <v>96</v>
      </c>
      <c r="B1414" t="s">
        <v>105</v>
      </c>
      <c r="C1414" t="s">
        <v>94</v>
      </c>
      <c r="D1414" t="s">
        <v>91</v>
      </c>
      <c r="E1414" t="s">
        <v>43</v>
      </c>
      <c r="F1414" s="6">
        <v>0.33333333333333331</v>
      </c>
      <c r="G1414">
        <v>1</v>
      </c>
      <c r="H1414" s="6">
        <f>FLOOR(tblPivotData[[#This Row],[Time]],Summary!$B$6/1440)</f>
        <v>0.33333333333333331</v>
      </c>
      <c r="I1414" s="49">
        <f>INDEX(PeakCalc!$L$10:$L$303,MATCH(tblPivotData[[#This Row],[Time]],PeakCalc!$G$10:$G$303,0))</f>
        <v>1</v>
      </c>
    </row>
    <row r="1415" spans="1:9" x14ac:dyDescent="0.25">
      <c r="A1415" t="s">
        <v>96</v>
      </c>
      <c r="B1415" t="s">
        <v>105</v>
      </c>
      <c r="C1415" t="s">
        <v>94</v>
      </c>
      <c r="D1415" t="s">
        <v>91</v>
      </c>
      <c r="E1415" t="s">
        <v>43</v>
      </c>
      <c r="F1415" s="6">
        <v>0.34375</v>
      </c>
      <c r="G1415">
        <v>0</v>
      </c>
      <c r="H1415" s="6">
        <f>FLOOR(tblPivotData[[#This Row],[Time]],Summary!$B$6/1440)</f>
        <v>0.34375</v>
      </c>
      <c r="I1415" s="49">
        <f>INDEX(PeakCalc!$L$10:$L$303,MATCH(tblPivotData[[#This Row],[Time]],PeakCalc!$G$10:$G$303,0))</f>
        <v>1</v>
      </c>
    </row>
    <row r="1416" spans="1:9" x14ac:dyDescent="0.25">
      <c r="A1416" t="s">
        <v>96</v>
      </c>
      <c r="B1416" t="s">
        <v>105</v>
      </c>
      <c r="C1416" t="s">
        <v>94</v>
      </c>
      <c r="D1416" t="s">
        <v>91</v>
      </c>
      <c r="E1416" t="s">
        <v>43</v>
      </c>
      <c r="F1416" s="6">
        <v>0.35416666666666669</v>
      </c>
      <c r="G1416">
        <v>1</v>
      </c>
      <c r="H1416" s="6">
        <f>FLOOR(tblPivotData[[#This Row],[Time]],Summary!$B$6/1440)</f>
        <v>0.35416666666666663</v>
      </c>
      <c r="I1416" s="49">
        <f>INDEX(PeakCalc!$L$10:$L$303,MATCH(tblPivotData[[#This Row],[Time]],PeakCalc!$G$10:$G$303,0))</f>
        <v>1</v>
      </c>
    </row>
    <row r="1417" spans="1:9" x14ac:dyDescent="0.25">
      <c r="A1417" t="s">
        <v>96</v>
      </c>
      <c r="B1417" t="s">
        <v>105</v>
      </c>
      <c r="C1417" t="s">
        <v>94</v>
      </c>
      <c r="D1417" t="s">
        <v>91</v>
      </c>
      <c r="E1417" t="s">
        <v>43</v>
      </c>
      <c r="F1417" s="6">
        <v>0.36458333333333331</v>
      </c>
      <c r="G1417">
        <v>0</v>
      </c>
      <c r="H1417" s="6">
        <f>FLOOR(tblPivotData[[#This Row],[Time]],Summary!$B$6/1440)</f>
        <v>0.36458333333333331</v>
      </c>
      <c r="I1417" s="49">
        <f>INDEX(PeakCalc!$L$10:$L$303,MATCH(tblPivotData[[#This Row],[Time]],PeakCalc!$G$10:$G$303,0))</f>
        <v>0</v>
      </c>
    </row>
    <row r="1418" spans="1:9" x14ac:dyDescent="0.25">
      <c r="A1418" t="s">
        <v>96</v>
      </c>
      <c r="B1418" t="s">
        <v>105</v>
      </c>
      <c r="C1418" t="s">
        <v>94</v>
      </c>
      <c r="D1418" t="s">
        <v>91</v>
      </c>
      <c r="E1418" t="s">
        <v>43</v>
      </c>
      <c r="F1418" s="6">
        <v>0.375</v>
      </c>
      <c r="G1418">
        <v>5</v>
      </c>
      <c r="H1418" s="6">
        <f>FLOOR(tblPivotData[[#This Row],[Time]],Summary!$B$6/1440)</f>
        <v>0.375</v>
      </c>
      <c r="I1418" s="49">
        <f>INDEX(PeakCalc!$L$10:$L$303,MATCH(tblPivotData[[#This Row],[Time]],PeakCalc!$G$10:$G$303,0))</f>
        <v>0</v>
      </c>
    </row>
    <row r="1419" spans="1:9" x14ac:dyDescent="0.25">
      <c r="A1419" t="s">
        <v>96</v>
      </c>
      <c r="B1419" t="s">
        <v>105</v>
      </c>
      <c r="C1419" t="s">
        <v>94</v>
      </c>
      <c r="D1419" t="s">
        <v>91</v>
      </c>
      <c r="E1419" t="s">
        <v>43</v>
      </c>
      <c r="F1419" s="6">
        <v>0.38541666666666669</v>
      </c>
      <c r="G1419">
        <v>3</v>
      </c>
      <c r="H1419" s="6">
        <f>FLOOR(tblPivotData[[#This Row],[Time]],Summary!$B$6/1440)</f>
        <v>0.38541666666666663</v>
      </c>
      <c r="I1419" s="49">
        <f>INDEX(PeakCalc!$L$10:$L$303,MATCH(tblPivotData[[#This Row],[Time]],PeakCalc!$G$10:$G$303,0))</f>
        <v>0</v>
      </c>
    </row>
    <row r="1420" spans="1:9" x14ac:dyDescent="0.25">
      <c r="A1420" t="s">
        <v>96</v>
      </c>
      <c r="B1420" t="s">
        <v>105</v>
      </c>
      <c r="C1420" t="s">
        <v>94</v>
      </c>
      <c r="D1420" t="s">
        <v>91</v>
      </c>
      <c r="E1420" t="s">
        <v>110</v>
      </c>
      <c r="F1420" s="6">
        <v>0.45833333333333331</v>
      </c>
      <c r="G1420">
        <v>0</v>
      </c>
      <c r="H1420" s="6">
        <f>FLOOR(tblPivotData[[#This Row],[Time]],Summary!$B$6/1440)</f>
        <v>0.45833333333333331</v>
      </c>
      <c r="I1420" s="49">
        <f>INDEX(PeakCalc!$L$10:$L$303,MATCH(tblPivotData[[#This Row],[Time]],PeakCalc!$G$10:$G$303,0))</f>
        <v>0</v>
      </c>
    </row>
    <row r="1421" spans="1:9" x14ac:dyDescent="0.25">
      <c r="A1421" t="s">
        <v>96</v>
      </c>
      <c r="B1421" t="s">
        <v>105</v>
      </c>
      <c r="C1421" t="s">
        <v>94</v>
      </c>
      <c r="D1421" t="s">
        <v>91</v>
      </c>
      <c r="E1421" t="s">
        <v>110</v>
      </c>
      <c r="F1421" s="6">
        <v>0.46875</v>
      </c>
      <c r="G1421">
        <v>2</v>
      </c>
      <c r="H1421" s="6">
        <f>FLOOR(tblPivotData[[#This Row],[Time]],Summary!$B$6/1440)</f>
        <v>0.46875</v>
      </c>
      <c r="I1421" s="49">
        <f>INDEX(PeakCalc!$L$10:$L$303,MATCH(tblPivotData[[#This Row],[Time]],PeakCalc!$G$10:$G$303,0))</f>
        <v>0</v>
      </c>
    </row>
    <row r="1422" spans="1:9" x14ac:dyDescent="0.25">
      <c r="A1422" t="s">
        <v>96</v>
      </c>
      <c r="B1422" t="s">
        <v>105</v>
      </c>
      <c r="C1422" t="s">
        <v>94</v>
      </c>
      <c r="D1422" t="s">
        <v>91</v>
      </c>
      <c r="E1422" t="s">
        <v>110</v>
      </c>
      <c r="F1422" s="6">
        <v>0.47916666666666669</v>
      </c>
      <c r="G1422">
        <v>2</v>
      </c>
      <c r="H1422" s="6">
        <f>FLOOR(tblPivotData[[#This Row],[Time]],Summary!$B$6/1440)</f>
        <v>0.47916666666666663</v>
      </c>
      <c r="I1422" s="49">
        <f>INDEX(PeakCalc!$L$10:$L$303,MATCH(tblPivotData[[#This Row],[Time]],PeakCalc!$G$10:$G$303,0))</f>
        <v>0</v>
      </c>
    </row>
    <row r="1423" spans="1:9" x14ac:dyDescent="0.25">
      <c r="A1423" t="s">
        <v>96</v>
      </c>
      <c r="B1423" t="s">
        <v>105</v>
      </c>
      <c r="C1423" t="s">
        <v>94</v>
      </c>
      <c r="D1423" t="s">
        <v>91</v>
      </c>
      <c r="E1423" t="s">
        <v>110</v>
      </c>
      <c r="F1423" s="6">
        <v>0.48958333333333331</v>
      </c>
      <c r="G1423">
        <v>3</v>
      </c>
      <c r="H1423" s="6">
        <f>FLOOR(tblPivotData[[#This Row],[Time]],Summary!$B$6/1440)</f>
        <v>0.48958333333333331</v>
      </c>
      <c r="I1423" s="49">
        <f>INDEX(PeakCalc!$L$10:$L$303,MATCH(tblPivotData[[#This Row],[Time]],PeakCalc!$G$10:$G$303,0))</f>
        <v>0</v>
      </c>
    </row>
    <row r="1424" spans="1:9" x14ac:dyDescent="0.25">
      <c r="A1424" t="s">
        <v>96</v>
      </c>
      <c r="B1424" t="s">
        <v>105</v>
      </c>
      <c r="C1424" t="s">
        <v>94</v>
      </c>
      <c r="D1424" t="s">
        <v>91</v>
      </c>
      <c r="E1424" t="s">
        <v>110</v>
      </c>
      <c r="F1424" s="6">
        <v>0.5</v>
      </c>
      <c r="G1424">
        <v>0</v>
      </c>
      <c r="H1424" s="6">
        <f>FLOOR(tblPivotData[[#This Row],[Time]],Summary!$B$6/1440)</f>
        <v>0.5</v>
      </c>
      <c r="I1424" s="49">
        <f>INDEX(PeakCalc!$L$10:$L$303,MATCH(tblPivotData[[#This Row],[Time]],PeakCalc!$G$10:$G$303,0))</f>
        <v>0</v>
      </c>
    </row>
    <row r="1425" spans="1:9" x14ac:dyDescent="0.25">
      <c r="A1425" t="s">
        <v>96</v>
      </c>
      <c r="B1425" t="s">
        <v>105</v>
      </c>
      <c r="C1425" t="s">
        <v>94</v>
      </c>
      <c r="D1425" t="s">
        <v>91</v>
      </c>
      <c r="E1425" t="s">
        <v>110</v>
      </c>
      <c r="F1425" s="6">
        <v>0.51041666666666663</v>
      </c>
      <c r="G1425">
        <v>0</v>
      </c>
      <c r="H1425" s="6">
        <f>FLOOR(tblPivotData[[#This Row],[Time]],Summary!$B$6/1440)</f>
        <v>0.51041666666666663</v>
      </c>
      <c r="I1425" s="49">
        <f>INDEX(PeakCalc!$L$10:$L$303,MATCH(tblPivotData[[#This Row],[Time]],PeakCalc!$G$10:$G$303,0))</f>
        <v>0</v>
      </c>
    </row>
    <row r="1426" spans="1:9" x14ac:dyDescent="0.25">
      <c r="A1426" t="s">
        <v>96</v>
      </c>
      <c r="B1426" t="s">
        <v>105</v>
      </c>
      <c r="C1426" t="s">
        <v>94</v>
      </c>
      <c r="D1426" t="s">
        <v>91</v>
      </c>
      <c r="E1426" t="s">
        <v>110</v>
      </c>
      <c r="F1426" s="6">
        <v>0.52083333333333337</v>
      </c>
      <c r="G1426">
        <v>2</v>
      </c>
      <c r="H1426" s="6">
        <f>FLOOR(tblPivotData[[#This Row],[Time]],Summary!$B$6/1440)</f>
        <v>0.52083333333333326</v>
      </c>
      <c r="I1426" s="49">
        <f>INDEX(PeakCalc!$L$10:$L$303,MATCH(tblPivotData[[#This Row],[Time]],PeakCalc!$G$10:$G$303,0))</f>
        <v>1</v>
      </c>
    </row>
    <row r="1427" spans="1:9" x14ac:dyDescent="0.25">
      <c r="A1427" t="s">
        <v>96</v>
      </c>
      <c r="B1427" t="s">
        <v>105</v>
      </c>
      <c r="C1427" t="s">
        <v>94</v>
      </c>
      <c r="D1427" t="s">
        <v>91</v>
      </c>
      <c r="E1427" t="s">
        <v>110</v>
      </c>
      <c r="F1427" s="6">
        <v>0.53125</v>
      </c>
      <c r="G1427">
        <v>1</v>
      </c>
      <c r="H1427" s="6">
        <f>FLOOR(tblPivotData[[#This Row],[Time]],Summary!$B$6/1440)</f>
        <v>0.53125</v>
      </c>
      <c r="I1427" s="49">
        <f>INDEX(PeakCalc!$L$10:$L$303,MATCH(tblPivotData[[#This Row],[Time]],PeakCalc!$G$10:$G$303,0))</f>
        <v>1</v>
      </c>
    </row>
    <row r="1428" spans="1:9" x14ac:dyDescent="0.25">
      <c r="A1428" t="s">
        <v>96</v>
      </c>
      <c r="B1428" t="s">
        <v>105</v>
      </c>
      <c r="C1428" t="s">
        <v>94</v>
      </c>
      <c r="D1428" t="s">
        <v>91</v>
      </c>
      <c r="E1428" t="s">
        <v>110</v>
      </c>
      <c r="F1428" s="6">
        <v>0.54166666666666663</v>
      </c>
      <c r="G1428">
        <v>1</v>
      </c>
      <c r="H1428" s="6">
        <f>FLOOR(tblPivotData[[#This Row],[Time]],Summary!$B$6/1440)</f>
        <v>0.54166666666666663</v>
      </c>
      <c r="I1428" s="49">
        <f>INDEX(PeakCalc!$L$10:$L$303,MATCH(tblPivotData[[#This Row],[Time]],PeakCalc!$G$10:$G$303,0))</f>
        <v>1</v>
      </c>
    </row>
    <row r="1429" spans="1:9" x14ac:dyDescent="0.25">
      <c r="A1429" t="s">
        <v>96</v>
      </c>
      <c r="B1429" t="s">
        <v>105</v>
      </c>
      <c r="C1429" t="s">
        <v>94</v>
      </c>
      <c r="D1429" t="s">
        <v>91</v>
      </c>
      <c r="E1429" t="s">
        <v>110</v>
      </c>
      <c r="F1429" s="6">
        <v>0.55208333333333337</v>
      </c>
      <c r="G1429">
        <v>3</v>
      </c>
      <c r="H1429" s="6">
        <f>FLOOR(tblPivotData[[#This Row],[Time]],Summary!$B$6/1440)</f>
        <v>0.55208333333333326</v>
      </c>
      <c r="I1429" s="49">
        <f>INDEX(PeakCalc!$L$10:$L$303,MATCH(tblPivotData[[#This Row],[Time]],PeakCalc!$G$10:$G$303,0))</f>
        <v>1</v>
      </c>
    </row>
    <row r="1430" spans="1:9" x14ac:dyDescent="0.25">
      <c r="A1430" t="s">
        <v>96</v>
      </c>
      <c r="B1430" t="s">
        <v>105</v>
      </c>
      <c r="C1430" t="s">
        <v>94</v>
      </c>
      <c r="D1430" t="s">
        <v>91</v>
      </c>
      <c r="E1430" t="s">
        <v>110</v>
      </c>
      <c r="F1430" s="6">
        <v>0.5625</v>
      </c>
      <c r="G1430">
        <v>2</v>
      </c>
      <c r="H1430" s="6">
        <f>FLOOR(tblPivotData[[#This Row],[Time]],Summary!$B$6/1440)</f>
        <v>0.5625</v>
      </c>
      <c r="I1430" s="49">
        <f>INDEX(PeakCalc!$L$10:$L$303,MATCH(tblPivotData[[#This Row],[Time]],PeakCalc!$G$10:$G$303,0))</f>
        <v>0</v>
      </c>
    </row>
    <row r="1431" spans="1:9" x14ac:dyDescent="0.25">
      <c r="A1431" t="s">
        <v>96</v>
      </c>
      <c r="B1431" t="s">
        <v>105</v>
      </c>
      <c r="C1431" t="s">
        <v>94</v>
      </c>
      <c r="D1431" t="s">
        <v>91</v>
      </c>
      <c r="E1431" t="s">
        <v>110</v>
      </c>
      <c r="F1431" s="6">
        <v>0.57291666666666663</v>
      </c>
      <c r="G1431">
        <v>3</v>
      </c>
      <c r="H1431" s="6">
        <f>FLOOR(tblPivotData[[#This Row],[Time]],Summary!$B$6/1440)</f>
        <v>0.57291666666666663</v>
      </c>
      <c r="I1431" s="49">
        <f>INDEX(PeakCalc!$L$10:$L$303,MATCH(tblPivotData[[#This Row],[Time]],PeakCalc!$G$10:$G$303,0))</f>
        <v>0</v>
      </c>
    </row>
    <row r="1432" spans="1:9" x14ac:dyDescent="0.25">
      <c r="A1432" t="s">
        <v>96</v>
      </c>
      <c r="B1432" t="s">
        <v>105</v>
      </c>
      <c r="C1432" t="s">
        <v>94</v>
      </c>
      <c r="D1432" t="s">
        <v>91</v>
      </c>
      <c r="E1432" t="s">
        <v>44</v>
      </c>
      <c r="F1432" s="6">
        <v>0.625</v>
      </c>
      <c r="G1432">
        <v>0</v>
      </c>
      <c r="H1432" s="6">
        <f>FLOOR(tblPivotData[[#This Row],[Time]],Summary!$B$6/1440)</f>
        <v>0.625</v>
      </c>
      <c r="I1432" s="49">
        <f>INDEX(PeakCalc!$L$10:$L$303,MATCH(tblPivotData[[#This Row],[Time]],PeakCalc!$G$10:$G$303,0))</f>
        <v>0</v>
      </c>
    </row>
    <row r="1433" spans="1:9" x14ac:dyDescent="0.25">
      <c r="A1433" t="s">
        <v>96</v>
      </c>
      <c r="B1433" t="s">
        <v>105</v>
      </c>
      <c r="C1433" t="s">
        <v>94</v>
      </c>
      <c r="D1433" t="s">
        <v>91</v>
      </c>
      <c r="E1433" t="s">
        <v>44</v>
      </c>
      <c r="F1433" s="6">
        <v>0.63541666666666663</v>
      </c>
      <c r="G1433">
        <v>2</v>
      </c>
      <c r="H1433" s="6">
        <f>FLOOR(tblPivotData[[#This Row],[Time]],Summary!$B$6/1440)</f>
        <v>0.63541666666666663</v>
      </c>
      <c r="I1433" s="49">
        <f>INDEX(PeakCalc!$L$10:$L$303,MATCH(tblPivotData[[#This Row],[Time]],PeakCalc!$G$10:$G$303,0))</f>
        <v>0</v>
      </c>
    </row>
    <row r="1434" spans="1:9" x14ac:dyDescent="0.25">
      <c r="A1434" t="s">
        <v>96</v>
      </c>
      <c r="B1434" t="s">
        <v>105</v>
      </c>
      <c r="C1434" t="s">
        <v>94</v>
      </c>
      <c r="D1434" t="s">
        <v>91</v>
      </c>
      <c r="E1434" t="s">
        <v>44</v>
      </c>
      <c r="F1434" s="6">
        <v>0.64583333333333337</v>
      </c>
      <c r="G1434">
        <v>0</v>
      </c>
      <c r="H1434" s="6">
        <f>FLOOR(tblPivotData[[#This Row],[Time]],Summary!$B$6/1440)</f>
        <v>0.64583333333333326</v>
      </c>
      <c r="I1434" s="49">
        <f>INDEX(PeakCalc!$L$10:$L$303,MATCH(tblPivotData[[#This Row],[Time]],PeakCalc!$G$10:$G$303,0))</f>
        <v>0</v>
      </c>
    </row>
    <row r="1435" spans="1:9" x14ac:dyDescent="0.25">
      <c r="A1435" t="s">
        <v>96</v>
      </c>
      <c r="B1435" t="s">
        <v>105</v>
      </c>
      <c r="C1435" t="s">
        <v>94</v>
      </c>
      <c r="D1435" t="s">
        <v>91</v>
      </c>
      <c r="E1435" t="s">
        <v>44</v>
      </c>
      <c r="F1435" s="6">
        <v>0.65625</v>
      </c>
      <c r="G1435">
        <v>1</v>
      </c>
      <c r="H1435" s="6">
        <f>FLOOR(tblPivotData[[#This Row],[Time]],Summary!$B$6/1440)</f>
        <v>0.65625</v>
      </c>
      <c r="I1435" s="49">
        <f>INDEX(PeakCalc!$L$10:$L$303,MATCH(tblPivotData[[#This Row],[Time]],PeakCalc!$G$10:$G$303,0))</f>
        <v>0</v>
      </c>
    </row>
    <row r="1436" spans="1:9" x14ac:dyDescent="0.25">
      <c r="A1436" t="s">
        <v>96</v>
      </c>
      <c r="B1436" t="s">
        <v>105</v>
      </c>
      <c r="C1436" t="s">
        <v>94</v>
      </c>
      <c r="D1436" t="s">
        <v>91</v>
      </c>
      <c r="E1436" t="s">
        <v>44</v>
      </c>
      <c r="F1436" s="6">
        <v>0.66666666666666663</v>
      </c>
      <c r="G1436">
        <v>0</v>
      </c>
      <c r="H1436" s="6">
        <f>FLOOR(tblPivotData[[#This Row],[Time]],Summary!$B$6/1440)</f>
        <v>0.66666666666666663</v>
      </c>
      <c r="I1436" s="49">
        <f>INDEX(PeakCalc!$L$10:$L$303,MATCH(tblPivotData[[#This Row],[Time]],PeakCalc!$G$10:$G$303,0))</f>
        <v>0</v>
      </c>
    </row>
    <row r="1437" spans="1:9" x14ac:dyDescent="0.25">
      <c r="A1437" t="s">
        <v>96</v>
      </c>
      <c r="B1437" t="s">
        <v>105</v>
      </c>
      <c r="C1437" t="s">
        <v>94</v>
      </c>
      <c r="D1437" t="s">
        <v>91</v>
      </c>
      <c r="E1437" t="s">
        <v>44</v>
      </c>
      <c r="F1437" s="6">
        <v>0.67708333333333337</v>
      </c>
      <c r="G1437">
        <v>0</v>
      </c>
      <c r="H1437" s="6">
        <f>FLOOR(tblPivotData[[#This Row],[Time]],Summary!$B$6/1440)</f>
        <v>0.67708333333333326</v>
      </c>
      <c r="I1437" s="49">
        <f>INDEX(PeakCalc!$L$10:$L$303,MATCH(tblPivotData[[#This Row],[Time]],PeakCalc!$G$10:$G$303,0))</f>
        <v>0</v>
      </c>
    </row>
    <row r="1438" spans="1:9" x14ac:dyDescent="0.25">
      <c r="A1438" t="s">
        <v>96</v>
      </c>
      <c r="B1438" t="s">
        <v>105</v>
      </c>
      <c r="C1438" t="s">
        <v>94</v>
      </c>
      <c r="D1438" t="s">
        <v>91</v>
      </c>
      <c r="E1438" t="s">
        <v>44</v>
      </c>
      <c r="F1438" s="6">
        <v>0.6875</v>
      </c>
      <c r="G1438">
        <v>1</v>
      </c>
      <c r="H1438" s="6">
        <f>FLOOR(tblPivotData[[#This Row],[Time]],Summary!$B$6/1440)</f>
        <v>0.6875</v>
      </c>
      <c r="I1438" s="49">
        <f>INDEX(PeakCalc!$L$10:$L$303,MATCH(tblPivotData[[#This Row],[Time]],PeakCalc!$G$10:$G$303,0))</f>
        <v>1</v>
      </c>
    </row>
    <row r="1439" spans="1:9" x14ac:dyDescent="0.25">
      <c r="A1439" t="s">
        <v>96</v>
      </c>
      <c r="B1439" t="s">
        <v>105</v>
      </c>
      <c r="C1439" t="s">
        <v>94</v>
      </c>
      <c r="D1439" t="s">
        <v>91</v>
      </c>
      <c r="E1439" t="s">
        <v>44</v>
      </c>
      <c r="F1439" s="6">
        <v>0.69791666666666663</v>
      </c>
      <c r="G1439">
        <v>1</v>
      </c>
      <c r="H1439" s="6">
        <f>FLOOR(tblPivotData[[#This Row],[Time]],Summary!$B$6/1440)</f>
        <v>0.69791666666666663</v>
      </c>
      <c r="I1439" s="49">
        <f>INDEX(PeakCalc!$L$10:$L$303,MATCH(tblPivotData[[#This Row],[Time]],PeakCalc!$G$10:$G$303,0))</f>
        <v>1</v>
      </c>
    </row>
    <row r="1440" spans="1:9" x14ac:dyDescent="0.25">
      <c r="A1440" t="s">
        <v>96</v>
      </c>
      <c r="B1440" t="s">
        <v>105</v>
      </c>
      <c r="C1440" t="s">
        <v>94</v>
      </c>
      <c r="D1440" t="s">
        <v>91</v>
      </c>
      <c r="E1440" t="s">
        <v>44</v>
      </c>
      <c r="F1440" s="6">
        <v>0.70833333333333337</v>
      </c>
      <c r="G1440">
        <v>3</v>
      </c>
      <c r="H1440" s="6">
        <f>FLOOR(tblPivotData[[#This Row],[Time]],Summary!$B$6/1440)</f>
        <v>0.70833333333333326</v>
      </c>
      <c r="I1440" s="49">
        <f>INDEX(PeakCalc!$L$10:$L$303,MATCH(tblPivotData[[#This Row],[Time]],PeakCalc!$G$10:$G$303,0))</f>
        <v>1</v>
      </c>
    </row>
    <row r="1441" spans="1:9" x14ac:dyDescent="0.25">
      <c r="A1441" t="s">
        <v>96</v>
      </c>
      <c r="B1441" t="s">
        <v>105</v>
      </c>
      <c r="C1441" t="s">
        <v>94</v>
      </c>
      <c r="D1441" t="s">
        <v>91</v>
      </c>
      <c r="E1441" t="s">
        <v>44</v>
      </c>
      <c r="F1441" s="6">
        <v>0.71875</v>
      </c>
      <c r="G1441">
        <v>0</v>
      </c>
      <c r="H1441" s="6">
        <f>FLOOR(tblPivotData[[#This Row],[Time]],Summary!$B$6/1440)</f>
        <v>0.71875</v>
      </c>
      <c r="I1441" s="49">
        <f>INDEX(PeakCalc!$L$10:$L$303,MATCH(tblPivotData[[#This Row],[Time]],PeakCalc!$G$10:$G$303,0))</f>
        <v>1</v>
      </c>
    </row>
    <row r="1442" spans="1:9" x14ac:dyDescent="0.25">
      <c r="A1442" t="s">
        <v>96</v>
      </c>
      <c r="B1442" t="s">
        <v>105</v>
      </c>
      <c r="C1442" t="s">
        <v>94</v>
      </c>
      <c r="D1442" t="s">
        <v>91</v>
      </c>
      <c r="E1442" t="s">
        <v>44</v>
      </c>
      <c r="F1442" s="6">
        <v>0.72916666666666663</v>
      </c>
      <c r="G1442">
        <v>0</v>
      </c>
      <c r="H1442" s="6">
        <f>FLOOR(tblPivotData[[#This Row],[Time]],Summary!$B$6/1440)</f>
        <v>0.72916666666666663</v>
      </c>
      <c r="I1442" s="49">
        <f>INDEX(PeakCalc!$L$10:$L$303,MATCH(tblPivotData[[#This Row],[Time]],PeakCalc!$G$10:$G$303,0))</f>
        <v>0</v>
      </c>
    </row>
    <row r="1443" spans="1:9" x14ac:dyDescent="0.25">
      <c r="A1443" t="s">
        <v>96</v>
      </c>
      <c r="B1443" t="s">
        <v>105</v>
      </c>
      <c r="C1443" t="s">
        <v>94</v>
      </c>
      <c r="D1443" t="s">
        <v>91</v>
      </c>
      <c r="E1443" t="s">
        <v>44</v>
      </c>
      <c r="F1443" s="6">
        <v>0.73958333333333337</v>
      </c>
      <c r="G1443">
        <v>0</v>
      </c>
      <c r="H1443" s="6">
        <f>FLOOR(tblPivotData[[#This Row],[Time]],Summary!$B$6/1440)</f>
        <v>0.73958333333333326</v>
      </c>
      <c r="I1443" s="49">
        <f>INDEX(PeakCalc!$L$10:$L$303,MATCH(tblPivotData[[#This Row],[Time]],PeakCalc!$G$10:$G$303,0))</f>
        <v>0</v>
      </c>
    </row>
    <row r="1444" spans="1:9" x14ac:dyDescent="0.25">
      <c r="A1444" t="s">
        <v>96</v>
      </c>
      <c r="B1444" t="s">
        <v>105</v>
      </c>
      <c r="C1444" t="s">
        <v>94</v>
      </c>
      <c r="D1444" t="s">
        <v>91</v>
      </c>
      <c r="E1444" t="s">
        <v>44</v>
      </c>
      <c r="F1444" s="6">
        <v>0.75</v>
      </c>
      <c r="G1444">
        <v>3</v>
      </c>
      <c r="H1444" s="6">
        <f>FLOOR(tblPivotData[[#This Row],[Time]],Summary!$B$6/1440)</f>
        <v>0.75</v>
      </c>
      <c r="I1444" s="49">
        <f>INDEX(PeakCalc!$L$10:$L$303,MATCH(tblPivotData[[#This Row],[Time]],PeakCalc!$G$10:$G$303,0))</f>
        <v>0</v>
      </c>
    </row>
    <row r="1445" spans="1:9" x14ac:dyDescent="0.25">
      <c r="A1445" t="s">
        <v>96</v>
      </c>
      <c r="B1445" t="s">
        <v>105</v>
      </c>
      <c r="C1445" t="s">
        <v>94</v>
      </c>
      <c r="D1445" t="s">
        <v>91</v>
      </c>
      <c r="E1445" t="s">
        <v>44</v>
      </c>
      <c r="F1445" s="6">
        <v>0.76041666666666663</v>
      </c>
      <c r="G1445">
        <v>0</v>
      </c>
      <c r="H1445" s="6">
        <f>FLOOR(tblPivotData[[#This Row],[Time]],Summary!$B$6/1440)</f>
        <v>0.76041666666666663</v>
      </c>
      <c r="I1445" s="49">
        <f>INDEX(PeakCalc!$L$10:$L$303,MATCH(tblPivotData[[#This Row],[Time]],PeakCalc!$G$10:$G$303,0))</f>
        <v>0</v>
      </c>
    </row>
    <row r="1446" spans="1:9" x14ac:dyDescent="0.25">
      <c r="A1446" t="s">
        <v>96</v>
      </c>
      <c r="B1446" t="s">
        <v>105</v>
      </c>
      <c r="C1446" t="s">
        <v>94</v>
      </c>
      <c r="D1446" t="s">
        <v>92</v>
      </c>
      <c r="E1446" t="s">
        <v>43</v>
      </c>
      <c r="F1446" s="6">
        <v>0.27083333333333331</v>
      </c>
      <c r="G1446">
        <v>1</v>
      </c>
      <c r="H1446" s="6">
        <f>FLOOR(tblPivotData[[#This Row],[Time]],Summary!$B$6/1440)</f>
        <v>0.27083333333333331</v>
      </c>
      <c r="I1446" s="49">
        <f>INDEX(PeakCalc!$L$10:$L$303,MATCH(tblPivotData[[#This Row],[Time]],PeakCalc!$G$10:$G$303,0))</f>
        <v>0</v>
      </c>
    </row>
    <row r="1447" spans="1:9" x14ac:dyDescent="0.25">
      <c r="A1447" t="s">
        <v>96</v>
      </c>
      <c r="B1447" t="s">
        <v>105</v>
      </c>
      <c r="C1447" t="s">
        <v>94</v>
      </c>
      <c r="D1447" t="s">
        <v>92</v>
      </c>
      <c r="E1447" t="s">
        <v>43</v>
      </c>
      <c r="F1447" s="6">
        <v>0.28125</v>
      </c>
      <c r="G1447">
        <v>0</v>
      </c>
      <c r="H1447" s="6">
        <f>FLOOR(tblPivotData[[#This Row],[Time]],Summary!$B$6/1440)</f>
        <v>0.28125</v>
      </c>
      <c r="I1447" s="49">
        <f>INDEX(PeakCalc!$L$10:$L$303,MATCH(tblPivotData[[#This Row],[Time]],PeakCalc!$G$10:$G$303,0))</f>
        <v>0</v>
      </c>
    </row>
    <row r="1448" spans="1:9" x14ac:dyDescent="0.25">
      <c r="A1448" t="s">
        <v>96</v>
      </c>
      <c r="B1448" t="s">
        <v>105</v>
      </c>
      <c r="C1448" t="s">
        <v>94</v>
      </c>
      <c r="D1448" t="s">
        <v>92</v>
      </c>
      <c r="E1448" t="s">
        <v>43</v>
      </c>
      <c r="F1448" s="6">
        <v>0.29166666666666669</v>
      </c>
      <c r="G1448">
        <v>0</v>
      </c>
      <c r="H1448" s="6">
        <f>FLOOR(tblPivotData[[#This Row],[Time]],Summary!$B$6/1440)</f>
        <v>0.29166666666666663</v>
      </c>
      <c r="I1448" s="49">
        <f>INDEX(PeakCalc!$L$10:$L$303,MATCH(tblPivotData[[#This Row],[Time]],PeakCalc!$G$10:$G$303,0))</f>
        <v>0</v>
      </c>
    </row>
    <row r="1449" spans="1:9" x14ac:dyDescent="0.25">
      <c r="A1449" t="s">
        <v>96</v>
      </c>
      <c r="B1449" t="s">
        <v>105</v>
      </c>
      <c r="C1449" t="s">
        <v>94</v>
      </c>
      <c r="D1449" t="s">
        <v>92</v>
      </c>
      <c r="E1449" t="s">
        <v>43</v>
      </c>
      <c r="F1449" s="6">
        <v>0.30208333333333331</v>
      </c>
      <c r="G1449">
        <v>0</v>
      </c>
      <c r="H1449" s="6">
        <f>FLOOR(tblPivotData[[#This Row],[Time]],Summary!$B$6/1440)</f>
        <v>0.30208333333333331</v>
      </c>
      <c r="I1449" s="49">
        <f>INDEX(PeakCalc!$L$10:$L$303,MATCH(tblPivotData[[#This Row],[Time]],PeakCalc!$G$10:$G$303,0))</f>
        <v>0</v>
      </c>
    </row>
    <row r="1450" spans="1:9" x14ac:dyDescent="0.25">
      <c r="A1450" t="s">
        <v>96</v>
      </c>
      <c r="B1450" t="s">
        <v>105</v>
      </c>
      <c r="C1450" t="s">
        <v>94</v>
      </c>
      <c r="D1450" t="s">
        <v>92</v>
      </c>
      <c r="E1450" t="s">
        <v>43</v>
      </c>
      <c r="F1450" s="6">
        <v>0.3125</v>
      </c>
      <c r="G1450">
        <v>0</v>
      </c>
      <c r="H1450" s="6">
        <f>FLOOR(tblPivotData[[#This Row],[Time]],Summary!$B$6/1440)</f>
        <v>0.3125</v>
      </c>
      <c r="I1450" s="49">
        <f>INDEX(PeakCalc!$L$10:$L$303,MATCH(tblPivotData[[#This Row],[Time]],PeakCalc!$G$10:$G$303,0))</f>
        <v>0</v>
      </c>
    </row>
    <row r="1451" spans="1:9" x14ac:dyDescent="0.25">
      <c r="A1451" t="s">
        <v>96</v>
      </c>
      <c r="B1451" t="s">
        <v>105</v>
      </c>
      <c r="C1451" t="s">
        <v>94</v>
      </c>
      <c r="D1451" t="s">
        <v>92</v>
      </c>
      <c r="E1451" t="s">
        <v>43</v>
      </c>
      <c r="F1451" s="6">
        <v>0.32291666666666669</v>
      </c>
      <c r="G1451">
        <v>1</v>
      </c>
      <c r="H1451" s="6">
        <f>FLOOR(tblPivotData[[#This Row],[Time]],Summary!$B$6/1440)</f>
        <v>0.32291666666666663</v>
      </c>
      <c r="I1451" s="49">
        <f>INDEX(PeakCalc!$L$10:$L$303,MATCH(tblPivotData[[#This Row],[Time]],PeakCalc!$G$10:$G$303,0))</f>
        <v>1</v>
      </c>
    </row>
    <row r="1452" spans="1:9" x14ac:dyDescent="0.25">
      <c r="A1452" t="s">
        <v>96</v>
      </c>
      <c r="B1452" t="s">
        <v>105</v>
      </c>
      <c r="C1452" t="s">
        <v>94</v>
      </c>
      <c r="D1452" t="s">
        <v>92</v>
      </c>
      <c r="E1452" t="s">
        <v>43</v>
      </c>
      <c r="F1452" s="6">
        <v>0.33333333333333331</v>
      </c>
      <c r="G1452">
        <v>0</v>
      </c>
      <c r="H1452" s="6">
        <f>FLOOR(tblPivotData[[#This Row],[Time]],Summary!$B$6/1440)</f>
        <v>0.33333333333333331</v>
      </c>
      <c r="I1452" s="49">
        <f>INDEX(PeakCalc!$L$10:$L$303,MATCH(tblPivotData[[#This Row],[Time]],PeakCalc!$G$10:$G$303,0))</f>
        <v>1</v>
      </c>
    </row>
    <row r="1453" spans="1:9" x14ac:dyDescent="0.25">
      <c r="A1453" t="s">
        <v>96</v>
      </c>
      <c r="B1453" t="s">
        <v>105</v>
      </c>
      <c r="C1453" t="s">
        <v>94</v>
      </c>
      <c r="D1453" t="s">
        <v>92</v>
      </c>
      <c r="E1453" t="s">
        <v>43</v>
      </c>
      <c r="F1453" s="6">
        <v>0.34375</v>
      </c>
      <c r="G1453">
        <v>0</v>
      </c>
      <c r="H1453" s="6">
        <f>FLOOR(tblPivotData[[#This Row],[Time]],Summary!$B$6/1440)</f>
        <v>0.34375</v>
      </c>
      <c r="I1453" s="49">
        <f>INDEX(PeakCalc!$L$10:$L$303,MATCH(tblPivotData[[#This Row],[Time]],PeakCalc!$G$10:$G$303,0))</f>
        <v>1</v>
      </c>
    </row>
    <row r="1454" spans="1:9" x14ac:dyDescent="0.25">
      <c r="A1454" t="s">
        <v>96</v>
      </c>
      <c r="B1454" t="s">
        <v>105</v>
      </c>
      <c r="C1454" t="s">
        <v>94</v>
      </c>
      <c r="D1454" t="s">
        <v>92</v>
      </c>
      <c r="E1454" t="s">
        <v>43</v>
      </c>
      <c r="F1454" s="6">
        <v>0.35416666666666669</v>
      </c>
      <c r="G1454">
        <v>0</v>
      </c>
      <c r="H1454" s="6">
        <f>FLOOR(tblPivotData[[#This Row],[Time]],Summary!$B$6/1440)</f>
        <v>0.35416666666666663</v>
      </c>
      <c r="I1454" s="49">
        <f>INDEX(PeakCalc!$L$10:$L$303,MATCH(tblPivotData[[#This Row],[Time]],PeakCalc!$G$10:$G$303,0))</f>
        <v>1</v>
      </c>
    </row>
    <row r="1455" spans="1:9" x14ac:dyDescent="0.25">
      <c r="A1455" t="s">
        <v>96</v>
      </c>
      <c r="B1455" t="s">
        <v>105</v>
      </c>
      <c r="C1455" t="s">
        <v>94</v>
      </c>
      <c r="D1455" t="s">
        <v>92</v>
      </c>
      <c r="E1455" t="s">
        <v>43</v>
      </c>
      <c r="F1455" s="6">
        <v>0.36458333333333331</v>
      </c>
      <c r="G1455">
        <v>0</v>
      </c>
      <c r="H1455" s="6">
        <f>FLOOR(tblPivotData[[#This Row],[Time]],Summary!$B$6/1440)</f>
        <v>0.36458333333333331</v>
      </c>
      <c r="I1455" s="49">
        <f>INDEX(PeakCalc!$L$10:$L$303,MATCH(tblPivotData[[#This Row],[Time]],PeakCalc!$G$10:$G$303,0))</f>
        <v>0</v>
      </c>
    </row>
    <row r="1456" spans="1:9" x14ac:dyDescent="0.25">
      <c r="A1456" t="s">
        <v>96</v>
      </c>
      <c r="B1456" t="s">
        <v>105</v>
      </c>
      <c r="C1456" t="s">
        <v>94</v>
      </c>
      <c r="D1456" t="s">
        <v>92</v>
      </c>
      <c r="E1456" t="s">
        <v>43</v>
      </c>
      <c r="F1456" s="6">
        <v>0.375</v>
      </c>
      <c r="G1456">
        <v>0</v>
      </c>
      <c r="H1456" s="6">
        <f>FLOOR(tblPivotData[[#This Row],[Time]],Summary!$B$6/1440)</f>
        <v>0.375</v>
      </c>
      <c r="I1456" s="49">
        <f>INDEX(PeakCalc!$L$10:$L$303,MATCH(tblPivotData[[#This Row],[Time]],PeakCalc!$G$10:$G$303,0))</f>
        <v>0</v>
      </c>
    </row>
    <row r="1457" spans="1:9" x14ac:dyDescent="0.25">
      <c r="A1457" t="s">
        <v>96</v>
      </c>
      <c r="B1457" t="s">
        <v>105</v>
      </c>
      <c r="C1457" t="s">
        <v>94</v>
      </c>
      <c r="D1457" t="s">
        <v>92</v>
      </c>
      <c r="E1457" t="s">
        <v>43</v>
      </c>
      <c r="F1457" s="6">
        <v>0.38541666666666669</v>
      </c>
      <c r="G1457">
        <v>0</v>
      </c>
      <c r="H1457" s="6">
        <f>FLOOR(tblPivotData[[#This Row],[Time]],Summary!$B$6/1440)</f>
        <v>0.38541666666666663</v>
      </c>
      <c r="I1457" s="49">
        <f>INDEX(PeakCalc!$L$10:$L$303,MATCH(tblPivotData[[#This Row],[Time]],PeakCalc!$G$10:$G$303,0))</f>
        <v>0</v>
      </c>
    </row>
    <row r="1458" spans="1:9" x14ac:dyDescent="0.25">
      <c r="A1458" t="s">
        <v>96</v>
      </c>
      <c r="B1458" t="s">
        <v>105</v>
      </c>
      <c r="C1458" t="s">
        <v>94</v>
      </c>
      <c r="D1458" t="s">
        <v>92</v>
      </c>
      <c r="E1458" t="s">
        <v>110</v>
      </c>
      <c r="F1458" s="6">
        <v>0.45833333333333331</v>
      </c>
      <c r="G1458">
        <v>1</v>
      </c>
      <c r="H1458" s="6">
        <f>FLOOR(tblPivotData[[#This Row],[Time]],Summary!$B$6/1440)</f>
        <v>0.45833333333333331</v>
      </c>
      <c r="I1458" s="49">
        <f>INDEX(PeakCalc!$L$10:$L$303,MATCH(tblPivotData[[#This Row],[Time]],PeakCalc!$G$10:$G$303,0))</f>
        <v>0</v>
      </c>
    </row>
    <row r="1459" spans="1:9" x14ac:dyDescent="0.25">
      <c r="A1459" t="s">
        <v>96</v>
      </c>
      <c r="B1459" t="s">
        <v>105</v>
      </c>
      <c r="C1459" t="s">
        <v>94</v>
      </c>
      <c r="D1459" t="s">
        <v>92</v>
      </c>
      <c r="E1459" t="s">
        <v>110</v>
      </c>
      <c r="F1459" s="6">
        <v>0.46875</v>
      </c>
      <c r="G1459">
        <v>1</v>
      </c>
      <c r="H1459" s="6">
        <f>FLOOR(tblPivotData[[#This Row],[Time]],Summary!$B$6/1440)</f>
        <v>0.46875</v>
      </c>
      <c r="I1459" s="49">
        <f>INDEX(PeakCalc!$L$10:$L$303,MATCH(tblPivotData[[#This Row],[Time]],PeakCalc!$G$10:$G$303,0))</f>
        <v>0</v>
      </c>
    </row>
    <row r="1460" spans="1:9" x14ac:dyDescent="0.25">
      <c r="A1460" t="s">
        <v>96</v>
      </c>
      <c r="B1460" t="s">
        <v>105</v>
      </c>
      <c r="C1460" t="s">
        <v>94</v>
      </c>
      <c r="D1460" t="s">
        <v>92</v>
      </c>
      <c r="E1460" t="s">
        <v>110</v>
      </c>
      <c r="F1460" s="6">
        <v>0.47916666666666669</v>
      </c>
      <c r="G1460">
        <v>0</v>
      </c>
      <c r="H1460" s="6">
        <f>FLOOR(tblPivotData[[#This Row],[Time]],Summary!$B$6/1440)</f>
        <v>0.47916666666666663</v>
      </c>
      <c r="I1460" s="49">
        <f>INDEX(PeakCalc!$L$10:$L$303,MATCH(tblPivotData[[#This Row],[Time]],PeakCalc!$G$10:$G$303,0))</f>
        <v>0</v>
      </c>
    </row>
    <row r="1461" spans="1:9" x14ac:dyDescent="0.25">
      <c r="A1461" t="s">
        <v>96</v>
      </c>
      <c r="B1461" t="s">
        <v>105</v>
      </c>
      <c r="C1461" t="s">
        <v>94</v>
      </c>
      <c r="D1461" t="s">
        <v>92</v>
      </c>
      <c r="E1461" t="s">
        <v>110</v>
      </c>
      <c r="F1461" s="6">
        <v>0.48958333333333331</v>
      </c>
      <c r="G1461">
        <v>0</v>
      </c>
      <c r="H1461" s="6">
        <f>FLOOR(tblPivotData[[#This Row],[Time]],Summary!$B$6/1440)</f>
        <v>0.48958333333333331</v>
      </c>
      <c r="I1461" s="49">
        <f>INDEX(PeakCalc!$L$10:$L$303,MATCH(tblPivotData[[#This Row],[Time]],PeakCalc!$G$10:$G$303,0))</f>
        <v>0</v>
      </c>
    </row>
    <row r="1462" spans="1:9" x14ac:dyDescent="0.25">
      <c r="A1462" t="s">
        <v>96</v>
      </c>
      <c r="B1462" t="s">
        <v>105</v>
      </c>
      <c r="C1462" t="s">
        <v>94</v>
      </c>
      <c r="D1462" t="s">
        <v>92</v>
      </c>
      <c r="E1462" t="s">
        <v>110</v>
      </c>
      <c r="F1462" s="6">
        <v>0.5</v>
      </c>
      <c r="G1462">
        <v>0</v>
      </c>
      <c r="H1462" s="6">
        <f>FLOOR(tblPivotData[[#This Row],[Time]],Summary!$B$6/1440)</f>
        <v>0.5</v>
      </c>
      <c r="I1462" s="49">
        <f>INDEX(PeakCalc!$L$10:$L$303,MATCH(tblPivotData[[#This Row],[Time]],PeakCalc!$G$10:$G$303,0))</f>
        <v>0</v>
      </c>
    </row>
    <row r="1463" spans="1:9" x14ac:dyDescent="0.25">
      <c r="A1463" t="s">
        <v>96</v>
      </c>
      <c r="B1463" t="s">
        <v>105</v>
      </c>
      <c r="C1463" t="s">
        <v>94</v>
      </c>
      <c r="D1463" t="s">
        <v>92</v>
      </c>
      <c r="E1463" t="s">
        <v>110</v>
      </c>
      <c r="F1463" s="6">
        <v>0.51041666666666663</v>
      </c>
      <c r="G1463">
        <v>0</v>
      </c>
      <c r="H1463" s="6">
        <f>FLOOR(tblPivotData[[#This Row],[Time]],Summary!$B$6/1440)</f>
        <v>0.51041666666666663</v>
      </c>
      <c r="I1463" s="49">
        <f>INDEX(PeakCalc!$L$10:$L$303,MATCH(tblPivotData[[#This Row],[Time]],PeakCalc!$G$10:$G$303,0))</f>
        <v>0</v>
      </c>
    </row>
    <row r="1464" spans="1:9" x14ac:dyDescent="0.25">
      <c r="A1464" t="s">
        <v>96</v>
      </c>
      <c r="B1464" t="s">
        <v>105</v>
      </c>
      <c r="C1464" t="s">
        <v>94</v>
      </c>
      <c r="D1464" t="s">
        <v>92</v>
      </c>
      <c r="E1464" t="s">
        <v>110</v>
      </c>
      <c r="F1464" s="6">
        <v>0.52083333333333337</v>
      </c>
      <c r="G1464">
        <v>0</v>
      </c>
      <c r="H1464" s="6">
        <f>FLOOR(tblPivotData[[#This Row],[Time]],Summary!$B$6/1440)</f>
        <v>0.52083333333333326</v>
      </c>
      <c r="I1464" s="49">
        <f>INDEX(PeakCalc!$L$10:$L$303,MATCH(tblPivotData[[#This Row],[Time]],PeakCalc!$G$10:$G$303,0))</f>
        <v>1</v>
      </c>
    </row>
    <row r="1465" spans="1:9" x14ac:dyDescent="0.25">
      <c r="A1465" t="s">
        <v>96</v>
      </c>
      <c r="B1465" t="s">
        <v>105</v>
      </c>
      <c r="C1465" t="s">
        <v>94</v>
      </c>
      <c r="D1465" t="s">
        <v>92</v>
      </c>
      <c r="E1465" t="s">
        <v>110</v>
      </c>
      <c r="F1465" s="6">
        <v>0.53125</v>
      </c>
      <c r="G1465">
        <v>0</v>
      </c>
      <c r="H1465" s="6">
        <f>FLOOR(tblPivotData[[#This Row],[Time]],Summary!$B$6/1440)</f>
        <v>0.53125</v>
      </c>
      <c r="I1465" s="49">
        <f>INDEX(PeakCalc!$L$10:$L$303,MATCH(tblPivotData[[#This Row],[Time]],PeakCalc!$G$10:$G$303,0))</f>
        <v>1</v>
      </c>
    </row>
    <row r="1466" spans="1:9" x14ac:dyDescent="0.25">
      <c r="A1466" t="s">
        <v>96</v>
      </c>
      <c r="B1466" t="s">
        <v>105</v>
      </c>
      <c r="C1466" t="s">
        <v>94</v>
      </c>
      <c r="D1466" t="s">
        <v>92</v>
      </c>
      <c r="E1466" t="s">
        <v>110</v>
      </c>
      <c r="F1466" s="6">
        <v>0.54166666666666663</v>
      </c>
      <c r="G1466">
        <v>0</v>
      </c>
      <c r="H1466" s="6">
        <f>FLOOR(tblPivotData[[#This Row],[Time]],Summary!$B$6/1440)</f>
        <v>0.54166666666666663</v>
      </c>
      <c r="I1466" s="49">
        <f>INDEX(PeakCalc!$L$10:$L$303,MATCH(tblPivotData[[#This Row],[Time]],PeakCalc!$G$10:$G$303,0))</f>
        <v>1</v>
      </c>
    </row>
    <row r="1467" spans="1:9" x14ac:dyDescent="0.25">
      <c r="A1467" t="s">
        <v>96</v>
      </c>
      <c r="B1467" t="s">
        <v>105</v>
      </c>
      <c r="C1467" t="s">
        <v>94</v>
      </c>
      <c r="D1467" t="s">
        <v>92</v>
      </c>
      <c r="E1467" t="s">
        <v>110</v>
      </c>
      <c r="F1467" s="6">
        <v>0.55208333333333337</v>
      </c>
      <c r="G1467">
        <v>0</v>
      </c>
      <c r="H1467" s="6">
        <f>FLOOR(tblPivotData[[#This Row],[Time]],Summary!$B$6/1440)</f>
        <v>0.55208333333333326</v>
      </c>
      <c r="I1467" s="49">
        <f>INDEX(PeakCalc!$L$10:$L$303,MATCH(tblPivotData[[#This Row],[Time]],PeakCalc!$G$10:$G$303,0))</f>
        <v>1</v>
      </c>
    </row>
    <row r="1468" spans="1:9" x14ac:dyDescent="0.25">
      <c r="A1468" t="s">
        <v>96</v>
      </c>
      <c r="B1468" t="s">
        <v>105</v>
      </c>
      <c r="C1468" t="s">
        <v>94</v>
      </c>
      <c r="D1468" t="s">
        <v>92</v>
      </c>
      <c r="E1468" t="s">
        <v>110</v>
      </c>
      <c r="F1468" s="6">
        <v>0.5625</v>
      </c>
      <c r="G1468">
        <v>0</v>
      </c>
      <c r="H1468" s="6">
        <f>FLOOR(tblPivotData[[#This Row],[Time]],Summary!$B$6/1440)</f>
        <v>0.5625</v>
      </c>
      <c r="I1468" s="49">
        <f>INDEX(PeakCalc!$L$10:$L$303,MATCH(tblPivotData[[#This Row],[Time]],PeakCalc!$G$10:$G$303,0))</f>
        <v>0</v>
      </c>
    </row>
    <row r="1469" spans="1:9" x14ac:dyDescent="0.25">
      <c r="A1469" t="s">
        <v>96</v>
      </c>
      <c r="B1469" t="s">
        <v>105</v>
      </c>
      <c r="C1469" t="s">
        <v>94</v>
      </c>
      <c r="D1469" t="s">
        <v>92</v>
      </c>
      <c r="E1469" t="s">
        <v>110</v>
      </c>
      <c r="F1469" s="6">
        <v>0.57291666666666663</v>
      </c>
      <c r="G1469">
        <v>0</v>
      </c>
      <c r="H1469" s="6">
        <f>FLOOR(tblPivotData[[#This Row],[Time]],Summary!$B$6/1440)</f>
        <v>0.57291666666666663</v>
      </c>
      <c r="I1469" s="49">
        <f>INDEX(PeakCalc!$L$10:$L$303,MATCH(tblPivotData[[#This Row],[Time]],PeakCalc!$G$10:$G$303,0))</f>
        <v>0</v>
      </c>
    </row>
    <row r="1470" spans="1:9" x14ac:dyDescent="0.25">
      <c r="A1470" t="s">
        <v>96</v>
      </c>
      <c r="B1470" t="s">
        <v>105</v>
      </c>
      <c r="C1470" t="s">
        <v>94</v>
      </c>
      <c r="D1470" t="s">
        <v>92</v>
      </c>
      <c r="E1470" t="s">
        <v>44</v>
      </c>
      <c r="F1470" s="6">
        <v>0.625</v>
      </c>
      <c r="G1470">
        <v>0</v>
      </c>
      <c r="H1470" s="6">
        <f>FLOOR(tblPivotData[[#This Row],[Time]],Summary!$B$6/1440)</f>
        <v>0.625</v>
      </c>
      <c r="I1470" s="49">
        <f>INDEX(PeakCalc!$L$10:$L$303,MATCH(tblPivotData[[#This Row],[Time]],PeakCalc!$G$10:$G$303,0))</f>
        <v>0</v>
      </c>
    </row>
    <row r="1471" spans="1:9" x14ac:dyDescent="0.25">
      <c r="A1471" t="s">
        <v>96</v>
      </c>
      <c r="B1471" t="s">
        <v>105</v>
      </c>
      <c r="C1471" t="s">
        <v>94</v>
      </c>
      <c r="D1471" t="s">
        <v>92</v>
      </c>
      <c r="E1471" t="s">
        <v>44</v>
      </c>
      <c r="F1471" s="6">
        <v>0.63541666666666663</v>
      </c>
      <c r="G1471">
        <v>0</v>
      </c>
      <c r="H1471" s="6">
        <f>FLOOR(tblPivotData[[#This Row],[Time]],Summary!$B$6/1440)</f>
        <v>0.63541666666666663</v>
      </c>
      <c r="I1471" s="49">
        <f>INDEX(PeakCalc!$L$10:$L$303,MATCH(tblPivotData[[#This Row],[Time]],PeakCalc!$G$10:$G$303,0))</f>
        <v>0</v>
      </c>
    </row>
    <row r="1472" spans="1:9" x14ac:dyDescent="0.25">
      <c r="A1472" t="s">
        <v>96</v>
      </c>
      <c r="B1472" t="s">
        <v>105</v>
      </c>
      <c r="C1472" t="s">
        <v>94</v>
      </c>
      <c r="D1472" t="s">
        <v>92</v>
      </c>
      <c r="E1472" t="s">
        <v>44</v>
      </c>
      <c r="F1472" s="6">
        <v>0.64583333333333337</v>
      </c>
      <c r="G1472">
        <v>0</v>
      </c>
      <c r="H1472" s="6">
        <f>FLOOR(tblPivotData[[#This Row],[Time]],Summary!$B$6/1440)</f>
        <v>0.64583333333333326</v>
      </c>
      <c r="I1472" s="49">
        <f>INDEX(PeakCalc!$L$10:$L$303,MATCH(tblPivotData[[#This Row],[Time]],PeakCalc!$G$10:$G$303,0))</f>
        <v>0</v>
      </c>
    </row>
    <row r="1473" spans="1:9" x14ac:dyDescent="0.25">
      <c r="A1473" t="s">
        <v>96</v>
      </c>
      <c r="B1473" t="s">
        <v>105</v>
      </c>
      <c r="C1473" t="s">
        <v>94</v>
      </c>
      <c r="D1473" t="s">
        <v>92</v>
      </c>
      <c r="E1473" t="s">
        <v>44</v>
      </c>
      <c r="F1473" s="6">
        <v>0.65625</v>
      </c>
      <c r="G1473">
        <v>0</v>
      </c>
      <c r="H1473" s="6">
        <f>FLOOR(tblPivotData[[#This Row],[Time]],Summary!$B$6/1440)</f>
        <v>0.65625</v>
      </c>
      <c r="I1473" s="49">
        <f>INDEX(PeakCalc!$L$10:$L$303,MATCH(tblPivotData[[#This Row],[Time]],PeakCalc!$G$10:$G$303,0))</f>
        <v>0</v>
      </c>
    </row>
    <row r="1474" spans="1:9" x14ac:dyDescent="0.25">
      <c r="A1474" t="s">
        <v>96</v>
      </c>
      <c r="B1474" t="s">
        <v>105</v>
      </c>
      <c r="C1474" t="s">
        <v>94</v>
      </c>
      <c r="D1474" t="s">
        <v>92</v>
      </c>
      <c r="E1474" t="s">
        <v>44</v>
      </c>
      <c r="F1474" s="6">
        <v>0.66666666666666663</v>
      </c>
      <c r="G1474">
        <v>0</v>
      </c>
      <c r="H1474" s="6">
        <f>FLOOR(tblPivotData[[#This Row],[Time]],Summary!$B$6/1440)</f>
        <v>0.66666666666666663</v>
      </c>
      <c r="I1474" s="49">
        <f>INDEX(PeakCalc!$L$10:$L$303,MATCH(tblPivotData[[#This Row],[Time]],PeakCalc!$G$10:$G$303,0))</f>
        <v>0</v>
      </c>
    </row>
    <row r="1475" spans="1:9" x14ac:dyDescent="0.25">
      <c r="A1475" t="s">
        <v>96</v>
      </c>
      <c r="B1475" t="s">
        <v>105</v>
      </c>
      <c r="C1475" t="s">
        <v>94</v>
      </c>
      <c r="D1475" t="s">
        <v>92</v>
      </c>
      <c r="E1475" t="s">
        <v>44</v>
      </c>
      <c r="F1475" s="6">
        <v>0.67708333333333337</v>
      </c>
      <c r="G1475">
        <v>0</v>
      </c>
      <c r="H1475" s="6">
        <f>FLOOR(tblPivotData[[#This Row],[Time]],Summary!$B$6/1440)</f>
        <v>0.67708333333333326</v>
      </c>
      <c r="I1475" s="49">
        <f>INDEX(PeakCalc!$L$10:$L$303,MATCH(tblPivotData[[#This Row],[Time]],PeakCalc!$G$10:$G$303,0))</f>
        <v>0</v>
      </c>
    </row>
    <row r="1476" spans="1:9" x14ac:dyDescent="0.25">
      <c r="A1476" t="s">
        <v>96</v>
      </c>
      <c r="B1476" t="s">
        <v>105</v>
      </c>
      <c r="C1476" t="s">
        <v>94</v>
      </c>
      <c r="D1476" t="s">
        <v>92</v>
      </c>
      <c r="E1476" t="s">
        <v>44</v>
      </c>
      <c r="F1476" s="6">
        <v>0.6875</v>
      </c>
      <c r="G1476">
        <v>0</v>
      </c>
      <c r="H1476" s="6">
        <f>FLOOR(tblPivotData[[#This Row],[Time]],Summary!$B$6/1440)</f>
        <v>0.6875</v>
      </c>
      <c r="I1476" s="49">
        <f>INDEX(PeakCalc!$L$10:$L$303,MATCH(tblPivotData[[#This Row],[Time]],PeakCalc!$G$10:$G$303,0))</f>
        <v>1</v>
      </c>
    </row>
    <row r="1477" spans="1:9" x14ac:dyDescent="0.25">
      <c r="A1477" t="s">
        <v>96</v>
      </c>
      <c r="B1477" t="s">
        <v>105</v>
      </c>
      <c r="C1477" t="s">
        <v>94</v>
      </c>
      <c r="D1477" t="s">
        <v>92</v>
      </c>
      <c r="E1477" t="s">
        <v>44</v>
      </c>
      <c r="F1477" s="6">
        <v>0.69791666666666663</v>
      </c>
      <c r="G1477">
        <v>0</v>
      </c>
      <c r="H1477" s="6">
        <f>FLOOR(tblPivotData[[#This Row],[Time]],Summary!$B$6/1440)</f>
        <v>0.69791666666666663</v>
      </c>
      <c r="I1477" s="49">
        <f>INDEX(PeakCalc!$L$10:$L$303,MATCH(tblPivotData[[#This Row],[Time]],PeakCalc!$G$10:$G$303,0))</f>
        <v>1</v>
      </c>
    </row>
    <row r="1478" spans="1:9" x14ac:dyDescent="0.25">
      <c r="A1478" t="s">
        <v>96</v>
      </c>
      <c r="B1478" t="s">
        <v>105</v>
      </c>
      <c r="C1478" t="s">
        <v>94</v>
      </c>
      <c r="D1478" t="s">
        <v>92</v>
      </c>
      <c r="E1478" t="s">
        <v>44</v>
      </c>
      <c r="F1478" s="6">
        <v>0.70833333333333337</v>
      </c>
      <c r="G1478">
        <v>0</v>
      </c>
      <c r="H1478" s="6">
        <f>FLOOR(tblPivotData[[#This Row],[Time]],Summary!$B$6/1440)</f>
        <v>0.70833333333333326</v>
      </c>
      <c r="I1478" s="49">
        <f>INDEX(PeakCalc!$L$10:$L$303,MATCH(tblPivotData[[#This Row],[Time]],PeakCalc!$G$10:$G$303,0))</f>
        <v>1</v>
      </c>
    </row>
    <row r="1479" spans="1:9" x14ac:dyDescent="0.25">
      <c r="A1479" t="s">
        <v>96</v>
      </c>
      <c r="B1479" t="s">
        <v>105</v>
      </c>
      <c r="C1479" t="s">
        <v>94</v>
      </c>
      <c r="D1479" t="s">
        <v>92</v>
      </c>
      <c r="E1479" t="s">
        <v>44</v>
      </c>
      <c r="F1479" s="6">
        <v>0.71875</v>
      </c>
      <c r="G1479">
        <v>0</v>
      </c>
      <c r="H1479" s="6">
        <f>FLOOR(tblPivotData[[#This Row],[Time]],Summary!$B$6/1440)</f>
        <v>0.71875</v>
      </c>
      <c r="I1479" s="49">
        <f>INDEX(PeakCalc!$L$10:$L$303,MATCH(tblPivotData[[#This Row],[Time]],PeakCalc!$G$10:$G$303,0))</f>
        <v>1</v>
      </c>
    </row>
    <row r="1480" spans="1:9" x14ac:dyDescent="0.25">
      <c r="A1480" t="s">
        <v>96</v>
      </c>
      <c r="B1480" t="s">
        <v>105</v>
      </c>
      <c r="C1480" t="s">
        <v>94</v>
      </c>
      <c r="D1480" t="s">
        <v>92</v>
      </c>
      <c r="E1480" t="s">
        <v>44</v>
      </c>
      <c r="F1480" s="6">
        <v>0.72916666666666663</v>
      </c>
      <c r="G1480">
        <v>0</v>
      </c>
      <c r="H1480" s="6">
        <f>FLOOR(tblPivotData[[#This Row],[Time]],Summary!$B$6/1440)</f>
        <v>0.72916666666666663</v>
      </c>
      <c r="I1480" s="49">
        <f>INDEX(PeakCalc!$L$10:$L$303,MATCH(tblPivotData[[#This Row],[Time]],PeakCalc!$G$10:$G$303,0))</f>
        <v>0</v>
      </c>
    </row>
    <row r="1481" spans="1:9" x14ac:dyDescent="0.25">
      <c r="A1481" t="s">
        <v>96</v>
      </c>
      <c r="B1481" t="s">
        <v>105</v>
      </c>
      <c r="C1481" t="s">
        <v>94</v>
      </c>
      <c r="D1481" t="s">
        <v>92</v>
      </c>
      <c r="E1481" t="s">
        <v>44</v>
      </c>
      <c r="F1481" s="6">
        <v>0.73958333333333337</v>
      </c>
      <c r="G1481">
        <v>0</v>
      </c>
      <c r="H1481" s="6">
        <f>FLOOR(tblPivotData[[#This Row],[Time]],Summary!$B$6/1440)</f>
        <v>0.73958333333333326</v>
      </c>
      <c r="I1481" s="49">
        <f>INDEX(PeakCalc!$L$10:$L$303,MATCH(tblPivotData[[#This Row],[Time]],PeakCalc!$G$10:$G$303,0))</f>
        <v>0</v>
      </c>
    </row>
    <row r="1482" spans="1:9" x14ac:dyDescent="0.25">
      <c r="A1482" t="s">
        <v>96</v>
      </c>
      <c r="B1482" t="s">
        <v>105</v>
      </c>
      <c r="C1482" t="s">
        <v>94</v>
      </c>
      <c r="D1482" t="s">
        <v>92</v>
      </c>
      <c r="E1482" t="s">
        <v>44</v>
      </c>
      <c r="F1482" s="6">
        <v>0.75</v>
      </c>
      <c r="G1482">
        <v>0</v>
      </c>
      <c r="H1482" s="6">
        <f>FLOOR(tblPivotData[[#This Row],[Time]],Summary!$B$6/1440)</f>
        <v>0.75</v>
      </c>
      <c r="I1482" s="49">
        <f>INDEX(PeakCalc!$L$10:$L$303,MATCH(tblPivotData[[#This Row],[Time]],PeakCalc!$G$10:$G$303,0))</f>
        <v>0</v>
      </c>
    </row>
    <row r="1483" spans="1:9" x14ac:dyDescent="0.25">
      <c r="A1483" t="s">
        <v>96</v>
      </c>
      <c r="B1483" t="s">
        <v>105</v>
      </c>
      <c r="C1483" t="s">
        <v>94</v>
      </c>
      <c r="D1483" t="s">
        <v>92</v>
      </c>
      <c r="E1483" t="s">
        <v>44</v>
      </c>
      <c r="F1483" s="6">
        <v>0.76041666666666663</v>
      </c>
      <c r="G1483">
        <v>0</v>
      </c>
      <c r="H1483" s="6">
        <f>FLOOR(tblPivotData[[#This Row],[Time]],Summary!$B$6/1440)</f>
        <v>0.76041666666666663</v>
      </c>
      <c r="I1483" s="49">
        <f>INDEX(PeakCalc!$L$10:$L$303,MATCH(tblPivotData[[#This Row],[Time]],PeakCalc!$G$10:$G$303,0))</f>
        <v>0</v>
      </c>
    </row>
    <row r="1484" spans="1:9" x14ac:dyDescent="0.25">
      <c r="A1484" t="s">
        <v>96</v>
      </c>
      <c r="B1484" t="s">
        <v>105</v>
      </c>
      <c r="C1484" t="s">
        <v>94</v>
      </c>
      <c r="D1484" t="s">
        <v>93</v>
      </c>
      <c r="E1484" t="s">
        <v>43</v>
      </c>
      <c r="F1484" s="6">
        <v>0.27083333333333331</v>
      </c>
      <c r="G1484">
        <v>0</v>
      </c>
      <c r="H1484" s="6">
        <f>FLOOR(tblPivotData[[#This Row],[Time]],Summary!$B$6/1440)</f>
        <v>0.27083333333333331</v>
      </c>
      <c r="I1484" s="49">
        <f>INDEX(PeakCalc!$L$10:$L$303,MATCH(tblPivotData[[#This Row],[Time]],PeakCalc!$G$10:$G$303,0))</f>
        <v>0</v>
      </c>
    </row>
    <row r="1485" spans="1:9" x14ac:dyDescent="0.25">
      <c r="A1485" t="s">
        <v>96</v>
      </c>
      <c r="B1485" t="s">
        <v>105</v>
      </c>
      <c r="C1485" t="s">
        <v>94</v>
      </c>
      <c r="D1485" t="s">
        <v>93</v>
      </c>
      <c r="E1485" t="s">
        <v>43</v>
      </c>
      <c r="F1485" s="6">
        <v>0.28125</v>
      </c>
      <c r="G1485">
        <v>0</v>
      </c>
      <c r="H1485" s="6">
        <f>FLOOR(tblPivotData[[#This Row],[Time]],Summary!$B$6/1440)</f>
        <v>0.28125</v>
      </c>
      <c r="I1485" s="49">
        <f>INDEX(PeakCalc!$L$10:$L$303,MATCH(tblPivotData[[#This Row],[Time]],PeakCalc!$G$10:$G$303,0))</f>
        <v>0</v>
      </c>
    </row>
    <row r="1486" spans="1:9" x14ac:dyDescent="0.25">
      <c r="A1486" t="s">
        <v>96</v>
      </c>
      <c r="B1486" t="s">
        <v>105</v>
      </c>
      <c r="C1486" t="s">
        <v>94</v>
      </c>
      <c r="D1486" t="s">
        <v>93</v>
      </c>
      <c r="E1486" t="s">
        <v>43</v>
      </c>
      <c r="F1486" s="6">
        <v>0.29166666666666669</v>
      </c>
      <c r="G1486">
        <v>0</v>
      </c>
      <c r="H1486" s="6">
        <f>FLOOR(tblPivotData[[#This Row],[Time]],Summary!$B$6/1440)</f>
        <v>0.29166666666666663</v>
      </c>
      <c r="I1486" s="49">
        <f>INDEX(PeakCalc!$L$10:$L$303,MATCH(tblPivotData[[#This Row],[Time]],PeakCalc!$G$10:$G$303,0))</f>
        <v>0</v>
      </c>
    </row>
    <row r="1487" spans="1:9" x14ac:dyDescent="0.25">
      <c r="A1487" t="s">
        <v>96</v>
      </c>
      <c r="B1487" t="s">
        <v>105</v>
      </c>
      <c r="C1487" t="s">
        <v>94</v>
      </c>
      <c r="D1487" t="s">
        <v>93</v>
      </c>
      <c r="E1487" t="s">
        <v>43</v>
      </c>
      <c r="F1487" s="6">
        <v>0.30208333333333331</v>
      </c>
      <c r="G1487">
        <v>0</v>
      </c>
      <c r="H1487" s="6">
        <f>FLOOR(tblPivotData[[#This Row],[Time]],Summary!$B$6/1440)</f>
        <v>0.30208333333333331</v>
      </c>
      <c r="I1487" s="49">
        <f>INDEX(PeakCalc!$L$10:$L$303,MATCH(tblPivotData[[#This Row],[Time]],PeakCalc!$G$10:$G$303,0))</f>
        <v>0</v>
      </c>
    </row>
    <row r="1488" spans="1:9" x14ac:dyDescent="0.25">
      <c r="A1488" t="s">
        <v>96</v>
      </c>
      <c r="B1488" t="s">
        <v>105</v>
      </c>
      <c r="C1488" t="s">
        <v>94</v>
      </c>
      <c r="D1488" t="s">
        <v>93</v>
      </c>
      <c r="E1488" t="s">
        <v>43</v>
      </c>
      <c r="F1488" s="6">
        <v>0.3125</v>
      </c>
      <c r="G1488">
        <v>0</v>
      </c>
      <c r="H1488" s="6">
        <f>FLOOR(tblPivotData[[#This Row],[Time]],Summary!$B$6/1440)</f>
        <v>0.3125</v>
      </c>
      <c r="I1488" s="49">
        <f>INDEX(PeakCalc!$L$10:$L$303,MATCH(tblPivotData[[#This Row],[Time]],PeakCalc!$G$10:$G$303,0))</f>
        <v>0</v>
      </c>
    </row>
    <row r="1489" spans="1:9" x14ac:dyDescent="0.25">
      <c r="A1489" t="s">
        <v>96</v>
      </c>
      <c r="B1489" t="s">
        <v>105</v>
      </c>
      <c r="C1489" t="s">
        <v>94</v>
      </c>
      <c r="D1489" t="s">
        <v>93</v>
      </c>
      <c r="E1489" t="s">
        <v>43</v>
      </c>
      <c r="F1489" s="6">
        <v>0.32291666666666669</v>
      </c>
      <c r="G1489">
        <v>0</v>
      </c>
      <c r="H1489" s="6">
        <f>FLOOR(tblPivotData[[#This Row],[Time]],Summary!$B$6/1440)</f>
        <v>0.32291666666666663</v>
      </c>
      <c r="I1489" s="49">
        <f>INDEX(PeakCalc!$L$10:$L$303,MATCH(tblPivotData[[#This Row],[Time]],PeakCalc!$G$10:$G$303,0))</f>
        <v>1</v>
      </c>
    </row>
    <row r="1490" spans="1:9" x14ac:dyDescent="0.25">
      <c r="A1490" t="s">
        <v>96</v>
      </c>
      <c r="B1490" t="s">
        <v>105</v>
      </c>
      <c r="C1490" t="s">
        <v>94</v>
      </c>
      <c r="D1490" t="s">
        <v>93</v>
      </c>
      <c r="E1490" t="s">
        <v>43</v>
      </c>
      <c r="F1490" s="6">
        <v>0.33333333333333331</v>
      </c>
      <c r="G1490">
        <v>0</v>
      </c>
      <c r="H1490" s="6">
        <f>FLOOR(tblPivotData[[#This Row],[Time]],Summary!$B$6/1440)</f>
        <v>0.33333333333333331</v>
      </c>
      <c r="I1490" s="49">
        <f>INDEX(PeakCalc!$L$10:$L$303,MATCH(tblPivotData[[#This Row],[Time]],PeakCalc!$G$10:$G$303,0))</f>
        <v>1</v>
      </c>
    </row>
    <row r="1491" spans="1:9" x14ac:dyDescent="0.25">
      <c r="A1491" t="s">
        <v>96</v>
      </c>
      <c r="B1491" t="s">
        <v>105</v>
      </c>
      <c r="C1491" t="s">
        <v>94</v>
      </c>
      <c r="D1491" t="s">
        <v>93</v>
      </c>
      <c r="E1491" t="s">
        <v>43</v>
      </c>
      <c r="F1491" s="6">
        <v>0.34375</v>
      </c>
      <c r="G1491">
        <v>0</v>
      </c>
      <c r="H1491" s="6">
        <f>FLOOR(tblPivotData[[#This Row],[Time]],Summary!$B$6/1440)</f>
        <v>0.34375</v>
      </c>
      <c r="I1491" s="49">
        <f>INDEX(PeakCalc!$L$10:$L$303,MATCH(tblPivotData[[#This Row],[Time]],PeakCalc!$G$10:$G$303,0))</f>
        <v>1</v>
      </c>
    </row>
    <row r="1492" spans="1:9" x14ac:dyDescent="0.25">
      <c r="A1492" t="s">
        <v>96</v>
      </c>
      <c r="B1492" t="s">
        <v>105</v>
      </c>
      <c r="C1492" t="s">
        <v>94</v>
      </c>
      <c r="D1492" t="s">
        <v>93</v>
      </c>
      <c r="E1492" t="s">
        <v>43</v>
      </c>
      <c r="F1492" s="6">
        <v>0.35416666666666669</v>
      </c>
      <c r="G1492">
        <v>0</v>
      </c>
      <c r="H1492" s="6">
        <f>FLOOR(tblPivotData[[#This Row],[Time]],Summary!$B$6/1440)</f>
        <v>0.35416666666666663</v>
      </c>
      <c r="I1492" s="49">
        <f>INDEX(PeakCalc!$L$10:$L$303,MATCH(tblPivotData[[#This Row],[Time]],PeakCalc!$G$10:$G$303,0))</f>
        <v>1</v>
      </c>
    </row>
    <row r="1493" spans="1:9" x14ac:dyDescent="0.25">
      <c r="A1493" t="s">
        <v>96</v>
      </c>
      <c r="B1493" t="s">
        <v>105</v>
      </c>
      <c r="C1493" t="s">
        <v>94</v>
      </c>
      <c r="D1493" t="s">
        <v>93</v>
      </c>
      <c r="E1493" t="s">
        <v>43</v>
      </c>
      <c r="F1493" s="6">
        <v>0.36458333333333331</v>
      </c>
      <c r="G1493">
        <v>0</v>
      </c>
      <c r="H1493" s="6">
        <f>FLOOR(tblPivotData[[#This Row],[Time]],Summary!$B$6/1440)</f>
        <v>0.36458333333333331</v>
      </c>
      <c r="I1493" s="49">
        <f>INDEX(PeakCalc!$L$10:$L$303,MATCH(tblPivotData[[#This Row],[Time]],PeakCalc!$G$10:$G$303,0))</f>
        <v>0</v>
      </c>
    </row>
    <row r="1494" spans="1:9" x14ac:dyDescent="0.25">
      <c r="A1494" t="s">
        <v>96</v>
      </c>
      <c r="B1494" t="s">
        <v>105</v>
      </c>
      <c r="C1494" t="s">
        <v>94</v>
      </c>
      <c r="D1494" t="s">
        <v>93</v>
      </c>
      <c r="E1494" t="s">
        <v>43</v>
      </c>
      <c r="F1494" s="6">
        <v>0.375</v>
      </c>
      <c r="G1494">
        <v>0</v>
      </c>
      <c r="H1494" s="6">
        <f>FLOOR(tblPivotData[[#This Row],[Time]],Summary!$B$6/1440)</f>
        <v>0.375</v>
      </c>
      <c r="I1494" s="49">
        <f>INDEX(PeakCalc!$L$10:$L$303,MATCH(tblPivotData[[#This Row],[Time]],PeakCalc!$G$10:$G$303,0))</f>
        <v>0</v>
      </c>
    </row>
    <row r="1495" spans="1:9" x14ac:dyDescent="0.25">
      <c r="A1495" t="s">
        <v>96</v>
      </c>
      <c r="B1495" t="s">
        <v>105</v>
      </c>
      <c r="C1495" t="s">
        <v>94</v>
      </c>
      <c r="D1495" t="s">
        <v>93</v>
      </c>
      <c r="E1495" t="s">
        <v>43</v>
      </c>
      <c r="F1495" s="6">
        <v>0.38541666666666669</v>
      </c>
      <c r="G1495">
        <v>0</v>
      </c>
      <c r="H1495" s="6">
        <f>FLOOR(tblPivotData[[#This Row],[Time]],Summary!$B$6/1440)</f>
        <v>0.38541666666666663</v>
      </c>
      <c r="I1495" s="49">
        <f>INDEX(PeakCalc!$L$10:$L$303,MATCH(tblPivotData[[#This Row],[Time]],PeakCalc!$G$10:$G$303,0))</f>
        <v>0</v>
      </c>
    </row>
    <row r="1496" spans="1:9" x14ac:dyDescent="0.25">
      <c r="A1496" t="s">
        <v>96</v>
      </c>
      <c r="B1496" t="s">
        <v>105</v>
      </c>
      <c r="C1496" t="s">
        <v>94</v>
      </c>
      <c r="D1496" t="s">
        <v>93</v>
      </c>
      <c r="E1496" t="s">
        <v>110</v>
      </c>
      <c r="F1496" s="6">
        <v>0.45833333333333331</v>
      </c>
      <c r="G1496">
        <v>0</v>
      </c>
      <c r="H1496" s="6">
        <f>FLOOR(tblPivotData[[#This Row],[Time]],Summary!$B$6/1440)</f>
        <v>0.45833333333333331</v>
      </c>
      <c r="I1496" s="49">
        <f>INDEX(PeakCalc!$L$10:$L$303,MATCH(tblPivotData[[#This Row],[Time]],PeakCalc!$G$10:$G$303,0))</f>
        <v>0</v>
      </c>
    </row>
    <row r="1497" spans="1:9" x14ac:dyDescent="0.25">
      <c r="A1497" t="s">
        <v>96</v>
      </c>
      <c r="B1497" t="s">
        <v>105</v>
      </c>
      <c r="C1497" t="s">
        <v>94</v>
      </c>
      <c r="D1497" t="s">
        <v>93</v>
      </c>
      <c r="E1497" t="s">
        <v>110</v>
      </c>
      <c r="F1497" s="6">
        <v>0.46875</v>
      </c>
      <c r="G1497">
        <v>0</v>
      </c>
      <c r="H1497" s="6">
        <f>FLOOR(tblPivotData[[#This Row],[Time]],Summary!$B$6/1440)</f>
        <v>0.46875</v>
      </c>
      <c r="I1497" s="49">
        <f>INDEX(PeakCalc!$L$10:$L$303,MATCH(tblPivotData[[#This Row],[Time]],PeakCalc!$G$10:$G$303,0))</f>
        <v>0</v>
      </c>
    </row>
    <row r="1498" spans="1:9" x14ac:dyDescent="0.25">
      <c r="A1498" t="s">
        <v>96</v>
      </c>
      <c r="B1498" t="s">
        <v>105</v>
      </c>
      <c r="C1498" t="s">
        <v>94</v>
      </c>
      <c r="D1498" t="s">
        <v>93</v>
      </c>
      <c r="E1498" t="s">
        <v>110</v>
      </c>
      <c r="F1498" s="6">
        <v>0.47916666666666669</v>
      </c>
      <c r="G1498">
        <v>0</v>
      </c>
      <c r="H1498" s="6">
        <f>FLOOR(tblPivotData[[#This Row],[Time]],Summary!$B$6/1440)</f>
        <v>0.47916666666666663</v>
      </c>
      <c r="I1498" s="49">
        <f>INDEX(PeakCalc!$L$10:$L$303,MATCH(tblPivotData[[#This Row],[Time]],PeakCalc!$G$10:$G$303,0))</f>
        <v>0</v>
      </c>
    </row>
    <row r="1499" spans="1:9" x14ac:dyDescent="0.25">
      <c r="A1499" t="s">
        <v>96</v>
      </c>
      <c r="B1499" t="s">
        <v>105</v>
      </c>
      <c r="C1499" t="s">
        <v>94</v>
      </c>
      <c r="D1499" t="s">
        <v>93</v>
      </c>
      <c r="E1499" t="s">
        <v>110</v>
      </c>
      <c r="F1499" s="6">
        <v>0.48958333333333331</v>
      </c>
      <c r="G1499">
        <v>0</v>
      </c>
      <c r="H1499" s="6">
        <f>FLOOR(tblPivotData[[#This Row],[Time]],Summary!$B$6/1440)</f>
        <v>0.48958333333333331</v>
      </c>
      <c r="I1499" s="49">
        <f>INDEX(PeakCalc!$L$10:$L$303,MATCH(tblPivotData[[#This Row],[Time]],PeakCalc!$G$10:$G$303,0))</f>
        <v>0</v>
      </c>
    </row>
    <row r="1500" spans="1:9" x14ac:dyDescent="0.25">
      <c r="A1500" t="s">
        <v>96</v>
      </c>
      <c r="B1500" t="s">
        <v>105</v>
      </c>
      <c r="C1500" t="s">
        <v>94</v>
      </c>
      <c r="D1500" t="s">
        <v>93</v>
      </c>
      <c r="E1500" t="s">
        <v>110</v>
      </c>
      <c r="F1500" s="6">
        <v>0.5</v>
      </c>
      <c r="G1500">
        <v>0</v>
      </c>
      <c r="H1500" s="6">
        <f>FLOOR(tblPivotData[[#This Row],[Time]],Summary!$B$6/1440)</f>
        <v>0.5</v>
      </c>
      <c r="I1500" s="49">
        <f>INDEX(PeakCalc!$L$10:$L$303,MATCH(tblPivotData[[#This Row],[Time]],PeakCalc!$G$10:$G$303,0))</f>
        <v>0</v>
      </c>
    </row>
    <row r="1501" spans="1:9" x14ac:dyDescent="0.25">
      <c r="A1501" t="s">
        <v>96</v>
      </c>
      <c r="B1501" t="s">
        <v>105</v>
      </c>
      <c r="C1501" t="s">
        <v>94</v>
      </c>
      <c r="D1501" t="s">
        <v>93</v>
      </c>
      <c r="E1501" t="s">
        <v>110</v>
      </c>
      <c r="F1501" s="6">
        <v>0.51041666666666663</v>
      </c>
      <c r="G1501">
        <v>0</v>
      </c>
      <c r="H1501" s="6">
        <f>FLOOR(tblPivotData[[#This Row],[Time]],Summary!$B$6/1440)</f>
        <v>0.51041666666666663</v>
      </c>
      <c r="I1501" s="49">
        <f>INDEX(PeakCalc!$L$10:$L$303,MATCH(tblPivotData[[#This Row],[Time]],PeakCalc!$G$10:$G$303,0))</f>
        <v>0</v>
      </c>
    </row>
    <row r="1502" spans="1:9" x14ac:dyDescent="0.25">
      <c r="A1502" t="s">
        <v>96</v>
      </c>
      <c r="B1502" t="s">
        <v>105</v>
      </c>
      <c r="C1502" t="s">
        <v>94</v>
      </c>
      <c r="D1502" t="s">
        <v>93</v>
      </c>
      <c r="E1502" t="s">
        <v>110</v>
      </c>
      <c r="F1502" s="6">
        <v>0.52083333333333337</v>
      </c>
      <c r="G1502">
        <v>0</v>
      </c>
      <c r="H1502" s="6">
        <f>FLOOR(tblPivotData[[#This Row],[Time]],Summary!$B$6/1440)</f>
        <v>0.52083333333333326</v>
      </c>
      <c r="I1502" s="49">
        <f>INDEX(PeakCalc!$L$10:$L$303,MATCH(tblPivotData[[#This Row],[Time]],PeakCalc!$G$10:$G$303,0))</f>
        <v>1</v>
      </c>
    </row>
    <row r="1503" spans="1:9" x14ac:dyDescent="0.25">
      <c r="A1503" t="s">
        <v>96</v>
      </c>
      <c r="B1503" t="s">
        <v>105</v>
      </c>
      <c r="C1503" t="s">
        <v>94</v>
      </c>
      <c r="D1503" t="s">
        <v>93</v>
      </c>
      <c r="E1503" t="s">
        <v>110</v>
      </c>
      <c r="F1503" s="6">
        <v>0.53125</v>
      </c>
      <c r="G1503">
        <v>0</v>
      </c>
      <c r="H1503" s="6">
        <f>FLOOR(tblPivotData[[#This Row],[Time]],Summary!$B$6/1440)</f>
        <v>0.53125</v>
      </c>
      <c r="I1503" s="49">
        <f>INDEX(PeakCalc!$L$10:$L$303,MATCH(tblPivotData[[#This Row],[Time]],PeakCalc!$G$10:$G$303,0))</f>
        <v>1</v>
      </c>
    </row>
    <row r="1504" spans="1:9" x14ac:dyDescent="0.25">
      <c r="A1504" t="s">
        <v>96</v>
      </c>
      <c r="B1504" t="s">
        <v>105</v>
      </c>
      <c r="C1504" t="s">
        <v>94</v>
      </c>
      <c r="D1504" t="s">
        <v>93</v>
      </c>
      <c r="E1504" t="s">
        <v>110</v>
      </c>
      <c r="F1504" s="6">
        <v>0.54166666666666663</v>
      </c>
      <c r="G1504">
        <v>0</v>
      </c>
      <c r="H1504" s="6">
        <f>FLOOR(tblPivotData[[#This Row],[Time]],Summary!$B$6/1440)</f>
        <v>0.54166666666666663</v>
      </c>
      <c r="I1504" s="49">
        <f>INDEX(PeakCalc!$L$10:$L$303,MATCH(tblPivotData[[#This Row],[Time]],PeakCalc!$G$10:$G$303,0))</f>
        <v>1</v>
      </c>
    </row>
    <row r="1505" spans="1:9" x14ac:dyDescent="0.25">
      <c r="A1505" t="s">
        <v>96</v>
      </c>
      <c r="B1505" t="s">
        <v>105</v>
      </c>
      <c r="C1505" t="s">
        <v>94</v>
      </c>
      <c r="D1505" t="s">
        <v>93</v>
      </c>
      <c r="E1505" t="s">
        <v>110</v>
      </c>
      <c r="F1505" s="6">
        <v>0.55208333333333337</v>
      </c>
      <c r="G1505">
        <v>0</v>
      </c>
      <c r="H1505" s="6">
        <f>FLOOR(tblPivotData[[#This Row],[Time]],Summary!$B$6/1440)</f>
        <v>0.55208333333333326</v>
      </c>
      <c r="I1505" s="49">
        <f>INDEX(PeakCalc!$L$10:$L$303,MATCH(tblPivotData[[#This Row],[Time]],PeakCalc!$G$10:$G$303,0))</f>
        <v>1</v>
      </c>
    </row>
    <row r="1506" spans="1:9" x14ac:dyDescent="0.25">
      <c r="A1506" t="s">
        <v>96</v>
      </c>
      <c r="B1506" t="s">
        <v>105</v>
      </c>
      <c r="C1506" t="s">
        <v>94</v>
      </c>
      <c r="D1506" t="s">
        <v>93</v>
      </c>
      <c r="E1506" t="s">
        <v>110</v>
      </c>
      <c r="F1506" s="6">
        <v>0.5625</v>
      </c>
      <c r="G1506">
        <v>0</v>
      </c>
      <c r="H1506" s="6">
        <f>FLOOR(tblPivotData[[#This Row],[Time]],Summary!$B$6/1440)</f>
        <v>0.5625</v>
      </c>
      <c r="I1506" s="49">
        <f>INDEX(PeakCalc!$L$10:$L$303,MATCH(tblPivotData[[#This Row],[Time]],PeakCalc!$G$10:$G$303,0))</f>
        <v>0</v>
      </c>
    </row>
    <row r="1507" spans="1:9" x14ac:dyDescent="0.25">
      <c r="A1507" t="s">
        <v>96</v>
      </c>
      <c r="B1507" t="s">
        <v>105</v>
      </c>
      <c r="C1507" t="s">
        <v>94</v>
      </c>
      <c r="D1507" t="s">
        <v>93</v>
      </c>
      <c r="E1507" t="s">
        <v>110</v>
      </c>
      <c r="F1507" s="6">
        <v>0.57291666666666663</v>
      </c>
      <c r="G1507">
        <v>0</v>
      </c>
      <c r="H1507" s="6">
        <f>FLOOR(tblPivotData[[#This Row],[Time]],Summary!$B$6/1440)</f>
        <v>0.57291666666666663</v>
      </c>
      <c r="I1507" s="49">
        <f>INDEX(PeakCalc!$L$10:$L$303,MATCH(tblPivotData[[#This Row],[Time]],PeakCalc!$G$10:$G$303,0))</f>
        <v>0</v>
      </c>
    </row>
    <row r="1508" spans="1:9" x14ac:dyDescent="0.25">
      <c r="A1508" t="s">
        <v>96</v>
      </c>
      <c r="B1508" t="s">
        <v>105</v>
      </c>
      <c r="C1508" t="s">
        <v>94</v>
      </c>
      <c r="D1508" t="s">
        <v>93</v>
      </c>
      <c r="E1508" t="s">
        <v>44</v>
      </c>
      <c r="F1508" s="6">
        <v>0.625</v>
      </c>
      <c r="G1508">
        <v>0</v>
      </c>
      <c r="H1508" s="6">
        <f>FLOOR(tblPivotData[[#This Row],[Time]],Summary!$B$6/1440)</f>
        <v>0.625</v>
      </c>
      <c r="I1508" s="49">
        <f>INDEX(PeakCalc!$L$10:$L$303,MATCH(tblPivotData[[#This Row],[Time]],PeakCalc!$G$10:$G$303,0))</f>
        <v>0</v>
      </c>
    </row>
    <row r="1509" spans="1:9" x14ac:dyDescent="0.25">
      <c r="A1509" t="s">
        <v>96</v>
      </c>
      <c r="B1509" t="s">
        <v>105</v>
      </c>
      <c r="C1509" t="s">
        <v>94</v>
      </c>
      <c r="D1509" t="s">
        <v>93</v>
      </c>
      <c r="E1509" t="s">
        <v>44</v>
      </c>
      <c r="F1509" s="6">
        <v>0.63541666666666663</v>
      </c>
      <c r="G1509">
        <v>0</v>
      </c>
      <c r="H1509" s="6">
        <f>FLOOR(tblPivotData[[#This Row],[Time]],Summary!$B$6/1440)</f>
        <v>0.63541666666666663</v>
      </c>
      <c r="I1509" s="49">
        <f>INDEX(PeakCalc!$L$10:$L$303,MATCH(tblPivotData[[#This Row],[Time]],PeakCalc!$G$10:$G$303,0))</f>
        <v>0</v>
      </c>
    </row>
    <row r="1510" spans="1:9" x14ac:dyDescent="0.25">
      <c r="A1510" t="s">
        <v>96</v>
      </c>
      <c r="B1510" t="s">
        <v>105</v>
      </c>
      <c r="C1510" t="s">
        <v>94</v>
      </c>
      <c r="D1510" t="s">
        <v>93</v>
      </c>
      <c r="E1510" t="s">
        <v>44</v>
      </c>
      <c r="F1510" s="6">
        <v>0.64583333333333337</v>
      </c>
      <c r="G1510">
        <v>0</v>
      </c>
      <c r="H1510" s="6">
        <f>FLOOR(tblPivotData[[#This Row],[Time]],Summary!$B$6/1440)</f>
        <v>0.64583333333333326</v>
      </c>
      <c r="I1510" s="49">
        <f>INDEX(PeakCalc!$L$10:$L$303,MATCH(tblPivotData[[#This Row],[Time]],PeakCalc!$G$10:$G$303,0))</f>
        <v>0</v>
      </c>
    </row>
    <row r="1511" spans="1:9" x14ac:dyDescent="0.25">
      <c r="A1511" t="s">
        <v>96</v>
      </c>
      <c r="B1511" t="s">
        <v>105</v>
      </c>
      <c r="C1511" t="s">
        <v>94</v>
      </c>
      <c r="D1511" t="s">
        <v>93</v>
      </c>
      <c r="E1511" t="s">
        <v>44</v>
      </c>
      <c r="F1511" s="6">
        <v>0.65625</v>
      </c>
      <c r="G1511">
        <v>0</v>
      </c>
      <c r="H1511" s="6">
        <f>FLOOR(tblPivotData[[#This Row],[Time]],Summary!$B$6/1440)</f>
        <v>0.65625</v>
      </c>
      <c r="I1511" s="49">
        <f>INDEX(PeakCalc!$L$10:$L$303,MATCH(tblPivotData[[#This Row],[Time]],PeakCalc!$G$10:$G$303,0))</f>
        <v>0</v>
      </c>
    </row>
    <row r="1512" spans="1:9" x14ac:dyDescent="0.25">
      <c r="A1512" t="s">
        <v>96</v>
      </c>
      <c r="B1512" t="s">
        <v>105</v>
      </c>
      <c r="C1512" t="s">
        <v>94</v>
      </c>
      <c r="D1512" t="s">
        <v>93</v>
      </c>
      <c r="E1512" t="s">
        <v>44</v>
      </c>
      <c r="F1512" s="6">
        <v>0.66666666666666663</v>
      </c>
      <c r="G1512">
        <v>1</v>
      </c>
      <c r="H1512" s="6">
        <f>FLOOR(tblPivotData[[#This Row],[Time]],Summary!$B$6/1440)</f>
        <v>0.66666666666666663</v>
      </c>
      <c r="I1512" s="49">
        <f>INDEX(PeakCalc!$L$10:$L$303,MATCH(tblPivotData[[#This Row],[Time]],PeakCalc!$G$10:$G$303,0))</f>
        <v>0</v>
      </c>
    </row>
    <row r="1513" spans="1:9" x14ac:dyDescent="0.25">
      <c r="A1513" t="s">
        <v>96</v>
      </c>
      <c r="B1513" t="s">
        <v>105</v>
      </c>
      <c r="C1513" t="s">
        <v>94</v>
      </c>
      <c r="D1513" t="s">
        <v>93</v>
      </c>
      <c r="E1513" t="s">
        <v>44</v>
      </c>
      <c r="F1513" s="6">
        <v>0.67708333333333337</v>
      </c>
      <c r="G1513">
        <v>1</v>
      </c>
      <c r="H1513" s="6">
        <f>FLOOR(tblPivotData[[#This Row],[Time]],Summary!$B$6/1440)</f>
        <v>0.67708333333333326</v>
      </c>
      <c r="I1513" s="49">
        <f>INDEX(PeakCalc!$L$10:$L$303,MATCH(tblPivotData[[#This Row],[Time]],PeakCalc!$G$10:$G$303,0))</f>
        <v>0</v>
      </c>
    </row>
    <row r="1514" spans="1:9" x14ac:dyDescent="0.25">
      <c r="A1514" t="s">
        <v>96</v>
      </c>
      <c r="B1514" t="s">
        <v>105</v>
      </c>
      <c r="C1514" t="s">
        <v>94</v>
      </c>
      <c r="D1514" t="s">
        <v>93</v>
      </c>
      <c r="E1514" t="s">
        <v>44</v>
      </c>
      <c r="F1514" s="6">
        <v>0.6875</v>
      </c>
      <c r="G1514">
        <v>0</v>
      </c>
      <c r="H1514" s="6">
        <f>FLOOR(tblPivotData[[#This Row],[Time]],Summary!$B$6/1440)</f>
        <v>0.6875</v>
      </c>
      <c r="I1514" s="49">
        <f>INDEX(PeakCalc!$L$10:$L$303,MATCH(tblPivotData[[#This Row],[Time]],PeakCalc!$G$10:$G$303,0))</f>
        <v>1</v>
      </c>
    </row>
    <row r="1515" spans="1:9" x14ac:dyDescent="0.25">
      <c r="A1515" t="s">
        <v>96</v>
      </c>
      <c r="B1515" t="s">
        <v>105</v>
      </c>
      <c r="C1515" t="s">
        <v>94</v>
      </c>
      <c r="D1515" t="s">
        <v>93</v>
      </c>
      <c r="E1515" t="s">
        <v>44</v>
      </c>
      <c r="F1515" s="6">
        <v>0.69791666666666663</v>
      </c>
      <c r="G1515">
        <v>0</v>
      </c>
      <c r="H1515" s="6">
        <f>FLOOR(tblPivotData[[#This Row],[Time]],Summary!$B$6/1440)</f>
        <v>0.69791666666666663</v>
      </c>
      <c r="I1515" s="49">
        <f>INDEX(PeakCalc!$L$10:$L$303,MATCH(tblPivotData[[#This Row],[Time]],PeakCalc!$G$10:$G$303,0))</f>
        <v>1</v>
      </c>
    </row>
    <row r="1516" spans="1:9" x14ac:dyDescent="0.25">
      <c r="A1516" t="s">
        <v>96</v>
      </c>
      <c r="B1516" t="s">
        <v>105</v>
      </c>
      <c r="C1516" t="s">
        <v>94</v>
      </c>
      <c r="D1516" t="s">
        <v>93</v>
      </c>
      <c r="E1516" t="s">
        <v>44</v>
      </c>
      <c r="F1516" s="6">
        <v>0.70833333333333337</v>
      </c>
      <c r="G1516">
        <v>0</v>
      </c>
      <c r="H1516" s="6">
        <f>FLOOR(tblPivotData[[#This Row],[Time]],Summary!$B$6/1440)</f>
        <v>0.70833333333333326</v>
      </c>
      <c r="I1516" s="49">
        <f>INDEX(PeakCalc!$L$10:$L$303,MATCH(tblPivotData[[#This Row],[Time]],PeakCalc!$G$10:$G$303,0))</f>
        <v>1</v>
      </c>
    </row>
    <row r="1517" spans="1:9" x14ac:dyDescent="0.25">
      <c r="A1517" t="s">
        <v>96</v>
      </c>
      <c r="B1517" t="s">
        <v>105</v>
      </c>
      <c r="C1517" t="s">
        <v>94</v>
      </c>
      <c r="D1517" t="s">
        <v>93</v>
      </c>
      <c r="E1517" t="s">
        <v>44</v>
      </c>
      <c r="F1517" s="6">
        <v>0.71875</v>
      </c>
      <c r="G1517">
        <v>1</v>
      </c>
      <c r="H1517" s="6">
        <f>FLOOR(tblPivotData[[#This Row],[Time]],Summary!$B$6/1440)</f>
        <v>0.71875</v>
      </c>
      <c r="I1517" s="49">
        <f>INDEX(PeakCalc!$L$10:$L$303,MATCH(tblPivotData[[#This Row],[Time]],PeakCalc!$G$10:$G$303,0))</f>
        <v>1</v>
      </c>
    </row>
    <row r="1518" spans="1:9" x14ac:dyDescent="0.25">
      <c r="A1518" t="s">
        <v>96</v>
      </c>
      <c r="B1518" t="s">
        <v>105</v>
      </c>
      <c r="C1518" t="s">
        <v>94</v>
      </c>
      <c r="D1518" t="s">
        <v>93</v>
      </c>
      <c r="E1518" t="s">
        <v>44</v>
      </c>
      <c r="F1518" s="6">
        <v>0.72916666666666663</v>
      </c>
      <c r="G1518">
        <v>0</v>
      </c>
      <c r="H1518" s="6">
        <f>FLOOR(tblPivotData[[#This Row],[Time]],Summary!$B$6/1440)</f>
        <v>0.72916666666666663</v>
      </c>
      <c r="I1518" s="49">
        <f>INDEX(PeakCalc!$L$10:$L$303,MATCH(tblPivotData[[#This Row],[Time]],PeakCalc!$G$10:$G$303,0))</f>
        <v>0</v>
      </c>
    </row>
    <row r="1519" spans="1:9" x14ac:dyDescent="0.25">
      <c r="A1519" t="s">
        <v>96</v>
      </c>
      <c r="B1519" t="s">
        <v>105</v>
      </c>
      <c r="C1519" t="s">
        <v>94</v>
      </c>
      <c r="D1519" t="s">
        <v>93</v>
      </c>
      <c r="E1519" t="s">
        <v>44</v>
      </c>
      <c r="F1519" s="6">
        <v>0.73958333333333337</v>
      </c>
      <c r="G1519">
        <v>0</v>
      </c>
      <c r="H1519" s="6">
        <f>FLOOR(tblPivotData[[#This Row],[Time]],Summary!$B$6/1440)</f>
        <v>0.73958333333333326</v>
      </c>
      <c r="I1519" s="49">
        <f>INDEX(PeakCalc!$L$10:$L$303,MATCH(tblPivotData[[#This Row],[Time]],PeakCalc!$G$10:$G$303,0))</f>
        <v>0</v>
      </c>
    </row>
    <row r="1520" spans="1:9" x14ac:dyDescent="0.25">
      <c r="A1520" t="s">
        <v>96</v>
      </c>
      <c r="B1520" t="s">
        <v>105</v>
      </c>
      <c r="C1520" t="s">
        <v>94</v>
      </c>
      <c r="D1520" t="s">
        <v>93</v>
      </c>
      <c r="E1520" t="s">
        <v>44</v>
      </c>
      <c r="F1520" s="6">
        <v>0.75</v>
      </c>
      <c r="G1520">
        <v>1</v>
      </c>
      <c r="H1520" s="6">
        <f>FLOOR(tblPivotData[[#This Row],[Time]],Summary!$B$6/1440)</f>
        <v>0.75</v>
      </c>
      <c r="I1520" s="49">
        <f>INDEX(PeakCalc!$L$10:$L$303,MATCH(tblPivotData[[#This Row],[Time]],PeakCalc!$G$10:$G$303,0))</f>
        <v>0</v>
      </c>
    </row>
    <row r="1521" spans="1:9" x14ac:dyDescent="0.25">
      <c r="A1521" t="s">
        <v>96</v>
      </c>
      <c r="B1521" t="s">
        <v>105</v>
      </c>
      <c r="C1521" t="s">
        <v>94</v>
      </c>
      <c r="D1521" t="s">
        <v>93</v>
      </c>
      <c r="E1521" t="s">
        <v>44</v>
      </c>
      <c r="F1521" s="6">
        <v>0.76041666666666663</v>
      </c>
      <c r="G1521">
        <v>0</v>
      </c>
      <c r="H1521" s="6">
        <f>FLOOR(tblPivotData[[#This Row],[Time]],Summary!$B$6/1440)</f>
        <v>0.76041666666666663</v>
      </c>
      <c r="I1521" s="49">
        <f>INDEX(PeakCalc!$L$10:$L$303,MATCH(tblPivotData[[#This Row],[Time]],PeakCalc!$G$10:$G$303,0))</f>
        <v>0</v>
      </c>
    </row>
    <row r="1522" spans="1:9" x14ac:dyDescent="0.25">
      <c r="A1522" t="s">
        <v>96</v>
      </c>
      <c r="B1522" t="s">
        <v>106</v>
      </c>
      <c r="C1522" t="s">
        <v>95</v>
      </c>
      <c r="D1522" t="s">
        <v>89</v>
      </c>
      <c r="E1522" t="s">
        <v>43</v>
      </c>
      <c r="F1522" s="6">
        <v>0.27083333333333331</v>
      </c>
      <c r="G1522">
        <v>4</v>
      </c>
      <c r="H1522" s="6">
        <f>FLOOR(tblPivotData[[#This Row],[Time]],Summary!$B$6/1440)</f>
        <v>0.27083333333333331</v>
      </c>
      <c r="I1522" s="49">
        <f>INDEX(PeakCalc!$L$10:$L$303,MATCH(tblPivotData[[#This Row],[Time]],PeakCalc!$G$10:$G$303,0))</f>
        <v>0</v>
      </c>
    </row>
    <row r="1523" spans="1:9" x14ac:dyDescent="0.25">
      <c r="A1523" t="s">
        <v>96</v>
      </c>
      <c r="B1523" t="s">
        <v>106</v>
      </c>
      <c r="C1523" t="s">
        <v>95</v>
      </c>
      <c r="D1523" t="s">
        <v>89</v>
      </c>
      <c r="E1523" t="s">
        <v>43</v>
      </c>
      <c r="F1523" s="6">
        <v>0.28125</v>
      </c>
      <c r="G1523">
        <v>4</v>
      </c>
      <c r="H1523" s="6">
        <f>FLOOR(tblPivotData[[#This Row],[Time]],Summary!$B$6/1440)</f>
        <v>0.28125</v>
      </c>
      <c r="I1523" s="49">
        <f>INDEX(PeakCalc!$L$10:$L$303,MATCH(tblPivotData[[#This Row],[Time]],PeakCalc!$G$10:$G$303,0))</f>
        <v>0</v>
      </c>
    </row>
    <row r="1524" spans="1:9" x14ac:dyDescent="0.25">
      <c r="A1524" t="s">
        <v>96</v>
      </c>
      <c r="B1524" t="s">
        <v>106</v>
      </c>
      <c r="C1524" t="s">
        <v>95</v>
      </c>
      <c r="D1524" t="s">
        <v>89</v>
      </c>
      <c r="E1524" t="s">
        <v>43</v>
      </c>
      <c r="F1524" s="6">
        <v>0.29166666666666669</v>
      </c>
      <c r="G1524">
        <v>7</v>
      </c>
      <c r="H1524" s="6">
        <f>FLOOR(tblPivotData[[#This Row],[Time]],Summary!$B$6/1440)</f>
        <v>0.29166666666666663</v>
      </c>
      <c r="I1524" s="49">
        <f>INDEX(PeakCalc!$L$10:$L$303,MATCH(tblPivotData[[#This Row],[Time]],PeakCalc!$G$10:$G$303,0))</f>
        <v>0</v>
      </c>
    </row>
    <row r="1525" spans="1:9" x14ac:dyDescent="0.25">
      <c r="A1525" t="s">
        <v>96</v>
      </c>
      <c r="B1525" t="s">
        <v>106</v>
      </c>
      <c r="C1525" t="s">
        <v>95</v>
      </c>
      <c r="D1525" t="s">
        <v>89</v>
      </c>
      <c r="E1525" t="s">
        <v>43</v>
      </c>
      <c r="F1525" s="6">
        <v>0.30208333333333331</v>
      </c>
      <c r="G1525">
        <v>10</v>
      </c>
      <c r="H1525" s="6">
        <f>FLOOR(tblPivotData[[#This Row],[Time]],Summary!$B$6/1440)</f>
        <v>0.30208333333333331</v>
      </c>
      <c r="I1525" s="49">
        <f>INDEX(PeakCalc!$L$10:$L$303,MATCH(tblPivotData[[#This Row],[Time]],PeakCalc!$G$10:$G$303,0))</f>
        <v>0</v>
      </c>
    </row>
    <row r="1526" spans="1:9" x14ac:dyDescent="0.25">
      <c r="A1526" t="s">
        <v>96</v>
      </c>
      <c r="B1526" t="s">
        <v>106</v>
      </c>
      <c r="C1526" t="s">
        <v>95</v>
      </c>
      <c r="D1526" t="s">
        <v>89</v>
      </c>
      <c r="E1526" t="s">
        <v>43</v>
      </c>
      <c r="F1526" s="6">
        <v>0.3125</v>
      </c>
      <c r="G1526">
        <v>4</v>
      </c>
      <c r="H1526" s="6">
        <f>FLOOR(tblPivotData[[#This Row],[Time]],Summary!$B$6/1440)</f>
        <v>0.3125</v>
      </c>
      <c r="I1526" s="49">
        <f>INDEX(PeakCalc!$L$10:$L$303,MATCH(tblPivotData[[#This Row],[Time]],PeakCalc!$G$10:$G$303,0))</f>
        <v>0</v>
      </c>
    </row>
    <row r="1527" spans="1:9" x14ac:dyDescent="0.25">
      <c r="A1527" t="s">
        <v>96</v>
      </c>
      <c r="B1527" t="s">
        <v>106</v>
      </c>
      <c r="C1527" t="s">
        <v>95</v>
      </c>
      <c r="D1527" t="s">
        <v>89</v>
      </c>
      <c r="E1527" t="s">
        <v>43</v>
      </c>
      <c r="F1527" s="6">
        <v>0.32291666666666669</v>
      </c>
      <c r="G1527">
        <v>13</v>
      </c>
      <c r="H1527" s="6">
        <f>FLOOR(tblPivotData[[#This Row],[Time]],Summary!$B$6/1440)</f>
        <v>0.32291666666666663</v>
      </c>
      <c r="I1527" s="49">
        <f>INDEX(PeakCalc!$L$10:$L$303,MATCH(tblPivotData[[#This Row],[Time]],PeakCalc!$G$10:$G$303,0))</f>
        <v>1</v>
      </c>
    </row>
    <row r="1528" spans="1:9" x14ac:dyDescent="0.25">
      <c r="A1528" t="s">
        <v>96</v>
      </c>
      <c r="B1528" t="s">
        <v>106</v>
      </c>
      <c r="C1528" t="s">
        <v>95</v>
      </c>
      <c r="D1528" t="s">
        <v>89</v>
      </c>
      <c r="E1528" t="s">
        <v>43</v>
      </c>
      <c r="F1528" s="6">
        <v>0.33333333333333331</v>
      </c>
      <c r="G1528">
        <v>16</v>
      </c>
      <c r="H1528" s="6">
        <f>FLOOR(tblPivotData[[#This Row],[Time]],Summary!$B$6/1440)</f>
        <v>0.33333333333333331</v>
      </c>
      <c r="I1528" s="49">
        <f>INDEX(PeakCalc!$L$10:$L$303,MATCH(tblPivotData[[#This Row],[Time]],PeakCalc!$G$10:$G$303,0))</f>
        <v>1</v>
      </c>
    </row>
    <row r="1529" spans="1:9" x14ac:dyDescent="0.25">
      <c r="A1529" t="s">
        <v>96</v>
      </c>
      <c r="B1529" t="s">
        <v>106</v>
      </c>
      <c r="C1529" t="s">
        <v>95</v>
      </c>
      <c r="D1529" t="s">
        <v>89</v>
      </c>
      <c r="E1529" t="s">
        <v>43</v>
      </c>
      <c r="F1529" s="6">
        <v>0.34375</v>
      </c>
      <c r="G1529">
        <v>17</v>
      </c>
      <c r="H1529" s="6">
        <f>FLOOR(tblPivotData[[#This Row],[Time]],Summary!$B$6/1440)</f>
        <v>0.34375</v>
      </c>
      <c r="I1529" s="49">
        <f>INDEX(PeakCalc!$L$10:$L$303,MATCH(tblPivotData[[#This Row],[Time]],PeakCalc!$G$10:$G$303,0))</f>
        <v>1</v>
      </c>
    </row>
    <row r="1530" spans="1:9" x14ac:dyDescent="0.25">
      <c r="A1530" t="s">
        <v>96</v>
      </c>
      <c r="B1530" t="s">
        <v>106</v>
      </c>
      <c r="C1530" t="s">
        <v>95</v>
      </c>
      <c r="D1530" t="s">
        <v>89</v>
      </c>
      <c r="E1530" t="s">
        <v>43</v>
      </c>
      <c r="F1530" s="6">
        <v>0.35416666666666669</v>
      </c>
      <c r="G1530">
        <v>8</v>
      </c>
      <c r="H1530" s="6">
        <f>FLOOR(tblPivotData[[#This Row],[Time]],Summary!$B$6/1440)</f>
        <v>0.35416666666666663</v>
      </c>
      <c r="I1530" s="49">
        <f>INDEX(PeakCalc!$L$10:$L$303,MATCH(tblPivotData[[#This Row],[Time]],PeakCalc!$G$10:$G$303,0))</f>
        <v>1</v>
      </c>
    </row>
    <row r="1531" spans="1:9" x14ac:dyDescent="0.25">
      <c r="A1531" t="s">
        <v>96</v>
      </c>
      <c r="B1531" t="s">
        <v>106</v>
      </c>
      <c r="C1531" t="s">
        <v>95</v>
      </c>
      <c r="D1531" t="s">
        <v>89</v>
      </c>
      <c r="E1531" t="s">
        <v>43</v>
      </c>
      <c r="F1531" s="6">
        <v>0.36458333333333331</v>
      </c>
      <c r="G1531">
        <v>7</v>
      </c>
      <c r="H1531" s="6">
        <f>FLOOR(tblPivotData[[#This Row],[Time]],Summary!$B$6/1440)</f>
        <v>0.36458333333333331</v>
      </c>
      <c r="I1531" s="49">
        <f>INDEX(PeakCalc!$L$10:$L$303,MATCH(tblPivotData[[#This Row],[Time]],PeakCalc!$G$10:$G$303,0))</f>
        <v>0</v>
      </c>
    </row>
    <row r="1532" spans="1:9" x14ac:dyDescent="0.25">
      <c r="A1532" t="s">
        <v>96</v>
      </c>
      <c r="B1532" t="s">
        <v>106</v>
      </c>
      <c r="C1532" t="s">
        <v>95</v>
      </c>
      <c r="D1532" t="s">
        <v>89</v>
      </c>
      <c r="E1532" t="s">
        <v>43</v>
      </c>
      <c r="F1532" s="6">
        <v>0.375</v>
      </c>
      <c r="G1532">
        <v>6</v>
      </c>
      <c r="H1532" s="6">
        <f>FLOOR(tblPivotData[[#This Row],[Time]],Summary!$B$6/1440)</f>
        <v>0.375</v>
      </c>
      <c r="I1532" s="49">
        <f>INDEX(PeakCalc!$L$10:$L$303,MATCH(tblPivotData[[#This Row],[Time]],PeakCalc!$G$10:$G$303,0))</f>
        <v>0</v>
      </c>
    </row>
    <row r="1533" spans="1:9" x14ac:dyDescent="0.25">
      <c r="A1533" t="s">
        <v>96</v>
      </c>
      <c r="B1533" t="s">
        <v>106</v>
      </c>
      <c r="C1533" t="s">
        <v>95</v>
      </c>
      <c r="D1533" t="s">
        <v>89</v>
      </c>
      <c r="E1533" t="s">
        <v>43</v>
      </c>
      <c r="F1533" s="6">
        <v>0.38541666666666669</v>
      </c>
      <c r="G1533">
        <v>16</v>
      </c>
      <c r="H1533" s="6">
        <f>FLOOR(tblPivotData[[#This Row],[Time]],Summary!$B$6/1440)</f>
        <v>0.38541666666666663</v>
      </c>
      <c r="I1533" s="49">
        <f>INDEX(PeakCalc!$L$10:$L$303,MATCH(tblPivotData[[#This Row],[Time]],PeakCalc!$G$10:$G$303,0))</f>
        <v>0</v>
      </c>
    </row>
    <row r="1534" spans="1:9" x14ac:dyDescent="0.25">
      <c r="A1534" t="s">
        <v>96</v>
      </c>
      <c r="B1534" t="s">
        <v>106</v>
      </c>
      <c r="C1534" t="s">
        <v>95</v>
      </c>
      <c r="D1534" t="s">
        <v>89</v>
      </c>
      <c r="E1534" t="s">
        <v>110</v>
      </c>
      <c r="F1534" s="6">
        <v>0.45833333333333331</v>
      </c>
      <c r="G1534">
        <v>14</v>
      </c>
      <c r="H1534" s="6">
        <f>FLOOR(tblPivotData[[#This Row],[Time]],Summary!$B$6/1440)</f>
        <v>0.45833333333333331</v>
      </c>
      <c r="I1534" s="49">
        <f>INDEX(PeakCalc!$L$10:$L$303,MATCH(tblPivotData[[#This Row],[Time]],PeakCalc!$G$10:$G$303,0))</f>
        <v>0</v>
      </c>
    </row>
    <row r="1535" spans="1:9" x14ac:dyDescent="0.25">
      <c r="A1535" t="s">
        <v>96</v>
      </c>
      <c r="B1535" t="s">
        <v>106</v>
      </c>
      <c r="C1535" t="s">
        <v>95</v>
      </c>
      <c r="D1535" t="s">
        <v>89</v>
      </c>
      <c r="E1535" t="s">
        <v>110</v>
      </c>
      <c r="F1535" s="6">
        <v>0.46875</v>
      </c>
      <c r="G1535">
        <v>8</v>
      </c>
      <c r="H1535" s="6">
        <f>FLOOR(tblPivotData[[#This Row],[Time]],Summary!$B$6/1440)</f>
        <v>0.46875</v>
      </c>
      <c r="I1535" s="49">
        <f>INDEX(PeakCalc!$L$10:$L$303,MATCH(tblPivotData[[#This Row],[Time]],PeakCalc!$G$10:$G$303,0))</f>
        <v>0</v>
      </c>
    </row>
    <row r="1536" spans="1:9" x14ac:dyDescent="0.25">
      <c r="A1536" t="s">
        <v>96</v>
      </c>
      <c r="B1536" t="s">
        <v>106</v>
      </c>
      <c r="C1536" t="s">
        <v>95</v>
      </c>
      <c r="D1536" t="s">
        <v>89</v>
      </c>
      <c r="E1536" t="s">
        <v>110</v>
      </c>
      <c r="F1536" s="6">
        <v>0.47916666666666669</v>
      </c>
      <c r="G1536">
        <v>8</v>
      </c>
      <c r="H1536" s="6">
        <f>FLOOR(tblPivotData[[#This Row],[Time]],Summary!$B$6/1440)</f>
        <v>0.47916666666666663</v>
      </c>
      <c r="I1536" s="49">
        <f>INDEX(PeakCalc!$L$10:$L$303,MATCH(tblPivotData[[#This Row],[Time]],PeakCalc!$G$10:$G$303,0))</f>
        <v>0</v>
      </c>
    </row>
    <row r="1537" spans="1:9" x14ac:dyDescent="0.25">
      <c r="A1537" t="s">
        <v>96</v>
      </c>
      <c r="B1537" t="s">
        <v>106</v>
      </c>
      <c r="C1537" t="s">
        <v>95</v>
      </c>
      <c r="D1537" t="s">
        <v>89</v>
      </c>
      <c r="E1537" t="s">
        <v>110</v>
      </c>
      <c r="F1537" s="6">
        <v>0.48958333333333331</v>
      </c>
      <c r="G1537">
        <v>11</v>
      </c>
      <c r="H1537" s="6">
        <f>FLOOR(tblPivotData[[#This Row],[Time]],Summary!$B$6/1440)</f>
        <v>0.48958333333333331</v>
      </c>
      <c r="I1537" s="49">
        <f>INDEX(PeakCalc!$L$10:$L$303,MATCH(tblPivotData[[#This Row],[Time]],PeakCalc!$G$10:$G$303,0))</f>
        <v>0</v>
      </c>
    </row>
    <row r="1538" spans="1:9" x14ac:dyDescent="0.25">
      <c r="A1538" t="s">
        <v>96</v>
      </c>
      <c r="B1538" t="s">
        <v>106</v>
      </c>
      <c r="C1538" t="s">
        <v>95</v>
      </c>
      <c r="D1538" t="s">
        <v>89</v>
      </c>
      <c r="E1538" t="s">
        <v>110</v>
      </c>
      <c r="F1538" s="6">
        <v>0.5</v>
      </c>
      <c r="G1538">
        <v>11</v>
      </c>
      <c r="H1538" s="6">
        <f>FLOOR(tblPivotData[[#This Row],[Time]],Summary!$B$6/1440)</f>
        <v>0.5</v>
      </c>
      <c r="I1538" s="49">
        <f>INDEX(PeakCalc!$L$10:$L$303,MATCH(tblPivotData[[#This Row],[Time]],PeakCalc!$G$10:$G$303,0))</f>
        <v>0</v>
      </c>
    </row>
    <row r="1539" spans="1:9" x14ac:dyDescent="0.25">
      <c r="A1539" t="s">
        <v>96</v>
      </c>
      <c r="B1539" t="s">
        <v>106</v>
      </c>
      <c r="C1539" t="s">
        <v>95</v>
      </c>
      <c r="D1539" t="s">
        <v>89</v>
      </c>
      <c r="E1539" t="s">
        <v>110</v>
      </c>
      <c r="F1539" s="6">
        <v>0.51041666666666663</v>
      </c>
      <c r="G1539">
        <v>17</v>
      </c>
      <c r="H1539" s="6">
        <f>FLOOR(tblPivotData[[#This Row],[Time]],Summary!$B$6/1440)</f>
        <v>0.51041666666666663</v>
      </c>
      <c r="I1539" s="49">
        <f>INDEX(PeakCalc!$L$10:$L$303,MATCH(tblPivotData[[#This Row],[Time]],PeakCalc!$G$10:$G$303,0))</f>
        <v>0</v>
      </c>
    </row>
    <row r="1540" spans="1:9" x14ac:dyDescent="0.25">
      <c r="A1540" t="s">
        <v>96</v>
      </c>
      <c r="B1540" t="s">
        <v>106</v>
      </c>
      <c r="C1540" t="s">
        <v>95</v>
      </c>
      <c r="D1540" t="s">
        <v>89</v>
      </c>
      <c r="E1540" t="s">
        <v>110</v>
      </c>
      <c r="F1540" s="6">
        <v>0.52083333333333337</v>
      </c>
      <c r="G1540">
        <v>9</v>
      </c>
      <c r="H1540" s="6">
        <f>FLOOR(tblPivotData[[#This Row],[Time]],Summary!$B$6/1440)</f>
        <v>0.52083333333333326</v>
      </c>
      <c r="I1540" s="49">
        <f>INDEX(PeakCalc!$L$10:$L$303,MATCH(tblPivotData[[#This Row],[Time]],PeakCalc!$G$10:$G$303,0))</f>
        <v>1</v>
      </c>
    </row>
    <row r="1541" spans="1:9" x14ac:dyDescent="0.25">
      <c r="A1541" t="s">
        <v>96</v>
      </c>
      <c r="B1541" t="s">
        <v>106</v>
      </c>
      <c r="C1541" t="s">
        <v>95</v>
      </c>
      <c r="D1541" t="s">
        <v>89</v>
      </c>
      <c r="E1541" t="s">
        <v>110</v>
      </c>
      <c r="F1541" s="6">
        <v>0.53125</v>
      </c>
      <c r="G1541">
        <v>20</v>
      </c>
      <c r="H1541" s="6">
        <f>FLOOR(tblPivotData[[#This Row],[Time]],Summary!$B$6/1440)</f>
        <v>0.53125</v>
      </c>
      <c r="I1541" s="49">
        <f>INDEX(PeakCalc!$L$10:$L$303,MATCH(tblPivotData[[#This Row],[Time]],PeakCalc!$G$10:$G$303,0))</f>
        <v>1</v>
      </c>
    </row>
    <row r="1542" spans="1:9" x14ac:dyDescent="0.25">
      <c r="A1542" t="s">
        <v>96</v>
      </c>
      <c r="B1542" t="s">
        <v>106</v>
      </c>
      <c r="C1542" t="s">
        <v>95</v>
      </c>
      <c r="D1542" t="s">
        <v>89</v>
      </c>
      <c r="E1542" t="s">
        <v>110</v>
      </c>
      <c r="F1542" s="6">
        <v>0.54166666666666663</v>
      </c>
      <c r="G1542">
        <v>10</v>
      </c>
      <c r="H1542" s="6">
        <f>FLOOR(tblPivotData[[#This Row],[Time]],Summary!$B$6/1440)</f>
        <v>0.54166666666666663</v>
      </c>
      <c r="I1542" s="49">
        <f>INDEX(PeakCalc!$L$10:$L$303,MATCH(tblPivotData[[#This Row],[Time]],PeakCalc!$G$10:$G$303,0))</f>
        <v>1</v>
      </c>
    </row>
    <row r="1543" spans="1:9" x14ac:dyDescent="0.25">
      <c r="A1543" t="s">
        <v>96</v>
      </c>
      <c r="B1543" t="s">
        <v>106</v>
      </c>
      <c r="C1543" t="s">
        <v>95</v>
      </c>
      <c r="D1543" t="s">
        <v>89</v>
      </c>
      <c r="E1543" t="s">
        <v>110</v>
      </c>
      <c r="F1543" s="6">
        <v>0.55208333333333337</v>
      </c>
      <c r="G1543">
        <v>11</v>
      </c>
      <c r="H1543" s="6">
        <f>FLOOR(tblPivotData[[#This Row],[Time]],Summary!$B$6/1440)</f>
        <v>0.55208333333333326</v>
      </c>
      <c r="I1543" s="49">
        <f>INDEX(PeakCalc!$L$10:$L$303,MATCH(tblPivotData[[#This Row],[Time]],PeakCalc!$G$10:$G$303,0))</f>
        <v>1</v>
      </c>
    </row>
    <row r="1544" spans="1:9" x14ac:dyDescent="0.25">
      <c r="A1544" t="s">
        <v>96</v>
      </c>
      <c r="B1544" t="s">
        <v>106</v>
      </c>
      <c r="C1544" t="s">
        <v>95</v>
      </c>
      <c r="D1544" t="s">
        <v>89</v>
      </c>
      <c r="E1544" t="s">
        <v>110</v>
      </c>
      <c r="F1544" s="6">
        <v>0.5625</v>
      </c>
      <c r="G1544">
        <v>19</v>
      </c>
      <c r="H1544" s="6">
        <f>FLOOR(tblPivotData[[#This Row],[Time]],Summary!$B$6/1440)</f>
        <v>0.5625</v>
      </c>
      <c r="I1544" s="49">
        <f>INDEX(PeakCalc!$L$10:$L$303,MATCH(tblPivotData[[#This Row],[Time]],PeakCalc!$G$10:$G$303,0))</f>
        <v>0</v>
      </c>
    </row>
    <row r="1545" spans="1:9" x14ac:dyDescent="0.25">
      <c r="A1545" t="s">
        <v>96</v>
      </c>
      <c r="B1545" t="s">
        <v>106</v>
      </c>
      <c r="C1545" t="s">
        <v>95</v>
      </c>
      <c r="D1545" t="s">
        <v>89</v>
      </c>
      <c r="E1545" t="s">
        <v>110</v>
      </c>
      <c r="F1545" s="6">
        <v>0.57291666666666663</v>
      </c>
      <c r="G1545">
        <v>12</v>
      </c>
      <c r="H1545" s="6">
        <f>FLOOR(tblPivotData[[#This Row],[Time]],Summary!$B$6/1440)</f>
        <v>0.57291666666666663</v>
      </c>
      <c r="I1545" s="49">
        <f>INDEX(PeakCalc!$L$10:$L$303,MATCH(tblPivotData[[#This Row],[Time]],PeakCalc!$G$10:$G$303,0))</f>
        <v>0</v>
      </c>
    </row>
    <row r="1546" spans="1:9" x14ac:dyDescent="0.25">
      <c r="A1546" t="s">
        <v>96</v>
      </c>
      <c r="B1546" t="s">
        <v>106</v>
      </c>
      <c r="C1546" t="s">
        <v>95</v>
      </c>
      <c r="D1546" t="s">
        <v>89</v>
      </c>
      <c r="E1546" t="s">
        <v>44</v>
      </c>
      <c r="F1546" s="6">
        <v>0.625</v>
      </c>
      <c r="G1546">
        <v>10</v>
      </c>
      <c r="H1546" s="6">
        <f>FLOOR(tblPivotData[[#This Row],[Time]],Summary!$B$6/1440)</f>
        <v>0.625</v>
      </c>
      <c r="I1546" s="49">
        <f>INDEX(PeakCalc!$L$10:$L$303,MATCH(tblPivotData[[#This Row],[Time]],PeakCalc!$G$10:$G$303,0))</f>
        <v>0</v>
      </c>
    </row>
    <row r="1547" spans="1:9" x14ac:dyDescent="0.25">
      <c r="A1547" t="s">
        <v>96</v>
      </c>
      <c r="B1547" t="s">
        <v>106</v>
      </c>
      <c r="C1547" t="s">
        <v>95</v>
      </c>
      <c r="D1547" t="s">
        <v>89</v>
      </c>
      <c r="E1547" t="s">
        <v>44</v>
      </c>
      <c r="F1547" s="6">
        <v>0.63541666666666663</v>
      </c>
      <c r="G1547">
        <v>19</v>
      </c>
      <c r="H1547" s="6">
        <f>FLOOR(tblPivotData[[#This Row],[Time]],Summary!$B$6/1440)</f>
        <v>0.63541666666666663</v>
      </c>
      <c r="I1547" s="49">
        <f>INDEX(PeakCalc!$L$10:$L$303,MATCH(tblPivotData[[#This Row],[Time]],PeakCalc!$G$10:$G$303,0))</f>
        <v>0</v>
      </c>
    </row>
    <row r="1548" spans="1:9" x14ac:dyDescent="0.25">
      <c r="A1548" t="s">
        <v>96</v>
      </c>
      <c r="B1548" t="s">
        <v>106</v>
      </c>
      <c r="C1548" t="s">
        <v>95</v>
      </c>
      <c r="D1548" t="s">
        <v>89</v>
      </c>
      <c r="E1548" t="s">
        <v>44</v>
      </c>
      <c r="F1548" s="6">
        <v>0.64583333333333337</v>
      </c>
      <c r="G1548">
        <v>14</v>
      </c>
      <c r="H1548" s="6">
        <f>FLOOR(tblPivotData[[#This Row],[Time]],Summary!$B$6/1440)</f>
        <v>0.64583333333333326</v>
      </c>
      <c r="I1548" s="49">
        <f>INDEX(PeakCalc!$L$10:$L$303,MATCH(tblPivotData[[#This Row],[Time]],PeakCalc!$G$10:$G$303,0))</f>
        <v>0</v>
      </c>
    </row>
    <row r="1549" spans="1:9" x14ac:dyDescent="0.25">
      <c r="A1549" t="s">
        <v>96</v>
      </c>
      <c r="B1549" t="s">
        <v>106</v>
      </c>
      <c r="C1549" t="s">
        <v>95</v>
      </c>
      <c r="D1549" t="s">
        <v>89</v>
      </c>
      <c r="E1549" t="s">
        <v>44</v>
      </c>
      <c r="F1549" s="6">
        <v>0.65625</v>
      </c>
      <c r="G1549">
        <v>11</v>
      </c>
      <c r="H1549" s="6">
        <f>FLOOR(tblPivotData[[#This Row],[Time]],Summary!$B$6/1440)</f>
        <v>0.65625</v>
      </c>
      <c r="I1549" s="49">
        <f>INDEX(PeakCalc!$L$10:$L$303,MATCH(tblPivotData[[#This Row],[Time]],PeakCalc!$G$10:$G$303,0))</f>
        <v>0</v>
      </c>
    </row>
    <row r="1550" spans="1:9" x14ac:dyDescent="0.25">
      <c r="A1550" t="s">
        <v>96</v>
      </c>
      <c r="B1550" t="s">
        <v>106</v>
      </c>
      <c r="C1550" t="s">
        <v>95</v>
      </c>
      <c r="D1550" t="s">
        <v>89</v>
      </c>
      <c r="E1550" t="s">
        <v>44</v>
      </c>
      <c r="F1550" s="6">
        <v>0.66666666666666663</v>
      </c>
      <c r="G1550">
        <v>12</v>
      </c>
      <c r="H1550" s="6">
        <f>FLOOR(tblPivotData[[#This Row],[Time]],Summary!$B$6/1440)</f>
        <v>0.66666666666666663</v>
      </c>
      <c r="I1550" s="49">
        <f>INDEX(PeakCalc!$L$10:$L$303,MATCH(tblPivotData[[#This Row],[Time]],PeakCalc!$G$10:$G$303,0))</f>
        <v>0</v>
      </c>
    </row>
    <row r="1551" spans="1:9" x14ac:dyDescent="0.25">
      <c r="A1551" t="s">
        <v>96</v>
      </c>
      <c r="B1551" t="s">
        <v>106</v>
      </c>
      <c r="C1551" t="s">
        <v>95</v>
      </c>
      <c r="D1551" t="s">
        <v>89</v>
      </c>
      <c r="E1551" t="s">
        <v>44</v>
      </c>
      <c r="F1551" s="6">
        <v>0.67708333333333337</v>
      </c>
      <c r="G1551">
        <v>12</v>
      </c>
      <c r="H1551" s="6">
        <f>FLOOR(tblPivotData[[#This Row],[Time]],Summary!$B$6/1440)</f>
        <v>0.67708333333333326</v>
      </c>
      <c r="I1551" s="49">
        <f>INDEX(PeakCalc!$L$10:$L$303,MATCH(tblPivotData[[#This Row],[Time]],PeakCalc!$G$10:$G$303,0))</f>
        <v>0</v>
      </c>
    </row>
    <row r="1552" spans="1:9" x14ac:dyDescent="0.25">
      <c r="A1552" t="s">
        <v>96</v>
      </c>
      <c r="B1552" t="s">
        <v>106</v>
      </c>
      <c r="C1552" t="s">
        <v>95</v>
      </c>
      <c r="D1552" t="s">
        <v>89</v>
      </c>
      <c r="E1552" t="s">
        <v>44</v>
      </c>
      <c r="F1552" s="6">
        <v>0.6875</v>
      </c>
      <c r="G1552">
        <v>16</v>
      </c>
      <c r="H1552" s="6">
        <f>FLOOR(tblPivotData[[#This Row],[Time]],Summary!$B$6/1440)</f>
        <v>0.6875</v>
      </c>
      <c r="I1552" s="49">
        <f>INDEX(PeakCalc!$L$10:$L$303,MATCH(tblPivotData[[#This Row],[Time]],PeakCalc!$G$10:$G$303,0))</f>
        <v>1</v>
      </c>
    </row>
    <row r="1553" spans="1:9" x14ac:dyDescent="0.25">
      <c r="A1553" t="s">
        <v>96</v>
      </c>
      <c r="B1553" t="s">
        <v>106</v>
      </c>
      <c r="C1553" t="s">
        <v>95</v>
      </c>
      <c r="D1553" t="s">
        <v>89</v>
      </c>
      <c r="E1553" t="s">
        <v>44</v>
      </c>
      <c r="F1553" s="6">
        <v>0.69791666666666663</v>
      </c>
      <c r="G1553">
        <v>8</v>
      </c>
      <c r="H1553" s="6">
        <f>FLOOR(tblPivotData[[#This Row],[Time]],Summary!$B$6/1440)</f>
        <v>0.69791666666666663</v>
      </c>
      <c r="I1553" s="49">
        <f>INDEX(PeakCalc!$L$10:$L$303,MATCH(tblPivotData[[#This Row],[Time]],PeakCalc!$G$10:$G$303,0))</f>
        <v>1</v>
      </c>
    </row>
    <row r="1554" spans="1:9" x14ac:dyDescent="0.25">
      <c r="A1554" t="s">
        <v>96</v>
      </c>
      <c r="B1554" t="s">
        <v>106</v>
      </c>
      <c r="C1554" t="s">
        <v>95</v>
      </c>
      <c r="D1554" t="s">
        <v>89</v>
      </c>
      <c r="E1554" t="s">
        <v>44</v>
      </c>
      <c r="F1554" s="6">
        <v>0.70833333333333337</v>
      </c>
      <c r="G1554">
        <v>10</v>
      </c>
      <c r="H1554" s="6">
        <f>FLOOR(tblPivotData[[#This Row],[Time]],Summary!$B$6/1440)</f>
        <v>0.70833333333333326</v>
      </c>
      <c r="I1554" s="49">
        <f>INDEX(PeakCalc!$L$10:$L$303,MATCH(tblPivotData[[#This Row],[Time]],PeakCalc!$G$10:$G$303,0))</f>
        <v>1</v>
      </c>
    </row>
    <row r="1555" spans="1:9" x14ac:dyDescent="0.25">
      <c r="A1555" t="s">
        <v>96</v>
      </c>
      <c r="B1555" t="s">
        <v>106</v>
      </c>
      <c r="C1555" t="s">
        <v>95</v>
      </c>
      <c r="D1555" t="s">
        <v>89</v>
      </c>
      <c r="E1555" t="s">
        <v>44</v>
      </c>
      <c r="F1555" s="6">
        <v>0.71875</v>
      </c>
      <c r="G1555">
        <v>17</v>
      </c>
      <c r="H1555" s="6">
        <f>FLOOR(tblPivotData[[#This Row],[Time]],Summary!$B$6/1440)</f>
        <v>0.71875</v>
      </c>
      <c r="I1555" s="49">
        <f>INDEX(PeakCalc!$L$10:$L$303,MATCH(tblPivotData[[#This Row],[Time]],PeakCalc!$G$10:$G$303,0))</f>
        <v>1</v>
      </c>
    </row>
    <row r="1556" spans="1:9" x14ac:dyDescent="0.25">
      <c r="A1556" t="s">
        <v>96</v>
      </c>
      <c r="B1556" t="s">
        <v>106</v>
      </c>
      <c r="C1556" t="s">
        <v>95</v>
      </c>
      <c r="D1556" t="s">
        <v>89</v>
      </c>
      <c r="E1556" t="s">
        <v>44</v>
      </c>
      <c r="F1556" s="6">
        <v>0.72916666666666663</v>
      </c>
      <c r="G1556">
        <v>15</v>
      </c>
      <c r="H1556" s="6">
        <f>FLOOR(tblPivotData[[#This Row],[Time]],Summary!$B$6/1440)</f>
        <v>0.72916666666666663</v>
      </c>
      <c r="I1556" s="49">
        <f>INDEX(PeakCalc!$L$10:$L$303,MATCH(tblPivotData[[#This Row],[Time]],PeakCalc!$G$10:$G$303,0))</f>
        <v>0</v>
      </c>
    </row>
    <row r="1557" spans="1:9" x14ac:dyDescent="0.25">
      <c r="A1557" t="s">
        <v>96</v>
      </c>
      <c r="B1557" t="s">
        <v>106</v>
      </c>
      <c r="C1557" t="s">
        <v>95</v>
      </c>
      <c r="D1557" t="s">
        <v>89</v>
      </c>
      <c r="E1557" t="s">
        <v>44</v>
      </c>
      <c r="F1557" s="6">
        <v>0.73958333333333337</v>
      </c>
      <c r="G1557">
        <v>13</v>
      </c>
      <c r="H1557" s="6">
        <f>FLOOR(tblPivotData[[#This Row],[Time]],Summary!$B$6/1440)</f>
        <v>0.73958333333333326</v>
      </c>
      <c r="I1557" s="49">
        <f>INDEX(PeakCalc!$L$10:$L$303,MATCH(tblPivotData[[#This Row],[Time]],PeakCalc!$G$10:$G$303,0))</f>
        <v>0</v>
      </c>
    </row>
    <row r="1558" spans="1:9" x14ac:dyDescent="0.25">
      <c r="A1558" t="s">
        <v>96</v>
      </c>
      <c r="B1558" t="s">
        <v>106</v>
      </c>
      <c r="C1558" t="s">
        <v>95</v>
      </c>
      <c r="D1558" t="s">
        <v>89</v>
      </c>
      <c r="E1558" t="s">
        <v>44</v>
      </c>
      <c r="F1558" s="6">
        <v>0.75</v>
      </c>
      <c r="G1558">
        <v>7</v>
      </c>
      <c r="H1558" s="6">
        <f>FLOOR(tblPivotData[[#This Row],[Time]],Summary!$B$6/1440)</f>
        <v>0.75</v>
      </c>
      <c r="I1558" s="49">
        <f>INDEX(PeakCalc!$L$10:$L$303,MATCH(tblPivotData[[#This Row],[Time]],PeakCalc!$G$10:$G$303,0))</f>
        <v>0</v>
      </c>
    </row>
    <row r="1559" spans="1:9" x14ac:dyDescent="0.25">
      <c r="A1559" t="s">
        <v>96</v>
      </c>
      <c r="B1559" t="s">
        <v>106</v>
      </c>
      <c r="C1559" t="s">
        <v>95</v>
      </c>
      <c r="D1559" t="s">
        <v>89</v>
      </c>
      <c r="E1559" t="s">
        <v>44</v>
      </c>
      <c r="F1559" s="6">
        <v>0.76041666666666663</v>
      </c>
      <c r="G1559">
        <v>7</v>
      </c>
      <c r="H1559" s="6">
        <f>FLOOR(tblPivotData[[#This Row],[Time]],Summary!$B$6/1440)</f>
        <v>0.76041666666666663</v>
      </c>
      <c r="I1559" s="49">
        <f>INDEX(PeakCalc!$L$10:$L$303,MATCH(tblPivotData[[#This Row],[Time]],PeakCalc!$G$10:$G$303,0))</f>
        <v>0</v>
      </c>
    </row>
    <row r="1560" spans="1:9" x14ac:dyDescent="0.25">
      <c r="A1560" t="s">
        <v>96</v>
      </c>
      <c r="B1560" t="s">
        <v>106</v>
      </c>
      <c r="C1560" t="s">
        <v>95</v>
      </c>
      <c r="D1560" t="s">
        <v>90</v>
      </c>
      <c r="E1560" t="s">
        <v>43</v>
      </c>
      <c r="F1560" s="6">
        <v>0.27083333333333331</v>
      </c>
      <c r="G1560">
        <v>0</v>
      </c>
      <c r="H1560" s="6">
        <f>FLOOR(tblPivotData[[#This Row],[Time]],Summary!$B$6/1440)</f>
        <v>0.27083333333333331</v>
      </c>
      <c r="I1560" s="49">
        <f>INDEX(PeakCalc!$L$10:$L$303,MATCH(tblPivotData[[#This Row],[Time]],PeakCalc!$G$10:$G$303,0))</f>
        <v>0</v>
      </c>
    </row>
    <row r="1561" spans="1:9" x14ac:dyDescent="0.25">
      <c r="A1561" t="s">
        <v>96</v>
      </c>
      <c r="B1561" t="s">
        <v>106</v>
      </c>
      <c r="C1561" t="s">
        <v>95</v>
      </c>
      <c r="D1561" t="s">
        <v>90</v>
      </c>
      <c r="E1561" t="s">
        <v>43</v>
      </c>
      <c r="F1561" s="6">
        <v>0.28125</v>
      </c>
      <c r="G1561">
        <v>0</v>
      </c>
      <c r="H1561" s="6">
        <f>FLOOR(tblPivotData[[#This Row],[Time]],Summary!$B$6/1440)</f>
        <v>0.28125</v>
      </c>
      <c r="I1561" s="49">
        <f>INDEX(PeakCalc!$L$10:$L$303,MATCH(tblPivotData[[#This Row],[Time]],PeakCalc!$G$10:$G$303,0))</f>
        <v>0</v>
      </c>
    </row>
    <row r="1562" spans="1:9" x14ac:dyDescent="0.25">
      <c r="A1562" t="s">
        <v>96</v>
      </c>
      <c r="B1562" t="s">
        <v>106</v>
      </c>
      <c r="C1562" t="s">
        <v>95</v>
      </c>
      <c r="D1562" t="s">
        <v>90</v>
      </c>
      <c r="E1562" t="s">
        <v>43</v>
      </c>
      <c r="F1562" s="6">
        <v>0.29166666666666669</v>
      </c>
      <c r="G1562">
        <v>0</v>
      </c>
      <c r="H1562" s="6">
        <f>FLOOR(tblPivotData[[#This Row],[Time]],Summary!$B$6/1440)</f>
        <v>0.29166666666666663</v>
      </c>
      <c r="I1562" s="49">
        <f>INDEX(PeakCalc!$L$10:$L$303,MATCH(tblPivotData[[#This Row],[Time]],PeakCalc!$G$10:$G$303,0))</f>
        <v>0</v>
      </c>
    </row>
    <row r="1563" spans="1:9" x14ac:dyDescent="0.25">
      <c r="A1563" t="s">
        <v>96</v>
      </c>
      <c r="B1563" t="s">
        <v>106</v>
      </c>
      <c r="C1563" t="s">
        <v>95</v>
      </c>
      <c r="D1563" t="s">
        <v>90</v>
      </c>
      <c r="E1563" t="s">
        <v>43</v>
      </c>
      <c r="F1563" s="6">
        <v>0.30208333333333331</v>
      </c>
      <c r="G1563">
        <v>0</v>
      </c>
      <c r="H1563" s="6">
        <f>FLOOR(tblPivotData[[#This Row],[Time]],Summary!$B$6/1440)</f>
        <v>0.30208333333333331</v>
      </c>
      <c r="I1563" s="49">
        <f>INDEX(PeakCalc!$L$10:$L$303,MATCH(tblPivotData[[#This Row],[Time]],PeakCalc!$G$10:$G$303,0))</f>
        <v>0</v>
      </c>
    </row>
    <row r="1564" spans="1:9" x14ac:dyDescent="0.25">
      <c r="A1564" t="s">
        <v>96</v>
      </c>
      <c r="B1564" t="s">
        <v>106</v>
      </c>
      <c r="C1564" t="s">
        <v>95</v>
      </c>
      <c r="D1564" t="s">
        <v>90</v>
      </c>
      <c r="E1564" t="s">
        <v>43</v>
      </c>
      <c r="F1564" s="6">
        <v>0.3125</v>
      </c>
      <c r="G1564">
        <v>0</v>
      </c>
      <c r="H1564" s="6">
        <f>FLOOR(tblPivotData[[#This Row],[Time]],Summary!$B$6/1440)</f>
        <v>0.3125</v>
      </c>
      <c r="I1564" s="49">
        <f>INDEX(PeakCalc!$L$10:$L$303,MATCH(tblPivotData[[#This Row],[Time]],PeakCalc!$G$10:$G$303,0))</f>
        <v>0</v>
      </c>
    </row>
    <row r="1565" spans="1:9" x14ac:dyDescent="0.25">
      <c r="A1565" t="s">
        <v>96</v>
      </c>
      <c r="B1565" t="s">
        <v>106</v>
      </c>
      <c r="C1565" t="s">
        <v>95</v>
      </c>
      <c r="D1565" t="s">
        <v>90</v>
      </c>
      <c r="E1565" t="s">
        <v>43</v>
      </c>
      <c r="F1565" s="6">
        <v>0.32291666666666669</v>
      </c>
      <c r="G1565">
        <v>0</v>
      </c>
      <c r="H1565" s="6">
        <f>FLOOR(tblPivotData[[#This Row],[Time]],Summary!$B$6/1440)</f>
        <v>0.32291666666666663</v>
      </c>
      <c r="I1565" s="49">
        <f>INDEX(PeakCalc!$L$10:$L$303,MATCH(tblPivotData[[#This Row],[Time]],PeakCalc!$G$10:$G$303,0))</f>
        <v>1</v>
      </c>
    </row>
    <row r="1566" spans="1:9" x14ac:dyDescent="0.25">
      <c r="A1566" t="s">
        <v>96</v>
      </c>
      <c r="B1566" t="s">
        <v>106</v>
      </c>
      <c r="C1566" t="s">
        <v>95</v>
      </c>
      <c r="D1566" t="s">
        <v>90</v>
      </c>
      <c r="E1566" t="s">
        <v>43</v>
      </c>
      <c r="F1566" s="6">
        <v>0.33333333333333331</v>
      </c>
      <c r="G1566">
        <v>0</v>
      </c>
      <c r="H1566" s="6">
        <f>FLOOR(tblPivotData[[#This Row],[Time]],Summary!$B$6/1440)</f>
        <v>0.33333333333333331</v>
      </c>
      <c r="I1566" s="49">
        <f>INDEX(PeakCalc!$L$10:$L$303,MATCH(tblPivotData[[#This Row],[Time]],PeakCalc!$G$10:$G$303,0))</f>
        <v>1</v>
      </c>
    </row>
    <row r="1567" spans="1:9" x14ac:dyDescent="0.25">
      <c r="A1567" t="s">
        <v>96</v>
      </c>
      <c r="B1567" t="s">
        <v>106</v>
      </c>
      <c r="C1567" t="s">
        <v>95</v>
      </c>
      <c r="D1567" t="s">
        <v>90</v>
      </c>
      <c r="E1567" t="s">
        <v>43</v>
      </c>
      <c r="F1567" s="6">
        <v>0.34375</v>
      </c>
      <c r="G1567">
        <v>0</v>
      </c>
      <c r="H1567" s="6">
        <f>FLOOR(tblPivotData[[#This Row],[Time]],Summary!$B$6/1440)</f>
        <v>0.34375</v>
      </c>
      <c r="I1567" s="49">
        <f>INDEX(PeakCalc!$L$10:$L$303,MATCH(tblPivotData[[#This Row],[Time]],PeakCalc!$G$10:$G$303,0))</f>
        <v>1</v>
      </c>
    </row>
    <row r="1568" spans="1:9" x14ac:dyDescent="0.25">
      <c r="A1568" t="s">
        <v>96</v>
      </c>
      <c r="B1568" t="s">
        <v>106</v>
      </c>
      <c r="C1568" t="s">
        <v>95</v>
      </c>
      <c r="D1568" t="s">
        <v>90</v>
      </c>
      <c r="E1568" t="s">
        <v>43</v>
      </c>
      <c r="F1568" s="6">
        <v>0.35416666666666669</v>
      </c>
      <c r="G1568">
        <v>0</v>
      </c>
      <c r="H1568" s="6">
        <f>FLOOR(tblPivotData[[#This Row],[Time]],Summary!$B$6/1440)</f>
        <v>0.35416666666666663</v>
      </c>
      <c r="I1568" s="49">
        <f>INDEX(PeakCalc!$L$10:$L$303,MATCH(tblPivotData[[#This Row],[Time]],PeakCalc!$G$10:$G$303,0))</f>
        <v>1</v>
      </c>
    </row>
    <row r="1569" spans="1:9" x14ac:dyDescent="0.25">
      <c r="A1569" t="s">
        <v>96</v>
      </c>
      <c r="B1569" t="s">
        <v>106</v>
      </c>
      <c r="C1569" t="s">
        <v>95</v>
      </c>
      <c r="D1569" t="s">
        <v>90</v>
      </c>
      <c r="E1569" t="s">
        <v>43</v>
      </c>
      <c r="F1569" s="6">
        <v>0.36458333333333331</v>
      </c>
      <c r="G1569">
        <v>0</v>
      </c>
      <c r="H1569" s="6">
        <f>FLOOR(tblPivotData[[#This Row],[Time]],Summary!$B$6/1440)</f>
        <v>0.36458333333333331</v>
      </c>
      <c r="I1569" s="49">
        <f>INDEX(PeakCalc!$L$10:$L$303,MATCH(tblPivotData[[#This Row],[Time]],PeakCalc!$G$10:$G$303,0))</f>
        <v>0</v>
      </c>
    </row>
    <row r="1570" spans="1:9" x14ac:dyDescent="0.25">
      <c r="A1570" t="s">
        <v>96</v>
      </c>
      <c r="B1570" t="s">
        <v>106</v>
      </c>
      <c r="C1570" t="s">
        <v>95</v>
      </c>
      <c r="D1570" t="s">
        <v>90</v>
      </c>
      <c r="E1570" t="s">
        <v>43</v>
      </c>
      <c r="F1570" s="6">
        <v>0.375</v>
      </c>
      <c r="G1570">
        <v>0</v>
      </c>
      <c r="H1570" s="6">
        <f>FLOOR(tblPivotData[[#This Row],[Time]],Summary!$B$6/1440)</f>
        <v>0.375</v>
      </c>
      <c r="I1570" s="49">
        <f>INDEX(PeakCalc!$L$10:$L$303,MATCH(tblPivotData[[#This Row],[Time]],PeakCalc!$G$10:$G$303,0))</f>
        <v>0</v>
      </c>
    </row>
    <row r="1571" spans="1:9" x14ac:dyDescent="0.25">
      <c r="A1571" t="s">
        <v>96</v>
      </c>
      <c r="B1571" t="s">
        <v>106</v>
      </c>
      <c r="C1571" t="s">
        <v>95</v>
      </c>
      <c r="D1571" t="s">
        <v>90</v>
      </c>
      <c r="E1571" t="s">
        <v>43</v>
      </c>
      <c r="F1571" s="6">
        <v>0.38541666666666669</v>
      </c>
      <c r="G1571">
        <v>0</v>
      </c>
      <c r="H1571" s="6">
        <f>FLOOR(tblPivotData[[#This Row],[Time]],Summary!$B$6/1440)</f>
        <v>0.38541666666666663</v>
      </c>
      <c r="I1571" s="49">
        <f>INDEX(PeakCalc!$L$10:$L$303,MATCH(tblPivotData[[#This Row],[Time]],PeakCalc!$G$10:$G$303,0))</f>
        <v>0</v>
      </c>
    </row>
    <row r="1572" spans="1:9" x14ac:dyDescent="0.25">
      <c r="A1572" t="s">
        <v>96</v>
      </c>
      <c r="B1572" t="s">
        <v>106</v>
      </c>
      <c r="C1572" t="s">
        <v>95</v>
      </c>
      <c r="D1572" t="s">
        <v>90</v>
      </c>
      <c r="E1572" t="s">
        <v>110</v>
      </c>
      <c r="F1572" s="6">
        <v>0.45833333333333331</v>
      </c>
      <c r="G1572">
        <v>0</v>
      </c>
      <c r="H1572" s="6">
        <f>FLOOR(tblPivotData[[#This Row],[Time]],Summary!$B$6/1440)</f>
        <v>0.45833333333333331</v>
      </c>
      <c r="I1572" s="49">
        <f>INDEX(PeakCalc!$L$10:$L$303,MATCH(tblPivotData[[#This Row],[Time]],PeakCalc!$G$10:$G$303,0))</f>
        <v>0</v>
      </c>
    </row>
    <row r="1573" spans="1:9" x14ac:dyDescent="0.25">
      <c r="A1573" t="s">
        <v>96</v>
      </c>
      <c r="B1573" t="s">
        <v>106</v>
      </c>
      <c r="C1573" t="s">
        <v>95</v>
      </c>
      <c r="D1573" t="s">
        <v>90</v>
      </c>
      <c r="E1573" t="s">
        <v>110</v>
      </c>
      <c r="F1573" s="6">
        <v>0.46875</v>
      </c>
      <c r="G1573">
        <v>0</v>
      </c>
      <c r="H1573" s="6">
        <f>FLOOR(tblPivotData[[#This Row],[Time]],Summary!$B$6/1440)</f>
        <v>0.46875</v>
      </c>
      <c r="I1573" s="49">
        <f>INDEX(PeakCalc!$L$10:$L$303,MATCH(tblPivotData[[#This Row],[Time]],PeakCalc!$G$10:$G$303,0))</f>
        <v>0</v>
      </c>
    </row>
    <row r="1574" spans="1:9" x14ac:dyDescent="0.25">
      <c r="A1574" t="s">
        <v>96</v>
      </c>
      <c r="B1574" t="s">
        <v>106</v>
      </c>
      <c r="C1574" t="s">
        <v>95</v>
      </c>
      <c r="D1574" t="s">
        <v>90</v>
      </c>
      <c r="E1574" t="s">
        <v>110</v>
      </c>
      <c r="F1574" s="6">
        <v>0.47916666666666669</v>
      </c>
      <c r="G1574">
        <v>0</v>
      </c>
      <c r="H1574" s="6">
        <f>FLOOR(tblPivotData[[#This Row],[Time]],Summary!$B$6/1440)</f>
        <v>0.47916666666666663</v>
      </c>
      <c r="I1574" s="49">
        <f>INDEX(PeakCalc!$L$10:$L$303,MATCH(tblPivotData[[#This Row],[Time]],PeakCalc!$G$10:$G$303,0))</f>
        <v>0</v>
      </c>
    </row>
    <row r="1575" spans="1:9" x14ac:dyDescent="0.25">
      <c r="A1575" t="s">
        <v>96</v>
      </c>
      <c r="B1575" t="s">
        <v>106</v>
      </c>
      <c r="C1575" t="s">
        <v>95</v>
      </c>
      <c r="D1575" t="s">
        <v>90</v>
      </c>
      <c r="E1575" t="s">
        <v>110</v>
      </c>
      <c r="F1575" s="6">
        <v>0.48958333333333331</v>
      </c>
      <c r="G1575">
        <v>0</v>
      </c>
      <c r="H1575" s="6">
        <f>FLOOR(tblPivotData[[#This Row],[Time]],Summary!$B$6/1440)</f>
        <v>0.48958333333333331</v>
      </c>
      <c r="I1575" s="49">
        <f>INDEX(PeakCalc!$L$10:$L$303,MATCH(tblPivotData[[#This Row],[Time]],PeakCalc!$G$10:$G$303,0))</f>
        <v>0</v>
      </c>
    </row>
    <row r="1576" spans="1:9" x14ac:dyDescent="0.25">
      <c r="A1576" t="s">
        <v>96</v>
      </c>
      <c r="B1576" t="s">
        <v>106</v>
      </c>
      <c r="C1576" t="s">
        <v>95</v>
      </c>
      <c r="D1576" t="s">
        <v>90</v>
      </c>
      <c r="E1576" t="s">
        <v>110</v>
      </c>
      <c r="F1576" s="6">
        <v>0.5</v>
      </c>
      <c r="G1576">
        <v>0</v>
      </c>
      <c r="H1576" s="6">
        <f>FLOOR(tblPivotData[[#This Row],[Time]],Summary!$B$6/1440)</f>
        <v>0.5</v>
      </c>
      <c r="I1576" s="49">
        <f>INDEX(PeakCalc!$L$10:$L$303,MATCH(tblPivotData[[#This Row],[Time]],PeakCalc!$G$10:$G$303,0))</f>
        <v>0</v>
      </c>
    </row>
    <row r="1577" spans="1:9" x14ac:dyDescent="0.25">
      <c r="A1577" t="s">
        <v>96</v>
      </c>
      <c r="B1577" t="s">
        <v>106</v>
      </c>
      <c r="C1577" t="s">
        <v>95</v>
      </c>
      <c r="D1577" t="s">
        <v>90</v>
      </c>
      <c r="E1577" t="s">
        <v>110</v>
      </c>
      <c r="F1577" s="6">
        <v>0.51041666666666663</v>
      </c>
      <c r="G1577">
        <v>0</v>
      </c>
      <c r="H1577" s="6">
        <f>FLOOR(tblPivotData[[#This Row],[Time]],Summary!$B$6/1440)</f>
        <v>0.51041666666666663</v>
      </c>
      <c r="I1577" s="49">
        <f>INDEX(PeakCalc!$L$10:$L$303,MATCH(tblPivotData[[#This Row],[Time]],PeakCalc!$G$10:$G$303,0))</f>
        <v>0</v>
      </c>
    </row>
    <row r="1578" spans="1:9" x14ac:dyDescent="0.25">
      <c r="A1578" t="s">
        <v>96</v>
      </c>
      <c r="B1578" t="s">
        <v>106</v>
      </c>
      <c r="C1578" t="s">
        <v>95</v>
      </c>
      <c r="D1578" t="s">
        <v>90</v>
      </c>
      <c r="E1578" t="s">
        <v>110</v>
      </c>
      <c r="F1578" s="6">
        <v>0.52083333333333337</v>
      </c>
      <c r="G1578">
        <v>0</v>
      </c>
      <c r="H1578" s="6">
        <f>FLOOR(tblPivotData[[#This Row],[Time]],Summary!$B$6/1440)</f>
        <v>0.52083333333333326</v>
      </c>
      <c r="I1578" s="49">
        <f>INDEX(PeakCalc!$L$10:$L$303,MATCH(tblPivotData[[#This Row],[Time]],PeakCalc!$G$10:$G$303,0))</f>
        <v>1</v>
      </c>
    </row>
    <row r="1579" spans="1:9" x14ac:dyDescent="0.25">
      <c r="A1579" t="s">
        <v>96</v>
      </c>
      <c r="B1579" t="s">
        <v>106</v>
      </c>
      <c r="C1579" t="s">
        <v>95</v>
      </c>
      <c r="D1579" t="s">
        <v>90</v>
      </c>
      <c r="E1579" t="s">
        <v>110</v>
      </c>
      <c r="F1579" s="6">
        <v>0.53125</v>
      </c>
      <c r="G1579">
        <v>0</v>
      </c>
      <c r="H1579" s="6">
        <f>FLOOR(tblPivotData[[#This Row],[Time]],Summary!$B$6/1440)</f>
        <v>0.53125</v>
      </c>
      <c r="I1579" s="49">
        <f>INDEX(PeakCalc!$L$10:$L$303,MATCH(tblPivotData[[#This Row],[Time]],PeakCalc!$G$10:$G$303,0))</f>
        <v>1</v>
      </c>
    </row>
    <row r="1580" spans="1:9" x14ac:dyDescent="0.25">
      <c r="A1580" t="s">
        <v>96</v>
      </c>
      <c r="B1580" t="s">
        <v>106</v>
      </c>
      <c r="C1580" t="s">
        <v>95</v>
      </c>
      <c r="D1580" t="s">
        <v>90</v>
      </c>
      <c r="E1580" t="s">
        <v>110</v>
      </c>
      <c r="F1580" s="6">
        <v>0.54166666666666663</v>
      </c>
      <c r="G1580">
        <v>0</v>
      </c>
      <c r="H1580" s="6">
        <f>FLOOR(tblPivotData[[#This Row],[Time]],Summary!$B$6/1440)</f>
        <v>0.54166666666666663</v>
      </c>
      <c r="I1580" s="49">
        <f>INDEX(PeakCalc!$L$10:$L$303,MATCH(tblPivotData[[#This Row],[Time]],PeakCalc!$G$10:$G$303,0))</f>
        <v>1</v>
      </c>
    </row>
    <row r="1581" spans="1:9" x14ac:dyDescent="0.25">
      <c r="A1581" t="s">
        <v>96</v>
      </c>
      <c r="B1581" t="s">
        <v>106</v>
      </c>
      <c r="C1581" t="s">
        <v>95</v>
      </c>
      <c r="D1581" t="s">
        <v>90</v>
      </c>
      <c r="E1581" t="s">
        <v>110</v>
      </c>
      <c r="F1581" s="6">
        <v>0.55208333333333337</v>
      </c>
      <c r="G1581">
        <v>0</v>
      </c>
      <c r="H1581" s="6">
        <f>FLOOR(tblPivotData[[#This Row],[Time]],Summary!$B$6/1440)</f>
        <v>0.55208333333333326</v>
      </c>
      <c r="I1581" s="49">
        <f>INDEX(PeakCalc!$L$10:$L$303,MATCH(tblPivotData[[#This Row],[Time]],PeakCalc!$G$10:$G$303,0))</f>
        <v>1</v>
      </c>
    </row>
    <row r="1582" spans="1:9" x14ac:dyDescent="0.25">
      <c r="A1582" t="s">
        <v>96</v>
      </c>
      <c r="B1582" t="s">
        <v>106</v>
      </c>
      <c r="C1582" t="s">
        <v>95</v>
      </c>
      <c r="D1582" t="s">
        <v>90</v>
      </c>
      <c r="E1582" t="s">
        <v>110</v>
      </c>
      <c r="F1582" s="6">
        <v>0.5625</v>
      </c>
      <c r="G1582">
        <v>0</v>
      </c>
      <c r="H1582" s="6">
        <f>FLOOR(tblPivotData[[#This Row],[Time]],Summary!$B$6/1440)</f>
        <v>0.5625</v>
      </c>
      <c r="I1582" s="49">
        <f>INDEX(PeakCalc!$L$10:$L$303,MATCH(tblPivotData[[#This Row],[Time]],PeakCalc!$G$10:$G$303,0))</f>
        <v>0</v>
      </c>
    </row>
    <row r="1583" spans="1:9" x14ac:dyDescent="0.25">
      <c r="A1583" t="s">
        <v>96</v>
      </c>
      <c r="B1583" t="s">
        <v>106</v>
      </c>
      <c r="C1583" t="s">
        <v>95</v>
      </c>
      <c r="D1583" t="s">
        <v>90</v>
      </c>
      <c r="E1583" t="s">
        <v>110</v>
      </c>
      <c r="F1583" s="6">
        <v>0.57291666666666663</v>
      </c>
      <c r="G1583">
        <v>0</v>
      </c>
      <c r="H1583" s="6">
        <f>FLOOR(tblPivotData[[#This Row],[Time]],Summary!$B$6/1440)</f>
        <v>0.57291666666666663</v>
      </c>
      <c r="I1583" s="49">
        <f>INDEX(PeakCalc!$L$10:$L$303,MATCH(tblPivotData[[#This Row],[Time]],PeakCalc!$G$10:$G$303,0))</f>
        <v>0</v>
      </c>
    </row>
    <row r="1584" spans="1:9" x14ac:dyDescent="0.25">
      <c r="A1584" t="s">
        <v>96</v>
      </c>
      <c r="B1584" t="s">
        <v>106</v>
      </c>
      <c r="C1584" t="s">
        <v>95</v>
      </c>
      <c r="D1584" t="s">
        <v>90</v>
      </c>
      <c r="E1584" t="s">
        <v>44</v>
      </c>
      <c r="F1584" s="6">
        <v>0.625</v>
      </c>
      <c r="G1584">
        <v>1</v>
      </c>
      <c r="H1584" s="6">
        <f>FLOOR(tblPivotData[[#This Row],[Time]],Summary!$B$6/1440)</f>
        <v>0.625</v>
      </c>
      <c r="I1584" s="49">
        <f>INDEX(PeakCalc!$L$10:$L$303,MATCH(tblPivotData[[#This Row],[Time]],PeakCalc!$G$10:$G$303,0))</f>
        <v>0</v>
      </c>
    </row>
    <row r="1585" spans="1:9" x14ac:dyDescent="0.25">
      <c r="A1585" t="s">
        <v>96</v>
      </c>
      <c r="B1585" t="s">
        <v>106</v>
      </c>
      <c r="C1585" t="s">
        <v>95</v>
      </c>
      <c r="D1585" t="s">
        <v>90</v>
      </c>
      <c r="E1585" t="s">
        <v>44</v>
      </c>
      <c r="F1585" s="6">
        <v>0.63541666666666663</v>
      </c>
      <c r="G1585">
        <v>1</v>
      </c>
      <c r="H1585" s="6">
        <f>FLOOR(tblPivotData[[#This Row],[Time]],Summary!$B$6/1440)</f>
        <v>0.63541666666666663</v>
      </c>
      <c r="I1585" s="49">
        <f>INDEX(PeakCalc!$L$10:$L$303,MATCH(tblPivotData[[#This Row],[Time]],PeakCalc!$G$10:$G$303,0))</f>
        <v>0</v>
      </c>
    </row>
    <row r="1586" spans="1:9" x14ac:dyDescent="0.25">
      <c r="A1586" t="s">
        <v>96</v>
      </c>
      <c r="B1586" t="s">
        <v>106</v>
      </c>
      <c r="C1586" t="s">
        <v>95</v>
      </c>
      <c r="D1586" t="s">
        <v>90</v>
      </c>
      <c r="E1586" t="s">
        <v>44</v>
      </c>
      <c r="F1586" s="6">
        <v>0.64583333333333337</v>
      </c>
      <c r="G1586">
        <v>0</v>
      </c>
      <c r="H1586" s="6">
        <f>FLOOR(tblPivotData[[#This Row],[Time]],Summary!$B$6/1440)</f>
        <v>0.64583333333333326</v>
      </c>
      <c r="I1586" s="49">
        <f>INDEX(PeakCalc!$L$10:$L$303,MATCH(tblPivotData[[#This Row],[Time]],PeakCalc!$G$10:$G$303,0))</f>
        <v>0</v>
      </c>
    </row>
    <row r="1587" spans="1:9" x14ac:dyDescent="0.25">
      <c r="A1587" t="s">
        <v>96</v>
      </c>
      <c r="B1587" t="s">
        <v>106</v>
      </c>
      <c r="C1587" t="s">
        <v>95</v>
      </c>
      <c r="D1587" t="s">
        <v>90</v>
      </c>
      <c r="E1587" t="s">
        <v>44</v>
      </c>
      <c r="F1587" s="6">
        <v>0.65625</v>
      </c>
      <c r="G1587">
        <v>1</v>
      </c>
      <c r="H1587" s="6">
        <f>FLOOR(tblPivotData[[#This Row],[Time]],Summary!$B$6/1440)</f>
        <v>0.65625</v>
      </c>
      <c r="I1587" s="49">
        <f>INDEX(PeakCalc!$L$10:$L$303,MATCH(tblPivotData[[#This Row],[Time]],PeakCalc!$G$10:$G$303,0))</f>
        <v>0</v>
      </c>
    </row>
    <row r="1588" spans="1:9" x14ac:dyDescent="0.25">
      <c r="A1588" t="s">
        <v>96</v>
      </c>
      <c r="B1588" t="s">
        <v>106</v>
      </c>
      <c r="C1588" t="s">
        <v>95</v>
      </c>
      <c r="D1588" t="s">
        <v>90</v>
      </c>
      <c r="E1588" t="s">
        <v>44</v>
      </c>
      <c r="F1588" s="6">
        <v>0.66666666666666663</v>
      </c>
      <c r="G1588">
        <v>0</v>
      </c>
      <c r="H1588" s="6">
        <f>FLOOR(tblPivotData[[#This Row],[Time]],Summary!$B$6/1440)</f>
        <v>0.66666666666666663</v>
      </c>
      <c r="I1588" s="49">
        <f>INDEX(PeakCalc!$L$10:$L$303,MATCH(tblPivotData[[#This Row],[Time]],PeakCalc!$G$10:$G$303,0))</f>
        <v>0</v>
      </c>
    </row>
    <row r="1589" spans="1:9" x14ac:dyDescent="0.25">
      <c r="A1589" t="s">
        <v>96</v>
      </c>
      <c r="B1589" t="s">
        <v>106</v>
      </c>
      <c r="C1589" t="s">
        <v>95</v>
      </c>
      <c r="D1589" t="s">
        <v>90</v>
      </c>
      <c r="E1589" t="s">
        <v>44</v>
      </c>
      <c r="F1589" s="6">
        <v>0.67708333333333337</v>
      </c>
      <c r="G1589">
        <v>0</v>
      </c>
      <c r="H1589" s="6">
        <f>FLOOR(tblPivotData[[#This Row],[Time]],Summary!$B$6/1440)</f>
        <v>0.67708333333333326</v>
      </c>
      <c r="I1589" s="49">
        <f>INDEX(PeakCalc!$L$10:$L$303,MATCH(tblPivotData[[#This Row],[Time]],PeakCalc!$G$10:$G$303,0))</f>
        <v>0</v>
      </c>
    </row>
    <row r="1590" spans="1:9" x14ac:dyDescent="0.25">
      <c r="A1590" t="s">
        <v>96</v>
      </c>
      <c r="B1590" t="s">
        <v>106</v>
      </c>
      <c r="C1590" t="s">
        <v>95</v>
      </c>
      <c r="D1590" t="s">
        <v>90</v>
      </c>
      <c r="E1590" t="s">
        <v>44</v>
      </c>
      <c r="F1590" s="6">
        <v>0.6875</v>
      </c>
      <c r="G1590">
        <v>0</v>
      </c>
      <c r="H1590" s="6">
        <f>FLOOR(tblPivotData[[#This Row],[Time]],Summary!$B$6/1440)</f>
        <v>0.6875</v>
      </c>
      <c r="I1590" s="49">
        <f>INDEX(PeakCalc!$L$10:$L$303,MATCH(tblPivotData[[#This Row],[Time]],PeakCalc!$G$10:$G$303,0))</f>
        <v>1</v>
      </c>
    </row>
    <row r="1591" spans="1:9" x14ac:dyDescent="0.25">
      <c r="A1591" t="s">
        <v>96</v>
      </c>
      <c r="B1591" t="s">
        <v>106</v>
      </c>
      <c r="C1591" t="s">
        <v>95</v>
      </c>
      <c r="D1591" t="s">
        <v>90</v>
      </c>
      <c r="E1591" t="s">
        <v>44</v>
      </c>
      <c r="F1591" s="6">
        <v>0.69791666666666663</v>
      </c>
      <c r="G1591">
        <v>0</v>
      </c>
      <c r="H1591" s="6">
        <f>FLOOR(tblPivotData[[#This Row],[Time]],Summary!$B$6/1440)</f>
        <v>0.69791666666666663</v>
      </c>
      <c r="I1591" s="49">
        <f>INDEX(PeakCalc!$L$10:$L$303,MATCH(tblPivotData[[#This Row],[Time]],PeakCalc!$G$10:$G$303,0))</f>
        <v>1</v>
      </c>
    </row>
    <row r="1592" spans="1:9" x14ac:dyDescent="0.25">
      <c r="A1592" t="s">
        <v>96</v>
      </c>
      <c r="B1592" t="s">
        <v>106</v>
      </c>
      <c r="C1592" t="s">
        <v>95</v>
      </c>
      <c r="D1592" t="s">
        <v>90</v>
      </c>
      <c r="E1592" t="s">
        <v>44</v>
      </c>
      <c r="F1592" s="6">
        <v>0.70833333333333337</v>
      </c>
      <c r="G1592">
        <v>0</v>
      </c>
      <c r="H1592" s="6">
        <f>FLOOR(tblPivotData[[#This Row],[Time]],Summary!$B$6/1440)</f>
        <v>0.70833333333333326</v>
      </c>
      <c r="I1592" s="49">
        <f>INDEX(PeakCalc!$L$10:$L$303,MATCH(tblPivotData[[#This Row],[Time]],PeakCalc!$G$10:$G$303,0))</f>
        <v>1</v>
      </c>
    </row>
    <row r="1593" spans="1:9" x14ac:dyDescent="0.25">
      <c r="A1593" t="s">
        <v>96</v>
      </c>
      <c r="B1593" t="s">
        <v>106</v>
      </c>
      <c r="C1593" t="s">
        <v>95</v>
      </c>
      <c r="D1593" t="s">
        <v>90</v>
      </c>
      <c r="E1593" t="s">
        <v>44</v>
      </c>
      <c r="F1593" s="6">
        <v>0.71875</v>
      </c>
      <c r="G1593">
        <v>0</v>
      </c>
      <c r="H1593" s="6">
        <f>FLOOR(tblPivotData[[#This Row],[Time]],Summary!$B$6/1440)</f>
        <v>0.71875</v>
      </c>
      <c r="I1593" s="49">
        <f>INDEX(PeakCalc!$L$10:$L$303,MATCH(tblPivotData[[#This Row],[Time]],PeakCalc!$G$10:$G$303,0))</f>
        <v>1</v>
      </c>
    </row>
    <row r="1594" spans="1:9" x14ac:dyDescent="0.25">
      <c r="A1594" t="s">
        <v>96</v>
      </c>
      <c r="B1594" t="s">
        <v>106</v>
      </c>
      <c r="C1594" t="s">
        <v>95</v>
      </c>
      <c r="D1594" t="s">
        <v>90</v>
      </c>
      <c r="E1594" t="s">
        <v>44</v>
      </c>
      <c r="F1594" s="6">
        <v>0.72916666666666663</v>
      </c>
      <c r="G1594">
        <v>0</v>
      </c>
      <c r="H1594" s="6">
        <f>FLOOR(tblPivotData[[#This Row],[Time]],Summary!$B$6/1440)</f>
        <v>0.72916666666666663</v>
      </c>
      <c r="I1594" s="49">
        <f>INDEX(PeakCalc!$L$10:$L$303,MATCH(tblPivotData[[#This Row],[Time]],PeakCalc!$G$10:$G$303,0))</f>
        <v>0</v>
      </c>
    </row>
    <row r="1595" spans="1:9" x14ac:dyDescent="0.25">
      <c r="A1595" t="s">
        <v>96</v>
      </c>
      <c r="B1595" t="s">
        <v>106</v>
      </c>
      <c r="C1595" t="s">
        <v>95</v>
      </c>
      <c r="D1595" t="s">
        <v>90</v>
      </c>
      <c r="E1595" t="s">
        <v>44</v>
      </c>
      <c r="F1595" s="6">
        <v>0.73958333333333337</v>
      </c>
      <c r="G1595">
        <v>0</v>
      </c>
      <c r="H1595" s="6">
        <f>FLOOR(tblPivotData[[#This Row],[Time]],Summary!$B$6/1440)</f>
        <v>0.73958333333333326</v>
      </c>
      <c r="I1595" s="49">
        <f>INDEX(PeakCalc!$L$10:$L$303,MATCH(tblPivotData[[#This Row],[Time]],PeakCalc!$G$10:$G$303,0))</f>
        <v>0</v>
      </c>
    </row>
    <row r="1596" spans="1:9" x14ac:dyDescent="0.25">
      <c r="A1596" t="s">
        <v>96</v>
      </c>
      <c r="B1596" t="s">
        <v>106</v>
      </c>
      <c r="C1596" t="s">
        <v>95</v>
      </c>
      <c r="D1596" t="s">
        <v>90</v>
      </c>
      <c r="E1596" t="s">
        <v>44</v>
      </c>
      <c r="F1596" s="6">
        <v>0.75</v>
      </c>
      <c r="G1596">
        <v>0</v>
      </c>
      <c r="H1596" s="6">
        <f>FLOOR(tblPivotData[[#This Row],[Time]],Summary!$B$6/1440)</f>
        <v>0.75</v>
      </c>
      <c r="I1596" s="49">
        <f>INDEX(PeakCalc!$L$10:$L$303,MATCH(tblPivotData[[#This Row],[Time]],PeakCalc!$G$10:$G$303,0))</f>
        <v>0</v>
      </c>
    </row>
    <row r="1597" spans="1:9" x14ac:dyDescent="0.25">
      <c r="A1597" t="s">
        <v>96</v>
      </c>
      <c r="B1597" t="s">
        <v>106</v>
      </c>
      <c r="C1597" t="s">
        <v>95</v>
      </c>
      <c r="D1597" t="s">
        <v>90</v>
      </c>
      <c r="E1597" t="s">
        <v>44</v>
      </c>
      <c r="F1597" s="6">
        <v>0.76041666666666663</v>
      </c>
      <c r="G1597">
        <v>0</v>
      </c>
      <c r="H1597" s="6">
        <f>FLOOR(tblPivotData[[#This Row],[Time]],Summary!$B$6/1440)</f>
        <v>0.76041666666666663</v>
      </c>
      <c r="I1597" s="49">
        <f>INDEX(PeakCalc!$L$10:$L$303,MATCH(tblPivotData[[#This Row],[Time]],PeakCalc!$G$10:$G$303,0))</f>
        <v>0</v>
      </c>
    </row>
    <row r="1598" spans="1:9" x14ac:dyDescent="0.25">
      <c r="A1598" t="s">
        <v>96</v>
      </c>
      <c r="B1598" t="s">
        <v>106</v>
      </c>
      <c r="C1598" t="s">
        <v>95</v>
      </c>
      <c r="D1598" t="s">
        <v>91</v>
      </c>
      <c r="E1598" t="s">
        <v>43</v>
      </c>
      <c r="F1598" s="6">
        <v>0.27083333333333331</v>
      </c>
      <c r="G1598">
        <v>0</v>
      </c>
      <c r="H1598" s="6">
        <f>FLOOR(tblPivotData[[#This Row],[Time]],Summary!$B$6/1440)</f>
        <v>0.27083333333333331</v>
      </c>
      <c r="I1598" s="49">
        <f>INDEX(PeakCalc!$L$10:$L$303,MATCH(tblPivotData[[#This Row],[Time]],PeakCalc!$G$10:$G$303,0))</f>
        <v>0</v>
      </c>
    </row>
    <row r="1599" spans="1:9" x14ac:dyDescent="0.25">
      <c r="A1599" t="s">
        <v>96</v>
      </c>
      <c r="B1599" t="s">
        <v>106</v>
      </c>
      <c r="C1599" t="s">
        <v>95</v>
      </c>
      <c r="D1599" t="s">
        <v>91</v>
      </c>
      <c r="E1599" t="s">
        <v>43</v>
      </c>
      <c r="F1599" s="6">
        <v>0.28125</v>
      </c>
      <c r="G1599">
        <v>0</v>
      </c>
      <c r="H1599" s="6">
        <f>FLOOR(tblPivotData[[#This Row],[Time]],Summary!$B$6/1440)</f>
        <v>0.28125</v>
      </c>
      <c r="I1599" s="49">
        <f>INDEX(PeakCalc!$L$10:$L$303,MATCH(tblPivotData[[#This Row],[Time]],PeakCalc!$G$10:$G$303,0))</f>
        <v>0</v>
      </c>
    </row>
    <row r="1600" spans="1:9" x14ac:dyDescent="0.25">
      <c r="A1600" t="s">
        <v>96</v>
      </c>
      <c r="B1600" t="s">
        <v>106</v>
      </c>
      <c r="C1600" t="s">
        <v>95</v>
      </c>
      <c r="D1600" t="s">
        <v>91</v>
      </c>
      <c r="E1600" t="s">
        <v>43</v>
      </c>
      <c r="F1600" s="6">
        <v>0.29166666666666669</v>
      </c>
      <c r="G1600">
        <v>0</v>
      </c>
      <c r="H1600" s="6">
        <f>FLOOR(tblPivotData[[#This Row],[Time]],Summary!$B$6/1440)</f>
        <v>0.29166666666666663</v>
      </c>
      <c r="I1600" s="49">
        <f>INDEX(PeakCalc!$L$10:$L$303,MATCH(tblPivotData[[#This Row],[Time]],PeakCalc!$G$10:$G$303,0))</f>
        <v>0</v>
      </c>
    </row>
    <row r="1601" spans="1:9" x14ac:dyDescent="0.25">
      <c r="A1601" t="s">
        <v>96</v>
      </c>
      <c r="B1601" t="s">
        <v>106</v>
      </c>
      <c r="C1601" t="s">
        <v>95</v>
      </c>
      <c r="D1601" t="s">
        <v>91</v>
      </c>
      <c r="E1601" t="s">
        <v>43</v>
      </c>
      <c r="F1601" s="6">
        <v>0.30208333333333331</v>
      </c>
      <c r="G1601">
        <v>0</v>
      </c>
      <c r="H1601" s="6">
        <f>FLOOR(tblPivotData[[#This Row],[Time]],Summary!$B$6/1440)</f>
        <v>0.30208333333333331</v>
      </c>
      <c r="I1601" s="49">
        <f>INDEX(PeakCalc!$L$10:$L$303,MATCH(tblPivotData[[#This Row],[Time]],PeakCalc!$G$10:$G$303,0))</f>
        <v>0</v>
      </c>
    </row>
    <row r="1602" spans="1:9" x14ac:dyDescent="0.25">
      <c r="A1602" t="s">
        <v>96</v>
      </c>
      <c r="B1602" t="s">
        <v>106</v>
      </c>
      <c r="C1602" t="s">
        <v>95</v>
      </c>
      <c r="D1602" t="s">
        <v>91</v>
      </c>
      <c r="E1602" t="s">
        <v>43</v>
      </c>
      <c r="F1602" s="6">
        <v>0.3125</v>
      </c>
      <c r="G1602">
        <v>0</v>
      </c>
      <c r="H1602" s="6">
        <f>FLOOR(tblPivotData[[#This Row],[Time]],Summary!$B$6/1440)</f>
        <v>0.3125</v>
      </c>
      <c r="I1602" s="49">
        <f>INDEX(PeakCalc!$L$10:$L$303,MATCH(tblPivotData[[#This Row],[Time]],PeakCalc!$G$10:$G$303,0))</f>
        <v>0</v>
      </c>
    </row>
    <row r="1603" spans="1:9" x14ac:dyDescent="0.25">
      <c r="A1603" t="s">
        <v>96</v>
      </c>
      <c r="B1603" t="s">
        <v>106</v>
      </c>
      <c r="C1603" t="s">
        <v>95</v>
      </c>
      <c r="D1603" t="s">
        <v>91</v>
      </c>
      <c r="E1603" t="s">
        <v>43</v>
      </c>
      <c r="F1603" s="6">
        <v>0.32291666666666669</v>
      </c>
      <c r="G1603">
        <v>0</v>
      </c>
      <c r="H1603" s="6">
        <f>FLOOR(tblPivotData[[#This Row],[Time]],Summary!$B$6/1440)</f>
        <v>0.32291666666666663</v>
      </c>
      <c r="I1603" s="49">
        <f>INDEX(PeakCalc!$L$10:$L$303,MATCH(tblPivotData[[#This Row],[Time]],PeakCalc!$G$10:$G$303,0))</f>
        <v>1</v>
      </c>
    </row>
    <row r="1604" spans="1:9" x14ac:dyDescent="0.25">
      <c r="A1604" t="s">
        <v>96</v>
      </c>
      <c r="B1604" t="s">
        <v>106</v>
      </c>
      <c r="C1604" t="s">
        <v>95</v>
      </c>
      <c r="D1604" t="s">
        <v>91</v>
      </c>
      <c r="E1604" t="s">
        <v>43</v>
      </c>
      <c r="F1604" s="6">
        <v>0.33333333333333331</v>
      </c>
      <c r="G1604">
        <v>0</v>
      </c>
      <c r="H1604" s="6">
        <f>FLOOR(tblPivotData[[#This Row],[Time]],Summary!$B$6/1440)</f>
        <v>0.33333333333333331</v>
      </c>
      <c r="I1604" s="49">
        <f>INDEX(PeakCalc!$L$10:$L$303,MATCH(tblPivotData[[#This Row],[Time]],PeakCalc!$G$10:$G$303,0))</f>
        <v>1</v>
      </c>
    </row>
    <row r="1605" spans="1:9" x14ac:dyDescent="0.25">
      <c r="A1605" t="s">
        <v>96</v>
      </c>
      <c r="B1605" t="s">
        <v>106</v>
      </c>
      <c r="C1605" t="s">
        <v>95</v>
      </c>
      <c r="D1605" t="s">
        <v>91</v>
      </c>
      <c r="E1605" t="s">
        <v>43</v>
      </c>
      <c r="F1605" s="6">
        <v>0.34375</v>
      </c>
      <c r="G1605">
        <v>1</v>
      </c>
      <c r="H1605" s="6">
        <f>FLOOR(tblPivotData[[#This Row],[Time]],Summary!$B$6/1440)</f>
        <v>0.34375</v>
      </c>
      <c r="I1605" s="49">
        <f>INDEX(PeakCalc!$L$10:$L$303,MATCH(tblPivotData[[#This Row],[Time]],PeakCalc!$G$10:$G$303,0))</f>
        <v>1</v>
      </c>
    </row>
    <row r="1606" spans="1:9" x14ac:dyDescent="0.25">
      <c r="A1606" t="s">
        <v>96</v>
      </c>
      <c r="B1606" t="s">
        <v>106</v>
      </c>
      <c r="C1606" t="s">
        <v>95</v>
      </c>
      <c r="D1606" t="s">
        <v>91</v>
      </c>
      <c r="E1606" t="s">
        <v>43</v>
      </c>
      <c r="F1606" s="6">
        <v>0.35416666666666669</v>
      </c>
      <c r="G1606">
        <v>0</v>
      </c>
      <c r="H1606" s="6">
        <f>FLOOR(tblPivotData[[#This Row],[Time]],Summary!$B$6/1440)</f>
        <v>0.35416666666666663</v>
      </c>
      <c r="I1606" s="49">
        <f>INDEX(PeakCalc!$L$10:$L$303,MATCH(tblPivotData[[#This Row],[Time]],PeakCalc!$G$10:$G$303,0))</f>
        <v>1</v>
      </c>
    </row>
    <row r="1607" spans="1:9" x14ac:dyDescent="0.25">
      <c r="A1607" t="s">
        <v>96</v>
      </c>
      <c r="B1607" t="s">
        <v>106</v>
      </c>
      <c r="C1607" t="s">
        <v>95</v>
      </c>
      <c r="D1607" t="s">
        <v>91</v>
      </c>
      <c r="E1607" t="s">
        <v>43</v>
      </c>
      <c r="F1607" s="6">
        <v>0.36458333333333331</v>
      </c>
      <c r="G1607">
        <v>0</v>
      </c>
      <c r="H1607" s="6">
        <f>FLOOR(tblPivotData[[#This Row],[Time]],Summary!$B$6/1440)</f>
        <v>0.36458333333333331</v>
      </c>
      <c r="I1607" s="49">
        <f>INDEX(PeakCalc!$L$10:$L$303,MATCH(tblPivotData[[#This Row],[Time]],PeakCalc!$G$10:$G$303,0))</f>
        <v>0</v>
      </c>
    </row>
    <row r="1608" spans="1:9" x14ac:dyDescent="0.25">
      <c r="A1608" t="s">
        <v>96</v>
      </c>
      <c r="B1608" t="s">
        <v>106</v>
      </c>
      <c r="C1608" t="s">
        <v>95</v>
      </c>
      <c r="D1608" t="s">
        <v>91</v>
      </c>
      <c r="E1608" t="s">
        <v>43</v>
      </c>
      <c r="F1608" s="6">
        <v>0.375</v>
      </c>
      <c r="G1608">
        <v>0</v>
      </c>
      <c r="H1608" s="6">
        <f>FLOOR(tblPivotData[[#This Row],[Time]],Summary!$B$6/1440)</f>
        <v>0.375</v>
      </c>
      <c r="I1608" s="49">
        <f>INDEX(PeakCalc!$L$10:$L$303,MATCH(tblPivotData[[#This Row],[Time]],PeakCalc!$G$10:$G$303,0))</f>
        <v>0</v>
      </c>
    </row>
    <row r="1609" spans="1:9" x14ac:dyDescent="0.25">
      <c r="A1609" t="s">
        <v>96</v>
      </c>
      <c r="B1609" t="s">
        <v>106</v>
      </c>
      <c r="C1609" t="s">
        <v>95</v>
      </c>
      <c r="D1609" t="s">
        <v>91</v>
      </c>
      <c r="E1609" t="s">
        <v>43</v>
      </c>
      <c r="F1609" s="6">
        <v>0.38541666666666669</v>
      </c>
      <c r="G1609">
        <v>1</v>
      </c>
      <c r="H1609" s="6">
        <f>FLOOR(tblPivotData[[#This Row],[Time]],Summary!$B$6/1440)</f>
        <v>0.38541666666666663</v>
      </c>
      <c r="I1609" s="49">
        <f>INDEX(PeakCalc!$L$10:$L$303,MATCH(tblPivotData[[#This Row],[Time]],PeakCalc!$G$10:$G$303,0))</f>
        <v>0</v>
      </c>
    </row>
    <row r="1610" spans="1:9" x14ac:dyDescent="0.25">
      <c r="A1610" t="s">
        <v>96</v>
      </c>
      <c r="B1610" t="s">
        <v>106</v>
      </c>
      <c r="C1610" t="s">
        <v>95</v>
      </c>
      <c r="D1610" t="s">
        <v>91</v>
      </c>
      <c r="E1610" t="s">
        <v>110</v>
      </c>
      <c r="F1610" s="6">
        <v>0.45833333333333331</v>
      </c>
      <c r="G1610">
        <v>0</v>
      </c>
      <c r="H1610" s="6">
        <f>FLOOR(tblPivotData[[#This Row],[Time]],Summary!$B$6/1440)</f>
        <v>0.45833333333333331</v>
      </c>
      <c r="I1610" s="49">
        <f>INDEX(PeakCalc!$L$10:$L$303,MATCH(tblPivotData[[#This Row],[Time]],PeakCalc!$G$10:$G$303,0))</f>
        <v>0</v>
      </c>
    </row>
    <row r="1611" spans="1:9" x14ac:dyDescent="0.25">
      <c r="A1611" t="s">
        <v>96</v>
      </c>
      <c r="B1611" t="s">
        <v>106</v>
      </c>
      <c r="C1611" t="s">
        <v>95</v>
      </c>
      <c r="D1611" t="s">
        <v>91</v>
      </c>
      <c r="E1611" t="s">
        <v>110</v>
      </c>
      <c r="F1611" s="6">
        <v>0.46875</v>
      </c>
      <c r="G1611">
        <v>0</v>
      </c>
      <c r="H1611" s="6">
        <f>FLOOR(tblPivotData[[#This Row],[Time]],Summary!$B$6/1440)</f>
        <v>0.46875</v>
      </c>
      <c r="I1611" s="49">
        <f>INDEX(PeakCalc!$L$10:$L$303,MATCH(tblPivotData[[#This Row],[Time]],PeakCalc!$G$10:$G$303,0))</f>
        <v>0</v>
      </c>
    </row>
    <row r="1612" spans="1:9" x14ac:dyDescent="0.25">
      <c r="A1612" t="s">
        <v>96</v>
      </c>
      <c r="B1612" t="s">
        <v>106</v>
      </c>
      <c r="C1612" t="s">
        <v>95</v>
      </c>
      <c r="D1612" t="s">
        <v>91</v>
      </c>
      <c r="E1612" t="s">
        <v>110</v>
      </c>
      <c r="F1612" s="6">
        <v>0.47916666666666669</v>
      </c>
      <c r="G1612">
        <v>0</v>
      </c>
      <c r="H1612" s="6">
        <f>FLOOR(tblPivotData[[#This Row],[Time]],Summary!$B$6/1440)</f>
        <v>0.47916666666666663</v>
      </c>
      <c r="I1612" s="49">
        <f>INDEX(PeakCalc!$L$10:$L$303,MATCH(tblPivotData[[#This Row],[Time]],PeakCalc!$G$10:$G$303,0))</f>
        <v>0</v>
      </c>
    </row>
    <row r="1613" spans="1:9" x14ac:dyDescent="0.25">
      <c r="A1613" t="s">
        <v>96</v>
      </c>
      <c r="B1613" t="s">
        <v>106</v>
      </c>
      <c r="C1613" t="s">
        <v>95</v>
      </c>
      <c r="D1613" t="s">
        <v>91</v>
      </c>
      <c r="E1613" t="s">
        <v>110</v>
      </c>
      <c r="F1613" s="6">
        <v>0.48958333333333331</v>
      </c>
      <c r="G1613">
        <v>0</v>
      </c>
      <c r="H1613" s="6">
        <f>FLOOR(tblPivotData[[#This Row],[Time]],Summary!$B$6/1440)</f>
        <v>0.48958333333333331</v>
      </c>
      <c r="I1613" s="49">
        <f>INDEX(PeakCalc!$L$10:$L$303,MATCH(tblPivotData[[#This Row],[Time]],PeakCalc!$G$10:$G$303,0))</f>
        <v>0</v>
      </c>
    </row>
    <row r="1614" spans="1:9" x14ac:dyDescent="0.25">
      <c r="A1614" t="s">
        <v>96</v>
      </c>
      <c r="B1614" t="s">
        <v>106</v>
      </c>
      <c r="C1614" t="s">
        <v>95</v>
      </c>
      <c r="D1614" t="s">
        <v>91</v>
      </c>
      <c r="E1614" t="s">
        <v>110</v>
      </c>
      <c r="F1614" s="6">
        <v>0.5</v>
      </c>
      <c r="G1614">
        <v>0</v>
      </c>
      <c r="H1614" s="6">
        <f>FLOOR(tblPivotData[[#This Row],[Time]],Summary!$B$6/1440)</f>
        <v>0.5</v>
      </c>
      <c r="I1614" s="49">
        <f>INDEX(PeakCalc!$L$10:$L$303,MATCH(tblPivotData[[#This Row],[Time]],PeakCalc!$G$10:$G$303,0))</f>
        <v>0</v>
      </c>
    </row>
    <row r="1615" spans="1:9" x14ac:dyDescent="0.25">
      <c r="A1615" t="s">
        <v>96</v>
      </c>
      <c r="B1615" t="s">
        <v>106</v>
      </c>
      <c r="C1615" t="s">
        <v>95</v>
      </c>
      <c r="D1615" t="s">
        <v>91</v>
      </c>
      <c r="E1615" t="s">
        <v>110</v>
      </c>
      <c r="F1615" s="6">
        <v>0.51041666666666663</v>
      </c>
      <c r="G1615">
        <v>0</v>
      </c>
      <c r="H1615" s="6">
        <f>FLOOR(tblPivotData[[#This Row],[Time]],Summary!$B$6/1440)</f>
        <v>0.51041666666666663</v>
      </c>
      <c r="I1615" s="49">
        <f>INDEX(PeakCalc!$L$10:$L$303,MATCH(tblPivotData[[#This Row],[Time]],PeakCalc!$G$10:$G$303,0))</f>
        <v>0</v>
      </c>
    </row>
    <row r="1616" spans="1:9" x14ac:dyDescent="0.25">
      <c r="A1616" t="s">
        <v>96</v>
      </c>
      <c r="B1616" t="s">
        <v>106</v>
      </c>
      <c r="C1616" t="s">
        <v>95</v>
      </c>
      <c r="D1616" t="s">
        <v>91</v>
      </c>
      <c r="E1616" t="s">
        <v>110</v>
      </c>
      <c r="F1616" s="6">
        <v>0.52083333333333337</v>
      </c>
      <c r="G1616">
        <v>0</v>
      </c>
      <c r="H1616" s="6">
        <f>FLOOR(tblPivotData[[#This Row],[Time]],Summary!$B$6/1440)</f>
        <v>0.52083333333333326</v>
      </c>
      <c r="I1616" s="49">
        <f>INDEX(PeakCalc!$L$10:$L$303,MATCH(tblPivotData[[#This Row],[Time]],PeakCalc!$G$10:$G$303,0))</f>
        <v>1</v>
      </c>
    </row>
    <row r="1617" spans="1:9" x14ac:dyDescent="0.25">
      <c r="A1617" t="s">
        <v>96</v>
      </c>
      <c r="B1617" t="s">
        <v>106</v>
      </c>
      <c r="C1617" t="s">
        <v>95</v>
      </c>
      <c r="D1617" t="s">
        <v>91</v>
      </c>
      <c r="E1617" t="s">
        <v>110</v>
      </c>
      <c r="F1617" s="6">
        <v>0.53125</v>
      </c>
      <c r="G1617">
        <v>0</v>
      </c>
      <c r="H1617" s="6">
        <f>FLOOR(tblPivotData[[#This Row],[Time]],Summary!$B$6/1440)</f>
        <v>0.53125</v>
      </c>
      <c r="I1617" s="49">
        <f>INDEX(PeakCalc!$L$10:$L$303,MATCH(tblPivotData[[#This Row],[Time]],PeakCalc!$G$10:$G$303,0))</f>
        <v>1</v>
      </c>
    </row>
    <row r="1618" spans="1:9" x14ac:dyDescent="0.25">
      <c r="A1618" t="s">
        <v>96</v>
      </c>
      <c r="B1618" t="s">
        <v>106</v>
      </c>
      <c r="C1618" t="s">
        <v>95</v>
      </c>
      <c r="D1618" t="s">
        <v>91</v>
      </c>
      <c r="E1618" t="s">
        <v>110</v>
      </c>
      <c r="F1618" s="6">
        <v>0.54166666666666663</v>
      </c>
      <c r="G1618">
        <v>0</v>
      </c>
      <c r="H1618" s="6">
        <f>FLOOR(tblPivotData[[#This Row],[Time]],Summary!$B$6/1440)</f>
        <v>0.54166666666666663</v>
      </c>
      <c r="I1618" s="49">
        <f>INDEX(PeakCalc!$L$10:$L$303,MATCH(tblPivotData[[#This Row],[Time]],PeakCalc!$G$10:$G$303,0))</f>
        <v>1</v>
      </c>
    </row>
    <row r="1619" spans="1:9" x14ac:dyDescent="0.25">
      <c r="A1619" t="s">
        <v>96</v>
      </c>
      <c r="B1619" t="s">
        <v>106</v>
      </c>
      <c r="C1619" t="s">
        <v>95</v>
      </c>
      <c r="D1619" t="s">
        <v>91</v>
      </c>
      <c r="E1619" t="s">
        <v>110</v>
      </c>
      <c r="F1619" s="6">
        <v>0.55208333333333337</v>
      </c>
      <c r="G1619">
        <v>0</v>
      </c>
      <c r="H1619" s="6">
        <f>FLOOR(tblPivotData[[#This Row],[Time]],Summary!$B$6/1440)</f>
        <v>0.55208333333333326</v>
      </c>
      <c r="I1619" s="49">
        <f>INDEX(PeakCalc!$L$10:$L$303,MATCH(tblPivotData[[#This Row],[Time]],PeakCalc!$G$10:$G$303,0))</f>
        <v>1</v>
      </c>
    </row>
    <row r="1620" spans="1:9" x14ac:dyDescent="0.25">
      <c r="A1620" t="s">
        <v>96</v>
      </c>
      <c r="B1620" t="s">
        <v>106</v>
      </c>
      <c r="C1620" t="s">
        <v>95</v>
      </c>
      <c r="D1620" t="s">
        <v>91</v>
      </c>
      <c r="E1620" t="s">
        <v>110</v>
      </c>
      <c r="F1620" s="6">
        <v>0.5625</v>
      </c>
      <c r="G1620">
        <v>0</v>
      </c>
      <c r="H1620" s="6">
        <f>FLOOR(tblPivotData[[#This Row],[Time]],Summary!$B$6/1440)</f>
        <v>0.5625</v>
      </c>
      <c r="I1620" s="49">
        <f>INDEX(PeakCalc!$L$10:$L$303,MATCH(tblPivotData[[#This Row],[Time]],PeakCalc!$G$10:$G$303,0))</f>
        <v>0</v>
      </c>
    </row>
    <row r="1621" spans="1:9" x14ac:dyDescent="0.25">
      <c r="A1621" t="s">
        <v>96</v>
      </c>
      <c r="B1621" t="s">
        <v>106</v>
      </c>
      <c r="C1621" t="s">
        <v>95</v>
      </c>
      <c r="D1621" t="s">
        <v>91</v>
      </c>
      <c r="E1621" t="s">
        <v>110</v>
      </c>
      <c r="F1621" s="6">
        <v>0.57291666666666663</v>
      </c>
      <c r="G1621">
        <v>2</v>
      </c>
      <c r="H1621" s="6">
        <f>FLOOR(tblPivotData[[#This Row],[Time]],Summary!$B$6/1440)</f>
        <v>0.57291666666666663</v>
      </c>
      <c r="I1621" s="49">
        <f>INDEX(PeakCalc!$L$10:$L$303,MATCH(tblPivotData[[#This Row],[Time]],PeakCalc!$G$10:$G$303,0))</f>
        <v>0</v>
      </c>
    </row>
    <row r="1622" spans="1:9" x14ac:dyDescent="0.25">
      <c r="A1622" t="s">
        <v>96</v>
      </c>
      <c r="B1622" t="s">
        <v>106</v>
      </c>
      <c r="C1622" t="s">
        <v>95</v>
      </c>
      <c r="D1622" t="s">
        <v>91</v>
      </c>
      <c r="E1622" t="s">
        <v>44</v>
      </c>
      <c r="F1622" s="6">
        <v>0.625</v>
      </c>
      <c r="G1622">
        <v>0</v>
      </c>
      <c r="H1622" s="6">
        <f>FLOOR(tblPivotData[[#This Row],[Time]],Summary!$B$6/1440)</f>
        <v>0.625</v>
      </c>
      <c r="I1622" s="49">
        <f>INDEX(PeakCalc!$L$10:$L$303,MATCH(tblPivotData[[#This Row],[Time]],PeakCalc!$G$10:$G$303,0))</f>
        <v>0</v>
      </c>
    </row>
    <row r="1623" spans="1:9" x14ac:dyDescent="0.25">
      <c r="A1623" t="s">
        <v>96</v>
      </c>
      <c r="B1623" t="s">
        <v>106</v>
      </c>
      <c r="C1623" t="s">
        <v>95</v>
      </c>
      <c r="D1623" t="s">
        <v>91</v>
      </c>
      <c r="E1623" t="s">
        <v>44</v>
      </c>
      <c r="F1623" s="6">
        <v>0.63541666666666663</v>
      </c>
      <c r="G1623">
        <v>0</v>
      </c>
      <c r="H1623" s="6">
        <f>FLOOR(tblPivotData[[#This Row],[Time]],Summary!$B$6/1440)</f>
        <v>0.63541666666666663</v>
      </c>
      <c r="I1623" s="49">
        <f>INDEX(PeakCalc!$L$10:$L$303,MATCH(tblPivotData[[#This Row],[Time]],PeakCalc!$G$10:$G$303,0))</f>
        <v>0</v>
      </c>
    </row>
    <row r="1624" spans="1:9" x14ac:dyDescent="0.25">
      <c r="A1624" t="s">
        <v>96</v>
      </c>
      <c r="B1624" t="s">
        <v>106</v>
      </c>
      <c r="C1624" t="s">
        <v>95</v>
      </c>
      <c r="D1624" t="s">
        <v>91</v>
      </c>
      <c r="E1624" t="s">
        <v>44</v>
      </c>
      <c r="F1624" s="6">
        <v>0.64583333333333337</v>
      </c>
      <c r="G1624">
        <v>0</v>
      </c>
      <c r="H1624" s="6">
        <f>FLOOR(tblPivotData[[#This Row],[Time]],Summary!$B$6/1440)</f>
        <v>0.64583333333333326</v>
      </c>
      <c r="I1624" s="49">
        <f>INDEX(PeakCalc!$L$10:$L$303,MATCH(tblPivotData[[#This Row],[Time]],PeakCalc!$G$10:$G$303,0))</f>
        <v>0</v>
      </c>
    </row>
    <row r="1625" spans="1:9" x14ac:dyDescent="0.25">
      <c r="A1625" t="s">
        <v>96</v>
      </c>
      <c r="B1625" t="s">
        <v>106</v>
      </c>
      <c r="C1625" t="s">
        <v>95</v>
      </c>
      <c r="D1625" t="s">
        <v>91</v>
      </c>
      <c r="E1625" t="s">
        <v>44</v>
      </c>
      <c r="F1625" s="6">
        <v>0.65625</v>
      </c>
      <c r="G1625">
        <v>1</v>
      </c>
      <c r="H1625" s="6">
        <f>FLOOR(tblPivotData[[#This Row],[Time]],Summary!$B$6/1440)</f>
        <v>0.65625</v>
      </c>
      <c r="I1625" s="49">
        <f>INDEX(PeakCalc!$L$10:$L$303,MATCH(tblPivotData[[#This Row],[Time]],PeakCalc!$G$10:$G$303,0))</f>
        <v>0</v>
      </c>
    </row>
    <row r="1626" spans="1:9" x14ac:dyDescent="0.25">
      <c r="A1626" t="s">
        <v>96</v>
      </c>
      <c r="B1626" t="s">
        <v>106</v>
      </c>
      <c r="C1626" t="s">
        <v>95</v>
      </c>
      <c r="D1626" t="s">
        <v>91</v>
      </c>
      <c r="E1626" t="s">
        <v>44</v>
      </c>
      <c r="F1626" s="6">
        <v>0.66666666666666663</v>
      </c>
      <c r="G1626">
        <v>0</v>
      </c>
      <c r="H1626" s="6">
        <f>FLOOR(tblPivotData[[#This Row],[Time]],Summary!$B$6/1440)</f>
        <v>0.66666666666666663</v>
      </c>
      <c r="I1626" s="49">
        <f>INDEX(PeakCalc!$L$10:$L$303,MATCH(tblPivotData[[#This Row],[Time]],PeakCalc!$G$10:$G$303,0))</f>
        <v>0</v>
      </c>
    </row>
    <row r="1627" spans="1:9" x14ac:dyDescent="0.25">
      <c r="A1627" t="s">
        <v>96</v>
      </c>
      <c r="B1627" t="s">
        <v>106</v>
      </c>
      <c r="C1627" t="s">
        <v>95</v>
      </c>
      <c r="D1627" t="s">
        <v>91</v>
      </c>
      <c r="E1627" t="s">
        <v>44</v>
      </c>
      <c r="F1627" s="6">
        <v>0.67708333333333337</v>
      </c>
      <c r="G1627">
        <v>0</v>
      </c>
      <c r="H1627" s="6">
        <f>FLOOR(tblPivotData[[#This Row],[Time]],Summary!$B$6/1440)</f>
        <v>0.67708333333333326</v>
      </c>
      <c r="I1627" s="49">
        <f>INDEX(PeakCalc!$L$10:$L$303,MATCH(tblPivotData[[#This Row],[Time]],PeakCalc!$G$10:$G$303,0))</f>
        <v>0</v>
      </c>
    </row>
    <row r="1628" spans="1:9" x14ac:dyDescent="0.25">
      <c r="A1628" t="s">
        <v>96</v>
      </c>
      <c r="B1628" t="s">
        <v>106</v>
      </c>
      <c r="C1628" t="s">
        <v>95</v>
      </c>
      <c r="D1628" t="s">
        <v>91</v>
      </c>
      <c r="E1628" t="s">
        <v>44</v>
      </c>
      <c r="F1628" s="6">
        <v>0.6875</v>
      </c>
      <c r="G1628">
        <v>0</v>
      </c>
      <c r="H1628" s="6">
        <f>FLOOR(tblPivotData[[#This Row],[Time]],Summary!$B$6/1440)</f>
        <v>0.6875</v>
      </c>
      <c r="I1628" s="49">
        <f>INDEX(PeakCalc!$L$10:$L$303,MATCH(tblPivotData[[#This Row],[Time]],PeakCalc!$G$10:$G$303,0))</f>
        <v>1</v>
      </c>
    </row>
    <row r="1629" spans="1:9" x14ac:dyDescent="0.25">
      <c r="A1629" t="s">
        <v>96</v>
      </c>
      <c r="B1629" t="s">
        <v>106</v>
      </c>
      <c r="C1629" t="s">
        <v>95</v>
      </c>
      <c r="D1629" t="s">
        <v>91</v>
      </c>
      <c r="E1629" t="s">
        <v>44</v>
      </c>
      <c r="F1629" s="6">
        <v>0.69791666666666663</v>
      </c>
      <c r="G1629">
        <v>0</v>
      </c>
      <c r="H1629" s="6">
        <f>FLOOR(tblPivotData[[#This Row],[Time]],Summary!$B$6/1440)</f>
        <v>0.69791666666666663</v>
      </c>
      <c r="I1629" s="49">
        <f>INDEX(PeakCalc!$L$10:$L$303,MATCH(tblPivotData[[#This Row],[Time]],PeakCalc!$G$10:$G$303,0))</f>
        <v>1</v>
      </c>
    </row>
    <row r="1630" spans="1:9" x14ac:dyDescent="0.25">
      <c r="A1630" t="s">
        <v>96</v>
      </c>
      <c r="B1630" t="s">
        <v>106</v>
      </c>
      <c r="C1630" t="s">
        <v>95</v>
      </c>
      <c r="D1630" t="s">
        <v>91</v>
      </c>
      <c r="E1630" t="s">
        <v>44</v>
      </c>
      <c r="F1630" s="6">
        <v>0.70833333333333337</v>
      </c>
      <c r="G1630">
        <v>0</v>
      </c>
      <c r="H1630" s="6">
        <f>FLOOR(tblPivotData[[#This Row],[Time]],Summary!$B$6/1440)</f>
        <v>0.70833333333333326</v>
      </c>
      <c r="I1630" s="49">
        <f>INDEX(PeakCalc!$L$10:$L$303,MATCH(tblPivotData[[#This Row],[Time]],PeakCalc!$G$10:$G$303,0))</f>
        <v>1</v>
      </c>
    </row>
    <row r="1631" spans="1:9" x14ac:dyDescent="0.25">
      <c r="A1631" t="s">
        <v>96</v>
      </c>
      <c r="B1631" t="s">
        <v>106</v>
      </c>
      <c r="C1631" t="s">
        <v>95</v>
      </c>
      <c r="D1631" t="s">
        <v>91</v>
      </c>
      <c r="E1631" t="s">
        <v>44</v>
      </c>
      <c r="F1631" s="6">
        <v>0.71875</v>
      </c>
      <c r="G1631">
        <v>1</v>
      </c>
      <c r="H1631" s="6">
        <f>FLOOR(tblPivotData[[#This Row],[Time]],Summary!$B$6/1440)</f>
        <v>0.71875</v>
      </c>
      <c r="I1631" s="49">
        <f>INDEX(PeakCalc!$L$10:$L$303,MATCH(tblPivotData[[#This Row],[Time]],PeakCalc!$G$10:$G$303,0))</f>
        <v>1</v>
      </c>
    </row>
    <row r="1632" spans="1:9" x14ac:dyDescent="0.25">
      <c r="A1632" t="s">
        <v>96</v>
      </c>
      <c r="B1632" t="s">
        <v>106</v>
      </c>
      <c r="C1632" t="s">
        <v>95</v>
      </c>
      <c r="D1632" t="s">
        <v>91</v>
      </c>
      <c r="E1632" t="s">
        <v>44</v>
      </c>
      <c r="F1632" s="6">
        <v>0.72916666666666663</v>
      </c>
      <c r="G1632">
        <v>1</v>
      </c>
      <c r="H1632" s="6">
        <f>FLOOR(tblPivotData[[#This Row],[Time]],Summary!$B$6/1440)</f>
        <v>0.72916666666666663</v>
      </c>
      <c r="I1632" s="49">
        <f>INDEX(PeakCalc!$L$10:$L$303,MATCH(tblPivotData[[#This Row],[Time]],PeakCalc!$G$10:$G$303,0))</f>
        <v>0</v>
      </c>
    </row>
    <row r="1633" spans="1:9" x14ac:dyDescent="0.25">
      <c r="A1633" t="s">
        <v>96</v>
      </c>
      <c r="B1633" t="s">
        <v>106</v>
      </c>
      <c r="C1633" t="s">
        <v>95</v>
      </c>
      <c r="D1633" t="s">
        <v>91</v>
      </c>
      <c r="E1633" t="s">
        <v>44</v>
      </c>
      <c r="F1633" s="6">
        <v>0.73958333333333337</v>
      </c>
      <c r="G1633">
        <v>0</v>
      </c>
      <c r="H1633" s="6">
        <f>FLOOR(tblPivotData[[#This Row],[Time]],Summary!$B$6/1440)</f>
        <v>0.73958333333333326</v>
      </c>
      <c r="I1633" s="49">
        <f>INDEX(PeakCalc!$L$10:$L$303,MATCH(tblPivotData[[#This Row],[Time]],PeakCalc!$G$10:$G$303,0))</f>
        <v>0</v>
      </c>
    </row>
    <row r="1634" spans="1:9" x14ac:dyDescent="0.25">
      <c r="A1634" t="s">
        <v>96</v>
      </c>
      <c r="B1634" t="s">
        <v>106</v>
      </c>
      <c r="C1634" t="s">
        <v>95</v>
      </c>
      <c r="D1634" t="s">
        <v>91</v>
      </c>
      <c r="E1634" t="s">
        <v>44</v>
      </c>
      <c r="F1634" s="6">
        <v>0.75</v>
      </c>
      <c r="G1634">
        <v>0</v>
      </c>
      <c r="H1634" s="6">
        <f>FLOOR(tblPivotData[[#This Row],[Time]],Summary!$B$6/1440)</f>
        <v>0.75</v>
      </c>
      <c r="I1634" s="49">
        <f>INDEX(PeakCalc!$L$10:$L$303,MATCH(tblPivotData[[#This Row],[Time]],PeakCalc!$G$10:$G$303,0))</f>
        <v>0</v>
      </c>
    </row>
    <row r="1635" spans="1:9" x14ac:dyDescent="0.25">
      <c r="A1635" t="s">
        <v>96</v>
      </c>
      <c r="B1635" t="s">
        <v>106</v>
      </c>
      <c r="C1635" t="s">
        <v>95</v>
      </c>
      <c r="D1635" t="s">
        <v>91</v>
      </c>
      <c r="E1635" t="s">
        <v>44</v>
      </c>
      <c r="F1635" s="6">
        <v>0.76041666666666663</v>
      </c>
      <c r="G1635">
        <v>0</v>
      </c>
      <c r="H1635" s="6">
        <f>FLOOR(tblPivotData[[#This Row],[Time]],Summary!$B$6/1440)</f>
        <v>0.76041666666666663</v>
      </c>
      <c r="I1635" s="49">
        <f>INDEX(PeakCalc!$L$10:$L$303,MATCH(tblPivotData[[#This Row],[Time]],PeakCalc!$G$10:$G$303,0))</f>
        <v>0</v>
      </c>
    </row>
    <row r="1636" spans="1:9" x14ac:dyDescent="0.25">
      <c r="A1636" t="s">
        <v>96</v>
      </c>
      <c r="B1636" t="s">
        <v>106</v>
      </c>
      <c r="C1636" t="s">
        <v>95</v>
      </c>
      <c r="D1636" t="s">
        <v>92</v>
      </c>
      <c r="E1636" t="s">
        <v>43</v>
      </c>
      <c r="F1636" s="6">
        <v>0.27083333333333331</v>
      </c>
      <c r="G1636">
        <v>0</v>
      </c>
      <c r="H1636" s="6">
        <f>FLOOR(tblPivotData[[#This Row],[Time]],Summary!$B$6/1440)</f>
        <v>0.27083333333333331</v>
      </c>
      <c r="I1636" s="49">
        <f>INDEX(PeakCalc!$L$10:$L$303,MATCH(tblPivotData[[#This Row],[Time]],PeakCalc!$G$10:$G$303,0))</f>
        <v>0</v>
      </c>
    </row>
    <row r="1637" spans="1:9" x14ac:dyDescent="0.25">
      <c r="A1637" t="s">
        <v>96</v>
      </c>
      <c r="B1637" t="s">
        <v>106</v>
      </c>
      <c r="C1637" t="s">
        <v>95</v>
      </c>
      <c r="D1637" t="s">
        <v>92</v>
      </c>
      <c r="E1637" t="s">
        <v>43</v>
      </c>
      <c r="F1637" s="6">
        <v>0.28125</v>
      </c>
      <c r="G1637">
        <v>0</v>
      </c>
      <c r="H1637" s="6">
        <f>FLOOR(tblPivotData[[#This Row],[Time]],Summary!$B$6/1440)</f>
        <v>0.28125</v>
      </c>
      <c r="I1637" s="49">
        <f>INDEX(PeakCalc!$L$10:$L$303,MATCH(tblPivotData[[#This Row],[Time]],PeakCalc!$G$10:$G$303,0))</f>
        <v>0</v>
      </c>
    </row>
    <row r="1638" spans="1:9" x14ac:dyDescent="0.25">
      <c r="A1638" t="s">
        <v>96</v>
      </c>
      <c r="B1638" t="s">
        <v>106</v>
      </c>
      <c r="C1638" t="s">
        <v>95</v>
      </c>
      <c r="D1638" t="s">
        <v>92</v>
      </c>
      <c r="E1638" t="s">
        <v>43</v>
      </c>
      <c r="F1638" s="6">
        <v>0.29166666666666669</v>
      </c>
      <c r="G1638">
        <v>0</v>
      </c>
      <c r="H1638" s="6">
        <f>FLOOR(tblPivotData[[#This Row],[Time]],Summary!$B$6/1440)</f>
        <v>0.29166666666666663</v>
      </c>
      <c r="I1638" s="49">
        <f>INDEX(PeakCalc!$L$10:$L$303,MATCH(tblPivotData[[#This Row],[Time]],PeakCalc!$G$10:$G$303,0))</f>
        <v>0</v>
      </c>
    </row>
    <row r="1639" spans="1:9" x14ac:dyDescent="0.25">
      <c r="A1639" t="s">
        <v>96</v>
      </c>
      <c r="B1639" t="s">
        <v>106</v>
      </c>
      <c r="C1639" t="s">
        <v>95</v>
      </c>
      <c r="D1639" t="s">
        <v>92</v>
      </c>
      <c r="E1639" t="s">
        <v>43</v>
      </c>
      <c r="F1639" s="6">
        <v>0.30208333333333331</v>
      </c>
      <c r="G1639">
        <v>0</v>
      </c>
      <c r="H1639" s="6">
        <f>FLOOR(tblPivotData[[#This Row],[Time]],Summary!$B$6/1440)</f>
        <v>0.30208333333333331</v>
      </c>
      <c r="I1639" s="49">
        <f>INDEX(PeakCalc!$L$10:$L$303,MATCH(tblPivotData[[#This Row],[Time]],PeakCalc!$G$10:$G$303,0))</f>
        <v>0</v>
      </c>
    </row>
    <row r="1640" spans="1:9" x14ac:dyDescent="0.25">
      <c r="A1640" t="s">
        <v>96</v>
      </c>
      <c r="B1640" t="s">
        <v>106</v>
      </c>
      <c r="C1640" t="s">
        <v>95</v>
      </c>
      <c r="D1640" t="s">
        <v>92</v>
      </c>
      <c r="E1640" t="s">
        <v>43</v>
      </c>
      <c r="F1640" s="6">
        <v>0.3125</v>
      </c>
      <c r="G1640">
        <v>0</v>
      </c>
      <c r="H1640" s="6">
        <f>FLOOR(tblPivotData[[#This Row],[Time]],Summary!$B$6/1440)</f>
        <v>0.3125</v>
      </c>
      <c r="I1640" s="49">
        <f>INDEX(PeakCalc!$L$10:$L$303,MATCH(tblPivotData[[#This Row],[Time]],PeakCalc!$G$10:$G$303,0))</f>
        <v>0</v>
      </c>
    </row>
    <row r="1641" spans="1:9" x14ac:dyDescent="0.25">
      <c r="A1641" t="s">
        <v>96</v>
      </c>
      <c r="B1641" t="s">
        <v>106</v>
      </c>
      <c r="C1641" t="s">
        <v>95</v>
      </c>
      <c r="D1641" t="s">
        <v>92</v>
      </c>
      <c r="E1641" t="s">
        <v>43</v>
      </c>
      <c r="F1641" s="6">
        <v>0.32291666666666669</v>
      </c>
      <c r="G1641">
        <v>0</v>
      </c>
      <c r="H1641" s="6">
        <f>FLOOR(tblPivotData[[#This Row],[Time]],Summary!$B$6/1440)</f>
        <v>0.32291666666666663</v>
      </c>
      <c r="I1641" s="49">
        <f>INDEX(PeakCalc!$L$10:$L$303,MATCH(tblPivotData[[#This Row],[Time]],PeakCalc!$G$10:$G$303,0))</f>
        <v>1</v>
      </c>
    </row>
    <row r="1642" spans="1:9" x14ac:dyDescent="0.25">
      <c r="A1642" t="s">
        <v>96</v>
      </c>
      <c r="B1642" t="s">
        <v>106</v>
      </c>
      <c r="C1642" t="s">
        <v>95</v>
      </c>
      <c r="D1642" t="s">
        <v>92</v>
      </c>
      <c r="E1642" t="s">
        <v>43</v>
      </c>
      <c r="F1642" s="6">
        <v>0.33333333333333331</v>
      </c>
      <c r="G1642">
        <v>0</v>
      </c>
      <c r="H1642" s="6">
        <f>FLOOR(tblPivotData[[#This Row],[Time]],Summary!$B$6/1440)</f>
        <v>0.33333333333333331</v>
      </c>
      <c r="I1642" s="49">
        <f>INDEX(PeakCalc!$L$10:$L$303,MATCH(tblPivotData[[#This Row],[Time]],PeakCalc!$G$10:$G$303,0))</f>
        <v>1</v>
      </c>
    </row>
    <row r="1643" spans="1:9" x14ac:dyDescent="0.25">
      <c r="A1643" t="s">
        <v>96</v>
      </c>
      <c r="B1643" t="s">
        <v>106</v>
      </c>
      <c r="C1643" t="s">
        <v>95</v>
      </c>
      <c r="D1643" t="s">
        <v>92</v>
      </c>
      <c r="E1643" t="s">
        <v>43</v>
      </c>
      <c r="F1643" s="6">
        <v>0.34375</v>
      </c>
      <c r="G1643">
        <v>0</v>
      </c>
      <c r="H1643" s="6">
        <f>FLOOR(tblPivotData[[#This Row],[Time]],Summary!$B$6/1440)</f>
        <v>0.34375</v>
      </c>
      <c r="I1643" s="49">
        <f>INDEX(PeakCalc!$L$10:$L$303,MATCH(tblPivotData[[#This Row],[Time]],PeakCalc!$G$10:$G$303,0))</f>
        <v>1</v>
      </c>
    </row>
    <row r="1644" spans="1:9" x14ac:dyDescent="0.25">
      <c r="A1644" t="s">
        <v>96</v>
      </c>
      <c r="B1644" t="s">
        <v>106</v>
      </c>
      <c r="C1644" t="s">
        <v>95</v>
      </c>
      <c r="D1644" t="s">
        <v>92</v>
      </c>
      <c r="E1644" t="s">
        <v>43</v>
      </c>
      <c r="F1644" s="6">
        <v>0.35416666666666669</v>
      </c>
      <c r="G1644">
        <v>0</v>
      </c>
      <c r="H1644" s="6">
        <f>FLOOR(tblPivotData[[#This Row],[Time]],Summary!$B$6/1440)</f>
        <v>0.35416666666666663</v>
      </c>
      <c r="I1644" s="49">
        <f>INDEX(PeakCalc!$L$10:$L$303,MATCH(tblPivotData[[#This Row],[Time]],PeakCalc!$G$10:$G$303,0))</f>
        <v>1</v>
      </c>
    </row>
    <row r="1645" spans="1:9" x14ac:dyDescent="0.25">
      <c r="A1645" t="s">
        <v>96</v>
      </c>
      <c r="B1645" t="s">
        <v>106</v>
      </c>
      <c r="C1645" t="s">
        <v>95</v>
      </c>
      <c r="D1645" t="s">
        <v>92</v>
      </c>
      <c r="E1645" t="s">
        <v>43</v>
      </c>
      <c r="F1645" s="6">
        <v>0.36458333333333331</v>
      </c>
      <c r="G1645">
        <v>0</v>
      </c>
      <c r="H1645" s="6">
        <f>FLOOR(tblPivotData[[#This Row],[Time]],Summary!$B$6/1440)</f>
        <v>0.36458333333333331</v>
      </c>
      <c r="I1645" s="49">
        <f>INDEX(PeakCalc!$L$10:$L$303,MATCH(tblPivotData[[#This Row],[Time]],PeakCalc!$G$10:$G$303,0))</f>
        <v>0</v>
      </c>
    </row>
    <row r="1646" spans="1:9" x14ac:dyDescent="0.25">
      <c r="A1646" t="s">
        <v>96</v>
      </c>
      <c r="B1646" t="s">
        <v>106</v>
      </c>
      <c r="C1646" t="s">
        <v>95</v>
      </c>
      <c r="D1646" t="s">
        <v>92</v>
      </c>
      <c r="E1646" t="s">
        <v>43</v>
      </c>
      <c r="F1646" s="6">
        <v>0.375</v>
      </c>
      <c r="G1646">
        <v>0</v>
      </c>
      <c r="H1646" s="6">
        <f>FLOOR(tblPivotData[[#This Row],[Time]],Summary!$B$6/1440)</f>
        <v>0.375</v>
      </c>
      <c r="I1646" s="49">
        <f>INDEX(PeakCalc!$L$10:$L$303,MATCH(tblPivotData[[#This Row],[Time]],PeakCalc!$G$10:$G$303,0))</f>
        <v>0</v>
      </c>
    </row>
    <row r="1647" spans="1:9" x14ac:dyDescent="0.25">
      <c r="A1647" t="s">
        <v>96</v>
      </c>
      <c r="B1647" t="s">
        <v>106</v>
      </c>
      <c r="C1647" t="s">
        <v>95</v>
      </c>
      <c r="D1647" t="s">
        <v>92</v>
      </c>
      <c r="E1647" t="s">
        <v>43</v>
      </c>
      <c r="F1647" s="6">
        <v>0.38541666666666669</v>
      </c>
      <c r="G1647">
        <v>0</v>
      </c>
      <c r="H1647" s="6">
        <f>FLOOR(tblPivotData[[#This Row],[Time]],Summary!$B$6/1440)</f>
        <v>0.38541666666666663</v>
      </c>
      <c r="I1647" s="49">
        <f>INDEX(PeakCalc!$L$10:$L$303,MATCH(tblPivotData[[#This Row],[Time]],PeakCalc!$G$10:$G$303,0))</f>
        <v>0</v>
      </c>
    </row>
    <row r="1648" spans="1:9" x14ac:dyDescent="0.25">
      <c r="A1648" t="s">
        <v>96</v>
      </c>
      <c r="B1648" t="s">
        <v>106</v>
      </c>
      <c r="C1648" t="s">
        <v>95</v>
      </c>
      <c r="D1648" t="s">
        <v>92</v>
      </c>
      <c r="E1648" t="s">
        <v>110</v>
      </c>
      <c r="F1648" s="6">
        <v>0.45833333333333331</v>
      </c>
      <c r="G1648">
        <v>0</v>
      </c>
      <c r="H1648" s="6">
        <f>FLOOR(tblPivotData[[#This Row],[Time]],Summary!$B$6/1440)</f>
        <v>0.45833333333333331</v>
      </c>
      <c r="I1648" s="49">
        <f>INDEX(PeakCalc!$L$10:$L$303,MATCH(tblPivotData[[#This Row],[Time]],PeakCalc!$G$10:$G$303,0))</f>
        <v>0</v>
      </c>
    </row>
    <row r="1649" spans="1:9" x14ac:dyDescent="0.25">
      <c r="A1649" t="s">
        <v>96</v>
      </c>
      <c r="B1649" t="s">
        <v>106</v>
      </c>
      <c r="C1649" t="s">
        <v>95</v>
      </c>
      <c r="D1649" t="s">
        <v>92</v>
      </c>
      <c r="E1649" t="s">
        <v>110</v>
      </c>
      <c r="F1649" s="6">
        <v>0.46875</v>
      </c>
      <c r="G1649">
        <v>0</v>
      </c>
      <c r="H1649" s="6">
        <f>FLOOR(tblPivotData[[#This Row],[Time]],Summary!$B$6/1440)</f>
        <v>0.46875</v>
      </c>
      <c r="I1649" s="49">
        <f>INDEX(PeakCalc!$L$10:$L$303,MATCH(tblPivotData[[#This Row],[Time]],PeakCalc!$G$10:$G$303,0))</f>
        <v>0</v>
      </c>
    </row>
    <row r="1650" spans="1:9" x14ac:dyDescent="0.25">
      <c r="A1650" t="s">
        <v>96</v>
      </c>
      <c r="B1650" t="s">
        <v>106</v>
      </c>
      <c r="C1650" t="s">
        <v>95</v>
      </c>
      <c r="D1650" t="s">
        <v>92</v>
      </c>
      <c r="E1650" t="s">
        <v>110</v>
      </c>
      <c r="F1650" s="6">
        <v>0.47916666666666669</v>
      </c>
      <c r="G1650">
        <v>0</v>
      </c>
      <c r="H1650" s="6">
        <f>FLOOR(tblPivotData[[#This Row],[Time]],Summary!$B$6/1440)</f>
        <v>0.47916666666666663</v>
      </c>
      <c r="I1650" s="49">
        <f>INDEX(PeakCalc!$L$10:$L$303,MATCH(tblPivotData[[#This Row],[Time]],PeakCalc!$G$10:$G$303,0))</f>
        <v>0</v>
      </c>
    </row>
    <row r="1651" spans="1:9" x14ac:dyDescent="0.25">
      <c r="A1651" t="s">
        <v>96</v>
      </c>
      <c r="B1651" t="s">
        <v>106</v>
      </c>
      <c r="C1651" t="s">
        <v>95</v>
      </c>
      <c r="D1651" t="s">
        <v>92</v>
      </c>
      <c r="E1651" t="s">
        <v>110</v>
      </c>
      <c r="F1651" s="6">
        <v>0.48958333333333331</v>
      </c>
      <c r="G1651">
        <v>0</v>
      </c>
      <c r="H1651" s="6">
        <f>FLOOR(tblPivotData[[#This Row],[Time]],Summary!$B$6/1440)</f>
        <v>0.48958333333333331</v>
      </c>
      <c r="I1651" s="49">
        <f>INDEX(PeakCalc!$L$10:$L$303,MATCH(tblPivotData[[#This Row],[Time]],PeakCalc!$G$10:$G$303,0))</f>
        <v>0</v>
      </c>
    </row>
    <row r="1652" spans="1:9" x14ac:dyDescent="0.25">
      <c r="A1652" t="s">
        <v>96</v>
      </c>
      <c r="B1652" t="s">
        <v>106</v>
      </c>
      <c r="C1652" t="s">
        <v>95</v>
      </c>
      <c r="D1652" t="s">
        <v>92</v>
      </c>
      <c r="E1652" t="s">
        <v>110</v>
      </c>
      <c r="F1652" s="6">
        <v>0.5</v>
      </c>
      <c r="G1652">
        <v>0</v>
      </c>
      <c r="H1652" s="6">
        <f>FLOOR(tblPivotData[[#This Row],[Time]],Summary!$B$6/1440)</f>
        <v>0.5</v>
      </c>
      <c r="I1652" s="49">
        <f>INDEX(PeakCalc!$L$10:$L$303,MATCH(tblPivotData[[#This Row],[Time]],PeakCalc!$G$10:$G$303,0))</f>
        <v>0</v>
      </c>
    </row>
    <row r="1653" spans="1:9" x14ac:dyDescent="0.25">
      <c r="A1653" t="s">
        <v>96</v>
      </c>
      <c r="B1653" t="s">
        <v>106</v>
      </c>
      <c r="C1653" t="s">
        <v>95</v>
      </c>
      <c r="D1653" t="s">
        <v>92</v>
      </c>
      <c r="E1653" t="s">
        <v>110</v>
      </c>
      <c r="F1653" s="6">
        <v>0.51041666666666663</v>
      </c>
      <c r="G1653">
        <v>0</v>
      </c>
      <c r="H1653" s="6">
        <f>FLOOR(tblPivotData[[#This Row],[Time]],Summary!$B$6/1440)</f>
        <v>0.51041666666666663</v>
      </c>
      <c r="I1653" s="49">
        <f>INDEX(PeakCalc!$L$10:$L$303,MATCH(tblPivotData[[#This Row],[Time]],PeakCalc!$G$10:$G$303,0))</f>
        <v>0</v>
      </c>
    </row>
    <row r="1654" spans="1:9" x14ac:dyDescent="0.25">
      <c r="A1654" t="s">
        <v>96</v>
      </c>
      <c r="B1654" t="s">
        <v>106</v>
      </c>
      <c r="C1654" t="s">
        <v>95</v>
      </c>
      <c r="D1654" t="s">
        <v>92</v>
      </c>
      <c r="E1654" t="s">
        <v>110</v>
      </c>
      <c r="F1654" s="6">
        <v>0.52083333333333337</v>
      </c>
      <c r="G1654">
        <v>0</v>
      </c>
      <c r="H1654" s="6">
        <f>FLOOR(tblPivotData[[#This Row],[Time]],Summary!$B$6/1440)</f>
        <v>0.52083333333333326</v>
      </c>
      <c r="I1654" s="49">
        <f>INDEX(PeakCalc!$L$10:$L$303,MATCH(tblPivotData[[#This Row],[Time]],PeakCalc!$G$10:$G$303,0))</f>
        <v>1</v>
      </c>
    </row>
    <row r="1655" spans="1:9" x14ac:dyDescent="0.25">
      <c r="A1655" t="s">
        <v>96</v>
      </c>
      <c r="B1655" t="s">
        <v>106</v>
      </c>
      <c r="C1655" t="s">
        <v>95</v>
      </c>
      <c r="D1655" t="s">
        <v>92</v>
      </c>
      <c r="E1655" t="s">
        <v>110</v>
      </c>
      <c r="F1655" s="6">
        <v>0.53125</v>
      </c>
      <c r="G1655">
        <v>0</v>
      </c>
      <c r="H1655" s="6">
        <f>FLOOR(tblPivotData[[#This Row],[Time]],Summary!$B$6/1440)</f>
        <v>0.53125</v>
      </c>
      <c r="I1655" s="49">
        <f>INDEX(PeakCalc!$L$10:$L$303,MATCH(tblPivotData[[#This Row],[Time]],PeakCalc!$G$10:$G$303,0))</f>
        <v>1</v>
      </c>
    </row>
    <row r="1656" spans="1:9" x14ac:dyDescent="0.25">
      <c r="A1656" t="s">
        <v>96</v>
      </c>
      <c r="B1656" t="s">
        <v>106</v>
      </c>
      <c r="C1656" t="s">
        <v>95</v>
      </c>
      <c r="D1656" t="s">
        <v>92</v>
      </c>
      <c r="E1656" t="s">
        <v>110</v>
      </c>
      <c r="F1656" s="6">
        <v>0.54166666666666663</v>
      </c>
      <c r="G1656">
        <v>0</v>
      </c>
      <c r="H1656" s="6">
        <f>FLOOR(tblPivotData[[#This Row],[Time]],Summary!$B$6/1440)</f>
        <v>0.54166666666666663</v>
      </c>
      <c r="I1656" s="49">
        <f>INDEX(PeakCalc!$L$10:$L$303,MATCH(tblPivotData[[#This Row],[Time]],PeakCalc!$G$10:$G$303,0))</f>
        <v>1</v>
      </c>
    </row>
    <row r="1657" spans="1:9" x14ac:dyDescent="0.25">
      <c r="A1657" t="s">
        <v>96</v>
      </c>
      <c r="B1657" t="s">
        <v>106</v>
      </c>
      <c r="C1657" t="s">
        <v>95</v>
      </c>
      <c r="D1657" t="s">
        <v>92</v>
      </c>
      <c r="E1657" t="s">
        <v>110</v>
      </c>
      <c r="F1657" s="6">
        <v>0.55208333333333337</v>
      </c>
      <c r="G1657">
        <v>0</v>
      </c>
      <c r="H1657" s="6">
        <f>FLOOR(tblPivotData[[#This Row],[Time]],Summary!$B$6/1440)</f>
        <v>0.55208333333333326</v>
      </c>
      <c r="I1657" s="49">
        <f>INDEX(PeakCalc!$L$10:$L$303,MATCH(tblPivotData[[#This Row],[Time]],PeakCalc!$G$10:$G$303,0))</f>
        <v>1</v>
      </c>
    </row>
    <row r="1658" spans="1:9" x14ac:dyDescent="0.25">
      <c r="A1658" t="s">
        <v>96</v>
      </c>
      <c r="B1658" t="s">
        <v>106</v>
      </c>
      <c r="C1658" t="s">
        <v>95</v>
      </c>
      <c r="D1658" t="s">
        <v>92</v>
      </c>
      <c r="E1658" t="s">
        <v>110</v>
      </c>
      <c r="F1658" s="6">
        <v>0.5625</v>
      </c>
      <c r="G1658">
        <v>0</v>
      </c>
      <c r="H1658" s="6">
        <f>FLOOR(tblPivotData[[#This Row],[Time]],Summary!$B$6/1440)</f>
        <v>0.5625</v>
      </c>
      <c r="I1658" s="49">
        <f>INDEX(PeakCalc!$L$10:$L$303,MATCH(tblPivotData[[#This Row],[Time]],PeakCalc!$G$10:$G$303,0))</f>
        <v>0</v>
      </c>
    </row>
    <row r="1659" spans="1:9" x14ac:dyDescent="0.25">
      <c r="A1659" t="s">
        <v>96</v>
      </c>
      <c r="B1659" t="s">
        <v>106</v>
      </c>
      <c r="C1659" t="s">
        <v>95</v>
      </c>
      <c r="D1659" t="s">
        <v>92</v>
      </c>
      <c r="E1659" t="s">
        <v>110</v>
      </c>
      <c r="F1659" s="6">
        <v>0.57291666666666663</v>
      </c>
      <c r="G1659">
        <v>0</v>
      </c>
      <c r="H1659" s="6">
        <f>FLOOR(tblPivotData[[#This Row],[Time]],Summary!$B$6/1440)</f>
        <v>0.57291666666666663</v>
      </c>
      <c r="I1659" s="49">
        <f>INDEX(PeakCalc!$L$10:$L$303,MATCH(tblPivotData[[#This Row],[Time]],PeakCalc!$G$10:$G$303,0))</f>
        <v>0</v>
      </c>
    </row>
    <row r="1660" spans="1:9" x14ac:dyDescent="0.25">
      <c r="A1660" t="s">
        <v>96</v>
      </c>
      <c r="B1660" t="s">
        <v>106</v>
      </c>
      <c r="C1660" t="s">
        <v>95</v>
      </c>
      <c r="D1660" t="s">
        <v>92</v>
      </c>
      <c r="E1660" t="s">
        <v>44</v>
      </c>
      <c r="F1660" s="6">
        <v>0.625</v>
      </c>
      <c r="G1660">
        <v>0</v>
      </c>
      <c r="H1660" s="6">
        <f>FLOOR(tblPivotData[[#This Row],[Time]],Summary!$B$6/1440)</f>
        <v>0.625</v>
      </c>
      <c r="I1660" s="49">
        <f>INDEX(PeakCalc!$L$10:$L$303,MATCH(tblPivotData[[#This Row],[Time]],PeakCalc!$G$10:$G$303,0))</f>
        <v>0</v>
      </c>
    </row>
    <row r="1661" spans="1:9" x14ac:dyDescent="0.25">
      <c r="A1661" t="s">
        <v>96</v>
      </c>
      <c r="B1661" t="s">
        <v>106</v>
      </c>
      <c r="C1661" t="s">
        <v>95</v>
      </c>
      <c r="D1661" t="s">
        <v>92</v>
      </c>
      <c r="E1661" t="s">
        <v>44</v>
      </c>
      <c r="F1661" s="6">
        <v>0.63541666666666663</v>
      </c>
      <c r="G1661">
        <v>0</v>
      </c>
      <c r="H1661" s="6">
        <f>FLOOR(tblPivotData[[#This Row],[Time]],Summary!$B$6/1440)</f>
        <v>0.63541666666666663</v>
      </c>
      <c r="I1661" s="49">
        <f>INDEX(PeakCalc!$L$10:$L$303,MATCH(tblPivotData[[#This Row],[Time]],PeakCalc!$G$10:$G$303,0))</f>
        <v>0</v>
      </c>
    </row>
    <row r="1662" spans="1:9" x14ac:dyDescent="0.25">
      <c r="A1662" t="s">
        <v>96</v>
      </c>
      <c r="B1662" t="s">
        <v>106</v>
      </c>
      <c r="C1662" t="s">
        <v>95</v>
      </c>
      <c r="D1662" t="s">
        <v>92</v>
      </c>
      <c r="E1662" t="s">
        <v>44</v>
      </c>
      <c r="F1662" s="6">
        <v>0.64583333333333337</v>
      </c>
      <c r="G1662">
        <v>0</v>
      </c>
      <c r="H1662" s="6">
        <f>FLOOR(tblPivotData[[#This Row],[Time]],Summary!$B$6/1440)</f>
        <v>0.64583333333333326</v>
      </c>
      <c r="I1662" s="49">
        <f>INDEX(PeakCalc!$L$10:$L$303,MATCH(tblPivotData[[#This Row],[Time]],PeakCalc!$G$10:$G$303,0))</f>
        <v>0</v>
      </c>
    </row>
    <row r="1663" spans="1:9" x14ac:dyDescent="0.25">
      <c r="A1663" t="s">
        <v>96</v>
      </c>
      <c r="B1663" t="s">
        <v>106</v>
      </c>
      <c r="C1663" t="s">
        <v>95</v>
      </c>
      <c r="D1663" t="s">
        <v>92</v>
      </c>
      <c r="E1663" t="s">
        <v>44</v>
      </c>
      <c r="F1663" s="6">
        <v>0.65625</v>
      </c>
      <c r="G1663">
        <v>0</v>
      </c>
      <c r="H1663" s="6">
        <f>FLOOR(tblPivotData[[#This Row],[Time]],Summary!$B$6/1440)</f>
        <v>0.65625</v>
      </c>
      <c r="I1663" s="49">
        <f>INDEX(PeakCalc!$L$10:$L$303,MATCH(tblPivotData[[#This Row],[Time]],PeakCalc!$G$10:$G$303,0))</f>
        <v>0</v>
      </c>
    </row>
    <row r="1664" spans="1:9" x14ac:dyDescent="0.25">
      <c r="A1664" t="s">
        <v>96</v>
      </c>
      <c r="B1664" t="s">
        <v>106</v>
      </c>
      <c r="C1664" t="s">
        <v>95</v>
      </c>
      <c r="D1664" t="s">
        <v>92</v>
      </c>
      <c r="E1664" t="s">
        <v>44</v>
      </c>
      <c r="F1664" s="6">
        <v>0.66666666666666663</v>
      </c>
      <c r="G1664">
        <v>0</v>
      </c>
      <c r="H1664" s="6">
        <f>FLOOR(tblPivotData[[#This Row],[Time]],Summary!$B$6/1440)</f>
        <v>0.66666666666666663</v>
      </c>
      <c r="I1664" s="49">
        <f>INDEX(PeakCalc!$L$10:$L$303,MATCH(tblPivotData[[#This Row],[Time]],PeakCalc!$G$10:$G$303,0))</f>
        <v>0</v>
      </c>
    </row>
    <row r="1665" spans="1:9" x14ac:dyDescent="0.25">
      <c r="A1665" t="s">
        <v>96</v>
      </c>
      <c r="B1665" t="s">
        <v>106</v>
      </c>
      <c r="C1665" t="s">
        <v>95</v>
      </c>
      <c r="D1665" t="s">
        <v>92</v>
      </c>
      <c r="E1665" t="s">
        <v>44</v>
      </c>
      <c r="F1665" s="6">
        <v>0.67708333333333337</v>
      </c>
      <c r="G1665">
        <v>0</v>
      </c>
      <c r="H1665" s="6">
        <f>FLOOR(tblPivotData[[#This Row],[Time]],Summary!$B$6/1440)</f>
        <v>0.67708333333333326</v>
      </c>
      <c r="I1665" s="49">
        <f>INDEX(PeakCalc!$L$10:$L$303,MATCH(tblPivotData[[#This Row],[Time]],PeakCalc!$G$10:$G$303,0))</f>
        <v>0</v>
      </c>
    </row>
    <row r="1666" spans="1:9" x14ac:dyDescent="0.25">
      <c r="A1666" t="s">
        <v>96</v>
      </c>
      <c r="B1666" t="s">
        <v>106</v>
      </c>
      <c r="C1666" t="s">
        <v>95</v>
      </c>
      <c r="D1666" t="s">
        <v>92</v>
      </c>
      <c r="E1666" t="s">
        <v>44</v>
      </c>
      <c r="F1666" s="6">
        <v>0.6875</v>
      </c>
      <c r="G1666">
        <v>0</v>
      </c>
      <c r="H1666" s="6">
        <f>FLOOR(tblPivotData[[#This Row],[Time]],Summary!$B$6/1440)</f>
        <v>0.6875</v>
      </c>
      <c r="I1666" s="49">
        <f>INDEX(PeakCalc!$L$10:$L$303,MATCH(tblPivotData[[#This Row],[Time]],PeakCalc!$G$10:$G$303,0))</f>
        <v>1</v>
      </c>
    </row>
    <row r="1667" spans="1:9" x14ac:dyDescent="0.25">
      <c r="A1667" t="s">
        <v>96</v>
      </c>
      <c r="B1667" t="s">
        <v>106</v>
      </c>
      <c r="C1667" t="s">
        <v>95</v>
      </c>
      <c r="D1667" t="s">
        <v>92</v>
      </c>
      <c r="E1667" t="s">
        <v>44</v>
      </c>
      <c r="F1667" s="6">
        <v>0.69791666666666663</v>
      </c>
      <c r="G1667">
        <v>0</v>
      </c>
      <c r="H1667" s="6">
        <f>FLOOR(tblPivotData[[#This Row],[Time]],Summary!$B$6/1440)</f>
        <v>0.69791666666666663</v>
      </c>
      <c r="I1667" s="49">
        <f>INDEX(PeakCalc!$L$10:$L$303,MATCH(tblPivotData[[#This Row],[Time]],PeakCalc!$G$10:$G$303,0))</f>
        <v>1</v>
      </c>
    </row>
    <row r="1668" spans="1:9" x14ac:dyDescent="0.25">
      <c r="A1668" t="s">
        <v>96</v>
      </c>
      <c r="B1668" t="s">
        <v>106</v>
      </c>
      <c r="C1668" t="s">
        <v>95</v>
      </c>
      <c r="D1668" t="s">
        <v>92</v>
      </c>
      <c r="E1668" t="s">
        <v>44</v>
      </c>
      <c r="F1668" s="6">
        <v>0.70833333333333337</v>
      </c>
      <c r="G1668">
        <v>0</v>
      </c>
      <c r="H1668" s="6">
        <f>FLOOR(tblPivotData[[#This Row],[Time]],Summary!$B$6/1440)</f>
        <v>0.70833333333333326</v>
      </c>
      <c r="I1668" s="49">
        <f>INDEX(PeakCalc!$L$10:$L$303,MATCH(tblPivotData[[#This Row],[Time]],PeakCalc!$G$10:$G$303,0))</f>
        <v>1</v>
      </c>
    </row>
    <row r="1669" spans="1:9" x14ac:dyDescent="0.25">
      <c r="A1669" t="s">
        <v>96</v>
      </c>
      <c r="B1669" t="s">
        <v>106</v>
      </c>
      <c r="C1669" t="s">
        <v>95</v>
      </c>
      <c r="D1669" t="s">
        <v>92</v>
      </c>
      <c r="E1669" t="s">
        <v>44</v>
      </c>
      <c r="F1669" s="6">
        <v>0.71875</v>
      </c>
      <c r="G1669">
        <v>0</v>
      </c>
      <c r="H1669" s="6">
        <f>FLOOR(tblPivotData[[#This Row],[Time]],Summary!$B$6/1440)</f>
        <v>0.71875</v>
      </c>
      <c r="I1669" s="49">
        <f>INDEX(PeakCalc!$L$10:$L$303,MATCH(tblPivotData[[#This Row],[Time]],PeakCalc!$G$10:$G$303,0))</f>
        <v>1</v>
      </c>
    </row>
    <row r="1670" spans="1:9" x14ac:dyDescent="0.25">
      <c r="A1670" t="s">
        <v>96</v>
      </c>
      <c r="B1670" t="s">
        <v>106</v>
      </c>
      <c r="C1670" t="s">
        <v>95</v>
      </c>
      <c r="D1670" t="s">
        <v>92</v>
      </c>
      <c r="E1670" t="s">
        <v>44</v>
      </c>
      <c r="F1670" s="6">
        <v>0.72916666666666663</v>
      </c>
      <c r="G1670">
        <v>0</v>
      </c>
      <c r="H1670" s="6">
        <f>FLOOR(tblPivotData[[#This Row],[Time]],Summary!$B$6/1440)</f>
        <v>0.72916666666666663</v>
      </c>
      <c r="I1670" s="49">
        <f>INDEX(PeakCalc!$L$10:$L$303,MATCH(tblPivotData[[#This Row],[Time]],PeakCalc!$G$10:$G$303,0))</f>
        <v>0</v>
      </c>
    </row>
    <row r="1671" spans="1:9" x14ac:dyDescent="0.25">
      <c r="A1671" t="s">
        <v>96</v>
      </c>
      <c r="B1671" t="s">
        <v>106</v>
      </c>
      <c r="C1671" t="s">
        <v>95</v>
      </c>
      <c r="D1671" t="s">
        <v>92</v>
      </c>
      <c r="E1671" t="s">
        <v>44</v>
      </c>
      <c r="F1671" s="6">
        <v>0.73958333333333337</v>
      </c>
      <c r="G1671">
        <v>0</v>
      </c>
      <c r="H1671" s="6">
        <f>FLOOR(tblPivotData[[#This Row],[Time]],Summary!$B$6/1440)</f>
        <v>0.73958333333333326</v>
      </c>
      <c r="I1671" s="49">
        <f>INDEX(PeakCalc!$L$10:$L$303,MATCH(tblPivotData[[#This Row],[Time]],PeakCalc!$G$10:$G$303,0))</f>
        <v>0</v>
      </c>
    </row>
    <row r="1672" spans="1:9" x14ac:dyDescent="0.25">
      <c r="A1672" t="s">
        <v>96</v>
      </c>
      <c r="B1672" t="s">
        <v>106</v>
      </c>
      <c r="C1672" t="s">
        <v>95</v>
      </c>
      <c r="D1672" t="s">
        <v>92</v>
      </c>
      <c r="E1672" t="s">
        <v>44</v>
      </c>
      <c r="F1672" s="6">
        <v>0.75</v>
      </c>
      <c r="G1672">
        <v>0</v>
      </c>
      <c r="H1672" s="6">
        <f>FLOOR(tblPivotData[[#This Row],[Time]],Summary!$B$6/1440)</f>
        <v>0.75</v>
      </c>
      <c r="I1672" s="49">
        <f>INDEX(PeakCalc!$L$10:$L$303,MATCH(tblPivotData[[#This Row],[Time]],PeakCalc!$G$10:$G$303,0))</f>
        <v>0</v>
      </c>
    </row>
    <row r="1673" spans="1:9" x14ac:dyDescent="0.25">
      <c r="A1673" t="s">
        <v>96</v>
      </c>
      <c r="B1673" t="s">
        <v>106</v>
      </c>
      <c r="C1673" t="s">
        <v>95</v>
      </c>
      <c r="D1673" t="s">
        <v>92</v>
      </c>
      <c r="E1673" t="s">
        <v>44</v>
      </c>
      <c r="F1673" s="6">
        <v>0.76041666666666663</v>
      </c>
      <c r="G1673">
        <v>0</v>
      </c>
      <c r="H1673" s="6">
        <f>FLOOR(tblPivotData[[#This Row],[Time]],Summary!$B$6/1440)</f>
        <v>0.76041666666666663</v>
      </c>
      <c r="I1673" s="49">
        <f>INDEX(PeakCalc!$L$10:$L$303,MATCH(tblPivotData[[#This Row],[Time]],PeakCalc!$G$10:$G$303,0))</f>
        <v>0</v>
      </c>
    </row>
    <row r="1674" spans="1:9" x14ac:dyDescent="0.25">
      <c r="A1674" t="s">
        <v>96</v>
      </c>
      <c r="B1674" t="s">
        <v>106</v>
      </c>
      <c r="C1674" t="s">
        <v>95</v>
      </c>
      <c r="D1674" t="s">
        <v>93</v>
      </c>
      <c r="E1674" t="s">
        <v>43</v>
      </c>
      <c r="F1674" s="6">
        <v>0.27083333333333331</v>
      </c>
      <c r="G1674">
        <v>0</v>
      </c>
      <c r="H1674" s="6">
        <f>FLOOR(tblPivotData[[#This Row],[Time]],Summary!$B$6/1440)</f>
        <v>0.27083333333333331</v>
      </c>
      <c r="I1674" s="49">
        <f>INDEX(PeakCalc!$L$10:$L$303,MATCH(tblPivotData[[#This Row],[Time]],PeakCalc!$G$10:$G$303,0))</f>
        <v>0</v>
      </c>
    </row>
    <row r="1675" spans="1:9" x14ac:dyDescent="0.25">
      <c r="A1675" t="s">
        <v>96</v>
      </c>
      <c r="B1675" t="s">
        <v>106</v>
      </c>
      <c r="C1675" t="s">
        <v>95</v>
      </c>
      <c r="D1675" t="s">
        <v>93</v>
      </c>
      <c r="E1675" t="s">
        <v>43</v>
      </c>
      <c r="F1675" s="6">
        <v>0.28125</v>
      </c>
      <c r="G1675">
        <v>0</v>
      </c>
      <c r="H1675" s="6">
        <f>FLOOR(tblPivotData[[#This Row],[Time]],Summary!$B$6/1440)</f>
        <v>0.28125</v>
      </c>
      <c r="I1675" s="49">
        <f>INDEX(PeakCalc!$L$10:$L$303,MATCH(tblPivotData[[#This Row],[Time]],PeakCalc!$G$10:$G$303,0))</f>
        <v>0</v>
      </c>
    </row>
    <row r="1676" spans="1:9" x14ac:dyDescent="0.25">
      <c r="A1676" t="s">
        <v>96</v>
      </c>
      <c r="B1676" t="s">
        <v>106</v>
      </c>
      <c r="C1676" t="s">
        <v>95</v>
      </c>
      <c r="D1676" t="s">
        <v>93</v>
      </c>
      <c r="E1676" t="s">
        <v>43</v>
      </c>
      <c r="F1676" s="6">
        <v>0.29166666666666669</v>
      </c>
      <c r="G1676">
        <v>0</v>
      </c>
      <c r="H1676" s="6">
        <f>FLOOR(tblPivotData[[#This Row],[Time]],Summary!$B$6/1440)</f>
        <v>0.29166666666666663</v>
      </c>
      <c r="I1676" s="49">
        <f>INDEX(PeakCalc!$L$10:$L$303,MATCH(tblPivotData[[#This Row],[Time]],PeakCalc!$G$10:$G$303,0))</f>
        <v>0</v>
      </c>
    </row>
    <row r="1677" spans="1:9" x14ac:dyDescent="0.25">
      <c r="A1677" t="s">
        <v>96</v>
      </c>
      <c r="B1677" t="s">
        <v>106</v>
      </c>
      <c r="C1677" t="s">
        <v>95</v>
      </c>
      <c r="D1677" t="s">
        <v>93</v>
      </c>
      <c r="E1677" t="s">
        <v>43</v>
      </c>
      <c r="F1677" s="6">
        <v>0.30208333333333331</v>
      </c>
      <c r="G1677">
        <v>0</v>
      </c>
      <c r="H1677" s="6">
        <f>FLOOR(tblPivotData[[#This Row],[Time]],Summary!$B$6/1440)</f>
        <v>0.30208333333333331</v>
      </c>
      <c r="I1677" s="49">
        <f>INDEX(PeakCalc!$L$10:$L$303,MATCH(tblPivotData[[#This Row],[Time]],PeakCalc!$G$10:$G$303,0))</f>
        <v>0</v>
      </c>
    </row>
    <row r="1678" spans="1:9" x14ac:dyDescent="0.25">
      <c r="A1678" t="s">
        <v>96</v>
      </c>
      <c r="B1678" t="s">
        <v>106</v>
      </c>
      <c r="C1678" t="s">
        <v>95</v>
      </c>
      <c r="D1678" t="s">
        <v>93</v>
      </c>
      <c r="E1678" t="s">
        <v>43</v>
      </c>
      <c r="F1678" s="6">
        <v>0.3125</v>
      </c>
      <c r="G1678">
        <v>0</v>
      </c>
      <c r="H1678" s="6">
        <f>FLOOR(tblPivotData[[#This Row],[Time]],Summary!$B$6/1440)</f>
        <v>0.3125</v>
      </c>
      <c r="I1678" s="49">
        <f>INDEX(PeakCalc!$L$10:$L$303,MATCH(tblPivotData[[#This Row],[Time]],PeakCalc!$G$10:$G$303,0))</f>
        <v>0</v>
      </c>
    </row>
    <row r="1679" spans="1:9" x14ac:dyDescent="0.25">
      <c r="A1679" t="s">
        <v>96</v>
      </c>
      <c r="B1679" t="s">
        <v>106</v>
      </c>
      <c r="C1679" t="s">
        <v>95</v>
      </c>
      <c r="D1679" t="s">
        <v>93</v>
      </c>
      <c r="E1679" t="s">
        <v>43</v>
      </c>
      <c r="F1679" s="6">
        <v>0.32291666666666669</v>
      </c>
      <c r="G1679">
        <v>0</v>
      </c>
      <c r="H1679" s="6">
        <f>FLOOR(tblPivotData[[#This Row],[Time]],Summary!$B$6/1440)</f>
        <v>0.32291666666666663</v>
      </c>
      <c r="I1679" s="49">
        <f>INDEX(PeakCalc!$L$10:$L$303,MATCH(tblPivotData[[#This Row],[Time]],PeakCalc!$G$10:$G$303,0))</f>
        <v>1</v>
      </c>
    </row>
    <row r="1680" spans="1:9" x14ac:dyDescent="0.25">
      <c r="A1680" t="s">
        <v>96</v>
      </c>
      <c r="B1680" t="s">
        <v>106</v>
      </c>
      <c r="C1680" t="s">
        <v>95</v>
      </c>
      <c r="D1680" t="s">
        <v>93</v>
      </c>
      <c r="E1680" t="s">
        <v>43</v>
      </c>
      <c r="F1680" s="6">
        <v>0.33333333333333331</v>
      </c>
      <c r="G1680">
        <v>0</v>
      </c>
      <c r="H1680" s="6">
        <f>FLOOR(tblPivotData[[#This Row],[Time]],Summary!$B$6/1440)</f>
        <v>0.33333333333333331</v>
      </c>
      <c r="I1680" s="49">
        <f>INDEX(PeakCalc!$L$10:$L$303,MATCH(tblPivotData[[#This Row],[Time]],PeakCalc!$G$10:$G$303,0))</f>
        <v>1</v>
      </c>
    </row>
    <row r="1681" spans="1:9" x14ac:dyDescent="0.25">
      <c r="A1681" t="s">
        <v>96</v>
      </c>
      <c r="B1681" t="s">
        <v>106</v>
      </c>
      <c r="C1681" t="s">
        <v>95</v>
      </c>
      <c r="D1681" t="s">
        <v>93</v>
      </c>
      <c r="E1681" t="s">
        <v>43</v>
      </c>
      <c r="F1681" s="6">
        <v>0.34375</v>
      </c>
      <c r="G1681">
        <v>0</v>
      </c>
      <c r="H1681" s="6">
        <f>FLOOR(tblPivotData[[#This Row],[Time]],Summary!$B$6/1440)</f>
        <v>0.34375</v>
      </c>
      <c r="I1681" s="49">
        <f>INDEX(PeakCalc!$L$10:$L$303,MATCH(tblPivotData[[#This Row],[Time]],PeakCalc!$G$10:$G$303,0))</f>
        <v>1</v>
      </c>
    </row>
    <row r="1682" spans="1:9" x14ac:dyDescent="0.25">
      <c r="A1682" t="s">
        <v>96</v>
      </c>
      <c r="B1682" t="s">
        <v>106</v>
      </c>
      <c r="C1682" t="s">
        <v>95</v>
      </c>
      <c r="D1682" t="s">
        <v>93</v>
      </c>
      <c r="E1682" t="s">
        <v>43</v>
      </c>
      <c r="F1682" s="6">
        <v>0.35416666666666669</v>
      </c>
      <c r="G1682">
        <v>0</v>
      </c>
      <c r="H1682" s="6">
        <f>FLOOR(tblPivotData[[#This Row],[Time]],Summary!$B$6/1440)</f>
        <v>0.35416666666666663</v>
      </c>
      <c r="I1682" s="49">
        <f>INDEX(PeakCalc!$L$10:$L$303,MATCH(tblPivotData[[#This Row],[Time]],PeakCalc!$G$10:$G$303,0))</f>
        <v>1</v>
      </c>
    </row>
    <row r="1683" spans="1:9" x14ac:dyDescent="0.25">
      <c r="A1683" t="s">
        <v>96</v>
      </c>
      <c r="B1683" t="s">
        <v>106</v>
      </c>
      <c r="C1683" t="s">
        <v>95</v>
      </c>
      <c r="D1683" t="s">
        <v>93</v>
      </c>
      <c r="E1683" t="s">
        <v>43</v>
      </c>
      <c r="F1683" s="6">
        <v>0.36458333333333331</v>
      </c>
      <c r="G1683">
        <v>0</v>
      </c>
      <c r="H1683" s="6">
        <f>FLOOR(tblPivotData[[#This Row],[Time]],Summary!$B$6/1440)</f>
        <v>0.36458333333333331</v>
      </c>
      <c r="I1683" s="49">
        <f>INDEX(PeakCalc!$L$10:$L$303,MATCH(tblPivotData[[#This Row],[Time]],PeakCalc!$G$10:$G$303,0))</f>
        <v>0</v>
      </c>
    </row>
    <row r="1684" spans="1:9" x14ac:dyDescent="0.25">
      <c r="A1684" t="s">
        <v>96</v>
      </c>
      <c r="B1684" t="s">
        <v>106</v>
      </c>
      <c r="C1684" t="s">
        <v>95</v>
      </c>
      <c r="D1684" t="s">
        <v>93</v>
      </c>
      <c r="E1684" t="s">
        <v>43</v>
      </c>
      <c r="F1684" s="6">
        <v>0.375</v>
      </c>
      <c r="G1684">
        <v>0</v>
      </c>
      <c r="H1684" s="6">
        <f>FLOOR(tblPivotData[[#This Row],[Time]],Summary!$B$6/1440)</f>
        <v>0.375</v>
      </c>
      <c r="I1684" s="49">
        <f>INDEX(PeakCalc!$L$10:$L$303,MATCH(tblPivotData[[#This Row],[Time]],PeakCalc!$G$10:$G$303,0))</f>
        <v>0</v>
      </c>
    </row>
    <row r="1685" spans="1:9" x14ac:dyDescent="0.25">
      <c r="A1685" t="s">
        <v>96</v>
      </c>
      <c r="B1685" t="s">
        <v>106</v>
      </c>
      <c r="C1685" t="s">
        <v>95</v>
      </c>
      <c r="D1685" t="s">
        <v>93</v>
      </c>
      <c r="E1685" t="s">
        <v>43</v>
      </c>
      <c r="F1685" s="6">
        <v>0.38541666666666669</v>
      </c>
      <c r="G1685">
        <v>0</v>
      </c>
      <c r="H1685" s="6">
        <f>FLOOR(tblPivotData[[#This Row],[Time]],Summary!$B$6/1440)</f>
        <v>0.38541666666666663</v>
      </c>
      <c r="I1685" s="49">
        <f>INDEX(PeakCalc!$L$10:$L$303,MATCH(tblPivotData[[#This Row],[Time]],PeakCalc!$G$10:$G$303,0))</f>
        <v>0</v>
      </c>
    </row>
    <row r="1686" spans="1:9" x14ac:dyDescent="0.25">
      <c r="A1686" t="s">
        <v>96</v>
      </c>
      <c r="B1686" t="s">
        <v>106</v>
      </c>
      <c r="C1686" t="s">
        <v>95</v>
      </c>
      <c r="D1686" t="s">
        <v>93</v>
      </c>
      <c r="E1686" t="s">
        <v>110</v>
      </c>
      <c r="F1686" s="6">
        <v>0.45833333333333331</v>
      </c>
      <c r="G1686">
        <v>0</v>
      </c>
      <c r="H1686" s="6">
        <f>FLOOR(tblPivotData[[#This Row],[Time]],Summary!$B$6/1440)</f>
        <v>0.45833333333333331</v>
      </c>
      <c r="I1686" s="49">
        <f>INDEX(PeakCalc!$L$10:$L$303,MATCH(tblPivotData[[#This Row],[Time]],PeakCalc!$G$10:$G$303,0))</f>
        <v>0</v>
      </c>
    </row>
    <row r="1687" spans="1:9" x14ac:dyDescent="0.25">
      <c r="A1687" t="s">
        <v>96</v>
      </c>
      <c r="B1687" t="s">
        <v>106</v>
      </c>
      <c r="C1687" t="s">
        <v>95</v>
      </c>
      <c r="D1687" t="s">
        <v>93</v>
      </c>
      <c r="E1687" t="s">
        <v>110</v>
      </c>
      <c r="F1687" s="6">
        <v>0.46875</v>
      </c>
      <c r="G1687">
        <v>0</v>
      </c>
      <c r="H1687" s="6">
        <f>FLOOR(tblPivotData[[#This Row],[Time]],Summary!$B$6/1440)</f>
        <v>0.46875</v>
      </c>
      <c r="I1687" s="49">
        <f>INDEX(PeakCalc!$L$10:$L$303,MATCH(tblPivotData[[#This Row],[Time]],PeakCalc!$G$10:$G$303,0))</f>
        <v>0</v>
      </c>
    </row>
    <row r="1688" spans="1:9" x14ac:dyDescent="0.25">
      <c r="A1688" t="s">
        <v>96</v>
      </c>
      <c r="B1688" t="s">
        <v>106</v>
      </c>
      <c r="C1688" t="s">
        <v>95</v>
      </c>
      <c r="D1688" t="s">
        <v>93</v>
      </c>
      <c r="E1688" t="s">
        <v>110</v>
      </c>
      <c r="F1688" s="6">
        <v>0.47916666666666669</v>
      </c>
      <c r="G1688">
        <v>0</v>
      </c>
      <c r="H1688" s="6">
        <f>FLOOR(tblPivotData[[#This Row],[Time]],Summary!$B$6/1440)</f>
        <v>0.47916666666666663</v>
      </c>
      <c r="I1688" s="49">
        <f>INDEX(PeakCalc!$L$10:$L$303,MATCH(tblPivotData[[#This Row],[Time]],PeakCalc!$G$10:$G$303,0))</f>
        <v>0</v>
      </c>
    </row>
    <row r="1689" spans="1:9" x14ac:dyDescent="0.25">
      <c r="A1689" t="s">
        <v>96</v>
      </c>
      <c r="B1689" t="s">
        <v>106</v>
      </c>
      <c r="C1689" t="s">
        <v>95</v>
      </c>
      <c r="D1689" t="s">
        <v>93</v>
      </c>
      <c r="E1689" t="s">
        <v>110</v>
      </c>
      <c r="F1689" s="6">
        <v>0.48958333333333331</v>
      </c>
      <c r="G1689">
        <v>0</v>
      </c>
      <c r="H1689" s="6">
        <f>FLOOR(tblPivotData[[#This Row],[Time]],Summary!$B$6/1440)</f>
        <v>0.48958333333333331</v>
      </c>
      <c r="I1689" s="49">
        <f>INDEX(PeakCalc!$L$10:$L$303,MATCH(tblPivotData[[#This Row],[Time]],PeakCalc!$G$10:$G$303,0))</f>
        <v>0</v>
      </c>
    </row>
    <row r="1690" spans="1:9" x14ac:dyDescent="0.25">
      <c r="A1690" t="s">
        <v>96</v>
      </c>
      <c r="B1690" t="s">
        <v>106</v>
      </c>
      <c r="C1690" t="s">
        <v>95</v>
      </c>
      <c r="D1690" t="s">
        <v>93</v>
      </c>
      <c r="E1690" t="s">
        <v>110</v>
      </c>
      <c r="F1690" s="6">
        <v>0.5</v>
      </c>
      <c r="G1690">
        <v>0</v>
      </c>
      <c r="H1690" s="6">
        <f>FLOOR(tblPivotData[[#This Row],[Time]],Summary!$B$6/1440)</f>
        <v>0.5</v>
      </c>
      <c r="I1690" s="49">
        <f>INDEX(PeakCalc!$L$10:$L$303,MATCH(tblPivotData[[#This Row],[Time]],PeakCalc!$G$10:$G$303,0))</f>
        <v>0</v>
      </c>
    </row>
    <row r="1691" spans="1:9" x14ac:dyDescent="0.25">
      <c r="A1691" t="s">
        <v>96</v>
      </c>
      <c r="B1691" t="s">
        <v>106</v>
      </c>
      <c r="C1691" t="s">
        <v>95</v>
      </c>
      <c r="D1691" t="s">
        <v>93</v>
      </c>
      <c r="E1691" t="s">
        <v>110</v>
      </c>
      <c r="F1691" s="6">
        <v>0.51041666666666663</v>
      </c>
      <c r="G1691">
        <v>0</v>
      </c>
      <c r="H1691" s="6">
        <f>FLOOR(tblPivotData[[#This Row],[Time]],Summary!$B$6/1440)</f>
        <v>0.51041666666666663</v>
      </c>
      <c r="I1691" s="49">
        <f>INDEX(PeakCalc!$L$10:$L$303,MATCH(tblPivotData[[#This Row],[Time]],PeakCalc!$G$10:$G$303,0))</f>
        <v>0</v>
      </c>
    </row>
    <row r="1692" spans="1:9" x14ac:dyDescent="0.25">
      <c r="A1692" t="s">
        <v>96</v>
      </c>
      <c r="B1692" t="s">
        <v>106</v>
      </c>
      <c r="C1692" t="s">
        <v>95</v>
      </c>
      <c r="D1692" t="s">
        <v>93</v>
      </c>
      <c r="E1692" t="s">
        <v>110</v>
      </c>
      <c r="F1692" s="6">
        <v>0.52083333333333337</v>
      </c>
      <c r="G1692">
        <v>0</v>
      </c>
      <c r="H1692" s="6">
        <f>FLOOR(tblPivotData[[#This Row],[Time]],Summary!$B$6/1440)</f>
        <v>0.52083333333333326</v>
      </c>
      <c r="I1692" s="49">
        <f>INDEX(PeakCalc!$L$10:$L$303,MATCH(tblPivotData[[#This Row],[Time]],PeakCalc!$G$10:$G$303,0))</f>
        <v>1</v>
      </c>
    </row>
    <row r="1693" spans="1:9" x14ac:dyDescent="0.25">
      <c r="A1693" t="s">
        <v>96</v>
      </c>
      <c r="B1693" t="s">
        <v>106</v>
      </c>
      <c r="C1693" t="s">
        <v>95</v>
      </c>
      <c r="D1693" t="s">
        <v>93</v>
      </c>
      <c r="E1693" t="s">
        <v>110</v>
      </c>
      <c r="F1693" s="6">
        <v>0.53125</v>
      </c>
      <c r="G1693">
        <v>0</v>
      </c>
      <c r="H1693" s="6">
        <f>FLOOR(tblPivotData[[#This Row],[Time]],Summary!$B$6/1440)</f>
        <v>0.53125</v>
      </c>
      <c r="I1693" s="49">
        <f>INDEX(PeakCalc!$L$10:$L$303,MATCH(tblPivotData[[#This Row],[Time]],PeakCalc!$G$10:$G$303,0))</f>
        <v>1</v>
      </c>
    </row>
    <row r="1694" spans="1:9" x14ac:dyDescent="0.25">
      <c r="A1694" t="s">
        <v>96</v>
      </c>
      <c r="B1694" t="s">
        <v>106</v>
      </c>
      <c r="C1694" t="s">
        <v>95</v>
      </c>
      <c r="D1694" t="s">
        <v>93</v>
      </c>
      <c r="E1694" t="s">
        <v>110</v>
      </c>
      <c r="F1694" s="6">
        <v>0.54166666666666663</v>
      </c>
      <c r="G1694">
        <v>0</v>
      </c>
      <c r="H1694" s="6">
        <f>FLOOR(tblPivotData[[#This Row],[Time]],Summary!$B$6/1440)</f>
        <v>0.54166666666666663</v>
      </c>
      <c r="I1694" s="49">
        <f>INDEX(PeakCalc!$L$10:$L$303,MATCH(tblPivotData[[#This Row],[Time]],PeakCalc!$G$10:$G$303,0))</f>
        <v>1</v>
      </c>
    </row>
    <row r="1695" spans="1:9" x14ac:dyDescent="0.25">
      <c r="A1695" t="s">
        <v>96</v>
      </c>
      <c r="B1695" t="s">
        <v>106</v>
      </c>
      <c r="C1695" t="s">
        <v>95</v>
      </c>
      <c r="D1695" t="s">
        <v>93</v>
      </c>
      <c r="E1695" t="s">
        <v>110</v>
      </c>
      <c r="F1695" s="6">
        <v>0.55208333333333337</v>
      </c>
      <c r="G1695">
        <v>0</v>
      </c>
      <c r="H1695" s="6">
        <f>FLOOR(tblPivotData[[#This Row],[Time]],Summary!$B$6/1440)</f>
        <v>0.55208333333333326</v>
      </c>
      <c r="I1695" s="49">
        <f>INDEX(PeakCalc!$L$10:$L$303,MATCH(tblPivotData[[#This Row],[Time]],PeakCalc!$G$10:$G$303,0))</f>
        <v>1</v>
      </c>
    </row>
    <row r="1696" spans="1:9" x14ac:dyDescent="0.25">
      <c r="A1696" t="s">
        <v>96</v>
      </c>
      <c r="B1696" t="s">
        <v>106</v>
      </c>
      <c r="C1696" t="s">
        <v>95</v>
      </c>
      <c r="D1696" t="s">
        <v>93</v>
      </c>
      <c r="E1696" t="s">
        <v>110</v>
      </c>
      <c r="F1696" s="6">
        <v>0.5625</v>
      </c>
      <c r="G1696">
        <v>0</v>
      </c>
      <c r="H1696" s="6">
        <f>FLOOR(tblPivotData[[#This Row],[Time]],Summary!$B$6/1440)</f>
        <v>0.5625</v>
      </c>
      <c r="I1696" s="49">
        <f>INDEX(PeakCalc!$L$10:$L$303,MATCH(tblPivotData[[#This Row],[Time]],PeakCalc!$G$10:$G$303,0))</f>
        <v>0</v>
      </c>
    </row>
    <row r="1697" spans="1:9" x14ac:dyDescent="0.25">
      <c r="A1697" t="s">
        <v>96</v>
      </c>
      <c r="B1697" t="s">
        <v>106</v>
      </c>
      <c r="C1697" t="s">
        <v>95</v>
      </c>
      <c r="D1697" t="s">
        <v>93</v>
      </c>
      <c r="E1697" t="s">
        <v>110</v>
      </c>
      <c r="F1697" s="6">
        <v>0.57291666666666663</v>
      </c>
      <c r="G1697">
        <v>0</v>
      </c>
      <c r="H1697" s="6">
        <f>FLOOR(tblPivotData[[#This Row],[Time]],Summary!$B$6/1440)</f>
        <v>0.57291666666666663</v>
      </c>
      <c r="I1697" s="49">
        <f>INDEX(PeakCalc!$L$10:$L$303,MATCH(tblPivotData[[#This Row],[Time]],PeakCalc!$G$10:$G$303,0))</f>
        <v>0</v>
      </c>
    </row>
    <row r="1698" spans="1:9" x14ac:dyDescent="0.25">
      <c r="A1698" t="s">
        <v>96</v>
      </c>
      <c r="B1698" t="s">
        <v>106</v>
      </c>
      <c r="C1698" t="s">
        <v>95</v>
      </c>
      <c r="D1698" t="s">
        <v>93</v>
      </c>
      <c r="E1698" t="s">
        <v>44</v>
      </c>
      <c r="F1698" s="6">
        <v>0.625</v>
      </c>
      <c r="G1698">
        <v>0</v>
      </c>
      <c r="H1698" s="6">
        <f>FLOOR(tblPivotData[[#This Row],[Time]],Summary!$B$6/1440)</f>
        <v>0.625</v>
      </c>
      <c r="I1698" s="49">
        <f>INDEX(PeakCalc!$L$10:$L$303,MATCH(tblPivotData[[#This Row],[Time]],PeakCalc!$G$10:$G$303,0))</f>
        <v>0</v>
      </c>
    </row>
    <row r="1699" spans="1:9" x14ac:dyDescent="0.25">
      <c r="A1699" t="s">
        <v>96</v>
      </c>
      <c r="B1699" t="s">
        <v>106</v>
      </c>
      <c r="C1699" t="s">
        <v>95</v>
      </c>
      <c r="D1699" t="s">
        <v>93</v>
      </c>
      <c r="E1699" t="s">
        <v>44</v>
      </c>
      <c r="F1699" s="6">
        <v>0.63541666666666663</v>
      </c>
      <c r="G1699">
        <v>0</v>
      </c>
      <c r="H1699" s="6">
        <f>FLOOR(tblPivotData[[#This Row],[Time]],Summary!$B$6/1440)</f>
        <v>0.63541666666666663</v>
      </c>
      <c r="I1699" s="49">
        <f>INDEX(PeakCalc!$L$10:$L$303,MATCH(tblPivotData[[#This Row],[Time]],PeakCalc!$G$10:$G$303,0))</f>
        <v>0</v>
      </c>
    </row>
    <row r="1700" spans="1:9" x14ac:dyDescent="0.25">
      <c r="A1700" t="s">
        <v>96</v>
      </c>
      <c r="B1700" t="s">
        <v>106</v>
      </c>
      <c r="C1700" t="s">
        <v>95</v>
      </c>
      <c r="D1700" t="s">
        <v>93</v>
      </c>
      <c r="E1700" t="s">
        <v>44</v>
      </c>
      <c r="F1700" s="6">
        <v>0.64583333333333337</v>
      </c>
      <c r="G1700">
        <v>0</v>
      </c>
      <c r="H1700" s="6">
        <f>FLOOR(tblPivotData[[#This Row],[Time]],Summary!$B$6/1440)</f>
        <v>0.64583333333333326</v>
      </c>
      <c r="I1700" s="49">
        <f>INDEX(PeakCalc!$L$10:$L$303,MATCH(tblPivotData[[#This Row],[Time]],PeakCalc!$G$10:$G$303,0))</f>
        <v>0</v>
      </c>
    </row>
    <row r="1701" spans="1:9" x14ac:dyDescent="0.25">
      <c r="A1701" t="s">
        <v>96</v>
      </c>
      <c r="B1701" t="s">
        <v>106</v>
      </c>
      <c r="C1701" t="s">
        <v>95</v>
      </c>
      <c r="D1701" t="s">
        <v>93</v>
      </c>
      <c r="E1701" t="s">
        <v>44</v>
      </c>
      <c r="F1701" s="6">
        <v>0.65625</v>
      </c>
      <c r="G1701">
        <v>0</v>
      </c>
      <c r="H1701" s="6">
        <f>FLOOR(tblPivotData[[#This Row],[Time]],Summary!$B$6/1440)</f>
        <v>0.65625</v>
      </c>
      <c r="I1701" s="49">
        <f>INDEX(PeakCalc!$L$10:$L$303,MATCH(tblPivotData[[#This Row],[Time]],PeakCalc!$G$10:$G$303,0))</f>
        <v>0</v>
      </c>
    </row>
    <row r="1702" spans="1:9" x14ac:dyDescent="0.25">
      <c r="A1702" t="s">
        <v>96</v>
      </c>
      <c r="B1702" t="s">
        <v>106</v>
      </c>
      <c r="C1702" t="s">
        <v>95</v>
      </c>
      <c r="D1702" t="s">
        <v>93</v>
      </c>
      <c r="E1702" t="s">
        <v>44</v>
      </c>
      <c r="F1702" s="6">
        <v>0.66666666666666663</v>
      </c>
      <c r="G1702">
        <v>0</v>
      </c>
      <c r="H1702" s="6">
        <f>FLOOR(tblPivotData[[#This Row],[Time]],Summary!$B$6/1440)</f>
        <v>0.66666666666666663</v>
      </c>
      <c r="I1702" s="49">
        <f>INDEX(PeakCalc!$L$10:$L$303,MATCH(tblPivotData[[#This Row],[Time]],PeakCalc!$G$10:$G$303,0))</f>
        <v>0</v>
      </c>
    </row>
    <row r="1703" spans="1:9" x14ac:dyDescent="0.25">
      <c r="A1703" t="s">
        <v>96</v>
      </c>
      <c r="B1703" t="s">
        <v>106</v>
      </c>
      <c r="C1703" t="s">
        <v>95</v>
      </c>
      <c r="D1703" t="s">
        <v>93</v>
      </c>
      <c r="E1703" t="s">
        <v>44</v>
      </c>
      <c r="F1703" s="6">
        <v>0.67708333333333337</v>
      </c>
      <c r="G1703">
        <v>0</v>
      </c>
      <c r="H1703" s="6">
        <f>FLOOR(tblPivotData[[#This Row],[Time]],Summary!$B$6/1440)</f>
        <v>0.67708333333333326</v>
      </c>
      <c r="I1703" s="49">
        <f>INDEX(PeakCalc!$L$10:$L$303,MATCH(tblPivotData[[#This Row],[Time]],PeakCalc!$G$10:$G$303,0))</f>
        <v>0</v>
      </c>
    </row>
    <row r="1704" spans="1:9" x14ac:dyDescent="0.25">
      <c r="A1704" t="s">
        <v>96</v>
      </c>
      <c r="B1704" t="s">
        <v>106</v>
      </c>
      <c r="C1704" t="s">
        <v>95</v>
      </c>
      <c r="D1704" t="s">
        <v>93</v>
      </c>
      <c r="E1704" t="s">
        <v>44</v>
      </c>
      <c r="F1704" s="6">
        <v>0.6875</v>
      </c>
      <c r="G1704">
        <v>0</v>
      </c>
      <c r="H1704" s="6">
        <f>FLOOR(tblPivotData[[#This Row],[Time]],Summary!$B$6/1440)</f>
        <v>0.6875</v>
      </c>
      <c r="I1704" s="49">
        <f>INDEX(PeakCalc!$L$10:$L$303,MATCH(tblPivotData[[#This Row],[Time]],PeakCalc!$G$10:$G$303,0))</f>
        <v>1</v>
      </c>
    </row>
    <row r="1705" spans="1:9" x14ac:dyDescent="0.25">
      <c r="A1705" t="s">
        <v>96</v>
      </c>
      <c r="B1705" t="s">
        <v>106</v>
      </c>
      <c r="C1705" t="s">
        <v>95</v>
      </c>
      <c r="D1705" t="s">
        <v>93</v>
      </c>
      <c r="E1705" t="s">
        <v>44</v>
      </c>
      <c r="F1705" s="6">
        <v>0.69791666666666663</v>
      </c>
      <c r="G1705">
        <v>0</v>
      </c>
      <c r="H1705" s="6">
        <f>FLOOR(tblPivotData[[#This Row],[Time]],Summary!$B$6/1440)</f>
        <v>0.69791666666666663</v>
      </c>
      <c r="I1705" s="49">
        <f>INDEX(PeakCalc!$L$10:$L$303,MATCH(tblPivotData[[#This Row],[Time]],PeakCalc!$G$10:$G$303,0))</f>
        <v>1</v>
      </c>
    </row>
    <row r="1706" spans="1:9" x14ac:dyDescent="0.25">
      <c r="A1706" t="s">
        <v>96</v>
      </c>
      <c r="B1706" t="s">
        <v>106</v>
      </c>
      <c r="C1706" t="s">
        <v>95</v>
      </c>
      <c r="D1706" t="s">
        <v>93</v>
      </c>
      <c r="E1706" t="s">
        <v>44</v>
      </c>
      <c r="F1706" s="6">
        <v>0.70833333333333337</v>
      </c>
      <c r="G1706">
        <v>0</v>
      </c>
      <c r="H1706" s="6">
        <f>FLOOR(tblPivotData[[#This Row],[Time]],Summary!$B$6/1440)</f>
        <v>0.70833333333333326</v>
      </c>
      <c r="I1706" s="49">
        <f>INDEX(PeakCalc!$L$10:$L$303,MATCH(tblPivotData[[#This Row],[Time]],PeakCalc!$G$10:$G$303,0))</f>
        <v>1</v>
      </c>
    </row>
    <row r="1707" spans="1:9" x14ac:dyDescent="0.25">
      <c r="A1707" t="s">
        <v>96</v>
      </c>
      <c r="B1707" t="s">
        <v>106</v>
      </c>
      <c r="C1707" t="s">
        <v>95</v>
      </c>
      <c r="D1707" t="s">
        <v>93</v>
      </c>
      <c r="E1707" t="s">
        <v>44</v>
      </c>
      <c r="F1707" s="6">
        <v>0.71875</v>
      </c>
      <c r="G1707">
        <v>0</v>
      </c>
      <c r="H1707" s="6">
        <f>FLOOR(tblPivotData[[#This Row],[Time]],Summary!$B$6/1440)</f>
        <v>0.71875</v>
      </c>
      <c r="I1707" s="49">
        <f>INDEX(PeakCalc!$L$10:$L$303,MATCH(tblPivotData[[#This Row],[Time]],PeakCalc!$G$10:$G$303,0))</f>
        <v>1</v>
      </c>
    </row>
    <row r="1708" spans="1:9" x14ac:dyDescent="0.25">
      <c r="A1708" t="s">
        <v>96</v>
      </c>
      <c r="B1708" t="s">
        <v>106</v>
      </c>
      <c r="C1708" t="s">
        <v>95</v>
      </c>
      <c r="D1708" t="s">
        <v>93</v>
      </c>
      <c r="E1708" t="s">
        <v>44</v>
      </c>
      <c r="F1708" s="6">
        <v>0.72916666666666663</v>
      </c>
      <c r="G1708">
        <v>0</v>
      </c>
      <c r="H1708" s="6">
        <f>FLOOR(tblPivotData[[#This Row],[Time]],Summary!$B$6/1440)</f>
        <v>0.72916666666666663</v>
      </c>
      <c r="I1708" s="49">
        <f>INDEX(PeakCalc!$L$10:$L$303,MATCH(tblPivotData[[#This Row],[Time]],PeakCalc!$G$10:$G$303,0))</f>
        <v>0</v>
      </c>
    </row>
    <row r="1709" spans="1:9" x14ac:dyDescent="0.25">
      <c r="A1709" t="s">
        <v>96</v>
      </c>
      <c r="B1709" t="s">
        <v>106</v>
      </c>
      <c r="C1709" t="s">
        <v>95</v>
      </c>
      <c r="D1709" t="s">
        <v>93</v>
      </c>
      <c r="E1709" t="s">
        <v>44</v>
      </c>
      <c r="F1709" s="6">
        <v>0.73958333333333337</v>
      </c>
      <c r="G1709">
        <v>0</v>
      </c>
      <c r="H1709" s="6">
        <f>FLOOR(tblPivotData[[#This Row],[Time]],Summary!$B$6/1440)</f>
        <v>0.73958333333333326</v>
      </c>
      <c r="I1709" s="49">
        <f>INDEX(PeakCalc!$L$10:$L$303,MATCH(tblPivotData[[#This Row],[Time]],PeakCalc!$G$10:$G$303,0))</f>
        <v>0</v>
      </c>
    </row>
    <row r="1710" spans="1:9" x14ac:dyDescent="0.25">
      <c r="A1710" t="s">
        <v>96</v>
      </c>
      <c r="B1710" t="s">
        <v>106</v>
      </c>
      <c r="C1710" t="s">
        <v>95</v>
      </c>
      <c r="D1710" t="s">
        <v>93</v>
      </c>
      <c r="E1710" t="s">
        <v>44</v>
      </c>
      <c r="F1710" s="6">
        <v>0.75</v>
      </c>
      <c r="G1710">
        <v>0</v>
      </c>
      <c r="H1710" s="6">
        <f>FLOOR(tblPivotData[[#This Row],[Time]],Summary!$B$6/1440)</f>
        <v>0.75</v>
      </c>
      <c r="I1710" s="49">
        <f>INDEX(PeakCalc!$L$10:$L$303,MATCH(tblPivotData[[#This Row],[Time]],PeakCalc!$G$10:$G$303,0))</f>
        <v>0</v>
      </c>
    </row>
    <row r="1711" spans="1:9" x14ac:dyDescent="0.25">
      <c r="A1711" t="s">
        <v>96</v>
      </c>
      <c r="B1711" t="s">
        <v>106</v>
      </c>
      <c r="C1711" t="s">
        <v>95</v>
      </c>
      <c r="D1711" t="s">
        <v>93</v>
      </c>
      <c r="E1711" t="s">
        <v>44</v>
      </c>
      <c r="F1711" s="6">
        <v>0.76041666666666663</v>
      </c>
      <c r="G1711">
        <v>0</v>
      </c>
      <c r="H1711" s="6">
        <f>FLOOR(tblPivotData[[#This Row],[Time]],Summary!$B$6/1440)</f>
        <v>0.76041666666666663</v>
      </c>
      <c r="I1711" s="49">
        <f>INDEX(PeakCalc!$L$10:$L$303,MATCH(tblPivotData[[#This Row],[Time]],PeakCalc!$G$10:$G$303,0))</f>
        <v>0</v>
      </c>
    </row>
    <row r="1712" spans="1:9" x14ac:dyDescent="0.25">
      <c r="A1712" t="s">
        <v>97</v>
      </c>
      <c r="B1712" t="s">
        <v>107</v>
      </c>
      <c r="C1712" t="s">
        <v>94</v>
      </c>
      <c r="D1712" t="s">
        <v>89</v>
      </c>
      <c r="E1712" t="s">
        <v>43</v>
      </c>
      <c r="F1712" s="6">
        <v>0.27083333333333331</v>
      </c>
      <c r="G1712">
        <v>19</v>
      </c>
      <c r="H1712" s="6">
        <f>FLOOR(tblPivotData[[#This Row],[Time]],Summary!$B$6/1440)</f>
        <v>0.27083333333333331</v>
      </c>
      <c r="I1712" s="49">
        <f>INDEX(PeakCalc!$L$10:$L$303,MATCH(tblPivotData[[#This Row],[Time]],PeakCalc!$G$10:$G$303,0))</f>
        <v>0</v>
      </c>
    </row>
    <row r="1713" spans="1:9" x14ac:dyDescent="0.25">
      <c r="A1713" t="s">
        <v>97</v>
      </c>
      <c r="B1713" t="s">
        <v>107</v>
      </c>
      <c r="C1713" t="s">
        <v>94</v>
      </c>
      <c r="D1713" t="s">
        <v>89</v>
      </c>
      <c r="E1713" t="s">
        <v>43</v>
      </c>
      <c r="F1713" s="6">
        <v>0.28125</v>
      </c>
      <c r="G1713">
        <v>36</v>
      </c>
      <c r="H1713" s="6">
        <f>FLOOR(tblPivotData[[#This Row],[Time]],Summary!$B$6/1440)</f>
        <v>0.28125</v>
      </c>
      <c r="I1713" s="49">
        <f>INDEX(PeakCalc!$L$10:$L$303,MATCH(tblPivotData[[#This Row],[Time]],PeakCalc!$G$10:$G$303,0))</f>
        <v>0</v>
      </c>
    </row>
    <row r="1714" spans="1:9" x14ac:dyDescent="0.25">
      <c r="A1714" t="s">
        <v>97</v>
      </c>
      <c r="B1714" t="s">
        <v>107</v>
      </c>
      <c r="C1714" t="s">
        <v>94</v>
      </c>
      <c r="D1714" t="s">
        <v>89</v>
      </c>
      <c r="E1714" t="s">
        <v>43</v>
      </c>
      <c r="F1714" s="6">
        <v>0.29166666666666669</v>
      </c>
      <c r="G1714">
        <v>28</v>
      </c>
      <c r="H1714" s="6">
        <f>FLOOR(tblPivotData[[#This Row],[Time]],Summary!$B$6/1440)</f>
        <v>0.29166666666666663</v>
      </c>
      <c r="I1714" s="49">
        <f>INDEX(PeakCalc!$L$10:$L$303,MATCH(tblPivotData[[#This Row],[Time]],PeakCalc!$G$10:$G$303,0))</f>
        <v>0</v>
      </c>
    </row>
    <row r="1715" spans="1:9" x14ac:dyDescent="0.25">
      <c r="A1715" t="s">
        <v>97</v>
      </c>
      <c r="B1715" t="s">
        <v>107</v>
      </c>
      <c r="C1715" t="s">
        <v>94</v>
      </c>
      <c r="D1715" t="s">
        <v>89</v>
      </c>
      <c r="E1715" t="s">
        <v>43</v>
      </c>
      <c r="F1715" s="6">
        <v>0.30208333333333331</v>
      </c>
      <c r="G1715">
        <v>43</v>
      </c>
      <c r="H1715" s="6">
        <f>FLOOR(tblPivotData[[#This Row],[Time]],Summary!$B$6/1440)</f>
        <v>0.30208333333333331</v>
      </c>
      <c r="I1715" s="49">
        <f>INDEX(PeakCalc!$L$10:$L$303,MATCH(tblPivotData[[#This Row],[Time]],PeakCalc!$G$10:$G$303,0))</f>
        <v>0</v>
      </c>
    </row>
    <row r="1716" spans="1:9" x14ac:dyDescent="0.25">
      <c r="A1716" t="s">
        <v>97</v>
      </c>
      <c r="B1716" t="s">
        <v>107</v>
      </c>
      <c r="C1716" t="s">
        <v>94</v>
      </c>
      <c r="D1716" t="s">
        <v>89</v>
      </c>
      <c r="E1716" t="s">
        <v>43</v>
      </c>
      <c r="F1716" s="6">
        <v>0.3125</v>
      </c>
      <c r="G1716">
        <v>46</v>
      </c>
      <c r="H1716" s="6">
        <f>FLOOR(tblPivotData[[#This Row],[Time]],Summary!$B$6/1440)</f>
        <v>0.3125</v>
      </c>
      <c r="I1716" s="49">
        <f>INDEX(PeakCalc!$L$10:$L$303,MATCH(tblPivotData[[#This Row],[Time]],PeakCalc!$G$10:$G$303,0))</f>
        <v>0</v>
      </c>
    </row>
    <row r="1717" spans="1:9" x14ac:dyDescent="0.25">
      <c r="A1717" t="s">
        <v>97</v>
      </c>
      <c r="B1717" t="s">
        <v>107</v>
      </c>
      <c r="C1717" t="s">
        <v>94</v>
      </c>
      <c r="D1717" t="s">
        <v>89</v>
      </c>
      <c r="E1717" t="s">
        <v>43</v>
      </c>
      <c r="F1717" s="6">
        <v>0.32291666666666669</v>
      </c>
      <c r="G1717">
        <v>49</v>
      </c>
      <c r="H1717" s="6">
        <f>FLOOR(tblPivotData[[#This Row],[Time]],Summary!$B$6/1440)</f>
        <v>0.32291666666666663</v>
      </c>
      <c r="I1717" s="49">
        <f>INDEX(PeakCalc!$L$10:$L$303,MATCH(tblPivotData[[#This Row],[Time]],PeakCalc!$G$10:$G$303,0))</f>
        <v>1</v>
      </c>
    </row>
    <row r="1718" spans="1:9" x14ac:dyDescent="0.25">
      <c r="A1718" t="s">
        <v>97</v>
      </c>
      <c r="B1718" t="s">
        <v>107</v>
      </c>
      <c r="C1718" t="s">
        <v>94</v>
      </c>
      <c r="D1718" t="s">
        <v>89</v>
      </c>
      <c r="E1718" t="s">
        <v>43</v>
      </c>
      <c r="F1718" s="6">
        <v>0.33333333333333331</v>
      </c>
      <c r="G1718">
        <v>67</v>
      </c>
      <c r="H1718" s="6">
        <f>FLOOR(tblPivotData[[#This Row],[Time]],Summary!$B$6/1440)</f>
        <v>0.33333333333333331</v>
      </c>
      <c r="I1718" s="49">
        <f>INDEX(PeakCalc!$L$10:$L$303,MATCH(tblPivotData[[#This Row],[Time]],PeakCalc!$G$10:$G$303,0))</f>
        <v>1</v>
      </c>
    </row>
    <row r="1719" spans="1:9" x14ac:dyDescent="0.25">
      <c r="A1719" t="s">
        <v>97</v>
      </c>
      <c r="B1719" t="s">
        <v>107</v>
      </c>
      <c r="C1719" t="s">
        <v>94</v>
      </c>
      <c r="D1719" t="s">
        <v>89</v>
      </c>
      <c r="E1719" t="s">
        <v>43</v>
      </c>
      <c r="F1719" s="6">
        <v>0.34375</v>
      </c>
      <c r="G1719">
        <v>53</v>
      </c>
      <c r="H1719" s="6">
        <f>FLOOR(tblPivotData[[#This Row],[Time]],Summary!$B$6/1440)</f>
        <v>0.34375</v>
      </c>
      <c r="I1719" s="49">
        <f>INDEX(PeakCalc!$L$10:$L$303,MATCH(tblPivotData[[#This Row],[Time]],PeakCalc!$G$10:$G$303,0))</f>
        <v>1</v>
      </c>
    </row>
    <row r="1720" spans="1:9" x14ac:dyDescent="0.25">
      <c r="A1720" t="s">
        <v>97</v>
      </c>
      <c r="B1720" t="s">
        <v>107</v>
      </c>
      <c r="C1720" t="s">
        <v>94</v>
      </c>
      <c r="D1720" t="s">
        <v>89</v>
      </c>
      <c r="E1720" t="s">
        <v>43</v>
      </c>
      <c r="F1720" s="6">
        <v>0.35416666666666669</v>
      </c>
      <c r="G1720">
        <v>59</v>
      </c>
      <c r="H1720" s="6">
        <f>FLOOR(tblPivotData[[#This Row],[Time]],Summary!$B$6/1440)</f>
        <v>0.35416666666666663</v>
      </c>
      <c r="I1720" s="49">
        <f>INDEX(PeakCalc!$L$10:$L$303,MATCH(tblPivotData[[#This Row],[Time]],PeakCalc!$G$10:$G$303,0))</f>
        <v>1</v>
      </c>
    </row>
    <row r="1721" spans="1:9" x14ac:dyDescent="0.25">
      <c r="A1721" t="s">
        <v>97</v>
      </c>
      <c r="B1721" t="s">
        <v>107</v>
      </c>
      <c r="C1721" t="s">
        <v>94</v>
      </c>
      <c r="D1721" t="s">
        <v>89</v>
      </c>
      <c r="E1721" t="s">
        <v>43</v>
      </c>
      <c r="F1721" s="6">
        <v>0.36458333333333331</v>
      </c>
      <c r="G1721">
        <v>51</v>
      </c>
      <c r="H1721" s="6">
        <f>FLOOR(tblPivotData[[#This Row],[Time]],Summary!$B$6/1440)</f>
        <v>0.36458333333333331</v>
      </c>
      <c r="I1721" s="49">
        <f>INDEX(PeakCalc!$L$10:$L$303,MATCH(tblPivotData[[#This Row],[Time]],PeakCalc!$G$10:$G$303,0))</f>
        <v>0</v>
      </c>
    </row>
    <row r="1722" spans="1:9" x14ac:dyDescent="0.25">
      <c r="A1722" t="s">
        <v>97</v>
      </c>
      <c r="B1722" t="s">
        <v>107</v>
      </c>
      <c r="C1722" t="s">
        <v>94</v>
      </c>
      <c r="D1722" t="s">
        <v>89</v>
      </c>
      <c r="E1722" t="s">
        <v>43</v>
      </c>
      <c r="F1722" s="6">
        <v>0.375</v>
      </c>
      <c r="G1722">
        <v>56</v>
      </c>
      <c r="H1722" s="6">
        <f>FLOOR(tblPivotData[[#This Row],[Time]],Summary!$B$6/1440)</f>
        <v>0.375</v>
      </c>
      <c r="I1722" s="49">
        <f>INDEX(PeakCalc!$L$10:$L$303,MATCH(tblPivotData[[#This Row],[Time]],PeakCalc!$G$10:$G$303,0))</f>
        <v>0</v>
      </c>
    </row>
    <row r="1723" spans="1:9" x14ac:dyDescent="0.25">
      <c r="A1723" t="s">
        <v>97</v>
      </c>
      <c r="B1723" t="s">
        <v>107</v>
      </c>
      <c r="C1723" t="s">
        <v>94</v>
      </c>
      <c r="D1723" t="s">
        <v>89</v>
      </c>
      <c r="E1723" t="s">
        <v>43</v>
      </c>
      <c r="F1723" s="6">
        <v>0.38541666666666669</v>
      </c>
      <c r="G1723">
        <v>58</v>
      </c>
      <c r="H1723" s="6">
        <f>FLOOR(tblPivotData[[#This Row],[Time]],Summary!$B$6/1440)</f>
        <v>0.38541666666666663</v>
      </c>
      <c r="I1723" s="49">
        <f>INDEX(PeakCalc!$L$10:$L$303,MATCH(tblPivotData[[#This Row],[Time]],PeakCalc!$G$10:$G$303,0))</f>
        <v>0</v>
      </c>
    </row>
    <row r="1724" spans="1:9" x14ac:dyDescent="0.25">
      <c r="A1724" t="s">
        <v>97</v>
      </c>
      <c r="B1724" t="s">
        <v>107</v>
      </c>
      <c r="C1724" t="s">
        <v>94</v>
      </c>
      <c r="D1724" t="s">
        <v>89</v>
      </c>
      <c r="E1724" t="s">
        <v>110</v>
      </c>
      <c r="F1724" s="6">
        <v>0.45833333333333331</v>
      </c>
      <c r="G1724">
        <v>54</v>
      </c>
      <c r="H1724" s="6">
        <f>FLOOR(tblPivotData[[#This Row],[Time]],Summary!$B$6/1440)</f>
        <v>0.45833333333333331</v>
      </c>
      <c r="I1724" s="49">
        <f>INDEX(PeakCalc!$L$10:$L$303,MATCH(tblPivotData[[#This Row],[Time]],PeakCalc!$G$10:$G$303,0))</f>
        <v>0</v>
      </c>
    </row>
    <row r="1725" spans="1:9" x14ac:dyDescent="0.25">
      <c r="A1725" t="s">
        <v>97</v>
      </c>
      <c r="B1725" t="s">
        <v>107</v>
      </c>
      <c r="C1725" t="s">
        <v>94</v>
      </c>
      <c r="D1725" t="s">
        <v>89</v>
      </c>
      <c r="E1725" t="s">
        <v>110</v>
      </c>
      <c r="F1725" s="6">
        <v>0.46875</v>
      </c>
      <c r="G1725">
        <v>71</v>
      </c>
      <c r="H1725" s="6">
        <f>FLOOR(tblPivotData[[#This Row],[Time]],Summary!$B$6/1440)</f>
        <v>0.46875</v>
      </c>
      <c r="I1725" s="49">
        <f>INDEX(PeakCalc!$L$10:$L$303,MATCH(tblPivotData[[#This Row],[Time]],PeakCalc!$G$10:$G$303,0))</f>
        <v>0</v>
      </c>
    </row>
    <row r="1726" spans="1:9" x14ac:dyDescent="0.25">
      <c r="A1726" t="s">
        <v>97</v>
      </c>
      <c r="B1726" t="s">
        <v>107</v>
      </c>
      <c r="C1726" t="s">
        <v>94</v>
      </c>
      <c r="D1726" t="s">
        <v>89</v>
      </c>
      <c r="E1726" t="s">
        <v>110</v>
      </c>
      <c r="F1726" s="6">
        <v>0.47916666666666669</v>
      </c>
      <c r="G1726">
        <v>53</v>
      </c>
      <c r="H1726" s="6">
        <f>FLOOR(tblPivotData[[#This Row],[Time]],Summary!$B$6/1440)</f>
        <v>0.47916666666666663</v>
      </c>
      <c r="I1726" s="49">
        <f>INDEX(PeakCalc!$L$10:$L$303,MATCH(tblPivotData[[#This Row],[Time]],PeakCalc!$G$10:$G$303,0))</f>
        <v>0</v>
      </c>
    </row>
    <row r="1727" spans="1:9" x14ac:dyDescent="0.25">
      <c r="A1727" t="s">
        <v>97</v>
      </c>
      <c r="B1727" t="s">
        <v>107</v>
      </c>
      <c r="C1727" t="s">
        <v>94</v>
      </c>
      <c r="D1727" t="s">
        <v>89</v>
      </c>
      <c r="E1727" t="s">
        <v>110</v>
      </c>
      <c r="F1727" s="6">
        <v>0.48958333333333331</v>
      </c>
      <c r="G1727">
        <v>60</v>
      </c>
      <c r="H1727" s="6">
        <f>FLOOR(tblPivotData[[#This Row],[Time]],Summary!$B$6/1440)</f>
        <v>0.48958333333333331</v>
      </c>
      <c r="I1727" s="49">
        <f>INDEX(PeakCalc!$L$10:$L$303,MATCH(tblPivotData[[#This Row],[Time]],PeakCalc!$G$10:$G$303,0))</f>
        <v>0</v>
      </c>
    </row>
    <row r="1728" spans="1:9" x14ac:dyDescent="0.25">
      <c r="A1728" t="s">
        <v>97</v>
      </c>
      <c r="B1728" t="s">
        <v>107</v>
      </c>
      <c r="C1728" t="s">
        <v>94</v>
      </c>
      <c r="D1728" t="s">
        <v>89</v>
      </c>
      <c r="E1728" t="s">
        <v>110</v>
      </c>
      <c r="F1728" s="6">
        <v>0.5</v>
      </c>
      <c r="G1728">
        <v>70</v>
      </c>
      <c r="H1728" s="6">
        <f>FLOOR(tblPivotData[[#This Row],[Time]],Summary!$B$6/1440)</f>
        <v>0.5</v>
      </c>
      <c r="I1728" s="49">
        <f>INDEX(PeakCalc!$L$10:$L$303,MATCH(tblPivotData[[#This Row],[Time]],PeakCalc!$G$10:$G$303,0))</f>
        <v>0</v>
      </c>
    </row>
    <row r="1729" spans="1:9" x14ac:dyDescent="0.25">
      <c r="A1729" t="s">
        <v>97</v>
      </c>
      <c r="B1729" t="s">
        <v>107</v>
      </c>
      <c r="C1729" t="s">
        <v>94</v>
      </c>
      <c r="D1729" t="s">
        <v>89</v>
      </c>
      <c r="E1729" t="s">
        <v>110</v>
      </c>
      <c r="F1729" s="6">
        <v>0.51041666666666663</v>
      </c>
      <c r="G1729">
        <v>63</v>
      </c>
      <c r="H1729" s="6">
        <f>FLOOR(tblPivotData[[#This Row],[Time]],Summary!$B$6/1440)</f>
        <v>0.51041666666666663</v>
      </c>
      <c r="I1729" s="49">
        <f>INDEX(PeakCalc!$L$10:$L$303,MATCH(tblPivotData[[#This Row],[Time]],PeakCalc!$G$10:$G$303,0))</f>
        <v>0</v>
      </c>
    </row>
    <row r="1730" spans="1:9" x14ac:dyDescent="0.25">
      <c r="A1730" t="s">
        <v>97</v>
      </c>
      <c r="B1730" t="s">
        <v>107</v>
      </c>
      <c r="C1730" t="s">
        <v>94</v>
      </c>
      <c r="D1730" t="s">
        <v>89</v>
      </c>
      <c r="E1730" t="s">
        <v>110</v>
      </c>
      <c r="F1730" s="6">
        <v>0.52083333333333337</v>
      </c>
      <c r="G1730">
        <v>75</v>
      </c>
      <c r="H1730" s="6">
        <f>FLOOR(tblPivotData[[#This Row],[Time]],Summary!$B$6/1440)</f>
        <v>0.52083333333333326</v>
      </c>
      <c r="I1730" s="49">
        <f>INDEX(PeakCalc!$L$10:$L$303,MATCH(tblPivotData[[#This Row],[Time]],PeakCalc!$G$10:$G$303,0))</f>
        <v>1</v>
      </c>
    </row>
    <row r="1731" spans="1:9" x14ac:dyDescent="0.25">
      <c r="A1731" t="s">
        <v>97</v>
      </c>
      <c r="B1731" t="s">
        <v>107</v>
      </c>
      <c r="C1731" t="s">
        <v>94</v>
      </c>
      <c r="D1731" t="s">
        <v>89</v>
      </c>
      <c r="E1731" t="s">
        <v>110</v>
      </c>
      <c r="F1731" s="6">
        <v>0.53125</v>
      </c>
      <c r="G1731">
        <v>84</v>
      </c>
      <c r="H1731" s="6">
        <f>FLOOR(tblPivotData[[#This Row],[Time]],Summary!$B$6/1440)</f>
        <v>0.53125</v>
      </c>
      <c r="I1731" s="49">
        <f>INDEX(PeakCalc!$L$10:$L$303,MATCH(tblPivotData[[#This Row],[Time]],PeakCalc!$G$10:$G$303,0))</f>
        <v>1</v>
      </c>
    </row>
    <row r="1732" spans="1:9" x14ac:dyDescent="0.25">
      <c r="A1732" t="s">
        <v>97</v>
      </c>
      <c r="B1732" t="s">
        <v>107</v>
      </c>
      <c r="C1732" t="s">
        <v>94</v>
      </c>
      <c r="D1732" t="s">
        <v>89</v>
      </c>
      <c r="E1732" t="s">
        <v>110</v>
      </c>
      <c r="F1732" s="6">
        <v>0.54166666666666663</v>
      </c>
      <c r="G1732">
        <v>72</v>
      </c>
      <c r="H1732" s="6">
        <f>FLOOR(tblPivotData[[#This Row],[Time]],Summary!$B$6/1440)</f>
        <v>0.54166666666666663</v>
      </c>
      <c r="I1732" s="49">
        <f>INDEX(PeakCalc!$L$10:$L$303,MATCH(tblPivotData[[#This Row],[Time]],PeakCalc!$G$10:$G$303,0))</f>
        <v>1</v>
      </c>
    </row>
    <row r="1733" spans="1:9" x14ac:dyDescent="0.25">
      <c r="A1733" t="s">
        <v>97</v>
      </c>
      <c r="B1733" t="s">
        <v>107</v>
      </c>
      <c r="C1733" t="s">
        <v>94</v>
      </c>
      <c r="D1733" t="s">
        <v>89</v>
      </c>
      <c r="E1733" t="s">
        <v>110</v>
      </c>
      <c r="F1733" s="6">
        <v>0.55208333333333337</v>
      </c>
      <c r="G1733">
        <v>71</v>
      </c>
      <c r="H1733" s="6">
        <f>FLOOR(tblPivotData[[#This Row],[Time]],Summary!$B$6/1440)</f>
        <v>0.55208333333333326</v>
      </c>
      <c r="I1733" s="49">
        <f>INDEX(PeakCalc!$L$10:$L$303,MATCH(tblPivotData[[#This Row],[Time]],PeakCalc!$G$10:$G$303,0))</f>
        <v>1</v>
      </c>
    </row>
    <row r="1734" spans="1:9" x14ac:dyDescent="0.25">
      <c r="A1734" t="s">
        <v>97</v>
      </c>
      <c r="B1734" t="s">
        <v>107</v>
      </c>
      <c r="C1734" t="s">
        <v>94</v>
      </c>
      <c r="D1734" t="s">
        <v>89</v>
      </c>
      <c r="E1734" t="s">
        <v>110</v>
      </c>
      <c r="F1734" s="6">
        <v>0.5625</v>
      </c>
      <c r="G1734">
        <v>72</v>
      </c>
      <c r="H1734" s="6">
        <f>FLOOR(tblPivotData[[#This Row],[Time]],Summary!$B$6/1440)</f>
        <v>0.5625</v>
      </c>
      <c r="I1734" s="49">
        <f>INDEX(PeakCalc!$L$10:$L$303,MATCH(tblPivotData[[#This Row],[Time]],PeakCalc!$G$10:$G$303,0))</f>
        <v>0</v>
      </c>
    </row>
    <row r="1735" spans="1:9" x14ac:dyDescent="0.25">
      <c r="A1735" t="s">
        <v>97</v>
      </c>
      <c r="B1735" t="s">
        <v>107</v>
      </c>
      <c r="C1735" t="s">
        <v>94</v>
      </c>
      <c r="D1735" t="s">
        <v>89</v>
      </c>
      <c r="E1735" t="s">
        <v>110</v>
      </c>
      <c r="F1735" s="6">
        <v>0.57291666666666663</v>
      </c>
      <c r="G1735">
        <v>60</v>
      </c>
      <c r="H1735" s="6">
        <f>FLOOR(tblPivotData[[#This Row],[Time]],Summary!$B$6/1440)</f>
        <v>0.57291666666666663</v>
      </c>
      <c r="I1735" s="49">
        <f>INDEX(PeakCalc!$L$10:$L$303,MATCH(tblPivotData[[#This Row],[Time]],PeakCalc!$G$10:$G$303,0))</f>
        <v>0</v>
      </c>
    </row>
    <row r="1736" spans="1:9" x14ac:dyDescent="0.25">
      <c r="A1736" t="s">
        <v>97</v>
      </c>
      <c r="B1736" t="s">
        <v>107</v>
      </c>
      <c r="C1736" t="s">
        <v>94</v>
      </c>
      <c r="D1736" t="s">
        <v>89</v>
      </c>
      <c r="E1736" t="s">
        <v>44</v>
      </c>
      <c r="F1736" s="6">
        <v>0.625</v>
      </c>
      <c r="G1736">
        <v>87</v>
      </c>
      <c r="H1736" s="6">
        <f>FLOOR(tblPivotData[[#This Row],[Time]],Summary!$B$6/1440)</f>
        <v>0.625</v>
      </c>
      <c r="I1736" s="49">
        <f>INDEX(PeakCalc!$L$10:$L$303,MATCH(tblPivotData[[#This Row],[Time]],PeakCalc!$G$10:$G$303,0))</f>
        <v>0</v>
      </c>
    </row>
    <row r="1737" spans="1:9" x14ac:dyDescent="0.25">
      <c r="A1737" t="s">
        <v>97</v>
      </c>
      <c r="B1737" t="s">
        <v>107</v>
      </c>
      <c r="C1737" t="s">
        <v>94</v>
      </c>
      <c r="D1737" t="s">
        <v>89</v>
      </c>
      <c r="E1737" t="s">
        <v>44</v>
      </c>
      <c r="F1737" s="6">
        <v>0.63541666666666663</v>
      </c>
      <c r="G1737">
        <v>68</v>
      </c>
      <c r="H1737" s="6">
        <f>FLOOR(tblPivotData[[#This Row],[Time]],Summary!$B$6/1440)</f>
        <v>0.63541666666666663</v>
      </c>
      <c r="I1737" s="49">
        <f>INDEX(PeakCalc!$L$10:$L$303,MATCH(tblPivotData[[#This Row],[Time]],PeakCalc!$G$10:$G$303,0))</f>
        <v>0</v>
      </c>
    </row>
    <row r="1738" spans="1:9" x14ac:dyDescent="0.25">
      <c r="A1738" t="s">
        <v>97</v>
      </c>
      <c r="B1738" t="s">
        <v>107</v>
      </c>
      <c r="C1738" t="s">
        <v>94</v>
      </c>
      <c r="D1738" t="s">
        <v>89</v>
      </c>
      <c r="E1738" t="s">
        <v>44</v>
      </c>
      <c r="F1738" s="6">
        <v>0.64583333333333337</v>
      </c>
      <c r="G1738">
        <v>86</v>
      </c>
      <c r="H1738" s="6">
        <f>FLOOR(tblPivotData[[#This Row],[Time]],Summary!$B$6/1440)</f>
        <v>0.64583333333333326</v>
      </c>
      <c r="I1738" s="49">
        <f>INDEX(PeakCalc!$L$10:$L$303,MATCH(tblPivotData[[#This Row],[Time]],PeakCalc!$G$10:$G$303,0))</f>
        <v>0</v>
      </c>
    </row>
    <row r="1739" spans="1:9" x14ac:dyDescent="0.25">
      <c r="A1739" t="s">
        <v>97</v>
      </c>
      <c r="B1739" t="s">
        <v>107</v>
      </c>
      <c r="C1739" t="s">
        <v>94</v>
      </c>
      <c r="D1739" t="s">
        <v>89</v>
      </c>
      <c r="E1739" t="s">
        <v>44</v>
      </c>
      <c r="F1739" s="6">
        <v>0.65625</v>
      </c>
      <c r="G1739">
        <v>92</v>
      </c>
      <c r="H1739" s="6">
        <f>FLOOR(tblPivotData[[#This Row],[Time]],Summary!$B$6/1440)</f>
        <v>0.65625</v>
      </c>
      <c r="I1739" s="49">
        <f>INDEX(PeakCalc!$L$10:$L$303,MATCH(tblPivotData[[#This Row],[Time]],PeakCalc!$G$10:$G$303,0))</f>
        <v>0</v>
      </c>
    </row>
    <row r="1740" spans="1:9" x14ac:dyDescent="0.25">
      <c r="A1740" t="s">
        <v>97</v>
      </c>
      <c r="B1740" t="s">
        <v>107</v>
      </c>
      <c r="C1740" t="s">
        <v>94</v>
      </c>
      <c r="D1740" t="s">
        <v>89</v>
      </c>
      <c r="E1740" t="s">
        <v>44</v>
      </c>
      <c r="F1740" s="6">
        <v>0.66666666666666663</v>
      </c>
      <c r="G1740">
        <v>82</v>
      </c>
      <c r="H1740" s="6">
        <f>FLOOR(tblPivotData[[#This Row],[Time]],Summary!$B$6/1440)</f>
        <v>0.66666666666666663</v>
      </c>
      <c r="I1740" s="49">
        <f>INDEX(PeakCalc!$L$10:$L$303,MATCH(tblPivotData[[#This Row],[Time]],PeakCalc!$G$10:$G$303,0))</f>
        <v>0</v>
      </c>
    </row>
    <row r="1741" spans="1:9" x14ac:dyDescent="0.25">
      <c r="A1741" t="s">
        <v>97</v>
      </c>
      <c r="B1741" t="s">
        <v>107</v>
      </c>
      <c r="C1741" t="s">
        <v>94</v>
      </c>
      <c r="D1741" t="s">
        <v>89</v>
      </c>
      <c r="E1741" t="s">
        <v>44</v>
      </c>
      <c r="F1741" s="6">
        <v>0.67708333333333337</v>
      </c>
      <c r="G1741">
        <v>71</v>
      </c>
      <c r="H1741" s="6">
        <f>FLOOR(tblPivotData[[#This Row],[Time]],Summary!$B$6/1440)</f>
        <v>0.67708333333333326</v>
      </c>
      <c r="I1741" s="49">
        <f>INDEX(PeakCalc!$L$10:$L$303,MATCH(tblPivotData[[#This Row],[Time]],PeakCalc!$G$10:$G$303,0))</f>
        <v>0</v>
      </c>
    </row>
    <row r="1742" spans="1:9" x14ac:dyDescent="0.25">
      <c r="A1742" t="s">
        <v>97</v>
      </c>
      <c r="B1742" t="s">
        <v>107</v>
      </c>
      <c r="C1742" t="s">
        <v>94</v>
      </c>
      <c r="D1742" t="s">
        <v>89</v>
      </c>
      <c r="E1742" t="s">
        <v>44</v>
      </c>
      <c r="F1742" s="6">
        <v>0.6875</v>
      </c>
      <c r="G1742">
        <v>98</v>
      </c>
      <c r="H1742" s="6">
        <f>FLOOR(tblPivotData[[#This Row],[Time]],Summary!$B$6/1440)</f>
        <v>0.6875</v>
      </c>
      <c r="I1742" s="49">
        <f>INDEX(PeakCalc!$L$10:$L$303,MATCH(tblPivotData[[#This Row],[Time]],PeakCalc!$G$10:$G$303,0))</f>
        <v>1</v>
      </c>
    </row>
    <row r="1743" spans="1:9" x14ac:dyDescent="0.25">
      <c r="A1743" t="s">
        <v>97</v>
      </c>
      <c r="B1743" t="s">
        <v>107</v>
      </c>
      <c r="C1743" t="s">
        <v>94</v>
      </c>
      <c r="D1743" t="s">
        <v>89</v>
      </c>
      <c r="E1743" t="s">
        <v>44</v>
      </c>
      <c r="F1743" s="6">
        <v>0.69791666666666663</v>
      </c>
      <c r="G1743">
        <v>114</v>
      </c>
      <c r="H1743" s="6">
        <f>FLOOR(tblPivotData[[#This Row],[Time]],Summary!$B$6/1440)</f>
        <v>0.69791666666666663</v>
      </c>
      <c r="I1743" s="49">
        <f>INDEX(PeakCalc!$L$10:$L$303,MATCH(tblPivotData[[#This Row],[Time]],PeakCalc!$G$10:$G$303,0))</f>
        <v>1</v>
      </c>
    </row>
    <row r="1744" spans="1:9" x14ac:dyDescent="0.25">
      <c r="A1744" t="s">
        <v>97</v>
      </c>
      <c r="B1744" t="s">
        <v>107</v>
      </c>
      <c r="C1744" t="s">
        <v>94</v>
      </c>
      <c r="D1744" t="s">
        <v>89</v>
      </c>
      <c r="E1744" t="s">
        <v>44</v>
      </c>
      <c r="F1744" s="6">
        <v>0.70833333333333337</v>
      </c>
      <c r="G1744">
        <v>93</v>
      </c>
      <c r="H1744" s="6">
        <f>FLOOR(tblPivotData[[#This Row],[Time]],Summary!$B$6/1440)</f>
        <v>0.70833333333333326</v>
      </c>
      <c r="I1744" s="49">
        <f>INDEX(PeakCalc!$L$10:$L$303,MATCH(tblPivotData[[#This Row],[Time]],PeakCalc!$G$10:$G$303,0))</f>
        <v>1</v>
      </c>
    </row>
    <row r="1745" spans="1:9" x14ac:dyDescent="0.25">
      <c r="A1745" t="s">
        <v>97</v>
      </c>
      <c r="B1745" t="s">
        <v>107</v>
      </c>
      <c r="C1745" t="s">
        <v>94</v>
      </c>
      <c r="D1745" t="s">
        <v>89</v>
      </c>
      <c r="E1745" t="s">
        <v>44</v>
      </c>
      <c r="F1745" s="6">
        <v>0.71875</v>
      </c>
      <c r="G1745">
        <v>95</v>
      </c>
      <c r="H1745" s="6">
        <f>FLOOR(tblPivotData[[#This Row],[Time]],Summary!$B$6/1440)</f>
        <v>0.71875</v>
      </c>
      <c r="I1745" s="49">
        <f>INDEX(PeakCalc!$L$10:$L$303,MATCH(tblPivotData[[#This Row],[Time]],PeakCalc!$G$10:$G$303,0))</f>
        <v>1</v>
      </c>
    </row>
    <row r="1746" spans="1:9" x14ac:dyDescent="0.25">
      <c r="A1746" t="s">
        <v>97</v>
      </c>
      <c r="B1746" t="s">
        <v>107</v>
      </c>
      <c r="C1746" t="s">
        <v>94</v>
      </c>
      <c r="D1746" t="s">
        <v>89</v>
      </c>
      <c r="E1746" t="s">
        <v>44</v>
      </c>
      <c r="F1746" s="6">
        <v>0.72916666666666663</v>
      </c>
      <c r="G1746">
        <v>88</v>
      </c>
      <c r="H1746" s="6">
        <f>FLOOR(tblPivotData[[#This Row],[Time]],Summary!$B$6/1440)</f>
        <v>0.72916666666666663</v>
      </c>
      <c r="I1746" s="49">
        <f>INDEX(PeakCalc!$L$10:$L$303,MATCH(tblPivotData[[#This Row],[Time]],PeakCalc!$G$10:$G$303,0))</f>
        <v>0</v>
      </c>
    </row>
    <row r="1747" spans="1:9" x14ac:dyDescent="0.25">
      <c r="A1747" t="s">
        <v>97</v>
      </c>
      <c r="B1747" t="s">
        <v>107</v>
      </c>
      <c r="C1747" t="s">
        <v>94</v>
      </c>
      <c r="D1747" t="s">
        <v>89</v>
      </c>
      <c r="E1747" t="s">
        <v>44</v>
      </c>
      <c r="F1747" s="6">
        <v>0.73958333333333337</v>
      </c>
      <c r="G1747">
        <v>83</v>
      </c>
      <c r="H1747" s="6">
        <f>FLOOR(tblPivotData[[#This Row],[Time]],Summary!$B$6/1440)</f>
        <v>0.73958333333333326</v>
      </c>
      <c r="I1747" s="49">
        <f>INDEX(PeakCalc!$L$10:$L$303,MATCH(tblPivotData[[#This Row],[Time]],PeakCalc!$G$10:$G$303,0))</f>
        <v>0</v>
      </c>
    </row>
    <row r="1748" spans="1:9" x14ac:dyDescent="0.25">
      <c r="A1748" t="s">
        <v>97</v>
      </c>
      <c r="B1748" t="s">
        <v>107</v>
      </c>
      <c r="C1748" t="s">
        <v>94</v>
      </c>
      <c r="D1748" t="s">
        <v>89</v>
      </c>
      <c r="E1748" t="s">
        <v>44</v>
      </c>
      <c r="F1748" s="6">
        <v>0.75</v>
      </c>
      <c r="G1748">
        <v>97</v>
      </c>
      <c r="H1748" s="6">
        <f>FLOOR(tblPivotData[[#This Row],[Time]],Summary!$B$6/1440)</f>
        <v>0.75</v>
      </c>
      <c r="I1748" s="49">
        <f>INDEX(PeakCalc!$L$10:$L$303,MATCH(tblPivotData[[#This Row],[Time]],PeakCalc!$G$10:$G$303,0))</f>
        <v>0</v>
      </c>
    </row>
    <row r="1749" spans="1:9" x14ac:dyDescent="0.25">
      <c r="A1749" t="s">
        <v>97</v>
      </c>
      <c r="B1749" t="s">
        <v>107</v>
      </c>
      <c r="C1749" t="s">
        <v>94</v>
      </c>
      <c r="D1749" t="s">
        <v>89</v>
      </c>
      <c r="E1749" t="s">
        <v>44</v>
      </c>
      <c r="F1749" s="6">
        <v>0.76041666666666663</v>
      </c>
      <c r="G1749">
        <v>75</v>
      </c>
      <c r="H1749" s="6">
        <f>FLOOR(tblPivotData[[#This Row],[Time]],Summary!$B$6/1440)</f>
        <v>0.76041666666666663</v>
      </c>
      <c r="I1749" s="49">
        <f>INDEX(PeakCalc!$L$10:$L$303,MATCH(tblPivotData[[#This Row],[Time]],PeakCalc!$G$10:$G$303,0))</f>
        <v>0</v>
      </c>
    </row>
    <row r="1750" spans="1:9" x14ac:dyDescent="0.25">
      <c r="A1750" t="s">
        <v>97</v>
      </c>
      <c r="B1750" t="s">
        <v>107</v>
      </c>
      <c r="C1750" t="s">
        <v>94</v>
      </c>
      <c r="D1750" t="s">
        <v>90</v>
      </c>
      <c r="E1750" t="s">
        <v>43</v>
      </c>
      <c r="F1750" s="6">
        <v>0.27083333333333331</v>
      </c>
      <c r="G1750">
        <v>0</v>
      </c>
      <c r="H1750" s="6">
        <f>FLOOR(tblPivotData[[#This Row],[Time]],Summary!$B$6/1440)</f>
        <v>0.27083333333333331</v>
      </c>
      <c r="I1750" s="49">
        <f>INDEX(PeakCalc!$L$10:$L$303,MATCH(tblPivotData[[#This Row],[Time]],PeakCalc!$G$10:$G$303,0))</f>
        <v>0</v>
      </c>
    </row>
    <row r="1751" spans="1:9" x14ac:dyDescent="0.25">
      <c r="A1751" t="s">
        <v>97</v>
      </c>
      <c r="B1751" t="s">
        <v>107</v>
      </c>
      <c r="C1751" t="s">
        <v>94</v>
      </c>
      <c r="D1751" t="s">
        <v>90</v>
      </c>
      <c r="E1751" t="s">
        <v>43</v>
      </c>
      <c r="F1751" s="6">
        <v>0.28125</v>
      </c>
      <c r="G1751">
        <v>2</v>
      </c>
      <c r="H1751" s="6">
        <f>FLOOR(tblPivotData[[#This Row],[Time]],Summary!$B$6/1440)</f>
        <v>0.28125</v>
      </c>
      <c r="I1751" s="49">
        <f>INDEX(PeakCalc!$L$10:$L$303,MATCH(tblPivotData[[#This Row],[Time]],PeakCalc!$G$10:$G$303,0))</f>
        <v>0</v>
      </c>
    </row>
    <row r="1752" spans="1:9" x14ac:dyDescent="0.25">
      <c r="A1752" t="s">
        <v>97</v>
      </c>
      <c r="B1752" t="s">
        <v>107</v>
      </c>
      <c r="C1752" t="s">
        <v>94</v>
      </c>
      <c r="D1752" t="s">
        <v>90</v>
      </c>
      <c r="E1752" t="s">
        <v>43</v>
      </c>
      <c r="F1752" s="6">
        <v>0.29166666666666669</v>
      </c>
      <c r="G1752">
        <v>0</v>
      </c>
      <c r="H1752" s="6">
        <f>FLOOR(tblPivotData[[#This Row],[Time]],Summary!$B$6/1440)</f>
        <v>0.29166666666666663</v>
      </c>
      <c r="I1752" s="49">
        <f>INDEX(PeakCalc!$L$10:$L$303,MATCH(tblPivotData[[#This Row],[Time]],PeakCalc!$G$10:$G$303,0))</f>
        <v>0</v>
      </c>
    </row>
    <row r="1753" spans="1:9" x14ac:dyDescent="0.25">
      <c r="A1753" t="s">
        <v>97</v>
      </c>
      <c r="B1753" t="s">
        <v>107</v>
      </c>
      <c r="C1753" t="s">
        <v>94</v>
      </c>
      <c r="D1753" t="s">
        <v>90</v>
      </c>
      <c r="E1753" t="s">
        <v>43</v>
      </c>
      <c r="F1753" s="6">
        <v>0.30208333333333331</v>
      </c>
      <c r="G1753">
        <v>0</v>
      </c>
      <c r="H1753" s="6">
        <f>FLOOR(tblPivotData[[#This Row],[Time]],Summary!$B$6/1440)</f>
        <v>0.30208333333333331</v>
      </c>
      <c r="I1753" s="49">
        <f>INDEX(PeakCalc!$L$10:$L$303,MATCH(tblPivotData[[#This Row],[Time]],PeakCalc!$G$10:$G$303,0))</f>
        <v>0</v>
      </c>
    </row>
    <row r="1754" spans="1:9" x14ac:dyDescent="0.25">
      <c r="A1754" t="s">
        <v>97</v>
      </c>
      <c r="B1754" t="s">
        <v>107</v>
      </c>
      <c r="C1754" t="s">
        <v>94</v>
      </c>
      <c r="D1754" t="s">
        <v>90</v>
      </c>
      <c r="E1754" t="s">
        <v>43</v>
      </c>
      <c r="F1754" s="6">
        <v>0.3125</v>
      </c>
      <c r="G1754">
        <v>0</v>
      </c>
      <c r="H1754" s="6">
        <f>FLOOR(tblPivotData[[#This Row],[Time]],Summary!$B$6/1440)</f>
        <v>0.3125</v>
      </c>
      <c r="I1754" s="49">
        <f>INDEX(PeakCalc!$L$10:$L$303,MATCH(tblPivotData[[#This Row],[Time]],PeakCalc!$G$10:$G$303,0))</f>
        <v>0</v>
      </c>
    </row>
    <row r="1755" spans="1:9" x14ac:dyDescent="0.25">
      <c r="A1755" t="s">
        <v>97</v>
      </c>
      <c r="B1755" t="s">
        <v>107</v>
      </c>
      <c r="C1755" t="s">
        <v>94</v>
      </c>
      <c r="D1755" t="s">
        <v>90</v>
      </c>
      <c r="E1755" t="s">
        <v>43</v>
      </c>
      <c r="F1755" s="6">
        <v>0.32291666666666669</v>
      </c>
      <c r="G1755">
        <v>0</v>
      </c>
      <c r="H1755" s="6">
        <f>FLOOR(tblPivotData[[#This Row],[Time]],Summary!$B$6/1440)</f>
        <v>0.32291666666666663</v>
      </c>
      <c r="I1755" s="49">
        <f>INDEX(PeakCalc!$L$10:$L$303,MATCH(tblPivotData[[#This Row],[Time]],PeakCalc!$G$10:$G$303,0))</f>
        <v>1</v>
      </c>
    </row>
    <row r="1756" spans="1:9" x14ac:dyDescent="0.25">
      <c r="A1756" t="s">
        <v>97</v>
      </c>
      <c r="B1756" t="s">
        <v>107</v>
      </c>
      <c r="C1756" t="s">
        <v>94</v>
      </c>
      <c r="D1756" t="s">
        <v>90</v>
      </c>
      <c r="E1756" t="s">
        <v>43</v>
      </c>
      <c r="F1756" s="6">
        <v>0.33333333333333331</v>
      </c>
      <c r="G1756">
        <v>1</v>
      </c>
      <c r="H1756" s="6">
        <f>FLOOR(tblPivotData[[#This Row],[Time]],Summary!$B$6/1440)</f>
        <v>0.33333333333333331</v>
      </c>
      <c r="I1756" s="49">
        <f>INDEX(PeakCalc!$L$10:$L$303,MATCH(tblPivotData[[#This Row],[Time]],PeakCalc!$G$10:$G$303,0))</f>
        <v>1</v>
      </c>
    </row>
    <row r="1757" spans="1:9" x14ac:dyDescent="0.25">
      <c r="A1757" t="s">
        <v>97</v>
      </c>
      <c r="B1757" t="s">
        <v>107</v>
      </c>
      <c r="C1757" t="s">
        <v>94</v>
      </c>
      <c r="D1757" t="s">
        <v>90</v>
      </c>
      <c r="E1757" t="s">
        <v>43</v>
      </c>
      <c r="F1757" s="6">
        <v>0.34375</v>
      </c>
      <c r="G1757">
        <v>1</v>
      </c>
      <c r="H1757" s="6">
        <f>FLOOR(tblPivotData[[#This Row],[Time]],Summary!$B$6/1440)</f>
        <v>0.34375</v>
      </c>
      <c r="I1757" s="49">
        <f>INDEX(PeakCalc!$L$10:$L$303,MATCH(tblPivotData[[#This Row],[Time]],PeakCalc!$G$10:$G$303,0))</f>
        <v>1</v>
      </c>
    </row>
    <row r="1758" spans="1:9" x14ac:dyDescent="0.25">
      <c r="A1758" t="s">
        <v>97</v>
      </c>
      <c r="B1758" t="s">
        <v>107</v>
      </c>
      <c r="C1758" t="s">
        <v>94</v>
      </c>
      <c r="D1758" t="s">
        <v>90</v>
      </c>
      <c r="E1758" t="s">
        <v>43</v>
      </c>
      <c r="F1758" s="6">
        <v>0.35416666666666669</v>
      </c>
      <c r="G1758">
        <v>1</v>
      </c>
      <c r="H1758" s="6">
        <f>FLOOR(tblPivotData[[#This Row],[Time]],Summary!$B$6/1440)</f>
        <v>0.35416666666666663</v>
      </c>
      <c r="I1758" s="49">
        <f>INDEX(PeakCalc!$L$10:$L$303,MATCH(tblPivotData[[#This Row],[Time]],PeakCalc!$G$10:$G$303,0))</f>
        <v>1</v>
      </c>
    </row>
    <row r="1759" spans="1:9" x14ac:dyDescent="0.25">
      <c r="A1759" t="s">
        <v>97</v>
      </c>
      <c r="B1759" t="s">
        <v>107</v>
      </c>
      <c r="C1759" t="s">
        <v>94</v>
      </c>
      <c r="D1759" t="s">
        <v>90</v>
      </c>
      <c r="E1759" t="s">
        <v>43</v>
      </c>
      <c r="F1759" s="6">
        <v>0.36458333333333331</v>
      </c>
      <c r="G1759">
        <v>1</v>
      </c>
      <c r="H1759" s="6">
        <f>FLOOR(tblPivotData[[#This Row],[Time]],Summary!$B$6/1440)</f>
        <v>0.36458333333333331</v>
      </c>
      <c r="I1759" s="49">
        <f>INDEX(PeakCalc!$L$10:$L$303,MATCH(tblPivotData[[#This Row],[Time]],PeakCalc!$G$10:$G$303,0))</f>
        <v>0</v>
      </c>
    </row>
    <row r="1760" spans="1:9" x14ac:dyDescent="0.25">
      <c r="A1760" t="s">
        <v>97</v>
      </c>
      <c r="B1760" t="s">
        <v>107</v>
      </c>
      <c r="C1760" t="s">
        <v>94</v>
      </c>
      <c r="D1760" t="s">
        <v>90</v>
      </c>
      <c r="E1760" t="s">
        <v>43</v>
      </c>
      <c r="F1760" s="6">
        <v>0.375</v>
      </c>
      <c r="G1760">
        <v>0</v>
      </c>
      <c r="H1760" s="6">
        <f>FLOOR(tblPivotData[[#This Row],[Time]],Summary!$B$6/1440)</f>
        <v>0.375</v>
      </c>
      <c r="I1760" s="49">
        <f>INDEX(PeakCalc!$L$10:$L$303,MATCH(tblPivotData[[#This Row],[Time]],PeakCalc!$G$10:$G$303,0))</f>
        <v>0</v>
      </c>
    </row>
    <row r="1761" spans="1:9" x14ac:dyDescent="0.25">
      <c r="A1761" t="s">
        <v>97</v>
      </c>
      <c r="B1761" t="s">
        <v>107</v>
      </c>
      <c r="C1761" t="s">
        <v>94</v>
      </c>
      <c r="D1761" t="s">
        <v>90</v>
      </c>
      <c r="E1761" t="s">
        <v>43</v>
      </c>
      <c r="F1761" s="6">
        <v>0.38541666666666669</v>
      </c>
      <c r="G1761">
        <v>1</v>
      </c>
      <c r="H1761" s="6">
        <f>FLOOR(tblPivotData[[#This Row],[Time]],Summary!$B$6/1440)</f>
        <v>0.38541666666666663</v>
      </c>
      <c r="I1761" s="49">
        <f>INDEX(PeakCalc!$L$10:$L$303,MATCH(tblPivotData[[#This Row],[Time]],PeakCalc!$G$10:$G$303,0))</f>
        <v>0</v>
      </c>
    </row>
    <row r="1762" spans="1:9" x14ac:dyDescent="0.25">
      <c r="A1762" t="s">
        <v>97</v>
      </c>
      <c r="B1762" t="s">
        <v>107</v>
      </c>
      <c r="C1762" t="s">
        <v>94</v>
      </c>
      <c r="D1762" t="s">
        <v>90</v>
      </c>
      <c r="E1762" t="s">
        <v>110</v>
      </c>
      <c r="F1762" s="6">
        <v>0.45833333333333331</v>
      </c>
      <c r="G1762">
        <v>0</v>
      </c>
      <c r="H1762" s="6">
        <f>FLOOR(tblPivotData[[#This Row],[Time]],Summary!$B$6/1440)</f>
        <v>0.45833333333333331</v>
      </c>
      <c r="I1762" s="49">
        <f>INDEX(PeakCalc!$L$10:$L$303,MATCH(tblPivotData[[#This Row],[Time]],PeakCalc!$G$10:$G$303,0))</f>
        <v>0</v>
      </c>
    </row>
    <row r="1763" spans="1:9" x14ac:dyDescent="0.25">
      <c r="A1763" t="s">
        <v>97</v>
      </c>
      <c r="B1763" t="s">
        <v>107</v>
      </c>
      <c r="C1763" t="s">
        <v>94</v>
      </c>
      <c r="D1763" t="s">
        <v>90</v>
      </c>
      <c r="E1763" t="s">
        <v>110</v>
      </c>
      <c r="F1763" s="6">
        <v>0.46875</v>
      </c>
      <c r="G1763">
        <v>1</v>
      </c>
      <c r="H1763" s="6">
        <f>FLOOR(tblPivotData[[#This Row],[Time]],Summary!$B$6/1440)</f>
        <v>0.46875</v>
      </c>
      <c r="I1763" s="49">
        <f>INDEX(PeakCalc!$L$10:$L$303,MATCH(tblPivotData[[#This Row],[Time]],PeakCalc!$G$10:$G$303,0))</f>
        <v>0</v>
      </c>
    </row>
    <row r="1764" spans="1:9" x14ac:dyDescent="0.25">
      <c r="A1764" t="s">
        <v>97</v>
      </c>
      <c r="B1764" t="s">
        <v>107</v>
      </c>
      <c r="C1764" t="s">
        <v>94</v>
      </c>
      <c r="D1764" t="s">
        <v>90</v>
      </c>
      <c r="E1764" t="s">
        <v>110</v>
      </c>
      <c r="F1764" s="6">
        <v>0.47916666666666669</v>
      </c>
      <c r="G1764">
        <v>0</v>
      </c>
      <c r="H1764" s="6">
        <f>FLOOR(tblPivotData[[#This Row],[Time]],Summary!$B$6/1440)</f>
        <v>0.47916666666666663</v>
      </c>
      <c r="I1764" s="49">
        <f>INDEX(PeakCalc!$L$10:$L$303,MATCH(tblPivotData[[#This Row],[Time]],PeakCalc!$G$10:$G$303,0))</f>
        <v>0</v>
      </c>
    </row>
    <row r="1765" spans="1:9" x14ac:dyDescent="0.25">
      <c r="A1765" t="s">
        <v>97</v>
      </c>
      <c r="B1765" t="s">
        <v>107</v>
      </c>
      <c r="C1765" t="s">
        <v>94</v>
      </c>
      <c r="D1765" t="s">
        <v>90</v>
      </c>
      <c r="E1765" t="s">
        <v>110</v>
      </c>
      <c r="F1765" s="6">
        <v>0.48958333333333331</v>
      </c>
      <c r="G1765">
        <v>1</v>
      </c>
      <c r="H1765" s="6">
        <f>FLOOR(tblPivotData[[#This Row],[Time]],Summary!$B$6/1440)</f>
        <v>0.48958333333333331</v>
      </c>
      <c r="I1765" s="49">
        <f>INDEX(PeakCalc!$L$10:$L$303,MATCH(tblPivotData[[#This Row],[Time]],PeakCalc!$G$10:$G$303,0))</f>
        <v>0</v>
      </c>
    </row>
    <row r="1766" spans="1:9" x14ac:dyDescent="0.25">
      <c r="A1766" t="s">
        <v>97</v>
      </c>
      <c r="B1766" t="s">
        <v>107</v>
      </c>
      <c r="C1766" t="s">
        <v>94</v>
      </c>
      <c r="D1766" t="s">
        <v>90</v>
      </c>
      <c r="E1766" t="s">
        <v>110</v>
      </c>
      <c r="F1766" s="6">
        <v>0.5</v>
      </c>
      <c r="G1766">
        <v>0</v>
      </c>
      <c r="H1766" s="6">
        <f>FLOOR(tblPivotData[[#This Row],[Time]],Summary!$B$6/1440)</f>
        <v>0.5</v>
      </c>
      <c r="I1766" s="49">
        <f>INDEX(PeakCalc!$L$10:$L$303,MATCH(tblPivotData[[#This Row],[Time]],PeakCalc!$G$10:$G$303,0))</f>
        <v>0</v>
      </c>
    </row>
    <row r="1767" spans="1:9" x14ac:dyDescent="0.25">
      <c r="A1767" t="s">
        <v>97</v>
      </c>
      <c r="B1767" t="s">
        <v>107</v>
      </c>
      <c r="C1767" t="s">
        <v>94</v>
      </c>
      <c r="D1767" t="s">
        <v>90</v>
      </c>
      <c r="E1767" t="s">
        <v>110</v>
      </c>
      <c r="F1767" s="6">
        <v>0.51041666666666663</v>
      </c>
      <c r="G1767">
        <v>3</v>
      </c>
      <c r="H1767" s="6">
        <f>FLOOR(tblPivotData[[#This Row],[Time]],Summary!$B$6/1440)</f>
        <v>0.51041666666666663</v>
      </c>
      <c r="I1767" s="49">
        <f>INDEX(PeakCalc!$L$10:$L$303,MATCH(tblPivotData[[#This Row],[Time]],PeakCalc!$G$10:$G$303,0))</f>
        <v>0</v>
      </c>
    </row>
    <row r="1768" spans="1:9" x14ac:dyDescent="0.25">
      <c r="A1768" t="s">
        <v>97</v>
      </c>
      <c r="B1768" t="s">
        <v>107</v>
      </c>
      <c r="C1768" t="s">
        <v>94</v>
      </c>
      <c r="D1768" t="s">
        <v>90</v>
      </c>
      <c r="E1768" t="s">
        <v>110</v>
      </c>
      <c r="F1768" s="6">
        <v>0.52083333333333337</v>
      </c>
      <c r="G1768">
        <v>1</v>
      </c>
      <c r="H1768" s="6">
        <f>FLOOR(tblPivotData[[#This Row],[Time]],Summary!$B$6/1440)</f>
        <v>0.52083333333333326</v>
      </c>
      <c r="I1768" s="49">
        <f>INDEX(PeakCalc!$L$10:$L$303,MATCH(tblPivotData[[#This Row],[Time]],PeakCalc!$G$10:$G$303,0))</f>
        <v>1</v>
      </c>
    </row>
    <row r="1769" spans="1:9" x14ac:dyDescent="0.25">
      <c r="A1769" t="s">
        <v>97</v>
      </c>
      <c r="B1769" t="s">
        <v>107</v>
      </c>
      <c r="C1769" t="s">
        <v>94</v>
      </c>
      <c r="D1769" t="s">
        <v>90</v>
      </c>
      <c r="E1769" t="s">
        <v>110</v>
      </c>
      <c r="F1769" s="6">
        <v>0.53125</v>
      </c>
      <c r="G1769">
        <v>3</v>
      </c>
      <c r="H1769" s="6">
        <f>FLOOR(tblPivotData[[#This Row],[Time]],Summary!$B$6/1440)</f>
        <v>0.53125</v>
      </c>
      <c r="I1769" s="49">
        <f>INDEX(PeakCalc!$L$10:$L$303,MATCH(tblPivotData[[#This Row],[Time]],PeakCalc!$G$10:$G$303,0))</f>
        <v>1</v>
      </c>
    </row>
    <row r="1770" spans="1:9" x14ac:dyDescent="0.25">
      <c r="A1770" t="s">
        <v>97</v>
      </c>
      <c r="B1770" t="s">
        <v>107</v>
      </c>
      <c r="C1770" t="s">
        <v>94</v>
      </c>
      <c r="D1770" t="s">
        <v>90</v>
      </c>
      <c r="E1770" t="s">
        <v>110</v>
      </c>
      <c r="F1770" s="6">
        <v>0.54166666666666663</v>
      </c>
      <c r="G1770">
        <v>0</v>
      </c>
      <c r="H1770" s="6">
        <f>FLOOR(tblPivotData[[#This Row],[Time]],Summary!$B$6/1440)</f>
        <v>0.54166666666666663</v>
      </c>
      <c r="I1770" s="49">
        <f>INDEX(PeakCalc!$L$10:$L$303,MATCH(tblPivotData[[#This Row],[Time]],PeakCalc!$G$10:$G$303,0))</f>
        <v>1</v>
      </c>
    </row>
    <row r="1771" spans="1:9" x14ac:dyDescent="0.25">
      <c r="A1771" t="s">
        <v>97</v>
      </c>
      <c r="B1771" t="s">
        <v>107</v>
      </c>
      <c r="C1771" t="s">
        <v>94</v>
      </c>
      <c r="D1771" t="s">
        <v>90</v>
      </c>
      <c r="E1771" t="s">
        <v>110</v>
      </c>
      <c r="F1771" s="6">
        <v>0.55208333333333337</v>
      </c>
      <c r="G1771">
        <v>0</v>
      </c>
      <c r="H1771" s="6">
        <f>FLOOR(tblPivotData[[#This Row],[Time]],Summary!$B$6/1440)</f>
        <v>0.55208333333333326</v>
      </c>
      <c r="I1771" s="49">
        <f>INDEX(PeakCalc!$L$10:$L$303,MATCH(tblPivotData[[#This Row],[Time]],PeakCalc!$G$10:$G$303,0))</f>
        <v>1</v>
      </c>
    </row>
    <row r="1772" spans="1:9" x14ac:dyDescent="0.25">
      <c r="A1772" t="s">
        <v>97</v>
      </c>
      <c r="B1772" t="s">
        <v>107</v>
      </c>
      <c r="C1772" t="s">
        <v>94</v>
      </c>
      <c r="D1772" t="s">
        <v>90</v>
      </c>
      <c r="E1772" t="s">
        <v>110</v>
      </c>
      <c r="F1772" s="6">
        <v>0.5625</v>
      </c>
      <c r="G1772">
        <v>0</v>
      </c>
      <c r="H1772" s="6">
        <f>FLOOR(tblPivotData[[#This Row],[Time]],Summary!$B$6/1440)</f>
        <v>0.5625</v>
      </c>
      <c r="I1772" s="49">
        <f>INDEX(PeakCalc!$L$10:$L$303,MATCH(tblPivotData[[#This Row],[Time]],PeakCalc!$G$10:$G$303,0))</f>
        <v>0</v>
      </c>
    </row>
    <row r="1773" spans="1:9" x14ac:dyDescent="0.25">
      <c r="A1773" t="s">
        <v>97</v>
      </c>
      <c r="B1773" t="s">
        <v>107</v>
      </c>
      <c r="C1773" t="s">
        <v>94</v>
      </c>
      <c r="D1773" t="s">
        <v>90</v>
      </c>
      <c r="E1773" t="s">
        <v>110</v>
      </c>
      <c r="F1773" s="6">
        <v>0.57291666666666663</v>
      </c>
      <c r="G1773">
        <v>1</v>
      </c>
      <c r="H1773" s="6">
        <f>FLOOR(tblPivotData[[#This Row],[Time]],Summary!$B$6/1440)</f>
        <v>0.57291666666666663</v>
      </c>
      <c r="I1773" s="49">
        <f>INDEX(PeakCalc!$L$10:$L$303,MATCH(tblPivotData[[#This Row],[Time]],PeakCalc!$G$10:$G$303,0))</f>
        <v>0</v>
      </c>
    </row>
    <row r="1774" spans="1:9" x14ac:dyDescent="0.25">
      <c r="A1774" t="s">
        <v>97</v>
      </c>
      <c r="B1774" t="s">
        <v>107</v>
      </c>
      <c r="C1774" t="s">
        <v>94</v>
      </c>
      <c r="D1774" t="s">
        <v>90</v>
      </c>
      <c r="E1774" t="s">
        <v>44</v>
      </c>
      <c r="F1774" s="6">
        <v>0.625</v>
      </c>
      <c r="G1774">
        <v>0</v>
      </c>
      <c r="H1774" s="6">
        <f>FLOOR(tblPivotData[[#This Row],[Time]],Summary!$B$6/1440)</f>
        <v>0.625</v>
      </c>
      <c r="I1774" s="49">
        <f>INDEX(PeakCalc!$L$10:$L$303,MATCH(tblPivotData[[#This Row],[Time]],PeakCalc!$G$10:$G$303,0))</f>
        <v>0</v>
      </c>
    </row>
    <row r="1775" spans="1:9" x14ac:dyDescent="0.25">
      <c r="A1775" t="s">
        <v>97</v>
      </c>
      <c r="B1775" t="s">
        <v>107</v>
      </c>
      <c r="C1775" t="s">
        <v>94</v>
      </c>
      <c r="D1775" t="s">
        <v>90</v>
      </c>
      <c r="E1775" t="s">
        <v>44</v>
      </c>
      <c r="F1775" s="6">
        <v>0.63541666666666663</v>
      </c>
      <c r="G1775">
        <v>1</v>
      </c>
      <c r="H1775" s="6">
        <f>FLOOR(tblPivotData[[#This Row],[Time]],Summary!$B$6/1440)</f>
        <v>0.63541666666666663</v>
      </c>
      <c r="I1775" s="49">
        <f>INDEX(PeakCalc!$L$10:$L$303,MATCH(tblPivotData[[#This Row],[Time]],PeakCalc!$G$10:$G$303,0))</f>
        <v>0</v>
      </c>
    </row>
    <row r="1776" spans="1:9" x14ac:dyDescent="0.25">
      <c r="A1776" t="s">
        <v>97</v>
      </c>
      <c r="B1776" t="s">
        <v>107</v>
      </c>
      <c r="C1776" t="s">
        <v>94</v>
      </c>
      <c r="D1776" t="s">
        <v>90</v>
      </c>
      <c r="E1776" t="s">
        <v>44</v>
      </c>
      <c r="F1776" s="6">
        <v>0.64583333333333337</v>
      </c>
      <c r="G1776">
        <v>1</v>
      </c>
      <c r="H1776" s="6">
        <f>FLOOR(tblPivotData[[#This Row],[Time]],Summary!$B$6/1440)</f>
        <v>0.64583333333333326</v>
      </c>
      <c r="I1776" s="49">
        <f>INDEX(PeakCalc!$L$10:$L$303,MATCH(tblPivotData[[#This Row],[Time]],PeakCalc!$G$10:$G$303,0))</f>
        <v>0</v>
      </c>
    </row>
    <row r="1777" spans="1:9" x14ac:dyDescent="0.25">
      <c r="A1777" t="s">
        <v>97</v>
      </c>
      <c r="B1777" t="s">
        <v>107</v>
      </c>
      <c r="C1777" t="s">
        <v>94</v>
      </c>
      <c r="D1777" t="s">
        <v>90</v>
      </c>
      <c r="E1777" t="s">
        <v>44</v>
      </c>
      <c r="F1777" s="6">
        <v>0.65625</v>
      </c>
      <c r="G1777">
        <v>0</v>
      </c>
      <c r="H1777" s="6">
        <f>FLOOR(tblPivotData[[#This Row],[Time]],Summary!$B$6/1440)</f>
        <v>0.65625</v>
      </c>
      <c r="I1777" s="49">
        <f>INDEX(PeakCalc!$L$10:$L$303,MATCH(tblPivotData[[#This Row],[Time]],PeakCalc!$G$10:$G$303,0))</f>
        <v>0</v>
      </c>
    </row>
    <row r="1778" spans="1:9" x14ac:dyDescent="0.25">
      <c r="A1778" t="s">
        <v>97</v>
      </c>
      <c r="B1778" t="s">
        <v>107</v>
      </c>
      <c r="C1778" t="s">
        <v>94</v>
      </c>
      <c r="D1778" t="s">
        <v>90</v>
      </c>
      <c r="E1778" t="s">
        <v>44</v>
      </c>
      <c r="F1778" s="6">
        <v>0.66666666666666663</v>
      </c>
      <c r="G1778">
        <v>0</v>
      </c>
      <c r="H1778" s="6">
        <f>FLOOR(tblPivotData[[#This Row],[Time]],Summary!$B$6/1440)</f>
        <v>0.66666666666666663</v>
      </c>
      <c r="I1778" s="49">
        <f>INDEX(PeakCalc!$L$10:$L$303,MATCH(tblPivotData[[#This Row],[Time]],PeakCalc!$G$10:$G$303,0))</f>
        <v>0</v>
      </c>
    </row>
    <row r="1779" spans="1:9" x14ac:dyDescent="0.25">
      <c r="A1779" t="s">
        <v>97</v>
      </c>
      <c r="B1779" t="s">
        <v>107</v>
      </c>
      <c r="C1779" t="s">
        <v>94</v>
      </c>
      <c r="D1779" t="s">
        <v>90</v>
      </c>
      <c r="E1779" t="s">
        <v>44</v>
      </c>
      <c r="F1779" s="6">
        <v>0.67708333333333337</v>
      </c>
      <c r="G1779">
        <v>1</v>
      </c>
      <c r="H1779" s="6">
        <f>FLOOR(tblPivotData[[#This Row],[Time]],Summary!$B$6/1440)</f>
        <v>0.67708333333333326</v>
      </c>
      <c r="I1779" s="49">
        <f>INDEX(PeakCalc!$L$10:$L$303,MATCH(tblPivotData[[#This Row],[Time]],PeakCalc!$G$10:$G$303,0))</f>
        <v>0</v>
      </c>
    </row>
    <row r="1780" spans="1:9" x14ac:dyDescent="0.25">
      <c r="A1780" t="s">
        <v>97</v>
      </c>
      <c r="B1780" t="s">
        <v>107</v>
      </c>
      <c r="C1780" t="s">
        <v>94</v>
      </c>
      <c r="D1780" t="s">
        <v>90</v>
      </c>
      <c r="E1780" t="s">
        <v>44</v>
      </c>
      <c r="F1780" s="6">
        <v>0.6875</v>
      </c>
      <c r="G1780">
        <v>2</v>
      </c>
      <c r="H1780" s="6">
        <f>FLOOR(tblPivotData[[#This Row],[Time]],Summary!$B$6/1440)</f>
        <v>0.6875</v>
      </c>
      <c r="I1780" s="49">
        <f>INDEX(PeakCalc!$L$10:$L$303,MATCH(tblPivotData[[#This Row],[Time]],PeakCalc!$G$10:$G$303,0))</f>
        <v>1</v>
      </c>
    </row>
    <row r="1781" spans="1:9" x14ac:dyDescent="0.25">
      <c r="A1781" t="s">
        <v>97</v>
      </c>
      <c r="B1781" t="s">
        <v>107</v>
      </c>
      <c r="C1781" t="s">
        <v>94</v>
      </c>
      <c r="D1781" t="s">
        <v>90</v>
      </c>
      <c r="E1781" t="s">
        <v>44</v>
      </c>
      <c r="F1781" s="6">
        <v>0.69791666666666663</v>
      </c>
      <c r="G1781">
        <v>0</v>
      </c>
      <c r="H1781" s="6">
        <f>FLOOR(tblPivotData[[#This Row],[Time]],Summary!$B$6/1440)</f>
        <v>0.69791666666666663</v>
      </c>
      <c r="I1781" s="49">
        <f>INDEX(PeakCalc!$L$10:$L$303,MATCH(tblPivotData[[#This Row],[Time]],PeakCalc!$G$10:$G$303,0))</f>
        <v>1</v>
      </c>
    </row>
    <row r="1782" spans="1:9" x14ac:dyDescent="0.25">
      <c r="A1782" t="s">
        <v>97</v>
      </c>
      <c r="B1782" t="s">
        <v>107</v>
      </c>
      <c r="C1782" t="s">
        <v>94</v>
      </c>
      <c r="D1782" t="s">
        <v>90</v>
      </c>
      <c r="E1782" t="s">
        <v>44</v>
      </c>
      <c r="F1782" s="6">
        <v>0.70833333333333337</v>
      </c>
      <c r="G1782">
        <v>0</v>
      </c>
      <c r="H1782" s="6">
        <f>FLOOR(tblPivotData[[#This Row],[Time]],Summary!$B$6/1440)</f>
        <v>0.70833333333333326</v>
      </c>
      <c r="I1782" s="49">
        <f>INDEX(PeakCalc!$L$10:$L$303,MATCH(tblPivotData[[#This Row],[Time]],PeakCalc!$G$10:$G$303,0))</f>
        <v>1</v>
      </c>
    </row>
    <row r="1783" spans="1:9" x14ac:dyDescent="0.25">
      <c r="A1783" t="s">
        <v>97</v>
      </c>
      <c r="B1783" t="s">
        <v>107</v>
      </c>
      <c r="C1783" t="s">
        <v>94</v>
      </c>
      <c r="D1783" t="s">
        <v>90</v>
      </c>
      <c r="E1783" t="s">
        <v>44</v>
      </c>
      <c r="F1783" s="6">
        <v>0.71875</v>
      </c>
      <c r="G1783">
        <v>0</v>
      </c>
      <c r="H1783" s="6">
        <f>FLOOR(tblPivotData[[#This Row],[Time]],Summary!$B$6/1440)</f>
        <v>0.71875</v>
      </c>
      <c r="I1783" s="49">
        <f>INDEX(PeakCalc!$L$10:$L$303,MATCH(tblPivotData[[#This Row],[Time]],PeakCalc!$G$10:$G$303,0))</f>
        <v>1</v>
      </c>
    </row>
    <row r="1784" spans="1:9" x14ac:dyDescent="0.25">
      <c r="A1784" t="s">
        <v>97</v>
      </c>
      <c r="B1784" t="s">
        <v>107</v>
      </c>
      <c r="C1784" t="s">
        <v>94</v>
      </c>
      <c r="D1784" t="s">
        <v>90</v>
      </c>
      <c r="E1784" t="s">
        <v>44</v>
      </c>
      <c r="F1784" s="6">
        <v>0.72916666666666663</v>
      </c>
      <c r="G1784">
        <v>1</v>
      </c>
      <c r="H1784" s="6">
        <f>FLOOR(tblPivotData[[#This Row],[Time]],Summary!$B$6/1440)</f>
        <v>0.72916666666666663</v>
      </c>
      <c r="I1784" s="49">
        <f>INDEX(PeakCalc!$L$10:$L$303,MATCH(tblPivotData[[#This Row],[Time]],PeakCalc!$G$10:$G$303,0))</f>
        <v>0</v>
      </c>
    </row>
    <row r="1785" spans="1:9" x14ac:dyDescent="0.25">
      <c r="A1785" t="s">
        <v>97</v>
      </c>
      <c r="B1785" t="s">
        <v>107</v>
      </c>
      <c r="C1785" t="s">
        <v>94</v>
      </c>
      <c r="D1785" t="s">
        <v>90</v>
      </c>
      <c r="E1785" t="s">
        <v>44</v>
      </c>
      <c r="F1785" s="6">
        <v>0.73958333333333337</v>
      </c>
      <c r="G1785">
        <v>1</v>
      </c>
      <c r="H1785" s="6">
        <f>FLOOR(tblPivotData[[#This Row],[Time]],Summary!$B$6/1440)</f>
        <v>0.73958333333333326</v>
      </c>
      <c r="I1785" s="49">
        <f>INDEX(PeakCalc!$L$10:$L$303,MATCH(tblPivotData[[#This Row],[Time]],PeakCalc!$G$10:$G$303,0))</f>
        <v>0</v>
      </c>
    </row>
    <row r="1786" spans="1:9" x14ac:dyDescent="0.25">
      <c r="A1786" t="s">
        <v>97</v>
      </c>
      <c r="B1786" t="s">
        <v>107</v>
      </c>
      <c r="C1786" t="s">
        <v>94</v>
      </c>
      <c r="D1786" t="s">
        <v>90</v>
      </c>
      <c r="E1786" t="s">
        <v>44</v>
      </c>
      <c r="F1786" s="6">
        <v>0.75</v>
      </c>
      <c r="G1786">
        <v>1</v>
      </c>
      <c r="H1786" s="6">
        <f>FLOOR(tblPivotData[[#This Row],[Time]],Summary!$B$6/1440)</f>
        <v>0.75</v>
      </c>
      <c r="I1786" s="49">
        <f>INDEX(PeakCalc!$L$10:$L$303,MATCH(tblPivotData[[#This Row],[Time]],PeakCalc!$G$10:$G$303,0))</f>
        <v>0</v>
      </c>
    </row>
    <row r="1787" spans="1:9" x14ac:dyDescent="0.25">
      <c r="A1787" t="s">
        <v>97</v>
      </c>
      <c r="B1787" t="s">
        <v>107</v>
      </c>
      <c r="C1787" t="s">
        <v>94</v>
      </c>
      <c r="D1787" t="s">
        <v>90</v>
      </c>
      <c r="E1787" t="s">
        <v>44</v>
      </c>
      <c r="F1787" s="6">
        <v>0.76041666666666663</v>
      </c>
      <c r="G1787">
        <v>0</v>
      </c>
      <c r="H1787" s="6">
        <f>FLOOR(tblPivotData[[#This Row],[Time]],Summary!$B$6/1440)</f>
        <v>0.76041666666666663</v>
      </c>
      <c r="I1787" s="49">
        <f>INDEX(PeakCalc!$L$10:$L$303,MATCH(tblPivotData[[#This Row],[Time]],PeakCalc!$G$10:$G$303,0))</f>
        <v>0</v>
      </c>
    </row>
    <row r="1788" spans="1:9" x14ac:dyDescent="0.25">
      <c r="A1788" t="s">
        <v>97</v>
      </c>
      <c r="B1788" t="s">
        <v>107</v>
      </c>
      <c r="C1788" t="s">
        <v>94</v>
      </c>
      <c r="D1788" t="s">
        <v>91</v>
      </c>
      <c r="E1788" t="s">
        <v>43</v>
      </c>
      <c r="F1788" s="6">
        <v>0.27083333333333331</v>
      </c>
      <c r="G1788">
        <v>0</v>
      </c>
      <c r="H1788" s="6">
        <f>FLOOR(tblPivotData[[#This Row],[Time]],Summary!$B$6/1440)</f>
        <v>0.27083333333333331</v>
      </c>
      <c r="I1788" s="49">
        <f>INDEX(PeakCalc!$L$10:$L$303,MATCH(tblPivotData[[#This Row],[Time]],PeakCalc!$G$10:$G$303,0))</f>
        <v>0</v>
      </c>
    </row>
    <row r="1789" spans="1:9" x14ac:dyDescent="0.25">
      <c r="A1789" t="s">
        <v>97</v>
      </c>
      <c r="B1789" t="s">
        <v>107</v>
      </c>
      <c r="C1789" t="s">
        <v>94</v>
      </c>
      <c r="D1789" t="s">
        <v>91</v>
      </c>
      <c r="E1789" t="s">
        <v>43</v>
      </c>
      <c r="F1789" s="6">
        <v>0.28125</v>
      </c>
      <c r="G1789">
        <v>1</v>
      </c>
      <c r="H1789" s="6">
        <f>FLOOR(tblPivotData[[#This Row],[Time]],Summary!$B$6/1440)</f>
        <v>0.28125</v>
      </c>
      <c r="I1789" s="49">
        <f>INDEX(PeakCalc!$L$10:$L$303,MATCH(tblPivotData[[#This Row],[Time]],PeakCalc!$G$10:$G$303,0))</f>
        <v>0</v>
      </c>
    </row>
    <row r="1790" spans="1:9" x14ac:dyDescent="0.25">
      <c r="A1790" t="s">
        <v>97</v>
      </c>
      <c r="B1790" t="s">
        <v>107</v>
      </c>
      <c r="C1790" t="s">
        <v>94</v>
      </c>
      <c r="D1790" t="s">
        <v>91</v>
      </c>
      <c r="E1790" t="s">
        <v>43</v>
      </c>
      <c r="F1790" s="6">
        <v>0.29166666666666669</v>
      </c>
      <c r="G1790">
        <v>0</v>
      </c>
      <c r="H1790" s="6">
        <f>FLOOR(tblPivotData[[#This Row],[Time]],Summary!$B$6/1440)</f>
        <v>0.29166666666666663</v>
      </c>
      <c r="I1790" s="49">
        <f>INDEX(PeakCalc!$L$10:$L$303,MATCH(tblPivotData[[#This Row],[Time]],PeakCalc!$G$10:$G$303,0))</f>
        <v>0</v>
      </c>
    </row>
    <row r="1791" spans="1:9" x14ac:dyDescent="0.25">
      <c r="A1791" t="s">
        <v>97</v>
      </c>
      <c r="B1791" t="s">
        <v>107</v>
      </c>
      <c r="C1791" t="s">
        <v>94</v>
      </c>
      <c r="D1791" t="s">
        <v>91</v>
      </c>
      <c r="E1791" t="s">
        <v>43</v>
      </c>
      <c r="F1791" s="6">
        <v>0.30208333333333331</v>
      </c>
      <c r="G1791">
        <v>4</v>
      </c>
      <c r="H1791" s="6">
        <f>FLOOR(tblPivotData[[#This Row],[Time]],Summary!$B$6/1440)</f>
        <v>0.30208333333333331</v>
      </c>
      <c r="I1791" s="49">
        <f>INDEX(PeakCalc!$L$10:$L$303,MATCH(tblPivotData[[#This Row],[Time]],PeakCalc!$G$10:$G$303,0))</f>
        <v>0</v>
      </c>
    </row>
    <row r="1792" spans="1:9" x14ac:dyDescent="0.25">
      <c r="A1792" t="s">
        <v>97</v>
      </c>
      <c r="B1792" t="s">
        <v>107</v>
      </c>
      <c r="C1792" t="s">
        <v>94</v>
      </c>
      <c r="D1792" t="s">
        <v>91</v>
      </c>
      <c r="E1792" t="s">
        <v>43</v>
      </c>
      <c r="F1792" s="6">
        <v>0.3125</v>
      </c>
      <c r="G1792">
        <v>0</v>
      </c>
      <c r="H1792" s="6">
        <f>FLOOR(tblPivotData[[#This Row],[Time]],Summary!$B$6/1440)</f>
        <v>0.3125</v>
      </c>
      <c r="I1792" s="49">
        <f>INDEX(PeakCalc!$L$10:$L$303,MATCH(tblPivotData[[#This Row],[Time]],PeakCalc!$G$10:$G$303,0))</f>
        <v>0</v>
      </c>
    </row>
    <row r="1793" spans="1:9" x14ac:dyDescent="0.25">
      <c r="A1793" t="s">
        <v>97</v>
      </c>
      <c r="B1793" t="s">
        <v>107</v>
      </c>
      <c r="C1793" t="s">
        <v>94</v>
      </c>
      <c r="D1793" t="s">
        <v>91</v>
      </c>
      <c r="E1793" t="s">
        <v>43</v>
      </c>
      <c r="F1793" s="6">
        <v>0.32291666666666669</v>
      </c>
      <c r="G1793">
        <v>2</v>
      </c>
      <c r="H1793" s="6">
        <f>FLOOR(tblPivotData[[#This Row],[Time]],Summary!$B$6/1440)</f>
        <v>0.32291666666666663</v>
      </c>
      <c r="I1793" s="49">
        <f>INDEX(PeakCalc!$L$10:$L$303,MATCH(tblPivotData[[#This Row],[Time]],PeakCalc!$G$10:$G$303,0))</f>
        <v>1</v>
      </c>
    </row>
    <row r="1794" spans="1:9" x14ac:dyDescent="0.25">
      <c r="A1794" t="s">
        <v>97</v>
      </c>
      <c r="B1794" t="s">
        <v>107</v>
      </c>
      <c r="C1794" t="s">
        <v>94</v>
      </c>
      <c r="D1794" t="s">
        <v>91</v>
      </c>
      <c r="E1794" t="s">
        <v>43</v>
      </c>
      <c r="F1794" s="6">
        <v>0.33333333333333331</v>
      </c>
      <c r="G1794">
        <v>1</v>
      </c>
      <c r="H1794" s="6">
        <f>FLOOR(tblPivotData[[#This Row],[Time]],Summary!$B$6/1440)</f>
        <v>0.33333333333333331</v>
      </c>
      <c r="I1794" s="49">
        <f>INDEX(PeakCalc!$L$10:$L$303,MATCH(tblPivotData[[#This Row],[Time]],PeakCalc!$G$10:$G$303,0))</f>
        <v>1</v>
      </c>
    </row>
    <row r="1795" spans="1:9" x14ac:dyDescent="0.25">
      <c r="A1795" t="s">
        <v>97</v>
      </c>
      <c r="B1795" t="s">
        <v>107</v>
      </c>
      <c r="C1795" t="s">
        <v>94</v>
      </c>
      <c r="D1795" t="s">
        <v>91</v>
      </c>
      <c r="E1795" t="s">
        <v>43</v>
      </c>
      <c r="F1795" s="6">
        <v>0.34375</v>
      </c>
      <c r="G1795">
        <v>6</v>
      </c>
      <c r="H1795" s="6">
        <f>FLOOR(tblPivotData[[#This Row],[Time]],Summary!$B$6/1440)</f>
        <v>0.34375</v>
      </c>
      <c r="I1795" s="49">
        <f>INDEX(PeakCalc!$L$10:$L$303,MATCH(tblPivotData[[#This Row],[Time]],PeakCalc!$G$10:$G$303,0))</f>
        <v>1</v>
      </c>
    </row>
    <row r="1796" spans="1:9" x14ac:dyDescent="0.25">
      <c r="A1796" t="s">
        <v>97</v>
      </c>
      <c r="B1796" t="s">
        <v>107</v>
      </c>
      <c r="C1796" t="s">
        <v>94</v>
      </c>
      <c r="D1796" t="s">
        <v>91</v>
      </c>
      <c r="E1796" t="s">
        <v>43</v>
      </c>
      <c r="F1796" s="6">
        <v>0.35416666666666669</v>
      </c>
      <c r="G1796">
        <v>1</v>
      </c>
      <c r="H1796" s="6">
        <f>FLOOR(tblPivotData[[#This Row],[Time]],Summary!$B$6/1440)</f>
        <v>0.35416666666666663</v>
      </c>
      <c r="I1796" s="49">
        <f>INDEX(PeakCalc!$L$10:$L$303,MATCH(tblPivotData[[#This Row],[Time]],PeakCalc!$G$10:$G$303,0))</f>
        <v>1</v>
      </c>
    </row>
    <row r="1797" spans="1:9" x14ac:dyDescent="0.25">
      <c r="A1797" t="s">
        <v>97</v>
      </c>
      <c r="B1797" t="s">
        <v>107</v>
      </c>
      <c r="C1797" t="s">
        <v>94</v>
      </c>
      <c r="D1797" t="s">
        <v>91</v>
      </c>
      <c r="E1797" t="s">
        <v>43</v>
      </c>
      <c r="F1797" s="6">
        <v>0.36458333333333331</v>
      </c>
      <c r="G1797">
        <v>1</v>
      </c>
      <c r="H1797" s="6">
        <f>FLOOR(tblPivotData[[#This Row],[Time]],Summary!$B$6/1440)</f>
        <v>0.36458333333333331</v>
      </c>
      <c r="I1797" s="49">
        <f>INDEX(PeakCalc!$L$10:$L$303,MATCH(tblPivotData[[#This Row],[Time]],PeakCalc!$G$10:$G$303,0))</f>
        <v>0</v>
      </c>
    </row>
    <row r="1798" spans="1:9" x14ac:dyDescent="0.25">
      <c r="A1798" t="s">
        <v>97</v>
      </c>
      <c r="B1798" t="s">
        <v>107</v>
      </c>
      <c r="C1798" t="s">
        <v>94</v>
      </c>
      <c r="D1798" t="s">
        <v>91</v>
      </c>
      <c r="E1798" t="s">
        <v>43</v>
      </c>
      <c r="F1798" s="6">
        <v>0.375</v>
      </c>
      <c r="G1798">
        <v>3</v>
      </c>
      <c r="H1798" s="6">
        <f>FLOOR(tblPivotData[[#This Row],[Time]],Summary!$B$6/1440)</f>
        <v>0.375</v>
      </c>
      <c r="I1798" s="49">
        <f>INDEX(PeakCalc!$L$10:$L$303,MATCH(tblPivotData[[#This Row],[Time]],PeakCalc!$G$10:$G$303,0))</f>
        <v>0</v>
      </c>
    </row>
    <row r="1799" spans="1:9" x14ac:dyDescent="0.25">
      <c r="A1799" t="s">
        <v>97</v>
      </c>
      <c r="B1799" t="s">
        <v>107</v>
      </c>
      <c r="C1799" t="s">
        <v>94</v>
      </c>
      <c r="D1799" t="s">
        <v>91</v>
      </c>
      <c r="E1799" t="s">
        <v>43</v>
      </c>
      <c r="F1799" s="6">
        <v>0.38541666666666669</v>
      </c>
      <c r="G1799">
        <v>2</v>
      </c>
      <c r="H1799" s="6">
        <f>FLOOR(tblPivotData[[#This Row],[Time]],Summary!$B$6/1440)</f>
        <v>0.38541666666666663</v>
      </c>
      <c r="I1799" s="49">
        <f>INDEX(PeakCalc!$L$10:$L$303,MATCH(tblPivotData[[#This Row],[Time]],PeakCalc!$G$10:$G$303,0))</f>
        <v>0</v>
      </c>
    </row>
    <row r="1800" spans="1:9" x14ac:dyDescent="0.25">
      <c r="A1800" t="s">
        <v>97</v>
      </c>
      <c r="B1800" t="s">
        <v>107</v>
      </c>
      <c r="C1800" t="s">
        <v>94</v>
      </c>
      <c r="D1800" t="s">
        <v>91</v>
      </c>
      <c r="E1800" t="s">
        <v>110</v>
      </c>
      <c r="F1800" s="6">
        <v>0.45833333333333331</v>
      </c>
      <c r="G1800">
        <v>2</v>
      </c>
      <c r="H1800" s="6">
        <f>FLOOR(tblPivotData[[#This Row],[Time]],Summary!$B$6/1440)</f>
        <v>0.45833333333333331</v>
      </c>
      <c r="I1800" s="49">
        <f>INDEX(PeakCalc!$L$10:$L$303,MATCH(tblPivotData[[#This Row],[Time]],PeakCalc!$G$10:$G$303,0))</f>
        <v>0</v>
      </c>
    </row>
    <row r="1801" spans="1:9" x14ac:dyDescent="0.25">
      <c r="A1801" t="s">
        <v>97</v>
      </c>
      <c r="B1801" t="s">
        <v>107</v>
      </c>
      <c r="C1801" t="s">
        <v>94</v>
      </c>
      <c r="D1801" t="s">
        <v>91</v>
      </c>
      <c r="E1801" t="s">
        <v>110</v>
      </c>
      <c r="F1801" s="6">
        <v>0.46875</v>
      </c>
      <c r="G1801">
        <v>2</v>
      </c>
      <c r="H1801" s="6">
        <f>FLOOR(tblPivotData[[#This Row],[Time]],Summary!$B$6/1440)</f>
        <v>0.46875</v>
      </c>
      <c r="I1801" s="49">
        <f>INDEX(PeakCalc!$L$10:$L$303,MATCH(tblPivotData[[#This Row],[Time]],PeakCalc!$G$10:$G$303,0))</f>
        <v>0</v>
      </c>
    </row>
    <row r="1802" spans="1:9" x14ac:dyDescent="0.25">
      <c r="A1802" t="s">
        <v>97</v>
      </c>
      <c r="B1802" t="s">
        <v>107</v>
      </c>
      <c r="C1802" t="s">
        <v>94</v>
      </c>
      <c r="D1802" t="s">
        <v>91</v>
      </c>
      <c r="E1802" t="s">
        <v>110</v>
      </c>
      <c r="F1802" s="6">
        <v>0.47916666666666669</v>
      </c>
      <c r="G1802">
        <v>0</v>
      </c>
      <c r="H1802" s="6">
        <f>FLOOR(tblPivotData[[#This Row],[Time]],Summary!$B$6/1440)</f>
        <v>0.47916666666666663</v>
      </c>
      <c r="I1802" s="49">
        <f>INDEX(PeakCalc!$L$10:$L$303,MATCH(tblPivotData[[#This Row],[Time]],PeakCalc!$G$10:$G$303,0))</f>
        <v>0</v>
      </c>
    </row>
    <row r="1803" spans="1:9" x14ac:dyDescent="0.25">
      <c r="A1803" t="s">
        <v>97</v>
      </c>
      <c r="B1803" t="s">
        <v>107</v>
      </c>
      <c r="C1803" t="s">
        <v>94</v>
      </c>
      <c r="D1803" t="s">
        <v>91</v>
      </c>
      <c r="E1803" t="s">
        <v>110</v>
      </c>
      <c r="F1803" s="6">
        <v>0.48958333333333331</v>
      </c>
      <c r="G1803">
        <v>2</v>
      </c>
      <c r="H1803" s="6">
        <f>FLOOR(tblPivotData[[#This Row],[Time]],Summary!$B$6/1440)</f>
        <v>0.48958333333333331</v>
      </c>
      <c r="I1803" s="49">
        <f>INDEX(PeakCalc!$L$10:$L$303,MATCH(tblPivotData[[#This Row],[Time]],PeakCalc!$G$10:$G$303,0))</f>
        <v>0</v>
      </c>
    </row>
    <row r="1804" spans="1:9" x14ac:dyDescent="0.25">
      <c r="A1804" t="s">
        <v>97</v>
      </c>
      <c r="B1804" t="s">
        <v>107</v>
      </c>
      <c r="C1804" t="s">
        <v>94</v>
      </c>
      <c r="D1804" t="s">
        <v>91</v>
      </c>
      <c r="E1804" t="s">
        <v>110</v>
      </c>
      <c r="F1804" s="6">
        <v>0.5</v>
      </c>
      <c r="G1804">
        <v>0</v>
      </c>
      <c r="H1804" s="6">
        <f>FLOOR(tblPivotData[[#This Row],[Time]],Summary!$B$6/1440)</f>
        <v>0.5</v>
      </c>
      <c r="I1804" s="49">
        <f>INDEX(PeakCalc!$L$10:$L$303,MATCH(tblPivotData[[#This Row],[Time]],PeakCalc!$G$10:$G$303,0))</f>
        <v>0</v>
      </c>
    </row>
    <row r="1805" spans="1:9" x14ac:dyDescent="0.25">
      <c r="A1805" t="s">
        <v>97</v>
      </c>
      <c r="B1805" t="s">
        <v>107</v>
      </c>
      <c r="C1805" t="s">
        <v>94</v>
      </c>
      <c r="D1805" t="s">
        <v>91</v>
      </c>
      <c r="E1805" t="s">
        <v>110</v>
      </c>
      <c r="F1805" s="6">
        <v>0.51041666666666663</v>
      </c>
      <c r="G1805">
        <v>0</v>
      </c>
      <c r="H1805" s="6">
        <f>FLOOR(tblPivotData[[#This Row],[Time]],Summary!$B$6/1440)</f>
        <v>0.51041666666666663</v>
      </c>
      <c r="I1805" s="49">
        <f>INDEX(PeakCalc!$L$10:$L$303,MATCH(tblPivotData[[#This Row],[Time]],PeakCalc!$G$10:$G$303,0))</f>
        <v>0</v>
      </c>
    </row>
    <row r="1806" spans="1:9" x14ac:dyDescent="0.25">
      <c r="A1806" t="s">
        <v>97</v>
      </c>
      <c r="B1806" t="s">
        <v>107</v>
      </c>
      <c r="C1806" t="s">
        <v>94</v>
      </c>
      <c r="D1806" t="s">
        <v>91</v>
      </c>
      <c r="E1806" t="s">
        <v>110</v>
      </c>
      <c r="F1806" s="6">
        <v>0.52083333333333337</v>
      </c>
      <c r="G1806">
        <v>3</v>
      </c>
      <c r="H1806" s="6">
        <f>FLOOR(tblPivotData[[#This Row],[Time]],Summary!$B$6/1440)</f>
        <v>0.52083333333333326</v>
      </c>
      <c r="I1806" s="49">
        <f>INDEX(PeakCalc!$L$10:$L$303,MATCH(tblPivotData[[#This Row],[Time]],PeakCalc!$G$10:$G$303,0))</f>
        <v>1</v>
      </c>
    </row>
    <row r="1807" spans="1:9" x14ac:dyDescent="0.25">
      <c r="A1807" t="s">
        <v>97</v>
      </c>
      <c r="B1807" t="s">
        <v>107</v>
      </c>
      <c r="C1807" t="s">
        <v>94</v>
      </c>
      <c r="D1807" t="s">
        <v>91</v>
      </c>
      <c r="E1807" t="s">
        <v>110</v>
      </c>
      <c r="F1807" s="6">
        <v>0.53125</v>
      </c>
      <c r="G1807">
        <v>2</v>
      </c>
      <c r="H1807" s="6">
        <f>FLOOR(tblPivotData[[#This Row],[Time]],Summary!$B$6/1440)</f>
        <v>0.53125</v>
      </c>
      <c r="I1807" s="49">
        <f>INDEX(PeakCalc!$L$10:$L$303,MATCH(tblPivotData[[#This Row],[Time]],PeakCalc!$G$10:$G$303,0))</f>
        <v>1</v>
      </c>
    </row>
    <row r="1808" spans="1:9" x14ac:dyDescent="0.25">
      <c r="A1808" t="s">
        <v>97</v>
      </c>
      <c r="B1808" t="s">
        <v>107</v>
      </c>
      <c r="C1808" t="s">
        <v>94</v>
      </c>
      <c r="D1808" t="s">
        <v>91</v>
      </c>
      <c r="E1808" t="s">
        <v>110</v>
      </c>
      <c r="F1808" s="6">
        <v>0.54166666666666663</v>
      </c>
      <c r="G1808">
        <v>2</v>
      </c>
      <c r="H1808" s="6">
        <f>FLOOR(tblPivotData[[#This Row],[Time]],Summary!$B$6/1440)</f>
        <v>0.54166666666666663</v>
      </c>
      <c r="I1808" s="49">
        <f>INDEX(PeakCalc!$L$10:$L$303,MATCH(tblPivotData[[#This Row],[Time]],PeakCalc!$G$10:$G$303,0))</f>
        <v>1</v>
      </c>
    </row>
    <row r="1809" spans="1:9" x14ac:dyDescent="0.25">
      <c r="A1809" t="s">
        <v>97</v>
      </c>
      <c r="B1809" t="s">
        <v>107</v>
      </c>
      <c r="C1809" t="s">
        <v>94</v>
      </c>
      <c r="D1809" t="s">
        <v>91</v>
      </c>
      <c r="E1809" t="s">
        <v>110</v>
      </c>
      <c r="F1809" s="6">
        <v>0.55208333333333337</v>
      </c>
      <c r="G1809">
        <v>2</v>
      </c>
      <c r="H1809" s="6">
        <f>FLOOR(tblPivotData[[#This Row],[Time]],Summary!$B$6/1440)</f>
        <v>0.55208333333333326</v>
      </c>
      <c r="I1809" s="49">
        <f>INDEX(PeakCalc!$L$10:$L$303,MATCH(tblPivotData[[#This Row],[Time]],PeakCalc!$G$10:$G$303,0))</f>
        <v>1</v>
      </c>
    </row>
    <row r="1810" spans="1:9" x14ac:dyDescent="0.25">
      <c r="A1810" t="s">
        <v>97</v>
      </c>
      <c r="B1810" t="s">
        <v>107</v>
      </c>
      <c r="C1810" t="s">
        <v>94</v>
      </c>
      <c r="D1810" t="s">
        <v>91</v>
      </c>
      <c r="E1810" t="s">
        <v>110</v>
      </c>
      <c r="F1810" s="6">
        <v>0.5625</v>
      </c>
      <c r="G1810">
        <v>2</v>
      </c>
      <c r="H1810" s="6">
        <f>FLOOR(tblPivotData[[#This Row],[Time]],Summary!$B$6/1440)</f>
        <v>0.5625</v>
      </c>
      <c r="I1810" s="49">
        <f>INDEX(PeakCalc!$L$10:$L$303,MATCH(tblPivotData[[#This Row],[Time]],PeakCalc!$G$10:$G$303,0))</f>
        <v>0</v>
      </c>
    </row>
    <row r="1811" spans="1:9" x14ac:dyDescent="0.25">
      <c r="A1811" t="s">
        <v>97</v>
      </c>
      <c r="B1811" t="s">
        <v>107</v>
      </c>
      <c r="C1811" t="s">
        <v>94</v>
      </c>
      <c r="D1811" t="s">
        <v>91</v>
      </c>
      <c r="E1811" t="s">
        <v>110</v>
      </c>
      <c r="F1811" s="6">
        <v>0.57291666666666663</v>
      </c>
      <c r="G1811">
        <v>0</v>
      </c>
      <c r="H1811" s="6">
        <f>FLOOR(tblPivotData[[#This Row],[Time]],Summary!$B$6/1440)</f>
        <v>0.57291666666666663</v>
      </c>
      <c r="I1811" s="49">
        <f>INDEX(PeakCalc!$L$10:$L$303,MATCH(tblPivotData[[#This Row],[Time]],PeakCalc!$G$10:$G$303,0))</f>
        <v>0</v>
      </c>
    </row>
    <row r="1812" spans="1:9" x14ac:dyDescent="0.25">
      <c r="A1812" t="s">
        <v>97</v>
      </c>
      <c r="B1812" t="s">
        <v>107</v>
      </c>
      <c r="C1812" t="s">
        <v>94</v>
      </c>
      <c r="D1812" t="s">
        <v>91</v>
      </c>
      <c r="E1812" t="s">
        <v>44</v>
      </c>
      <c r="F1812" s="6">
        <v>0.625</v>
      </c>
      <c r="G1812">
        <v>1</v>
      </c>
      <c r="H1812" s="6">
        <f>FLOOR(tblPivotData[[#This Row],[Time]],Summary!$B$6/1440)</f>
        <v>0.625</v>
      </c>
      <c r="I1812" s="49">
        <f>INDEX(PeakCalc!$L$10:$L$303,MATCH(tblPivotData[[#This Row],[Time]],PeakCalc!$G$10:$G$303,0))</f>
        <v>0</v>
      </c>
    </row>
    <row r="1813" spans="1:9" x14ac:dyDescent="0.25">
      <c r="A1813" t="s">
        <v>97</v>
      </c>
      <c r="B1813" t="s">
        <v>107</v>
      </c>
      <c r="C1813" t="s">
        <v>94</v>
      </c>
      <c r="D1813" t="s">
        <v>91</v>
      </c>
      <c r="E1813" t="s">
        <v>44</v>
      </c>
      <c r="F1813" s="6">
        <v>0.63541666666666663</v>
      </c>
      <c r="G1813">
        <v>4</v>
      </c>
      <c r="H1813" s="6">
        <f>FLOOR(tblPivotData[[#This Row],[Time]],Summary!$B$6/1440)</f>
        <v>0.63541666666666663</v>
      </c>
      <c r="I1813" s="49">
        <f>INDEX(PeakCalc!$L$10:$L$303,MATCH(tblPivotData[[#This Row],[Time]],PeakCalc!$G$10:$G$303,0))</f>
        <v>0</v>
      </c>
    </row>
    <row r="1814" spans="1:9" x14ac:dyDescent="0.25">
      <c r="A1814" t="s">
        <v>97</v>
      </c>
      <c r="B1814" t="s">
        <v>107</v>
      </c>
      <c r="C1814" t="s">
        <v>94</v>
      </c>
      <c r="D1814" t="s">
        <v>91</v>
      </c>
      <c r="E1814" t="s">
        <v>44</v>
      </c>
      <c r="F1814" s="6">
        <v>0.64583333333333337</v>
      </c>
      <c r="G1814">
        <v>2</v>
      </c>
      <c r="H1814" s="6">
        <f>FLOOR(tblPivotData[[#This Row],[Time]],Summary!$B$6/1440)</f>
        <v>0.64583333333333326</v>
      </c>
      <c r="I1814" s="49">
        <f>INDEX(PeakCalc!$L$10:$L$303,MATCH(tblPivotData[[#This Row],[Time]],PeakCalc!$G$10:$G$303,0))</f>
        <v>0</v>
      </c>
    </row>
    <row r="1815" spans="1:9" x14ac:dyDescent="0.25">
      <c r="A1815" t="s">
        <v>97</v>
      </c>
      <c r="B1815" t="s">
        <v>107</v>
      </c>
      <c r="C1815" t="s">
        <v>94</v>
      </c>
      <c r="D1815" t="s">
        <v>91</v>
      </c>
      <c r="E1815" t="s">
        <v>44</v>
      </c>
      <c r="F1815" s="6">
        <v>0.65625</v>
      </c>
      <c r="G1815">
        <v>2</v>
      </c>
      <c r="H1815" s="6">
        <f>FLOOR(tblPivotData[[#This Row],[Time]],Summary!$B$6/1440)</f>
        <v>0.65625</v>
      </c>
      <c r="I1815" s="49">
        <f>INDEX(PeakCalc!$L$10:$L$303,MATCH(tblPivotData[[#This Row],[Time]],PeakCalc!$G$10:$G$303,0))</f>
        <v>0</v>
      </c>
    </row>
    <row r="1816" spans="1:9" x14ac:dyDescent="0.25">
      <c r="A1816" t="s">
        <v>97</v>
      </c>
      <c r="B1816" t="s">
        <v>107</v>
      </c>
      <c r="C1816" t="s">
        <v>94</v>
      </c>
      <c r="D1816" t="s">
        <v>91</v>
      </c>
      <c r="E1816" t="s">
        <v>44</v>
      </c>
      <c r="F1816" s="6">
        <v>0.66666666666666663</v>
      </c>
      <c r="G1816">
        <v>0</v>
      </c>
      <c r="H1816" s="6">
        <f>FLOOR(tblPivotData[[#This Row],[Time]],Summary!$B$6/1440)</f>
        <v>0.66666666666666663</v>
      </c>
      <c r="I1816" s="49">
        <f>INDEX(PeakCalc!$L$10:$L$303,MATCH(tblPivotData[[#This Row],[Time]],PeakCalc!$G$10:$G$303,0))</f>
        <v>0</v>
      </c>
    </row>
    <row r="1817" spans="1:9" x14ac:dyDescent="0.25">
      <c r="A1817" t="s">
        <v>97</v>
      </c>
      <c r="B1817" t="s">
        <v>107</v>
      </c>
      <c r="C1817" t="s">
        <v>94</v>
      </c>
      <c r="D1817" t="s">
        <v>91</v>
      </c>
      <c r="E1817" t="s">
        <v>44</v>
      </c>
      <c r="F1817" s="6">
        <v>0.67708333333333337</v>
      </c>
      <c r="G1817">
        <v>1</v>
      </c>
      <c r="H1817" s="6">
        <f>FLOOR(tblPivotData[[#This Row],[Time]],Summary!$B$6/1440)</f>
        <v>0.67708333333333326</v>
      </c>
      <c r="I1817" s="49">
        <f>INDEX(PeakCalc!$L$10:$L$303,MATCH(tblPivotData[[#This Row],[Time]],PeakCalc!$G$10:$G$303,0))</f>
        <v>0</v>
      </c>
    </row>
    <row r="1818" spans="1:9" x14ac:dyDescent="0.25">
      <c r="A1818" t="s">
        <v>97</v>
      </c>
      <c r="B1818" t="s">
        <v>107</v>
      </c>
      <c r="C1818" t="s">
        <v>94</v>
      </c>
      <c r="D1818" t="s">
        <v>91</v>
      </c>
      <c r="E1818" t="s">
        <v>44</v>
      </c>
      <c r="F1818" s="6">
        <v>0.6875</v>
      </c>
      <c r="G1818">
        <v>0</v>
      </c>
      <c r="H1818" s="6">
        <f>FLOOR(tblPivotData[[#This Row],[Time]],Summary!$B$6/1440)</f>
        <v>0.6875</v>
      </c>
      <c r="I1818" s="49">
        <f>INDEX(PeakCalc!$L$10:$L$303,MATCH(tblPivotData[[#This Row],[Time]],PeakCalc!$G$10:$G$303,0))</f>
        <v>1</v>
      </c>
    </row>
    <row r="1819" spans="1:9" x14ac:dyDescent="0.25">
      <c r="A1819" t="s">
        <v>97</v>
      </c>
      <c r="B1819" t="s">
        <v>107</v>
      </c>
      <c r="C1819" t="s">
        <v>94</v>
      </c>
      <c r="D1819" t="s">
        <v>91</v>
      </c>
      <c r="E1819" t="s">
        <v>44</v>
      </c>
      <c r="F1819" s="6">
        <v>0.69791666666666663</v>
      </c>
      <c r="G1819">
        <v>1</v>
      </c>
      <c r="H1819" s="6">
        <f>FLOOR(tblPivotData[[#This Row],[Time]],Summary!$B$6/1440)</f>
        <v>0.69791666666666663</v>
      </c>
      <c r="I1819" s="49">
        <f>INDEX(PeakCalc!$L$10:$L$303,MATCH(tblPivotData[[#This Row],[Time]],PeakCalc!$G$10:$G$303,0))</f>
        <v>1</v>
      </c>
    </row>
    <row r="1820" spans="1:9" x14ac:dyDescent="0.25">
      <c r="A1820" t="s">
        <v>97</v>
      </c>
      <c r="B1820" t="s">
        <v>107</v>
      </c>
      <c r="C1820" t="s">
        <v>94</v>
      </c>
      <c r="D1820" t="s">
        <v>91</v>
      </c>
      <c r="E1820" t="s">
        <v>44</v>
      </c>
      <c r="F1820" s="6">
        <v>0.70833333333333337</v>
      </c>
      <c r="G1820">
        <v>0</v>
      </c>
      <c r="H1820" s="6">
        <f>FLOOR(tblPivotData[[#This Row],[Time]],Summary!$B$6/1440)</f>
        <v>0.70833333333333326</v>
      </c>
      <c r="I1820" s="49">
        <f>INDEX(PeakCalc!$L$10:$L$303,MATCH(tblPivotData[[#This Row],[Time]],PeakCalc!$G$10:$G$303,0))</f>
        <v>1</v>
      </c>
    </row>
    <row r="1821" spans="1:9" x14ac:dyDescent="0.25">
      <c r="A1821" t="s">
        <v>97</v>
      </c>
      <c r="B1821" t="s">
        <v>107</v>
      </c>
      <c r="C1821" t="s">
        <v>94</v>
      </c>
      <c r="D1821" t="s">
        <v>91</v>
      </c>
      <c r="E1821" t="s">
        <v>44</v>
      </c>
      <c r="F1821" s="6">
        <v>0.71875</v>
      </c>
      <c r="G1821">
        <v>0</v>
      </c>
      <c r="H1821" s="6">
        <f>FLOOR(tblPivotData[[#This Row],[Time]],Summary!$B$6/1440)</f>
        <v>0.71875</v>
      </c>
      <c r="I1821" s="49">
        <f>INDEX(PeakCalc!$L$10:$L$303,MATCH(tblPivotData[[#This Row],[Time]],PeakCalc!$G$10:$G$303,0))</f>
        <v>1</v>
      </c>
    </row>
    <row r="1822" spans="1:9" x14ac:dyDescent="0.25">
      <c r="A1822" t="s">
        <v>97</v>
      </c>
      <c r="B1822" t="s">
        <v>107</v>
      </c>
      <c r="C1822" t="s">
        <v>94</v>
      </c>
      <c r="D1822" t="s">
        <v>91</v>
      </c>
      <c r="E1822" t="s">
        <v>44</v>
      </c>
      <c r="F1822" s="6">
        <v>0.72916666666666663</v>
      </c>
      <c r="G1822">
        <v>0</v>
      </c>
      <c r="H1822" s="6">
        <f>FLOOR(tblPivotData[[#This Row],[Time]],Summary!$B$6/1440)</f>
        <v>0.72916666666666663</v>
      </c>
      <c r="I1822" s="49">
        <f>INDEX(PeakCalc!$L$10:$L$303,MATCH(tblPivotData[[#This Row],[Time]],PeakCalc!$G$10:$G$303,0))</f>
        <v>0</v>
      </c>
    </row>
    <row r="1823" spans="1:9" x14ac:dyDescent="0.25">
      <c r="A1823" t="s">
        <v>97</v>
      </c>
      <c r="B1823" t="s">
        <v>107</v>
      </c>
      <c r="C1823" t="s">
        <v>94</v>
      </c>
      <c r="D1823" t="s">
        <v>91</v>
      </c>
      <c r="E1823" t="s">
        <v>44</v>
      </c>
      <c r="F1823" s="6">
        <v>0.73958333333333337</v>
      </c>
      <c r="G1823">
        <v>0</v>
      </c>
      <c r="H1823" s="6">
        <f>FLOOR(tblPivotData[[#This Row],[Time]],Summary!$B$6/1440)</f>
        <v>0.73958333333333326</v>
      </c>
      <c r="I1823" s="49">
        <f>INDEX(PeakCalc!$L$10:$L$303,MATCH(tblPivotData[[#This Row],[Time]],PeakCalc!$G$10:$G$303,0))</f>
        <v>0</v>
      </c>
    </row>
    <row r="1824" spans="1:9" x14ac:dyDescent="0.25">
      <c r="A1824" t="s">
        <v>97</v>
      </c>
      <c r="B1824" t="s">
        <v>107</v>
      </c>
      <c r="C1824" t="s">
        <v>94</v>
      </c>
      <c r="D1824" t="s">
        <v>91</v>
      </c>
      <c r="E1824" t="s">
        <v>44</v>
      </c>
      <c r="F1824" s="6">
        <v>0.75</v>
      </c>
      <c r="G1824">
        <v>0</v>
      </c>
      <c r="H1824" s="6">
        <f>FLOOR(tblPivotData[[#This Row],[Time]],Summary!$B$6/1440)</f>
        <v>0.75</v>
      </c>
      <c r="I1824" s="49">
        <f>INDEX(PeakCalc!$L$10:$L$303,MATCH(tblPivotData[[#This Row],[Time]],PeakCalc!$G$10:$G$303,0))</f>
        <v>0</v>
      </c>
    </row>
    <row r="1825" spans="1:9" x14ac:dyDescent="0.25">
      <c r="A1825" t="s">
        <v>97</v>
      </c>
      <c r="B1825" t="s">
        <v>107</v>
      </c>
      <c r="C1825" t="s">
        <v>94</v>
      </c>
      <c r="D1825" t="s">
        <v>91</v>
      </c>
      <c r="E1825" t="s">
        <v>44</v>
      </c>
      <c r="F1825" s="6">
        <v>0.76041666666666663</v>
      </c>
      <c r="G1825">
        <v>0</v>
      </c>
      <c r="H1825" s="6">
        <f>FLOOR(tblPivotData[[#This Row],[Time]],Summary!$B$6/1440)</f>
        <v>0.76041666666666663</v>
      </c>
      <c r="I1825" s="49">
        <f>INDEX(PeakCalc!$L$10:$L$303,MATCH(tblPivotData[[#This Row],[Time]],PeakCalc!$G$10:$G$303,0))</f>
        <v>0</v>
      </c>
    </row>
    <row r="1826" spans="1:9" x14ac:dyDescent="0.25">
      <c r="A1826" t="s">
        <v>97</v>
      </c>
      <c r="B1826" t="s">
        <v>107</v>
      </c>
      <c r="C1826" t="s">
        <v>94</v>
      </c>
      <c r="D1826" t="s">
        <v>92</v>
      </c>
      <c r="E1826" t="s">
        <v>43</v>
      </c>
      <c r="F1826" s="6">
        <v>0.27083333333333331</v>
      </c>
      <c r="G1826">
        <v>0</v>
      </c>
      <c r="H1826" s="6">
        <f>FLOOR(tblPivotData[[#This Row],[Time]],Summary!$B$6/1440)</f>
        <v>0.27083333333333331</v>
      </c>
      <c r="I1826" s="49">
        <f>INDEX(PeakCalc!$L$10:$L$303,MATCH(tblPivotData[[#This Row],[Time]],PeakCalc!$G$10:$G$303,0))</f>
        <v>0</v>
      </c>
    </row>
    <row r="1827" spans="1:9" x14ac:dyDescent="0.25">
      <c r="A1827" t="s">
        <v>97</v>
      </c>
      <c r="B1827" t="s">
        <v>107</v>
      </c>
      <c r="C1827" t="s">
        <v>94</v>
      </c>
      <c r="D1827" t="s">
        <v>92</v>
      </c>
      <c r="E1827" t="s">
        <v>43</v>
      </c>
      <c r="F1827" s="6">
        <v>0.28125</v>
      </c>
      <c r="G1827">
        <v>0</v>
      </c>
      <c r="H1827" s="6">
        <f>FLOOR(tblPivotData[[#This Row],[Time]],Summary!$B$6/1440)</f>
        <v>0.28125</v>
      </c>
      <c r="I1827" s="49">
        <f>INDEX(PeakCalc!$L$10:$L$303,MATCH(tblPivotData[[#This Row],[Time]],PeakCalc!$G$10:$G$303,0))</f>
        <v>0</v>
      </c>
    </row>
    <row r="1828" spans="1:9" x14ac:dyDescent="0.25">
      <c r="A1828" t="s">
        <v>97</v>
      </c>
      <c r="B1828" t="s">
        <v>107</v>
      </c>
      <c r="C1828" t="s">
        <v>94</v>
      </c>
      <c r="D1828" t="s">
        <v>92</v>
      </c>
      <c r="E1828" t="s">
        <v>43</v>
      </c>
      <c r="F1828" s="6">
        <v>0.29166666666666669</v>
      </c>
      <c r="G1828">
        <v>0</v>
      </c>
      <c r="H1828" s="6">
        <f>FLOOR(tblPivotData[[#This Row],[Time]],Summary!$B$6/1440)</f>
        <v>0.29166666666666663</v>
      </c>
      <c r="I1828" s="49">
        <f>INDEX(PeakCalc!$L$10:$L$303,MATCH(tblPivotData[[#This Row],[Time]],PeakCalc!$G$10:$G$303,0))</f>
        <v>0</v>
      </c>
    </row>
    <row r="1829" spans="1:9" x14ac:dyDescent="0.25">
      <c r="A1829" t="s">
        <v>97</v>
      </c>
      <c r="B1829" t="s">
        <v>107</v>
      </c>
      <c r="C1829" t="s">
        <v>94</v>
      </c>
      <c r="D1829" t="s">
        <v>92</v>
      </c>
      <c r="E1829" t="s">
        <v>43</v>
      </c>
      <c r="F1829" s="6">
        <v>0.30208333333333331</v>
      </c>
      <c r="G1829">
        <v>0</v>
      </c>
      <c r="H1829" s="6">
        <f>FLOOR(tblPivotData[[#This Row],[Time]],Summary!$B$6/1440)</f>
        <v>0.30208333333333331</v>
      </c>
      <c r="I1829" s="49">
        <f>INDEX(PeakCalc!$L$10:$L$303,MATCH(tblPivotData[[#This Row],[Time]],PeakCalc!$G$10:$G$303,0))</f>
        <v>0</v>
      </c>
    </row>
    <row r="1830" spans="1:9" x14ac:dyDescent="0.25">
      <c r="A1830" t="s">
        <v>97</v>
      </c>
      <c r="B1830" t="s">
        <v>107</v>
      </c>
      <c r="C1830" t="s">
        <v>94</v>
      </c>
      <c r="D1830" t="s">
        <v>92</v>
      </c>
      <c r="E1830" t="s">
        <v>43</v>
      </c>
      <c r="F1830" s="6">
        <v>0.3125</v>
      </c>
      <c r="G1830">
        <v>0</v>
      </c>
      <c r="H1830" s="6">
        <f>FLOOR(tblPivotData[[#This Row],[Time]],Summary!$B$6/1440)</f>
        <v>0.3125</v>
      </c>
      <c r="I1830" s="49">
        <f>INDEX(PeakCalc!$L$10:$L$303,MATCH(tblPivotData[[#This Row],[Time]],PeakCalc!$G$10:$G$303,0))</f>
        <v>0</v>
      </c>
    </row>
    <row r="1831" spans="1:9" x14ac:dyDescent="0.25">
      <c r="A1831" t="s">
        <v>97</v>
      </c>
      <c r="B1831" t="s">
        <v>107</v>
      </c>
      <c r="C1831" t="s">
        <v>94</v>
      </c>
      <c r="D1831" t="s">
        <v>92</v>
      </c>
      <c r="E1831" t="s">
        <v>43</v>
      </c>
      <c r="F1831" s="6">
        <v>0.32291666666666669</v>
      </c>
      <c r="G1831">
        <v>0</v>
      </c>
      <c r="H1831" s="6">
        <f>FLOOR(tblPivotData[[#This Row],[Time]],Summary!$B$6/1440)</f>
        <v>0.32291666666666663</v>
      </c>
      <c r="I1831" s="49">
        <f>INDEX(PeakCalc!$L$10:$L$303,MATCH(tblPivotData[[#This Row],[Time]],PeakCalc!$G$10:$G$303,0))</f>
        <v>1</v>
      </c>
    </row>
    <row r="1832" spans="1:9" x14ac:dyDescent="0.25">
      <c r="A1832" t="s">
        <v>97</v>
      </c>
      <c r="B1832" t="s">
        <v>107</v>
      </c>
      <c r="C1832" t="s">
        <v>94</v>
      </c>
      <c r="D1832" t="s">
        <v>92</v>
      </c>
      <c r="E1832" t="s">
        <v>43</v>
      </c>
      <c r="F1832" s="6">
        <v>0.33333333333333331</v>
      </c>
      <c r="G1832">
        <v>0</v>
      </c>
      <c r="H1832" s="6">
        <f>FLOOR(tblPivotData[[#This Row],[Time]],Summary!$B$6/1440)</f>
        <v>0.33333333333333331</v>
      </c>
      <c r="I1832" s="49">
        <f>INDEX(PeakCalc!$L$10:$L$303,MATCH(tblPivotData[[#This Row],[Time]],PeakCalc!$G$10:$G$303,0))</f>
        <v>1</v>
      </c>
    </row>
    <row r="1833" spans="1:9" x14ac:dyDescent="0.25">
      <c r="A1833" t="s">
        <v>97</v>
      </c>
      <c r="B1833" t="s">
        <v>107</v>
      </c>
      <c r="C1833" t="s">
        <v>94</v>
      </c>
      <c r="D1833" t="s">
        <v>92</v>
      </c>
      <c r="E1833" t="s">
        <v>43</v>
      </c>
      <c r="F1833" s="6">
        <v>0.34375</v>
      </c>
      <c r="G1833">
        <v>0</v>
      </c>
      <c r="H1833" s="6">
        <f>FLOOR(tblPivotData[[#This Row],[Time]],Summary!$B$6/1440)</f>
        <v>0.34375</v>
      </c>
      <c r="I1833" s="49">
        <f>INDEX(PeakCalc!$L$10:$L$303,MATCH(tblPivotData[[#This Row],[Time]],PeakCalc!$G$10:$G$303,0))</f>
        <v>1</v>
      </c>
    </row>
    <row r="1834" spans="1:9" x14ac:dyDescent="0.25">
      <c r="A1834" t="s">
        <v>97</v>
      </c>
      <c r="B1834" t="s">
        <v>107</v>
      </c>
      <c r="C1834" t="s">
        <v>94</v>
      </c>
      <c r="D1834" t="s">
        <v>92</v>
      </c>
      <c r="E1834" t="s">
        <v>43</v>
      </c>
      <c r="F1834" s="6">
        <v>0.35416666666666669</v>
      </c>
      <c r="G1834">
        <v>0</v>
      </c>
      <c r="H1834" s="6">
        <f>FLOOR(tblPivotData[[#This Row],[Time]],Summary!$B$6/1440)</f>
        <v>0.35416666666666663</v>
      </c>
      <c r="I1834" s="49">
        <f>INDEX(PeakCalc!$L$10:$L$303,MATCH(tblPivotData[[#This Row],[Time]],PeakCalc!$G$10:$G$303,0))</f>
        <v>1</v>
      </c>
    </row>
    <row r="1835" spans="1:9" x14ac:dyDescent="0.25">
      <c r="A1835" t="s">
        <v>97</v>
      </c>
      <c r="B1835" t="s">
        <v>107</v>
      </c>
      <c r="C1835" t="s">
        <v>94</v>
      </c>
      <c r="D1835" t="s">
        <v>92</v>
      </c>
      <c r="E1835" t="s">
        <v>43</v>
      </c>
      <c r="F1835" s="6">
        <v>0.36458333333333331</v>
      </c>
      <c r="G1835">
        <v>0</v>
      </c>
      <c r="H1835" s="6">
        <f>FLOOR(tblPivotData[[#This Row],[Time]],Summary!$B$6/1440)</f>
        <v>0.36458333333333331</v>
      </c>
      <c r="I1835" s="49">
        <f>INDEX(PeakCalc!$L$10:$L$303,MATCH(tblPivotData[[#This Row],[Time]],PeakCalc!$G$10:$G$303,0))</f>
        <v>0</v>
      </c>
    </row>
    <row r="1836" spans="1:9" x14ac:dyDescent="0.25">
      <c r="A1836" t="s">
        <v>97</v>
      </c>
      <c r="B1836" t="s">
        <v>107</v>
      </c>
      <c r="C1836" t="s">
        <v>94</v>
      </c>
      <c r="D1836" t="s">
        <v>92</v>
      </c>
      <c r="E1836" t="s">
        <v>43</v>
      </c>
      <c r="F1836" s="6">
        <v>0.375</v>
      </c>
      <c r="G1836">
        <v>0</v>
      </c>
      <c r="H1836" s="6">
        <f>FLOOR(tblPivotData[[#This Row],[Time]],Summary!$B$6/1440)</f>
        <v>0.375</v>
      </c>
      <c r="I1836" s="49">
        <f>INDEX(PeakCalc!$L$10:$L$303,MATCH(tblPivotData[[#This Row],[Time]],PeakCalc!$G$10:$G$303,0))</f>
        <v>0</v>
      </c>
    </row>
    <row r="1837" spans="1:9" x14ac:dyDescent="0.25">
      <c r="A1837" t="s">
        <v>97</v>
      </c>
      <c r="B1837" t="s">
        <v>107</v>
      </c>
      <c r="C1837" t="s">
        <v>94</v>
      </c>
      <c r="D1837" t="s">
        <v>92</v>
      </c>
      <c r="E1837" t="s">
        <v>43</v>
      </c>
      <c r="F1837" s="6">
        <v>0.38541666666666669</v>
      </c>
      <c r="G1837">
        <v>0</v>
      </c>
      <c r="H1837" s="6">
        <f>FLOOR(tblPivotData[[#This Row],[Time]],Summary!$B$6/1440)</f>
        <v>0.38541666666666663</v>
      </c>
      <c r="I1837" s="49">
        <f>INDEX(PeakCalc!$L$10:$L$303,MATCH(tblPivotData[[#This Row],[Time]],PeakCalc!$G$10:$G$303,0))</f>
        <v>0</v>
      </c>
    </row>
    <row r="1838" spans="1:9" x14ac:dyDescent="0.25">
      <c r="A1838" t="s">
        <v>97</v>
      </c>
      <c r="B1838" t="s">
        <v>107</v>
      </c>
      <c r="C1838" t="s">
        <v>94</v>
      </c>
      <c r="D1838" t="s">
        <v>92</v>
      </c>
      <c r="E1838" t="s">
        <v>110</v>
      </c>
      <c r="F1838" s="6">
        <v>0.45833333333333331</v>
      </c>
      <c r="G1838">
        <v>0</v>
      </c>
      <c r="H1838" s="6">
        <f>FLOOR(tblPivotData[[#This Row],[Time]],Summary!$B$6/1440)</f>
        <v>0.45833333333333331</v>
      </c>
      <c r="I1838" s="49">
        <f>INDEX(PeakCalc!$L$10:$L$303,MATCH(tblPivotData[[#This Row],[Time]],PeakCalc!$G$10:$G$303,0))</f>
        <v>0</v>
      </c>
    </row>
    <row r="1839" spans="1:9" x14ac:dyDescent="0.25">
      <c r="A1839" t="s">
        <v>97</v>
      </c>
      <c r="B1839" t="s">
        <v>107</v>
      </c>
      <c r="C1839" t="s">
        <v>94</v>
      </c>
      <c r="D1839" t="s">
        <v>92</v>
      </c>
      <c r="E1839" t="s">
        <v>110</v>
      </c>
      <c r="F1839" s="6">
        <v>0.46875</v>
      </c>
      <c r="G1839">
        <v>1</v>
      </c>
      <c r="H1839" s="6">
        <f>FLOOR(tblPivotData[[#This Row],[Time]],Summary!$B$6/1440)</f>
        <v>0.46875</v>
      </c>
      <c r="I1839" s="49">
        <f>INDEX(PeakCalc!$L$10:$L$303,MATCH(tblPivotData[[#This Row],[Time]],PeakCalc!$G$10:$G$303,0))</f>
        <v>0</v>
      </c>
    </row>
    <row r="1840" spans="1:9" x14ac:dyDescent="0.25">
      <c r="A1840" t="s">
        <v>97</v>
      </c>
      <c r="B1840" t="s">
        <v>107</v>
      </c>
      <c r="C1840" t="s">
        <v>94</v>
      </c>
      <c r="D1840" t="s">
        <v>92</v>
      </c>
      <c r="E1840" t="s">
        <v>110</v>
      </c>
      <c r="F1840" s="6">
        <v>0.47916666666666669</v>
      </c>
      <c r="G1840">
        <v>0</v>
      </c>
      <c r="H1840" s="6">
        <f>FLOOR(tblPivotData[[#This Row],[Time]],Summary!$B$6/1440)</f>
        <v>0.47916666666666663</v>
      </c>
      <c r="I1840" s="49">
        <f>INDEX(PeakCalc!$L$10:$L$303,MATCH(tblPivotData[[#This Row],[Time]],PeakCalc!$G$10:$G$303,0))</f>
        <v>0</v>
      </c>
    </row>
    <row r="1841" spans="1:9" x14ac:dyDescent="0.25">
      <c r="A1841" t="s">
        <v>97</v>
      </c>
      <c r="B1841" t="s">
        <v>107</v>
      </c>
      <c r="C1841" t="s">
        <v>94</v>
      </c>
      <c r="D1841" t="s">
        <v>92</v>
      </c>
      <c r="E1841" t="s">
        <v>110</v>
      </c>
      <c r="F1841" s="6">
        <v>0.48958333333333331</v>
      </c>
      <c r="G1841">
        <v>0</v>
      </c>
      <c r="H1841" s="6">
        <f>FLOOR(tblPivotData[[#This Row],[Time]],Summary!$B$6/1440)</f>
        <v>0.48958333333333331</v>
      </c>
      <c r="I1841" s="49">
        <f>INDEX(PeakCalc!$L$10:$L$303,MATCH(tblPivotData[[#This Row],[Time]],PeakCalc!$G$10:$G$303,0))</f>
        <v>0</v>
      </c>
    </row>
    <row r="1842" spans="1:9" x14ac:dyDescent="0.25">
      <c r="A1842" t="s">
        <v>97</v>
      </c>
      <c r="B1842" t="s">
        <v>107</v>
      </c>
      <c r="C1842" t="s">
        <v>94</v>
      </c>
      <c r="D1842" t="s">
        <v>92</v>
      </c>
      <c r="E1842" t="s">
        <v>110</v>
      </c>
      <c r="F1842" s="6">
        <v>0.5</v>
      </c>
      <c r="G1842">
        <v>0</v>
      </c>
      <c r="H1842" s="6">
        <f>FLOOR(tblPivotData[[#This Row],[Time]],Summary!$B$6/1440)</f>
        <v>0.5</v>
      </c>
      <c r="I1842" s="49">
        <f>INDEX(PeakCalc!$L$10:$L$303,MATCH(tblPivotData[[#This Row],[Time]],PeakCalc!$G$10:$G$303,0))</f>
        <v>0</v>
      </c>
    </row>
    <row r="1843" spans="1:9" x14ac:dyDescent="0.25">
      <c r="A1843" t="s">
        <v>97</v>
      </c>
      <c r="B1843" t="s">
        <v>107</v>
      </c>
      <c r="C1843" t="s">
        <v>94</v>
      </c>
      <c r="D1843" t="s">
        <v>92</v>
      </c>
      <c r="E1843" t="s">
        <v>110</v>
      </c>
      <c r="F1843" s="6">
        <v>0.51041666666666663</v>
      </c>
      <c r="G1843">
        <v>1</v>
      </c>
      <c r="H1843" s="6">
        <f>FLOOR(tblPivotData[[#This Row],[Time]],Summary!$B$6/1440)</f>
        <v>0.51041666666666663</v>
      </c>
      <c r="I1843" s="49">
        <f>INDEX(PeakCalc!$L$10:$L$303,MATCH(tblPivotData[[#This Row],[Time]],PeakCalc!$G$10:$G$303,0))</f>
        <v>0</v>
      </c>
    </row>
    <row r="1844" spans="1:9" x14ac:dyDescent="0.25">
      <c r="A1844" t="s">
        <v>97</v>
      </c>
      <c r="B1844" t="s">
        <v>107</v>
      </c>
      <c r="C1844" t="s">
        <v>94</v>
      </c>
      <c r="D1844" t="s">
        <v>92</v>
      </c>
      <c r="E1844" t="s">
        <v>110</v>
      </c>
      <c r="F1844" s="6">
        <v>0.52083333333333337</v>
      </c>
      <c r="G1844">
        <v>0</v>
      </c>
      <c r="H1844" s="6">
        <f>FLOOR(tblPivotData[[#This Row],[Time]],Summary!$B$6/1440)</f>
        <v>0.52083333333333326</v>
      </c>
      <c r="I1844" s="49">
        <f>INDEX(PeakCalc!$L$10:$L$303,MATCH(tblPivotData[[#This Row],[Time]],PeakCalc!$G$10:$G$303,0))</f>
        <v>1</v>
      </c>
    </row>
    <row r="1845" spans="1:9" x14ac:dyDescent="0.25">
      <c r="A1845" t="s">
        <v>97</v>
      </c>
      <c r="B1845" t="s">
        <v>107</v>
      </c>
      <c r="C1845" t="s">
        <v>94</v>
      </c>
      <c r="D1845" t="s">
        <v>92</v>
      </c>
      <c r="E1845" t="s">
        <v>110</v>
      </c>
      <c r="F1845" s="6">
        <v>0.53125</v>
      </c>
      <c r="G1845">
        <v>0</v>
      </c>
      <c r="H1845" s="6">
        <f>FLOOR(tblPivotData[[#This Row],[Time]],Summary!$B$6/1440)</f>
        <v>0.53125</v>
      </c>
      <c r="I1845" s="49">
        <f>INDEX(PeakCalc!$L$10:$L$303,MATCH(tblPivotData[[#This Row],[Time]],PeakCalc!$G$10:$G$303,0))</f>
        <v>1</v>
      </c>
    </row>
    <row r="1846" spans="1:9" x14ac:dyDescent="0.25">
      <c r="A1846" t="s">
        <v>97</v>
      </c>
      <c r="B1846" t="s">
        <v>107</v>
      </c>
      <c r="C1846" t="s">
        <v>94</v>
      </c>
      <c r="D1846" t="s">
        <v>92</v>
      </c>
      <c r="E1846" t="s">
        <v>110</v>
      </c>
      <c r="F1846" s="6">
        <v>0.54166666666666663</v>
      </c>
      <c r="G1846">
        <v>0</v>
      </c>
      <c r="H1846" s="6">
        <f>FLOOR(tblPivotData[[#This Row],[Time]],Summary!$B$6/1440)</f>
        <v>0.54166666666666663</v>
      </c>
      <c r="I1846" s="49">
        <f>INDEX(PeakCalc!$L$10:$L$303,MATCH(tblPivotData[[#This Row],[Time]],PeakCalc!$G$10:$G$303,0))</f>
        <v>1</v>
      </c>
    </row>
    <row r="1847" spans="1:9" x14ac:dyDescent="0.25">
      <c r="A1847" t="s">
        <v>97</v>
      </c>
      <c r="B1847" t="s">
        <v>107</v>
      </c>
      <c r="C1847" t="s">
        <v>94</v>
      </c>
      <c r="D1847" t="s">
        <v>92</v>
      </c>
      <c r="E1847" t="s">
        <v>110</v>
      </c>
      <c r="F1847" s="6">
        <v>0.55208333333333337</v>
      </c>
      <c r="G1847">
        <v>0</v>
      </c>
      <c r="H1847" s="6">
        <f>FLOOR(tblPivotData[[#This Row],[Time]],Summary!$B$6/1440)</f>
        <v>0.55208333333333326</v>
      </c>
      <c r="I1847" s="49">
        <f>INDEX(PeakCalc!$L$10:$L$303,MATCH(tblPivotData[[#This Row],[Time]],PeakCalc!$G$10:$G$303,0))</f>
        <v>1</v>
      </c>
    </row>
    <row r="1848" spans="1:9" x14ac:dyDescent="0.25">
      <c r="A1848" t="s">
        <v>97</v>
      </c>
      <c r="B1848" t="s">
        <v>107</v>
      </c>
      <c r="C1848" t="s">
        <v>94</v>
      </c>
      <c r="D1848" t="s">
        <v>92</v>
      </c>
      <c r="E1848" t="s">
        <v>110</v>
      </c>
      <c r="F1848" s="6">
        <v>0.5625</v>
      </c>
      <c r="G1848">
        <v>0</v>
      </c>
      <c r="H1848" s="6">
        <f>FLOOR(tblPivotData[[#This Row],[Time]],Summary!$B$6/1440)</f>
        <v>0.5625</v>
      </c>
      <c r="I1848" s="49">
        <f>INDEX(PeakCalc!$L$10:$L$303,MATCH(tblPivotData[[#This Row],[Time]],PeakCalc!$G$10:$G$303,0))</f>
        <v>0</v>
      </c>
    </row>
    <row r="1849" spans="1:9" x14ac:dyDescent="0.25">
      <c r="A1849" t="s">
        <v>97</v>
      </c>
      <c r="B1849" t="s">
        <v>107</v>
      </c>
      <c r="C1849" t="s">
        <v>94</v>
      </c>
      <c r="D1849" t="s">
        <v>92</v>
      </c>
      <c r="E1849" t="s">
        <v>110</v>
      </c>
      <c r="F1849" s="6">
        <v>0.57291666666666663</v>
      </c>
      <c r="G1849">
        <v>0</v>
      </c>
      <c r="H1849" s="6">
        <f>FLOOR(tblPivotData[[#This Row],[Time]],Summary!$B$6/1440)</f>
        <v>0.57291666666666663</v>
      </c>
      <c r="I1849" s="49">
        <f>INDEX(PeakCalc!$L$10:$L$303,MATCH(tblPivotData[[#This Row],[Time]],PeakCalc!$G$10:$G$303,0))</f>
        <v>0</v>
      </c>
    </row>
    <row r="1850" spans="1:9" x14ac:dyDescent="0.25">
      <c r="A1850" t="s">
        <v>97</v>
      </c>
      <c r="B1850" t="s">
        <v>107</v>
      </c>
      <c r="C1850" t="s">
        <v>94</v>
      </c>
      <c r="D1850" t="s">
        <v>92</v>
      </c>
      <c r="E1850" t="s">
        <v>44</v>
      </c>
      <c r="F1850" s="6">
        <v>0.625</v>
      </c>
      <c r="G1850">
        <v>0</v>
      </c>
      <c r="H1850" s="6">
        <f>FLOOR(tblPivotData[[#This Row],[Time]],Summary!$B$6/1440)</f>
        <v>0.625</v>
      </c>
      <c r="I1850" s="49">
        <f>INDEX(PeakCalc!$L$10:$L$303,MATCH(tblPivotData[[#This Row],[Time]],PeakCalc!$G$10:$G$303,0))</f>
        <v>0</v>
      </c>
    </row>
    <row r="1851" spans="1:9" x14ac:dyDescent="0.25">
      <c r="A1851" t="s">
        <v>97</v>
      </c>
      <c r="B1851" t="s">
        <v>107</v>
      </c>
      <c r="C1851" t="s">
        <v>94</v>
      </c>
      <c r="D1851" t="s">
        <v>92</v>
      </c>
      <c r="E1851" t="s">
        <v>44</v>
      </c>
      <c r="F1851" s="6">
        <v>0.63541666666666663</v>
      </c>
      <c r="G1851">
        <v>0</v>
      </c>
      <c r="H1851" s="6">
        <f>FLOOR(tblPivotData[[#This Row],[Time]],Summary!$B$6/1440)</f>
        <v>0.63541666666666663</v>
      </c>
      <c r="I1851" s="49">
        <f>INDEX(PeakCalc!$L$10:$L$303,MATCH(tblPivotData[[#This Row],[Time]],PeakCalc!$G$10:$G$303,0))</f>
        <v>0</v>
      </c>
    </row>
    <row r="1852" spans="1:9" x14ac:dyDescent="0.25">
      <c r="A1852" t="s">
        <v>97</v>
      </c>
      <c r="B1852" t="s">
        <v>107</v>
      </c>
      <c r="C1852" t="s">
        <v>94</v>
      </c>
      <c r="D1852" t="s">
        <v>92</v>
      </c>
      <c r="E1852" t="s">
        <v>44</v>
      </c>
      <c r="F1852" s="6">
        <v>0.64583333333333337</v>
      </c>
      <c r="G1852">
        <v>0</v>
      </c>
      <c r="H1852" s="6">
        <f>FLOOR(tblPivotData[[#This Row],[Time]],Summary!$B$6/1440)</f>
        <v>0.64583333333333326</v>
      </c>
      <c r="I1852" s="49">
        <f>INDEX(PeakCalc!$L$10:$L$303,MATCH(tblPivotData[[#This Row],[Time]],PeakCalc!$G$10:$G$303,0))</f>
        <v>0</v>
      </c>
    </row>
    <row r="1853" spans="1:9" x14ac:dyDescent="0.25">
      <c r="A1853" t="s">
        <v>97</v>
      </c>
      <c r="B1853" t="s">
        <v>107</v>
      </c>
      <c r="C1853" t="s">
        <v>94</v>
      </c>
      <c r="D1853" t="s">
        <v>92</v>
      </c>
      <c r="E1853" t="s">
        <v>44</v>
      </c>
      <c r="F1853" s="6">
        <v>0.65625</v>
      </c>
      <c r="G1853">
        <v>0</v>
      </c>
      <c r="H1853" s="6">
        <f>FLOOR(tblPivotData[[#This Row],[Time]],Summary!$B$6/1440)</f>
        <v>0.65625</v>
      </c>
      <c r="I1853" s="49">
        <f>INDEX(PeakCalc!$L$10:$L$303,MATCH(tblPivotData[[#This Row],[Time]],PeakCalc!$G$10:$G$303,0))</f>
        <v>0</v>
      </c>
    </row>
    <row r="1854" spans="1:9" x14ac:dyDescent="0.25">
      <c r="A1854" t="s">
        <v>97</v>
      </c>
      <c r="B1854" t="s">
        <v>107</v>
      </c>
      <c r="C1854" t="s">
        <v>94</v>
      </c>
      <c r="D1854" t="s">
        <v>92</v>
      </c>
      <c r="E1854" t="s">
        <v>44</v>
      </c>
      <c r="F1854" s="6">
        <v>0.66666666666666663</v>
      </c>
      <c r="G1854">
        <v>0</v>
      </c>
      <c r="H1854" s="6">
        <f>FLOOR(tblPivotData[[#This Row],[Time]],Summary!$B$6/1440)</f>
        <v>0.66666666666666663</v>
      </c>
      <c r="I1854" s="49">
        <f>INDEX(PeakCalc!$L$10:$L$303,MATCH(tblPivotData[[#This Row],[Time]],PeakCalc!$G$10:$G$303,0))</f>
        <v>0</v>
      </c>
    </row>
    <row r="1855" spans="1:9" x14ac:dyDescent="0.25">
      <c r="A1855" t="s">
        <v>97</v>
      </c>
      <c r="B1855" t="s">
        <v>107</v>
      </c>
      <c r="C1855" t="s">
        <v>94</v>
      </c>
      <c r="D1855" t="s">
        <v>92</v>
      </c>
      <c r="E1855" t="s">
        <v>44</v>
      </c>
      <c r="F1855" s="6">
        <v>0.67708333333333337</v>
      </c>
      <c r="G1855">
        <v>0</v>
      </c>
      <c r="H1855" s="6">
        <f>FLOOR(tblPivotData[[#This Row],[Time]],Summary!$B$6/1440)</f>
        <v>0.67708333333333326</v>
      </c>
      <c r="I1855" s="49">
        <f>INDEX(PeakCalc!$L$10:$L$303,MATCH(tblPivotData[[#This Row],[Time]],PeakCalc!$G$10:$G$303,0))</f>
        <v>0</v>
      </c>
    </row>
    <row r="1856" spans="1:9" x14ac:dyDescent="0.25">
      <c r="A1856" t="s">
        <v>97</v>
      </c>
      <c r="B1856" t="s">
        <v>107</v>
      </c>
      <c r="C1856" t="s">
        <v>94</v>
      </c>
      <c r="D1856" t="s">
        <v>92</v>
      </c>
      <c r="E1856" t="s">
        <v>44</v>
      </c>
      <c r="F1856" s="6">
        <v>0.6875</v>
      </c>
      <c r="G1856">
        <v>0</v>
      </c>
      <c r="H1856" s="6">
        <f>FLOOR(tblPivotData[[#This Row],[Time]],Summary!$B$6/1440)</f>
        <v>0.6875</v>
      </c>
      <c r="I1856" s="49">
        <f>INDEX(PeakCalc!$L$10:$L$303,MATCH(tblPivotData[[#This Row],[Time]],PeakCalc!$G$10:$G$303,0))</f>
        <v>1</v>
      </c>
    </row>
    <row r="1857" spans="1:9" x14ac:dyDescent="0.25">
      <c r="A1857" t="s">
        <v>97</v>
      </c>
      <c r="B1857" t="s">
        <v>107</v>
      </c>
      <c r="C1857" t="s">
        <v>94</v>
      </c>
      <c r="D1857" t="s">
        <v>92</v>
      </c>
      <c r="E1857" t="s">
        <v>44</v>
      </c>
      <c r="F1857" s="6">
        <v>0.69791666666666663</v>
      </c>
      <c r="G1857">
        <v>0</v>
      </c>
      <c r="H1857" s="6">
        <f>FLOOR(tblPivotData[[#This Row],[Time]],Summary!$B$6/1440)</f>
        <v>0.69791666666666663</v>
      </c>
      <c r="I1857" s="49">
        <f>INDEX(PeakCalc!$L$10:$L$303,MATCH(tblPivotData[[#This Row],[Time]],PeakCalc!$G$10:$G$303,0))</f>
        <v>1</v>
      </c>
    </row>
    <row r="1858" spans="1:9" x14ac:dyDescent="0.25">
      <c r="A1858" t="s">
        <v>97</v>
      </c>
      <c r="B1858" t="s">
        <v>107</v>
      </c>
      <c r="C1858" t="s">
        <v>94</v>
      </c>
      <c r="D1858" t="s">
        <v>92</v>
      </c>
      <c r="E1858" t="s">
        <v>44</v>
      </c>
      <c r="F1858" s="6">
        <v>0.70833333333333337</v>
      </c>
      <c r="G1858">
        <v>0</v>
      </c>
      <c r="H1858" s="6">
        <f>FLOOR(tblPivotData[[#This Row],[Time]],Summary!$B$6/1440)</f>
        <v>0.70833333333333326</v>
      </c>
      <c r="I1858" s="49">
        <f>INDEX(PeakCalc!$L$10:$L$303,MATCH(tblPivotData[[#This Row],[Time]],PeakCalc!$G$10:$G$303,0))</f>
        <v>1</v>
      </c>
    </row>
    <row r="1859" spans="1:9" x14ac:dyDescent="0.25">
      <c r="A1859" t="s">
        <v>97</v>
      </c>
      <c r="B1859" t="s">
        <v>107</v>
      </c>
      <c r="C1859" t="s">
        <v>94</v>
      </c>
      <c r="D1859" t="s">
        <v>92</v>
      </c>
      <c r="E1859" t="s">
        <v>44</v>
      </c>
      <c r="F1859" s="6">
        <v>0.71875</v>
      </c>
      <c r="G1859">
        <v>0</v>
      </c>
      <c r="H1859" s="6">
        <f>FLOOR(tblPivotData[[#This Row],[Time]],Summary!$B$6/1440)</f>
        <v>0.71875</v>
      </c>
      <c r="I1859" s="49">
        <f>INDEX(PeakCalc!$L$10:$L$303,MATCH(tblPivotData[[#This Row],[Time]],PeakCalc!$G$10:$G$303,0))</f>
        <v>1</v>
      </c>
    </row>
    <row r="1860" spans="1:9" x14ac:dyDescent="0.25">
      <c r="A1860" t="s">
        <v>97</v>
      </c>
      <c r="B1860" t="s">
        <v>107</v>
      </c>
      <c r="C1860" t="s">
        <v>94</v>
      </c>
      <c r="D1860" t="s">
        <v>92</v>
      </c>
      <c r="E1860" t="s">
        <v>44</v>
      </c>
      <c r="F1860" s="6">
        <v>0.72916666666666663</v>
      </c>
      <c r="G1860">
        <v>0</v>
      </c>
      <c r="H1860" s="6">
        <f>FLOOR(tblPivotData[[#This Row],[Time]],Summary!$B$6/1440)</f>
        <v>0.72916666666666663</v>
      </c>
      <c r="I1860" s="49">
        <f>INDEX(PeakCalc!$L$10:$L$303,MATCH(tblPivotData[[#This Row],[Time]],PeakCalc!$G$10:$G$303,0))</f>
        <v>0</v>
      </c>
    </row>
    <row r="1861" spans="1:9" x14ac:dyDescent="0.25">
      <c r="A1861" t="s">
        <v>97</v>
      </c>
      <c r="B1861" t="s">
        <v>107</v>
      </c>
      <c r="C1861" t="s">
        <v>94</v>
      </c>
      <c r="D1861" t="s">
        <v>92</v>
      </c>
      <c r="E1861" t="s">
        <v>44</v>
      </c>
      <c r="F1861" s="6">
        <v>0.73958333333333337</v>
      </c>
      <c r="G1861">
        <v>0</v>
      </c>
      <c r="H1861" s="6">
        <f>FLOOR(tblPivotData[[#This Row],[Time]],Summary!$B$6/1440)</f>
        <v>0.73958333333333326</v>
      </c>
      <c r="I1861" s="49">
        <f>INDEX(PeakCalc!$L$10:$L$303,MATCH(tblPivotData[[#This Row],[Time]],PeakCalc!$G$10:$G$303,0))</f>
        <v>0</v>
      </c>
    </row>
    <row r="1862" spans="1:9" x14ac:dyDescent="0.25">
      <c r="A1862" t="s">
        <v>97</v>
      </c>
      <c r="B1862" t="s">
        <v>107</v>
      </c>
      <c r="C1862" t="s">
        <v>94</v>
      </c>
      <c r="D1862" t="s">
        <v>92</v>
      </c>
      <c r="E1862" t="s">
        <v>44</v>
      </c>
      <c r="F1862" s="6">
        <v>0.75</v>
      </c>
      <c r="G1862">
        <v>0</v>
      </c>
      <c r="H1862" s="6">
        <f>FLOOR(tblPivotData[[#This Row],[Time]],Summary!$B$6/1440)</f>
        <v>0.75</v>
      </c>
      <c r="I1862" s="49">
        <f>INDEX(PeakCalc!$L$10:$L$303,MATCH(tblPivotData[[#This Row],[Time]],PeakCalc!$G$10:$G$303,0))</f>
        <v>0</v>
      </c>
    </row>
    <row r="1863" spans="1:9" x14ac:dyDescent="0.25">
      <c r="A1863" t="s">
        <v>97</v>
      </c>
      <c r="B1863" t="s">
        <v>107</v>
      </c>
      <c r="C1863" t="s">
        <v>94</v>
      </c>
      <c r="D1863" t="s">
        <v>92</v>
      </c>
      <c r="E1863" t="s">
        <v>44</v>
      </c>
      <c r="F1863" s="6">
        <v>0.76041666666666663</v>
      </c>
      <c r="G1863">
        <v>0</v>
      </c>
      <c r="H1863" s="6">
        <f>FLOOR(tblPivotData[[#This Row],[Time]],Summary!$B$6/1440)</f>
        <v>0.76041666666666663</v>
      </c>
      <c r="I1863" s="49">
        <f>INDEX(PeakCalc!$L$10:$L$303,MATCH(tblPivotData[[#This Row],[Time]],PeakCalc!$G$10:$G$303,0))</f>
        <v>0</v>
      </c>
    </row>
    <row r="1864" spans="1:9" x14ac:dyDescent="0.25">
      <c r="A1864" t="s">
        <v>97</v>
      </c>
      <c r="B1864" t="s">
        <v>107</v>
      </c>
      <c r="C1864" t="s">
        <v>94</v>
      </c>
      <c r="D1864" t="s">
        <v>93</v>
      </c>
      <c r="E1864" t="s">
        <v>43</v>
      </c>
      <c r="F1864" s="6">
        <v>0.27083333333333331</v>
      </c>
      <c r="G1864">
        <v>0</v>
      </c>
      <c r="H1864" s="6">
        <f>FLOOR(tblPivotData[[#This Row],[Time]],Summary!$B$6/1440)</f>
        <v>0.27083333333333331</v>
      </c>
      <c r="I1864" s="49">
        <f>INDEX(PeakCalc!$L$10:$L$303,MATCH(tblPivotData[[#This Row],[Time]],PeakCalc!$G$10:$G$303,0))</f>
        <v>0</v>
      </c>
    </row>
    <row r="1865" spans="1:9" x14ac:dyDescent="0.25">
      <c r="A1865" t="s">
        <v>97</v>
      </c>
      <c r="B1865" t="s">
        <v>107</v>
      </c>
      <c r="C1865" t="s">
        <v>94</v>
      </c>
      <c r="D1865" t="s">
        <v>93</v>
      </c>
      <c r="E1865" t="s">
        <v>43</v>
      </c>
      <c r="F1865" s="6">
        <v>0.28125</v>
      </c>
      <c r="G1865">
        <v>0</v>
      </c>
      <c r="H1865" s="6">
        <f>FLOOR(tblPivotData[[#This Row],[Time]],Summary!$B$6/1440)</f>
        <v>0.28125</v>
      </c>
      <c r="I1865" s="49">
        <f>INDEX(PeakCalc!$L$10:$L$303,MATCH(tblPivotData[[#This Row],[Time]],PeakCalc!$G$10:$G$303,0))</f>
        <v>0</v>
      </c>
    </row>
    <row r="1866" spans="1:9" x14ac:dyDescent="0.25">
      <c r="A1866" t="s">
        <v>97</v>
      </c>
      <c r="B1866" t="s">
        <v>107</v>
      </c>
      <c r="C1866" t="s">
        <v>94</v>
      </c>
      <c r="D1866" t="s">
        <v>93</v>
      </c>
      <c r="E1866" t="s">
        <v>43</v>
      </c>
      <c r="F1866" s="6">
        <v>0.29166666666666669</v>
      </c>
      <c r="G1866">
        <v>0</v>
      </c>
      <c r="H1866" s="6">
        <f>FLOOR(tblPivotData[[#This Row],[Time]],Summary!$B$6/1440)</f>
        <v>0.29166666666666663</v>
      </c>
      <c r="I1866" s="49">
        <f>INDEX(PeakCalc!$L$10:$L$303,MATCH(tblPivotData[[#This Row],[Time]],PeakCalc!$G$10:$G$303,0))</f>
        <v>0</v>
      </c>
    </row>
    <row r="1867" spans="1:9" x14ac:dyDescent="0.25">
      <c r="A1867" t="s">
        <v>97</v>
      </c>
      <c r="B1867" t="s">
        <v>107</v>
      </c>
      <c r="C1867" t="s">
        <v>94</v>
      </c>
      <c r="D1867" t="s">
        <v>93</v>
      </c>
      <c r="E1867" t="s">
        <v>43</v>
      </c>
      <c r="F1867" s="6">
        <v>0.30208333333333331</v>
      </c>
      <c r="G1867">
        <v>0</v>
      </c>
      <c r="H1867" s="6">
        <f>FLOOR(tblPivotData[[#This Row],[Time]],Summary!$B$6/1440)</f>
        <v>0.30208333333333331</v>
      </c>
      <c r="I1867" s="49">
        <f>INDEX(PeakCalc!$L$10:$L$303,MATCH(tblPivotData[[#This Row],[Time]],PeakCalc!$G$10:$G$303,0))</f>
        <v>0</v>
      </c>
    </row>
    <row r="1868" spans="1:9" x14ac:dyDescent="0.25">
      <c r="A1868" t="s">
        <v>97</v>
      </c>
      <c r="B1868" t="s">
        <v>107</v>
      </c>
      <c r="C1868" t="s">
        <v>94</v>
      </c>
      <c r="D1868" t="s">
        <v>93</v>
      </c>
      <c r="E1868" t="s">
        <v>43</v>
      </c>
      <c r="F1868" s="6">
        <v>0.3125</v>
      </c>
      <c r="G1868">
        <v>0</v>
      </c>
      <c r="H1868" s="6">
        <f>FLOOR(tblPivotData[[#This Row],[Time]],Summary!$B$6/1440)</f>
        <v>0.3125</v>
      </c>
      <c r="I1868" s="49">
        <f>INDEX(PeakCalc!$L$10:$L$303,MATCH(tblPivotData[[#This Row],[Time]],PeakCalc!$G$10:$G$303,0))</f>
        <v>0</v>
      </c>
    </row>
    <row r="1869" spans="1:9" x14ac:dyDescent="0.25">
      <c r="A1869" t="s">
        <v>97</v>
      </c>
      <c r="B1869" t="s">
        <v>107</v>
      </c>
      <c r="C1869" t="s">
        <v>94</v>
      </c>
      <c r="D1869" t="s">
        <v>93</v>
      </c>
      <c r="E1869" t="s">
        <v>43</v>
      </c>
      <c r="F1869" s="6">
        <v>0.32291666666666669</v>
      </c>
      <c r="G1869">
        <v>0</v>
      </c>
      <c r="H1869" s="6">
        <f>FLOOR(tblPivotData[[#This Row],[Time]],Summary!$B$6/1440)</f>
        <v>0.32291666666666663</v>
      </c>
      <c r="I1869" s="49">
        <f>INDEX(PeakCalc!$L$10:$L$303,MATCH(tblPivotData[[#This Row],[Time]],PeakCalc!$G$10:$G$303,0))</f>
        <v>1</v>
      </c>
    </row>
    <row r="1870" spans="1:9" x14ac:dyDescent="0.25">
      <c r="A1870" t="s">
        <v>97</v>
      </c>
      <c r="B1870" t="s">
        <v>107</v>
      </c>
      <c r="C1870" t="s">
        <v>94</v>
      </c>
      <c r="D1870" t="s">
        <v>93</v>
      </c>
      <c r="E1870" t="s">
        <v>43</v>
      </c>
      <c r="F1870" s="6">
        <v>0.33333333333333331</v>
      </c>
      <c r="G1870">
        <v>0</v>
      </c>
      <c r="H1870" s="6">
        <f>FLOOR(tblPivotData[[#This Row],[Time]],Summary!$B$6/1440)</f>
        <v>0.33333333333333331</v>
      </c>
      <c r="I1870" s="49">
        <f>INDEX(PeakCalc!$L$10:$L$303,MATCH(tblPivotData[[#This Row],[Time]],PeakCalc!$G$10:$G$303,0))</f>
        <v>1</v>
      </c>
    </row>
    <row r="1871" spans="1:9" x14ac:dyDescent="0.25">
      <c r="A1871" t="s">
        <v>97</v>
      </c>
      <c r="B1871" t="s">
        <v>107</v>
      </c>
      <c r="C1871" t="s">
        <v>94</v>
      </c>
      <c r="D1871" t="s">
        <v>93</v>
      </c>
      <c r="E1871" t="s">
        <v>43</v>
      </c>
      <c r="F1871" s="6">
        <v>0.34375</v>
      </c>
      <c r="G1871">
        <v>0</v>
      </c>
      <c r="H1871" s="6">
        <f>FLOOR(tblPivotData[[#This Row],[Time]],Summary!$B$6/1440)</f>
        <v>0.34375</v>
      </c>
      <c r="I1871" s="49">
        <f>INDEX(PeakCalc!$L$10:$L$303,MATCH(tblPivotData[[#This Row],[Time]],PeakCalc!$G$10:$G$303,0))</f>
        <v>1</v>
      </c>
    </row>
    <row r="1872" spans="1:9" x14ac:dyDescent="0.25">
      <c r="A1872" t="s">
        <v>97</v>
      </c>
      <c r="B1872" t="s">
        <v>107</v>
      </c>
      <c r="C1872" t="s">
        <v>94</v>
      </c>
      <c r="D1872" t="s">
        <v>93</v>
      </c>
      <c r="E1872" t="s">
        <v>43</v>
      </c>
      <c r="F1872" s="6">
        <v>0.35416666666666669</v>
      </c>
      <c r="G1872">
        <v>0</v>
      </c>
      <c r="H1872" s="6">
        <f>FLOOR(tblPivotData[[#This Row],[Time]],Summary!$B$6/1440)</f>
        <v>0.35416666666666663</v>
      </c>
      <c r="I1872" s="49">
        <f>INDEX(PeakCalc!$L$10:$L$303,MATCH(tblPivotData[[#This Row],[Time]],PeakCalc!$G$10:$G$303,0))</f>
        <v>1</v>
      </c>
    </row>
    <row r="1873" spans="1:9" x14ac:dyDescent="0.25">
      <c r="A1873" t="s">
        <v>97</v>
      </c>
      <c r="B1873" t="s">
        <v>107</v>
      </c>
      <c r="C1873" t="s">
        <v>94</v>
      </c>
      <c r="D1873" t="s">
        <v>93</v>
      </c>
      <c r="E1873" t="s">
        <v>43</v>
      </c>
      <c r="F1873" s="6">
        <v>0.36458333333333331</v>
      </c>
      <c r="G1873">
        <v>0</v>
      </c>
      <c r="H1873" s="6">
        <f>FLOOR(tblPivotData[[#This Row],[Time]],Summary!$B$6/1440)</f>
        <v>0.36458333333333331</v>
      </c>
      <c r="I1873" s="49">
        <f>INDEX(PeakCalc!$L$10:$L$303,MATCH(tblPivotData[[#This Row],[Time]],PeakCalc!$G$10:$G$303,0))</f>
        <v>0</v>
      </c>
    </row>
    <row r="1874" spans="1:9" x14ac:dyDescent="0.25">
      <c r="A1874" t="s">
        <v>97</v>
      </c>
      <c r="B1874" t="s">
        <v>107</v>
      </c>
      <c r="C1874" t="s">
        <v>94</v>
      </c>
      <c r="D1874" t="s">
        <v>93</v>
      </c>
      <c r="E1874" t="s">
        <v>43</v>
      </c>
      <c r="F1874" s="6">
        <v>0.375</v>
      </c>
      <c r="G1874">
        <v>0</v>
      </c>
      <c r="H1874" s="6">
        <f>FLOOR(tblPivotData[[#This Row],[Time]],Summary!$B$6/1440)</f>
        <v>0.375</v>
      </c>
      <c r="I1874" s="49">
        <f>INDEX(PeakCalc!$L$10:$L$303,MATCH(tblPivotData[[#This Row],[Time]],PeakCalc!$G$10:$G$303,0))</f>
        <v>0</v>
      </c>
    </row>
    <row r="1875" spans="1:9" x14ac:dyDescent="0.25">
      <c r="A1875" t="s">
        <v>97</v>
      </c>
      <c r="B1875" t="s">
        <v>107</v>
      </c>
      <c r="C1875" t="s">
        <v>94</v>
      </c>
      <c r="D1875" t="s">
        <v>93</v>
      </c>
      <c r="E1875" t="s">
        <v>43</v>
      </c>
      <c r="F1875" s="6">
        <v>0.38541666666666669</v>
      </c>
      <c r="G1875">
        <v>1</v>
      </c>
      <c r="H1875" s="6">
        <f>FLOOR(tblPivotData[[#This Row],[Time]],Summary!$B$6/1440)</f>
        <v>0.38541666666666663</v>
      </c>
      <c r="I1875" s="49">
        <f>INDEX(PeakCalc!$L$10:$L$303,MATCH(tblPivotData[[#This Row],[Time]],PeakCalc!$G$10:$G$303,0))</f>
        <v>0</v>
      </c>
    </row>
    <row r="1876" spans="1:9" x14ac:dyDescent="0.25">
      <c r="A1876" t="s">
        <v>97</v>
      </c>
      <c r="B1876" t="s">
        <v>107</v>
      </c>
      <c r="C1876" t="s">
        <v>94</v>
      </c>
      <c r="D1876" t="s">
        <v>93</v>
      </c>
      <c r="E1876" t="s">
        <v>110</v>
      </c>
      <c r="F1876" s="6">
        <v>0.45833333333333331</v>
      </c>
      <c r="G1876">
        <v>0</v>
      </c>
      <c r="H1876" s="6">
        <f>FLOOR(tblPivotData[[#This Row],[Time]],Summary!$B$6/1440)</f>
        <v>0.45833333333333331</v>
      </c>
      <c r="I1876" s="49">
        <f>INDEX(PeakCalc!$L$10:$L$303,MATCH(tblPivotData[[#This Row],[Time]],PeakCalc!$G$10:$G$303,0))</f>
        <v>0</v>
      </c>
    </row>
    <row r="1877" spans="1:9" x14ac:dyDescent="0.25">
      <c r="A1877" t="s">
        <v>97</v>
      </c>
      <c r="B1877" t="s">
        <v>107</v>
      </c>
      <c r="C1877" t="s">
        <v>94</v>
      </c>
      <c r="D1877" t="s">
        <v>93</v>
      </c>
      <c r="E1877" t="s">
        <v>110</v>
      </c>
      <c r="F1877" s="6">
        <v>0.46875</v>
      </c>
      <c r="G1877">
        <v>0</v>
      </c>
      <c r="H1877" s="6">
        <f>FLOOR(tblPivotData[[#This Row],[Time]],Summary!$B$6/1440)</f>
        <v>0.46875</v>
      </c>
      <c r="I1877" s="49">
        <f>INDEX(PeakCalc!$L$10:$L$303,MATCH(tblPivotData[[#This Row],[Time]],PeakCalc!$G$10:$G$303,0))</f>
        <v>0</v>
      </c>
    </row>
    <row r="1878" spans="1:9" x14ac:dyDescent="0.25">
      <c r="A1878" t="s">
        <v>97</v>
      </c>
      <c r="B1878" t="s">
        <v>107</v>
      </c>
      <c r="C1878" t="s">
        <v>94</v>
      </c>
      <c r="D1878" t="s">
        <v>93</v>
      </c>
      <c r="E1878" t="s">
        <v>110</v>
      </c>
      <c r="F1878" s="6">
        <v>0.47916666666666669</v>
      </c>
      <c r="G1878">
        <v>1</v>
      </c>
      <c r="H1878" s="6">
        <f>FLOOR(tblPivotData[[#This Row],[Time]],Summary!$B$6/1440)</f>
        <v>0.47916666666666663</v>
      </c>
      <c r="I1878" s="49">
        <f>INDEX(PeakCalc!$L$10:$L$303,MATCH(tblPivotData[[#This Row],[Time]],PeakCalc!$G$10:$G$303,0))</f>
        <v>0</v>
      </c>
    </row>
    <row r="1879" spans="1:9" x14ac:dyDescent="0.25">
      <c r="A1879" t="s">
        <v>97</v>
      </c>
      <c r="B1879" t="s">
        <v>107</v>
      </c>
      <c r="C1879" t="s">
        <v>94</v>
      </c>
      <c r="D1879" t="s">
        <v>93</v>
      </c>
      <c r="E1879" t="s">
        <v>110</v>
      </c>
      <c r="F1879" s="6">
        <v>0.48958333333333331</v>
      </c>
      <c r="G1879">
        <v>0</v>
      </c>
      <c r="H1879" s="6">
        <f>FLOOR(tblPivotData[[#This Row],[Time]],Summary!$B$6/1440)</f>
        <v>0.48958333333333331</v>
      </c>
      <c r="I1879" s="49">
        <f>INDEX(PeakCalc!$L$10:$L$303,MATCH(tblPivotData[[#This Row],[Time]],PeakCalc!$G$10:$G$303,0))</f>
        <v>0</v>
      </c>
    </row>
    <row r="1880" spans="1:9" x14ac:dyDescent="0.25">
      <c r="A1880" t="s">
        <v>97</v>
      </c>
      <c r="B1880" t="s">
        <v>107</v>
      </c>
      <c r="C1880" t="s">
        <v>94</v>
      </c>
      <c r="D1880" t="s">
        <v>93</v>
      </c>
      <c r="E1880" t="s">
        <v>110</v>
      </c>
      <c r="F1880" s="6">
        <v>0.5</v>
      </c>
      <c r="G1880">
        <v>0</v>
      </c>
      <c r="H1880" s="6">
        <f>FLOOR(tblPivotData[[#This Row],[Time]],Summary!$B$6/1440)</f>
        <v>0.5</v>
      </c>
      <c r="I1880" s="49">
        <f>INDEX(PeakCalc!$L$10:$L$303,MATCH(tblPivotData[[#This Row],[Time]],PeakCalc!$G$10:$G$303,0))</f>
        <v>0</v>
      </c>
    </row>
    <row r="1881" spans="1:9" x14ac:dyDescent="0.25">
      <c r="A1881" t="s">
        <v>97</v>
      </c>
      <c r="B1881" t="s">
        <v>107</v>
      </c>
      <c r="C1881" t="s">
        <v>94</v>
      </c>
      <c r="D1881" t="s">
        <v>93</v>
      </c>
      <c r="E1881" t="s">
        <v>110</v>
      </c>
      <c r="F1881" s="6">
        <v>0.51041666666666663</v>
      </c>
      <c r="G1881">
        <v>1</v>
      </c>
      <c r="H1881" s="6">
        <f>FLOOR(tblPivotData[[#This Row],[Time]],Summary!$B$6/1440)</f>
        <v>0.51041666666666663</v>
      </c>
      <c r="I1881" s="49">
        <f>INDEX(PeakCalc!$L$10:$L$303,MATCH(tblPivotData[[#This Row],[Time]],PeakCalc!$G$10:$G$303,0))</f>
        <v>0</v>
      </c>
    </row>
    <row r="1882" spans="1:9" x14ac:dyDescent="0.25">
      <c r="A1882" t="s">
        <v>97</v>
      </c>
      <c r="B1882" t="s">
        <v>107</v>
      </c>
      <c r="C1882" t="s">
        <v>94</v>
      </c>
      <c r="D1882" t="s">
        <v>93</v>
      </c>
      <c r="E1882" t="s">
        <v>110</v>
      </c>
      <c r="F1882" s="6">
        <v>0.52083333333333337</v>
      </c>
      <c r="G1882">
        <v>0</v>
      </c>
      <c r="H1882" s="6">
        <f>FLOOR(tblPivotData[[#This Row],[Time]],Summary!$B$6/1440)</f>
        <v>0.52083333333333326</v>
      </c>
      <c r="I1882" s="49">
        <f>INDEX(PeakCalc!$L$10:$L$303,MATCH(tblPivotData[[#This Row],[Time]],PeakCalc!$G$10:$G$303,0))</f>
        <v>1</v>
      </c>
    </row>
    <row r="1883" spans="1:9" x14ac:dyDescent="0.25">
      <c r="A1883" t="s">
        <v>97</v>
      </c>
      <c r="B1883" t="s">
        <v>107</v>
      </c>
      <c r="C1883" t="s">
        <v>94</v>
      </c>
      <c r="D1883" t="s">
        <v>93</v>
      </c>
      <c r="E1883" t="s">
        <v>110</v>
      </c>
      <c r="F1883" s="6">
        <v>0.53125</v>
      </c>
      <c r="G1883">
        <v>0</v>
      </c>
      <c r="H1883" s="6">
        <f>FLOOR(tblPivotData[[#This Row],[Time]],Summary!$B$6/1440)</f>
        <v>0.53125</v>
      </c>
      <c r="I1883" s="49">
        <f>INDEX(PeakCalc!$L$10:$L$303,MATCH(tblPivotData[[#This Row],[Time]],PeakCalc!$G$10:$G$303,0))</f>
        <v>1</v>
      </c>
    </row>
    <row r="1884" spans="1:9" x14ac:dyDescent="0.25">
      <c r="A1884" t="s">
        <v>97</v>
      </c>
      <c r="B1884" t="s">
        <v>107</v>
      </c>
      <c r="C1884" t="s">
        <v>94</v>
      </c>
      <c r="D1884" t="s">
        <v>93</v>
      </c>
      <c r="E1884" t="s">
        <v>110</v>
      </c>
      <c r="F1884" s="6">
        <v>0.54166666666666663</v>
      </c>
      <c r="G1884">
        <v>0</v>
      </c>
      <c r="H1884" s="6">
        <f>FLOOR(tblPivotData[[#This Row],[Time]],Summary!$B$6/1440)</f>
        <v>0.54166666666666663</v>
      </c>
      <c r="I1884" s="49">
        <f>INDEX(PeakCalc!$L$10:$L$303,MATCH(tblPivotData[[#This Row],[Time]],PeakCalc!$G$10:$G$303,0))</f>
        <v>1</v>
      </c>
    </row>
    <row r="1885" spans="1:9" x14ac:dyDescent="0.25">
      <c r="A1885" t="s">
        <v>97</v>
      </c>
      <c r="B1885" t="s">
        <v>107</v>
      </c>
      <c r="C1885" t="s">
        <v>94</v>
      </c>
      <c r="D1885" t="s">
        <v>93</v>
      </c>
      <c r="E1885" t="s">
        <v>110</v>
      </c>
      <c r="F1885" s="6">
        <v>0.55208333333333337</v>
      </c>
      <c r="G1885">
        <v>0</v>
      </c>
      <c r="H1885" s="6">
        <f>FLOOR(tblPivotData[[#This Row],[Time]],Summary!$B$6/1440)</f>
        <v>0.55208333333333326</v>
      </c>
      <c r="I1885" s="49">
        <f>INDEX(PeakCalc!$L$10:$L$303,MATCH(tblPivotData[[#This Row],[Time]],PeakCalc!$G$10:$G$303,0))</f>
        <v>1</v>
      </c>
    </row>
    <row r="1886" spans="1:9" x14ac:dyDescent="0.25">
      <c r="A1886" t="s">
        <v>97</v>
      </c>
      <c r="B1886" t="s">
        <v>107</v>
      </c>
      <c r="C1886" t="s">
        <v>94</v>
      </c>
      <c r="D1886" t="s">
        <v>93</v>
      </c>
      <c r="E1886" t="s">
        <v>110</v>
      </c>
      <c r="F1886" s="6">
        <v>0.5625</v>
      </c>
      <c r="G1886">
        <v>0</v>
      </c>
      <c r="H1886" s="6">
        <f>FLOOR(tblPivotData[[#This Row],[Time]],Summary!$B$6/1440)</f>
        <v>0.5625</v>
      </c>
      <c r="I1886" s="49">
        <f>INDEX(PeakCalc!$L$10:$L$303,MATCH(tblPivotData[[#This Row],[Time]],PeakCalc!$G$10:$G$303,0))</f>
        <v>0</v>
      </c>
    </row>
    <row r="1887" spans="1:9" x14ac:dyDescent="0.25">
      <c r="A1887" t="s">
        <v>97</v>
      </c>
      <c r="B1887" t="s">
        <v>107</v>
      </c>
      <c r="C1887" t="s">
        <v>94</v>
      </c>
      <c r="D1887" t="s">
        <v>93</v>
      </c>
      <c r="E1887" t="s">
        <v>110</v>
      </c>
      <c r="F1887" s="6">
        <v>0.57291666666666663</v>
      </c>
      <c r="G1887">
        <v>0</v>
      </c>
      <c r="H1887" s="6">
        <f>FLOOR(tblPivotData[[#This Row],[Time]],Summary!$B$6/1440)</f>
        <v>0.57291666666666663</v>
      </c>
      <c r="I1887" s="49">
        <f>INDEX(PeakCalc!$L$10:$L$303,MATCH(tblPivotData[[#This Row],[Time]],PeakCalc!$G$10:$G$303,0))</f>
        <v>0</v>
      </c>
    </row>
    <row r="1888" spans="1:9" x14ac:dyDescent="0.25">
      <c r="A1888" t="s">
        <v>97</v>
      </c>
      <c r="B1888" t="s">
        <v>107</v>
      </c>
      <c r="C1888" t="s">
        <v>94</v>
      </c>
      <c r="D1888" t="s">
        <v>93</v>
      </c>
      <c r="E1888" t="s">
        <v>44</v>
      </c>
      <c r="F1888" s="6">
        <v>0.625</v>
      </c>
      <c r="G1888">
        <v>0</v>
      </c>
      <c r="H1888" s="6">
        <f>FLOOR(tblPivotData[[#This Row],[Time]],Summary!$B$6/1440)</f>
        <v>0.625</v>
      </c>
      <c r="I1888" s="49">
        <f>INDEX(PeakCalc!$L$10:$L$303,MATCH(tblPivotData[[#This Row],[Time]],PeakCalc!$G$10:$G$303,0))</f>
        <v>0</v>
      </c>
    </row>
    <row r="1889" spans="1:9" x14ac:dyDescent="0.25">
      <c r="A1889" t="s">
        <v>97</v>
      </c>
      <c r="B1889" t="s">
        <v>107</v>
      </c>
      <c r="C1889" t="s">
        <v>94</v>
      </c>
      <c r="D1889" t="s">
        <v>93</v>
      </c>
      <c r="E1889" t="s">
        <v>44</v>
      </c>
      <c r="F1889" s="6">
        <v>0.63541666666666663</v>
      </c>
      <c r="G1889">
        <v>1</v>
      </c>
      <c r="H1889" s="6">
        <f>FLOOR(tblPivotData[[#This Row],[Time]],Summary!$B$6/1440)</f>
        <v>0.63541666666666663</v>
      </c>
      <c r="I1889" s="49">
        <f>INDEX(PeakCalc!$L$10:$L$303,MATCH(tblPivotData[[#This Row],[Time]],PeakCalc!$G$10:$G$303,0))</f>
        <v>0</v>
      </c>
    </row>
    <row r="1890" spans="1:9" x14ac:dyDescent="0.25">
      <c r="A1890" t="s">
        <v>97</v>
      </c>
      <c r="B1890" t="s">
        <v>107</v>
      </c>
      <c r="C1890" t="s">
        <v>94</v>
      </c>
      <c r="D1890" t="s">
        <v>93</v>
      </c>
      <c r="E1890" t="s">
        <v>44</v>
      </c>
      <c r="F1890" s="6">
        <v>0.64583333333333337</v>
      </c>
      <c r="G1890">
        <v>0</v>
      </c>
      <c r="H1890" s="6">
        <f>FLOOR(tblPivotData[[#This Row],[Time]],Summary!$B$6/1440)</f>
        <v>0.64583333333333326</v>
      </c>
      <c r="I1890" s="49">
        <f>INDEX(PeakCalc!$L$10:$L$303,MATCH(tblPivotData[[#This Row],[Time]],PeakCalc!$G$10:$G$303,0))</f>
        <v>0</v>
      </c>
    </row>
    <row r="1891" spans="1:9" x14ac:dyDescent="0.25">
      <c r="A1891" t="s">
        <v>97</v>
      </c>
      <c r="B1891" t="s">
        <v>107</v>
      </c>
      <c r="C1891" t="s">
        <v>94</v>
      </c>
      <c r="D1891" t="s">
        <v>93</v>
      </c>
      <c r="E1891" t="s">
        <v>44</v>
      </c>
      <c r="F1891" s="6">
        <v>0.65625</v>
      </c>
      <c r="G1891">
        <v>0</v>
      </c>
      <c r="H1891" s="6">
        <f>FLOOR(tblPivotData[[#This Row],[Time]],Summary!$B$6/1440)</f>
        <v>0.65625</v>
      </c>
      <c r="I1891" s="49">
        <f>INDEX(PeakCalc!$L$10:$L$303,MATCH(tblPivotData[[#This Row],[Time]],PeakCalc!$G$10:$G$303,0))</f>
        <v>0</v>
      </c>
    </row>
    <row r="1892" spans="1:9" x14ac:dyDescent="0.25">
      <c r="A1892" t="s">
        <v>97</v>
      </c>
      <c r="B1892" t="s">
        <v>107</v>
      </c>
      <c r="C1892" t="s">
        <v>94</v>
      </c>
      <c r="D1892" t="s">
        <v>93</v>
      </c>
      <c r="E1892" t="s">
        <v>44</v>
      </c>
      <c r="F1892" s="6">
        <v>0.66666666666666663</v>
      </c>
      <c r="G1892">
        <v>0</v>
      </c>
      <c r="H1892" s="6">
        <f>FLOOR(tblPivotData[[#This Row],[Time]],Summary!$B$6/1440)</f>
        <v>0.66666666666666663</v>
      </c>
      <c r="I1892" s="49">
        <f>INDEX(PeakCalc!$L$10:$L$303,MATCH(tblPivotData[[#This Row],[Time]],PeakCalc!$G$10:$G$303,0))</f>
        <v>0</v>
      </c>
    </row>
    <row r="1893" spans="1:9" x14ac:dyDescent="0.25">
      <c r="A1893" t="s">
        <v>97</v>
      </c>
      <c r="B1893" t="s">
        <v>107</v>
      </c>
      <c r="C1893" t="s">
        <v>94</v>
      </c>
      <c r="D1893" t="s">
        <v>93</v>
      </c>
      <c r="E1893" t="s">
        <v>44</v>
      </c>
      <c r="F1893" s="6">
        <v>0.67708333333333337</v>
      </c>
      <c r="G1893">
        <v>1</v>
      </c>
      <c r="H1893" s="6">
        <f>FLOOR(tblPivotData[[#This Row],[Time]],Summary!$B$6/1440)</f>
        <v>0.67708333333333326</v>
      </c>
      <c r="I1893" s="49">
        <f>INDEX(PeakCalc!$L$10:$L$303,MATCH(tblPivotData[[#This Row],[Time]],PeakCalc!$G$10:$G$303,0))</f>
        <v>0</v>
      </c>
    </row>
    <row r="1894" spans="1:9" x14ac:dyDescent="0.25">
      <c r="A1894" t="s">
        <v>97</v>
      </c>
      <c r="B1894" t="s">
        <v>107</v>
      </c>
      <c r="C1894" t="s">
        <v>94</v>
      </c>
      <c r="D1894" t="s">
        <v>93</v>
      </c>
      <c r="E1894" t="s">
        <v>44</v>
      </c>
      <c r="F1894" s="6">
        <v>0.6875</v>
      </c>
      <c r="G1894">
        <v>1</v>
      </c>
      <c r="H1894" s="6">
        <f>FLOOR(tblPivotData[[#This Row],[Time]],Summary!$B$6/1440)</f>
        <v>0.6875</v>
      </c>
      <c r="I1894" s="49">
        <f>INDEX(PeakCalc!$L$10:$L$303,MATCH(tblPivotData[[#This Row],[Time]],PeakCalc!$G$10:$G$303,0))</f>
        <v>1</v>
      </c>
    </row>
    <row r="1895" spans="1:9" x14ac:dyDescent="0.25">
      <c r="A1895" t="s">
        <v>97</v>
      </c>
      <c r="B1895" t="s">
        <v>107</v>
      </c>
      <c r="C1895" t="s">
        <v>94</v>
      </c>
      <c r="D1895" t="s">
        <v>93</v>
      </c>
      <c r="E1895" t="s">
        <v>44</v>
      </c>
      <c r="F1895" s="6">
        <v>0.69791666666666663</v>
      </c>
      <c r="G1895">
        <v>1</v>
      </c>
      <c r="H1895" s="6">
        <f>FLOOR(tblPivotData[[#This Row],[Time]],Summary!$B$6/1440)</f>
        <v>0.69791666666666663</v>
      </c>
      <c r="I1895" s="49">
        <f>INDEX(PeakCalc!$L$10:$L$303,MATCH(tblPivotData[[#This Row],[Time]],PeakCalc!$G$10:$G$303,0))</f>
        <v>1</v>
      </c>
    </row>
    <row r="1896" spans="1:9" x14ac:dyDescent="0.25">
      <c r="A1896" t="s">
        <v>97</v>
      </c>
      <c r="B1896" t="s">
        <v>107</v>
      </c>
      <c r="C1896" t="s">
        <v>94</v>
      </c>
      <c r="D1896" t="s">
        <v>93</v>
      </c>
      <c r="E1896" t="s">
        <v>44</v>
      </c>
      <c r="F1896" s="6">
        <v>0.70833333333333337</v>
      </c>
      <c r="G1896">
        <v>0</v>
      </c>
      <c r="H1896" s="6">
        <f>FLOOR(tblPivotData[[#This Row],[Time]],Summary!$B$6/1440)</f>
        <v>0.70833333333333326</v>
      </c>
      <c r="I1896" s="49">
        <f>INDEX(PeakCalc!$L$10:$L$303,MATCH(tblPivotData[[#This Row],[Time]],PeakCalc!$G$10:$G$303,0))</f>
        <v>1</v>
      </c>
    </row>
    <row r="1897" spans="1:9" x14ac:dyDescent="0.25">
      <c r="A1897" t="s">
        <v>97</v>
      </c>
      <c r="B1897" t="s">
        <v>107</v>
      </c>
      <c r="C1897" t="s">
        <v>94</v>
      </c>
      <c r="D1897" t="s">
        <v>93</v>
      </c>
      <c r="E1897" t="s">
        <v>44</v>
      </c>
      <c r="F1897" s="6">
        <v>0.71875</v>
      </c>
      <c r="G1897">
        <v>0</v>
      </c>
      <c r="H1897" s="6">
        <f>FLOOR(tblPivotData[[#This Row],[Time]],Summary!$B$6/1440)</f>
        <v>0.71875</v>
      </c>
      <c r="I1897" s="49">
        <f>INDEX(PeakCalc!$L$10:$L$303,MATCH(tblPivotData[[#This Row],[Time]],PeakCalc!$G$10:$G$303,0))</f>
        <v>1</v>
      </c>
    </row>
    <row r="1898" spans="1:9" x14ac:dyDescent="0.25">
      <c r="A1898" t="s">
        <v>97</v>
      </c>
      <c r="B1898" t="s">
        <v>107</v>
      </c>
      <c r="C1898" t="s">
        <v>94</v>
      </c>
      <c r="D1898" t="s">
        <v>93</v>
      </c>
      <c r="E1898" t="s">
        <v>44</v>
      </c>
      <c r="F1898" s="6">
        <v>0.72916666666666663</v>
      </c>
      <c r="G1898">
        <v>0</v>
      </c>
      <c r="H1898" s="6">
        <f>FLOOR(tblPivotData[[#This Row],[Time]],Summary!$B$6/1440)</f>
        <v>0.72916666666666663</v>
      </c>
      <c r="I1898" s="49">
        <f>INDEX(PeakCalc!$L$10:$L$303,MATCH(tblPivotData[[#This Row],[Time]],PeakCalc!$G$10:$G$303,0))</f>
        <v>0</v>
      </c>
    </row>
    <row r="1899" spans="1:9" x14ac:dyDescent="0.25">
      <c r="A1899" t="s">
        <v>97</v>
      </c>
      <c r="B1899" t="s">
        <v>107</v>
      </c>
      <c r="C1899" t="s">
        <v>94</v>
      </c>
      <c r="D1899" t="s">
        <v>93</v>
      </c>
      <c r="E1899" t="s">
        <v>44</v>
      </c>
      <c r="F1899" s="6">
        <v>0.73958333333333337</v>
      </c>
      <c r="G1899">
        <v>0</v>
      </c>
      <c r="H1899" s="6">
        <f>FLOOR(tblPivotData[[#This Row],[Time]],Summary!$B$6/1440)</f>
        <v>0.73958333333333326</v>
      </c>
      <c r="I1899" s="49">
        <f>INDEX(PeakCalc!$L$10:$L$303,MATCH(tblPivotData[[#This Row],[Time]],PeakCalc!$G$10:$G$303,0))</f>
        <v>0</v>
      </c>
    </row>
    <row r="1900" spans="1:9" x14ac:dyDescent="0.25">
      <c r="A1900" t="s">
        <v>97</v>
      </c>
      <c r="B1900" t="s">
        <v>107</v>
      </c>
      <c r="C1900" t="s">
        <v>94</v>
      </c>
      <c r="D1900" t="s">
        <v>93</v>
      </c>
      <c r="E1900" t="s">
        <v>44</v>
      </c>
      <c r="F1900" s="6">
        <v>0.75</v>
      </c>
      <c r="G1900">
        <v>0</v>
      </c>
      <c r="H1900" s="6">
        <f>FLOOR(tblPivotData[[#This Row],[Time]],Summary!$B$6/1440)</f>
        <v>0.75</v>
      </c>
      <c r="I1900" s="49">
        <f>INDEX(PeakCalc!$L$10:$L$303,MATCH(tblPivotData[[#This Row],[Time]],PeakCalc!$G$10:$G$303,0))</f>
        <v>0</v>
      </c>
    </row>
    <row r="1901" spans="1:9" x14ac:dyDescent="0.25">
      <c r="A1901" t="s">
        <v>97</v>
      </c>
      <c r="B1901" t="s">
        <v>107</v>
      </c>
      <c r="C1901" t="s">
        <v>94</v>
      </c>
      <c r="D1901" t="s">
        <v>93</v>
      </c>
      <c r="E1901" t="s">
        <v>44</v>
      </c>
      <c r="F1901" s="6">
        <v>0.76041666666666663</v>
      </c>
      <c r="G1901">
        <v>2</v>
      </c>
      <c r="H1901" s="6">
        <f>FLOOR(tblPivotData[[#This Row],[Time]],Summary!$B$6/1440)</f>
        <v>0.76041666666666663</v>
      </c>
      <c r="I1901" s="49">
        <f>INDEX(PeakCalc!$L$10:$L$303,MATCH(tblPivotData[[#This Row],[Time]],PeakCalc!$G$10:$G$303,0))</f>
        <v>0</v>
      </c>
    </row>
    <row r="1902" spans="1:9" x14ac:dyDescent="0.25">
      <c r="A1902" t="s">
        <v>97</v>
      </c>
      <c r="B1902" t="s">
        <v>108</v>
      </c>
      <c r="C1902" t="s">
        <v>95</v>
      </c>
      <c r="D1902" t="s">
        <v>89</v>
      </c>
      <c r="E1902" t="s">
        <v>43</v>
      </c>
      <c r="F1902" s="6">
        <v>0.27083333333333331</v>
      </c>
      <c r="G1902">
        <v>31</v>
      </c>
      <c r="H1902" s="6">
        <f>FLOOR(tblPivotData[[#This Row],[Time]],Summary!$B$6/1440)</f>
        <v>0.27083333333333331</v>
      </c>
      <c r="I1902" s="49">
        <f>INDEX(PeakCalc!$L$10:$L$303,MATCH(tblPivotData[[#This Row],[Time]],PeakCalc!$G$10:$G$303,0))</f>
        <v>0</v>
      </c>
    </row>
    <row r="1903" spans="1:9" x14ac:dyDescent="0.25">
      <c r="A1903" t="s">
        <v>97</v>
      </c>
      <c r="B1903" t="s">
        <v>108</v>
      </c>
      <c r="C1903" t="s">
        <v>95</v>
      </c>
      <c r="D1903" t="s">
        <v>89</v>
      </c>
      <c r="E1903" t="s">
        <v>43</v>
      </c>
      <c r="F1903" s="6">
        <v>0.28125</v>
      </c>
      <c r="G1903">
        <v>43</v>
      </c>
      <c r="H1903" s="6">
        <f>FLOOR(tblPivotData[[#This Row],[Time]],Summary!$B$6/1440)</f>
        <v>0.28125</v>
      </c>
      <c r="I1903" s="49">
        <f>INDEX(PeakCalc!$L$10:$L$303,MATCH(tblPivotData[[#This Row],[Time]],PeakCalc!$G$10:$G$303,0))</f>
        <v>0</v>
      </c>
    </row>
    <row r="1904" spans="1:9" x14ac:dyDescent="0.25">
      <c r="A1904" t="s">
        <v>97</v>
      </c>
      <c r="B1904" t="s">
        <v>108</v>
      </c>
      <c r="C1904" t="s">
        <v>95</v>
      </c>
      <c r="D1904" t="s">
        <v>89</v>
      </c>
      <c r="E1904" t="s">
        <v>43</v>
      </c>
      <c r="F1904" s="6">
        <v>0.29166666666666669</v>
      </c>
      <c r="G1904">
        <v>52</v>
      </c>
      <c r="H1904" s="6">
        <f>FLOOR(tblPivotData[[#This Row],[Time]],Summary!$B$6/1440)</f>
        <v>0.29166666666666663</v>
      </c>
      <c r="I1904" s="49">
        <f>INDEX(PeakCalc!$L$10:$L$303,MATCH(tblPivotData[[#This Row],[Time]],PeakCalc!$G$10:$G$303,0))</f>
        <v>0</v>
      </c>
    </row>
    <row r="1905" spans="1:9" x14ac:dyDescent="0.25">
      <c r="A1905" t="s">
        <v>97</v>
      </c>
      <c r="B1905" t="s">
        <v>108</v>
      </c>
      <c r="C1905" t="s">
        <v>95</v>
      </c>
      <c r="D1905" t="s">
        <v>89</v>
      </c>
      <c r="E1905" t="s">
        <v>43</v>
      </c>
      <c r="F1905" s="6">
        <v>0.30208333333333331</v>
      </c>
      <c r="G1905">
        <v>48</v>
      </c>
      <c r="H1905" s="6">
        <f>FLOOR(tblPivotData[[#This Row],[Time]],Summary!$B$6/1440)</f>
        <v>0.30208333333333331</v>
      </c>
      <c r="I1905" s="49">
        <f>INDEX(PeakCalc!$L$10:$L$303,MATCH(tblPivotData[[#This Row],[Time]],PeakCalc!$G$10:$G$303,0))</f>
        <v>0</v>
      </c>
    </row>
    <row r="1906" spans="1:9" x14ac:dyDescent="0.25">
      <c r="A1906" t="s">
        <v>97</v>
      </c>
      <c r="B1906" t="s">
        <v>108</v>
      </c>
      <c r="C1906" t="s">
        <v>95</v>
      </c>
      <c r="D1906" t="s">
        <v>89</v>
      </c>
      <c r="E1906" t="s">
        <v>43</v>
      </c>
      <c r="F1906" s="6">
        <v>0.3125</v>
      </c>
      <c r="G1906">
        <v>64</v>
      </c>
      <c r="H1906" s="6">
        <f>FLOOR(tblPivotData[[#This Row],[Time]],Summary!$B$6/1440)</f>
        <v>0.3125</v>
      </c>
      <c r="I1906" s="49">
        <f>INDEX(PeakCalc!$L$10:$L$303,MATCH(tblPivotData[[#This Row],[Time]],PeakCalc!$G$10:$G$303,0))</f>
        <v>0</v>
      </c>
    </row>
    <row r="1907" spans="1:9" x14ac:dyDescent="0.25">
      <c r="A1907" t="s">
        <v>97</v>
      </c>
      <c r="B1907" t="s">
        <v>108</v>
      </c>
      <c r="C1907" t="s">
        <v>95</v>
      </c>
      <c r="D1907" t="s">
        <v>89</v>
      </c>
      <c r="E1907" t="s">
        <v>43</v>
      </c>
      <c r="F1907" s="6">
        <v>0.32291666666666669</v>
      </c>
      <c r="G1907">
        <v>98</v>
      </c>
      <c r="H1907" s="6">
        <f>FLOOR(tblPivotData[[#This Row],[Time]],Summary!$B$6/1440)</f>
        <v>0.32291666666666663</v>
      </c>
      <c r="I1907" s="49">
        <f>INDEX(PeakCalc!$L$10:$L$303,MATCH(tblPivotData[[#This Row],[Time]],PeakCalc!$G$10:$G$303,0))</f>
        <v>1</v>
      </c>
    </row>
    <row r="1908" spans="1:9" x14ac:dyDescent="0.25">
      <c r="A1908" t="s">
        <v>97</v>
      </c>
      <c r="B1908" t="s">
        <v>108</v>
      </c>
      <c r="C1908" t="s">
        <v>95</v>
      </c>
      <c r="D1908" t="s">
        <v>89</v>
      </c>
      <c r="E1908" t="s">
        <v>43</v>
      </c>
      <c r="F1908" s="6">
        <v>0.33333333333333331</v>
      </c>
      <c r="G1908">
        <v>101</v>
      </c>
      <c r="H1908" s="6">
        <f>FLOOR(tblPivotData[[#This Row],[Time]],Summary!$B$6/1440)</f>
        <v>0.33333333333333331</v>
      </c>
      <c r="I1908" s="49">
        <f>INDEX(PeakCalc!$L$10:$L$303,MATCH(tblPivotData[[#This Row],[Time]],PeakCalc!$G$10:$G$303,0))</f>
        <v>1</v>
      </c>
    </row>
    <row r="1909" spans="1:9" x14ac:dyDescent="0.25">
      <c r="A1909" t="s">
        <v>97</v>
      </c>
      <c r="B1909" t="s">
        <v>108</v>
      </c>
      <c r="C1909" t="s">
        <v>95</v>
      </c>
      <c r="D1909" t="s">
        <v>89</v>
      </c>
      <c r="E1909" t="s">
        <v>43</v>
      </c>
      <c r="F1909" s="6">
        <v>0.34375</v>
      </c>
      <c r="G1909">
        <v>79</v>
      </c>
      <c r="H1909" s="6">
        <f>FLOOR(tblPivotData[[#This Row],[Time]],Summary!$B$6/1440)</f>
        <v>0.34375</v>
      </c>
      <c r="I1909" s="49">
        <f>INDEX(PeakCalc!$L$10:$L$303,MATCH(tblPivotData[[#This Row],[Time]],PeakCalc!$G$10:$G$303,0))</f>
        <v>1</v>
      </c>
    </row>
    <row r="1910" spans="1:9" x14ac:dyDescent="0.25">
      <c r="A1910" t="s">
        <v>97</v>
      </c>
      <c r="B1910" t="s">
        <v>108</v>
      </c>
      <c r="C1910" t="s">
        <v>95</v>
      </c>
      <c r="D1910" t="s">
        <v>89</v>
      </c>
      <c r="E1910" t="s">
        <v>43</v>
      </c>
      <c r="F1910" s="6">
        <v>0.35416666666666669</v>
      </c>
      <c r="G1910">
        <v>77</v>
      </c>
      <c r="H1910" s="6">
        <f>FLOOR(tblPivotData[[#This Row],[Time]],Summary!$B$6/1440)</f>
        <v>0.35416666666666663</v>
      </c>
      <c r="I1910" s="49">
        <f>INDEX(PeakCalc!$L$10:$L$303,MATCH(tblPivotData[[#This Row],[Time]],PeakCalc!$G$10:$G$303,0))</f>
        <v>1</v>
      </c>
    </row>
    <row r="1911" spans="1:9" x14ac:dyDescent="0.25">
      <c r="A1911" t="s">
        <v>97</v>
      </c>
      <c r="B1911" t="s">
        <v>108</v>
      </c>
      <c r="C1911" t="s">
        <v>95</v>
      </c>
      <c r="D1911" t="s">
        <v>89</v>
      </c>
      <c r="E1911" t="s">
        <v>43</v>
      </c>
      <c r="F1911" s="6">
        <v>0.36458333333333331</v>
      </c>
      <c r="G1911">
        <v>81</v>
      </c>
      <c r="H1911" s="6">
        <f>FLOOR(tblPivotData[[#This Row],[Time]],Summary!$B$6/1440)</f>
        <v>0.36458333333333331</v>
      </c>
      <c r="I1911" s="49">
        <f>INDEX(PeakCalc!$L$10:$L$303,MATCH(tblPivotData[[#This Row],[Time]],PeakCalc!$G$10:$G$303,0))</f>
        <v>0</v>
      </c>
    </row>
    <row r="1912" spans="1:9" x14ac:dyDescent="0.25">
      <c r="A1912" t="s">
        <v>97</v>
      </c>
      <c r="B1912" t="s">
        <v>108</v>
      </c>
      <c r="C1912" t="s">
        <v>95</v>
      </c>
      <c r="D1912" t="s">
        <v>89</v>
      </c>
      <c r="E1912" t="s">
        <v>43</v>
      </c>
      <c r="F1912" s="6">
        <v>0.375</v>
      </c>
      <c r="G1912">
        <v>63</v>
      </c>
      <c r="H1912" s="6">
        <f>FLOOR(tblPivotData[[#This Row],[Time]],Summary!$B$6/1440)</f>
        <v>0.375</v>
      </c>
      <c r="I1912" s="49">
        <f>INDEX(PeakCalc!$L$10:$L$303,MATCH(tblPivotData[[#This Row],[Time]],PeakCalc!$G$10:$G$303,0))</f>
        <v>0</v>
      </c>
    </row>
    <row r="1913" spans="1:9" x14ac:dyDescent="0.25">
      <c r="A1913" t="s">
        <v>97</v>
      </c>
      <c r="B1913" t="s">
        <v>108</v>
      </c>
      <c r="C1913" t="s">
        <v>95</v>
      </c>
      <c r="D1913" t="s">
        <v>89</v>
      </c>
      <c r="E1913" t="s">
        <v>43</v>
      </c>
      <c r="F1913" s="6">
        <v>0.38541666666666669</v>
      </c>
      <c r="G1913">
        <v>68</v>
      </c>
      <c r="H1913" s="6">
        <f>FLOOR(tblPivotData[[#This Row],[Time]],Summary!$B$6/1440)</f>
        <v>0.38541666666666663</v>
      </c>
      <c r="I1913" s="49">
        <f>INDEX(PeakCalc!$L$10:$L$303,MATCH(tblPivotData[[#This Row],[Time]],PeakCalc!$G$10:$G$303,0))</f>
        <v>0</v>
      </c>
    </row>
    <row r="1914" spans="1:9" x14ac:dyDescent="0.25">
      <c r="A1914" t="s">
        <v>97</v>
      </c>
      <c r="B1914" t="s">
        <v>108</v>
      </c>
      <c r="C1914" t="s">
        <v>95</v>
      </c>
      <c r="D1914" t="s">
        <v>89</v>
      </c>
      <c r="E1914" t="s">
        <v>110</v>
      </c>
      <c r="F1914" s="6">
        <v>0.45833333333333331</v>
      </c>
      <c r="G1914">
        <v>44</v>
      </c>
      <c r="H1914" s="6">
        <f>FLOOR(tblPivotData[[#This Row],[Time]],Summary!$B$6/1440)</f>
        <v>0.45833333333333331</v>
      </c>
      <c r="I1914" s="49">
        <f>INDEX(PeakCalc!$L$10:$L$303,MATCH(tblPivotData[[#This Row],[Time]],PeakCalc!$G$10:$G$303,0))</f>
        <v>0</v>
      </c>
    </row>
    <row r="1915" spans="1:9" x14ac:dyDescent="0.25">
      <c r="A1915" t="s">
        <v>97</v>
      </c>
      <c r="B1915" t="s">
        <v>108</v>
      </c>
      <c r="C1915" t="s">
        <v>95</v>
      </c>
      <c r="D1915" t="s">
        <v>89</v>
      </c>
      <c r="E1915" t="s">
        <v>110</v>
      </c>
      <c r="F1915" s="6">
        <v>0.46875</v>
      </c>
      <c r="G1915">
        <v>51</v>
      </c>
      <c r="H1915" s="6">
        <f>FLOOR(tblPivotData[[#This Row],[Time]],Summary!$B$6/1440)</f>
        <v>0.46875</v>
      </c>
      <c r="I1915" s="49">
        <f>INDEX(PeakCalc!$L$10:$L$303,MATCH(tblPivotData[[#This Row],[Time]],PeakCalc!$G$10:$G$303,0))</f>
        <v>0</v>
      </c>
    </row>
    <row r="1916" spans="1:9" x14ac:dyDescent="0.25">
      <c r="A1916" t="s">
        <v>97</v>
      </c>
      <c r="B1916" t="s">
        <v>108</v>
      </c>
      <c r="C1916" t="s">
        <v>95</v>
      </c>
      <c r="D1916" t="s">
        <v>89</v>
      </c>
      <c r="E1916" t="s">
        <v>110</v>
      </c>
      <c r="F1916" s="6">
        <v>0.47916666666666669</v>
      </c>
      <c r="G1916">
        <v>52</v>
      </c>
      <c r="H1916" s="6">
        <f>FLOOR(tblPivotData[[#This Row],[Time]],Summary!$B$6/1440)</f>
        <v>0.47916666666666663</v>
      </c>
      <c r="I1916" s="49">
        <f>INDEX(PeakCalc!$L$10:$L$303,MATCH(tblPivotData[[#This Row],[Time]],PeakCalc!$G$10:$G$303,0))</f>
        <v>0</v>
      </c>
    </row>
    <row r="1917" spans="1:9" x14ac:dyDescent="0.25">
      <c r="A1917" t="s">
        <v>97</v>
      </c>
      <c r="B1917" t="s">
        <v>108</v>
      </c>
      <c r="C1917" t="s">
        <v>95</v>
      </c>
      <c r="D1917" t="s">
        <v>89</v>
      </c>
      <c r="E1917" t="s">
        <v>110</v>
      </c>
      <c r="F1917" s="6">
        <v>0.48958333333333331</v>
      </c>
      <c r="G1917">
        <v>69</v>
      </c>
      <c r="H1917" s="6">
        <f>FLOOR(tblPivotData[[#This Row],[Time]],Summary!$B$6/1440)</f>
        <v>0.48958333333333331</v>
      </c>
      <c r="I1917" s="49">
        <f>INDEX(PeakCalc!$L$10:$L$303,MATCH(tblPivotData[[#This Row],[Time]],PeakCalc!$G$10:$G$303,0))</f>
        <v>0</v>
      </c>
    </row>
    <row r="1918" spans="1:9" x14ac:dyDescent="0.25">
      <c r="A1918" t="s">
        <v>97</v>
      </c>
      <c r="B1918" t="s">
        <v>108</v>
      </c>
      <c r="C1918" t="s">
        <v>95</v>
      </c>
      <c r="D1918" t="s">
        <v>89</v>
      </c>
      <c r="E1918" t="s">
        <v>110</v>
      </c>
      <c r="F1918" s="6">
        <v>0.5</v>
      </c>
      <c r="G1918">
        <v>57</v>
      </c>
      <c r="H1918" s="6">
        <f>FLOOR(tblPivotData[[#This Row],[Time]],Summary!$B$6/1440)</f>
        <v>0.5</v>
      </c>
      <c r="I1918" s="49">
        <f>INDEX(PeakCalc!$L$10:$L$303,MATCH(tblPivotData[[#This Row],[Time]],PeakCalc!$G$10:$G$303,0))</f>
        <v>0</v>
      </c>
    </row>
    <row r="1919" spans="1:9" x14ac:dyDescent="0.25">
      <c r="A1919" t="s">
        <v>97</v>
      </c>
      <c r="B1919" t="s">
        <v>108</v>
      </c>
      <c r="C1919" t="s">
        <v>95</v>
      </c>
      <c r="D1919" t="s">
        <v>89</v>
      </c>
      <c r="E1919" t="s">
        <v>110</v>
      </c>
      <c r="F1919" s="6">
        <v>0.51041666666666663</v>
      </c>
      <c r="G1919">
        <v>75</v>
      </c>
      <c r="H1919" s="6">
        <f>FLOOR(tblPivotData[[#This Row],[Time]],Summary!$B$6/1440)</f>
        <v>0.51041666666666663</v>
      </c>
      <c r="I1919" s="49">
        <f>INDEX(PeakCalc!$L$10:$L$303,MATCH(tblPivotData[[#This Row],[Time]],PeakCalc!$G$10:$G$303,0))</f>
        <v>0</v>
      </c>
    </row>
    <row r="1920" spans="1:9" x14ac:dyDescent="0.25">
      <c r="A1920" t="s">
        <v>97</v>
      </c>
      <c r="B1920" t="s">
        <v>108</v>
      </c>
      <c r="C1920" t="s">
        <v>95</v>
      </c>
      <c r="D1920" t="s">
        <v>89</v>
      </c>
      <c r="E1920" t="s">
        <v>110</v>
      </c>
      <c r="F1920" s="6">
        <v>0.52083333333333337</v>
      </c>
      <c r="G1920">
        <v>58</v>
      </c>
      <c r="H1920" s="6">
        <f>FLOOR(tblPivotData[[#This Row],[Time]],Summary!$B$6/1440)</f>
        <v>0.52083333333333326</v>
      </c>
      <c r="I1920" s="49">
        <f>INDEX(PeakCalc!$L$10:$L$303,MATCH(tblPivotData[[#This Row],[Time]],PeakCalc!$G$10:$G$303,0))</f>
        <v>1</v>
      </c>
    </row>
    <row r="1921" spans="1:9" x14ac:dyDescent="0.25">
      <c r="A1921" t="s">
        <v>97</v>
      </c>
      <c r="B1921" t="s">
        <v>108</v>
      </c>
      <c r="C1921" t="s">
        <v>95</v>
      </c>
      <c r="D1921" t="s">
        <v>89</v>
      </c>
      <c r="E1921" t="s">
        <v>110</v>
      </c>
      <c r="F1921" s="6">
        <v>0.53125</v>
      </c>
      <c r="G1921">
        <v>63</v>
      </c>
      <c r="H1921" s="6">
        <f>FLOOR(tblPivotData[[#This Row],[Time]],Summary!$B$6/1440)</f>
        <v>0.53125</v>
      </c>
      <c r="I1921" s="49">
        <f>INDEX(PeakCalc!$L$10:$L$303,MATCH(tblPivotData[[#This Row],[Time]],PeakCalc!$G$10:$G$303,0))</f>
        <v>1</v>
      </c>
    </row>
    <row r="1922" spans="1:9" x14ac:dyDescent="0.25">
      <c r="A1922" t="s">
        <v>97</v>
      </c>
      <c r="B1922" t="s">
        <v>108</v>
      </c>
      <c r="C1922" t="s">
        <v>95</v>
      </c>
      <c r="D1922" t="s">
        <v>89</v>
      </c>
      <c r="E1922" t="s">
        <v>110</v>
      </c>
      <c r="F1922" s="6">
        <v>0.54166666666666663</v>
      </c>
      <c r="G1922">
        <v>49</v>
      </c>
      <c r="H1922" s="6">
        <f>FLOOR(tblPivotData[[#This Row],[Time]],Summary!$B$6/1440)</f>
        <v>0.54166666666666663</v>
      </c>
      <c r="I1922" s="49">
        <f>INDEX(PeakCalc!$L$10:$L$303,MATCH(tblPivotData[[#This Row],[Time]],PeakCalc!$G$10:$G$303,0))</f>
        <v>1</v>
      </c>
    </row>
    <row r="1923" spans="1:9" x14ac:dyDescent="0.25">
      <c r="A1923" t="s">
        <v>97</v>
      </c>
      <c r="B1923" t="s">
        <v>108</v>
      </c>
      <c r="C1923" t="s">
        <v>95</v>
      </c>
      <c r="D1923" t="s">
        <v>89</v>
      </c>
      <c r="E1923" t="s">
        <v>110</v>
      </c>
      <c r="F1923" s="6">
        <v>0.55208333333333337</v>
      </c>
      <c r="G1923">
        <v>65</v>
      </c>
      <c r="H1923" s="6">
        <f>FLOOR(tblPivotData[[#This Row],[Time]],Summary!$B$6/1440)</f>
        <v>0.55208333333333326</v>
      </c>
      <c r="I1923" s="49">
        <f>INDEX(PeakCalc!$L$10:$L$303,MATCH(tblPivotData[[#This Row],[Time]],PeakCalc!$G$10:$G$303,0))</f>
        <v>1</v>
      </c>
    </row>
    <row r="1924" spans="1:9" x14ac:dyDescent="0.25">
      <c r="A1924" t="s">
        <v>97</v>
      </c>
      <c r="B1924" t="s">
        <v>108</v>
      </c>
      <c r="C1924" t="s">
        <v>95</v>
      </c>
      <c r="D1924" t="s">
        <v>89</v>
      </c>
      <c r="E1924" t="s">
        <v>110</v>
      </c>
      <c r="F1924" s="6">
        <v>0.5625</v>
      </c>
      <c r="G1924">
        <v>52</v>
      </c>
      <c r="H1924" s="6">
        <f>FLOOR(tblPivotData[[#This Row],[Time]],Summary!$B$6/1440)</f>
        <v>0.5625</v>
      </c>
      <c r="I1924" s="49">
        <f>INDEX(PeakCalc!$L$10:$L$303,MATCH(tblPivotData[[#This Row],[Time]],PeakCalc!$G$10:$G$303,0))</f>
        <v>0</v>
      </c>
    </row>
    <row r="1925" spans="1:9" x14ac:dyDescent="0.25">
      <c r="A1925" t="s">
        <v>97</v>
      </c>
      <c r="B1925" t="s">
        <v>108</v>
      </c>
      <c r="C1925" t="s">
        <v>95</v>
      </c>
      <c r="D1925" t="s">
        <v>89</v>
      </c>
      <c r="E1925" t="s">
        <v>110</v>
      </c>
      <c r="F1925" s="6">
        <v>0.57291666666666663</v>
      </c>
      <c r="G1925">
        <v>55</v>
      </c>
      <c r="H1925" s="6">
        <f>FLOOR(tblPivotData[[#This Row],[Time]],Summary!$B$6/1440)</f>
        <v>0.57291666666666663</v>
      </c>
      <c r="I1925" s="49">
        <f>INDEX(PeakCalc!$L$10:$L$303,MATCH(tblPivotData[[#This Row],[Time]],PeakCalc!$G$10:$G$303,0))</f>
        <v>0</v>
      </c>
    </row>
    <row r="1926" spans="1:9" x14ac:dyDescent="0.25">
      <c r="A1926" t="s">
        <v>97</v>
      </c>
      <c r="B1926" t="s">
        <v>108</v>
      </c>
      <c r="C1926" t="s">
        <v>95</v>
      </c>
      <c r="D1926" t="s">
        <v>89</v>
      </c>
      <c r="E1926" t="s">
        <v>44</v>
      </c>
      <c r="F1926" s="6">
        <v>0.625</v>
      </c>
      <c r="G1926">
        <v>62</v>
      </c>
      <c r="H1926" s="6">
        <f>FLOOR(tblPivotData[[#This Row],[Time]],Summary!$B$6/1440)</f>
        <v>0.625</v>
      </c>
      <c r="I1926" s="49">
        <f>INDEX(PeakCalc!$L$10:$L$303,MATCH(tblPivotData[[#This Row],[Time]],PeakCalc!$G$10:$G$303,0))</f>
        <v>0</v>
      </c>
    </row>
    <row r="1927" spans="1:9" x14ac:dyDescent="0.25">
      <c r="A1927" t="s">
        <v>97</v>
      </c>
      <c r="B1927" t="s">
        <v>108</v>
      </c>
      <c r="C1927" t="s">
        <v>95</v>
      </c>
      <c r="D1927" t="s">
        <v>89</v>
      </c>
      <c r="E1927" t="s">
        <v>44</v>
      </c>
      <c r="F1927" s="6">
        <v>0.63541666666666663</v>
      </c>
      <c r="G1927">
        <v>86</v>
      </c>
      <c r="H1927" s="6">
        <f>FLOOR(tblPivotData[[#This Row],[Time]],Summary!$B$6/1440)</f>
        <v>0.63541666666666663</v>
      </c>
      <c r="I1927" s="49">
        <f>INDEX(PeakCalc!$L$10:$L$303,MATCH(tblPivotData[[#This Row],[Time]],PeakCalc!$G$10:$G$303,0))</f>
        <v>0</v>
      </c>
    </row>
    <row r="1928" spans="1:9" x14ac:dyDescent="0.25">
      <c r="A1928" t="s">
        <v>97</v>
      </c>
      <c r="B1928" t="s">
        <v>108</v>
      </c>
      <c r="C1928" t="s">
        <v>95</v>
      </c>
      <c r="D1928" t="s">
        <v>89</v>
      </c>
      <c r="E1928" t="s">
        <v>44</v>
      </c>
      <c r="F1928" s="6">
        <v>0.64583333333333337</v>
      </c>
      <c r="G1928">
        <v>64</v>
      </c>
      <c r="H1928" s="6">
        <f>FLOOR(tblPivotData[[#This Row],[Time]],Summary!$B$6/1440)</f>
        <v>0.64583333333333326</v>
      </c>
      <c r="I1928" s="49">
        <f>INDEX(PeakCalc!$L$10:$L$303,MATCH(tblPivotData[[#This Row],[Time]],PeakCalc!$G$10:$G$303,0))</f>
        <v>0</v>
      </c>
    </row>
    <row r="1929" spans="1:9" x14ac:dyDescent="0.25">
      <c r="A1929" t="s">
        <v>97</v>
      </c>
      <c r="B1929" t="s">
        <v>108</v>
      </c>
      <c r="C1929" t="s">
        <v>95</v>
      </c>
      <c r="D1929" t="s">
        <v>89</v>
      </c>
      <c r="E1929" t="s">
        <v>44</v>
      </c>
      <c r="F1929" s="6">
        <v>0.65625</v>
      </c>
      <c r="G1929">
        <v>52</v>
      </c>
      <c r="H1929" s="6">
        <f>FLOOR(tblPivotData[[#This Row],[Time]],Summary!$B$6/1440)</f>
        <v>0.65625</v>
      </c>
      <c r="I1929" s="49">
        <f>INDEX(PeakCalc!$L$10:$L$303,MATCH(tblPivotData[[#This Row],[Time]],PeakCalc!$G$10:$G$303,0))</f>
        <v>0</v>
      </c>
    </row>
    <row r="1930" spans="1:9" x14ac:dyDescent="0.25">
      <c r="A1930" t="s">
        <v>97</v>
      </c>
      <c r="B1930" t="s">
        <v>108</v>
      </c>
      <c r="C1930" t="s">
        <v>95</v>
      </c>
      <c r="D1930" t="s">
        <v>89</v>
      </c>
      <c r="E1930" t="s">
        <v>44</v>
      </c>
      <c r="F1930" s="6">
        <v>0.66666666666666663</v>
      </c>
      <c r="G1930">
        <v>71</v>
      </c>
      <c r="H1930" s="6">
        <f>FLOOR(tblPivotData[[#This Row],[Time]],Summary!$B$6/1440)</f>
        <v>0.66666666666666663</v>
      </c>
      <c r="I1930" s="49">
        <f>INDEX(PeakCalc!$L$10:$L$303,MATCH(tblPivotData[[#This Row],[Time]],PeakCalc!$G$10:$G$303,0))</f>
        <v>0</v>
      </c>
    </row>
    <row r="1931" spans="1:9" x14ac:dyDescent="0.25">
      <c r="A1931" t="s">
        <v>97</v>
      </c>
      <c r="B1931" t="s">
        <v>108</v>
      </c>
      <c r="C1931" t="s">
        <v>95</v>
      </c>
      <c r="D1931" t="s">
        <v>89</v>
      </c>
      <c r="E1931" t="s">
        <v>44</v>
      </c>
      <c r="F1931" s="6">
        <v>0.67708333333333337</v>
      </c>
      <c r="G1931">
        <v>57</v>
      </c>
      <c r="H1931" s="6">
        <f>FLOOR(tblPivotData[[#This Row],[Time]],Summary!$B$6/1440)</f>
        <v>0.67708333333333326</v>
      </c>
      <c r="I1931" s="49">
        <f>INDEX(PeakCalc!$L$10:$L$303,MATCH(tblPivotData[[#This Row],[Time]],PeakCalc!$G$10:$G$303,0))</f>
        <v>0</v>
      </c>
    </row>
    <row r="1932" spans="1:9" x14ac:dyDescent="0.25">
      <c r="A1932" t="s">
        <v>97</v>
      </c>
      <c r="B1932" t="s">
        <v>108</v>
      </c>
      <c r="C1932" t="s">
        <v>95</v>
      </c>
      <c r="D1932" t="s">
        <v>89</v>
      </c>
      <c r="E1932" t="s">
        <v>44</v>
      </c>
      <c r="F1932" s="6">
        <v>0.6875</v>
      </c>
      <c r="G1932">
        <v>65</v>
      </c>
      <c r="H1932" s="6">
        <f>FLOOR(tblPivotData[[#This Row],[Time]],Summary!$B$6/1440)</f>
        <v>0.6875</v>
      </c>
      <c r="I1932" s="49">
        <f>INDEX(PeakCalc!$L$10:$L$303,MATCH(tblPivotData[[#This Row],[Time]],PeakCalc!$G$10:$G$303,0))</f>
        <v>1</v>
      </c>
    </row>
    <row r="1933" spans="1:9" x14ac:dyDescent="0.25">
      <c r="A1933" t="s">
        <v>97</v>
      </c>
      <c r="B1933" t="s">
        <v>108</v>
      </c>
      <c r="C1933" t="s">
        <v>95</v>
      </c>
      <c r="D1933" t="s">
        <v>89</v>
      </c>
      <c r="E1933" t="s">
        <v>44</v>
      </c>
      <c r="F1933" s="6">
        <v>0.69791666666666663</v>
      </c>
      <c r="G1933">
        <v>68</v>
      </c>
      <c r="H1933" s="6">
        <f>FLOOR(tblPivotData[[#This Row],[Time]],Summary!$B$6/1440)</f>
        <v>0.69791666666666663</v>
      </c>
      <c r="I1933" s="49">
        <f>INDEX(PeakCalc!$L$10:$L$303,MATCH(tblPivotData[[#This Row],[Time]],PeakCalc!$G$10:$G$303,0))</f>
        <v>1</v>
      </c>
    </row>
    <row r="1934" spans="1:9" x14ac:dyDescent="0.25">
      <c r="A1934" t="s">
        <v>97</v>
      </c>
      <c r="B1934" t="s">
        <v>108</v>
      </c>
      <c r="C1934" t="s">
        <v>95</v>
      </c>
      <c r="D1934" t="s">
        <v>89</v>
      </c>
      <c r="E1934" t="s">
        <v>44</v>
      </c>
      <c r="F1934" s="6">
        <v>0.70833333333333337</v>
      </c>
      <c r="G1934">
        <v>86</v>
      </c>
      <c r="H1934" s="6">
        <f>FLOOR(tblPivotData[[#This Row],[Time]],Summary!$B$6/1440)</f>
        <v>0.70833333333333326</v>
      </c>
      <c r="I1934" s="49">
        <f>INDEX(PeakCalc!$L$10:$L$303,MATCH(tblPivotData[[#This Row],[Time]],PeakCalc!$G$10:$G$303,0))</f>
        <v>1</v>
      </c>
    </row>
    <row r="1935" spans="1:9" x14ac:dyDescent="0.25">
      <c r="A1935" t="s">
        <v>97</v>
      </c>
      <c r="B1935" t="s">
        <v>108</v>
      </c>
      <c r="C1935" t="s">
        <v>95</v>
      </c>
      <c r="D1935" t="s">
        <v>89</v>
      </c>
      <c r="E1935" t="s">
        <v>44</v>
      </c>
      <c r="F1935" s="6">
        <v>0.71875</v>
      </c>
      <c r="G1935">
        <v>51</v>
      </c>
      <c r="H1935" s="6">
        <f>FLOOR(tblPivotData[[#This Row],[Time]],Summary!$B$6/1440)</f>
        <v>0.71875</v>
      </c>
      <c r="I1935" s="49">
        <f>INDEX(PeakCalc!$L$10:$L$303,MATCH(tblPivotData[[#This Row],[Time]],PeakCalc!$G$10:$G$303,0))</f>
        <v>1</v>
      </c>
    </row>
    <row r="1936" spans="1:9" x14ac:dyDescent="0.25">
      <c r="A1936" t="s">
        <v>97</v>
      </c>
      <c r="B1936" t="s">
        <v>108</v>
      </c>
      <c r="C1936" t="s">
        <v>95</v>
      </c>
      <c r="D1936" t="s">
        <v>89</v>
      </c>
      <c r="E1936" t="s">
        <v>44</v>
      </c>
      <c r="F1936" s="6">
        <v>0.72916666666666663</v>
      </c>
      <c r="G1936">
        <v>63</v>
      </c>
      <c r="H1936" s="6">
        <f>FLOOR(tblPivotData[[#This Row],[Time]],Summary!$B$6/1440)</f>
        <v>0.72916666666666663</v>
      </c>
      <c r="I1936" s="49">
        <f>INDEX(PeakCalc!$L$10:$L$303,MATCH(tblPivotData[[#This Row],[Time]],PeakCalc!$G$10:$G$303,0))</f>
        <v>0</v>
      </c>
    </row>
    <row r="1937" spans="1:9" x14ac:dyDescent="0.25">
      <c r="A1937" t="s">
        <v>97</v>
      </c>
      <c r="B1937" t="s">
        <v>108</v>
      </c>
      <c r="C1937" t="s">
        <v>95</v>
      </c>
      <c r="D1937" t="s">
        <v>89</v>
      </c>
      <c r="E1937" t="s">
        <v>44</v>
      </c>
      <c r="F1937" s="6">
        <v>0.73958333333333337</v>
      </c>
      <c r="G1937">
        <v>65</v>
      </c>
      <c r="H1937" s="6">
        <f>FLOOR(tblPivotData[[#This Row],[Time]],Summary!$B$6/1440)</f>
        <v>0.73958333333333326</v>
      </c>
      <c r="I1937" s="49">
        <f>INDEX(PeakCalc!$L$10:$L$303,MATCH(tblPivotData[[#This Row],[Time]],PeakCalc!$G$10:$G$303,0))</f>
        <v>0</v>
      </c>
    </row>
    <row r="1938" spans="1:9" x14ac:dyDescent="0.25">
      <c r="A1938" t="s">
        <v>97</v>
      </c>
      <c r="B1938" t="s">
        <v>108</v>
      </c>
      <c r="C1938" t="s">
        <v>95</v>
      </c>
      <c r="D1938" t="s">
        <v>89</v>
      </c>
      <c r="E1938" t="s">
        <v>44</v>
      </c>
      <c r="F1938" s="6">
        <v>0.75</v>
      </c>
      <c r="G1938">
        <v>48</v>
      </c>
      <c r="H1938" s="6">
        <f>FLOOR(tblPivotData[[#This Row],[Time]],Summary!$B$6/1440)</f>
        <v>0.75</v>
      </c>
      <c r="I1938" s="49">
        <f>INDEX(PeakCalc!$L$10:$L$303,MATCH(tblPivotData[[#This Row],[Time]],PeakCalc!$G$10:$G$303,0))</f>
        <v>0</v>
      </c>
    </row>
    <row r="1939" spans="1:9" x14ac:dyDescent="0.25">
      <c r="A1939" t="s">
        <v>97</v>
      </c>
      <c r="B1939" t="s">
        <v>108</v>
      </c>
      <c r="C1939" t="s">
        <v>95</v>
      </c>
      <c r="D1939" t="s">
        <v>89</v>
      </c>
      <c r="E1939" t="s">
        <v>44</v>
      </c>
      <c r="F1939" s="6">
        <v>0.76041666666666663</v>
      </c>
      <c r="G1939">
        <v>52</v>
      </c>
      <c r="H1939" s="6">
        <f>FLOOR(tblPivotData[[#This Row],[Time]],Summary!$B$6/1440)</f>
        <v>0.76041666666666663</v>
      </c>
      <c r="I1939" s="49">
        <f>INDEX(PeakCalc!$L$10:$L$303,MATCH(tblPivotData[[#This Row],[Time]],PeakCalc!$G$10:$G$303,0))</f>
        <v>0</v>
      </c>
    </row>
    <row r="1940" spans="1:9" x14ac:dyDescent="0.25">
      <c r="A1940" t="s">
        <v>97</v>
      </c>
      <c r="B1940" t="s">
        <v>108</v>
      </c>
      <c r="C1940" t="s">
        <v>95</v>
      </c>
      <c r="D1940" t="s">
        <v>90</v>
      </c>
      <c r="E1940" t="s">
        <v>43</v>
      </c>
      <c r="F1940" s="6">
        <v>0.27083333333333331</v>
      </c>
      <c r="G1940">
        <v>2</v>
      </c>
      <c r="H1940" s="6">
        <f>FLOOR(tblPivotData[[#This Row],[Time]],Summary!$B$6/1440)</f>
        <v>0.27083333333333331</v>
      </c>
      <c r="I1940" s="49">
        <f>INDEX(PeakCalc!$L$10:$L$303,MATCH(tblPivotData[[#This Row],[Time]],PeakCalc!$G$10:$G$303,0))</f>
        <v>0</v>
      </c>
    </row>
    <row r="1941" spans="1:9" x14ac:dyDescent="0.25">
      <c r="A1941" t="s">
        <v>97</v>
      </c>
      <c r="B1941" t="s">
        <v>108</v>
      </c>
      <c r="C1941" t="s">
        <v>95</v>
      </c>
      <c r="D1941" t="s">
        <v>90</v>
      </c>
      <c r="E1941" t="s">
        <v>43</v>
      </c>
      <c r="F1941" s="6">
        <v>0.28125</v>
      </c>
      <c r="G1941">
        <v>2</v>
      </c>
      <c r="H1941" s="6">
        <f>FLOOR(tblPivotData[[#This Row],[Time]],Summary!$B$6/1440)</f>
        <v>0.28125</v>
      </c>
      <c r="I1941" s="49">
        <f>INDEX(PeakCalc!$L$10:$L$303,MATCH(tblPivotData[[#This Row],[Time]],PeakCalc!$G$10:$G$303,0))</f>
        <v>0</v>
      </c>
    </row>
    <row r="1942" spans="1:9" x14ac:dyDescent="0.25">
      <c r="A1942" t="s">
        <v>97</v>
      </c>
      <c r="B1942" t="s">
        <v>108</v>
      </c>
      <c r="C1942" t="s">
        <v>95</v>
      </c>
      <c r="D1942" t="s">
        <v>90</v>
      </c>
      <c r="E1942" t="s">
        <v>43</v>
      </c>
      <c r="F1942" s="6">
        <v>0.29166666666666669</v>
      </c>
      <c r="G1942">
        <v>4</v>
      </c>
      <c r="H1942" s="6">
        <f>FLOOR(tblPivotData[[#This Row],[Time]],Summary!$B$6/1440)</f>
        <v>0.29166666666666663</v>
      </c>
      <c r="I1942" s="49">
        <f>INDEX(PeakCalc!$L$10:$L$303,MATCH(tblPivotData[[#This Row],[Time]],PeakCalc!$G$10:$G$303,0))</f>
        <v>0</v>
      </c>
    </row>
    <row r="1943" spans="1:9" x14ac:dyDescent="0.25">
      <c r="A1943" t="s">
        <v>97</v>
      </c>
      <c r="B1943" t="s">
        <v>108</v>
      </c>
      <c r="C1943" t="s">
        <v>95</v>
      </c>
      <c r="D1943" t="s">
        <v>90</v>
      </c>
      <c r="E1943" t="s">
        <v>43</v>
      </c>
      <c r="F1943" s="6">
        <v>0.30208333333333331</v>
      </c>
      <c r="G1943">
        <v>3</v>
      </c>
      <c r="H1943" s="6">
        <f>FLOOR(tblPivotData[[#This Row],[Time]],Summary!$B$6/1440)</f>
        <v>0.30208333333333331</v>
      </c>
      <c r="I1943" s="49">
        <f>INDEX(PeakCalc!$L$10:$L$303,MATCH(tblPivotData[[#This Row],[Time]],PeakCalc!$G$10:$G$303,0))</f>
        <v>0</v>
      </c>
    </row>
    <row r="1944" spans="1:9" x14ac:dyDescent="0.25">
      <c r="A1944" t="s">
        <v>97</v>
      </c>
      <c r="B1944" t="s">
        <v>108</v>
      </c>
      <c r="C1944" t="s">
        <v>95</v>
      </c>
      <c r="D1944" t="s">
        <v>90</v>
      </c>
      <c r="E1944" t="s">
        <v>43</v>
      </c>
      <c r="F1944" s="6">
        <v>0.3125</v>
      </c>
      <c r="G1944">
        <v>3</v>
      </c>
      <c r="H1944" s="6">
        <f>FLOOR(tblPivotData[[#This Row],[Time]],Summary!$B$6/1440)</f>
        <v>0.3125</v>
      </c>
      <c r="I1944" s="49">
        <f>INDEX(PeakCalc!$L$10:$L$303,MATCH(tblPivotData[[#This Row],[Time]],PeakCalc!$G$10:$G$303,0))</f>
        <v>0</v>
      </c>
    </row>
    <row r="1945" spans="1:9" x14ac:dyDescent="0.25">
      <c r="A1945" t="s">
        <v>97</v>
      </c>
      <c r="B1945" t="s">
        <v>108</v>
      </c>
      <c r="C1945" t="s">
        <v>95</v>
      </c>
      <c r="D1945" t="s">
        <v>90</v>
      </c>
      <c r="E1945" t="s">
        <v>43</v>
      </c>
      <c r="F1945" s="6">
        <v>0.32291666666666669</v>
      </c>
      <c r="G1945">
        <v>5</v>
      </c>
      <c r="H1945" s="6">
        <f>FLOOR(tblPivotData[[#This Row],[Time]],Summary!$B$6/1440)</f>
        <v>0.32291666666666663</v>
      </c>
      <c r="I1945" s="49">
        <f>INDEX(PeakCalc!$L$10:$L$303,MATCH(tblPivotData[[#This Row],[Time]],PeakCalc!$G$10:$G$303,0))</f>
        <v>1</v>
      </c>
    </row>
    <row r="1946" spans="1:9" x14ac:dyDescent="0.25">
      <c r="A1946" t="s">
        <v>97</v>
      </c>
      <c r="B1946" t="s">
        <v>108</v>
      </c>
      <c r="C1946" t="s">
        <v>95</v>
      </c>
      <c r="D1946" t="s">
        <v>90</v>
      </c>
      <c r="E1946" t="s">
        <v>43</v>
      </c>
      <c r="F1946" s="6">
        <v>0.33333333333333331</v>
      </c>
      <c r="G1946">
        <v>5</v>
      </c>
      <c r="H1946" s="6">
        <f>FLOOR(tblPivotData[[#This Row],[Time]],Summary!$B$6/1440)</f>
        <v>0.33333333333333331</v>
      </c>
      <c r="I1946" s="49">
        <f>INDEX(PeakCalc!$L$10:$L$303,MATCH(tblPivotData[[#This Row],[Time]],PeakCalc!$G$10:$G$303,0))</f>
        <v>1</v>
      </c>
    </row>
    <row r="1947" spans="1:9" x14ac:dyDescent="0.25">
      <c r="A1947" t="s">
        <v>97</v>
      </c>
      <c r="B1947" t="s">
        <v>108</v>
      </c>
      <c r="C1947" t="s">
        <v>95</v>
      </c>
      <c r="D1947" t="s">
        <v>90</v>
      </c>
      <c r="E1947" t="s">
        <v>43</v>
      </c>
      <c r="F1947" s="6">
        <v>0.34375</v>
      </c>
      <c r="G1947">
        <v>5</v>
      </c>
      <c r="H1947" s="6">
        <f>FLOOR(tblPivotData[[#This Row],[Time]],Summary!$B$6/1440)</f>
        <v>0.34375</v>
      </c>
      <c r="I1947" s="49">
        <f>INDEX(PeakCalc!$L$10:$L$303,MATCH(tblPivotData[[#This Row],[Time]],PeakCalc!$G$10:$G$303,0))</f>
        <v>1</v>
      </c>
    </row>
    <row r="1948" spans="1:9" x14ac:dyDescent="0.25">
      <c r="A1948" t="s">
        <v>97</v>
      </c>
      <c r="B1948" t="s">
        <v>108</v>
      </c>
      <c r="C1948" t="s">
        <v>95</v>
      </c>
      <c r="D1948" t="s">
        <v>90</v>
      </c>
      <c r="E1948" t="s">
        <v>43</v>
      </c>
      <c r="F1948" s="6">
        <v>0.35416666666666669</v>
      </c>
      <c r="G1948">
        <v>2</v>
      </c>
      <c r="H1948" s="6">
        <f>FLOOR(tblPivotData[[#This Row],[Time]],Summary!$B$6/1440)</f>
        <v>0.35416666666666663</v>
      </c>
      <c r="I1948" s="49">
        <f>INDEX(PeakCalc!$L$10:$L$303,MATCH(tblPivotData[[#This Row],[Time]],PeakCalc!$G$10:$G$303,0))</f>
        <v>1</v>
      </c>
    </row>
    <row r="1949" spans="1:9" x14ac:dyDescent="0.25">
      <c r="A1949" t="s">
        <v>97</v>
      </c>
      <c r="B1949" t="s">
        <v>108</v>
      </c>
      <c r="C1949" t="s">
        <v>95</v>
      </c>
      <c r="D1949" t="s">
        <v>90</v>
      </c>
      <c r="E1949" t="s">
        <v>43</v>
      </c>
      <c r="F1949" s="6">
        <v>0.36458333333333331</v>
      </c>
      <c r="G1949">
        <v>6</v>
      </c>
      <c r="H1949" s="6">
        <f>FLOOR(tblPivotData[[#This Row],[Time]],Summary!$B$6/1440)</f>
        <v>0.36458333333333331</v>
      </c>
      <c r="I1949" s="49">
        <f>INDEX(PeakCalc!$L$10:$L$303,MATCH(tblPivotData[[#This Row],[Time]],PeakCalc!$G$10:$G$303,0))</f>
        <v>0</v>
      </c>
    </row>
    <row r="1950" spans="1:9" x14ac:dyDescent="0.25">
      <c r="A1950" t="s">
        <v>97</v>
      </c>
      <c r="B1950" t="s">
        <v>108</v>
      </c>
      <c r="C1950" t="s">
        <v>95</v>
      </c>
      <c r="D1950" t="s">
        <v>90</v>
      </c>
      <c r="E1950" t="s">
        <v>43</v>
      </c>
      <c r="F1950" s="6">
        <v>0.375</v>
      </c>
      <c r="G1950">
        <v>5</v>
      </c>
      <c r="H1950" s="6">
        <f>FLOOR(tblPivotData[[#This Row],[Time]],Summary!$B$6/1440)</f>
        <v>0.375</v>
      </c>
      <c r="I1950" s="49">
        <f>INDEX(PeakCalc!$L$10:$L$303,MATCH(tblPivotData[[#This Row],[Time]],PeakCalc!$G$10:$G$303,0))</f>
        <v>0</v>
      </c>
    </row>
    <row r="1951" spans="1:9" x14ac:dyDescent="0.25">
      <c r="A1951" t="s">
        <v>97</v>
      </c>
      <c r="B1951" t="s">
        <v>108</v>
      </c>
      <c r="C1951" t="s">
        <v>95</v>
      </c>
      <c r="D1951" t="s">
        <v>90</v>
      </c>
      <c r="E1951" t="s">
        <v>43</v>
      </c>
      <c r="F1951" s="6">
        <v>0.38541666666666669</v>
      </c>
      <c r="G1951">
        <v>3</v>
      </c>
      <c r="H1951" s="6">
        <f>FLOOR(tblPivotData[[#This Row],[Time]],Summary!$B$6/1440)</f>
        <v>0.38541666666666663</v>
      </c>
      <c r="I1951" s="49">
        <f>INDEX(PeakCalc!$L$10:$L$303,MATCH(tblPivotData[[#This Row],[Time]],PeakCalc!$G$10:$G$303,0))</f>
        <v>0</v>
      </c>
    </row>
    <row r="1952" spans="1:9" x14ac:dyDescent="0.25">
      <c r="A1952" t="s">
        <v>97</v>
      </c>
      <c r="B1952" t="s">
        <v>108</v>
      </c>
      <c r="C1952" t="s">
        <v>95</v>
      </c>
      <c r="D1952" t="s">
        <v>90</v>
      </c>
      <c r="E1952" t="s">
        <v>110</v>
      </c>
      <c r="F1952" s="6">
        <v>0.45833333333333331</v>
      </c>
      <c r="G1952">
        <v>3</v>
      </c>
      <c r="H1952" s="6">
        <f>FLOOR(tblPivotData[[#This Row],[Time]],Summary!$B$6/1440)</f>
        <v>0.45833333333333331</v>
      </c>
      <c r="I1952" s="49">
        <f>INDEX(PeakCalc!$L$10:$L$303,MATCH(tblPivotData[[#This Row],[Time]],PeakCalc!$G$10:$G$303,0))</f>
        <v>0</v>
      </c>
    </row>
    <row r="1953" spans="1:9" x14ac:dyDescent="0.25">
      <c r="A1953" t="s">
        <v>97</v>
      </c>
      <c r="B1953" t="s">
        <v>108</v>
      </c>
      <c r="C1953" t="s">
        <v>95</v>
      </c>
      <c r="D1953" t="s">
        <v>90</v>
      </c>
      <c r="E1953" t="s">
        <v>110</v>
      </c>
      <c r="F1953" s="6">
        <v>0.46875</v>
      </c>
      <c r="G1953">
        <v>3</v>
      </c>
      <c r="H1953" s="6">
        <f>FLOOR(tblPivotData[[#This Row],[Time]],Summary!$B$6/1440)</f>
        <v>0.46875</v>
      </c>
      <c r="I1953" s="49">
        <f>INDEX(PeakCalc!$L$10:$L$303,MATCH(tblPivotData[[#This Row],[Time]],PeakCalc!$G$10:$G$303,0))</f>
        <v>0</v>
      </c>
    </row>
    <row r="1954" spans="1:9" x14ac:dyDescent="0.25">
      <c r="A1954" t="s">
        <v>97</v>
      </c>
      <c r="B1954" t="s">
        <v>108</v>
      </c>
      <c r="C1954" t="s">
        <v>95</v>
      </c>
      <c r="D1954" t="s">
        <v>90</v>
      </c>
      <c r="E1954" t="s">
        <v>110</v>
      </c>
      <c r="F1954" s="6">
        <v>0.47916666666666669</v>
      </c>
      <c r="G1954">
        <v>3</v>
      </c>
      <c r="H1954" s="6">
        <f>FLOOR(tblPivotData[[#This Row],[Time]],Summary!$B$6/1440)</f>
        <v>0.47916666666666663</v>
      </c>
      <c r="I1954" s="49">
        <f>INDEX(PeakCalc!$L$10:$L$303,MATCH(tblPivotData[[#This Row],[Time]],PeakCalc!$G$10:$G$303,0))</f>
        <v>0</v>
      </c>
    </row>
    <row r="1955" spans="1:9" x14ac:dyDescent="0.25">
      <c r="A1955" t="s">
        <v>97</v>
      </c>
      <c r="B1955" t="s">
        <v>108</v>
      </c>
      <c r="C1955" t="s">
        <v>95</v>
      </c>
      <c r="D1955" t="s">
        <v>90</v>
      </c>
      <c r="E1955" t="s">
        <v>110</v>
      </c>
      <c r="F1955" s="6">
        <v>0.48958333333333331</v>
      </c>
      <c r="G1955">
        <v>3</v>
      </c>
      <c r="H1955" s="6">
        <f>FLOOR(tblPivotData[[#This Row],[Time]],Summary!$B$6/1440)</f>
        <v>0.48958333333333331</v>
      </c>
      <c r="I1955" s="49">
        <f>INDEX(PeakCalc!$L$10:$L$303,MATCH(tblPivotData[[#This Row],[Time]],PeakCalc!$G$10:$G$303,0))</f>
        <v>0</v>
      </c>
    </row>
    <row r="1956" spans="1:9" x14ac:dyDescent="0.25">
      <c r="A1956" t="s">
        <v>97</v>
      </c>
      <c r="B1956" t="s">
        <v>108</v>
      </c>
      <c r="C1956" t="s">
        <v>95</v>
      </c>
      <c r="D1956" t="s">
        <v>90</v>
      </c>
      <c r="E1956" t="s">
        <v>110</v>
      </c>
      <c r="F1956" s="6">
        <v>0.5</v>
      </c>
      <c r="G1956">
        <v>3</v>
      </c>
      <c r="H1956" s="6">
        <f>FLOOR(tblPivotData[[#This Row],[Time]],Summary!$B$6/1440)</f>
        <v>0.5</v>
      </c>
      <c r="I1956" s="49">
        <f>INDEX(PeakCalc!$L$10:$L$303,MATCH(tblPivotData[[#This Row],[Time]],PeakCalc!$G$10:$G$303,0))</f>
        <v>0</v>
      </c>
    </row>
    <row r="1957" spans="1:9" x14ac:dyDescent="0.25">
      <c r="A1957" t="s">
        <v>97</v>
      </c>
      <c r="B1957" t="s">
        <v>108</v>
      </c>
      <c r="C1957" t="s">
        <v>95</v>
      </c>
      <c r="D1957" t="s">
        <v>90</v>
      </c>
      <c r="E1957" t="s">
        <v>110</v>
      </c>
      <c r="F1957" s="6">
        <v>0.51041666666666663</v>
      </c>
      <c r="G1957">
        <v>3</v>
      </c>
      <c r="H1957" s="6">
        <f>FLOOR(tblPivotData[[#This Row],[Time]],Summary!$B$6/1440)</f>
        <v>0.51041666666666663</v>
      </c>
      <c r="I1957" s="49">
        <f>INDEX(PeakCalc!$L$10:$L$303,MATCH(tblPivotData[[#This Row],[Time]],PeakCalc!$G$10:$G$303,0))</f>
        <v>0</v>
      </c>
    </row>
    <row r="1958" spans="1:9" x14ac:dyDescent="0.25">
      <c r="A1958" t="s">
        <v>97</v>
      </c>
      <c r="B1958" t="s">
        <v>108</v>
      </c>
      <c r="C1958" t="s">
        <v>95</v>
      </c>
      <c r="D1958" t="s">
        <v>90</v>
      </c>
      <c r="E1958" t="s">
        <v>110</v>
      </c>
      <c r="F1958" s="6">
        <v>0.52083333333333337</v>
      </c>
      <c r="G1958">
        <v>2</v>
      </c>
      <c r="H1958" s="6">
        <f>FLOOR(tblPivotData[[#This Row],[Time]],Summary!$B$6/1440)</f>
        <v>0.52083333333333326</v>
      </c>
      <c r="I1958" s="49">
        <f>INDEX(PeakCalc!$L$10:$L$303,MATCH(tblPivotData[[#This Row],[Time]],PeakCalc!$G$10:$G$303,0))</f>
        <v>1</v>
      </c>
    </row>
    <row r="1959" spans="1:9" x14ac:dyDescent="0.25">
      <c r="A1959" t="s">
        <v>97</v>
      </c>
      <c r="B1959" t="s">
        <v>108</v>
      </c>
      <c r="C1959" t="s">
        <v>95</v>
      </c>
      <c r="D1959" t="s">
        <v>90</v>
      </c>
      <c r="E1959" t="s">
        <v>110</v>
      </c>
      <c r="F1959" s="6">
        <v>0.53125</v>
      </c>
      <c r="G1959">
        <v>4</v>
      </c>
      <c r="H1959" s="6">
        <f>FLOOR(tblPivotData[[#This Row],[Time]],Summary!$B$6/1440)</f>
        <v>0.53125</v>
      </c>
      <c r="I1959" s="49">
        <f>INDEX(PeakCalc!$L$10:$L$303,MATCH(tblPivotData[[#This Row],[Time]],PeakCalc!$G$10:$G$303,0))</f>
        <v>1</v>
      </c>
    </row>
    <row r="1960" spans="1:9" x14ac:dyDescent="0.25">
      <c r="A1960" t="s">
        <v>97</v>
      </c>
      <c r="B1960" t="s">
        <v>108</v>
      </c>
      <c r="C1960" t="s">
        <v>95</v>
      </c>
      <c r="D1960" t="s">
        <v>90</v>
      </c>
      <c r="E1960" t="s">
        <v>110</v>
      </c>
      <c r="F1960" s="6">
        <v>0.54166666666666663</v>
      </c>
      <c r="G1960">
        <v>2</v>
      </c>
      <c r="H1960" s="6">
        <f>FLOOR(tblPivotData[[#This Row],[Time]],Summary!$B$6/1440)</f>
        <v>0.54166666666666663</v>
      </c>
      <c r="I1960" s="49">
        <f>INDEX(PeakCalc!$L$10:$L$303,MATCH(tblPivotData[[#This Row],[Time]],PeakCalc!$G$10:$G$303,0))</f>
        <v>1</v>
      </c>
    </row>
    <row r="1961" spans="1:9" x14ac:dyDescent="0.25">
      <c r="A1961" t="s">
        <v>97</v>
      </c>
      <c r="B1961" t="s">
        <v>108</v>
      </c>
      <c r="C1961" t="s">
        <v>95</v>
      </c>
      <c r="D1961" t="s">
        <v>90</v>
      </c>
      <c r="E1961" t="s">
        <v>110</v>
      </c>
      <c r="F1961" s="6">
        <v>0.55208333333333337</v>
      </c>
      <c r="G1961">
        <v>3</v>
      </c>
      <c r="H1961" s="6">
        <f>FLOOR(tblPivotData[[#This Row],[Time]],Summary!$B$6/1440)</f>
        <v>0.55208333333333326</v>
      </c>
      <c r="I1961" s="49">
        <f>INDEX(PeakCalc!$L$10:$L$303,MATCH(tblPivotData[[#This Row],[Time]],PeakCalc!$G$10:$G$303,0))</f>
        <v>1</v>
      </c>
    </row>
    <row r="1962" spans="1:9" x14ac:dyDescent="0.25">
      <c r="A1962" t="s">
        <v>97</v>
      </c>
      <c r="B1962" t="s">
        <v>108</v>
      </c>
      <c r="C1962" t="s">
        <v>95</v>
      </c>
      <c r="D1962" t="s">
        <v>90</v>
      </c>
      <c r="E1962" t="s">
        <v>110</v>
      </c>
      <c r="F1962" s="6">
        <v>0.5625</v>
      </c>
      <c r="G1962">
        <v>2</v>
      </c>
      <c r="H1962" s="6">
        <f>FLOOR(tblPivotData[[#This Row],[Time]],Summary!$B$6/1440)</f>
        <v>0.5625</v>
      </c>
      <c r="I1962" s="49">
        <f>INDEX(PeakCalc!$L$10:$L$303,MATCH(tblPivotData[[#This Row],[Time]],PeakCalc!$G$10:$G$303,0))</f>
        <v>0</v>
      </c>
    </row>
    <row r="1963" spans="1:9" x14ac:dyDescent="0.25">
      <c r="A1963" t="s">
        <v>97</v>
      </c>
      <c r="B1963" t="s">
        <v>108</v>
      </c>
      <c r="C1963" t="s">
        <v>95</v>
      </c>
      <c r="D1963" t="s">
        <v>90</v>
      </c>
      <c r="E1963" t="s">
        <v>110</v>
      </c>
      <c r="F1963" s="6">
        <v>0.57291666666666663</v>
      </c>
      <c r="G1963">
        <v>4</v>
      </c>
      <c r="H1963" s="6">
        <f>FLOOR(tblPivotData[[#This Row],[Time]],Summary!$B$6/1440)</f>
        <v>0.57291666666666663</v>
      </c>
      <c r="I1963" s="49">
        <f>INDEX(PeakCalc!$L$10:$L$303,MATCH(tblPivotData[[#This Row],[Time]],PeakCalc!$G$10:$G$303,0))</f>
        <v>0</v>
      </c>
    </row>
    <row r="1964" spans="1:9" x14ac:dyDescent="0.25">
      <c r="A1964" t="s">
        <v>97</v>
      </c>
      <c r="B1964" t="s">
        <v>108</v>
      </c>
      <c r="C1964" t="s">
        <v>95</v>
      </c>
      <c r="D1964" t="s">
        <v>90</v>
      </c>
      <c r="E1964" t="s">
        <v>44</v>
      </c>
      <c r="F1964" s="6">
        <v>0.625</v>
      </c>
      <c r="G1964">
        <v>5</v>
      </c>
      <c r="H1964" s="6">
        <f>FLOOR(tblPivotData[[#This Row],[Time]],Summary!$B$6/1440)</f>
        <v>0.625</v>
      </c>
      <c r="I1964" s="49">
        <f>INDEX(PeakCalc!$L$10:$L$303,MATCH(tblPivotData[[#This Row],[Time]],PeakCalc!$G$10:$G$303,0))</f>
        <v>0</v>
      </c>
    </row>
    <row r="1965" spans="1:9" x14ac:dyDescent="0.25">
      <c r="A1965" t="s">
        <v>97</v>
      </c>
      <c r="B1965" t="s">
        <v>108</v>
      </c>
      <c r="C1965" t="s">
        <v>95</v>
      </c>
      <c r="D1965" t="s">
        <v>90</v>
      </c>
      <c r="E1965" t="s">
        <v>44</v>
      </c>
      <c r="F1965" s="6">
        <v>0.63541666666666663</v>
      </c>
      <c r="G1965">
        <v>1</v>
      </c>
      <c r="H1965" s="6">
        <f>FLOOR(tblPivotData[[#This Row],[Time]],Summary!$B$6/1440)</f>
        <v>0.63541666666666663</v>
      </c>
      <c r="I1965" s="49">
        <f>INDEX(PeakCalc!$L$10:$L$303,MATCH(tblPivotData[[#This Row],[Time]],PeakCalc!$G$10:$G$303,0))</f>
        <v>0</v>
      </c>
    </row>
    <row r="1966" spans="1:9" x14ac:dyDescent="0.25">
      <c r="A1966" t="s">
        <v>97</v>
      </c>
      <c r="B1966" t="s">
        <v>108</v>
      </c>
      <c r="C1966" t="s">
        <v>95</v>
      </c>
      <c r="D1966" t="s">
        <v>90</v>
      </c>
      <c r="E1966" t="s">
        <v>44</v>
      </c>
      <c r="F1966" s="6">
        <v>0.64583333333333337</v>
      </c>
      <c r="G1966">
        <v>5</v>
      </c>
      <c r="H1966" s="6">
        <f>FLOOR(tblPivotData[[#This Row],[Time]],Summary!$B$6/1440)</f>
        <v>0.64583333333333326</v>
      </c>
      <c r="I1966" s="49">
        <f>INDEX(PeakCalc!$L$10:$L$303,MATCH(tblPivotData[[#This Row],[Time]],PeakCalc!$G$10:$G$303,0))</f>
        <v>0</v>
      </c>
    </row>
    <row r="1967" spans="1:9" x14ac:dyDescent="0.25">
      <c r="A1967" t="s">
        <v>97</v>
      </c>
      <c r="B1967" t="s">
        <v>108</v>
      </c>
      <c r="C1967" t="s">
        <v>95</v>
      </c>
      <c r="D1967" t="s">
        <v>90</v>
      </c>
      <c r="E1967" t="s">
        <v>44</v>
      </c>
      <c r="F1967" s="6">
        <v>0.65625</v>
      </c>
      <c r="G1967">
        <v>3</v>
      </c>
      <c r="H1967" s="6">
        <f>FLOOR(tblPivotData[[#This Row],[Time]],Summary!$B$6/1440)</f>
        <v>0.65625</v>
      </c>
      <c r="I1967" s="49">
        <f>INDEX(PeakCalc!$L$10:$L$303,MATCH(tblPivotData[[#This Row],[Time]],PeakCalc!$G$10:$G$303,0))</f>
        <v>0</v>
      </c>
    </row>
    <row r="1968" spans="1:9" x14ac:dyDescent="0.25">
      <c r="A1968" t="s">
        <v>97</v>
      </c>
      <c r="B1968" t="s">
        <v>108</v>
      </c>
      <c r="C1968" t="s">
        <v>95</v>
      </c>
      <c r="D1968" t="s">
        <v>90</v>
      </c>
      <c r="E1968" t="s">
        <v>44</v>
      </c>
      <c r="F1968" s="6">
        <v>0.66666666666666663</v>
      </c>
      <c r="G1968">
        <v>6</v>
      </c>
      <c r="H1968" s="6">
        <f>FLOOR(tblPivotData[[#This Row],[Time]],Summary!$B$6/1440)</f>
        <v>0.66666666666666663</v>
      </c>
      <c r="I1968" s="49">
        <f>INDEX(PeakCalc!$L$10:$L$303,MATCH(tblPivotData[[#This Row],[Time]],PeakCalc!$G$10:$G$303,0))</f>
        <v>0</v>
      </c>
    </row>
    <row r="1969" spans="1:9" x14ac:dyDescent="0.25">
      <c r="A1969" t="s">
        <v>97</v>
      </c>
      <c r="B1969" t="s">
        <v>108</v>
      </c>
      <c r="C1969" t="s">
        <v>95</v>
      </c>
      <c r="D1969" t="s">
        <v>90</v>
      </c>
      <c r="E1969" t="s">
        <v>44</v>
      </c>
      <c r="F1969" s="6">
        <v>0.67708333333333337</v>
      </c>
      <c r="G1969">
        <v>7</v>
      </c>
      <c r="H1969" s="6">
        <f>FLOOR(tblPivotData[[#This Row],[Time]],Summary!$B$6/1440)</f>
        <v>0.67708333333333326</v>
      </c>
      <c r="I1969" s="49">
        <f>INDEX(PeakCalc!$L$10:$L$303,MATCH(tblPivotData[[#This Row],[Time]],PeakCalc!$G$10:$G$303,0))</f>
        <v>0</v>
      </c>
    </row>
    <row r="1970" spans="1:9" x14ac:dyDescent="0.25">
      <c r="A1970" t="s">
        <v>97</v>
      </c>
      <c r="B1970" t="s">
        <v>108</v>
      </c>
      <c r="C1970" t="s">
        <v>95</v>
      </c>
      <c r="D1970" t="s">
        <v>90</v>
      </c>
      <c r="E1970" t="s">
        <v>44</v>
      </c>
      <c r="F1970" s="6">
        <v>0.6875</v>
      </c>
      <c r="G1970">
        <v>7</v>
      </c>
      <c r="H1970" s="6">
        <f>FLOOR(tblPivotData[[#This Row],[Time]],Summary!$B$6/1440)</f>
        <v>0.6875</v>
      </c>
      <c r="I1970" s="49">
        <f>INDEX(PeakCalc!$L$10:$L$303,MATCH(tblPivotData[[#This Row],[Time]],PeakCalc!$G$10:$G$303,0))</f>
        <v>1</v>
      </c>
    </row>
    <row r="1971" spans="1:9" x14ac:dyDescent="0.25">
      <c r="A1971" t="s">
        <v>97</v>
      </c>
      <c r="B1971" t="s">
        <v>108</v>
      </c>
      <c r="C1971" t="s">
        <v>95</v>
      </c>
      <c r="D1971" t="s">
        <v>90</v>
      </c>
      <c r="E1971" t="s">
        <v>44</v>
      </c>
      <c r="F1971" s="6">
        <v>0.69791666666666663</v>
      </c>
      <c r="G1971">
        <v>8</v>
      </c>
      <c r="H1971" s="6">
        <f>FLOOR(tblPivotData[[#This Row],[Time]],Summary!$B$6/1440)</f>
        <v>0.69791666666666663</v>
      </c>
      <c r="I1971" s="49">
        <f>INDEX(PeakCalc!$L$10:$L$303,MATCH(tblPivotData[[#This Row],[Time]],PeakCalc!$G$10:$G$303,0))</f>
        <v>1</v>
      </c>
    </row>
    <row r="1972" spans="1:9" x14ac:dyDescent="0.25">
      <c r="A1972" t="s">
        <v>97</v>
      </c>
      <c r="B1972" t="s">
        <v>108</v>
      </c>
      <c r="C1972" t="s">
        <v>95</v>
      </c>
      <c r="D1972" t="s">
        <v>90</v>
      </c>
      <c r="E1972" t="s">
        <v>44</v>
      </c>
      <c r="F1972" s="6">
        <v>0.70833333333333337</v>
      </c>
      <c r="G1972">
        <v>3</v>
      </c>
      <c r="H1972" s="6">
        <f>FLOOR(tblPivotData[[#This Row],[Time]],Summary!$B$6/1440)</f>
        <v>0.70833333333333326</v>
      </c>
      <c r="I1972" s="49">
        <f>INDEX(PeakCalc!$L$10:$L$303,MATCH(tblPivotData[[#This Row],[Time]],PeakCalc!$G$10:$G$303,0))</f>
        <v>1</v>
      </c>
    </row>
    <row r="1973" spans="1:9" x14ac:dyDescent="0.25">
      <c r="A1973" t="s">
        <v>97</v>
      </c>
      <c r="B1973" t="s">
        <v>108</v>
      </c>
      <c r="C1973" t="s">
        <v>95</v>
      </c>
      <c r="D1973" t="s">
        <v>90</v>
      </c>
      <c r="E1973" t="s">
        <v>44</v>
      </c>
      <c r="F1973" s="6">
        <v>0.71875</v>
      </c>
      <c r="G1973">
        <v>3</v>
      </c>
      <c r="H1973" s="6">
        <f>FLOOR(tblPivotData[[#This Row],[Time]],Summary!$B$6/1440)</f>
        <v>0.71875</v>
      </c>
      <c r="I1973" s="49">
        <f>INDEX(PeakCalc!$L$10:$L$303,MATCH(tblPivotData[[#This Row],[Time]],PeakCalc!$G$10:$G$303,0))</f>
        <v>1</v>
      </c>
    </row>
    <row r="1974" spans="1:9" x14ac:dyDescent="0.25">
      <c r="A1974" t="s">
        <v>97</v>
      </c>
      <c r="B1974" t="s">
        <v>108</v>
      </c>
      <c r="C1974" t="s">
        <v>95</v>
      </c>
      <c r="D1974" t="s">
        <v>90</v>
      </c>
      <c r="E1974" t="s">
        <v>44</v>
      </c>
      <c r="F1974" s="6">
        <v>0.72916666666666663</v>
      </c>
      <c r="G1974">
        <v>5</v>
      </c>
      <c r="H1974" s="6">
        <f>FLOOR(tblPivotData[[#This Row],[Time]],Summary!$B$6/1440)</f>
        <v>0.72916666666666663</v>
      </c>
      <c r="I1974" s="49">
        <f>INDEX(PeakCalc!$L$10:$L$303,MATCH(tblPivotData[[#This Row],[Time]],PeakCalc!$G$10:$G$303,0))</f>
        <v>0</v>
      </c>
    </row>
    <row r="1975" spans="1:9" x14ac:dyDescent="0.25">
      <c r="A1975" t="s">
        <v>97</v>
      </c>
      <c r="B1975" t="s">
        <v>108</v>
      </c>
      <c r="C1975" t="s">
        <v>95</v>
      </c>
      <c r="D1975" t="s">
        <v>90</v>
      </c>
      <c r="E1975" t="s">
        <v>44</v>
      </c>
      <c r="F1975" s="6">
        <v>0.73958333333333337</v>
      </c>
      <c r="G1975">
        <v>3</v>
      </c>
      <c r="H1975" s="6">
        <f>FLOOR(tblPivotData[[#This Row],[Time]],Summary!$B$6/1440)</f>
        <v>0.73958333333333326</v>
      </c>
      <c r="I1975" s="49">
        <f>INDEX(PeakCalc!$L$10:$L$303,MATCH(tblPivotData[[#This Row],[Time]],PeakCalc!$G$10:$G$303,0))</f>
        <v>0</v>
      </c>
    </row>
    <row r="1976" spans="1:9" x14ac:dyDescent="0.25">
      <c r="A1976" t="s">
        <v>97</v>
      </c>
      <c r="B1976" t="s">
        <v>108</v>
      </c>
      <c r="C1976" t="s">
        <v>95</v>
      </c>
      <c r="D1976" t="s">
        <v>90</v>
      </c>
      <c r="E1976" t="s">
        <v>44</v>
      </c>
      <c r="F1976" s="6">
        <v>0.75</v>
      </c>
      <c r="G1976">
        <v>2</v>
      </c>
      <c r="H1976" s="6">
        <f>FLOOR(tblPivotData[[#This Row],[Time]],Summary!$B$6/1440)</f>
        <v>0.75</v>
      </c>
      <c r="I1976" s="49">
        <f>INDEX(PeakCalc!$L$10:$L$303,MATCH(tblPivotData[[#This Row],[Time]],PeakCalc!$G$10:$G$303,0))</f>
        <v>0</v>
      </c>
    </row>
    <row r="1977" spans="1:9" x14ac:dyDescent="0.25">
      <c r="A1977" t="s">
        <v>97</v>
      </c>
      <c r="B1977" t="s">
        <v>108</v>
      </c>
      <c r="C1977" t="s">
        <v>95</v>
      </c>
      <c r="D1977" t="s">
        <v>90</v>
      </c>
      <c r="E1977" t="s">
        <v>44</v>
      </c>
      <c r="F1977" s="6">
        <v>0.76041666666666663</v>
      </c>
      <c r="G1977">
        <v>2</v>
      </c>
      <c r="H1977" s="6">
        <f>FLOOR(tblPivotData[[#This Row],[Time]],Summary!$B$6/1440)</f>
        <v>0.76041666666666663</v>
      </c>
      <c r="I1977" s="49">
        <f>INDEX(PeakCalc!$L$10:$L$303,MATCH(tblPivotData[[#This Row],[Time]],PeakCalc!$G$10:$G$303,0))</f>
        <v>0</v>
      </c>
    </row>
    <row r="1978" spans="1:9" x14ac:dyDescent="0.25">
      <c r="A1978" t="s">
        <v>97</v>
      </c>
      <c r="B1978" t="s">
        <v>108</v>
      </c>
      <c r="C1978" t="s">
        <v>95</v>
      </c>
      <c r="D1978" t="s">
        <v>91</v>
      </c>
      <c r="E1978" t="s">
        <v>43</v>
      </c>
      <c r="F1978" s="6">
        <v>0.27083333333333331</v>
      </c>
      <c r="G1978">
        <v>1</v>
      </c>
      <c r="H1978" s="6">
        <f>FLOOR(tblPivotData[[#This Row],[Time]],Summary!$B$6/1440)</f>
        <v>0.27083333333333331</v>
      </c>
      <c r="I1978" s="49">
        <f>INDEX(PeakCalc!$L$10:$L$303,MATCH(tblPivotData[[#This Row],[Time]],PeakCalc!$G$10:$G$303,0))</f>
        <v>0</v>
      </c>
    </row>
    <row r="1979" spans="1:9" x14ac:dyDescent="0.25">
      <c r="A1979" t="s">
        <v>97</v>
      </c>
      <c r="B1979" t="s">
        <v>108</v>
      </c>
      <c r="C1979" t="s">
        <v>95</v>
      </c>
      <c r="D1979" t="s">
        <v>91</v>
      </c>
      <c r="E1979" t="s">
        <v>43</v>
      </c>
      <c r="F1979" s="6">
        <v>0.28125</v>
      </c>
      <c r="G1979">
        <v>0</v>
      </c>
      <c r="H1979" s="6">
        <f>FLOOR(tblPivotData[[#This Row],[Time]],Summary!$B$6/1440)</f>
        <v>0.28125</v>
      </c>
      <c r="I1979" s="49">
        <f>INDEX(PeakCalc!$L$10:$L$303,MATCH(tblPivotData[[#This Row],[Time]],PeakCalc!$G$10:$G$303,0))</f>
        <v>0</v>
      </c>
    </row>
    <row r="1980" spans="1:9" x14ac:dyDescent="0.25">
      <c r="A1980" t="s">
        <v>97</v>
      </c>
      <c r="B1980" t="s">
        <v>108</v>
      </c>
      <c r="C1980" t="s">
        <v>95</v>
      </c>
      <c r="D1980" t="s">
        <v>91</v>
      </c>
      <c r="E1980" t="s">
        <v>43</v>
      </c>
      <c r="F1980" s="6">
        <v>0.29166666666666669</v>
      </c>
      <c r="G1980">
        <v>0</v>
      </c>
      <c r="H1980" s="6">
        <f>FLOOR(tblPivotData[[#This Row],[Time]],Summary!$B$6/1440)</f>
        <v>0.29166666666666663</v>
      </c>
      <c r="I1980" s="49">
        <f>INDEX(PeakCalc!$L$10:$L$303,MATCH(tblPivotData[[#This Row],[Time]],PeakCalc!$G$10:$G$303,0))</f>
        <v>0</v>
      </c>
    </row>
    <row r="1981" spans="1:9" x14ac:dyDescent="0.25">
      <c r="A1981" t="s">
        <v>97</v>
      </c>
      <c r="B1981" t="s">
        <v>108</v>
      </c>
      <c r="C1981" t="s">
        <v>95</v>
      </c>
      <c r="D1981" t="s">
        <v>91</v>
      </c>
      <c r="E1981" t="s">
        <v>43</v>
      </c>
      <c r="F1981" s="6">
        <v>0.30208333333333331</v>
      </c>
      <c r="G1981">
        <v>0</v>
      </c>
      <c r="H1981" s="6">
        <f>FLOOR(tblPivotData[[#This Row],[Time]],Summary!$B$6/1440)</f>
        <v>0.30208333333333331</v>
      </c>
      <c r="I1981" s="49">
        <f>INDEX(PeakCalc!$L$10:$L$303,MATCH(tblPivotData[[#This Row],[Time]],PeakCalc!$G$10:$G$303,0))</f>
        <v>0</v>
      </c>
    </row>
    <row r="1982" spans="1:9" x14ac:dyDescent="0.25">
      <c r="A1982" t="s">
        <v>97</v>
      </c>
      <c r="B1982" t="s">
        <v>108</v>
      </c>
      <c r="C1982" t="s">
        <v>95</v>
      </c>
      <c r="D1982" t="s">
        <v>91</v>
      </c>
      <c r="E1982" t="s">
        <v>43</v>
      </c>
      <c r="F1982" s="6">
        <v>0.3125</v>
      </c>
      <c r="G1982">
        <v>5</v>
      </c>
      <c r="H1982" s="6">
        <f>FLOOR(tblPivotData[[#This Row],[Time]],Summary!$B$6/1440)</f>
        <v>0.3125</v>
      </c>
      <c r="I1982" s="49">
        <f>INDEX(PeakCalc!$L$10:$L$303,MATCH(tblPivotData[[#This Row],[Time]],PeakCalc!$G$10:$G$303,0))</f>
        <v>0</v>
      </c>
    </row>
    <row r="1983" spans="1:9" x14ac:dyDescent="0.25">
      <c r="A1983" t="s">
        <v>97</v>
      </c>
      <c r="B1983" t="s">
        <v>108</v>
      </c>
      <c r="C1983" t="s">
        <v>95</v>
      </c>
      <c r="D1983" t="s">
        <v>91</v>
      </c>
      <c r="E1983" t="s">
        <v>43</v>
      </c>
      <c r="F1983" s="6">
        <v>0.32291666666666669</v>
      </c>
      <c r="G1983">
        <v>1</v>
      </c>
      <c r="H1983" s="6">
        <f>FLOOR(tblPivotData[[#This Row],[Time]],Summary!$B$6/1440)</f>
        <v>0.32291666666666663</v>
      </c>
      <c r="I1983" s="49">
        <f>INDEX(PeakCalc!$L$10:$L$303,MATCH(tblPivotData[[#This Row],[Time]],PeakCalc!$G$10:$G$303,0))</f>
        <v>1</v>
      </c>
    </row>
    <row r="1984" spans="1:9" x14ac:dyDescent="0.25">
      <c r="A1984" t="s">
        <v>97</v>
      </c>
      <c r="B1984" t="s">
        <v>108</v>
      </c>
      <c r="C1984" t="s">
        <v>95</v>
      </c>
      <c r="D1984" t="s">
        <v>91</v>
      </c>
      <c r="E1984" t="s">
        <v>43</v>
      </c>
      <c r="F1984" s="6">
        <v>0.33333333333333331</v>
      </c>
      <c r="G1984">
        <v>0</v>
      </c>
      <c r="H1984" s="6">
        <f>FLOOR(tblPivotData[[#This Row],[Time]],Summary!$B$6/1440)</f>
        <v>0.33333333333333331</v>
      </c>
      <c r="I1984" s="49">
        <f>INDEX(PeakCalc!$L$10:$L$303,MATCH(tblPivotData[[#This Row],[Time]],PeakCalc!$G$10:$G$303,0))</f>
        <v>1</v>
      </c>
    </row>
    <row r="1985" spans="1:9" x14ac:dyDescent="0.25">
      <c r="A1985" t="s">
        <v>97</v>
      </c>
      <c r="B1985" t="s">
        <v>108</v>
      </c>
      <c r="C1985" t="s">
        <v>95</v>
      </c>
      <c r="D1985" t="s">
        <v>91</v>
      </c>
      <c r="E1985" t="s">
        <v>43</v>
      </c>
      <c r="F1985" s="6">
        <v>0.34375</v>
      </c>
      <c r="G1985">
        <v>0</v>
      </c>
      <c r="H1985" s="6">
        <f>FLOOR(tblPivotData[[#This Row],[Time]],Summary!$B$6/1440)</f>
        <v>0.34375</v>
      </c>
      <c r="I1985" s="49">
        <f>INDEX(PeakCalc!$L$10:$L$303,MATCH(tblPivotData[[#This Row],[Time]],PeakCalc!$G$10:$G$303,0))</f>
        <v>1</v>
      </c>
    </row>
    <row r="1986" spans="1:9" x14ac:dyDescent="0.25">
      <c r="A1986" t="s">
        <v>97</v>
      </c>
      <c r="B1986" t="s">
        <v>108</v>
      </c>
      <c r="C1986" t="s">
        <v>95</v>
      </c>
      <c r="D1986" t="s">
        <v>91</v>
      </c>
      <c r="E1986" t="s">
        <v>43</v>
      </c>
      <c r="F1986" s="6">
        <v>0.35416666666666669</v>
      </c>
      <c r="G1986">
        <v>1</v>
      </c>
      <c r="H1986" s="6">
        <f>FLOOR(tblPivotData[[#This Row],[Time]],Summary!$B$6/1440)</f>
        <v>0.35416666666666663</v>
      </c>
      <c r="I1986" s="49">
        <f>INDEX(PeakCalc!$L$10:$L$303,MATCH(tblPivotData[[#This Row],[Time]],PeakCalc!$G$10:$G$303,0))</f>
        <v>1</v>
      </c>
    </row>
    <row r="1987" spans="1:9" x14ac:dyDescent="0.25">
      <c r="A1987" t="s">
        <v>97</v>
      </c>
      <c r="B1987" t="s">
        <v>108</v>
      </c>
      <c r="C1987" t="s">
        <v>95</v>
      </c>
      <c r="D1987" t="s">
        <v>91</v>
      </c>
      <c r="E1987" t="s">
        <v>43</v>
      </c>
      <c r="F1987" s="6">
        <v>0.36458333333333331</v>
      </c>
      <c r="G1987">
        <v>1</v>
      </c>
      <c r="H1987" s="6">
        <f>FLOOR(tblPivotData[[#This Row],[Time]],Summary!$B$6/1440)</f>
        <v>0.36458333333333331</v>
      </c>
      <c r="I1987" s="49">
        <f>INDEX(PeakCalc!$L$10:$L$303,MATCH(tblPivotData[[#This Row],[Time]],PeakCalc!$G$10:$G$303,0))</f>
        <v>0</v>
      </c>
    </row>
    <row r="1988" spans="1:9" x14ac:dyDescent="0.25">
      <c r="A1988" t="s">
        <v>97</v>
      </c>
      <c r="B1988" t="s">
        <v>108</v>
      </c>
      <c r="C1988" t="s">
        <v>95</v>
      </c>
      <c r="D1988" t="s">
        <v>91</v>
      </c>
      <c r="E1988" t="s">
        <v>43</v>
      </c>
      <c r="F1988" s="6">
        <v>0.375</v>
      </c>
      <c r="G1988">
        <v>1</v>
      </c>
      <c r="H1988" s="6">
        <f>FLOOR(tblPivotData[[#This Row],[Time]],Summary!$B$6/1440)</f>
        <v>0.375</v>
      </c>
      <c r="I1988" s="49">
        <f>INDEX(PeakCalc!$L$10:$L$303,MATCH(tblPivotData[[#This Row],[Time]],PeakCalc!$G$10:$G$303,0))</f>
        <v>0</v>
      </c>
    </row>
    <row r="1989" spans="1:9" x14ac:dyDescent="0.25">
      <c r="A1989" t="s">
        <v>97</v>
      </c>
      <c r="B1989" t="s">
        <v>108</v>
      </c>
      <c r="C1989" t="s">
        <v>95</v>
      </c>
      <c r="D1989" t="s">
        <v>91</v>
      </c>
      <c r="E1989" t="s">
        <v>43</v>
      </c>
      <c r="F1989" s="6">
        <v>0.38541666666666669</v>
      </c>
      <c r="G1989">
        <v>1</v>
      </c>
      <c r="H1989" s="6">
        <f>FLOOR(tblPivotData[[#This Row],[Time]],Summary!$B$6/1440)</f>
        <v>0.38541666666666663</v>
      </c>
      <c r="I1989" s="49">
        <f>INDEX(PeakCalc!$L$10:$L$303,MATCH(tblPivotData[[#This Row],[Time]],PeakCalc!$G$10:$G$303,0))</f>
        <v>0</v>
      </c>
    </row>
    <row r="1990" spans="1:9" x14ac:dyDescent="0.25">
      <c r="A1990" t="s">
        <v>97</v>
      </c>
      <c r="B1990" t="s">
        <v>108</v>
      </c>
      <c r="C1990" t="s">
        <v>95</v>
      </c>
      <c r="D1990" t="s">
        <v>91</v>
      </c>
      <c r="E1990" t="s">
        <v>110</v>
      </c>
      <c r="F1990" s="6">
        <v>0.45833333333333331</v>
      </c>
      <c r="G1990">
        <v>0</v>
      </c>
      <c r="H1990" s="6">
        <f>FLOOR(tblPivotData[[#This Row],[Time]],Summary!$B$6/1440)</f>
        <v>0.45833333333333331</v>
      </c>
      <c r="I1990" s="49">
        <f>INDEX(PeakCalc!$L$10:$L$303,MATCH(tblPivotData[[#This Row],[Time]],PeakCalc!$G$10:$G$303,0))</f>
        <v>0</v>
      </c>
    </row>
    <row r="1991" spans="1:9" x14ac:dyDescent="0.25">
      <c r="A1991" t="s">
        <v>97</v>
      </c>
      <c r="B1991" t="s">
        <v>108</v>
      </c>
      <c r="C1991" t="s">
        <v>95</v>
      </c>
      <c r="D1991" t="s">
        <v>91</v>
      </c>
      <c r="E1991" t="s">
        <v>110</v>
      </c>
      <c r="F1991" s="6">
        <v>0.46875</v>
      </c>
      <c r="G1991">
        <v>0</v>
      </c>
      <c r="H1991" s="6">
        <f>FLOOR(tblPivotData[[#This Row],[Time]],Summary!$B$6/1440)</f>
        <v>0.46875</v>
      </c>
      <c r="I1991" s="49">
        <f>INDEX(PeakCalc!$L$10:$L$303,MATCH(tblPivotData[[#This Row],[Time]],PeakCalc!$G$10:$G$303,0))</f>
        <v>0</v>
      </c>
    </row>
    <row r="1992" spans="1:9" x14ac:dyDescent="0.25">
      <c r="A1992" t="s">
        <v>97</v>
      </c>
      <c r="B1992" t="s">
        <v>108</v>
      </c>
      <c r="C1992" t="s">
        <v>95</v>
      </c>
      <c r="D1992" t="s">
        <v>91</v>
      </c>
      <c r="E1992" t="s">
        <v>110</v>
      </c>
      <c r="F1992" s="6">
        <v>0.47916666666666669</v>
      </c>
      <c r="G1992">
        <v>1</v>
      </c>
      <c r="H1992" s="6">
        <f>FLOOR(tblPivotData[[#This Row],[Time]],Summary!$B$6/1440)</f>
        <v>0.47916666666666663</v>
      </c>
      <c r="I1992" s="49">
        <f>INDEX(PeakCalc!$L$10:$L$303,MATCH(tblPivotData[[#This Row],[Time]],PeakCalc!$G$10:$G$303,0))</f>
        <v>0</v>
      </c>
    </row>
    <row r="1993" spans="1:9" x14ac:dyDescent="0.25">
      <c r="A1993" t="s">
        <v>97</v>
      </c>
      <c r="B1993" t="s">
        <v>108</v>
      </c>
      <c r="C1993" t="s">
        <v>95</v>
      </c>
      <c r="D1993" t="s">
        <v>91</v>
      </c>
      <c r="E1993" t="s">
        <v>110</v>
      </c>
      <c r="F1993" s="6">
        <v>0.48958333333333331</v>
      </c>
      <c r="G1993">
        <v>0</v>
      </c>
      <c r="H1993" s="6">
        <f>FLOOR(tblPivotData[[#This Row],[Time]],Summary!$B$6/1440)</f>
        <v>0.48958333333333331</v>
      </c>
      <c r="I1993" s="49">
        <f>INDEX(PeakCalc!$L$10:$L$303,MATCH(tblPivotData[[#This Row],[Time]],PeakCalc!$G$10:$G$303,0))</f>
        <v>0</v>
      </c>
    </row>
    <row r="1994" spans="1:9" x14ac:dyDescent="0.25">
      <c r="A1994" t="s">
        <v>97</v>
      </c>
      <c r="B1994" t="s">
        <v>108</v>
      </c>
      <c r="C1994" t="s">
        <v>95</v>
      </c>
      <c r="D1994" t="s">
        <v>91</v>
      </c>
      <c r="E1994" t="s">
        <v>110</v>
      </c>
      <c r="F1994" s="6">
        <v>0.5</v>
      </c>
      <c r="G1994">
        <v>0</v>
      </c>
      <c r="H1994" s="6">
        <f>FLOOR(tblPivotData[[#This Row],[Time]],Summary!$B$6/1440)</f>
        <v>0.5</v>
      </c>
      <c r="I1994" s="49">
        <f>INDEX(PeakCalc!$L$10:$L$303,MATCH(tblPivotData[[#This Row],[Time]],PeakCalc!$G$10:$G$303,0))</f>
        <v>0</v>
      </c>
    </row>
    <row r="1995" spans="1:9" x14ac:dyDescent="0.25">
      <c r="A1995" t="s">
        <v>97</v>
      </c>
      <c r="B1995" t="s">
        <v>108</v>
      </c>
      <c r="C1995" t="s">
        <v>95</v>
      </c>
      <c r="D1995" t="s">
        <v>91</v>
      </c>
      <c r="E1995" t="s">
        <v>110</v>
      </c>
      <c r="F1995" s="6">
        <v>0.51041666666666663</v>
      </c>
      <c r="G1995">
        <v>1</v>
      </c>
      <c r="H1995" s="6">
        <f>FLOOR(tblPivotData[[#This Row],[Time]],Summary!$B$6/1440)</f>
        <v>0.51041666666666663</v>
      </c>
      <c r="I1995" s="49">
        <f>INDEX(PeakCalc!$L$10:$L$303,MATCH(tblPivotData[[#This Row],[Time]],PeakCalc!$G$10:$G$303,0))</f>
        <v>0</v>
      </c>
    </row>
    <row r="1996" spans="1:9" x14ac:dyDescent="0.25">
      <c r="A1996" t="s">
        <v>97</v>
      </c>
      <c r="B1996" t="s">
        <v>108</v>
      </c>
      <c r="C1996" t="s">
        <v>95</v>
      </c>
      <c r="D1996" t="s">
        <v>91</v>
      </c>
      <c r="E1996" t="s">
        <v>110</v>
      </c>
      <c r="F1996" s="6">
        <v>0.52083333333333337</v>
      </c>
      <c r="G1996">
        <v>2</v>
      </c>
      <c r="H1996" s="6">
        <f>FLOOR(tblPivotData[[#This Row],[Time]],Summary!$B$6/1440)</f>
        <v>0.52083333333333326</v>
      </c>
      <c r="I1996" s="49">
        <f>INDEX(PeakCalc!$L$10:$L$303,MATCH(tblPivotData[[#This Row],[Time]],PeakCalc!$G$10:$G$303,0))</f>
        <v>1</v>
      </c>
    </row>
    <row r="1997" spans="1:9" x14ac:dyDescent="0.25">
      <c r="A1997" t="s">
        <v>97</v>
      </c>
      <c r="B1997" t="s">
        <v>108</v>
      </c>
      <c r="C1997" t="s">
        <v>95</v>
      </c>
      <c r="D1997" t="s">
        <v>91</v>
      </c>
      <c r="E1997" t="s">
        <v>110</v>
      </c>
      <c r="F1997" s="6">
        <v>0.53125</v>
      </c>
      <c r="G1997">
        <v>1</v>
      </c>
      <c r="H1997" s="6">
        <f>FLOOR(tblPivotData[[#This Row],[Time]],Summary!$B$6/1440)</f>
        <v>0.53125</v>
      </c>
      <c r="I1997" s="49">
        <f>INDEX(PeakCalc!$L$10:$L$303,MATCH(tblPivotData[[#This Row],[Time]],PeakCalc!$G$10:$G$303,0))</f>
        <v>1</v>
      </c>
    </row>
    <row r="1998" spans="1:9" x14ac:dyDescent="0.25">
      <c r="A1998" t="s">
        <v>97</v>
      </c>
      <c r="B1998" t="s">
        <v>108</v>
      </c>
      <c r="C1998" t="s">
        <v>95</v>
      </c>
      <c r="D1998" t="s">
        <v>91</v>
      </c>
      <c r="E1998" t="s">
        <v>110</v>
      </c>
      <c r="F1998" s="6">
        <v>0.54166666666666663</v>
      </c>
      <c r="G1998">
        <v>1</v>
      </c>
      <c r="H1998" s="6">
        <f>FLOOR(tblPivotData[[#This Row],[Time]],Summary!$B$6/1440)</f>
        <v>0.54166666666666663</v>
      </c>
      <c r="I1998" s="49">
        <f>INDEX(PeakCalc!$L$10:$L$303,MATCH(tblPivotData[[#This Row],[Time]],PeakCalc!$G$10:$G$303,0))</f>
        <v>1</v>
      </c>
    </row>
    <row r="1999" spans="1:9" x14ac:dyDescent="0.25">
      <c r="A1999" t="s">
        <v>97</v>
      </c>
      <c r="B1999" t="s">
        <v>108</v>
      </c>
      <c r="C1999" t="s">
        <v>95</v>
      </c>
      <c r="D1999" t="s">
        <v>91</v>
      </c>
      <c r="E1999" t="s">
        <v>110</v>
      </c>
      <c r="F1999" s="6">
        <v>0.55208333333333337</v>
      </c>
      <c r="G1999">
        <v>0</v>
      </c>
      <c r="H1999" s="6">
        <f>FLOOR(tblPivotData[[#This Row],[Time]],Summary!$B$6/1440)</f>
        <v>0.55208333333333326</v>
      </c>
      <c r="I1999" s="49">
        <f>INDEX(PeakCalc!$L$10:$L$303,MATCH(tblPivotData[[#This Row],[Time]],PeakCalc!$G$10:$G$303,0))</f>
        <v>1</v>
      </c>
    </row>
    <row r="2000" spans="1:9" x14ac:dyDescent="0.25">
      <c r="A2000" t="s">
        <v>97</v>
      </c>
      <c r="B2000" t="s">
        <v>108</v>
      </c>
      <c r="C2000" t="s">
        <v>95</v>
      </c>
      <c r="D2000" t="s">
        <v>91</v>
      </c>
      <c r="E2000" t="s">
        <v>110</v>
      </c>
      <c r="F2000" s="6">
        <v>0.5625</v>
      </c>
      <c r="G2000">
        <v>0</v>
      </c>
      <c r="H2000" s="6">
        <f>FLOOR(tblPivotData[[#This Row],[Time]],Summary!$B$6/1440)</f>
        <v>0.5625</v>
      </c>
      <c r="I2000" s="49">
        <f>INDEX(PeakCalc!$L$10:$L$303,MATCH(tblPivotData[[#This Row],[Time]],PeakCalc!$G$10:$G$303,0))</f>
        <v>0</v>
      </c>
    </row>
    <row r="2001" spans="1:9" x14ac:dyDescent="0.25">
      <c r="A2001" t="s">
        <v>97</v>
      </c>
      <c r="B2001" t="s">
        <v>108</v>
      </c>
      <c r="C2001" t="s">
        <v>95</v>
      </c>
      <c r="D2001" t="s">
        <v>91</v>
      </c>
      <c r="E2001" t="s">
        <v>110</v>
      </c>
      <c r="F2001" s="6">
        <v>0.57291666666666663</v>
      </c>
      <c r="G2001">
        <v>2</v>
      </c>
      <c r="H2001" s="6">
        <f>FLOOR(tblPivotData[[#This Row],[Time]],Summary!$B$6/1440)</f>
        <v>0.57291666666666663</v>
      </c>
      <c r="I2001" s="49">
        <f>INDEX(PeakCalc!$L$10:$L$303,MATCH(tblPivotData[[#This Row],[Time]],PeakCalc!$G$10:$G$303,0))</f>
        <v>0</v>
      </c>
    </row>
    <row r="2002" spans="1:9" x14ac:dyDescent="0.25">
      <c r="A2002" t="s">
        <v>97</v>
      </c>
      <c r="B2002" t="s">
        <v>108</v>
      </c>
      <c r="C2002" t="s">
        <v>95</v>
      </c>
      <c r="D2002" t="s">
        <v>91</v>
      </c>
      <c r="E2002" t="s">
        <v>44</v>
      </c>
      <c r="F2002" s="6">
        <v>0.625</v>
      </c>
      <c r="G2002">
        <v>2</v>
      </c>
      <c r="H2002" s="6">
        <f>FLOOR(tblPivotData[[#This Row],[Time]],Summary!$B$6/1440)</f>
        <v>0.625</v>
      </c>
      <c r="I2002" s="49">
        <f>INDEX(PeakCalc!$L$10:$L$303,MATCH(tblPivotData[[#This Row],[Time]],PeakCalc!$G$10:$G$303,0))</f>
        <v>0</v>
      </c>
    </row>
    <row r="2003" spans="1:9" x14ac:dyDescent="0.25">
      <c r="A2003" t="s">
        <v>97</v>
      </c>
      <c r="B2003" t="s">
        <v>108</v>
      </c>
      <c r="C2003" t="s">
        <v>95</v>
      </c>
      <c r="D2003" t="s">
        <v>91</v>
      </c>
      <c r="E2003" t="s">
        <v>44</v>
      </c>
      <c r="F2003" s="6">
        <v>0.63541666666666663</v>
      </c>
      <c r="G2003">
        <v>0</v>
      </c>
      <c r="H2003" s="6">
        <f>FLOOR(tblPivotData[[#This Row],[Time]],Summary!$B$6/1440)</f>
        <v>0.63541666666666663</v>
      </c>
      <c r="I2003" s="49">
        <f>INDEX(PeakCalc!$L$10:$L$303,MATCH(tblPivotData[[#This Row],[Time]],PeakCalc!$G$10:$G$303,0))</f>
        <v>0</v>
      </c>
    </row>
    <row r="2004" spans="1:9" x14ac:dyDescent="0.25">
      <c r="A2004" t="s">
        <v>97</v>
      </c>
      <c r="B2004" t="s">
        <v>108</v>
      </c>
      <c r="C2004" t="s">
        <v>95</v>
      </c>
      <c r="D2004" t="s">
        <v>91</v>
      </c>
      <c r="E2004" t="s">
        <v>44</v>
      </c>
      <c r="F2004" s="6">
        <v>0.64583333333333337</v>
      </c>
      <c r="G2004">
        <v>0</v>
      </c>
      <c r="H2004" s="6">
        <f>FLOOR(tblPivotData[[#This Row],[Time]],Summary!$B$6/1440)</f>
        <v>0.64583333333333326</v>
      </c>
      <c r="I2004" s="49">
        <f>INDEX(PeakCalc!$L$10:$L$303,MATCH(tblPivotData[[#This Row],[Time]],PeakCalc!$G$10:$G$303,0))</f>
        <v>0</v>
      </c>
    </row>
    <row r="2005" spans="1:9" x14ac:dyDescent="0.25">
      <c r="A2005" t="s">
        <v>97</v>
      </c>
      <c r="B2005" t="s">
        <v>108</v>
      </c>
      <c r="C2005" t="s">
        <v>95</v>
      </c>
      <c r="D2005" t="s">
        <v>91</v>
      </c>
      <c r="E2005" t="s">
        <v>44</v>
      </c>
      <c r="F2005" s="6">
        <v>0.65625</v>
      </c>
      <c r="G2005">
        <v>0</v>
      </c>
      <c r="H2005" s="6">
        <f>FLOOR(tblPivotData[[#This Row],[Time]],Summary!$B$6/1440)</f>
        <v>0.65625</v>
      </c>
      <c r="I2005" s="49">
        <f>INDEX(PeakCalc!$L$10:$L$303,MATCH(tblPivotData[[#This Row],[Time]],PeakCalc!$G$10:$G$303,0))</f>
        <v>0</v>
      </c>
    </row>
    <row r="2006" spans="1:9" x14ac:dyDescent="0.25">
      <c r="A2006" t="s">
        <v>97</v>
      </c>
      <c r="B2006" t="s">
        <v>108</v>
      </c>
      <c r="C2006" t="s">
        <v>95</v>
      </c>
      <c r="D2006" t="s">
        <v>91</v>
      </c>
      <c r="E2006" t="s">
        <v>44</v>
      </c>
      <c r="F2006" s="6">
        <v>0.66666666666666663</v>
      </c>
      <c r="G2006">
        <v>1</v>
      </c>
      <c r="H2006" s="6">
        <f>FLOOR(tblPivotData[[#This Row],[Time]],Summary!$B$6/1440)</f>
        <v>0.66666666666666663</v>
      </c>
      <c r="I2006" s="49">
        <f>INDEX(PeakCalc!$L$10:$L$303,MATCH(tblPivotData[[#This Row],[Time]],PeakCalc!$G$10:$G$303,0))</f>
        <v>0</v>
      </c>
    </row>
    <row r="2007" spans="1:9" x14ac:dyDescent="0.25">
      <c r="A2007" t="s">
        <v>97</v>
      </c>
      <c r="B2007" t="s">
        <v>108</v>
      </c>
      <c r="C2007" t="s">
        <v>95</v>
      </c>
      <c r="D2007" t="s">
        <v>91</v>
      </c>
      <c r="E2007" t="s">
        <v>44</v>
      </c>
      <c r="F2007" s="6">
        <v>0.67708333333333337</v>
      </c>
      <c r="G2007">
        <v>0</v>
      </c>
      <c r="H2007" s="6">
        <f>FLOOR(tblPivotData[[#This Row],[Time]],Summary!$B$6/1440)</f>
        <v>0.67708333333333326</v>
      </c>
      <c r="I2007" s="49">
        <f>INDEX(PeakCalc!$L$10:$L$303,MATCH(tblPivotData[[#This Row],[Time]],PeakCalc!$G$10:$G$303,0))</f>
        <v>0</v>
      </c>
    </row>
    <row r="2008" spans="1:9" x14ac:dyDescent="0.25">
      <c r="A2008" t="s">
        <v>97</v>
      </c>
      <c r="B2008" t="s">
        <v>108</v>
      </c>
      <c r="C2008" t="s">
        <v>95</v>
      </c>
      <c r="D2008" t="s">
        <v>91</v>
      </c>
      <c r="E2008" t="s">
        <v>44</v>
      </c>
      <c r="F2008" s="6">
        <v>0.6875</v>
      </c>
      <c r="G2008">
        <v>1</v>
      </c>
      <c r="H2008" s="6">
        <f>FLOOR(tblPivotData[[#This Row],[Time]],Summary!$B$6/1440)</f>
        <v>0.6875</v>
      </c>
      <c r="I2008" s="49">
        <f>INDEX(PeakCalc!$L$10:$L$303,MATCH(tblPivotData[[#This Row],[Time]],PeakCalc!$G$10:$G$303,0))</f>
        <v>1</v>
      </c>
    </row>
    <row r="2009" spans="1:9" x14ac:dyDescent="0.25">
      <c r="A2009" t="s">
        <v>97</v>
      </c>
      <c r="B2009" t="s">
        <v>108</v>
      </c>
      <c r="C2009" t="s">
        <v>95</v>
      </c>
      <c r="D2009" t="s">
        <v>91</v>
      </c>
      <c r="E2009" t="s">
        <v>44</v>
      </c>
      <c r="F2009" s="6">
        <v>0.69791666666666663</v>
      </c>
      <c r="G2009">
        <v>1</v>
      </c>
      <c r="H2009" s="6">
        <f>FLOOR(tblPivotData[[#This Row],[Time]],Summary!$B$6/1440)</f>
        <v>0.69791666666666663</v>
      </c>
      <c r="I2009" s="49">
        <f>INDEX(PeakCalc!$L$10:$L$303,MATCH(tblPivotData[[#This Row],[Time]],PeakCalc!$G$10:$G$303,0))</f>
        <v>1</v>
      </c>
    </row>
    <row r="2010" spans="1:9" x14ac:dyDescent="0.25">
      <c r="A2010" t="s">
        <v>97</v>
      </c>
      <c r="B2010" t="s">
        <v>108</v>
      </c>
      <c r="C2010" t="s">
        <v>95</v>
      </c>
      <c r="D2010" t="s">
        <v>91</v>
      </c>
      <c r="E2010" t="s">
        <v>44</v>
      </c>
      <c r="F2010" s="6">
        <v>0.70833333333333337</v>
      </c>
      <c r="G2010">
        <v>0</v>
      </c>
      <c r="H2010" s="6">
        <f>FLOOR(tblPivotData[[#This Row],[Time]],Summary!$B$6/1440)</f>
        <v>0.70833333333333326</v>
      </c>
      <c r="I2010" s="49">
        <f>INDEX(PeakCalc!$L$10:$L$303,MATCH(tblPivotData[[#This Row],[Time]],PeakCalc!$G$10:$G$303,0))</f>
        <v>1</v>
      </c>
    </row>
    <row r="2011" spans="1:9" x14ac:dyDescent="0.25">
      <c r="A2011" t="s">
        <v>97</v>
      </c>
      <c r="B2011" t="s">
        <v>108</v>
      </c>
      <c r="C2011" t="s">
        <v>95</v>
      </c>
      <c r="D2011" t="s">
        <v>91</v>
      </c>
      <c r="E2011" t="s">
        <v>44</v>
      </c>
      <c r="F2011" s="6">
        <v>0.71875</v>
      </c>
      <c r="G2011">
        <v>0</v>
      </c>
      <c r="H2011" s="6">
        <f>FLOOR(tblPivotData[[#This Row],[Time]],Summary!$B$6/1440)</f>
        <v>0.71875</v>
      </c>
      <c r="I2011" s="49">
        <f>INDEX(PeakCalc!$L$10:$L$303,MATCH(tblPivotData[[#This Row],[Time]],PeakCalc!$G$10:$G$303,0))</f>
        <v>1</v>
      </c>
    </row>
    <row r="2012" spans="1:9" x14ac:dyDescent="0.25">
      <c r="A2012" t="s">
        <v>97</v>
      </c>
      <c r="B2012" t="s">
        <v>108</v>
      </c>
      <c r="C2012" t="s">
        <v>95</v>
      </c>
      <c r="D2012" t="s">
        <v>91</v>
      </c>
      <c r="E2012" t="s">
        <v>44</v>
      </c>
      <c r="F2012" s="6">
        <v>0.72916666666666663</v>
      </c>
      <c r="G2012">
        <v>0</v>
      </c>
      <c r="H2012" s="6">
        <f>FLOOR(tblPivotData[[#This Row],[Time]],Summary!$B$6/1440)</f>
        <v>0.72916666666666663</v>
      </c>
      <c r="I2012" s="49">
        <f>INDEX(PeakCalc!$L$10:$L$303,MATCH(tblPivotData[[#This Row],[Time]],PeakCalc!$G$10:$G$303,0))</f>
        <v>0</v>
      </c>
    </row>
    <row r="2013" spans="1:9" x14ac:dyDescent="0.25">
      <c r="A2013" t="s">
        <v>97</v>
      </c>
      <c r="B2013" t="s">
        <v>108</v>
      </c>
      <c r="C2013" t="s">
        <v>95</v>
      </c>
      <c r="D2013" t="s">
        <v>91</v>
      </c>
      <c r="E2013" t="s">
        <v>44</v>
      </c>
      <c r="F2013" s="6">
        <v>0.73958333333333337</v>
      </c>
      <c r="G2013">
        <v>0</v>
      </c>
      <c r="H2013" s="6">
        <f>FLOOR(tblPivotData[[#This Row],[Time]],Summary!$B$6/1440)</f>
        <v>0.73958333333333326</v>
      </c>
      <c r="I2013" s="49">
        <f>INDEX(PeakCalc!$L$10:$L$303,MATCH(tblPivotData[[#This Row],[Time]],PeakCalc!$G$10:$G$303,0))</f>
        <v>0</v>
      </c>
    </row>
    <row r="2014" spans="1:9" x14ac:dyDescent="0.25">
      <c r="A2014" t="s">
        <v>97</v>
      </c>
      <c r="B2014" t="s">
        <v>108</v>
      </c>
      <c r="C2014" t="s">
        <v>95</v>
      </c>
      <c r="D2014" t="s">
        <v>91</v>
      </c>
      <c r="E2014" t="s">
        <v>44</v>
      </c>
      <c r="F2014" s="6">
        <v>0.75</v>
      </c>
      <c r="G2014">
        <v>1</v>
      </c>
      <c r="H2014" s="6">
        <f>FLOOR(tblPivotData[[#This Row],[Time]],Summary!$B$6/1440)</f>
        <v>0.75</v>
      </c>
      <c r="I2014" s="49">
        <f>INDEX(PeakCalc!$L$10:$L$303,MATCH(tblPivotData[[#This Row],[Time]],PeakCalc!$G$10:$G$303,0))</f>
        <v>0</v>
      </c>
    </row>
    <row r="2015" spans="1:9" x14ac:dyDescent="0.25">
      <c r="A2015" t="s">
        <v>97</v>
      </c>
      <c r="B2015" t="s">
        <v>108</v>
      </c>
      <c r="C2015" t="s">
        <v>95</v>
      </c>
      <c r="D2015" t="s">
        <v>91</v>
      </c>
      <c r="E2015" t="s">
        <v>44</v>
      </c>
      <c r="F2015" s="6">
        <v>0.76041666666666663</v>
      </c>
      <c r="G2015">
        <v>2</v>
      </c>
      <c r="H2015" s="6">
        <f>FLOOR(tblPivotData[[#This Row],[Time]],Summary!$B$6/1440)</f>
        <v>0.76041666666666663</v>
      </c>
      <c r="I2015" s="49">
        <f>INDEX(PeakCalc!$L$10:$L$303,MATCH(tblPivotData[[#This Row],[Time]],PeakCalc!$G$10:$G$303,0))</f>
        <v>0</v>
      </c>
    </row>
    <row r="2016" spans="1:9" x14ac:dyDescent="0.25">
      <c r="A2016" t="s">
        <v>97</v>
      </c>
      <c r="B2016" t="s">
        <v>108</v>
      </c>
      <c r="C2016" t="s">
        <v>95</v>
      </c>
      <c r="D2016" t="s">
        <v>92</v>
      </c>
      <c r="E2016" t="s">
        <v>43</v>
      </c>
      <c r="F2016" s="6">
        <v>0.27083333333333331</v>
      </c>
      <c r="G2016">
        <v>0</v>
      </c>
      <c r="H2016" s="6">
        <f>FLOOR(tblPivotData[[#This Row],[Time]],Summary!$B$6/1440)</f>
        <v>0.27083333333333331</v>
      </c>
      <c r="I2016" s="49">
        <f>INDEX(PeakCalc!$L$10:$L$303,MATCH(tblPivotData[[#This Row],[Time]],PeakCalc!$G$10:$G$303,0))</f>
        <v>0</v>
      </c>
    </row>
    <row r="2017" spans="1:9" x14ac:dyDescent="0.25">
      <c r="A2017" t="s">
        <v>97</v>
      </c>
      <c r="B2017" t="s">
        <v>108</v>
      </c>
      <c r="C2017" t="s">
        <v>95</v>
      </c>
      <c r="D2017" t="s">
        <v>92</v>
      </c>
      <c r="E2017" t="s">
        <v>43</v>
      </c>
      <c r="F2017" s="6">
        <v>0.28125</v>
      </c>
      <c r="G2017">
        <v>0</v>
      </c>
      <c r="H2017" s="6">
        <f>FLOOR(tblPivotData[[#This Row],[Time]],Summary!$B$6/1440)</f>
        <v>0.28125</v>
      </c>
      <c r="I2017" s="49">
        <f>INDEX(PeakCalc!$L$10:$L$303,MATCH(tblPivotData[[#This Row],[Time]],PeakCalc!$G$10:$G$303,0))</f>
        <v>0</v>
      </c>
    </row>
    <row r="2018" spans="1:9" x14ac:dyDescent="0.25">
      <c r="A2018" t="s">
        <v>97</v>
      </c>
      <c r="B2018" t="s">
        <v>108</v>
      </c>
      <c r="C2018" t="s">
        <v>95</v>
      </c>
      <c r="D2018" t="s">
        <v>92</v>
      </c>
      <c r="E2018" t="s">
        <v>43</v>
      </c>
      <c r="F2018" s="6">
        <v>0.29166666666666669</v>
      </c>
      <c r="G2018">
        <v>0</v>
      </c>
      <c r="H2018" s="6">
        <f>FLOOR(tblPivotData[[#This Row],[Time]],Summary!$B$6/1440)</f>
        <v>0.29166666666666663</v>
      </c>
      <c r="I2018" s="49">
        <f>INDEX(PeakCalc!$L$10:$L$303,MATCH(tblPivotData[[#This Row],[Time]],PeakCalc!$G$10:$G$303,0))</f>
        <v>0</v>
      </c>
    </row>
    <row r="2019" spans="1:9" x14ac:dyDescent="0.25">
      <c r="A2019" t="s">
        <v>97</v>
      </c>
      <c r="B2019" t="s">
        <v>108</v>
      </c>
      <c r="C2019" t="s">
        <v>95</v>
      </c>
      <c r="D2019" t="s">
        <v>92</v>
      </c>
      <c r="E2019" t="s">
        <v>43</v>
      </c>
      <c r="F2019" s="6">
        <v>0.30208333333333331</v>
      </c>
      <c r="G2019">
        <v>0</v>
      </c>
      <c r="H2019" s="6">
        <f>FLOOR(tblPivotData[[#This Row],[Time]],Summary!$B$6/1440)</f>
        <v>0.30208333333333331</v>
      </c>
      <c r="I2019" s="49">
        <f>INDEX(PeakCalc!$L$10:$L$303,MATCH(tblPivotData[[#This Row],[Time]],PeakCalc!$G$10:$G$303,0))</f>
        <v>0</v>
      </c>
    </row>
    <row r="2020" spans="1:9" x14ac:dyDescent="0.25">
      <c r="A2020" t="s">
        <v>97</v>
      </c>
      <c r="B2020" t="s">
        <v>108</v>
      </c>
      <c r="C2020" t="s">
        <v>95</v>
      </c>
      <c r="D2020" t="s">
        <v>92</v>
      </c>
      <c r="E2020" t="s">
        <v>43</v>
      </c>
      <c r="F2020" s="6">
        <v>0.3125</v>
      </c>
      <c r="G2020">
        <v>0</v>
      </c>
      <c r="H2020" s="6">
        <f>FLOOR(tblPivotData[[#This Row],[Time]],Summary!$B$6/1440)</f>
        <v>0.3125</v>
      </c>
      <c r="I2020" s="49">
        <f>INDEX(PeakCalc!$L$10:$L$303,MATCH(tblPivotData[[#This Row],[Time]],PeakCalc!$G$10:$G$303,0))</f>
        <v>0</v>
      </c>
    </row>
    <row r="2021" spans="1:9" x14ac:dyDescent="0.25">
      <c r="A2021" t="s">
        <v>97</v>
      </c>
      <c r="B2021" t="s">
        <v>108</v>
      </c>
      <c r="C2021" t="s">
        <v>95</v>
      </c>
      <c r="D2021" t="s">
        <v>92</v>
      </c>
      <c r="E2021" t="s">
        <v>43</v>
      </c>
      <c r="F2021" s="6">
        <v>0.32291666666666669</v>
      </c>
      <c r="G2021">
        <v>0</v>
      </c>
      <c r="H2021" s="6">
        <f>FLOOR(tblPivotData[[#This Row],[Time]],Summary!$B$6/1440)</f>
        <v>0.32291666666666663</v>
      </c>
      <c r="I2021" s="49">
        <f>INDEX(PeakCalc!$L$10:$L$303,MATCH(tblPivotData[[#This Row],[Time]],PeakCalc!$G$10:$G$303,0))</f>
        <v>1</v>
      </c>
    </row>
    <row r="2022" spans="1:9" x14ac:dyDescent="0.25">
      <c r="A2022" t="s">
        <v>97</v>
      </c>
      <c r="B2022" t="s">
        <v>108</v>
      </c>
      <c r="C2022" t="s">
        <v>95</v>
      </c>
      <c r="D2022" t="s">
        <v>92</v>
      </c>
      <c r="E2022" t="s">
        <v>43</v>
      </c>
      <c r="F2022" s="6">
        <v>0.33333333333333331</v>
      </c>
      <c r="G2022">
        <v>0</v>
      </c>
      <c r="H2022" s="6">
        <f>FLOOR(tblPivotData[[#This Row],[Time]],Summary!$B$6/1440)</f>
        <v>0.33333333333333331</v>
      </c>
      <c r="I2022" s="49">
        <f>INDEX(PeakCalc!$L$10:$L$303,MATCH(tblPivotData[[#This Row],[Time]],PeakCalc!$G$10:$G$303,0))</f>
        <v>1</v>
      </c>
    </row>
    <row r="2023" spans="1:9" x14ac:dyDescent="0.25">
      <c r="A2023" t="s">
        <v>97</v>
      </c>
      <c r="B2023" t="s">
        <v>108</v>
      </c>
      <c r="C2023" t="s">
        <v>95</v>
      </c>
      <c r="D2023" t="s">
        <v>92</v>
      </c>
      <c r="E2023" t="s">
        <v>43</v>
      </c>
      <c r="F2023" s="6">
        <v>0.34375</v>
      </c>
      <c r="G2023">
        <v>1</v>
      </c>
      <c r="H2023" s="6">
        <f>FLOOR(tblPivotData[[#This Row],[Time]],Summary!$B$6/1440)</f>
        <v>0.34375</v>
      </c>
      <c r="I2023" s="49">
        <f>INDEX(PeakCalc!$L$10:$L$303,MATCH(tblPivotData[[#This Row],[Time]],PeakCalc!$G$10:$G$303,0))</f>
        <v>1</v>
      </c>
    </row>
    <row r="2024" spans="1:9" x14ac:dyDescent="0.25">
      <c r="A2024" t="s">
        <v>97</v>
      </c>
      <c r="B2024" t="s">
        <v>108</v>
      </c>
      <c r="C2024" t="s">
        <v>95</v>
      </c>
      <c r="D2024" t="s">
        <v>92</v>
      </c>
      <c r="E2024" t="s">
        <v>43</v>
      </c>
      <c r="F2024" s="6">
        <v>0.35416666666666669</v>
      </c>
      <c r="G2024">
        <v>0</v>
      </c>
      <c r="H2024" s="6">
        <f>FLOOR(tblPivotData[[#This Row],[Time]],Summary!$B$6/1440)</f>
        <v>0.35416666666666663</v>
      </c>
      <c r="I2024" s="49">
        <f>INDEX(PeakCalc!$L$10:$L$303,MATCH(tblPivotData[[#This Row],[Time]],PeakCalc!$G$10:$G$303,0))</f>
        <v>1</v>
      </c>
    </row>
    <row r="2025" spans="1:9" x14ac:dyDescent="0.25">
      <c r="A2025" t="s">
        <v>97</v>
      </c>
      <c r="B2025" t="s">
        <v>108</v>
      </c>
      <c r="C2025" t="s">
        <v>95</v>
      </c>
      <c r="D2025" t="s">
        <v>92</v>
      </c>
      <c r="E2025" t="s">
        <v>43</v>
      </c>
      <c r="F2025" s="6">
        <v>0.36458333333333331</v>
      </c>
      <c r="G2025">
        <v>0</v>
      </c>
      <c r="H2025" s="6">
        <f>FLOOR(tblPivotData[[#This Row],[Time]],Summary!$B$6/1440)</f>
        <v>0.36458333333333331</v>
      </c>
      <c r="I2025" s="49">
        <f>INDEX(PeakCalc!$L$10:$L$303,MATCH(tblPivotData[[#This Row],[Time]],PeakCalc!$G$10:$G$303,0))</f>
        <v>0</v>
      </c>
    </row>
    <row r="2026" spans="1:9" x14ac:dyDescent="0.25">
      <c r="A2026" t="s">
        <v>97</v>
      </c>
      <c r="B2026" t="s">
        <v>108</v>
      </c>
      <c r="C2026" t="s">
        <v>95</v>
      </c>
      <c r="D2026" t="s">
        <v>92</v>
      </c>
      <c r="E2026" t="s">
        <v>43</v>
      </c>
      <c r="F2026" s="6">
        <v>0.375</v>
      </c>
      <c r="G2026">
        <v>0</v>
      </c>
      <c r="H2026" s="6">
        <f>FLOOR(tblPivotData[[#This Row],[Time]],Summary!$B$6/1440)</f>
        <v>0.375</v>
      </c>
      <c r="I2026" s="49">
        <f>INDEX(PeakCalc!$L$10:$L$303,MATCH(tblPivotData[[#This Row],[Time]],PeakCalc!$G$10:$G$303,0))</f>
        <v>0</v>
      </c>
    </row>
    <row r="2027" spans="1:9" x14ac:dyDescent="0.25">
      <c r="A2027" t="s">
        <v>97</v>
      </c>
      <c r="B2027" t="s">
        <v>108</v>
      </c>
      <c r="C2027" t="s">
        <v>95</v>
      </c>
      <c r="D2027" t="s">
        <v>92</v>
      </c>
      <c r="E2027" t="s">
        <v>43</v>
      </c>
      <c r="F2027" s="6">
        <v>0.38541666666666669</v>
      </c>
      <c r="G2027">
        <v>0</v>
      </c>
      <c r="H2027" s="6">
        <f>FLOOR(tblPivotData[[#This Row],[Time]],Summary!$B$6/1440)</f>
        <v>0.38541666666666663</v>
      </c>
      <c r="I2027" s="49">
        <f>INDEX(PeakCalc!$L$10:$L$303,MATCH(tblPivotData[[#This Row],[Time]],PeakCalc!$G$10:$G$303,0))</f>
        <v>0</v>
      </c>
    </row>
    <row r="2028" spans="1:9" x14ac:dyDescent="0.25">
      <c r="A2028" t="s">
        <v>97</v>
      </c>
      <c r="B2028" t="s">
        <v>108</v>
      </c>
      <c r="C2028" t="s">
        <v>95</v>
      </c>
      <c r="D2028" t="s">
        <v>92</v>
      </c>
      <c r="E2028" t="s">
        <v>110</v>
      </c>
      <c r="F2028" s="6">
        <v>0.45833333333333331</v>
      </c>
      <c r="G2028">
        <v>0</v>
      </c>
      <c r="H2028" s="6">
        <f>FLOOR(tblPivotData[[#This Row],[Time]],Summary!$B$6/1440)</f>
        <v>0.45833333333333331</v>
      </c>
      <c r="I2028" s="49">
        <f>INDEX(PeakCalc!$L$10:$L$303,MATCH(tblPivotData[[#This Row],[Time]],PeakCalc!$G$10:$G$303,0))</f>
        <v>0</v>
      </c>
    </row>
    <row r="2029" spans="1:9" x14ac:dyDescent="0.25">
      <c r="A2029" t="s">
        <v>97</v>
      </c>
      <c r="B2029" t="s">
        <v>108</v>
      </c>
      <c r="C2029" t="s">
        <v>95</v>
      </c>
      <c r="D2029" t="s">
        <v>92</v>
      </c>
      <c r="E2029" t="s">
        <v>110</v>
      </c>
      <c r="F2029" s="6">
        <v>0.46875</v>
      </c>
      <c r="G2029">
        <v>0</v>
      </c>
      <c r="H2029" s="6">
        <f>FLOOR(tblPivotData[[#This Row],[Time]],Summary!$B$6/1440)</f>
        <v>0.46875</v>
      </c>
      <c r="I2029" s="49">
        <f>INDEX(PeakCalc!$L$10:$L$303,MATCH(tblPivotData[[#This Row],[Time]],PeakCalc!$G$10:$G$303,0))</f>
        <v>0</v>
      </c>
    </row>
    <row r="2030" spans="1:9" x14ac:dyDescent="0.25">
      <c r="A2030" t="s">
        <v>97</v>
      </c>
      <c r="B2030" t="s">
        <v>108</v>
      </c>
      <c r="C2030" t="s">
        <v>95</v>
      </c>
      <c r="D2030" t="s">
        <v>92</v>
      </c>
      <c r="E2030" t="s">
        <v>110</v>
      </c>
      <c r="F2030" s="6">
        <v>0.47916666666666669</v>
      </c>
      <c r="G2030">
        <v>0</v>
      </c>
      <c r="H2030" s="6">
        <f>FLOOR(tblPivotData[[#This Row],[Time]],Summary!$B$6/1440)</f>
        <v>0.47916666666666663</v>
      </c>
      <c r="I2030" s="49">
        <f>INDEX(PeakCalc!$L$10:$L$303,MATCH(tblPivotData[[#This Row],[Time]],PeakCalc!$G$10:$G$303,0))</f>
        <v>0</v>
      </c>
    </row>
    <row r="2031" spans="1:9" x14ac:dyDescent="0.25">
      <c r="A2031" t="s">
        <v>97</v>
      </c>
      <c r="B2031" t="s">
        <v>108</v>
      </c>
      <c r="C2031" t="s">
        <v>95</v>
      </c>
      <c r="D2031" t="s">
        <v>92</v>
      </c>
      <c r="E2031" t="s">
        <v>110</v>
      </c>
      <c r="F2031" s="6">
        <v>0.48958333333333331</v>
      </c>
      <c r="G2031">
        <v>0</v>
      </c>
      <c r="H2031" s="6">
        <f>FLOOR(tblPivotData[[#This Row],[Time]],Summary!$B$6/1440)</f>
        <v>0.48958333333333331</v>
      </c>
      <c r="I2031" s="49">
        <f>INDEX(PeakCalc!$L$10:$L$303,MATCH(tblPivotData[[#This Row],[Time]],PeakCalc!$G$10:$G$303,0))</f>
        <v>0</v>
      </c>
    </row>
    <row r="2032" spans="1:9" x14ac:dyDescent="0.25">
      <c r="A2032" t="s">
        <v>97</v>
      </c>
      <c r="B2032" t="s">
        <v>108</v>
      </c>
      <c r="C2032" t="s">
        <v>95</v>
      </c>
      <c r="D2032" t="s">
        <v>92</v>
      </c>
      <c r="E2032" t="s">
        <v>110</v>
      </c>
      <c r="F2032" s="6">
        <v>0.5</v>
      </c>
      <c r="G2032">
        <v>0</v>
      </c>
      <c r="H2032" s="6">
        <f>FLOOR(tblPivotData[[#This Row],[Time]],Summary!$B$6/1440)</f>
        <v>0.5</v>
      </c>
      <c r="I2032" s="49">
        <f>INDEX(PeakCalc!$L$10:$L$303,MATCH(tblPivotData[[#This Row],[Time]],PeakCalc!$G$10:$G$303,0))</f>
        <v>0</v>
      </c>
    </row>
    <row r="2033" spans="1:9" x14ac:dyDescent="0.25">
      <c r="A2033" t="s">
        <v>97</v>
      </c>
      <c r="B2033" t="s">
        <v>108</v>
      </c>
      <c r="C2033" t="s">
        <v>95</v>
      </c>
      <c r="D2033" t="s">
        <v>92</v>
      </c>
      <c r="E2033" t="s">
        <v>110</v>
      </c>
      <c r="F2033" s="6">
        <v>0.51041666666666663</v>
      </c>
      <c r="G2033">
        <v>0</v>
      </c>
      <c r="H2033" s="6">
        <f>FLOOR(tblPivotData[[#This Row],[Time]],Summary!$B$6/1440)</f>
        <v>0.51041666666666663</v>
      </c>
      <c r="I2033" s="49">
        <f>INDEX(PeakCalc!$L$10:$L$303,MATCH(tblPivotData[[#This Row],[Time]],PeakCalc!$G$10:$G$303,0))</f>
        <v>0</v>
      </c>
    </row>
    <row r="2034" spans="1:9" x14ac:dyDescent="0.25">
      <c r="A2034" t="s">
        <v>97</v>
      </c>
      <c r="B2034" t="s">
        <v>108</v>
      </c>
      <c r="C2034" t="s">
        <v>95</v>
      </c>
      <c r="D2034" t="s">
        <v>92</v>
      </c>
      <c r="E2034" t="s">
        <v>110</v>
      </c>
      <c r="F2034" s="6">
        <v>0.52083333333333337</v>
      </c>
      <c r="G2034">
        <v>0</v>
      </c>
      <c r="H2034" s="6">
        <f>FLOOR(tblPivotData[[#This Row],[Time]],Summary!$B$6/1440)</f>
        <v>0.52083333333333326</v>
      </c>
      <c r="I2034" s="49">
        <f>INDEX(PeakCalc!$L$10:$L$303,MATCH(tblPivotData[[#This Row],[Time]],PeakCalc!$G$10:$G$303,0))</f>
        <v>1</v>
      </c>
    </row>
    <row r="2035" spans="1:9" x14ac:dyDescent="0.25">
      <c r="A2035" t="s">
        <v>97</v>
      </c>
      <c r="B2035" t="s">
        <v>108</v>
      </c>
      <c r="C2035" t="s">
        <v>95</v>
      </c>
      <c r="D2035" t="s">
        <v>92</v>
      </c>
      <c r="E2035" t="s">
        <v>110</v>
      </c>
      <c r="F2035" s="6">
        <v>0.53125</v>
      </c>
      <c r="G2035">
        <v>0</v>
      </c>
      <c r="H2035" s="6">
        <f>FLOOR(tblPivotData[[#This Row],[Time]],Summary!$B$6/1440)</f>
        <v>0.53125</v>
      </c>
      <c r="I2035" s="49">
        <f>INDEX(PeakCalc!$L$10:$L$303,MATCH(tblPivotData[[#This Row],[Time]],PeakCalc!$G$10:$G$303,0))</f>
        <v>1</v>
      </c>
    </row>
    <row r="2036" spans="1:9" x14ac:dyDescent="0.25">
      <c r="A2036" t="s">
        <v>97</v>
      </c>
      <c r="B2036" t="s">
        <v>108</v>
      </c>
      <c r="C2036" t="s">
        <v>95</v>
      </c>
      <c r="D2036" t="s">
        <v>92</v>
      </c>
      <c r="E2036" t="s">
        <v>110</v>
      </c>
      <c r="F2036" s="6">
        <v>0.54166666666666663</v>
      </c>
      <c r="G2036">
        <v>0</v>
      </c>
      <c r="H2036" s="6">
        <f>FLOOR(tblPivotData[[#This Row],[Time]],Summary!$B$6/1440)</f>
        <v>0.54166666666666663</v>
      </c>
      <c r="I2036" s="49">
        <f>INDEX(PeakCalc!$L$10:$L$303,MATCH(tblPivotData[[#This Row],[Time]],PeakCalc!$G$10:$G$303,0))</f>
        <v>1</v>
      </c>
    </row>
    <row r="2037" spans="1:9" x14ac:dyDescent="0.25">
      <c r="A2037" t="s">
        <v>97</v>
      </c>
      <c r="B2037" t="s">
        <v>108</v>
      </c>
      <c r="C2037" t="s">
        <v>95</v>
      </c>
      <c r="D2037" t="s">
        <v>92</v>
      </c>
      <c r="E2037" t="s">
        <v>110</v>
      </c>
      <c r="F2037" s="6">
        <v>0.55208333333333337</v>
      </c>
      <c r="G2037">
        <v>0</v>
      </c>
      <c r="H2037" s="6">
        <f>FLOOR(tblPivotData[[#This Row],[Time]],Summary!$B$6/1440)</f>
        <v>0.55208333333333326</v>
      </c>
      <c r="I2037" s="49">
        <f>INDEX(PeakCalc!$L$10:$L$303,MATCH(tblPivotData[[#This Row],[Time]],PeakCalc!$G$10:$G$303,0))</f>
        <v>1</v>
      </c>
    </row>
    <row r="2038" spans="1:9" x14ac:dyDescent="0.25">
      <c r="A2038" t="s">
        <v>97</v>
      </c>
      <c r="B2038" t="s">
        <v>108</v>
      </c>
      <c r="C2038" t="s">
        <v>95</v>
      </c>
      <c r="D2038" t="s">
        <v>92</v>
      </c>
      <c r="E2038" t="s">
        <v>110</v>
      </c>
      <c r="F2038" s="6">
        <v>0.5625</v>
      </c>
      <c r="G2038">
        <v>0</v>
      </c>
      <c r="H2038" s="6">
        <f>FLOOR(tblPivotData[[#This Row],[Time]],Summary!$B$6/1440)</f>
        <v>0.5625</v>
      </c>
      <c r="I2038" s="49">
        <f>INDEX(PeakCalc!$L$10:$L$303,MATCH(tblPivotData[[#This Row],[Time]],PeakCalc!$G$10:$G$303,0))</f>
        <v>0</v>
      </c>
    </row>
    <row r="2039" spans="1:9" x14ac:dyDescent="0.25">
      <c r="A2039" t="s">
        <v>97</v>
      </c>
      <c r="B2039" t="s">
        <v>108</v>
      </c>
      <c r="C2039" t="s">
        <v>95</v>
      </c>
      <c r="D2039" t="s">
        <v>92</v>
      </c>
      <c r="E2039" t="s">
        <v>110</v>
      </c>
      <c r="F2039" s="6">
        <v>0.57291666666666663</v>
      </c>
      <c r="G2039">
        <v>0</v>
      </c>
      <c r="H2039" s="6">
        <f>FLOOR(tblPivotData[[#This Row],[Time]],Summary!$B$6/1440)</f>
        <v>0.57291666666666663</v>
      </c>
      <c r="I2039" s="49">
        <f>INDEX(PeakCalc!$L$10:$L$303,MATCH(tblPivotData[[#This Row],[Time]],PeakCalc!$G$10:$G$303,0))</f>
        <v>0</v>
      </c>
    </row>
    <row r="2040" spans="1:9" x14ac:dyDescent="0.25">
      <c r="A2040" t="s">
        <v>97</v>
      </c>
      <c r="B2040" t="s">
        <v>108</v>
      </c>
      <c r="C2040" t="s">
        <v>95</v>
      </c>
      <c r="D2040" t="s">
        <v>92</v>
      </c>
      <c r="E2040" t="s">
        <v>44</v>
      </c>
      <c r="F2040" s="6">
        <v>0.625</v>
      </c>
      <c r="G2040">
        <v>0</v>
      </c>
      <c r="H2040" s="6">
        <f>FLOOR(tblPivotData[[#This Row],[Time]],Summary!$B$6/1440)</f>
        <v>0.625</v>
      </c>
      <c r="I2040" s="49">
        <f>INDEX(PeakCalc!$L$10:$L$303,MATCH(tblPivotData[[#This Row],[Time]],PeakCalc!$G$10:$G$303,0))</f>
        <v>0</v>
      </c>
    </row>
    <row r="2041" spans="1:9" x14ac:dyDescent="0.25">
      <c r="A2041" t="s">
        <v>97</v>
      </c>
      <c r="B2041" t="s">
        <v>108</v>
      </c>
      <c r="C2041" t="s">
        <v>95</v>
      </c>
      <c r="D2041" t="s">
        <v>92</v>
      </c>
      <c r="E2041" t="s">
        <v>44</v>
      </c>
      <c r="F2041" s="6">
        <v>0.63541666666666663</v>
      </c>
      <c r="G2041">
        <v>0</v>
      </c>
      <c r="H2041" s="6">
        <f>FLOOR(tblPivotData[[#This Row],[Time]],Summary!$B$6/1440)</f>
        <v>0.63541666666666663</v>
      </c>
      <c r="I2041" s="49">
        <f>INDEX(PeakCalc!$L$10:$L$303,MATCH(tblPivotData[[#This Row],[Time]],PeakCalc!$G$10:$G$303,0))</f>
        <v>0</v>
      </c>
    </row>
    <row r="2042" spans="1:9" x14ac:dyDescent="0.25">
      <c r="A2042" t="s">
        <v>97</v>
      </c>
      <c r="B2042" t="s">
        <v>108</v>
      </c>
      <c r="C2042" t="s">
        <v>95</v>
      </c>
      <c r="D2042" t="s">
        <v>92</v>
      </c>
      <c r="E2042" t="s">
        <v>44</v>
      </c>
      <c r="F2042" s="6">
        <v>0.64583333333333337</v>
      </c>
      <c r="G2042">
        <v>0</v>
      </c>
      <c r="H2042" s="6">
        <f>FLOOR(tblPivotData[[#This Row],[Time]],Summary!$B$6/1440)</f>
        <v>0.64583333333333326</v>
      </c>
      <c r="I2042" s="49">
        <f>INDEX(PeakCalc!$L$10:$L$303,MATCH(tblPivotData[[#This Row],[Time]],PeakCalc!$G$10:$G$303,0))</f>
        <v>0</v>
      </c>
    </row>
    <row r="2043" spans="1:9" x14ac:dyDescent="0.25">
      <c r="A2043" t="s">
        <v>97</v>
      </c>
      <c r="B2043" t="s">
        <v>108</v>
      </c>
      <c r="C2043" t="s">
        <v>95</v>
      </c>
      <c r="D2043" t="s">
        <v>92</v>
      </c>
      <c r="E2043" t="s">
        <v>44</v>
      </c>
      <c r="F2043" s="6">
        <v>0.65625</v>
      </c>
      <c r="G2043">
        <v>0</v>
      </c>
      <c r="H2043" s="6">
        <f>FLOOR(tblPivotData[[#This Row],[Time]],Summary!$B$6/1440)</f>
        <v>0.65625</v>
      </c>
      <c r="I2043" s="49">
        <f>INDEX(PeakCalc!$L$10:$L$303,MATCH(tblPivotData[[#This Row],[Time]],PeakCalc!$G$10:$G$303,0))</f>
        <v>0</v>
      </c>
    </row>
    <row r="2044" spans="1:9" x14ac:dyDescent="0.25">
      <c r="A2044" t="s">
        <v>97</v>
      </c>
      <c r="B2044" t="s">
        <v>108</v>
      </c>
      <c r="C2044" t="s">
        <v>95</v>
      </c>
      <c r="D2044" t="s">
        <v>92</v>
      </c>
      <c r="E2044" t="s">
        <v>44</v>
      </c>
      <c r="F2044" s="6">
        <v>0.66666666666666663</v>
      </c>
      <c r="G2044">
        <v>0</v>
      </c>
      <c r="H2044" s="6">
        <f>FLOOR(tblPivotData[[#This Row],[Time]],Summary!$B$6/1440)</f>
        <v>0.66666666666666663</v>
      </c>
      <c r="I2044" s="49">
        <f>INDEX(PeakCalc!$L$10:$L$303,MATCH(tblPivotData[[#This Row],[Time]],PeakCalc!$G$10:$G$303,0))</f>
        <v>0</v>
      </c>
    </row>
    <row r="2045" spans="1:9" x14ac:dyDescent="0.25">
      <c r="A2045" t="s">
        <v>97</v>
      </c>
      <c r="B2045" t="s">
        <v>108</v>
      </c>
      <c r="C2045" t="s">
        <v>95</v>
      </c>
      <c r="D2045" t="s">
        <v>92</v>
      </c>
      <c r="E2045" t="s">
        <v>44</v>
      </c>
      <c r="F2045" s="6">
        <v>0.67708333333333337</v>
      </c>
      <c r="G2045">
        <v>0</v>
      </c>
      <c r="H2045" s="6">
        <f>FLOOR(tblPivotData[[#This Row],[Time]],Summary!$B$6/1440)</f>
        <v>0.67708333333333326</v>
      </c>
      <c r="I2045" s="49">
        <f>INDEX(PeakCalc!$L$10:$L$303,MATCH(tblPivotData[[#This Row],[Time]],PeakCalc!$G$10:$G$303,0))</f>
        <v>0</v>
      </c>
    </row>
    <row r="2046" spans="1:9" x14ac:dyDescent="0.25">
      <c r="A2046" t="s">
        <v>97</v>
      </c>
      <c r="B2046" t="s">
        <v>108</v>
      </c>
      <c r="C2046" t="s">
        <v>95</v>
      </c>
      <c r="D2046" t="s">
        <v>92</v>
      </c>
      <c r="E2046" t="s">
        <v>44</v>
      </c>
      <c r="F2046" s="6">
        <v>0.6875</v>
      </c>
      <c r="G2046">
        <v>0</v>
      </c>
      <c r="H2046" s="6">
        <f>FLOOR(tblPivotData[[#This Row],[Time]],Summary!$B$6/1440)</f>
        <v>0.6875</v>
      </c>
      <c r="I2046" s="49">
        <f>INDEX(PeakCalc!$L$10:$L$303,MATCH(tblPivotData[[#This Row],[Time]],PeakCalc!$G$10:$G$303,0))</f>
        <v>1</v>
      </c>
    </row>
    <row r="2047" spans="1:9" x14ac:dyDescent="0.25">
      <c r="A2047" t="s">
        <v>97</v>
      </c>
      <c r="B2047" t="s">
        <v>108</v>
      </c>
      <c r="C2047" t="s">
        <v>95</v>
      </c>
      <c r="D2047" t="s">
        <v>92</v>
      </c>
      <c r="E2047" t="s">
        <v>44</v>
      </c>
      <c r="F2047" s="6">
        <v>0.69791666666666663</v>
      </c>
      <c r="G2047">
        <v>0</v>
      </c>
      <c r="H2047" s="6">
        <f>FLOOR(tblPivotData[[#This Row],[Time]],Summary!$B$6/1440)</f>
        <v>0.69791666666666663</v>
      </c>
      <c r="I2047" s="49">
        <f>INDEX(PeakCalc!$L$10:$L$303,MATCH(tblPivotData[[#This Row],[Time]],PeakCalc!$G$10:$G$303,0))</f>
        <v>1</v>
      </c>
    </row>
    <row r="2048" spans="1:9" x14ac:dyDescent="0.25">
      <c r="A2048" t="s">
        <v>97</v>
      </c>
      <c r="B2048" t="s">
        <v>108</v>
      </c>
      <c r="C2048" t="s">
        <v>95</v>
      </c>
      <c r="D2048" t="s">
        <v>92</v>
      </c>
      <c r="E2048" t="s">
        <v>44</v>
      </c>
      <c r="F2048" s="6">
        <v>0.70833333333333337</v>
      </c>
      <c r="G2048">
        <v>0</v>
      </c>
      <c r="H2048" s="6">
        <f>FLOOR(tblPivotData[[#This Row],[Time]],Summary!$B$6/1440)</f>
        <v>0.70833333333333326</v>
      </c>
      <c r="I2048" s="49">
        <f>INDEX(PeakCalc!$L$10:$L$303,MATCH(tblPivotData[[#This Row],[Time]],PeakCalc!$G$10:$G$303,0))</f>
        <v>1</v>
      </c>
    </row>
    <row r="2049" spans="1:9" x14ac:dyDescent="0.25">
      <c r="A2049" t="s">
        <v>97</v>
      </c>
      <c r="B2049" t="s">
        <v>108</v>
      </c>
      <c r="C2049" t="s">
        <v>95</v>
      </c>
      <c r="D2049" t="s">
        <v>92</v>
      </c>
      <c r="E2049" t="s">
        <v>44</v>
      </c>
      <c r="F2049" s="6">
        <v>0.71875</v>
      </c>
      <c r="G2049">
        <v>0</v>
      </c>
      <c r="H2049" s="6">
        <f>FLOOR(tblPivotData[[#This Row],[Time]],Summary!$B$6/1440)</f>
        <v>0.71875</v>
      </c>
      <c r="I2049" s="49">
        <f>INDEX(PeakCalc!$L$10:$L$303,MATCH(tblPivotData[[#This Row],[Time]],PeakCalc!$G$10:$G$303,0))</f>
        <v>1</v>
      </c>
    </row>
    <row r="2050" spans="1:9" x14ac:dyDescent="0.25">
      <c r="A2050" t="s">
        <v>97</v>
      </c>
      <c r="B2050" t="s">
        <v>108</v>
      </c>
      <c r="C2050" t="s">
        <v>95</v>
      </c>
      <c r="D2050" t="s">
        <v>92</v>
      </c>
      <c r="E2050" t="s">
        <v>44</v>
      </c>
      <c r="F2050" s="6">
        <v>0.72916666666666663</v>
      </c>
      <c r="G2050">
        <v>0</v>
      </c>
      <c r="H2050" s="6">
        <f>FLOOR(tblPivotData[[#This Row],[Time]],Summary!$B$6/1440)</f>
        <v>0.72916666666666663</v>
      </c>
      <c r="I2050" s="49">
        <f>INDEX(PeakCalc!$L$10:$L$303,MATCH(tblPivotData[[#This Row],[Time]],PeakCalc!$G$10:$G$303,0))</f>
        <v>0</v>
      </c>
    </row>
    <row r="2051" spans="1:9" x14ac:dyDescent="0.25">
      <c r="A2051" t="s">
        <v>97</v>
      </c>
      <c r="B2051" t="s">
        <v>108</v>
      </c>
      <c r="C2051" t="s">
        <v>95</v>
      </c>
      <c r="D2051" t="s">
        <v>92</v>
      </c>
      <c r="E2051" t="s">
        <v>44</v>
      </c>
      <c r="F2051" s="6">
        <v>0.73958333333333337</v>
      </c>
      <c r="G2051">
        <v>0</v>
      </c>
      <c r="H2051" s="6">
        <f>FLOOR(tblPivotData[[#This Row],[Time]],Summary!$B$6/1440)</f>
        <v>0.73958333333333326</v>
      </c>
      <c r="I2051" s="49">
        <f>INDEX(PeakCalc!$L$10:$L$303,MATCH(tblPivotData[[#This Row],[Time]],PeakCalc!$G$10:$G$303,0))</f>
        <v>0</v>
      </c>
    </row>
    <row r="2052" spans="1:9" x14ac:dyDescent="0.25">
      <c r="A2052" t="s">
        <v>97</v>
      </c>
      <c r="B2052" t="s">
        <v>108</v>
      </c>
      <c r="C2052" t="s">
        <v>95</v>
      </c>
      <c r="D2052" t="s">
        <v>92</v>
      </c>
      <c r="E2052" t="s">
        <v>44</v>
      </c>
      <c r="F2052" s="6">
        <v>0.75</v>
      </c>
      <c r="G2052">
        <v>0</v>
      </c>
      <c r="H2052" s="6">
        <f>FLOOR(tblPivotData[[#This Row],[Time]],Summary!$B$6/1440)</f>
        <v>0.75</v>
      </c>
      <c r="I2052" s="49">
        <f>INDEX(PeakCalc!$L$10:$L$303,MATCH(tblPivotData[[#This Row],[Time]],PeakCalc!$G$10:$G$303,0))</f>
        <v>0</v>
      </c>
    </row>
    <row r="2053" spans="1:9" x14ac:dyDescent="0.25">
      <c r="A2053" t="s">
        <v>97</v>
      </c>
      <c r="B2053" t="s">
        <v>108</v>
      </c>
      <c r="C2053" t="s">
        <v>95</v>
      </c>
      <c r="D2053" t="s">
        <v>92</v>
      </c>
      <c r="E2053" t="s">
        <v>44</v>
      </c>
      <c r="F2053" s="6">
        <v>0.76041666666666663</v>
      </c>
      <c r="G2053">
        <v>0</v>
      </c>
      <c r="H2053" s="6">
        <f>FLOOR(tblPivotData[[#This Row],[Time]],Summary!$B$6/1440)</f>
        <v>0.76041666666666663</v>
      </c>
      <c r="I2053" s="49">
        <f>INDEX(PeakCalc!$L$10:$L$303,MATCH(tblPivotData[[#This Row],[Time]],PeakCalc!$G$10:$G$303,0))</f>
        <v>0</v>
      </c>
    </row>
    <row r="2054" spans="1:9" x14ac:dyDescent="0.25">
      <c r="A2054" t="s">
        <v>97</v>
      </c>
      <c r="B2054" t="s">
        <v>108</v>
      </c>
      <c r="C2054" t="s">
        <v>95</v>
      </c>
      <c r="D2054" t="s">
        <v>93</v>
      </c>
      <c r="E2054" t="s">
        <v>43</v>
      </c>
      <c r="F2054" s="6">
        <v>0.27083333333333331</v>
      </c>
      <c r="G2054">
        <v>0</v>
      </c>
      <c r="H2054" s="6">
        <f>FLOOR(tblPivotData[[#This Row],[Time]],Summary!$B$6/1440)</f>
        <v>0.27083333333333331</v>
      </c>
      <c r="I2054" s="49">
        <f>INDEX(PeakCalc!$L$10:$L$303,MATCH(tblPivotData[[#This Row],[Time]],PeakCalc!$G$10:$G$303,0))</f>
        <v>0</v>
      </c>
    </row>
    <row r="2055" spans="1:9" x14ac:dyDescent="0.25">
      <c r="A2055" t="s">
        <v>97</v>
      </c>
      <c r="B2055" t="s">
        <v>108</v>
      </c>
      <c r="C2055" t="s">
        <v>95</v>
      </c>
      <c r="D2055" t="s">
        <v>93</v>
      </c>
      <c r="E2055" t="s">
        <v>43</v>
      </c>
      <c r="F2055" s="6">
        <v>0.28125</v>
      </c>
      <c r="G2055">
        <v>1</v>
      </c>
      <c r="H2055" s="6">
        <f>FLOOR(tblPivotData[[#This Row],[Time]],Summary!$B$6/1440)</f>
        <v>0.28125</v>
      </c>
      <c r="I2055" s="49">
        <f>INDEX(PeakCalc!$L$10:$L$303,MATCH(tblPivotData[[#This Row],[Time]],PeakCalc!$G$10:$G$303,0))</f>
        <v>0</v>
      </c>
    </row>
    <row r="2056" spans="1:9" x14ac:dyDescent="0.25">
      <c r="A2056" t="s">
        <v>97</v>
      </c>
      <c r="B2056" t="s">
        <v>108</v>
      </c>
      <c r="C2056" t="s">
        <v>95</v>
      </c>
      <c r="D2056" t="s">
        <v>93</v>
      </c>
      <c r="E2056" t="s">
        <v>43</v>
      </c>
      <c r="F2056" s="6">
        <v>0.29166666666666669</v>
      </c>
      <c r="G2056">
        <v>2</v>
      </c>
      <c r="H2056" s="6">
        <f>FLOOR(tblPivotData[[#This Row],[Time]],Summary!$B$6/1440)</f>
        <v>0.29166666666666663</v>
      </c>
      <c r="I2056" s="49">
        <f>INDEX(PeakCalc!$L$10:$L$303,MATCH(tblPivotData[[#This Row],[Time]],PeakCalc!$G$10:$G$303,0))</f>
        <v>0</v>
      </c>
    </row>
    <row r="2057" spans="1:9" x14ac:dyDescent="0.25">
      <c r="A2057" t="s">
        <v>97</v>
      </c>
      <c r="B2057" t="s">
        <v>108</v>
      </c>
      <c r="C2057" t="s">
        <v>95</v>
      </c>
      <c r="D2057" t="s">
        <v>93</v>
      </c>
      <c r="E2057" t="s">
        <v>43</v>
      </c>
      <c r="F2057" s="6">
        <v>0.30208333333333331</v>
      </c>
      <c r="G2057">
        <v>7</v>
      </c>
      <c r="H2057" s="6">
        <f>FLOOR(tblPivotData[[#This Row],[Time]],Summary!$B$6/1440)</f>
        <v>0.30208333333333331</v>
      </c>
      <c r="I2057" s="49">
        <f>INDEX(PeakCalc!$L$10:$L$303,MATCH(tblPivotData[[#This Row],[Time]],PeakCalc!$G$10:$G$303,0))</f>
        <v>0</v>
      </c>
    </row>
    <row r="2058" spans="1:9" x14ac:dyDescent="0.25">
      <c r="A2058" t="s">
        <v>97</v>
      </c>
      <c r="B2058" t="s">
        <v>108</v>
      </c>
      <c r="C2058" t="s">
        <v>95</v>
      </c>
      <c r="D2058" t="s">
        <v>93</v>
      </c>
      <c r="E2058" t="s">
        <v>43</v>
      </c>
      <c r="F2058" s="6">
        <v>0.3125</v>
      </c>
      <c r="G2058">
        <v>9</v>
      </c>
      <c r="H2058" s="6">
        <f>FLOOR(tblPivotData[[#This Row],[Time]],Summary!$B$6/1440)</f>
        <v>0.3125</v>
      </c>
      <c r="I2058" s="49">
        <f>INDEX(PeakCalc!$L$10:$L$303,MATCH(tblPivotData[[#This Row],[Time]],PeakCalc!$G$10:$G$303,0))</f>
        <v>0</v>
      </c>
    </row>
    <row r="2059" spans="1:9" x14ac:dyDescent="0.25">
      <c r="A2059" t="s">
        <v>97</v>
      </c>
      <c r="B2059" t="s">
        <v>108</v>
      </c>
      <c r="C2059" t="s">
        <v>95</v>
      </c>
      <c r="D2059" t="s">
        <v>93</v>
      </c>
      <c r="E2059" t="s">
        <v>43</v>
      </c>
      <c r="F2059" s="6">
        <v>0.32291666666666669</v>
      </c>
      <c r="G2059">
        <v>11</v>
      </c>
      <c r="H2059" s="6">
        <f>FLOOR(tblPivotData[[#This Row],[Time]],Summary!$B$6/1440)</f>
        <v>0.32291666666666663</v>
      </c>
      <c r="I2059" s="49">
        <f>INDEX(PeakCalc!$L$10:$L$303,MATCH(tblPivotData[[#This Row],[Time]],PeakCalc!$G$10:$G$303,0))</f>
        <v>1</v>
      </c>
    </row>
    <row r="2060" spans="1:9" x14ac:dyDescent="0.25">
      <c r="A2060" t="s">
        <v>97</v>
      </c>
      <c r="B2060" t="s">
        <v>108</v>
      </c>
      <c r="C2060" t="s">
        <v>95</v>
      </c>
      <c r="D2060" t="s">
        <v>93</v>
      </c>
      <c r="E2060" t="s">
        <v>43</v>
      </c>
      <c r="F2060" s="6">
        <v>0.33333333333333331</v>
      </c>
      <c r="G2060">
        <v>8</v>
      </c>
      <c r="H2060" s="6">
        <f>FLOOR(tblPivotData[[#This Row],[Time]],Summary!$B$6/1440)</f>
        <v>0.33333333333333331</v>
      </c>
      <c r="I2060" s="49">
        <f>INDEX(PeakCalc!$L$10:$L$303,MATCH(tblPivotData[[#This Row],[Time]],PeakCalc!$G$10:$G$303,0))</f>
        <v>1</v>
      </c>
    </row>
    <row r="2061" spans="1:9" x14ac:dyDescent="0.25">
      <c r="A2061" t="s">
        <v>97</v>
      </c>
      <c r="B2061" t="s">
        <v>108</v>
      </c>
      <c r="C2061" t="s">
        <v>95</v>
      </c>
      <c r="D2061" t="s">
        <v>93</v>
      </c>
      <c r="E2061" t="s">
        <v>43</v>
      </c>
      <c r="F2061" s="6">
        <v>0.34375</v>
      </c>
      <c r="G2061">
        <v>2</v>
      </c>
      <c r="H2061" s="6">
        <f>FLOOR(tblPivotData[[#This Row],[Time]],Summary!$B$6/1440)</f>
        <v>0.34375</v>
      </c>
      <c r="I2061" s="49">
        <f>INDEX(PeakCalc!$L$10:$L$303,MATCH(tblPivotData[[#This Row],[Time]],PeakCalc!$G$10:$G$303,0))</f>
        <v>1</v>
      </c>
    </row>
    <row r="2062" spans="1:9" x14ac:dyDescent="0.25">
      <c r="A2062" t="s">
        <v>97</v>
      </c>
      <c r="B2062" t="s">
        <v>108</v>
      </c>
      <c r="C2062" t="s">
        <v>95</v>
      </c>
      <c r="D2062" t="s">
        <v>93</v>
      </c>
      <c r="E2062" t="s">
        <v>43</v>
      </c>
      <c r="F2062" s="6">
        <v>0.35416666666666669</v>
      </c>
      <c r="G2062">
        <v>2</v>
      </c>
      <c r="H2062" s="6">
        <f>FLOOR(tblPivotData[[#This Row],[Time]],Summary!$B$6/1440)</f>
        <v>0.35416666666666663</v>
      </c>
      <c r="I2062" s="49">
        <f>INDEX(PeakCalc!$L$10:$L$303,MATCH(tblPivotData[[#This Row],[Time]],PeakCalc!$G$10:$G$303,0))</f>
        <v>1</v>
      </c>
    </row>
    <row r="2063" spans="1:9" x14ac:dyDescent="0.25">
      <c r="A2063" t="s">
        <v>97</v>
      </c>
      <c r="B2063" t="s">
        <v>108</v>
      </c>
      <c r="C2063" t="s">
        <v>95</v>
      </c>
      <c r="D2063" t="s">
        <v>93</v>
      </c>
      <c r="E2063" t="s">
        <v>43</v>
      </c>
      <c r="F2063" s="6">
        <v>0.36458333333333331</v>
      </c>
      <c r="G2063">
        <v>6</v>
      </c>
      <c r="H2063" s="6">
        <f>FLOOR(tblPivotData[[#This Row],[Time]],Summary!$B$6/1440)</f>
        <v>0.36458333333333331</v>
      </c>
      <c r="I2063" s="49">
        <f>INDEX(PeakCalc!$L$10:$L$303,MATCH(tblPivotData[[#This Row],[Time]],PeakCalc!$G$10:$G$303,0))</f>
        <v>0</v>
      </c>
    </row>
    <row r="2064" spans="1:9" x14ac:dyDescent="0.25">
      <c r="A2064" t="s">
        <v>97</v>
      </c>
      <c r="B2064" t="s">
        <v>108</v>
      </c>
      <c r="C2064" t="s">
        <v>95</v>
      </c>
      <c r="D2064" t="s">
        <v>93</v>
      </c>
      <c r="E2064" t="s">
        <v>43</v>
      </c>
      <c r="F2064" s="6">
        <v>0.375</v>
      </c>
      <c r="G2064">
        <v>0</v>
      </c>
      <c r="H2064" s="6">
        <f>FLOOR(tblPivotData[[#This Row],[Time]],Summary!$B$6/1440)</f>
        <v>0.375</v>
      </c>
      <c r="I2064" s="49">
        <f>INDEX(PeakCalc!$L$10:$L$303,MATCH(tblPivotData[[#This Row],[Time]],PeakCalc!$G$10:$G$303,0))</f>
        <v>0</v>
      </c>
    </row>
    <row r="2065" spans="1:9" x14ac:dyDescent="0.25">
      <c r="A2065" t="s">
        <v>97</v>
      </c>
      <c r="B2065" t="s">
        <v>108</v>
      </c>
      <c r="C2065" t="s">
        <v>95</v>
      </c>
      <c r="D2065" t="s">
        <v>93</v>
      </c>
      <c r="E2065" t="s">
        <v>43</v>
      </c>
      <c r="F2065" s="6">
        <v>0.38541666666666669</v>
      </c>
      <c r="G2065">
        <v>0</v>
      </c>
      <c r="H2065" s="6">
        <f>FLOOR(tblPivotData[[#This Row],[Time]],Summary!$B$6/1440)</f>
        <v>0.38541666666666663</v>
      </c>
      <c r="I2065" s="49">
        <f>INDEX(PeakCalc!$L$10:$L$303,MATCH(tblPivotData[[#This Row],[Time]],PeakCalc!$G$10:$G$303,0))</f>
        <v>0</v>
      </c>
    </row>
    <row r="2066" spans="1:9" x14ac:dyDescent="0.25">
      <c r="A2066" t="s">
        <v>97</v>
      </c>
      <c r="B2066" t="s">
        <v>108</v>
      </c>
      <c r="C2066" t="s">
        <v>95</v>
      </c>
      <c r="D2066" t="s">
        <v>93</v>
      </c>
      <c r="E2066" t="s">
        <v>110</v>
      </c>
      <c r="F2066" s="6">
        <v>0.45833333333333331</v>
      </c>
      <c r="G2066">
        <v>0</v>
      </c>
      <c r="H2066" s="6">
        <f>FLOOR(tblPivotData[[#This Row],[Time]],Summary!$B$6/1440)</f>
        <v>0.45833333333333331</v>
      </c>
      <c r="I2066" s="49">
        <f>INDEX(PeakCalc!$L$10:$L$303,MATCH(tblPivotData[[#This Row],[Time]],PeakCalc!$G$10:$G$303,0))</f>
        <v>0</v>
      </c>
    </row>
    <row r="2067" spans="1:9" x14ac:dyDescent="0.25">
      <c r="A2067" t="s">
        <v>97</v>
      </c>
      <c r="B2067" t="s">
        <v>108</v>
      </c>
      <c r="C2067" t="s">
        <v>95</v>
      </c>
      <c r="D2067" t="s">
        <v>93</v>
      </c>
      <c r="E2067" t="s">
        <v>110</v>
      </c>
      <c r="F2067" s="6">
        <v>0.46875</v>
      </c>
      <c r="G2067">
        <v>1</v>
      </c>
      <c r="H2067" s="6">
        <f>FLOOR(tblPivotData[[#This Row],[Time]],Summary!$B$6/1440)</f>
        <v>0.46875</v>
      </c>
      <c r="I2067" s="49">
        <f>INDEX(PeakCalc!$L$10:$L$303,MATCH(tblPivotData[[#This Row],[Time]],PeakCalc!$G$10:$G$303,0))</f>
        <v>0</v>
      </c>
    </row>
    <row r="2068" spans="1:9" x14ac:dyDescent="0.25">
      <c r="A2068" t="s">
        <v>97</v>
      </c>
      <c r="B2068" t="s">
        <v>108</v>
      </c>
      <c r="C2068" t="s">
        <v>95</v>
      </c>
      <c r="D2068" t="s">
        <v>93</v>
      </c>
      <c r="E2068" t="s">
        <v>110</v>
      </c>
      <c r="F2068" s="6">
        <v>0.47916666666666669</v>
      </c>
      <c r="G2068">
        <v>2</v>
      </c>
      <c r="H2068" s="6">
        <f>FLOOR(tblPivotData[[#This Row],[Time]],Summary!$B$6/1440)</f>
        <v>0.47916666666666663</v>
      </c>
      <c r="I2068" s="49">
        <f>INDEX(PeakCalc!$L$10:$L$303,MATCH(tblPivotData[[#This Row],[Time]],PeakCalc!$G$10:$G$303,0))</f>
        <v>0</v>
      </c>
    </row>
    <row r="2069" spans="1:9" x14ac:dyDescent="0.25">
      <c r="A2069" t="s">
        <v>97</v>
      </c>
      <c r="B2069" t="s">
        <v>108</v>
      </c>
      <c r="C2069" t="s">
        <v>95</v>
      </c>
      <c r="D2069" t="s">
        <v>93</v>
      </c>
      <c r="E2069" t="s">
        <v>110</v>
      </c>
      <c r="F2069" s="6">
        <v>0.48958333333333331</v>
      </c>
      <c r="G2069">
        <v>1</v>
      </c>
      <c r="H2069" s="6">
        <f>FLOOR(tblPivotData[[#This Row],[Time]],Summary!$B$6/1440)</f>
        <v>0.48958333333333331</v>
      </c>
      <c r="I2069" s="49">
        <f>INDEX(PeakCalc!$L$10:$L$303,MATCH(tblPivotData[[#This Row],[Time]],PeakCalc!$G$10:$G$303,0))</f>
        <v>0</v>
      </c>
    </row>
    <row r="2070" spans="1:9" x14ac:dyDescent="0.25">
      <c r="A2070" t="s">
        <v>97</v>
      </c>
      <c r="B2070" t="s">
        <v>108</v>
      </c>
      <c r="C2070" t="s">
        <v>95</v>
      </c>
      <c r="D2070" t="s">
        <v>93</v>
      </c>
      <c r="E2070" t="s">
        <v>110</v>
      </c>
      <c r="F2070" s="6">
        <v>0.5</v>
      </c>
      <c r="G2070">
        <v>2</v>
      </c>
      <c r="H2070" s="6">
        <f>FLOOR(tblPivotData[[#This Row],[Time]],Summary!$B$6/1440)</f>
        <v>0.5</v>
      </c>
      <c r="I2070" s="49">
        <f>INDEX(PeakCalc!$L$10:$L$303,MATCH(tblPivotData[[#This Row],[Time]],PeakCalc!$G$10:$G$303,0))</f>
        <v>0</v>
      </c>
    </row>
    <row r="2071" spans="1:9" x14ac:dyDescent="0.25">
      <c r="A2071" t="s">
        <v>97</v>
      </c>
      <c r="B2071" t="s">
        <v>108</v>
      </c>
      <c r="C2071" t="s">
        <v>95</v>
      </c>
      <c r="D2071" t="s">
        <v>93</v>
      </c>
      <c r="E2071" t="s">
        <v>110</v>
      </c>
      <c r="F2071" s="6">
        <v>0.51041666666666663</v>
      </c>
      <c r="G2071">
        <v>2</v>
      </c>
      <c r="H2071" s="6">
        <f>FLOOR(tblPivotData[[#This Row],[Time]],Summary!$B$6/1440)</f>
        <v>0.51041666666666663</v>
      </c>
      <c r="I2071" s="49">
        <f>INDEX(PeakCalc!$L$10:$L$303,MATCH(tblPivotData[[#This Row],[Time]],PeakCalc!$G$10:$G$303,0))</f>
        <v>0</v>
      </c>
    </row>
    <row r="2072" spans="1:9" x14ac:dyDescent="0.25">
      <c r="A2072" t="s">
        <v>97</v>
      </c>
      <c r="B2072" t="s">
        <v>108</v>
      </c>
      <c r="C2072" t="s">
        <v>95</v>
      </c>
      <c r="D2072" t="s">
        <v>93</v>
      </c>
      <c r="E2072" t="s">
        <v>110</v>
      </c>
      <c r="F2072" s="6">
        <v>0.52083333333333337</v>
      </c>
      <c r="G2072">
        <v>0</v>
      </c>
      <c r="H2072" s="6">
        <f>FLOOR(tblPivotData[[#This Row],[Time]],Summary!$B$6/1440)</f>
        <v>0.52083333333333326</v>
      </c>
      <c r="I2072" s="49">
        <f>INDEX(PeakCalc!$L$10:$L$303,MATCH(tblPivotData[[#This Row],[Time]],PeakCalc!$G$10:$G$303,0))</f>
        <v>1</v>
      </c>
    </row>
    <row r="2073" spans="1:9" x14ac:dyDescent="0.25">
      <c r="A2073" t="s">
        <v>97</v>
      </c>
      <c r="B2073" t="s">
        <v>108</v>
      </c>
      <c r="C2073" t="s">
        <v>95</v>
      </c>
      <c r="D2073" t="s">
        <v>93</v>
      </c>
      <c r="E2073" t="s">
        <v>110</v>
      </c>
      <c r="F2073" s="6">
        <v>0.53125</v>
      </c>
      <c r="G2073">
        <v>0</v>
      </c>
      <c r="H2073" s="6">
        <f>FLOOR(tblPivotData[[#This Row],[Time]],Summary!$B$6/1440)</f>
        <v>0.53125</v>
      </c>
      <c r="I2073" s="49">
        <f>INDEX(PeakCalc!$L$10:$L$303,MATCH(tblPivotData[[#This Row],[Time]],PeakCalc!$G$10:$G$303,0))</f>
        <v>1</v>
      </c>
    </row>
    <row r="2074" spans="1:9" x14ac:dyDescent="0.25">
      <c r="A2074" t="s">
        <v>97</v>
      </c>
      <c r="B2074" t="s">
        <v>108</v>
      </c>
      <c r="C2074" t="s">
        <v>95</v>
      </c>
      <c r="D2074" t="s">
        <v>93</v>
      </c>
      <c r="E2074" t="s">
        <v>110</v>
      </c>
      <c r="F2074" s="6">
        <v>0.54166666666666663</v>
      </c>
      <c r="G2074">
        <v>1</v>
      </c>
      <c r="H2074" s="6">
        <f>FLOOR(tblPivotData[[#This Row],[Time]],Summary!$B$6/1440)</f>
        <v>0.54166666666666663</v>
      </c>
      <c r="I2074" s="49">
        <f>INDEX(PeakCalc!$L$10:$L$303,MATCH(tblPivotData[[#This Row],[Time]],PeakCalc!$G$10:$G$303,0))</f>
        <v>1</v>
      </c>
    </row>
    <row r="2075" spans="1:9" x14ac:dyDescent="0.25">
      <c r="A2075" t="s">
        <v>97</v>
      </c>
      <c r="B2075" t="s">
        <v>108</v>
      </c>
      <c r="C2075" t="s">
        <v>95</v>
      </c>
      <c r="D2075" t="s">
        <v>93</v>
      </c>
      <c r="E2075" t="s">
        <v>110</v>
      </c>
      <c r="F2075" s="6">
        <v>0.55208333333333337</v>
      </c>
      <c r="G2075">
        <v>3</v>
      </c>
      <c r="H2075" s="6">
        <f>FLOOR(tblPivotData[[#This Row],[Time]],Summary!$B$6/1440)</f>
        <v>0.55208333333333326</v>
      </c>
      <c r="I2075" s="49">
        <f>INDEX(PeakCalc!$L$10:$L$303,MATCH(tblPivotData[[#This Row],[Time]],PeakCalc!$G$10:$G$303,0))</f>
        <v>1</v>
      </c>
    </row>
    <row r="2076" spans="1:9" x14ac:dyDescent="0.25">
      <c r="A2076" t="s">
        <v>97</v>
      </c>
      <c r="B2076" t="s">
        <v>108</v>
      </c>
      <c r="C2076" t="s">
        <v>95</v>
      </c>
      <c r="D2076" t="s">
        <v>93</v>
      </c>
      <c r="E2076" t="s">
        <v>110</v>
      </c>
      <c r="F2076" s="6">
        <v>0.5625</v>
      </c>
      <c r="G2076">
        <v>0</v>
      </c>
      <c r="H2076" s="6">
        <f>FLOOR(tblPivotData[[#This Row],[Time]],Summary!$B$6/1440)</f>
        <v>0.5625</v>
      </c>
      <c r="I2076" s="49">
        <f>INDEX(PeakCalc!$L$10:$L$303,MATCH(tblPivotData[[#This Row],[Time]],PeakCalc!$G$10:$G$303,0))</f>
        <v>0</v>
      </c>
    </row>
    <row r="2077" spans="1:9" x14ac:dyDescent="0.25">
      <c r="A2077" t="s">
        <v>97</v>
      </c>
      <c r="B2077" t="s">
        <v>108</v>
      </c>
      <c r="C2077" t="s">
        <v>95</v>
      </c>
      <c r="D2077" t="s">
        <v>93</v>
      </c>
      <c r="E2077" t="s">
        <v>110</v>
      </c>
      <c r="F2077" s="6">
        <v>0.57291666666666663</v>
      </c>
      <c r="G2077">
        <v>2</v>
      </c>
      <c r="H2077" s="6">
        <f>FLOOR(tblPivotData[[#This Row],[Time]],Summary!$B$6/1440)</f>
        <v>0.57291666666666663</v>
      </c>
      <c r="I2077" s="49">
        <f>INDEX(PeakCalc!$L$10:$L$303,MATCH(tblPivotData[[#This Row],[Time]],PeakCalc!$G$10:$G$303,0))</f>
        <v>0</v>
      </c>
    </row>
    <row r="2078" spans="1:9" x14ac:dyDescent="0.25">
      <c r="A2078" t="s">
        <v>97</v>
      </c>
      <c r="B2078" t="s">
        <v>108</v>
      </c>
      <c r="C2078" t="s">
        <v>95</v>
      </c>
      <c r="D2078" t="s">
        <v>93</v>
      </c>
      <c r="E2078" t="s">
        <v>44</v>
      </c>
      <c r="F2078" s="6">
        <v>0.625</v>
      </c>
      <c r="G2078">
        <v>2</v>
      </c>
      <c r="H2078" s="6">
        <f>FLOOR(tblPivotData[[#This Row],[Time]],Summary!$B$6/1440)</f>
        <v>0.625</v>
      </c>
      <c r="I2078" s="49">
        <f>INDEX(PeakCalc!$L$10:$L$303,MATCH(tblPivotData[[#This Row],[Time]],PeakCalc!$G$10:$G$303,0))</f>
        <v>0</v>
      </c>
    </row>
    <row r="2079" spans="1:9" x14ac:dyDescent="0.25">
      <c r="A2079" t="s">
        <v>97</v>
      </c>
      <c r="B2079" t="s">
        <v>108</v>
      </c>
      <c r="C2079" t="s">
        <v>95</v>
      </c>
      <c r="D2079" t="s">
        <v>93</v>
      </c>
      <c r="E2079" t="s">
        <v>44</v>
      </c>
      <c r="F2079" s="6">
        <v>0.63541666666666663</v>
      </c>
      <c r="G2079">
        <v>3</v>
      </c>
      <c r="H2079" s="6">
        <f>FLOOR(tblPivotData[[#This Row],[Time]],Summary!$B$6/1440)</f>
        <v>0.63541666666666663</v>
      </c>
      <c r="I2079" s="49">
        <f>INDEX(PeakCalc!$L$10:$L$303,MATCH(tblPivotData[[#This Row],[Time]],PeakCalc!$G$10:$G$303,0))</f>
        <v>0</v>
      </c>
    </row>
    <row r="2080" spans="1:9" x14ac:dyDescent="0.25">
      <c r="A2080" t="s">
        <v>97</v>
      </c>
      <c r="B2080" t="s">
        <v>108</v>
      </c>
      <c r="C2080" t="s">
        <v>95</v>
      </c>
      <c r="D2080" t="s">
        <v>93</v>
      </c>
      <c r="E2080" t="s">
        <v>44</v>
      </c>
      <c r="F2080" s="6">
        <v>0.64583333333333337</v>
      </c>
      <c r="G2080">
        <v>1</v>
      </c>
      <c r="H2080" s="6">
        <f>FLOOR(tblPivotData[[#This Row],[Time]],Summary!$B$6/1440)</f>
        <v>0.64583333333333326</v>
      </c>
      <c r="I2080" s="49">
        <f>INDEX(PeakCalc!$L$10:$L$303,MATCH(tblPivotData[[#This Row],[Time]],PeakCalc!$G$10:$G$303,0))</f>
        <v>0</v>
      </c>
    </row>
    <row r="2081" spans="1:9" x14ac:dyDescent="0.25">
      <c r="A2081" t="s">
        <v>97</v>
      </c>
      <c r="B2081" t="s">
        <v>108</v>
      </c>
      <c r="C2081" t="s">
        <v>95</v>
      </c>
      <c r="D2081" t="s">
        <v>93</v>
      </c>
      <c r="E2081" t="s">
        <v>44</v>
      </c>
      <c r="F2081" s="6">
        <v>0.65625</v>
      </c>
      <c r="G2081">
        <v>1</v>
      </c>
      <c r="H2081" s="6">
        <f>FLOOR(tblPivotData[[#This Row],[Time]],Summary!$B$6/1440)</f>
        <v>0.65625</v>
      </c>
      <c r="I2081" s="49">
        <f>INDEX(PeakCalc!$L$10:$L$303,MATCH(tblPivotData[[#This Row],[Time]],PeakCalc!$G$10:$G$303,0))</f>
        <v>0</v>
      </c>
    </row>
    <row r="2082" spans="1:9" x14ac:dyDescent="0.25">
      <c r="A2082" t="s">
        <v>97</v>
      </c>
      <c r="B2082" t="s">
        <v>108</v>
      </c>
      <c r="C2082" t="s">
        <v>95</v>
      </c>
      <c r="D2082" t="s">
        <v>93</v>
      </c>
      <c r="E2082" t="s">
        <v>44</v>
      </c>
      <c r="F2082" s="6">
        <v>0.66666666666666663</v>
      </c>
      <c r="G2082">
        <v>0</v>
      </c>
      <c r="H2082" s="6">
        <f>FLOOR(tblPivotData[[#This Row],[Time]],Summary!$B$6/1440)</f>
        <v>0.66666666666666663</v>
      </c>
      <c r="I2082" s="49">
        <f>INDEX(PeakCalc!$L$10:$L$303,MATCH(tblPivotData[[#This Row],[Time]],PeakCalc!$G$10:$G$303,0))</f>
        <v>0</v>
      </c>
    </row>
    <row r="2083" spans="1:9" x14ac:dyDescent="0.25">
      <c r="A2083" t="s">
        <v>97</v>
      </c>
      <c r="B2083" t="s">
        <v>108</v>
      </c>
      <c r="C2083" t="s">
        <v>95</v>
      </c>
      <c r="D2083" t="s">
        <v>93</v>
      </c>
      <c r="E2083" t="s">
        <v>44</v>
      </c>
      <c r="F2083" s="6">
        <v>0.67708333333333337</v>
      </c>
      <c r="G2083">
        <v>0</v>
      </c>
      <c r="H2083" s="6">
        <f>FLOOR(tblPivotData[[#This Row],[Time]],Summary!$B$6/1440)</f>
        <v>0.67708333333333326</v>
      </c>
      <c r="I2083" s="49">
        <f>INDEX(PeakCalc!$L$10:$L$303,MATCH(tblPivotData[[#This Row],[Time]],PeakCalc!$G$10:$G$303,0))</f>
        <v>0</v>
      </c>
    </row>
    <row r="2084" spans="1:9" x14ac:dyDescent="0.25">
      <c r="A2084" t="s">
        <v>97</v>
      </c>
      <c r="B2084" t="s">
        <v>108</v>
      </c>
      <c r="C2084" t="s">
        <v>95</v>
      </c>
      <c r="D2084" t="s">
        <v>93</v>
      </c>
      <c r="E2084" t="s">
        <v>44</v>
      </c>
      <c r="F2084" s="6">
        <v>0.6875</v>
      </c>
      <c r="G2084">
        <v>0</v>
      </c>
      <c r="H2084" s="6">
        <f>FLOOR(tblPivotData[[#This Row],[Time]],Summary!$B$6/1440)</f>
        <v>0.6875</v>
      </c>
      <c r="I2084" s="49">
        <f>INDEX(PeakCalc!$L$10:$L$303,MATCH(tblPivotData[[#This Row],[Time]],PeakCalc!$G$10:$G$303,0))</f>
        <v>1</v>
      </c>
    </row>
    <row r="2085" spans="1:9" x14ac:dyDescent="0.25">
      <c r="A2085" t="s">
        <v>97</v>
      </c>
      <c r="B2085" t="s">
        <v>108</v>
      </c>
      <c r="C2085" t="s">
        <v>95</v>
      </c>
      <c r="D2085" t="s">
        <v>93</v>
      </c>
      <c r="E2085" t="s">
        <v>44</v>
      </c>
      <c r="F2085" s="6">
        <v>0.69791666666666663</v>
      </c>
      <c r="G2085">
        <v>0</v>
      </c>
      <c r="H2085" s="6">
        <f>FLOOR(tblPivotData[[#This Row],[Time]],Summary!$B$6/1440)</f>
        <v>0.69791666666666663</v>
      </c>
      <c r="I2085" s="49">
        <f>INDEX(PeakCalc!$L$10:$L$303,MATCH(tblPivotData[[#This Row],[Time]],PeakCalc!$G$10:$G$303,0))</f>
        <v>1</v>
      </c>
    </row>
    <row r="2086" spans="1:9" x14ac:dyDescent="0.25">
      <c r="A2086" t="s">
        <v>97</v>
      </c>
      <c r="B2086" t="s">
        <v>108</v>
      </c>
      <c r="C2086" t="s">
        <v>95</v>
      </c>
      <c r="D2086" t="s">
        <v>93</v>
      </c>
      <c r="E2086" t="s">
        <v>44</v>
      </c>
      <c r="F2086" s="6">
        <v>0.70833333333333337</v>
      </c>
      <c r="G2086">
        <v>0</v>
      </c>
      <c r="H2086" s="6">
        <f>FLOOR(tblPivotData[[#This Row],[Time]],Summary!$B$6/1440)</f>
        <v>0.70833333333333326</v>
      </c>
      <c r="I2086" s="49">
        <f>INDEX(PeakCalc!$L$10:$L$303,MATCH(tblPivotData[[#This Row],[Time]],PeakCalc!$G$10:$G$303,0))</f>
        <v>1</v>
      </c>
    </row>
    <row r="2087" spans="1:9" x14ac:dyDescent="0.25">
      <c r="A2087" t="s">
        <v>97</v>
      </c>
      <c r="B2087" t="s">
        <v>108</v>
      </c>
      <c r="C2087" t="s">
        <v>95</v>
      </c>
      <c r="D2087" t="s">
        <v>93</v>
      </c>
      <c r="E2087" t="s">
        <v>44</v>
      </c>
      <c r="F2087" s="6">
        <v>0.71875</v>
      </c>
      <c r="G2087">
        <v>2</v>
      </c>
      <c r="H2087" s="6">
        <f>FLOOR(tblPivotData[[#This Row],[Time]],Summary!$B$6/1440)</f>
        <v>0.71875</v>
      </c>
      <c r="I2087" s="49">
        <f>INDEX(PeakCalc!$L$10:$L$303,MATCH(tblPivotData[[#This Row],[Time]],PeakCalc!$G$10:$G$303,0))</f>
        <v>1</v>
      </c>
    </row>
    <row r="2088" spans="1:9" x14ac:dyDescent="0.25">
      <c r="A2088" t="s">
        <v>97</v>
      </c>
      <c r="B2088" t="s">
        <v>108</v>
      </c>
      <c r="C2088" t="s">
        <v>95</v>
      </c>
      <c r="D2088" t="s">
        <v>93</v>
      </c>
      <c r="E2088" t="s">
        <v>44</v>
      </c>
      <c r="F2088" s="6">
        <v>0.72916666666666663</v>
      </c>
      <c r="G2088">
        <v>1</v>
      </c>
      <c r="H2088" s="6">
        <f>FLOOR(tblPivotData[[#This Row],[Time]],Summary!$B$6/1440)</f>
        <v>0.72916666666666663</v>
      </c>
      <c r="I2088" s="49">
        <f>INDEX(PeakCalc!$L$10:$L$303,MATCH(tblPivotData[[#This Row],[Time]],PeakCalc!$G$10:$G$303,0))</f>
        <v>0</v>
      </c>
    </row>
    <row r="2089" spans="1:9" x14ac:dyDescent="0.25">
      <c r="A2089" t="s">
        <v>97</v>
      </c>
      <c r="B2089" t="s">
        <v>108</v>
      </c>
      <c r="C2089" t="s">
        <v>95</v>
      </c>
      <c r="D2089" t="s">
        <v>93</v>
      </c>
      <c r="E2089" t="s">
        <v>44</v>
      </c>
      <c r="F2089" s="6">
        <v>0.73958333333333337</v>
      </c>
      <c r="G2089">
        <v>2</v>
      </c>
      <c r="H2089" s="6">
        <f>FLOOR(tblPivotData[[#This Row],[Time]],Summary!$B$6/1440)</f>
        <v>0.73958333333333326</v>
      </c>
      <c r="I2089" s="49">
        <f>INDEX(PeakCalc!$L$10:$L$303,MATCH(tblPivotData[[#This Row],[Time]],PeakCalc!$G$10:$G$303,0))</f>
        <v>0</v>
      </c>
    </row>
    <row r="2090" spans="1:9" x14ac:dyDescent="0.25">
      <c r="A2090" t="s">
        <v>97</v>
      </c>
      <c r="B2090" t="s">
        <v>108</v>
      </c>
      <c r="C2090" t="s">
        <v>95</v>
      </c>
      <c r="D2090" t="s">
        <v>93</v>
      </c>
      <c r="E2090" t="s">
        <v>44</v>
      </c>
      <c r="F2090" s="6">
        <v>0.75</v>
      </c>
      <c r="G2090">
        <v>0</v>
      </c>
      <c r="H2090" s="6">
        <f>FLOOR(tblPivotData[[#This Row],[Time]],Summary!$B$6/1440)</f>
        <v>0.75</v>
      </c>
      <c r="I2090" s="49">
        <f>INDEX(PeakCalc!$L$10:$L$303,MATCH(tblPivotData[[#This Row],[Time]],PeakCalc!$G$10:$G$303,0))</f>
        <v>0</v>
      </c>
    </row>
    <row r="2091" spans="1:9" x14ac:dyDescent="0.25">
      <c r="A2091" t="s">
        <v>97</v>
      </c>
      <c r="B2091" t="s">
        <v>108</v>
      </c>
      <c r="C2091" t="s">
        <v>95</v>
      </c>
      <c r="D2091" t="s">
        <v>93</v>
      </c>
      <c r="E2091" t="s">
        <v>44</v>
      </c>
      <c r="F2091" s="6">
        <v>0.76041666666666663</v>
      </c>
      <c r="G2091">
        <v>1</v>
      </c>
      <c r="H2091" s="6">
        <f>FLOOR(tblPivotData[[#This Row],[Time]],Summary!$B$6/1440)</f>
        <v>0.76041666666666663</v>
      </c>
      <c r="I2091" s="49">
        <f>INDEX(PeakCalc!$L$10:$L$303,MATCH(tblPivotData[[#This Row],[Time]],PeakCalc!$G$10:$G$303,0))</f>
        <v>0</v>
      </c>
    </row>
    <row r="2092" spans="1:9" x14ac:dyDescent="0.25">
      <c r="A2092" t="s">
        <v>97</v>
      </c>
      <c r="B2092" t="s">
        <v>109</v>
      </c>
      <c r="C2092" t="s">
        <v>96</v>
      </c>
      <c r="D2092" t="s">
        <v>89</v>
      </c>
      <c r="E2092" t="s">
        <v>43</v>
      </c>
      <c r="F2092" s="6">
        <v>0.27083333333333331</v>
      </c>
      <c r="G2092">
        <v>7</v>
      </c>
      <c r="H2092" s="6">
        <f>FLOOR(tblPivotData[[#This Row],[Time]],Summary!$B$6/1440)</f>
        <v>0.27083333333333331</v>
      </c>
      <c r="I2092" s="49">
        <f>INDEX(PeakCalc!$L$10:$L$303,MATCH(tblPivotData[[#This Row],[Time]],PeakCalc!$G$10:$G$303,0))</f>
        <v>0</v>
      </c>
    </row>
    <row r="2093" spans="1:9" x14ac:dyDescent="0.25">
      <c r="A2093" t="s">
        <v>97</v>
      </c>
      <c r="B2093" t="s">
        <v>109</v>
      </c>
      <c r="C2093" t="s">
        <v>96</v>
      </c>
      <c r="D2093" t="s">
        <v>89</v>
      </c>
      <c r="E2093" t="s">
        <v>43</v>
      </c>
      <c r="F2093" s="6">
        <v>0.28125</v>
      </c>
      <c r="G2093">
        <v>4</v>
      </c>
      <c r="H2093" s="6">
        <f>FLOOR(tblPivotData[[#This Row],[Time]],Summary!$B$6/1440)</f>
        <v>0.28125</v>
      </c>
      <c r="I2093" s="49">
        <f>INDEX(PeakCalc!$L$10:$L$303,MATCH(tblPivotData[[#This Row],[Time]],PeakCalc!$G$10:$G$303,0))</f>
        <v>0</v>
      </c>
    </row>
    <row r="2094" spans="1:9" x14ac:dyDescent="0.25">
      <c r="A2094" t="s">
        <v>97</v>
      </c>
      <c r="B2094" t="s">
        <v>109</v>
      </c>
      <c r="C2094" t="s">
        <v>96</v>
      </c>
      <c r="D2094" t="s">
        <v>89</v>
      </c>
      <c r="E2094" t="s">
        <v>43</v>
      </c>
      <c r="F2094" s="6">
        <v>0.29166666666666669</v>
      </c>
      <c r="G2094">
        <v>10</v>
      </c>
      <c r="H2094" s="6">
        <f>FLOOR(tblPivotData[[#This Row],[Time]],Summary!$B$6/1440)</f>
        <v>0.29166666666666663</v>
      </c>
      <c r="I2094" s="49">
        <f>INDEX(PeakCalc!$L$10:$L$303,MATCH(tblPivotData[[#This Row],[Time]],PeakCalc!$G$10:$G$303,0))</f>
        <v>0</v>
      </c>
    </row>
    <row r="2095" spans="1:9" x14ac:dyDescent="0.25">
      <c r="A2095" t="s">
        <v>97</v>
      </c>
      <c r="B2095" t="s">
        <v>109</v>
      </c>
      <c r="C2095" t="s">
        <v>96</v>
      </c>
      <c r="D2095" t="s">
        <v>89</v>
      </c>
      <c r="E2095" t="s">
        <v>43</v>
      </c>
      <c r="F2095" s="6">
        <v>0.30208333333333331</v>
      </c>
      <c r="G2095">
        <v>12</v>
      </c>
      <c r="H2095" s="6">
        <f>FLOOR(tblPivotData[[#This Row],[Time]],Summary!$B$6/1440)</f>
        <v>0.30208333333333331</v>
      </c>
      <c r="I2095" s="49">
        <f>INDEX(PeakCalc!$L$10:$L$303,MATCH(tblPivotData[[#This Row],[Time]],PeakCalc!$G$10:$G$303,0))</f>
        <v>0</v>
      </c>
    </row>
    <row r="2096" spans="1:9" x14ac:dyDescent="0.25">
      <c r="A2096" t="s">
        <v>97</v>
      </c>
      <c r="B2096" t="s">
        <v>109</v>
      </c>
      <c r="C2096" t="s">
        <v>96</v>
      </c>
      <c r="D2096" t="s">
        <v>89</v>
      </c>
      <c r="E2096" t="s">
        <v>43</v>
      </c>
      <c r="F2096" s="6">
        <v>0.3125</v>
      </c>
      <c r="G2096">
        <v>10</v>
      </c>
      <c r="H2096" s="6">
        <f>FLOOR(tblPivotData[[#This Row],[Time]],Summary!$B$6/1440)</f>
        <v>0.3125</v>
      </c>
      <c r="I2096" s="49">
        <f>INDEX(PeakCalc!$L$10:$L$303,MATCH(tblPivotData[[#This Row],[Time]],PeakCalc!$G$10:$G$303,0))</f>
        <v>0</v>
      </c>
    </row>
    <row r="2097" spans="1:9" x14ac:dyDescent="0.25">
      <c r="A2097" t="s">
        <v>97</v>
      </c>
      <c r="B2097" t="s">
        <v>109</v>
      </c>
      <c r="C2097" t="s">
        <v>96</v>
      </c>
      <c r="D2097" t="s">
        <v>89</v>
      </c>
      <c r="E2097" t="s">
        <v>43</v>
      </c>
      <c r="F2097" s="6">
        <v>0.32291666666666669</v>
      </c>
      <c r="G2097">
        <v>7</v>
      </c>
      <c r="H2097" s="6">
        <f>FLOOR(tblPivotData[[#This Row],[Time]],Summary!$B$6/1440)</f>
        <v>0.32291666666666663</v>
      </c>
      <c r="I2097" s="49">
        <f>INDEX(PeakCalc!$L$10:$L$303,MATCH(tblPivotData[[#This Row],[Time]],PeakCalc!$G$10:$G$303,0))</f>
        <v>1</v>
      </c>
    </row>
    <row r="2098" spans="1:9" x14ac:dyDescent="0.25">
      <c r="A2098" t="s">
        <v>97</v>
      </c>
      <c r="B2098" t="s">
        <v>109</v>
      </c>
      <c r="C2098" t="s">
        <v>96</v>
      </c>
      <c r="D2098" t="s">
        <v>89</v>
      </c>
      <c r="E2098" t="s">
        <v>43</v>
      </c>
      <c r="F2098" s="6">
        <v>0.33333333333333331</v>
      </c>
      <c r="G2098">
        <v>18</v>
      </c>
      <c r="H2098" s="6">
        <f>FLOOR(tblPivotData[[#This Row],[Time]],Summary!$B$6/1440)</f>
        <v>0.33333333333333331</v>
      </c>
      <c r="I2098" s="49">
        <f>INDEX(PeakCalc!$L$10:$L$303,MATCH(tblPivotData[[#This Row],[Time]],PeakCalc!$G$10:$G$303,0))</f>
        <v>1</v>
      </c>
    </row>
    <row r="2099" spans="1:9" x14ac:dyDescent="0.25">
      <c r="A2099" t="s">
        <v>97</v>
      </c>
      <c r="B2099" t="s">
        <v>109</v>
      </c>
      <c r="C2099" t="s">
        <v>96</v>
      </c>
      <c r="D2099" t="s">
        <v>89</v>
      </c>
      <c r="E2099" t="s">
        <v>43</v>
      </c>
      <c r="F2099" s="6">
        <v>0.34375</v>
      </c>
      <c r="G2099">
        <v>16</v>
      </c>
      <c r="H2099" s="6">
        <f>FLOOR(tblPivotData[[#This Row],[Time]],Summary!$B$6/1440)</f>
        <v>0.34375</v>
      </c>
      <c r="I2099" s="49">
        <f>INDEX(PeakCalc!$L$10:$L$303,MATCH(tblPivotData[[#This Row],[Time]],PeakCalc!$G$10:$G$303,0))</f>
        <v>1</v>
      </c>
    </row>
    <row r="2100" spans="1:9" x14ac:dyDescent="0.25">
      <c r="A2100" t="s">
        <v>97</v>
      </c>
      <c r="B2100" t="s">
        <v>109</v>
      </c>
      <c r="C2100" t="s">
        <v>96</v>
      </c>
      <c r="D2100" t="s">
        <v>89</v>
      </c>
      <c r="E2100" t="s">
        <v>43</v>
      </c>
      <c r="F2100" s="6">
        <v>0.35416666666666669</v>
      </c>
      <c r="G2100">
        <v>6</v>
      </c>
      <c r="H2100" s="6">
        <f>FLOOR(tblPivotData[[#This Row],[Time]],Summary!$B$6/1440)</f>
        <v>0.35416666666666663</v>
      </c>
      <c r="I2100" s="49">
        <f>INDEX(PeakCalc!$L$10:$L$303,MATCH(tblPivotData[[#This Row],[Time]],PeakCalc!$G$10:$G$303,0))</f>
        <v>1</v>
      </c>
    </row>
    <row r="2101" spans="1:9" x14ac:dyDescent="0.25">
      <c r="A2101" t="s">
        <v>97</v>
      </c>
      <c r="B2101" t="s">
        <v>109</v>
      </c>
      <c r="C2101" t="s">
        <v>96</v>
      </c>
      <c r="D2101" t="s">
        <v>89</v>
      </c>
      <c r="E2101" t="s">
        <v>43</v>
      </c>
      <c r="F2101" s="6">
        <v>0.36458333333333331</v>
      </c>
      <c r="G2101">
        <v>5</v>
      </c>
      <c r="H2101" s="6">
        <f>FLOOR(tblPivotData[[#This Row],[Time]],Summary!$B$6/1440)</f>
        <v>0.36458333333333331</v>
      </c>
      <c r="I2101" s="49">
        <f>INDEX(PeakCalc!$L$10:$L$303,MATCH(tblPivotData[[#This Row],[Time]],PeakCalc!$G$10:$G$303,0))</f>
        <v>0</v>
      </c>
    </row>
    <row r="2102" spans="1:9" x14ac:dyDescent="0.25">
      <c r="A2102" t="s">
        <v>97</v>
      </c>
      <c r="B2102" t="s">
        <v>109</v>
      </c>
      <c r="C2102" t="s">
        <v>96</v>
      </c>
      <c r="D2102" t="s">
        <v>89</v>
      </c>
      <c r="E2102" t="s">
        <v>43</v>
      </c>
      <c r="F2102" s="6">
        <v>0.375</v>
      </c>
      <c r="G2102">
        <v>11</v>
      </c>
      <c r="H2102" s="6">
        <f>FLOOR(tblPivotData[[#This Row],[Time]],Summary!$B$6/1440)</f>
        <v>0.375</v>
      </c>
      <c r="I2102" s="49">
        <f>INDEX(PeakCalc!$L$10:$L$303,MATCH(tblPivotData[[#This Row],[Time]],PeakCalc!$G$10:$G$303,0))</f>
        <v>0</v>
      </c>
    </row>
    <row r="2103" spans="1:9" x14ac:dyDescent="0.25">
      <c r="A2103" t="s">
        <v>97</v>
      </c>
      <c r="B2103" t="s">
        <v>109</v>
      </c>
      <c r="C2103" t="s">
        <v>96</v>
      </c>
      <c r="D2103" t="s">
        <v>89</v>
      </c>
      <c r="E2103" t="s">
        <v>43</v>
      </c>
      <c r="F2103" s="6">
        <v>0.38541666666666669</v>
      </c>
      <c r="G2103">
        <v>6</v>
      </c>
      <c r="H2103" s="6">
        <f>FLOOR(tblPivotData[[#This Row],[Time]],Summary!$B$6/1440)</f>
        <v>0.38541666666666663</v>
      </c>
      <c r="I2103" s="49">
        <f>INDEX(PeakCalc!$L$10:$L$303,MATCH(tblPivotData[[#This Row],[Time]],PeakCalc!$G$10:$G$303,0))</f>
        <v>0</v>
      </c>
    </row>
    <row r="2104" spans="1:9" x14ac:dyDescent="0.25">
      <c r="A2104" t="s">
        <v>97</v>
      </c>
      <c r="B2104" t="s">
        <v>109</v>
      </c>
      <c r="C2104" t="s">
        <v>96</v>
      </c>
      <c r="D2104" t="s">
        <v>89</v>
      </c>
      <c r="E2104" t="s">
        <v>110</v>
      </c>
      <c r="F2104" s="6">
        <v>0.45833333333333331</v>
      </c>
      <c r="G2104">
        <v>18</v>
      </c>
      <c r="H2104" s="6">
        <f>FLOOR(tblPivotData[[#This Row],[Time]],Summary!$B$6/1440)</f>
        <v>0.45833333333333331</v>
      </c>
      <c r="I2104" s="49">
        <f>INDEX(PeakCalc!$L$10:$L$303,MATCH(tblPivotData[[#This Row],[Time]],PeakCalc!$G$10:$G$303,0))</f>
        <v>0</v>
      </c>
    </row>
    <row r="2105" spans="1:9" x14ac:dyDescent="0.25">
      <c r="A2105" t="s">
        <v>97</v>
      </c>
      <c r="B2105" t="s">
        <v>109</v>
      </c>
      <c r="C2105" t="s">
        <v>96</v>
      </c>
      <c r="D2105" t="s">
        <v>89</v>
      </c>
      <c r="E2105" t="s">
        <v>110</v>
      </c>
      <c r="F2105" s="6">
        <v>0.46875</v>
      </c>
      <c r="G2105">
        <v>12</v>
      </c>
      <c r="H2105" s="6">
        <f>FLOOR(tblPivotData[[#This Row],[Time]],Summary!$B$6/1440)</f>
        <v>0.46875</v>
      </c>
      <c r="I2105" s="49">
        <f>INDEX(PeakCalc!$L$10:$L$303,MATCH(tblPivotData[[#This Row],[Time]],PeakCalc!$G$10:$G$303,0))</f>
        <v>0</v>
      </c>
    </row>
    <row r="2106" spans="1:9" x14ac:dyDescent="0.25">
      <c r="A2106" t="s">
        <v>97</v>
      </c>
      <c r="B2106" t="s">
        <v>109</v>
      </c>
      <c r="C2106" t="s">
        <v>96</v>
      </c>
      <c r="D2106" t="s">
        <v>89</v>
      </c>
      <c r="E2106" t="s">
        <v>110</v>
      </c>
      <c r="F2106" s="6">
        <v>0.47916666666666669</v>
      </c>
      <c r="G2106">
        <v>15</v>
      </c>
      <c r="H2106" s="6">
        <f>FLOOR(tblPivotData[[#This Row],[Time]],Summary!$B$6/1440)</f>
        <v>0.47916666666666663</v>
      </c>
      <c r="I2106" s="49">
        <f>INDEX(PeakCalc!$L$10:$L$303,MATCH(tblPivotData[[#This Row],[Time]],PeakCalc!$G$10:$G$303,0))</f>
        <v>0</v>
      </c>
    </row>
    <row r="2107" spans="1:9" x14ac:dyDescent="0.25">
      <c r="A2107" t="s">
        <v>97</v>
      </c>
      <c r="B2107" t="s">
        <v>109</v>
      </c>
      <c r="C2107" t="s">
        <v>96</v>
      </c>
      <c r="D2107" t="s">
        <v>89</v>
      </c>
      <c r="E2107" t="s">
        <v>110</v>
      </c>
      <c r="F2107" s="6">
        <v>0.48958333333333331</v>
      </c>
      <c r="G2107">
        <v>13</v>
      </c>
      <c r="H2107" s="6">
        <f>FLOOR(tblPivotData[[#This Row],[Time]],Summary!$B$6/1440)</f>
        <v>0.48958333333333331</v>
      </c>
      <c r="I2107" s="49">
        <f>INDEX(PeakCalc!$L$10:$L$303,MATCH(tblPivotData[[#This Row],[Time]],PeakCalc!$G$10:$G$303,0))</f>
        <v>0</v>
      </c>
    </row>
    <row r="2108" spans="1:9" x14ac:dyDescent="0.25">
      <c r="A2108" t="s">
        <v>97</v>
      </c>
      <c r="B2108" t="s">
        <v>109</v>
      </c>
      <c r="C2108" t="s">
        <v>96</v>
      </c>
      <c r="D2108" t="s">
        <v>89</v>
      </c>
      <c r="E2108" t="s">
        <v>110</v>
      </c>
      <c r="F2108" s="6">
        <v>0.5</v>
      </c>
      <c r="G2108">
        <v>21</v>
      </c>
      <c r="H2108" s="6">
        <f>FLOOR(tblPivotData[[#This Row],[Time]],Summary!$B$6/1440)</f>
        <v>0.5</v>
      </c>
      <c r="I2108" s="49">
        <f>INDEX(PeakCalc!$L$10:$L$303,MATCH(tblPivotData[[#This Row],[Time]],PeakCalc!$G$10:$G$303,0))</f>
        <v>0</v>
      </c>
    </row>
    <row r="2109" spans="1:9" x14ac:dyDescent="0.25">
      <c r="A2109" t="s">
        <v>97</v>
      </c>
      <c r="B2109" t="s">
        <v>109</v>
      </c>
      <c r="C2109" t="s">
        <v>96</v>
      </c>
      <c r="D2109" t="s">
        <v>89</v>
      </c>
      <c r="E2109" t="s">
        <v>110</v>
      </c>
      <c r="F2109" s="6">
        <v>0.51041666666666663</v>
      </c>
      <c r="G2109">
        <v>21</v>
      </c>
      <c r="H2109" s="6">
        <f>FLOOR(tblPivotData[[#This Row],[Time]],Summary!$B$6/1440)</f>
        <v>0.51041666666666663</v>
      </c>
      <c r="I2109" s="49">
        <f>INDEX(PeakCalc!$L$10:$L$303,MATCH(tblPivotData[[#This Row],[Time]],PeakCalc!$G$10:$G$303,0))</f>
        <v>0</v>
      </c>
    </row>
    <row r="2110" spans="1:9" x14ac:dyDescent="0.25">
      <c r="A2110" t="s">
        <v>97</v>
      </c>
      <c r="B2110" t="s">
        <v>109</v>
      </c>
      <c r="C2110" t="s">
        <v>96</v>
      </c>
      <c r="D2110" t="s">
        <v>89</v>
      </c>
      <c r="E2110" t="s">
        <v>110</v>
      </c>
      <c r="F2110" s="6">
        <v>0.52083333333333337</v>
      </c>
      <c r="G2110">
        <v>11</v>
      </c>
      <c r="H2110" s="6">
        <f>FLOOR(tblPivotData[[#This Row],[Time]],Summary!$B$6/1440)</f>
        <v>0.52083333333333326</v>
      </c>
      <c r="I2110" s="49">
        <f>INDEX(PeakCalc!$L$10:$L$303,MATCH(tblPivotData[[#This Row],[Time]],PeakCalc!$G$10:$G$303,0))</f>
        <v>1</v>
      </c>
    </row>
    <row r="2111" spans="1:9" x14ac:dyDescent="0.25">
      <c r="A2111" t="s">
        <v>97</v>
      </c>
      <c r="B2111" t="s">
        <v>109</v>
      </c>
      <c r="C2111" t="s">
        <v>96</v>
      </c>
      <c r="D2111" t="s">
        <v>89</v>
      </c>
      <c r="E2111" t="s">
        <v>110</v>
      </c>
      <c r="F2111" s="6">
        <v>0.53125</v>
      </c>
      <c r="G2111">
        <v>16</v>
      </c>
      <c r="H2111" s="6">
        <f>FLOOR(tblPivotData[[#This Row],[Time]],Summary!$B$6/1440)</f>
        <v>0.53125</v>
      </c>
      <c r="I2111" s="49">
        <f>INDEX(PeakCalc!$L$10:$L$303,MATCH(tblPivotData[[#This Row],[Time]],PeakCalc!$G$10:$G$303,0))</f>
        <v>1</v>
      </c>
    </row>
    <row r="2112" spans="1:9" x14ac:dyDescent="0.25">
      <c r="A2112" t="s">
        <v>97</v>
      </c>
      <c r="B2112" t="s">
        <v>109</v>
      </c>
      <c r="C2112" t="s">
        <v>96</v>
      </c>
      <c r="D2112" t="s">
        <v>89</v>
      </c>
      <c r="E2112" t="s">
        <v>110</v>
      </c>
      <c r="F2112" s="6">
        <v>0.54166666666666663</v>
      </c>
      <c r="G2112">
        <v>14</v>
      </c>
      <c r="H2112" s="6">
        <f>FLOOR(tblPivotData[[#This Row],[Time]],Summary!$B$6/1440)</f>
        <v>0.54166666666666663</v>
      </c>
      <c r="I2112" s="49">
        <f>INDEX(PeakCalc!$L$10:$L$303,MATCH(tblPivotData[[#This Row],[Time]],PeakCalc!$G$10:$G$303,0))</f>
        <v>1</v>
      </c>
    </row>
    <row r="2113" spans="1:9" x14ac:dyDescent="0.25">
      <c r="A2113" t="s">
        <v>97</v>
      </c>
      <c r="B2113" t="s">
        <v>109</v>
      </c>
      <c r="C2113" t="s">
        <v>96</v>
      </c>
      <c r="D2113" t="s">
        <v>89</v>
      </c>
      <c r="E2113" t="s">
        <v>110</v>
      </c>
      <c r="F2113" s="6">
        <v>0.55208333333333337</v>
      </c>
      <c r="G2113">
        <v>30</v>
      </c>
      <c r="H2113" s="6">
        <f>FLOOR(tblPivotData[[#This Row],[Time]],Summary!$B$6/1440)</f>
        <v>0.55208333333333326</v>
      </c>
      <c r="I2113" s="49">
        <f>INDEX(PeakCalc!$L$10:$L$303,MATCH(tblPivotData[[#This Row],[Time]],PeakCalc!$G$10:$G$303,0))</f>
        <v>1</v>
      </c>
    </row>
    <row r="2114" spans="1:9" x14ac:dyDescent="0.25">
      <c r="A2114" t="s">
        <v>97</v>
      </c>
      <c r="B2114" t="s">
        <v>109</v>
      </c>
      <c r="C2114" t="s">
        <v>96</v>
      </c>
      <c r="D2114" t="s">
        <v>89</v>
      </c>
      <c r="E2114" t="s">
        <v>110</v>
      </c>
      <c r="F2114" s="6">
        <v>0.5625</v>
      </c>
      <c r="G2114">
        <v>21</v>
      </c>
      <c r="H2114" s="6">
        <f>FLOOR(tblPivotData[[#This Row],[Time]],Summary!$B$6/1440)</f>
        <v>0.5625</v>
      </c>
      <c r="I2114" s="49">
        <f>INDEX(PeakCalc!$L$10:$L$303,MATCH(tblPivotData[[#This Row],[Time]],PeakCalc!$G$10:$G$303,0))</f>
        <v>0</v>
      </c>
    </row>
    <row r="2115" spans="1:9" x14ac:dyDescent="0.25">
      <c r="A2115" t="s">
        <v>97</v>
      </c>
      <c r="B2115" t="s">
        <v>109</v>
      </c>
      <c r="C2115" t="s">
        <v>96</v>
      </c>
      <c r="D2115" t="s">
        <v>89</v>
      </c>
      <c r="E2115" t="s">
        <v>110</v>
      </c>
      <c r="F2115" s="6">
        <v>0.57291666666666663</v>
      </c>
      <c r="G2115">
        <v>20</v>
      </c>
      <c r="H2115" s="6">
        <f>FLOOR(tblPivotData[[#This Row],[Time]],Summary!$B$6/1440)</f>
        <v>0.57291666666666663</v>
      </c>
      <c r="I2115" s="49">
        <f>INDEX(PeakCalc!$L$10:$L$303,MATCH(tblPivotData[[#This Row],[Time]],PeakCalc!$G$10:$G$303,0))</f>
        <v>0</v>
      </c>
    </row>
    <row r="2116" spans="1:9" x14ac:dyDescent="0.25">
      <c r="A2116" t="s">
        <v>97</v>
      </c>
      <c r="B2116" t="s">
        <v>109</v>
      </c>
      <c r="C2116" t="s">
        <v>96</v>
      </c>
      <c r="D2116" t="s">
        <v>89</v>
      </c>
      <c r="E2116" t="s">
        <v>44</v>
      </c>
      <c r="F2116" s="6">
        <v>0.625</v>
      </c>
      <c r="G2116">
        <v>8</v>
      </c>
      <c r="H2116" s="6">
        <f>FLOOR(tblPivotData[[#This Row],[Time]],Summary!$B$6/1440)</f>
        <v>0.625</v>
      </c>
      <c r="I2116" s="49">
        <f>INDEX(PeakCalc!$L$10:$L$303,MATCH(tblPivotData[[#This Row],[Time]],PeakCalc!$G$10:$G$303,0))</f>
        <v>0</v>
      </c>
    </row>
    <row r="2117" spans="1:9" x14ac:dyDescent="0.25">
      <c r="A2117" t="s">
        <v>97</v>
      </c>
      <c r="B2117" t="s">
        <v>109</v>
      </c>
      <c r="C2117" t="s">
        <v>96</v>
      </c>
      <c r="D2117" t="s">
        <v>89</v>
      </c>
      <c r="E2117" t="s">
        <v>44</v>
      </c>
      <c r="F2117" s="6">
        <v>0.63541666666666663</v>
      </c>
      <c r="G2117">
        <v>17</v>
      </c>
      <c r="H2117" s="6">
        <f>FLOOR(tblPivotData[[#This Row],[Time]],Summary!$B$6/1440)</f>
        <v>0.63541666666666663</v>
      </c>
      <c r="I2117" s="49">
        <f>INDEX(PeakCalc!$L$10:$L$303,MATCH(tblPivotData[[#This Row],[Time]],PeakCalc!$G$10:$G$303,0))</f>
        <v>0</v>
      </c>
    </row>
    <row r="2118" spans="1:9" x14ac:dyDescent="0.25">
      <c r="A2118" t="s">
        <v>97</v>
      </c>
      <c r="B2118" t="s">
        <v>109</v>
      </c>
      <c r="C2118" t="s">
        <v>96</v>
      </c>
      <c r="D2118" t="s">
        <v>89</v>
      </c>
      <c r="E2118" t="s">
        <v>44</v>
      </c>
      <c r="F2118" s="6">
        <v>0.64583333333333337</v>
      </c>
      <c r="G2118">
        <v>13</v>
      </c>
      <c r="H2118" s="6">
        <f>FLOOR(tblPivotData[[#This Row],[Time]],Summary!$B$6/1440)</f>
        <v>0.64583333333333326</v>
      </c>
      <c r="I2118" s="49">
        <f>INDEX(PeakCalc!$L$10:$L$303,MATCH(tblPivotData[[#This Row],[Time]],PeakCalc!$G$10:$G$303,0))</f>
        <v>0</v>
      </c>
    </row>
    <row r="2119" spans="1:9" x14ac:dyDescent="0.25">
      <c r="A2119" t="s">
        <v>97</v>
      </c>
      <c r="B2119" t="s">
        <v>109</v>
      </c>
      <c r="C2119" t="s">
        <v>96</v>
      </c>
      <c r="D2119" t="s">
        <v>89</v>
      </c>
      <c r="E2119" t="s">
        <v>44</v>
      </c>
      <c r="F2119" s="6">
        <v>0.65625</v>
      </c>
      <c r="G2119">
        <v>14</v>
      </c>
      <c r="H2119" s="6">
        <f>FLOOR(tblPivotData[[#This Row],[Time]],Summary!$B$6/1440)</f>
        <v>0.65625</v>
      </c>
      <c r="I2119" s="49">
        <f>INDEX(PeakCalc!$L$10:$L$303,MATCH(tblPivotData[[#This Row],[Time]],PeakCalc!$G$10:$G$303,0))</f>
        <v>0</v>
      </c>
    </row>
    <row r="2120" spans="1:9" x14ac:dyDescent="0.25">
      <c r="A2120" t="s">
        <v>97</v>
      </c>
      <c r="B2120" t="s">
        <v>109</v>
      </c>
      <c r="C2120" t="s">
        <v>96</v>
      </c>
      <c r="D2120" t="s">
        <v>89</v>
      </c>
      <c r="E2120" t="s">
        <v>44</v>
      </c>
      <c r="F2120" s="6">
        <v>0.66666666666666663</v>
      </c>
      <c r="G2120">
        <v>15</v>
      </c>
      <c r="H2120" s="6">
        <f>FLOOR(tblPivotData[[#This Row],[Time]],Summary!$B$6/1440)</f>
        <v>0.66666666666666663</v>
      </c>
      <c r="I2120" s="49">
        <f>INDEX(PeakCalc!$L$10:$L$303,MATCH(tblPivotData[[#This Row],[Time]],PeakCalc!$G$10:$G$303,0))</f>
        <v>0</v>
      </c>
    </row>
    <row r="2121" spans="1:9" x14ac:dyDescent="0.25">
      <c r="A2121" t="s">
        <v>97</v>
      </c>
      <c r="B2121" t="s">
        <v>109</v>
      </c>
      <c r="C2121" t="s">
        <v>96</v>
      </c>
      <c r="D2121" t="s">
        <v>89</v>
      </c>
      <c r="E2121" t="s">
        <v>44</v>
      </c>
      <c r="F2121" s="6">
        <v>0.67708333333333337</v>
      </c>
      <c r="G2121">
        <v>16</v>
      </c>
      <c r="H2121" s="6">
        <f>FLOOR(tblPivotData[[#This Row],[Time]],Summary!$B$6/1440)</f>
        <v>0.67708333333333326</v>
      </c>
      <c r="I2121" s="49">
        <f>INDEX(PeakCalc!$L$10:$L$303,MATCH(tblPivotData[[#This Row],[Time]],PeakCalc!$G$10:$G$303,0))</f>
        <v>0</v>
      </c>
    </row>
    <row r="2122" spans="1:9" x14ac:dyDescent="0.25">
      <c r="A2122" t="s">
        <v>97</v>
      </c>
      <c r="B2122" t="s">
        <v>109</v>
      </c>
      <c r="C2122" t="s">
        <v>96</v>
      </c>
      <c r="D2122" t="s">
        <v>89</v>
      </c>
      <c r="E2122" t="s">
        <v>44</v>
      </c>
      <c r="F2122" s="6">
        <v>0.6875</v>
      </c>
      <c r="G2122">
        <v>15</v>
      </c>
      <c r="H2122" s="6">
        <f>FLOOR(tblPivotData[[#This Row],[Time]],Summary!$B$6/1440)</f>
        <v>0.6875</v>
      </c>
      <c r="I2122" s="49">
        <f>INDEX(PeakCalc!$L$10:$L$303,MATCH(tblPivotData[[#This Row],[Time]],PeakCalc!$G$10:$G$303,0))</f>
        <v>1</v>
      </c>
    </row>
    <row r="2123" spans="1:9" x14ac:dyDescent="0.25">
      <c r="A2123" t="s">
        <v>97</v>
      </c>
      <c r="B2123" t="s">
        <v>109</v>
      </c>
      <c r="C2123" t="s">
        <v>96</v>
      </c>
      <c r="D2123" t="s">
        <v>89</v>
      </c>
      <c r="E2123" t="s">
        <v>44</v>
      </c>
      <c r="F2123" s="6">
        <v>0.69791666666666663</v>
      </c>
      <c r="G2123">
        <v>12</v>
      </c>
      <c r="H2123" s="6">
        <f>FLOOR(tblPivotData[[#This Row],[Time]],Summary!$B$6/1440)</f>
        <v>0.69791666666666663</v>
      </c>
      <c r="I2123" s="49">
        <f>INDEX(PeakCalc!$L$10:$L$303,MATCH(tblPivotData[[#This Row],[Time]],PeakCalc!$G$10:$G$303,0))</f>
        <v>1</v>
      </c>
    </row>
    <row r="2124" spans="1:9" x14ac:dyDescent="0.25">
      <c r="A2124" t="s">
        <v>97</v>
      </c>
      <c r="B2124" t="s">
        <v>109</v>
      </c>
      <c r="C2124" t="s">
        <v>96</v>
      </c>
      <c r="D2124" t="s">
        <v>89</v>
      </c>
      <c r="E2124" t="s">
        <v>44</v>
      </c>
      <c r="F2124" s="6">
        <v>0.70833333333333337</v>
      </c>
      <c r="G2124">
        <v>13</v>
      </c>
      <c r="H2124" s="6">
        <f>FLOOR(tblPivotData[[#This Row],[Time]],Summary!$B$6/1440)</f>
        <v>0.70833333333333326</v>
      </c>
      <c r="I2124" s="49">
        <f>INDEX(PeakCalc!$L$10:$L$303,MATCH(tblPivotData[[#This Row],[Time]],PeakCalc!$G$10:$G$303,0))</f>
        <v>1</v>
      </c>
    </row>
    <row r="2125" spans="1:9" x14ac:dyDescent="0.25">
      <c r="A2125" t="s">
        <v>97</v>
      </c>
      <c r="B2125" t="s">
        <v>109</v>
      </c>
      <c r="C2125" t="s">
        <v>96</v>
      </c>
      <c r="D2125" t="s">
        <v>89</v>
      </c>
      <c r="E2125" t="s">
        <v>44</v>
      </c>
      <c r="F2125" s="6">
        <v>0.71875</v>
      </c>
      <c r="G2125">
        <v>17</v>
      </c>
      <c r="H2125" s="6">
        <f>FLOOR(tblPivotData[[#This Row],[Time]],Summary!$B$6/1440)</f>
        <v>0.71875</v>
      </c>
      <c r="I2125" s="49">
        <f>INDEX(PeakCalc!$L$10:$L$303,MATCH(tblPivotData[[#This Row],[Time]],PeakCalc!$G$10:$G$303,0))</f>
        <v>1</v>
      </c>
    </row>
    <row r="2126" spans="1:9" x14ac:dyDescent="0.25">
      <c r="A2126" t="s">
        <v>97</v>
      </c>
      <c r="B2126" t="s">
        <v>109</v>
      </c>
      <c r="C2126" t="s">
        <v>96</v>
      </c>
      <c r="D2126" t="s">
        <v>89</v>
      </c>
      <c r="E2126" t="s">
        <v>44</v>
      </c>
      <c r="F2126" s="6">
        <v>0.72916666666666663</v>
      </c>
      <c r="G2126">
        <v>17</v>
      </c>
      <c r="H2126" s="6">
        <f>FLOOR(tblPivotData[[#This Row],[Time]],Summary!$B$6/1440)</f>
        <v>0.72916666666666663</v>
      </c>
      <c r="I2126" s="49">
        <f>INDEX(PeakCalc!$L$10:$L$303,MATCH(tblPivotData[[#This Row],[Time]],PeakCalc!$G$10:$G$303,0))</f>
        <v>0</v>
      </c>
    </row>
    <row r="2127" spans="1:9" x14ac:dyDescent="0.25">
      <c r="A2127" t="s">
        <v>97</v>
      </c>
      <c r="B2127" t="s">
        <v>109</v>
      </c>
      <c r="C2127" t="s">
        <v>96</v>
      </c>
      <c r="D2127" t="s">
        <v>89</v>
      </c>
      <c r="E2127" t="s">
        <v>44</v>
      </c>
      <c r="F2127" s="6">
        <v>0.73958333333333337</v>
      </c>
      <c r="G2127">
        <v>20</v>
      </c>
      <c r="H2127" s="6">
        <f>FLOOR(tblPivotData[[#This Row],[Time]],Summary!$B$6/1440)</f>
        <v>0.73958333333333326</v>
      </c>
      <c r="I2127" s="49">
        <f>INDEX(PeakCalc!$L$10:$L$303,MATCH(tblPivotData[[#This Row],[Time]],PeakCalc!$G$10:$G$303,0))</f>
        <v>0</v>
      </c>
    </row>
    <row r="2128" spans="1:9" x14ac:dyDescent="0.25">
      <c r="A2128" t="s">
        <v>97</v>
      </c>
      <c r="B2128" t="s">
        <v>109</v>
      </c>
      <c r="C2128" t="s">
        <v>96</v>
      </c>
      <c r="D2128" t="s">
        <v>89</v>
      </c>
      <c r="E2128" t="s">
        <v>44</v>
      </c>
      <c r="F2128" s="6">
        <v>0.75</v>
      </c>
      <c r="G2128">
        <v>20</v>
      </c>
      <c r="H2128" s="6">
        <f>FLOOR(tblPivotData[[#This Row],[Time]],Summary!$B$6/1440)</f>
        <v>0.75</v>
      </c>
      <c r="I2128" s="49">
        <f>INDEX(PeakCalc!$L$10:$L$303,MATCH(tblPivotData[[#This Row],[Time]],PeakCalc!$G$10:$G$303,0))</f>
        <v>0</v>
      </c>
    </row>
    <row r="2129" spans="1:9" x14ac:dyDescent="0.25">
      <c r="A2129" t="s">
        <v>97</v>
      </c>
      <c r="B2129" t="s">
        <v>109</v>
      </c>
      <c r="C2129" t="s">
        <v>96</v>
      </c>
      <c r="D2129" t="s">
        <v>89</v>
      </c>
      <c r="E2129" t="s">
        <v>44</v>
      </c>
      <c r="F2129" s="6">
        <v>0.76041666666666663</v>
      </c>
      <c r="G2129">
        <v>17</v>
      </c>
      <c r="H2129" s="6">
        <f>FLOOR(tblPivotData[[#This Row],[Time]],Summary!$B$6/1440)</f>
        <v>0.76041666666666663</v>
      </c>
      <c r="I2129" s="49">
        <f>INDEX(PeakCalc!$L$10:$L$303,MATCH(tblPivotData[[#This Row],[Time]],PeakCalc!$G$10:$G$303,0))</f>
        <v>0</v>
      </c>
    </row>
    <row r="2130" spans="1:9" x14ac:dyDescent="0.25">
      <c r="A2130" t="s">
        <v>97</v>
      </c>
      <c r="B2130" t="s">
        <v>109</v>
      </c>
      <c r="C2130" t="s">
        <v>96</v>
      </c>
      <c r="D2130" t="s">
        <v>90</v>
      </c>
      <c r="E2130" t="s">
        <v>43</v>
      </c>
      <c r="F2130" s="6">
        <v>0.27083333333333331</v>
      </c>
      <c r="G2130">
        <v>0</v>
      </c>
      <c r="H2130" s="6">
        <f>FLOOR(tblPivotData[[#This Row],[Time]],Summary!$B$6/1440)</f>
        <v>0.27083333333333331</v>
      </c>
      <c r="I2130" s="49">
        <f>INDEX(PeakCalc!$L$10:$L$303,MATCH(tblPivotData[[#This Row],[Time]],PeakCalc!$G$10:$G$303,0))</f>
        <v>0</v>
      </c>
    </row>
    <row r="2131" spans="1:9" x14ac:dyDescent="0.25">
      <c r="A2131" t="s">
        <v>97</v>
      </c>
      <c r="B2131" t="s">
        <v>109</v>
      </c>
      <c r="C2131" t="s">
        <v>96</v>
      </c>
      <c r="D2131" t="s">
        <v>90</v>
      </c>
      <c r="E2131" t="s">
        <v>43</v>
      </c>
      <c r="F2131" s="6">
        <v>0.28125</v>
      </c>
      <c r="G2131">
        <v>0</v>
      </c>
      <c r="H2131" s="6">
        <f>FLOOR(tblPivotData[[#This Row],[Time]],Summary!$B$6/1440)</f>
        <v>0.28125</v>
      </c>
      <c r="I2131" s="49">
        <f>INDEX(PeakCalc!$L$10:$L$303,MATCH(tblPivotData[[#This Row],[Time]],PeakCalc!$G$10:$G$303,0))</f>
        <v>0</v>
      </c>
    </row>
    <row r="2132" spans="1:9" x14ac:dyDescent="0.25">
      <c r="A2132" t="s">
        <v>97</v>
      </c>
      <c r="B2132" t="s">
        <v>109</v>
      </c>
      <c r="C2132" t="s">
        <v>96</v>
      </c>
      <c r="D2132" t="s">
        <v>90</v>
      </c>
      <c r="E2132" t="s">
        <v>43</v>
      </c>
      <c r="F2132" s="6">
        <v>0.29166666666666669</v>
      </c>
      <c r="G2132">
        <v>0</v>
      </c>
      <c r="H2132" s="6">
        <f>FLOOR(tblPivotData[[#This Row],[Time]],Summary!$B$6/1440)</f>
        <v>0.29166666666666663</v>
      </c>
      <c r="I2132" s="49">
        <f>INDEX(PeakCalc!$L$10:$L$303,MATCH(tblPivotData[[#This Row],[Time]],PeakCalc!$G$10:$G$303,0))</f>
        <v>0</v>
      </c>
    </row>
    <row r="2133" spans="1:9" x14ac:dyDescent="0.25">
      <c r="A2133" t="s">
        <v>97</v>
      </c>
      <c r="B2133" t="s">
        <v>109</v>
      </c>
      <c r="C2133" t="s">
        <v>96</v>
      </c>
      <c r="D2133" t="s">
        <v>90</v>
      </c>
      <c r="E2133" t="s">
        <v>43</v>
      </c>
      <c r="F2133" s="6">
        <v>0.30208333333333331</v>
      </c>
      <c r="G2133">
        <v>0</v>
      </c>
      <c r="H2133" s="6">
        <f>FLOOR(tblPivotData[[#This Row],[Time]],Summary!$B$6/1440)</f>
        <v>0.30208333333333331</v>
      </c>
      <c r="I2133" s="49">
        <f>INDEX(PeakCalc!$L$10:$L$303,MATCH(tblPivotData[[#This Row],[Time]],PeakCalc!$G$10:$G$303,0))</f>
        <v>0</v>
      </c>
    </row>
    <row r="2134" spans="1:9" x14ac:dyDescent="0.25">
      <c r="A2134" t="s">
        <v>97</v>
      </c>
      <c r="B2134" t="s">
        <v>109</v>
      </c>
      <c r="C2134" t="s">
        <v>96</v>
      </c>
      <c r="D2134" t="s">
        <v>90</v>
      </c>
      <c r="E2134" t="s">
        <v>43</v>
      </c>
      <c r="F2134" s="6">
        <v>0.3125</v>
      </c>
      <c r="G2134">
        <v>0</v>
      </c>
      <c r="H2134" s="6">
        <f>FLOOR(tblPivotData[[#This Row],[Time]],Summary!$B$6/1440)</f>
        <v>0.3125</v>
      </c>
      <c r="I2134" s="49">
        <f>INDEX(PeakCalc!$L$10:$L$303,MATCH(tblPivotData[[#This Row],[Time]],PeakCalc!$G$10:$G$303,0))</f>
        <v>0</v>
      </c>
    </row>
    <row r="2135" spans="1:9" x14ac:dyDescent="0.25">
      <c r="A2135" t="s">
        <v>97</v>
      </c>
      <c r="B2135" t="s">
        <v>109</v>
      </c>
      <c r="C2135" t="s">
        <v>96</v>
      </c>
      <c r="D2135" t="s">
        <v>90</v>
      </c>
      <c r="E2135" t="s">
        <v>43</v>
      </c>
      <c r="F2135" s="6">
        <v>0.32291666666666669</v>
      </c>
      <c r="G2135">
        <v>0</v>
      </c>
      <c r="H2135" s="6">
        <f>FLOOR(tblPivotData[[#This Row],[Time]],Summary!$B$6/1440)</f>
        <v>0.32291666666666663</v>
      </c>
      <c r="I2135" s="49">
        <f>INDEX(PeakCalc!$L$10:$L$303,MATCH(tblPivotData[[#This Row],[Time]],PeakCalc!$G$10:$G$303,0))</f>
        <v>1</v>
      </c>
    </row>
    <row r="2136" spans="1:9" x14ac:dyDescent="0.25">
      <c r="A2136" t="s">
        <v>97</v>
      </c>
      <c r="B2136" t="s">
        <v>109</v>
      </c>
      <c r="C2136" t="s">
        <v>96</v>
      </c>
      <c r="D2136" t="s">
        <v>90</v>
      </c>
      <c r="E2136" t="s">
        <v>43</v>
      </c>
      <c r="F2136" s="6">
        <v>0.33333333333333331</v>
      </c>
      <c r="G2136">
        <v>0</v>
      </c>
      <c r="H2136" s="6">
        <f>FLOOR(tblPivotData[[#This Row],[Time]],Summary!$B$6/1440)</f>
        <v>0.33333333333333331</v>
      </c>
      <c r="I2136" s="49">
        <f>INDEX(PeakCalc!$L$10:$L$303,MATCH(tblPivotData[[#This Row],[Time]],PeakCalc!$G$10:$G$303,0))</f>
        <v>1</v>
      </c>
    </row>
    <row r="2137" spans="1:9" x14ac:dyDescent="0.25">
      <c r="A2137" t="s">
        <v>97</v>
      </c>
      <c r="B2137" t="s">
        <v>109</v>
      </c>
      <c r="C2137" t="s">
        <v>96</v>
      </c>
      <c r="D2137" t="s">
        <v>90</v>
      </c>
      <c r="E2137" t="s">
        <v>43</v>
      </c>
      <c r="F2137" s="6">
        <v>0.34375</v>
      </c>
      <c r="G2137">
        <v>0</v>
      </c>
      <c r="H2137" s="6">
        <f>FLOOR(tblPivotData[[#This Row],[Time]],Summary!$B$6/1440)</f>
        <v>0.34375</v>
      </c>
      <c r="I2137" s="49">
        <f>INDEX(PeakCalc!$L$10:$L$303,MATCH(tblPivotData[[#This Row],[Time]],PeakCalc!$G$10:$G$303,0))</f>
        <v>1</v>
      </c>
    </row>
    <row r="2138" spans="1:9" x14ac:dyDescent="0.25">
      <c r="A2138" t="s">
        <v>97</v>
      </c>
      <c r="B2138" t="s">
        <v>109</v>
      </c>
      <c r="C2138" t="s">
        <v>96</v>
      </c>
      <c r="D2138" t="s">
        <v>90</v>
      </c>
      <c r="E2138" t="s">
        <v>43</v>
      </c>
      <c r="F2138" s="6">
        <v>0.35416666666666669</v>
      </c>
      <c r="G2138">
        <v>1</v>
      </c>
      <c r="H2138" s="6">
        <f>FLOOR(tblPivotData[[#This Row],[Time]],Summary!$B$6/1440)</f>
        <v>0.35416666666666663</v>
      </c>
      <c r="I2138" s="49">
        <f>INDEX(PeakCalc!$L$10:$L$303,MATCH(tblPivotData[[#This Row],[Time]],PeakCalc!$G$10:$G$303,0))</f>
        <v>1</v>
      </c>
    </row>
    <row r="2139" spans="1:9" x14ac:dyDescent="0.25">
      <c r="A2139" t="s">
        <v>97</v>
      </c>
      <c r="B2139" t="s">
        <v>109</v>
      </c>
      <c r="C2139" t="s">
        <v>96</v>
      </c>
      <c r="D2139" t="s">
        <v>90</v>
      </c>
      <c r="E2139" t="s">
        <v>43</v>
      </c>
      <c r="F2139" s="6">
        <v>0.36458333333333331</v>
      </c>
      <c r="G2139">
        <v>0</v>
      </c>
      <c r="H2139" s="6">
        <f>FLOOR(tblPivotData[[#This Row],[Time]],Summary!$B$6/1440)</f>
        <v>0.36458333333333331</v>
      </c>
      <c r="I2139" s="49">
        <f>INDEX(PeakCalc!$L$10:$L$303,MATCH(tblPivotData[[#This Row],[Time]],PeakCalc!$G$10:$G$303,0))</f>
        <v>0</v>
      </c>
    </row>
    <row r="2140" spans="1:9" x14ac:dyDescent="0.25">
      <c r="A2140" t="s">
        <v>97</v>
      </c>
      <c r="B2140" t="s">
        <v>109</v>
      </c>
      <c r="C2140" t="s">
        <v>96</v>
      </c>
      <c r="D2140" t="s">
        <v>90</v>
      </c>
      <c r="E2140" t="s">
        <v>43</v>
      </c>
      <c r="F2140" s="6">
        <v>0.375</v>
      </c>
      <c r="G2140">
        <v>0</v>
      </c>
      <c r="H2140" s="6">
        <f>FLOOR(tblPivotData[[#This Row],[Time]],Summary!$B$6/1440)</f>
        <v>0.375</v>
      </c>
      <c r="I2140" s="49">
        <f>INDEX(PeakCalc!$L$10:$L$303,MATCH(tblPivotData[[#This Row],[Time]],PeakCalc!$G$10:$G$303,0))</f>
        <v>0</v>
      </c>
    </row>
    <row r="2141" spans="1:9" x14ac:dyDescent="0.25">
      <c r="A2141" t="s">
        <v>97</v>
      </c>
      <c r="B2141" t="s">
        <v>109</v>
      </c>
      <c r="C2141" t="s">
        <v>96</v>
      </c>
      <c r="D2141" t="s">
        <v>90</v>
      </c>
      <c r="E2141" t="s">
        <v>43</v>
      </c>
      <c r="F2141" s="6">
        <v>0.38541666666666669</v>
      </c>
      <c r="G2141">
        <v>0</v>
      </c>
      <c r="H2141" s="6">
        <f>FLOOR(tblPivotData[[#This Row],[Time]],Summary!$B$6/1440)</f>
        <v>0.38541666666666663</v>
      </c>
      <c r="I2141" s="49">
        <f>INDEX(PeakCalc!$L$10:$L$303,MATCH(tblPivotData[[#This Row],[Time]],PeakCalc!$G$10:$G$303,0))</f>
        <v>0</v>
      </c>
    </row>
    <row r="2142" spans="1:9" x14ac:dyDescent="0.25">
      <c r="A2142" t="s">
        <v>97</v>
      </c>
      <c r="B2142" t="s">
        <v>109</v>
      </c>
      <c r="C2142" t="s">
        <v>96</v>
      </c>
      <c r="D2142" t="s">
        <v>90</v>
      </c>
      <c r="E2142" t="s">
        <v>110</v>
      </c>
      <c r="F2142" s="6">
        <v>0.45833333333333331</v>
      </c>
      <c r="G2142">
        <v>0</v>
      </c>
      <c r="H2142" s="6">
        <f>FLOOR(tblPivotData[[#This Row],[Time]],Summary!$B$6/1440)</f>
        <v>0.45833333333333331</v>
      </c>
      <c r="I2142" s="49">
        <f>INDEX(PeakCalc!$L$10:$L$303,MATCH(tblPivotData[[#This Row],[Time]],PeakCalc!$G$10:$G$303,0))</f>
        <v>0</v>
      </c>
    </row>
    <row r="2143" spans="1:9" x14ac:dyDescent="0.25">
      <c r="A2143" t="s">
        <v>97</v>
      </c>
      <c r="B2143" t="s">
        <v>109</v>
      </c>
      <c r="C2143" t="s">
        <v>96</v>
      </c>
      <c r="D2143" t="s">
        <v>90</v>
      </c>
      <c r="E2143" t="s">
        <v>110</v>
      </c>
      <c r="F2143" s="6">
        <v>0.46875</v>
      </c>
      <c r="G2143">
        <v>1</v>
      </c>
      <c r="H2143" s="6">
        <f>FLOOR(tblPivotData[[#This Row],[Time]],Summary!$B$6/1440)</f>
        <v>0.46875</v>
      </c>
      <c r="I2143" s="49">
        <f>INDEX(PeakCalc!$L$10:$L$303,MATCH(tblPivotData[[#This Row],[Time]],PeakCalc!$G$10:$G$303,0))</f>
        <v>0</v>
      </c>
    </row>
    <row r="2144" spans="1:9" x14ac:dyDescent="0.25">
      <c r="A2144" t="s">
        <v>97</v>
      </c>
      <c r="B2144" t="s">
        <v>109</v>
      </c>
      <c r="C2144" t="s">
        <v>96</v>
      </c>
      <c r="D2144" t="s">
        <v>90</v>
      </c>
      <c r="E2144" t="s">
        <v>110</v>
      </c>
      <c r="F2144" s="6">
        <v>0.47916666666666669</v>
      </c>
      <c r="G2144">
        <v>0</v>
      </c>
      <c r="H2144" s="6">
        <f>FLOOR(tblPivotData[[#This Row],[Time]],Summary!$B$6/1440)</f>
        <v>0.47916666666666663</v>
      </c>
      <c r="I2144" s="49">
        <f>INDEX(PeakCalc!$L$10:$L$303,MATCH(tblPivotData[[#This Row],[Time]],PeakCalc!$G$10:$G$303,0))</f>
        <v>0</v>
      </c>
    </row>
    <row r="2145" spans="1:9" x14ac:dyDescent="0.25">
      <c r="A2145" t="s">
        <v>97</v>
      </c>
      <c r="B2145" t="s">
        <v>109</v>
      </c>
      <c r="C2145" t="s">
        <v>96</v>
      </c>
      <c r="D2145" t="s">
        <v>90</v>
      </c>
      <c r="E2145" t="s">
        <v>110</v>
      </c>
      <c r="F2145" s="6">
        <v>0.48958333333333331</v>
      </c>
      <c r="G2145">
        <v>0</v>
      </c>
      <c r="H2145" s="6">
        <f>FLOOR(tblPivotData[[#This Row],[Time]],Summary!$B$6/1440)</f>
        <v>0.48958333333333331</v>
      </c>
      <c r="I2145" s="49">
        <f>INDEX(PeakCalc!$L$10:$L$303,MATCH(tblPivotData[[#This Row],[Time]],PeakCalc!$G$10:$G$303,0))</f>
        <v>0</v>
      </c>
    </row>
    <row r="2146" spans="1:9" x14ac:dyDescent="0.25">
      <c r="A2146" t="s">
        <v>97</v>
      </c>
      <c r="B2146" t="s">
        <v>109</v>
      </c>
      <c r="C2146" t="s">
        <v>96</v>
      </c>
      <c r="D2146" t="s">
        <v>90</v>
      </c>
      <c r="E2146" t="s">
        <v>110</v>
      </c>
      <c r="F2146" s="6">
        <v>0.5</v>
      </c>
      <c r="G2146">
        <v>0</v>
      </c>
      <c r="H2146" s="6">
        <f>FLOOR(tblPivotData[[#This Row],[Time]],Summary!$B$6/1440)</f>
        <v>0.5</v>
      </c>
      <c r="I2146" s="49">
        <f>INDEX(PeakCalc!$L$10:$L$303,MATCH(tblPivotData[[#This Row],[Time]],PeakCalc!$G$10:$G$303,0))</f>
        <v>0</v>
      </c>
    </row>
    <row r="2147" spans="1:9" x14ac:dyDescent="0.25">
      <c r="A2147" t="s">
        <v>97</v>
      </c>
      <c r="B2147" t="s">
        <v>109</v>
      </c>
      <c r="C2147" t="s">
        <v>96</v>
      </c>
      <c r="D2147" t="s">
        <v>90</v>
      </c>
      <c r="E2147" t="s">
        <v>110</v>
      </c>
      <c r="F2147" s="6">
        <v>0.51041666666666663</v>
      </c>
      <c r="G2147">
        <v>0</v>
      </c>
      <c r="H2147" s="6">
        <f>FLOOR(tblPivotData[[#This Row],[Time]],Summary!$B$6/1440)</f>
        <v>0.51041666666666663</v>
      </c>
      <c r="I2147" s="49">
        <f>INDEX(PeakCalc!$L$10:$L$303,MATCH(tblPivotData[[#This Row],[Time]],PeakCalc!$G$10:$G$303,0))</f>
        <v>0</v>
      </c>
    </row>
    <row r="2148" spans="1:9" x14ac:dyDescent="0.25">
      <c r="A2148" t="s">
        <v>97</v>
      </c>
      <c r="B2148" t="s">
        <v>109</v>
      </c>
      <c r="C2148" t="s">
        <v>96</v>
      </c>
      <c r="D2148" t="s">
        <v>90</v>
      </c>
      <c r="E2148" t="s">
        <v>110</v>
      </c>
      <c r="F2148" s="6">
        <v>0.52083333333333337</v>
      </c>
      <c r="G2148">
        <v>0</v>
      </c>
      <c r="H2148" s="6">
        <f>FLOOR(tblPivotData[[#This Row],[Time]],Summary!$B$6/1440)</f>
        <v>0.52083333333333326</v>
      </c>
      <c r="I2148" s="49">
        <f>INDEX(PeakCalc!$L$10:$L$303,MATCH(tblPivotData[[#This Row],[Time]],PeakCalc!$G$10:$G$303,0))</f>
        <v>1</v>
      </c>
    </row>
    <row r="2149" spans="1:9" x14ac:dyDescent="0.25">
      <c r="A2149" t="s">
        <v>97</v>
      </c>
      <c r="B2149" t="s">
        <v>109</v>
      </c>
      <c r="C2149" t="s">
        <v>96</v>
      </c>
      <c r="D2149" t="s">
        <v>90</v>
      </c>
      <c r="E2149" t="s">
        <v>110</v>
      </c>
      <c r="F2149" s="6">
        <v>0.53125</v>
      </c>
      <c r="G2149">
        <v>0</v>
      </c>
      <c r="H2149" s="6">
        <f>FLOOR(tblPivotData[[#This Row],[Time]],Summary!$B$6/1440)</f>
        <v>0.53125</v>
      </c>
      <c r="I2149" s="49">
        <f>INDEX(PeakCalc!$L$10:$L$303,MATCH(tblPivotData[[#This Row],[Time]],PeakCalc!$G$10:$G$303,0))</f>
        <v>1</v>
      </c>
    </row>
    <row r="2150" spans="1:9" x14ac:dyDescent="0.25">
      <c r="A2150" t="s">
        <v>97</v>
      </c>
      <c r="B2150" t="s">
        <v>109</v>
      </c>
      <c r="C2150" t="s">
        <v>96</v>
      </c>
      <c r="D2150" t="s">
        <v>90</v>
      </c>
      <c r="E2150" t="s">
        <v>110</v>
      </c>
      <c r="F2150" s="6">
        <v>0.54166666666666663</v>
      </c>
      <c r="G2150">
        <v>3</v>
      </c>
      <c r="H2150" s="6">
        <f>FLOOR(tblPivotData[[#This Row],[Time]],Summary!$B$6/1440)</f>
        <v>0.54166666666666663</v>
      </c>
      <c r="I2150" s="49">
        <f>INDEX(PeakCalc!$L$10:$L$303,MATCH(tblPivotData[[#This Row],[Time]],PeakCalc!$G$10:$G$303,0))</f>
        <v>1</v>
      </c>
    </row>
    <row r="2151" spans="1:9" x14ac:dyDescent="0.25">
      <c r="A2151" t="s">
        <v>97</v>
      </c>
      <c r="B2151" t="s">
        <v>109</v>
      </c>
      <c r="C2151" t="s">
        <v>96</v>
      </c>
      <c r="D2151" t="s">
        <v>90</v>
      </c>
      <c r="E2151" t="s">
        <v>110</v>
      </c>
      <c r="F2151" s="6">
        <v>0.55208333333333337</v>
      </c>
      <c r="G2151">
        <v>0</v>
      </c>
      <c r="H2151" s="6">
        <f>FLOOR(tblPivotData[[#This Row],[Time]],Summary!$B$6/1440)</f>
        <v>0.55208333333333326</v>
      </c>
      <c r="I2151" s="49">
        <f>INDEX(PeakCalc!$L$10:$L$303,MATCH(tblPivotData[[#This Row],[Time]],PeakCalc!$G$10:$G$303,0))</f>
        <v>1</v>
      </c>
    </row>
    <row r="2152" spans="1:9" x14ac:dyDescent="0.25">
      <c r="A2152" t="s">
        <v>97</v>
      </c>
      <c r="B2152" t="s">
        <v>109</v>
      </c>
      <c r="C2152" t="s">
        <v>96</v>
      </c>
      <c r="D2152" t="s">
        <v>90</v>
      </c>
      <c r="E2152" t="s">
        <v>110</v>
      </c>
      <c r="F2152" s="6">
        <v>0.5625</v>
      </c>
      <c r="G2152">
        <v>0</v>
      </c>
      <c r="H2152" s="6">
        <f>FLOOR(tblPivotData[[#This Row],[Time]],Summary!$B$6/1440)</f>
        <v>0.5625</v>
      </c>
      <c r="I2152" s="49">
        <f>INDEX(PeakCalc!$L$10:$L$303,MATCH(tblPivotData[[#This Row],[Time]],PeakCalc!$G$10:$G$303,0))</f>
        <v>0</v>
      </c>
    </row>
    <row r="2153" spans="1:9" x14ac:dyDescent="0.25">
      <c r="A2153" t="s">
        <v>97</v>
      </c>
      <c r="B2153" t="s">
        <v>109</v>
      </c>
      <c r="C2153" t="s">
        <v>96</v>
      </c>
      <c r="D2153" t="s">
        <v>90</v>
      </c>
      <c r="E2153" t="s">
        <v>110</v>
      </c>
      <c r="F2153" s="6">
        <v>0.57291666666666663</v>
      </c>
      <c r="G2153">
        <v>1</v>
      </c>
      <c r="H2153" s="6">
        <f>FLOOR(tblPivotData[[#This Row],[Time]],Summary!$B$6/1440)</f>
        <v>0.57291666666666663</v>
      </c>
      <c r="I2153" s="49">
        <f>INDEX(PeakCalc!$L$10:$L$303,MATCH(tblPivotData[[#This Row],[Time]],PeakCalc!$G$10:$G$303,0))</f>
        <v>0</v>
      </c>
    </row>
    <row r="2154" spans="1:9" x14ac:dyDescent="0.25">
      <c r="A2154" t="s">
        <v>97</v>
      </c>
      <c r="B2154" t="s">
        <v>109</v>
      </c>
      <c r="C2154" t="s">
        <v>96</v>
      </c>
      <c r="D2154" t="s">
        <v>90</v>
      </c>
      <c r="E2154" t="s">
        <v>44</v>
      </c>
      <c r="F2154" s="6">
        <v>0.625</v>
      </c>
      <c r="G2154">
        <v>0</v>
      </c>
      <c r="H2154" s="6">
        <f>FLOOR(tblPivotData[[#This Row],[Time]],Summary!$B$6/1440)</f>
        <v>0.625</v>
      </c>
      <c r="I2154" s="49">
        <f>INDEX(PeakCalc!$L$10:$L$303,MATCH(tblPivotData[[#This Row],[Time]],PeakCalc!$G$10:$G$303,0))</f>
        <v>0</v>
      </c>
    </row>
    <row r="2155" spans="1:9" x14ac:dyDescent="0.25">
      <c r="A2155" t="s">
        <v>97</v>
      </c>
      <c r="B2155" t="s">
        <v>109</v>
      </c>
      <c r="C2155" t="s">
        <v>96</v>
      </c>
      <c r="D2155" t="s">
        <v>90</v>
      </c>
      <c r="E2155" t="s">
        <v>44</v>
      </c>
      <c r="F2155" s="6">
        <v>0.63541666666666663</v>
      </c>
      <c r="G2155">
        <v>0</v>
      </c>
      <c r="H2155" s="6">
        <f>FLOOR(tblPivotData[[#This Row],[Time]],Summary!$B$6/1440)</f>
        <v>0.63541666666666663</v>
      </c>
      <c r="I2155" s="49">
        <f>INDEX(PeakCalc!$L$10:$L$303,MATCH(tblPivotData[[#This Row],[Time]],PeakCalc!$G$10:$G$303,0))</f>
        <v>0</v>
      </c>
    </row>
    <row r="2156" spans="1:9" x14ac:dyDescent="0.25">
      <c r="A2156" t="s">
        <v>97</v>
      </c>
      <c r="B2156" t="s">
        <v>109</v>
      </c>
      <c r="C2156" t="s">
        <v>96</v>
      </c>
      <c r="D2156" t="s">
        <v>90</v>
      </c>
      <c r="E2156" t="s">
        <v>44</v>
      </c>
      <c r="F2156" s="6">
        <v>0.64583333333333337</v>
      </c>
      <c r="G2156">
        <v>0</v>
      </c>
      <c r="H2156" s="6">
        <f>FLOOR(tblPivotData[[#This Row],[Time]],Summary!$B$6/1440)</f>
        <v>0.64583333333333326</v>
      </c>
      <c r="I2156" s="49">
        <f>INDEX(PeakCalc!$L$10:$L$303,MATCH(tblPivotData[[#This Row],[Time]],PeakCalc!$G$10:$G$303,0))</f>
        <v>0</v>
      </c>
    </row>
    <row r="2157" spans="1:9" x14ac:dyDescent="0.25">
      <c r="A2157" t="s">
        <v>97</v>
      </c>
      <c r="B2157" t="s">
        <v>109</v>
      </c>
      <c r="C2157" t="s">
        <v>96</v>
      </c>
      <c r="D2157" t="s">
        <v>90</v>
      </c>
      <c r="E2157" t="s">
        <v>44</v>
      </c>
      <c r="F2157" s="6">
        <v>0.65625</v>
      </c>
      <c r="G2157">
        <v>0</v>
      </c>
      <c r="H2157" s="6">
        <f>FLOOR(tblPivotData[[#This Row],[Time]],Summary!$B$6/1440)</f>
        <v>0.65625</v>
      </c>
      <c r="I2157" s="49">
        <f>INDEX(PeakCalc!$L$10:$L$303,MATCH(tblPivotData[[#This Row],[Time]],PeakCalc!$G$10:$G$303,0))</f>
        <v>0</v>
      </c>
    </row>
    <row r="2158" spans="1:9" x14ac:dyDescent="0.25">
      <c r="A2158" t="s">
        <v>97</v>
      </c>
      <c r="B2158" t="s">
        <v>109</v>
      </c>
      <c r="C2158" t="s">
        <v>96</v>
      </c>
      <c r="D2158" t="s">
        <v>90</v>
      </c>
      <c r="E2158" t="s">
        <v>44</v>
      </c>
      <c r="F2158" s="6">
        <v>0.66666666666666663</v>
      </c>
      <c r="G2158">
        <v>0</v>
      </c>
      <c r="H2158" s="6">
        <f>FLOOR(tblPivotData[[#This Row],[Time]],Summary!$B$6/1440)</f>
        <v>0.66666666666666663</v>
      </c>
      <c r="I2158" s="49">
        <f>INDEX(PeakCalc!$L$10:$L$303,MATCH(tblPivotData[[#This Row],[Time]],PeakCalc!$G$10:$G$303,0))</f>
        <v>0</v>
      </c>
    </row>
    <row r="2159" spans="1:9" x14ac:dyDescent="0.25">
      <c r="A2159" t="s">
        <v>97</v>
      </c>
      <c r="B2159" t="s">
        <v>109</v>
      </c>
      <c r="C2159" t="s">
        <v>96</v>
      </c>
      <c r="D2159" t="s">
        <v>90</v>
      </c>
      <c r="E2159" t="s">
        <v>44</v>
      </c>
      <c r="F2159" s="6">
        <v>0.67708333333333337</v>
      </c>
      <c r="G2159">
        <v>0</v>
      </c>
      <c r="H2159" s="6">
        <f>FLOOR(tblPivotData[[#This Row],[Time]],Summary!$B$6/1440)</f>
        <v>0.67708333333333326</v>
      </c>
      <c r="I2159" s="49">
        <f>INDEX(PeakCalc!$L$10:$L$303,MATCH(tblPivotData[[#This Row],[Time]],PeakCalc!$G$10:$G$303,0))</f>
        <v>0</v>
      </c>
    </row>
    <row r="2160" spans="1:9" x14ac:dyDescent="0.25">
      <c r="A2160" t="s">
        <v>97</v>
      </c>
      <c r="B2160" t="s">
        <v>109</v>
      </c>
      <c r="C2160" t="s">
        <v>96</v>
      </c>
      <c r="D2160" t="s">
        <v>90</v>
      </c>
      <c r="E2160" t="s">
        <v>44</v>
      </c>
      <c r="F2160" s="6">
        <v>0.6875</v>
      </c>
      <c r="G2160">
        <v>0</v>
      </c>
      <c r="H2160" s="6">
        <f>FLOOR(tblPivotData[[#This Row],[Time]],Summary!$B$6/1440)</f>
        <v>0.6875</v>
      </c>
      <c r="I2160" s="49">
        <f>INDEX(PeakCalc!$L$10:$L$303,MATCH(tblPivotData[[#This Row],[Time]],PeakCalc!$G$10:$G$303,0))</f>
        <v>1</v>
      </c>
    </row>
    <row r="2161" spans="1:9" x14ac:dyDescent="0.25">
      <c r="A2161" t="s">
        <v>97</v>
      </c>
      <c r="B2161" t="s">
        <v>109</v>
      </c>
      <c r="C2161" t="s">
        <v>96</v>
      </c>
      <c r="D2161" t="s">
        <v>90</v>
      </c>
      <c r="E2161" t="s">
        <v>44</v>
      </c>
      <c r="F2161" s="6">
        <v>0.69791666666666663</v>
      </c>
      <c r="G2161">
        <v>0</v>
      </c>
      <c r="H2161" s="6">
        <f>FLOOR(tblPivotData[[#This Row],[Time]],Summary!$B$6/1440)</f>
        <v>0.69791666666666663</v>
      </c>
      <c r="I2161" s="49">
        <f>INDEX(PeakCalc!$L$10:$L$303,MATCH(tblPivotData[[#This Row],[Time]],PeakCalc!$G$10:$G$303,0))</f>
        <v>1</v>
      </c>
    </row>
    <row r="2162" spans="1:9" x14ac:dyDescent="0.25">
      <c r="A2162" t="s">
        <v>97</v>
      </c>
      <c r="B2162" t="s">
        <v>109</v>
      </c>
      <c r="C2162" t="s">
        <v>96</v>
      </c>
      <c r="D2162" t="s">
        <v>90</v>
      </c>
      <c r="E2162" t="s">
        <v>44</v>
      </c>
      <c r="F2162" s="6">
        <v>0.70833333333333337</v>
      </c>
      <c r="G2162">
        <v>0</v>
      </c>
      <c r="H2162" s="6">
        <f>FLOOR(tblPivotData[[#This Row],[Time]],Summary!$B$6/1440)</f>
        <v>0.70833333333333326</v>
      </c>
      <c r="I2162" s="49">
        <f>INDEX(PeakCalc!$L$10:$L$303,MATCH(tblPivotData[[#This Row],[Time]],PeakCalc!$G$10:$G$303,0))</f>
        <v>1</v>
      </c>
    </row>
    <row r="2163" spans="1:9" x14ac:dyDescent="0.25">
      <c r="A2163" t="s">
        <v>97</v>
      </c>
      <c r="B2163" t="s">
        <v>109</v>
      </c>
      <c r="C2163" t="s">
        <v>96</v>
      </c>
      <c r="D2163" t="s">
        <v>90</v>
      </c>
      <c r="E2163" t="s">
        <v>44</v>
      </c>
      <c r="F2163" s="6">
        <v>0.71875</v>
      </c>
      <c r="G2163">
        <v>0</v>
      </c>
      <c r="H2163" s="6">
        <f>FLOOR(tblPivotData[[#This Row],[Time]],Summary!$B$6/1440)</f>
        <v>0.71875</v>
      </c>
      <c r="I2163" s="49">
        <f>INDEX(PeakCalc!$L$10:$L$303,MATCH(tblPivotData[[#This Row],[Time]],PeakCalc!$G$10:$G$303,0))</f>
        <v>1</v>
      </c>
    </row>
    <row r="2164" spans="1:9" x14ac:dyDescent="0.25">
      <c r="A2164" t="s">
        <v>97</v>
      </c>
      <c r="B2164" t="s">
        <v>109</v>
      </c>
      <c r="C2164" t="s">
        <v>96</v>
      </c>
      <c r="D2164" t="s">
        <v>90</v>
      </c>
      <c r="E2164" t="s">
        <v>44</v>
      </c>
      <c r="F2164" s="6">
        <v>0.72916666666666663</v>
      </c>
      <c r="G2164">
        <v>0</v>
      </c>
      <c r="H2164" s="6">
        <f>FLOOR(tblPivotData[[#This Row],[Time]],Summary!$B$6/1440)</f>
        <v>0.72916666666666663</v>
      </c>
      <c r="I2164" s="49">
        <f>INDEX(PeakCalc!$L$10:$L$303,MATCH(tblPivotData[[#This Row],[Time]],PeakCalc!$G$10:$G$303,0))</f>
        <v>0</v>
      </c>
    </row>
    <row r="2165" spans="1:9" x14ac:dyDescent="0.25">
      <c r="A2165" t="s">
        <v>97</v>
      </c>
      <c r="B2165" t="s">
        <v>109</v>
      </c>
      <c r="C2165" t="s">
        <v>96</v>
      </c>
      <c r="D2165" t="s">
        <v>90</v>
      </c>
      <c r="E2165" t="s">
        <v>44</v>
      </c>
      <c r="F2165" s="6">
        <v>0.73958333333333337</v>
      </c>
      <c r="G2165">
        <v>0</v>
      </c>
      <c r="H2165" s="6">
        <f>FLOOR(tblPivotData[[#This Row],[Time]],Summary!$B$6/1440)</f>
        <v>0.73958333333333326</v>
      </c>
      <c r="I2165" s="49">
        <f>INDEX(PeakCalc!$L$10:$L$303,MATCH(tblPivotData[[#This Row],[Time]],PeakCalc!$G$10:$G$303,0))</f>
        <v>0</v>
      </c>
    </row>
    <row r="2166" spans="1:9" x14ac:dyDescent="0.25">
      <c r="A2166" t="s">
        <v>97</v>
      </c>
      <c r="B2166" t="s">
        <v>109</v>
      </c>
      <c r="C2166" t="s">
        <v>96</v>
      </c>
      <c r="D2166" t="s">
        <v>90</v>
      </c>
      <c r="E2166" t="s">
        <v>44</v>
      </c>
      <c r="F2166" s="6">
        <v>0.75</v>
      </c>
      <c r="G2166">
        <v>0</v>
      </c>
      <c r="H2166" s="6">
        <f>FLOOR(tblPivotData[[#This Row],[Time]],Summary!$B$6/1440)</f>
        <v>0.75</v>
      </c>
      <c r="I2166" s="49">
        <f>INDEX(PeakCalc!$L$10:$L$303,MATCH(tblPivotData[[#This Row],[Time]],PeakCalc!$G$10:$G$303,0))</f>
        <v>0</v>
      </c>
    </row>
    <row r="2167" spans="1:9" x14ac:dyDescent="0.25">
      <c r="A2167" t="s">
        <v>97</v>
      </c>
      <c r="B2167" t="s">
        <v>109</v>
      </c>
      <c r="C2167" t="s">
        <v>96</v>
      </c>
      <c r="D2167" t="s">
        <v>90</v>
      </c>
      <c r="E2167" t="s">
        <v>44</v>
      </c>
      <c r="F2167" s="6">
        <v>0.76041666666666663</v>
      </c>
      <c r="G2167">
        <v>0</v>
      </c>
      <c r="H2167" s="6">
        <f>FLOOR(tblPivotData[[#This Row],[Time]],Summary!$B$6/1440)</f>
        <v>0.76041666666666663</v>
      </c>
      <c r="I2167" s="49">
        <f>INDEX(PeakCalc!$L$10:$L$303,MATCH(tblPivotData[[#This Row],[Time]],PeakCalc!$G$10:$G$303,0))</f>
        <v>0</v>
      </c>
    </row>
    <row r="2168" spans="1:9" x14ac:dyDescent="0.25">
      <c r="A2168" t="s">
        <v>97</v>
      </c>
      <c r="B2168" t="s">
        <v>109</v>
      </c>
      <c r="C2168" t="s">
        <v>96</v>
      </c>
      <c r="D2168" t="s">
        <v>91</v>
      </c>
      <c r="E2168" t="s">
        <v>43</v>
      </c>
      <c r="F2168" s="6">
        <v>0.27083333333333331</v>
      </c>
      <c r="G2168">
        <v>0</v>
      </c>
      <c r="H2168" s="6">
        <f>FLOOR(tblPivotData[[#This Row],[Time]],Summary!$B$6/1440)</f>
        <v>0.27083333333333331</v>
      </c>
      <c r="I2168" s="49">
        <f>INDEX(PeakCalc!$L$10:$L$303,MATCH(tblPivotData[[#This Row],[Time]],PeakCalc!$G$10:$G$303,0))</f>
        <v>0</v>
      </c>
    </row>
    <row r="2169" spans="1:9" x14ac:dyDescent="0.25">
      <c r="A2169" t="s">
        <v>97</v>
      </c>
      <c r="B2169" t="s">
        <v>109</v>
      </c>
      <c r="C2169" t="s">
        <v>96</v>
      </c>
      <c r="D2169" t="s">
        <v>91</v>
      </c>
      <c r="E2169" t="s">
        <v>43</v>
      </c>
      <c r="F2169" s="6">
        <v>0.28125</v>
      </c>
      <c r="G2169">
        <v>0</v>
      </c>
      <c r="H2169" s="6">
        <f>FLOOR(tblPivotData[[#This Row],[Time]],Summary!$B$6/1440)</f>
        <v>0.28125</v>
      </c>
      <c r="I2169" s="49">
        <f>INDEX(PeakCalc!$L$10:$L$303,MATCH(tblPivotData[[#This Row],[Time]],PeakCalc!$G$10:$G$303,0))</f>
        <v>0</v>
      </c>
    </row>
    <row r="2170" spans="1:9" x14ac:dyDescent="0.25">
      <c r="A2170" t="s">
        <v>97</v>
      </c>
      <c r="B2170" t="s">
        <v>109</v>
      </c>
      <c r="C2170" t="s">
        <v>96</v>
      </c>
      <c r="D2170" t="s">
        <v>91</v>
      </c>
      <c r="E2170" t="s">
        <v>43</v>
      </c>
      <c r="F2170" s="6">
        <v>0.29166666666666669</v>
      </c>
      <c r="G2170">
        <v>0</v>
      </c>
      <c r="H2170" s="6">
        <f>FLOOR(tblPivotData[[#This Row],[Time]],Summary!$B$6/1440)</f>
        <v>0.29166666666666663</v>
      </c>
      <c r="I2170" s="49">
        <f>INDEX(PeakCalc!$L$10:$L$303,MATCH(tblPivotData[[#This Row],[Time]],PeakCalc!$G$10:$G$303,0))</f>
        <v>0</v>
      </c>
    </row>
    <row r="2171" spans="1:9" x14ac:dyDescent="0.25">
      <c r="A2171" t="s">
        <v>97</v>
      </c>
      <c r="B2171" t="s">
        <v>109</v>
      </c>
      <c r="C2171" t="s">
        <v>96</v>
      </c>
      <c r="D2171" t="s">
        <v>91</v>
      </c>
      <c r="E2171" t="s">
        <v>43</v>
      </c>
      <c r="F2171" s="6">
        <v>0.30208333333333331</v>
      </c>
      <c r="G2171">
        <v>0</v>
      </c>
      <c r="H2171" s="6">
        <f>FLOOR(tblPivotData[[#This Row],[Time]],Summary!$B$6/1440)</f>
        <v>0.30208333333333331</v>
      </c>
      <c r="I2171" s="49">
        <f>INDEX(PeakCalc!$L$10:$L$303,MATCH(tblPivotData[[#This Row],[Time]],PeakCalc!$G$10:$G$303,0))</f>
        <v>0</v>
      </c>
    </row>
    <row r="2172" spans="1:9" x14ac:dyDescent="0.25">
      <c r="A2172" t="s">
        <v>97</v>
      </c>
      <c r="B2172" t="s">
        <v>109</v>
      </c>
      <c r="C2172" t="s">
        <v>96</v>
      </c>
      <c r="D2172" t="s">
        <v>91</v>
      </c>
      <c r="E2172" t="s">
        <v>43</v>
      </c>
      <c r="F2172" s="6">
        <v>0.3125</v>
      </c>
      <c r="G2172">
        <v>0</v>
      </c>
      <c r="H2172" s="6">
        <f>FLOOR(tblPivotData[[#This Row],[Time]],Summary!$B$6/1440)</f>
        <v>0.3125</v>
      </c>
      <c r="I2172" s="49">
        <f>INDEX(PeakCalc!$L$10:$L$303,MATCH(tblPivotData[[#This Row],[Time]],PeakCalc!$G$10:$G$303,0))</f>
        <v>0</v>
      </c>
    </row>
    <row r="2173" spans="1:9" x14ac:dyDescent="0.25">
      <c r="A2173" t="s">
        <v>97</v>
      </c>
      <c r="B2173" t="s">
        <v>109</v>
      </c>
      <c r="C2173" t="s">
        <v>96</v>
      </c>
      <c r="D2173" t="s">
        <v>91</v>
      </c>
      <c r="E2173" t="s">
        <v>43</v>
      </c>
      <c r="F2173" s="6">
        <v>0.32291666666666669</v>
      </c>
      <c r="G2173">
        <v>0</v>
      </c>
      <c r="H2173" s="6">
        <f>FLOOR(tblPivotData[[#This Row],[Time]],Summary!$B$6/1440)</f>
        <v>0.32291666666666663</v>
      </c>
      <c r="I2173" s="49">
        <f>INDEX(PeakCalc!$L$10:$L$303,MATCH(tblPivotData[[#This Row],[Time]],PeakCalc!$G$10:$G$303,0))</f>
        <v>1</v>
      </c>
    </row>
    <row r="2174" spans="1:9" x14ac:dyDescent="0.25">
      <c r="A2174" t="s">
        <v>97</v>
      </c>
      <c r="B2174" t="s">
        <v>109</v>
      </c>
      <c r="C2174" t="s">
        <v>96</v>
      </c>
      <c r="D2174" t="s">
        <v>91</v>
      </c>
      <c r="E2174" t="s">
        <v>43</v>
      </c>
      <c r="F2174" s="6">
        <v>0.33333333333333331</v>
      </c>
      <c r="G2174">
        <v>0</v>
      </c>
      <c r="H2174" s="6">
        <f>FLOOR(tblPivotData[[#This Row],[Time]],Summary!$B$6/1440)</f>
        <v>0.33333333333333331</v>
      </c>
      <c r="I2174" s="49">
        <f>INDEX(PeakCalc!$L$10:$L$303,MATCH(tblPivotData[[#This Row],[Time]],PeakCalc!$G$10:$G$303,0))</f>
        <v>1</v>
      </c>
    </row>
    <row r="2175" spans="1:9" x14ac:dyDescent="0.25">
      <c r="A2175" t="s">
        <v>97</v>
      </c>
      <c r="B2175" t="s">
        <v>109</v>
      </c>
      <c r="C2175" t="s">
        <v>96</v>
      </c>
      <c r="D2175" t="s">
        <v>91</v>
      </c>
      <c r="E2175" t="s">
        <v>43</v>
      </c>
      <c r="F2175" s="6">
        <v>0.34375</v>
      </c>
      <c r="G2175">
        <v>0</v>
      </c>
      <c r="H2175" s="6">
        <f>FLOOR(tblPivotData[[#This Row],[Time]],Summary!$B$6/1440)</f>
        <v>0.34375</v>
      </c>
      <c r="I2175" s="49">
        <f>INDEX(PeakCalc!$L$10:$L$303,MATCH(tblPivotData[[#This Row],[Time]],PeakCalc!$G$10:$G$303,0))</f>
        <v>1</v>
      </c>
    </row>
    <row r="2176" spans="1:9" x14ac:dyDescent="0.25">
      <c r="A2176" t="s">
        <v>97</v>
      </c>
      <c r="B2176" t="s">
        <v>109</v>
      </c>
      <c r="C2176" t="s">
        <v>96</v>
      </c>
      <c r="D2176" t="s">
        <v>91</v>
      </c>
      <c r="E2176" t="s">
        <v>43</v>
      </c>
      <c r="F2176" s="6">
        <v>0.35416666666666669</v>
      </c>
      <c r="G2176">
        <v>0</v>
      </c>
      <c r="H2176" s="6">
        <f>FLOOR(tblPivotData[[#This Row],[Time]],Summary!$B$6/1440)</f>
        <v>0.35416666666666663</v>
      </c>
      <c r="I2176" s="49">
        <f>INDEX(PeakCalc!$L$10:$L$303,MATCH(tblPivotData[[#This Row],[Time]],PeakCalc!$G$10:$G$303,0))</f>
        <v>1</v>
      </c>
    </row>
    <row r="2177" spans="1:9" x14ac:dyDescent="0.25">
      <c r="A2177" t="s">
        <v>97</v>
      </c>
      <c r="B2177" t="s">
        <v>109</v>
      </c>
      <c r="C2177" t="s">
        <v>96</v>
      </c>
      <c r="D2177" t="s">
        <v>91</v>
      </c>
      <c r="E2177" t="s">
        <v>43</v>
      </c>
      <c r="F2177" s="6">
        <v>0.36458333333333331</v>
      </c>
      <c r="G2177">
        <v>0</v>
      </c>
      <c r="H2177" s="6">
        <f>FLOOR(tblPivotData[[#This Row],[Time]],Summary!$B$6/1440)</f>
        <v>0.36458333333333331</v>
      </c>
      <c r="I2177" s="49">
        <f>INDEX(PeakCalc!$L$10:$L$303,MATCH(tblPivotData[[#This Row],[Time]],PeakCalc!$G$10:$G$303,0))</f>
        <v>0</v>
      </c>
    </row>
    <row r="2178" spans="1:9" x14ac:dyDescent="0.25">
      <c r="A2178" t="s">
        <v>97</v>
      </c>
      <c r="B2178" t="s">
        <v>109</v>
      </c>
      <c r="C2178" t="s">
        <v>96</v>
      </c>
      <c r="D2178" t="s">
        <v>91</v>
      </c>
      <c r="E2178" t="s">
        <v>43</v>
      </c>
      <c r="F2178" s="6">
        <v>0.375</v>
      </c>
      <c r="G2178">
        <v>0</v>
      </c>
      <c r="H2178" s="6">
        <f>FLOOR(tblPivotData[[#This Row],[Time]],Summary!$B$6/1440)</f>
        <v>0.375</v>
      </c>
      <c r="I2178" s="49">
        <f>INDEX(PeakCalc!$L$10:$L$303,MATCH(tblPivotData[[#This Row],[Time]],PeakCalc!$G$10:$G$303,0))</f>
        <v>0</v>
      </c>
    </row>
    <row r="2179" spans="1:9" x14ac:dyDescent="0.25">
      <c r="A2179" t="s">
        <v>97</v>
      </c>
      <c r="B2179" t="s">
        <v>109</v>
      </c>
      <c r="C2179" t="s">
        <v>96</v>
      </c>
      <c r="D2179" t="s">
        <v>91</v>
      </c>
      <c r="E2179" t="s">
        <v>43</v>
      </c>
      <c r="F2179" s="6">
        <v>0.38541666666666669</v>
      </c>
      <c r="G2179">
        <v>2</v>
      </c>
      <c r="H2179" s="6">
        <f>FLOOR(tblPivotData[[#This Row],[Time]],Summary!$B$6/1440)</f>
        <v>0.38541666666666663</v>
      </c>
      <c r="I2179" s="49">
        <f>INDEX(PeakCalc!$L$10:$L$303,MATCH(tblPivotData[[#This Row],[Time]],PeakCalc!$G$10:$G$303,0))</f>
        <v>0</v>
      </c>
    </row>
    <row r="2180" spans="1:9" x14ac:dyDescent="0.25">
      <c r="A2180" t="s">
        <v>97</v>
      </c>
      <c r="B2180" t="s">
        <v>109</v>
      </c>
      <c r="C2180" t="s">
        <v>96</v>
      </c>
      <c r="D2180" t="s">
        <v>91</v>
      </c>
      <c r="E2180" t="s">
        <v>110</v>
      </c>
      <c r="F2180" s="6">
        <v>0.45833333333333331</v>
      </c>
      <c r="G2180">
        <v>0</v>
      </c>
      <c r="H2180" s="6">
        <f>FLOOR(tblPivotData[[#This Row],[Time]],Summary!$B$6/1440)</f>
        <v>0.45833333333333331</v>
      </c>
      <c r="I2180" s="49">
        <f>INDEX(PeakCalc!$L$10:$L$303,MATCH(tblPivotData[[#This Row],[Time]],PeakCalc!$G$10:$G$303,0))</f>
        <v>0</v>
      </c>
    </row>
    <row r="2181" spans="1:9" x14ac:dyDescent="0.25">
      <c r="A2181" t="s">
        <v>97</v>
      </c>
      <c r="B2181" t="s">
        <v>109</v>
      </c>
      <c r="C2181" t="s">
        <v>96</v>
      </c>
      <c r="D2181" t="s">
        <v>91</v>
      </c>
      <c r="E2181" t="s">
        <v>110</v>
      </c>
      <c r="F2181" s="6">
        <v>0.46875</v>
      </c>
      <c r="G2181">
        <v>2</v>
      </c>
      <c r="H2181" s="6">
        <f>FLOOR(tblPivotData[[#This Row],[Time]],Summary!$B$6/1440)</f>
        <v>0.46875</v>
      </c>
      <c r="I2181" s="49">
        <f>INDEX(PeakCalc!$L$10:$L$303,MATCH(tblPivotData[[#This Row],[Time]],PeakCalc!$G$10:$G$303,0))</f>
        <v>0</v>
      </c>
    </row>
    <row r="2182" spans="1:9" x14ac:dyDescent="0.25">
      <c r="A2182" t="s">
        <v>97</v>
      </c>
      <c r="B2182" t="s">
        <v>109</v>
      </c>
      <c r="C2182" t="s">
        <v>96</v>
      </c>
      <c r="D2182" t="s">
        <v>91</v>
      </c>
      <c r="E2182" t="s">
        <v>110</v>
      </c>
      <c r="F2182" s="6">
        <v>0.47916666666666669</v>
      </c>
      <c r="G2182">
        <v>1</v>
      </c>
      <c r="H2182" s="6">
        <f>FLOOR(tblPivotData[[#This Row],[Time]],Summary!$B$6/1440)</f>
        <v>0.47916666666666663</v>
      </c>
      <c r="I2182" s="49">
        <f>INDEX(PeakCalc!$L$10:$L$303,MATCH(tblPivotData[[#This Row],[Time]],PeakCalc!$G$10:$G$303,0))</f>
        <v>0</v>
      </c>
    </row>
    <row r="2183" spans="1:9" x14ac:dyDescent="0.25">
      <c r="A2183" t="s">
        <v>97</v>
      </c>
      <c r="B2183" t="s">
        <v>109</v>
      </c>
      <c r="C2183" t="s">
        <v>96</v>
      </c>
      <c r="D2183" t="s">
        <v>91</v>
      </c>
      <c r="E2183" t="s">
        <v>110</v>
      </c>
      <c r="F2183" s="6">
        <v>0.48958333333333331</v>
      </c>
      <c r="G2183">
        <v>0</v>
      </c>
      <c r="H2183" s="6">
        <f>FLOOR(tblPivotData[[#This Row],[Time]],Summary!$B$6/1440)</f>
        <v>0.48958333333333331</v>
      </c>
      <c r="I2183" s="49">
        <f>INDEX(PeakCalc!$L$10:$L$303,MATCH(tblPivotData[[#This Row],[Time]],PeakCalc!$G$10:$G$303,0))</f>
        <v>0</v>
      </c>
    </row>
    <row r="2184" spans="1:9" x14ac:dyDescent="0.25">
      <c r="A2184" t="s">
        <v>97</v>
      </c>
      <c r="B2184" t="s">
        <v>109</v>
      </c>
      <c r="C2184" t="s">
        <v>96</v>
      </c>
      <c r="D2184" t="s">
        <v>91</v>
      </c>
      <c r="E2184" t="s">
        <v>110</v>
      </c>
      <c r="F2184" s="6">
        <v>0.5</v>
      </c>
      <c r="G2184">
        <v>0</v>
      </c>
      <c r="H2184" s="6">
        <f>FLOOR(tblPivotData[[#This Row],[Time]],Summary!$B$6/1440)</f>
        <v>0.5</v>
      </c>
      <c r="I2184" s="49">
        <f>INDEX(PeakCalc!$L$10:$L$303,MATCH(tblPivotData[[#This Row],[Time]],PeakCalc!$G$10:$G$303,0))</f>
        <v>0</v>
      </c>
    </row>
    <row r="2185" spans="1:9" x14ac:dyDescent="0.25">
      <c r="A2185" t="s">
        <v>97</v>
      </c>
      <c r="B2185" t="s">
        <v>109</v>
      </c>
      <c r="C2185" t="s">
        <v>96</v>
      </c>
      <c r="D2185" t="s">
        <v>91</v>
      </c>
      <c r="E2185" t="s">
        <v>110</v>
      </c>
      <c r="F2185" s="6">
        <v>0.51041666666666663</v>
      </c>
      <c r="G2185">
        <v>1</v>
      </c>
      <c r="H2185" s="6">
        <f>FLOOR(tblPivotData[[#This Row],[Time]],Summary!$B$6/1440)</f>
        <v>0.51041666666666663</v>
      </c>
      <c r="I2185" s="49">
        <f>INDEX(PeakCalc!$L$10:$L$303,MATCH(tblPivotData[[#This Row],[Time]],PeakCalc!$G$10:$G$303,0))</f>
        <v>0</v>
      </c>
    </row>
    <row r="2186" spans="1:9" x14ac:dyDescent="0.25">
      <c r="A2186" t="s">
        <v>97</v>
      </c>
      <c r="B2186" t="s">
        <v>109</v>
      </c>
      <c r="C2186" t="s">
        <v>96</v>
      </c>
      <c r="D2186" t="s">
        <v>91</v>
      </c>
      <c r="E2186" t="s">
        <v>110</v>
      </c>
      <c r="F2186" s="6">
        <v>0.52083333333333337</v>
      </c>
      <c r="G2186">
        <v>1</v>
      </c>
      <c r="H2186" s="6">
        <f>FLOOR(tblPivotData[[#This Row],[Time]],Summary!$B$6/1440)</f>
        <v>0.52083333333333326</v>
      </c>
      <c r="I2186" s="49">
        <f>INDEX(PeakCalc!$L$10:$L$303,MATCH(tblPivotData[[#This Row],[Time]],PeakCalc!$G$10:$G$303,0))</f>
        <v>1</v>
      </c>
    </row>
    <row r="2187" spans="1:9" x14ac:dyDescent="0.25">
      <c r="A2187" t="s">
        <v>97</v>
      </c>
      <c r="B2187" t="s">
        <v>109</v>
      </c>
      <c r="C2187" t="s">
        <v>96</v>
      </c>
      <c r="D2187" t="s">
        <v>91</v>
      </c>
      <c r="E2187" t="s">
        <v>110</v>
      </c>
      <c r="F2187" s="6">
        <v>0.53125</v>
      </c>
      <c r="G2187">
        <v>0</v>
      </c>
      <c r="H2187" s="6">
        <f>FLOOR(tblPivotData[[#This Row],[Time]],Summary!$B$6/1440)</f>
        <v>0.53125</v>
      </c>
      <c r="I2187" s="49">
        <f>INDEX(PeakCalc!$L$10:$L$303,MATCH(tblPivotData[[#This Row],[Time]],PeakCalc!$G$10:$G$303,0))</f>
        <v>1</v>
      </c>
    </row>
    <row r="2188" spans="1:9" x14ac:dyDescent="0.25">
      <c r="A2188" t="s">
        <v>97</v>
      </c>
      <c r="B2188" t="s">
        <v>109</v>
      </c>
      <c r="C2188" t="s">
        <v>96</v>
      </c>
      <c r="D2188" t="s">
        <v>91</v>
      </c>
      <c r="E2188" t="s">
        <v>110</v>
      </c>
      <c r="F2188" s="6">
        <v>0.54166666666666663</v>
      </c>
      <c r="G2188">
        <v>0</v>
      </c>
      <c r="H2188" s="6">
        <f>FLOOR(tblPivotData[[#This Row],[Time]],Summary!$B$6/1440)</f>
        <v>0.54166666666666663</v>
      </c>
      <c r="I2188" s="49">
        <f>INDEX(PeakCalc!$L$10:$L$303,MATCH(tblPivotData[[#This Row],[Time]],PeakCalc!$G$10:$G$303,0))</f>
        <v>1</v>
      </c>
    </row>
    <row r="2189" spans="1:9" x14ac:dyDescent="0.25">
      <c r="A2189" t="s">
        <v>97</v>
      </c>
      <c r="B2189" t="s">
        <v>109</v>
      </c>
      <c r="C2189" t="s">
        <v>96</v>
      </c>
      <c r="D2189" t="s">
        <v>91</v>
      </c>
      <c r="E2189" t="s">
        <v>110</v>
      </c>
      <c r="F2189" s="6">
        <v>0.55208333333333337</v>
      </c>
      <c r="G2189">
        <v>0</v>
      </c>
      <c r="H2189" s="6">
        <f>FLOOR(tblPivotData[[#This Row],[Time]],Summary!$B$6/1440)</f>
        <v>0.55208333333333326</v>
      </c>
      <c r="I2189" s="49">
        <f>INDEX(PeakCalc!$L$10:$L$303,MATCH(tblPivotData[[#This Row],[Time]],PeakCalc!$G$10:$G$303,0))</f>
        <v>1</v>
      </c>
    </row>
    <row r="2190" spans="1:9" x14ac:dyDescent="0.25">
      <c r="A2190" t="s">
        <v>97</v>
      </c>
      <c r="B2190" t="s">
        <v>109</v>
      </c>
      <c r="C2190" t="s">
        <v>96</v>
      </c>
      <c r="D2190" t="s">
        <v>91</v>
      </c>
      <c r="E2190" t="s">
        <v>110</v>
      </c>
      <c r="F2190" s="6">
        <v>0.5625</v>
      </c>
      <c r="G2190">
        <v>0</v>
      </c>
      <c r="H2190" s="6">
        <f>FLOOR(tblPivotData[[#This Row],[Time]],Summary!$B$6/1440)</f>
        <v>0.5625</v>
      </c>
      <c r="I2190" s="49">
        <f>INDEX(PeakCalc!$L$10:$L$303,MATCH(tblPivotData[[#This Row],[Time]],PeakCalc!$G$10:$G$303,0))</f>
        <v>0</v>
      </c>
    </row>
    <row r="2191" spans="1:9" x14ac:dyDescent="0.25">
      <c r="A2191" t="s">
        <v>97</v>
      </c>
      <c r="B2191" t="s">
        <v>109</v>
      </c>
      <c r="C2191" t="s">
        <v>96</v>
      </c>
      <c r="D2191" t="s">
        <v>91</v>
      </c>
      <c r="E2191" t="s">
        <v>110</v>
      </c>
      <c r="F2191" s="6">
        <v>0.57291666666666663</v>
      </c>
      <c r="G2191">
        <v>0</v>
      </c>
      <c r="H2191" s="6">
        <f>FLOOR(tblPivotData[[#This Row],[Time]],Summary!$B$6/1440)</f>
        <v>0.57291666666666663</v>
      </c>
      <c r="I2191" s="49">
        <f>INDEX(PeakCalc!$L$10:$L$303,MATCH(tblPivotData[[#This Row],[Time]],PeakCalc!$G$10:$G$303,0))</f>
        <v>0</v>
      </c>
    </row>
    <row r="2192" spans="1:9" x14ac:dyDescent="0.25">
      <c r="A2192" t="s">
        <v>97</v>
      </c>
      <c r="B2192" t="s">
        <v>109</v>
      </c>
      <c r="C2192" t="s">
        <v>96</v>
      </c>
      <c r="D2192" t="s">
        <v>91</v>
      </c>
      <c r="E2192" t="s">
        <v>44</v>
      </c>
      <c r="F2192" s="6">
        <v>0.625</v>
      </c>
      <c r="G2192">
        <v>2</v>
      </c>
      <c r="H2192" s="6">
        <f>FLOOR(tblPivotData[[#This Row],[Time]],Summary!$B$6/1440)</f>
        <v>0.625</v>
      </c>
      <c r="I2192" s="49">
        <f>INDEX(PeakCalc!$L$10:$L$303,MATCH(tblPivotData[[#This Row],[Time]],PeakCalc!$G$10:$G$303,0))</f>
        <v>0</v>
      </c>
    </row>
    <row r="2193" spans="1:9" x14ac:dyDescent="0.25">
      <c r="A2193" t="s">
        <v>97</v>
      </c>
      <c r="B2193" t="s">
        <v>109</v>
      </c>
      <c r="C2193" t="s">
        <v>96</v>
      </c>
      <c r="D2193" t="s">
        <v>91</v>
      </c>
      <c r="E2193" t="s">
        <v>44</v>
      </c>
      <c r="F2193" s="6">
        <v>0.63541666666666663</v>
      </c>
      <c r="G2193">
        <v>0</v>
      </c>
      <c r="H2193" s="6">
        <f>FLOOR(tblPivotData[[#This Row],[Time]],Summary!$B$6/1440)</f>
        <v>0.63541666666666663</v>
      </c>
      <c r="I2193" s="49">
        <f>INDEX(PeakCalc!$L$10:$L$303,MATCH(tblPivotData[[#This Row],[Time]],PeakCalc!$G$10:$G$303,0))</f>
        <v>0</v>
      </c>
    </row>
    <row r="2194" spans="1:9" x14ac:dyDescent="0.25">
      <c r="A2194" t="s">
        <v>97</v>
      </c>
      <c r="B2194" t="s">
        <v>109</v>
      </c>
      <c r="C2194" t="s">
        <v>96</v>
      </c>
      <c r="D2194" t="s">
        <v>91</v>
      </c>
      <c r="E2194" t="s">
        <v>44</v>
      </c>
      <c r="F2194" s="6">
        <v>0.64583333333333337</v>
      </c>
      <c r="G2194">
        <v>1</v>
      </c>
      <c r="H2194" s="6">
        <f>FLOOR(tblPivotData[[#This Row],[Time]],Summary!$B$6/1440)</f>
        <v>0.64583333333333326</v>
      </c>
      <c r="I2194" s="49">
        <f>INDEX(PeakCalc!$L$10:$L$303,MATCH(tblPivotData[[#This Row],[Time]],PeakCalc!$G$10:$G$303,0))</f>
        <v>0</v>
      </c>
    </row>
    <row r="2195" spans="1:9" x14ac:dyDescent="0.25">
      <c r="A2195" t="s">
        <v>97</v>
      </c>
      <c r="B2195" t="s">
        <v>109</v>
      </c>
      <c r="C2195" t="s">
        <v>96</v>
      </c>
      <c r="D2195" t="s">
        <v>91</v>
      </c>
      <c r="E2195" t="s">
        <v>44</v>
      </c>
      <c r="F2195" s="6">
        <v>0.65625</v>
      </c>
      <c r="G2195">
        <v>0</v>
      </c>
      <c r="H2195" s="6">
        <f>FLOOR(tblPivotData[[#This Row],[Time]],Summary!$B$6/1440)</f>
        <v>0.65625</v>
      </c>
      <c r="I2195" s="49">
        <f>INDEX(PeakCalc!$L$10:$L$303,MATCH(tblPivotData[[#This Row],[Time]],PeakCalc!$G$10:$G$303,0))</f>
        <v>0</v>
      </c>
    </row>
    <row r="2196" spans="1:9" x14ac:dyDescent="0.25">
      <c r="A2196" t="s">
        <v>97</v>
      </c>
      <c r="B2196" t="s">
        <v>109</v>
      </c>
      <c r="C2196" t="s">
        <v>96</v>
      </c>
      <c r="D2196" t="s">
        <v>91</v>
      </c>
      <c r="E2196" t="s">
        <v>44</v>
      </c>
      <c r="F2196" s="6">
        <v>0.66666666666666663</v>
      </c>
      <c r="G2196">
        <v>0</v>
      </c>
      <c r="H2196" s="6">
        <f>FLOOR(tblPivotData[[#This Row],[Time]],Summary!$B$6/1440)</f>
        <v>0.66666666666666663</v>
      </c>
      <c r="I2196" s="49">
        <f>INDEX(PeakCalc!$L$10:$L$303,MATCH(tblPivotData[[#This Row],[Time]],PeakCalc!$G$10:$G$303,0))</f>
        <v>0</v>
      </c>
    </row>
    <row r="2197" spans="1:9" x14ac:dyDescent="0.25">
      <c r="A2197" t="s">
        <v>97</v>
      </c>
      <c r="B2197" t="s">
        <v>109</v>
      </c>
      <c r="C2197" t="s">
        <v>96</v>
      </c>
      <c r="D2197" t="s">
        <v>91</v>
      </c>
      <c r="E2197" t="s">
        <v>44</v>
      </c>
      <c r="F2197" s="6">
        <v>0.67708333333333337</v>
      </c>
      <c r="G2197">
        <v>0</v>
      </c>
      <c r="H2197" s="6">
        <f>FLOOR(tblPivotData[[#This Row],[Time]],Summary!$B$6/1440)</f>
        <v>0.67708333333333326</v>
      </c>
      <c r="I2197" s="49">
        <f>INDEX(PeakCalc!$L$10:$L$303,MATCH(tblPivotData[[#This Row],[Time]],PeakCalc!$G$10:$G$303,0))</f>
        <v>0</v>
      </c>
    </row>
    <row r="2198" spans="1:9" x14ac:dyDescent="0.25">
      <c r="A2198" t="s">
        <v>97</v>
      </c>
      <c r="B2198" t="s">
        <v>109</v>
      </c>
      <c r="C2198" t="s">
        <v>96</v>
      </c>
      <c r="D2198" t="s">
        <v>91</v>
      </c>
      <c r="E2198" t="s">
        <v>44</v>
      </c>
      <c r="F2198" s="6">
        <v>0.6875</v>
      </c>
      <c r="G2198">
        <v>0</v>
      </c>
      <c r="H2198" s="6">
        <f>FLOOR(tblPivotData[[#This Row],[Time]],Summary!$B$6/1440)</f>
        <v>0.6875</v>
      </c>
      <c r="I2198" s="49">
        <f>INDEX(PeakCalc!$L$10:$L$303,MATCH(tblPivotData[[#This Row],[Time]],PeakCalc!$G$10:$G$303,0))</f>
        <v>1</v>
      </c>
    </row>
    <row r="2199" spans="1:9" x14ac:dyDescent="0.25">
      <c r="A2199" t="s">
        <v>97</v>
      </c>
      <c r="B2199" t="s">
        <v>109</v>
      </c>
      <c r="C2199" t="s">
        <v>96</v>
      </c>
      <c r="D2199" t="s">
        <v>91</v>
      </c>
      <c r="E2199" t="s">
        <v>44</v>
      </c>
      <c r="F2199" s="6">
        <v>0.69791666666666663</v>
      </c>
      <c r="G2199">
        <v>0</v>
      </c>
      <c r="H2199" s="6">
        <f>FLOOR(tblPivotData[[#This Row],[Time]],Summary!$B$6/1440)</f>
        <v>0.69791666666666663</v>
      </c>
      <c r="I2199" s="49">
        <f>INDEX(PeakCalc!$L$10:$L$303,MATCH(tblPivotData[[#This Row],[Time]],PeakCalc!$G$10:$G$303,0))</f>
        <v>1</v>
      </c>
    </row>
    <row r="2200" spans="1:9" x14ac:dyDescent="0.25">
      <c r="A2200" t="s">
        <v>97</v>
      </c>
      <c r="B2200" t="s">
        <v>109</v>
      </c>
      <c r="C2200" t="s">
        <v>96</v>
      </c>
      <c r="D2200" t="s">
        <v>91</v>
      </c>
      <c r="E2200" t="s">
        <v>44</v>
      </c>
      <c r="F2200" s="6">
        <v>0.70833333333333337</v>
      </c>
      <c r="G2200">
        <v>0</v>
      </c>
      <c r="H2200" s="6">
        <f>FLOOR(tblPivotData[[#This Row],[Time]],Summary!$B$6/1440)</f>
        <v>0.70833333333333326</v>
      </c>
      <c r="I2200" s="49">
        <f>INDEX(PeakCalc!$L$10:$L$303,MATCH(tblPivotData[[#This Row],[Time]],PeakCalc!$G$10:$G$303,0))</f>
        <v>1</v>
      </c>
    </row>
    <row r="2201" spans="1:9" x14ac:dyDescent="0.25">
      <c r="A2201" t="s">
        <v>97</v>
      </c>
      <c r="B2201" t="s">
        <v>109</v>
      </c>
      <c r="C2201" t="s">
        <v>96</v>
      </c>
      <c r="D2201" t="s">
        <v>91</v>
      </c>
      <c r="E2201" t="s">
        <v>44</v>
      </c>
      <c r="F2201" s="6">
        <v>0.71875</v>
      </c>
      <c r="G2201">
        <v>0</v>
      </c>
      <c r="H2201" s="6">
        <f>FLOOR(tblPivotData[[#This Row],[Time]],Summary!$B$6/1440)</f>
        <v>0.71875</v>
      </c>
      <c r="I2201" s="49">
        <f>INDEX(PeakCalc!$L$10:$L$303,MATCH(tblPivotData[[#This Row],[Time]],PeakCalc!$G$10:$G$303,0))</f>
        <v>1</v>
      </c>
    </row>
    <row r="2202" spans="1:9" x14ac:dyDescent="0.25">
      <c r="A2202" t="s">
        <v>97</v>
      </c>
      <c r="B2202" t="s">
        <v>109</v>
      </c>
      <c r="C2202" t="s">
        <v>96</v>
      </c>
      <c r="D2202" t="s">
        <v>91</v>
      </c>
      <c r="E2202" t="s">
        <v>44</v>
      </c>
      <c r="F2202" s="6">
        <v>0.72916666666666663</v>
      </c>
      <c r="G2202">
        <v>0</v>
      </c>
      <c r="H2202" s="6">
        <f>FLOOR(tblPivotData[[#This Row],[Time]],Summary!$B$6/1440)</f>
        <v>0.72916666666666663</v>
      </c>
      <c r="I2202" s="49">
        <f>INDEX(PeakCalc!$L$10:$L$303,MATCH(tblPivotData[[#This Row],[Time]],PeakCalc!$G$10:$G$303,0))</f>
        <v>0</v>
      </c>
    </row>
    <row r="2203" spans="1:9" x14ac:dyDescent="0.25">
      <c r="A2203" t="s">
        <v>97</v>
      </c>
      <c r="B2203" t="s">
        <v>109</v>
      </c>
      <c r="C2203" t="s">
        <v>96</v>
      </c>
      <c r="D2203" t="s">
        <v>91</v>
      </c>
      <c r="E2203" t="s">
        <v>44</v>
      </c>
      <c r="F2203" s="6">
        <v>0.73958333333333337</v>
      </c>
      <c r="G2203">
        <v>0</v>
      </c>
      <c r="H2203" s="6">
        <f>FLOOR(tblPivotData[[#This Row],[Time]],Summary!$B$6/1440)</f>
        <v>0.73958333333333326</v>
      </c>
      <c r="I2203" s="49">
        <f>INDEX(PeakCalc!$L$10:$L$303,MATCH(tblPivotData[[#This Row],[Time]],PeakCalc!$G$10:$G$303,0))</f>
        <v>0</v>
      </c>
    </row>
    <row r="2204" spans="1:9" x14ac:dyDescent="0.25">
      <c r="A2204" t="s">
        <v>97</v>
      </c>
      <c r="B2204" t="s">
        <v>109</v>
      </c>
      <c r="C2204" t="s">
        <v>96</v>
      </c>
      <c r="D2204" t="s">
        <v>91</v>
      </c>
      <c r="E2204" t="s">
        <v>44</v>
      </c>
      <c r="F2204" s="6">
        <v>0.75</v>
      </c>
      <c r="G2204">
        <v>0</v>
      </c>
      <c r="H2204" s="6">
        <f>FLOOR(tblPivotData[[#This Row],[Time]],Summary!$B$6/1440)</f>
        <v>0.75</v>
      </c>
      <c r="I2204" s="49">
        <f>INDEX(PeakCalc!$L$10:$L$303,MATCH(tblPivotData[[#This Row],[Time]],PeakCalc!$G$10:$G$303,0))</f>
        <v>0</v>
      </c>
    </row>
    <row r="2205" spans="1:9" x14ac:dyDescent="0.25">
      <c r="A2205" t="s">
        <v>97</v>
      </c>
      <c r="B2205" t="s">
        <v>109</v>
      </c>
      <c r="C2205" t="s">
        <v>96</v>
      </c>
      <c r="D2205" t="s">
        <v>91</v>
      </c>
      <c r="E2205" t="s">
        <v>44</v>
      </c>
      <c r="F2205" s="6">
        <v>0.76041666666666663</v>
      </c>
      <c r="G2205">
        <v>0</v>
      </c>
      <c r="H2205" s="6">
        <f>FLOOR(tblPivotData[[#This Row],[Time]],Summary!$B$6/1440)</f>
        <v>0.76041666666666663</v>
      </c>
      <c r="I2205" s="49">
        <f>INDEX(PeakCalc!$L$10:$L$303,MATCH(tblPivotData[[#This Row],[Time]],PeakCalc!$G$10:$G$303,0))</f>
        <v>0</v>
      </c>
    </row>
    <row r="2206" spans="1:9" x14ac:dyDescent="0.25">
      <c r="A2206" t="s">
        <v>97</v>
      </c>
      <c r="B2206" t="s">
        <v>109</v>
      </c>
      <c r="C2206" t="s">
        <v>96</v>
      </c>
      <c r="D2206" t="s">
        <v>92</v>
      </c>
      <c r="E2206" t="s">
        <v>43</v>
      </c>
      <c r="F2206" s="6">
        <v>0.27083333333333331</v>
      </c>
      <c r="G2206">
        <v>0</v>
      </c>
      <c r="H2206" s="6">
        <f>FLOOR(tblPivotData[[#This Row],[Time]],Summary!$B$6/1440)</f>
        <v>0.27083333333333331</v>
      </c>
      <c r="I2206" s="49">
        <f>INDEX(PeakCalc!$L$10:$L$303,MATCH(tblPivotData[[#This Row],[Time]],PeakCalc!$G$10:$G$303,0))</f>
        <v>0</v>
      </c>
    </row>
    <row r="2207" spans="1:9" x14ac:dyDescent="0.25">
      <c r="A2207" t="s">
        <v>97</v>
      </c>
      <c r="B2207" t="s">
        <v>109</v>
      </c>
      <c r="C2207" t="s">
        <v>96</v>
      </c>
      <c r="D2207" t="s">
        <v>92</v>
      </c>
      <c r="E2207" t="s">
        <v>43</v>
      </c>
      <c r="F2207" s="6">
        <v>0.28125</v>
      </c>
      <c r="G2207">
        <v>0</v>
      </c>
      <c r="H2207" s="6">
        <f>FLOOR(tblPivotData[[#This Row],[Time]],Summary!$B$6/1440)</f>
        <v>0.28125</v>
      </c>
      <c r="I2207" s="49">
        <f>INDEX(PeakCalc!$L$10:$L$303,MATCH(tblPivotData[[#This Row],[Time]],PeakCalc!$G$10:$G$303,0))</f>
        <v>0</v>
      </c>
    </row>
    <row r="2208" spans="1:9" x14ac:dyDescent="0.25">
      <c r="A2208" t="s">
        <v>97</v>
      </c>
      <c r="B2208" t="s">
        <v>109</v>
      </c>
      <c r="C2208" t="s">
        <v>96</v>
      </c>
      <c r="D2208" t="s">
        <v>92</v>
      </c>
      <c r="E2208" t="s">
        <v>43</v>
      </c>
      <c r="F2208" s="6">
        <v>0.29166666666666669</v>
      </c>
      <c r="G2208">
        <v>0</v>
      </c>
      <c r="H2208" s="6">
        <f>FLOOR(tblPivotData[[#This Row],[Time]],Summary!$B$6/1440)</f>
        <v>0.29166666666666663</v>
      </c>
      <c r="I2208" s="49">
        <f>INDEX(PeakCalc!$L$10:$L$303,MATCH(tblPivotData[[#This Row],[Time]],PeakCalc!$G$10:$G$303,0))</f>
        <v>0</v>
      </c>
    </row>
    <row r="2209" spans="1:9" x14ac:dyDescent="0.25">
      <c r="A2209" t="s">
        <v>97</v>
      </c>
      <c r="B2209" t="s">
        <v>109</v>
      </c>
      <c r="C2209" t="s">
        <v>96</v>
      </c>
      <c r="D2209" t="s">
        <v>92</v>
      </c>
      <c r="E2209" t="s">
        <v>43</v>
      </c>
      <c r="F2209" s="6">
        <v>0.30208333333333331</v>
      </c>
      <c r="G2209">
        <v>0</v>
      </c>
      <c r="H2209" s="6">
        <f>FLOOR(tblPivotData[[#This Row],[Time]],Summary!$B$6/1440)</f>
        <v>0.30208333333333331</v>
      </c>
      <c r="I2209" s="49">
        <f>INDEX(PeakCalc!$L$10:$L$303,MATCH(tblPivotData[[#This Row],[Time]],PeakCalc!$G$10:$G$303,0))</f>
        <v>0</v>
      </c>
    </row>
    <row r="2210" spans="1:9" x14ac:dyDescent="0.25">
      <c r="A2210" t="s">
        <v>97</v>
      </c>
      <c r="B2210" t="s">
        <v>109</v>
      </c>
      <c r="C2210" t="s">
        <v>96</v>
      </c>
      <c r="D2210" t="s">
        <v>92</v>
      </c>
      <c r="E2210" t="s">
        <v>43</v>
      </c>
      <c r="F2210" s="6">
        <v>0.3125</v>
      </c>
      <c r="G2210">
        <v>0</v>
      </c>
      <c r="H2210" s="6">
        <f>FLOOR(tblPivotData[[#This Row],[Time]],Summary!$B$6/1440)</f>
        <v>0.3125</v>
      </c>
      <c r="I2210" s="49">
        <f>INDEX(PeakCalc!$L$10:$L$303,MATCH(tblPivotData[[#This Row],[Time]],PeakCalc!$G$10:$G$303,0))</f>
        <v>0</v>
      </c>
    </row>
    <row r="2211" spans="1:9" x14ac:dyDescent="0.25">
      <c r="A2211" t="s">
        <v>97</v>
      </c>
      <c r="B2211" t="s">
        <v>109</v>
      </c>
      <c r="C2211" t="s">
        <v>96</v>
      </c>
      <c r="D2211" t="s">
        <v>92</v>
      </c>
      <c r="E2211" t="s">
        <v>43</v>
      </c>
      <c r="F2211" s="6">
        <v>0.32291666666666669</v>
      </c>
      <c r="G2211">
        <v>0</v>
      </c>
      <c r="H2211" s="6">
        <f>FLOOR(tblPivotData[[#This Row],[Time]],Summary!$B$6/1440)</f>
        <v>0.32291666666666663</v>
      </c>
      <c r="I2211" s="49">
        <f>INDEX(PeakCalc!$L$10:$L$303,MATCH(tblPivotData[[#This Row],[Time]],PeakCalc!$G$10:$G$303,0))</f>
        <v>1</v>
      </c>
    </row>
    <row r="2212" spans="1:9" x14ac:dyDescent="0.25">
      <c r="A2212" t="s">
        <v>97</v>
      </c>
      <c r="B2212" t="s">
        <v>109</v>
      </c>
      <c r="C2212" t="s">
        <v>96</v>
      </c>
      <c r="D2212" t="s">
        <v>92</v>
      </c>
      <c r="E2212" t="s">
        <v>43</v>
      </c>
      <c r="F2212" s="6">
        <v>0.33333333333333331</v>
      </c>
      <c r="G2212">
        <v>0</v>
      </c>
      <c r="H2212" s="6">
        <f>FLOOR(tblPivotData[[#This Row],[Time]],Summary!$B$6/1440)</f>
        <v>0.33333333333333331</v>
      </c>
      <c r="I2212" s="49">
        <f>INDEX(PeakCalc!$L$10:$L$303,MATCH(tblPivotData[[#This Row],[Time]],PeakCalc!$G$10:$G$303,0))</f>
        <v>1</v>
      </c>
    </row>
    <row r="2213" spans="1:9" x14ac:dyDescent="0.25">
      <c r="A2213" t="s">
        <v>97</v>
      </c>
      <c r="B2213" t="s">
        <v>109</v>
      </c>
      <c r="C2213" t="s">
        <v>96</v>
      </c>
      <c r="D2213" t="s">
        <v>92</v>
      </c>
      <c r="E2213" t="s">
        <v>43</v>
      </c>
      <c r="F2213" s="6">
        <v>0.34375</v>
      </c>
      <c r="G2213">
        <v>0</v>
      </c>
      <c r="H2213" s="6">
        <f>FLOOR(tblPivotData[[#This Row],[Time]],Summary!$B$6/1440)</f>
        <v>0.34375</v>
      </c>
      <c r="I2213" s="49">
        <f>INDEX(PeakCalc!$L$10:$L$303,MATCH(tblPivotData[[#This Row],[Time]],PeakCalc!$G$10:$G$303,0))</f>
        <v>1</v>
      </c>
    </row>
    <row r="2214" spans="1:9" x14ac:dyDescent="0.25">
      <c r="A2214" t="s">
        <v>97</v>
      </c>
      <c r="B2214" t="s">
        <v>109</v>
      </c>
      <c r="C2214" t="s">
        <v>96</v>
      </c>
      <c r="D2214" t="s">
        <v>92</v>
      </c>
      <c r="E2214" t="s">
        <v>43</v>
      </c>
      <c r="F2214" s="6">
        <v>0.35416666666666669</v>
      </c>
      <c r="G2214">
        <v>0</v>
      </c>
      <c r="H2214" s="6">
        <f>FLOOR(tblPivotData[[#This Row],[Time]],Summary!$B$6/1440)</f>
        <v>0.35416666666666663</v>
      </c>
      <c r="I2214" s="49">
        <f>INDEX(PeakCalc!$L$10:$L$303,MATCH(tblPivotData[[#This Row],[Time]],PeakCalc!$G$10:$G$303,0))</f>
        <v>1</v>
      </c>
    </row>
    <row r="2215" spans="1:9" x14ac:dyDescent="0.25">
      <c r="A2215" t="s">
        <v>97</v>
      </c>
      <c r="B2215" t="s">
        <v>109</v>
      </c>
      <c r="C2215" t="s">
        <v>96</v>
      </c>
      <c r="D2215" t="s">
        <v>92</v>
      </c>
      <c r="E2215" t="s">
        <v>43</v>
      </c>
      <c r="F2215" s="6">
        <v>0.36458333333333331</v>
      </c>
      <c r="G2215">
        <v>0</v>
      </c>
      <c r="H2215" s="6">
        <f>FLOOR(tblPivotData[[#This Row],[Time]],Summary!$B$6/1440)</f>
        <v>0.36458333333333331</v>
      </c>
      <c r="I2215" s="49">
        <f>INDEX(PeakCalc!$L$10:$L$303,MATCH(tblPivotData[[#This Row],[Time]],PeakCalc!$G$10:$G$303,0))</f>
        <v>0</v>
      </c>
    </row>
    <row r="2216" spans="1:9" x14ac:dyDescent="0.25">
      <c r="A2216" t="s">
        <v>97</v>
      </c>
      <c r="B2216" t="s">
        <v>109</v>
      </c>
      <c r="C2216" t="s">
        <v>96</v>
      </c>
      <c r="D2216" t="s">
        <v>92</v>
      </c>
      <c r="E2216" t="s">
        <v>43</v>
      </c>
      <c r="F2216" s="6">
        <v>0.375</v>
      </c>
      <c r="G2216">
        <v>0</v>
      </c>
      <c r="H2216" s="6">
        <f>FLOOR(tblPivotData[[#This Row],[Time]],Summary!$B$6/1440)</f>
        <v>0.375</v>
      </c>
      <c r="I2216" s="49">
        <f>INDEX(PeakCalc!$L$10:$L$303,MATCH(tblPivotData[[#This Row],[Time]],PeakCalc!$G$10:$G$303,0))</f>
        <v>0</v>
      </c>
    </row>
    <row r="2217" spans="1:9" x14ac:dyDescent="0.25">
      <c r="A2217" t="s">
        <v>97</v>
      </c>
      <c r="B2217" t="s">
        <v>109</v>
      </c>
      <c r="C2217" t="s">
        <v>96</v>
      </c>
      <c r="D2217" t="s">
        <v>92</v>
      </c>
      <c r="E2217" t="s">
        <v>43</v>
      </c>
      <c r="F2217" s="6">
        <v>0.38541666666666669</v>
      </c>
      <c r="G2217">
        <v>0</v>
      </c>
      <c r="H2217" s="6">
        <f>FLOOR(tblPivotData[[#This Row],[Time]],Summary!$B$6/1440)</f>
        <v>0.38541666666666663</v>
      </c>
      <c r="I2217" s="49">
        <f>INDEX(PeakCalc!$L$10:$L$303,MATCH(tblPivotData[[#This Row],[Time]],PeakCalc!$G$10:$G$303,0))</f>
        <v>0</v>
      </c>
    </row>
    <row r="2218" spans="1:9" x14ac:dyDescent="0.25">
      <c r="A2218" t="s">
        <v>97</v>
      </c>
      <c r="B2218" t="s">
        <v>109</v>
      </c>
      <c r="C2218" t="s">
        <v>96</v>
      </c>
      <c r="D2218" t="s">
        <v>92</v>
      </c>
      <c r="E2218" t="s">
        <v>110</v>
      </c>
      <c r="F2218" s="6">
        <v>0.45833333333333331</v>
      </c>
      <c r="G2218">
        <v>0</v>
      </c>
      <c r="H2218" s="6">
        <f>FLOOR(tblPivotData[[#This Row],[Time]],Summary!$B$6/1440)</f>
        <v>0.45833333333333331</v>
      </c>
      <c r="I2218" s="49">
        <f>INDEX(PeakCalc!$L$10:$L$303,MATCH(tblPivotData[[#This Row],[Time]],PeakCalc!$G$10:$G$303,0))</f>
        <v>0</v>
      </c>
    </row>
    <row r="2219" spans="1:9" x14ac:dyDescent="0.25">
      <c r="A2219" t="s">
        <v>97</v>
      </c>
      <c r="B2219" t="s">
        <v>109</v>
      </c>
      <c r="C2219" t="s">
        <v>96</v>
      </c>
      <c r="D2219" t="s">
        <v>92</v>
      </c>
      <c r="E2219" t="s">
        <v>110</v>
      </c>
      <c r="F2219" s="6">
        <v>0.46875</v>
      </c>
      <c r="G2219">
        <v>0</v>
      </c>
      <c r="H2219" s="6">
        <f>FLOOR(tblPivotData[[#This Row],[Time]],Summary!$B$6/1440)</f>
        <v>0.46875</v>
      </c>
      <c r="I2219" s="49">
        <f>INDEX(PeakCalc!$L$10:$L$303,MATCH(tblPivotData[[#This Row],[Time]],PeakCalc!$G$10:$G$303,0))</f>
        <v>0</v>
      </c>
    </row>
    <row r="2220" spans="1:9" x14ac:dyDescent="0.25">
      <c r="A2220" t="s">
        <v>97</v>
      </c>
      <c r="B2220" t="s">
        <v>109</v>
      </c>
      <c r="C2220" t="s">
        <v>96</v>
      </c>
      <c r="D2220" t="s">
        <v>92</v>
      </c>
      <c r="E2220" t="s">
        <v>110</v>
      </c>
      <c r="F2220" s="6">
        <v>0.47916666666666669</v>
      </c>
      <c r="G2220">
        <v>0</v>
      </c>
      <c r="H2220" s="6">
        <f>FLOOR(tblPivotData[[#This Row],[Time]],Summary!$B$6/1440)</f>
        <v>0.47916666666666663</v>
      </c>
      <c r="I2220" s="49">
        <f>INDEX(PeakCalc!$L$10:$L$303,MATCH(tblPivotData[[#This Row],[Time]],PeakCalc!$G$10:$G$303,0))</f>
        <v>0</v>
      </c>
    </row>
    <row r="2221" spans="1:9" x14ac:dyDescent="0.25">
      <c r="A2221" t="s">
        <v>97</v>
      </c>
      <c r="B2221" t="s">
        <v>109</v>
      </c>
      <c r="C2221" t="s">
        <v>96</v>
      </c>
      <c r="D2221" t="s">
        <v>92</v>
      </c>
      <c r="E2221" t="s">
        <v>110</v>
      </c>
      <c r="F2221" s="6">
        <v>0.48958333333333331</v>
      </c>
      <c r="G2221">
        <v>0</v>
      </c>
      <c r="H2221" s="6">
        <f>FLOOR(tblPivotData[[#This Row],[Time]],Summary!$B$6/1440)</f>
        <v>0.48958333333333331</v>
      </c>
      <c r="I2221" s="49">
        <f>INDEX(PeakCalc!$L$10:$L$303,MATCH(tblPivotData[[#This Row],[Time]],PeakCalc!$G$10:$G$303,0))</f>
        <v>0</v>
      </c>
    </row>
    <row r="2222" spans="1:9" x14ac:dyDescent="0.25">
      <c r="A2222" t="s">
        <v>97</v>
      </c>
      <c r="B2222" t="s">
        <v>109</v>
      </c>
      <c r="C2222" t="s">
        <v>96</v>
      </c>
      <c r="D2222" t="s">
        <v>92</v>
      </c>
      <c r="E2222" t="s">
        <v>110</v>
      </c>
      <c r="F2222" s="6">
        <v>0.5</v>
      </c>
      <c r="G2222">
        <v>0</v>
      </c>
      <c r="H2222" s="6">
        <f>FLOOR(tblPivotData[[#This Row],[Time]],Summary!$B$6/1440)</f>
        <v>0.5</v>
      </c>
      <c r="I2222" s="49">
        <f>INDEX(PeakCalc!$L$10:$L$303,MATCH(tblPivotData[[#This Row],[Time]],PeakCalc!$G$10:$G$303,0))</f>
        <v>0</v>
      </c>
    </row>
    <row r="2223" spans="1:9" x14ac:dyDescent="0.25">
      <c r="A2223" t="s">
        <v>97</v>
      </c>
      <c r="B2223" t="s">
        <v>109</v>
      </c>
      <c r="C2223" t="s">
        <v>96</v>
      </c>
      <c r="D2223" t="s">
        <v>92</v>
      </c>
      <c r="E2223" t="s">
        <v>110</v>
      </c>
      <c r="F2223" s="6">
        <v>0.51041666666666663</v>
      </c>
      <c r="G2223">
        <v>0</v>
      </c>
      <c r="H2223" s="6">
        <f>FLOOR(tblPivotData[[#This Row],[Time]],Summary!$B$6/1440)</f>
        <v>0.51041666666666663</v>
      </c>
      <c r="I2223" s="49">
        <f>INDEX(PeakCalc!$L$10:$L$303,MATCH(tblPivotData[[#This Row],[Time]],PeakCalc!$G$10:$G$303,0))</f>
        <v>0</v>
      </c>
    </row>
    <row r="2224" spans="1:9" x14ac:dyDescent="0.25">
      <c r="A2224" t="s">
        <v>97</v>
      </c>
      <c r="B2224" t="s">
        <v>109</v>
      </c>
      <c r="C2224" t="s">
        <v>96</v>
      </c>
      <c r="D2224" t="s">
        <v>92</v>
      </c>
      <c r="E2224" t="s">
        <v>110</v>
      </c>
      <c r="F2224" s="6">
        <v>0.52083333333333337</v>
      </c>
      <c r="G2224">
        <v>0</v>
      </c>
      <c r="H2224" s="6">
        <f>FLOOR(tblPivotData[[#This Row],[Time]],Summary!$B$6/1440)</f>
        <v>0.52083333333333326</v>
      </c>
      <c r="I2224" s="49">
        <f>INDEX(PeakCalc!$L$10:$L$303,MATCH(tblPivotData[[#This Row],[Time]],PeakCalc!$G$10:$G$303,0))</f>
        <v>1</v>
      </c>
    </row>
    <row r="2225" spans="1:9" x14ac:dyDescent="0.25">
      <c r="A2225" t="s">
        <v>97</v>
      </c>
      <c r="B2225" t="s">
        <v>109</v>
      </c>
      <c r="C2225" t="s">
        <v>96</v>
      </c>
      <c r="D2225" t="s">
        <v>92</v>
      </c>
      <c r="E2225" t="s">
        <v>110</v>
      </c>
      <c r="F2225" s="6">
        <v>0.53125</v>
      </c>
      <c r="G2225">
        <v>0</v>
      </c>
      <c r="H2225" s="6">
        <f>FLOOR(tblPivotData[[#This Row],[Time]],Summary!$B$6/1440)</f>
        <v>0.53125</v>
      </c>
      <c r="I2225" s="49">
        <f>INDEX(PeakCalc!$L$10:$L$303,MATCH(tblPivotData[[#This Row],[Time]],PeakCalc!$G$10:$G$303,0))</f>
        <v>1</v>
      </c>
    </row>
    <row r="2226" spans="1:9" x14ac:dyDescent="0.25">
      <c r="A2226" t="s">
        <v>97</v>
      </c>
      <c r="B2226" t="s">
        <v>109</v>
      </c>
      <c r="C2226" t="s">
        <v>96</v>
      </c>
      <c r="D2226" t="s">
        <v>92</v>
      </c>
      <c r="E2226" t="s">
        <v>110</v>
      </c>
      <c r="F2226" s="6">
        <v>0.54166666666666663</v>
      </c>
      <c r="G2226">
        <v>0</v>
      </c>
      <c r="H2226" s="6">
        <f>FLOOR(tblPivotData[[#This Row],[Time]],Summary!$B$6/1440)</f>
        <v>0.54166666666666663</v>
      </c>
      <c r="I2226" s="49">
        <f>INDEX(PeakCalc!$L$10:$L$303,MATCH(tblPivotData[[#This Row],[Time]],PeakCalc!$G$10:$G$303,0))</f>
        <v>1</v>
      </c>
    </row>
    <row r="2227" spans="1:9" x14ac:dyDescent="0.25">
      <c r="A2227" t="s">
        <v>97</v>
      </c>
      <c r="B2227" t="s">
        <v>109</v>
      </c>
      <c r="C2227" t="s">
        <v>96</v>
      </c>
      <c r="D2227" t="s">
        <v>92</v>
      </c>
      <c r="E2227" t="s">
        <v>110</v>
      </c>
      <c r="F2227" s="6">
        <v>0.55208333333333337</v>
      </c>
      <c r="G2227">
        <v>0</v>
      </c>
      <c r="H2227" s="6">
        <f>FLOOR(tblPivotData[[#This Row],[Time]],Summary!$B$6/1440)</f>
        <v>0.55208333333333326</v>
      </c>
      <c r="I2227" s="49">
        <f>INDEX(PeakCalc!$L$10:$L$303,MATCH(tblPivotData[[#This Row],[Time]],PeakCalc!$G$10:$G$303,0))</f>
        <v>1</v>
      </c>
    </row>
    <row r="2228" spans="1:9" x14ac:dyDescent="0.25">
      <c r="A2228" t="s">
        <v>97</v>
      </c>
      <c r="B2228" t="s">
        <v>109</v>
      </c>
      <c r="C2228" t="s">
        <v>96</v>
      </c>
      <c r="D2228" t="s">
        <v>92</v>
      </c>
      <c r="E2228" t="s">
        <v>110</v>
      </c>
      <c r="F2228" s="6">
        <v>0.5625</v>
      </c>
      <c r="G2228">
        <v>0</v>
      </c>
      <c r="H2228" s="6">
        <f>FLOOR(tblPivotData[[#This Row],[Time]],Summary!$B$6/1440)</f>
        <v>0.5625</v>
      </c>
      <c r="I2228" s="49">
        <f>INDEX(PeakCalc!$L$10:$L$303,MATCH(tblPivotData[[#This Row],[Time]],PeakCalc!$G$10:$G$303,0))</f>
        <v>0</v>
      </c>
    </row>
    <row r="2229" spans="1:9" x14ac:dyDescent="0.25">
      <c r="A2229" t="s">
        <v>97</v>
      </c>
      <c r="B2229" t="s">
        <v>109</v>
      </c>
      <c r="C2229" t="s">
        <v>96</v>
      </c>
      <c r="D2229" t="s">
        <v>92</v>
      </c>
      <c r="E2229" t="s">
        <v>110</v>
      </c>
      <c r="F2229" s="6">
        <v>0.57291666666666663</v>
      </c>
      <c r="G2229">
        <v>0</v>
      </c>
      <c r="H2229" s="6">
        <f>FLOOR(tblPivotData[[#This Row],[Time]],Summary!$B$6/1440)</f>
        <v>0.57291666666666663</v>
      </c>
      <c r="I2229" s="49">
        <f>INDEX(PeakCalc!$L$10:$L$303,MATCH(tblPivotData[[#This Row],[Time]],PeakCalc!$G$10:$G$303,0))</f>
        <v>0</v>
      </c>
    </row>
    <row r="2230" spans="1:9" x14ac:dyDescent="0.25">
      <c r="A2230" t="s">
        <v>97</v>
      </c>
      <c r="B2230" t="s">
        <v>109</v>
      </c>
      <c r="C2230" t="s">
        <v>96</v>
      </c>
      <c r="D2230" t="s">
        <v>92</v>
      </c>
      <c r="E2230" t="s">
        <v>44</v>
      </c>
      <c r="F2230" s="6">
        <v>0.625</v>
      </c>
      <c r="G2230">
        <v>0</v>
      </c>
      <c r="H2230" s="6">
        <f>FLOOR(tblPivotData[[#This Row],[Time]],Summary!$B$6/1440)</f>
        <v>0.625</v>
      </c>
      <c r="I2230" s="49">
        <f>INDEX(PeakCalc!$L$10:$L$303,MATCH(tblPivotData[[#This Row],[Time]],PeakCalc!$G$10:$G$303,0))</f>
        <v>0</v>
      </c>
    </row>
    <row r="2231" spans="1:9" x14ac:dyDescent="0.25">
      <c r="A2231" t="s">
        <v>97</v>
      </c>
      <c r="B2231" t="s">
        <v>109</v>
      </c>
      <c r="C2231" t="s">
        <v>96</v>
      </c>
      <c r="D2231" t="s">
        <v>92</v>
      </c>
      <c r="E2231" t="s">
        <v>44</v>
      </c>
      <c r="F2231" s="6">
        <v>0.63541666666666663</v>
      </c>
      <c r="G2231">
        <v>0</v>
      </c>
      <c r="H2231" s="6">
        <f>FLOOR(tblPivotData[[#This Row],[Time]],Summary!$B$6/1440)</f>
        <v>0.63541666666666663</v>
      </c>
      <c r="I2231" s="49">
        <f>INDEX(PeakCalc!$L$10:$L$303,MATCH(tblPivotData[[#This Row],[Time]],PeakCalc!$G$10:$G$303,0))</f>
        <v>0</v>
      </c>
    </row>
    <row r="2232" spans="1:9" x14ac:dyDescent="0.25">
      <c r="A2232" t="s">
        <v>97</v>
      </c>
      <c r="B2232" t="s">
        <v>109</v>
      </c>
      <c r="C2232" t="s">
        <v>96</v>
      </c>
      <c r="D2232" t="s">
        <v>92</v>
      </c>
      <c r="E2232" t="s">
        <v>44</v>
      </c>
      <c r="F2232" s="6">
        <v>0.64583333333333337</v>
      </c>
      <c r="G2232">
        <v>0</v>
      </c>
      <c r="H2232" s="6">
        <f>FLOOR(tblPivotData[[#This Row],[Time]],Summary!$B$6/1440)</f>
        <v>0.64583333333333326</v>
      </c>
      <c r="I2232" s="49">
        <f>INDEX(PeakCalc!$L$10:$L$303,MATCH(tblPivotData[[#This Row],[Time]],PeakCalc!$G$10:$G$303,0))</f>
        <v>0</v>
      </c>
    </row>
    <row r="2233" spans="1:9" x14ac:dyDescent="0.25">
      <c r="A2233" t="s">
        <v>97</v>
      </c>
      <c r="B2233" t="s">
        <v>109</v>
      </c>
      <c r="C2233" t="s">
        <v>96</v>
      </c>
      <c r="D2233" t="s">
        <v>92</v>
      </c>
      <c r="E2233" t="s">
        <v>44</v>
      </c>
      <c r="F2233" s="6">
        <v>0.65625</v>
      </c>
      <c r="G2233">
        <v>0</v>
      </c>
      <c r="H2233" s="6">
        <f>FLOOR(tblPivotData[[#This Row],[Time]],Summary!$B$6/1440)</f>
        <v>0.65625</v>
      </c>
      <c r="I2233" s="49">
        <f>INDEX(PeakCalc!$L$10:$L$303,MATCH(tblPivotData[[#This Row],[Time]],PeakCalc!$G$10:$G$303,0))</f>
        <v>0</v>
      </c>
    </row>
    <row r="2234" spans="1:9" x14ac:dyDescent="0.25">
      <c r="A2234" t="s">
        <v>97</v>
      </c>
      <c r="B2234" t="s">
        <v>109</v>
      </c>
      <c r="C2234" t="s">
        <v>96</v>
      </c>
      <c r="D2234" t="s">
        <v>92</v>
      </c>
      <c r="E2234" t="s">
        <v>44</v>
      </c>
      <c r="F2234" s="6">
        <v>0.66666666666666663</v>
      </c>
      <c r="G2234">
        <v>0</v>
      </c>
      <c r="H2234" s="6">
        <f>FLOOR(tblPivotData[[#This Row],[Time]],Summary!$B$6/1440)</f>
        <v>0.66666666666666663</v>
      </c>
      <c r="I2234" s="49">
        <f>INDEX(PeakCalc!$L$10:$L$303,MATCH(tblPivotData[[#This Row],[Time]],PeakCalc!$G$10:$G$303,0))</f>
        <v>0</v>
      </c>
    </row>
    <row r="2235" spans="1:9" x14ac:dyDescent="0.25">
      <c r="A2235" t="s">
        <v>97</v>
      </c>
      <c r="B2235" t="s">
        <v>109</v>
      </c>
      <c r="C2235" t="s">
        <v>96</v>
      </c>
      <c r="D2235" t="s">
        <v>92</v>
      </c>
      <c r="E2235" t="s">
        <v>44</v>
      </c>
      <c r="F2235" s="6">
        <v>0.67708333333333337</v>
      </c>
      <c r="G2235">
        <v>0</v>
      </c>
      <c r="H2235" s="6">
        <f>FLOOR(tblPivotData[[#This Row],[Time]],Summary!$B$6/1440)</f>
        <v>0.67708333333333326</v>
      </c>
      <c r="I2235" s="49">
        <f>INDEX(PeakCalc!$L$10:$L$303,MATCH(tblPivotData[[#This Row],[Time]],PeakCalc!$G$10:$G$303,0))</f>
        <v>0</v>
      </c>
    </row>
    <row r="2236" spans="1:9" x14ac:dyDescent="0.25">
      <c r="A2236" t="s">
        <v>97</v>
      </c>
      <c r="B2236" t="s">
        <v>109</v>
      </c>
      <c r="C2236" t="s">
        <v>96</v>
      </c>
      <c r="D2236" t="s">
        <v>92</v>
      </c>
      <c r="E2236" t="s">
        <v>44</v>
      </c>
      <c r="F2236" s="6">
        <v>0.6875</v>
      </c>
      <c r="G2236">
        <v>0</v>
      </c>
      <c r="H2236" s="6">
        <f>FLOOR(tblPivotData[[#This Row],[Time]],Summary!$B$6/1440)</f>
        <v>0.6875</v>
      </c>
      <c r="I2236" s="49">
        <f>INDEX(PeakCalc!$L$10:$L$303,MATCH(tblPivotData[[#This Row],[Time]],PeakCalc!$G$10:$G$303,0))</f>
        <v>1</v>
      </c>
    </row>
    <row r="2237" spans="1:9" x14ac:dyDescent="0.25">
      <c r="A2237" t="s">
        <v>97</v>
      </c>
      <c r="B2237" t="s">
        <v>109</v>
      </c>
      <c r="C2237" t="s">
        <v>96</v>
      </c>
      <c r="D2237" t="s">
        <v>92</v>
      </c>
      <c r="E2237" t="s">
        <v>44</v>
      </c>
      <c r="F2237" s="6">
        <v>0.69791666666666663</v>
      </c>
      <c r="G2237">
        <v>0</v>
      </c>
      <c r="H2237" s="6">
        <f>FLOOR(tblPivotData[[#This Row],[Time]],Summary!$B$6/1440)</f>
        <v>0.69791666666666663</v>
      </c>
      <c r="I2237" s="49">
        <f>INDEX(PeakCalc!$L$10:$L$303,MATCH(tblPivotData[[#This Row],[Time]],PeakCalc!$G$10:$G$303,0))</f>
        <v>1</v>
      </c>
    </row>
    <row r="2238" spans="1:9" x14ac:dyDescent="0.25">
      <c r="A2238" t="s">
        <v>97</v>
      </c>
      <c r="B2238" t="s">
        <v>109</v>
      </c>
      <c r="C2238" t="s">
        <v>96</v>
      </c>
      <c r="D2238" t="s">
        <v>92</v>
      </c>
      <c r="E2238" t="s">
        <v>44</v>
      </c>
      <c r="F2238" s="6">
        <v>0.70833333333333337</v>
      </c>
      <c r="G2238">
        <v>0</v>
      </c>
      <c r="H2238" s="6">
        <f>FLOOR(tblPivotData[[#This Row],[Time]],Summary!$B$6/1440)</f>
        <v>0.70833333333333326</v>
      </c>
      <c r="I2238" s="49">
        <f>INDEX(PeakCalc!$L$10:$L$303,MATCH(tblPivotData[[#This Row],[Time]],PeakCalc!$G$10:$G$303,0))</f>
        <v>1</v>
      </c>
    </row>
    <row r="2239" spans="1:9" x14ac:dyDescent="0.25">
      <c r="A2239" t="s">
        <v>97</v>
      </c>
      <c r="B2239" t="s">
        <v>109</v>
      </c>
      <c r="C2239" t="s">
        <v>96</v>
      </c>
      <c r="D2239" t="s">
        <v>92</v>
      </c>
      <c r="E2239" t="s">
        <v>44</v>
      </c>
      <c r="F2239" s="6">
        <v>0.71875</v>
      </c>
      <c r="G2239">
        <v>0</v>
      </c>
      <c r="H2239" s="6">
        <f>FLOOR(tblPivotData[[#This Row],[Time]],Summary!$B$6/1440)</f>
        <v>0.71875</v>
      </c>
      <c r="I2239" s="49">
        <f>INDEX(PeakCalc!$L$10:$L$303,MATCH(tblPivotData[[#This Row],[Time]],PeakCalc!$G$10:$G$303,0))</f>
        <v>1</v>
      </c>
    </row>
    <row r="2240" spans="1:9" x14ac:dyDescent="0.25">
      <c r="A2240" t="s">
        <v>97</v>
      </c>
      <c r="B2240" t="s">
        <v>109</v>
      </c>
      <c r="C2240" t="s">
        <v>96</v>
      </c>
      <c r="D2240" t="s">
        <v>92</v>
      </c>
      <c r="E2240" t="s">
        <v>44</v>
      </c>
      <c r="F2240" s="6">
        <v>0.72916666666666663</v>
      </c>
      <c r="G2240">
        <v>0</v>
      </c>
      <c r="H2240" s="6">
        <f>FLOOR(tblPivotData[[#This Row],[Time]],Summary!$B$6/1440)</f>
        <v>0.72916666666666663</v>
      </c>
      <c r="I2240" s="49">
        <f>INDEX(PeakCalc!$L$10:$L$303,MATCH(tblPivotData[[#This Row],[Time]],PeakCalc!$G$10:$G$303,0))</f>
        <v>0</v>
      </c>
    </row>
    <row r="2241" spans="1:9" x14ac:dyDescent="0.25">
      <c r="A2241" t="s">
        <v>97</v>
      </c>
      <c r="B2241" t="s">
        <v>109</v>
      </c>
      <c r="C2241" t="s">
        <v>96</v>
      </c>
      <c r="D2241" t="s">
        <v>92</v>
      </c>
      <c r="E2241" t="s">
        <v>44</v>
      </c>
      <c r="F2241" s="6">
        <v>0.73958333333333337</v>
      </c>
      <c r="G2241">
        <v>0</v>
      </c>
      <c r="H2241" s="6">
        <f>FLOOR(tblPivotData[[#This Row],[Time]],Summary!$B$6/1440)</f>
        <v>0.73958333333333326</v>
      </c>
      <c r="I2241" s="49">
        <f>INDEX(PeakCalc!$L$10:$L$303,MATCH(tblPivotData[[#This Row],[Time]],PeakCalc!$G$10:$G$303,0))</f>
        <v>0</v>
      </c>
    </row>
    <row r="2242" spans="1:9" x14ac:dyDescent="0.25">
      <c r="A2242" t="s">
        <v>97</v>
      </c>
      <c r="B2242" t="s">
        <v>109</v>
      </c>
      <c r="C2242" t="s">
        <v>96</v>
      </c>
      <c r="D2242" t="s">
        <v>92</v>
      </c>
      <c r="E2242" t="s">
        <v>44</v>
      </c>
      <c r="F2242" s="6">
        <v>0.75</v>
      </c>
      <c r="G2242">
        <v>0</v>
      </c>
      <c r="H2242" s="6">
        <f>FLOOR(tblPivotData[[#This Row],[Time]],Summary!$B$6/1440)</f>
        <v>0.75</v>
      </c>
      <c r="I2242" s="49">
        <f>INDEX(PeakCalc!$L$10:$L$303,MATCH(tblPivotData[[#This Row],[Time]],PeakCalc!$G$10:$G$303,0))</f>
        <v>0</v>
      </c>
    </row>
    <row r="2243" spans="1:9" x14ac:dyDescent="0.25">
      <c r="A2243" t="s">
        <v>97</v>
      </c>
      <c r="B2243" t="s">
        <v>109</v>
      </c>
      <c r="C2243" t="s">
        <v>96</v>
      </c>
      <c r="D2243" t="s">
        <v>92</v>
      </c>
      <c r="E2243" t="s">
        <v>44</v>
      </c>
      <c r="F2243" s="6">
        <v>0.76041666666666663</v>
      </c>
      <c r="G2243">
        <v>0</v>
      </c>
      <c r="H2243" s="6">
        <f>FLOOR(tblPivotData[[#This Row],[Time]],Summary!$B$6/1440)</f>
        <v>0.76041666666666663</v>
      </c>
      <c r="I2243" s="49">
        <f>INDEX(PeakCalc!$L$10:$L$303,MATCH(tblPivotData[[#This Row],[Time]],PeakCalc!$G$10:$G$303,0))</f>
        <v>0</v>
      </c>
    </row>
    <row r="2244" spans="1:9" x14ac:dyDescent="0.25">
      <c r="A2244" t="s">
        <v>97</v>
      </c>
      <c r="B2244" t="s">
        <v>109</v>
      </c>
      <c r="C2244" t="s">
        <v>96</v>
      </c>
      <c r="D2244" t="s">
        <v>93</v>
      </c>
      <c r="E2244" t="s">
        <v>43</v>
      </c>
      <c r="F2244" s="6">
        <v>0.27083333333333331</v>
      </c>
      <c r="G2244">
        <v>0</v>
      </c>
      <c r="H2244" s="6">
        <f>FLOOR(tblPivotData[[#This Row],[Time]],Summary!$B$6/1440)</f>
        <v>0.27083333333333331</v>
      </c>
      <c r="I2244" s="49">
        <f>INDEX(PeakCalc!$L$10:$L$303,MATCH(tblPivotData[[#This Row],[Time]],PeakCalc!$G$10:$G$303,0))</f>
        <v>0</v>
      </c>
    </row>
    <row r="2245" spans="1:9" x14ac:dyDescent="0.25">
      <c r="A2245" t="s">
        <v>97</v>
      </c>
      <c r="B2245" t="s">
        <v>109</v>
      </c>
      <c r="C2245" t="s">
        <v>96</v>
      </c>
      <c r="D2245" t="s">
        <v>93</v>
      </c>
      <c r="E2245" t="s">
        <v>43</v>
      </c>
      <c r="F2245" s="6">
        <v>0.28125</v>
      </c>
      <c r="G2245">
        <v>0</v>
      </c>
      <c r="H2245" s="6">
        <f>FLOOR(tblPivotData[[#This Row],[Time]],Summary!$B$6/1440)</f>
        <v>0.28125</v>
      </c>
      <c r="I2245" s="49">
        <f>INDEX(PeakCalc!$L$10:$L$303,MATCH(tblPivotData[[#This Row],[Time]],PeakCalc!$G$10:$G$303,0))</f>
        <v>0</v>
      </c>
    </row>
    <row r="2246" spans="1:9" x14ac:dyDescent="0.25">
      <c r="A2246" t="s">
        <v>97</v>
      </c>
      <c r="B2246" t="s">
        <v>109</v>
      </c>
      <c r="C2246" t="s">
        <v>96</v>
      </c>
      <c r="D2246" t="s">
        <v>93</v>
      </c>
      <c r="E2246" t="s">
        <v>43</v>
      </c>
      <c r="F2246" s="6">
        <v>0.29166666666666669</v>
      </c>
      <c r="G2246">
        <v>0</v>
      </c>
      <c r="H2246" s="6">
        <f>FLOOR(tblPivotData[[#This Row],[Time]],Summary!$B$6/1440)</f>
        <v>0.29166666666666663</v>
      </c>
      <c r="I2246" s="49">
        <f>INDEX(PeakCalc!$L$10:$L$303,MATCH(tblPivotData[[#This Row],[Time]],PeakCalc!$G$10:$G$303,0))</f>
        <v>0</v>
      </c>
    </row>
    <row r="2247" spans="1:9" x14ac:dyDescent="0.25">
      <c r="A2247" t="s">
        <v>97</v>
      </c>
      <c r="B2247" t="s">
        <v>109</v>
      </c>
      <c r="C2247" t="s">
        <v>96</v>
      </c>
      <c r="D2247" t="s">
        <v>93</v>
      </c>
      <c r="E2247" t="s">
        <v>43</v>
      </c>
      <c r="F2247" s="6">
        <v>0.30208333333333331</v>
      </c>
      <c r="G2247">
        <v>0</v>
      </c>
      <c r="H2247" s="6">
        <f>FLOOR(tblPivotData[[#This Row],[Time]],Summary!$B$6/1440)</f>
        <v>0.30208333333333331</v>
      </c>
      <c r="I2247" s="49">
        <f>INDEX(PeakCalc!$L$10:$L$303,MATCH(tblPivotData[[#This Row],[Time]],PeakCalc!$G$10:$G$303,0))</f>
        <v>0</v>
      </c>
    </row>
    <row r="2248" spans="1:9" x14ac:dyDescent="0.25">
      <c r="A2248" t="s">
        <v>97</v>
      </c>
      <c r="B2248" t="s">
        <v>109</v>
      </c>
      <c r="C2248" t="s">
        <v>96</v>
      </c>
      <c r="D2248" t="s">
        <v>93</v>
      </c>
      <c r="E2248" t="s">
        <v>43</v>
      </c>
      <c r="F2248" s="6">
        <v>0.3125</v>
      </c>
      <c r="G2248">
        <v>0</v>
      </c>
      <c r="H2248" s="6">
        <f>FLOOR(tblPivotData[[#This Row],[Time]],Summary!$B$6/1440)</f>
        <v>0.3125</v>
      </c>
      <c r="I2248" s="49">
        <f>INDEX(PeakCalc!$L$10:$L$303,MATCH(tblPivotData[[#This Row],[Time]],PeakCalc!$G$10:$G$303,0))</f>
        <v>0</v>
      </c>
    </row>
    <row r="2249" spans="1:9" x14ac:dyDescent="0.25">
      <c r="A2249" t="s">
        <v>97</v>
      </c>
      <c r="B2249" t="s">
        <v>109</v>
      </c>
      <c r="C2249" t="s">
        <v>96</v>
      </c>
      <c r="D2249" t="s">
        <v>93</v>
      </c>
      <c r="E2249" t="s">
        <v>43</v>
      </c>
      <c r="F2249" s="6">
        <v>0.32291666666666669</v>
      </c>
      <c r="G2249">
        <v>0</v>
      </c>
      <c r="H2249" s="6">
        <f>FLOOR(tblPivotData[[#This Row],[Time]],Summary!$B$6/1440)</f>
        <v>0.32291666666666663</v>
      </c>
      <c r="I2249" s="49">
        <f>INDEX(PeakCalc!$L$10:$L$303,MATCH(tblPivotData[[#This Row],[Time]],PeakCalc!$G$10:$G$303,0))</f>
        <v>1</v>
      </c>
    </row>
    <row r="2250" spans="1:9" x14ac:dyDescent="0.25">
      <c r="A2250" t="s">
        <v>97</v>
      </c>
      <c r="B2250" t="s">
        <v>109</v>
      </c>
      <c r="C2250" t="s">
        <v>96</v>
      </c>
      <c r="D2250" t="s">
        <v>93</v>
      </c>
      <c r="E2250" t="s">
        <v>43</v>
      </c>
      <c r="F2250" s="6">
        <v>0.33333333333333331</v>
      </c>
      <c r="G2250">
        <v>0</v>
      </c>
      <c r="H2250" s="6">
        <f>FLOOR(tblPivotData[[#This Row],[Time]],Summary!$B$6/1440)</f>
        <v>0.33333333333333331</v>
      </c>
      <c r="I2250" s="49">
        <f>INDEX(PeakCalc!$L$10:$L$303,MATCH(tblPivotData[[#This Row],[Time]],PeakCalc!$G$10:$G$303,0))</f>
        <v>1</v>
      </c>
    </row>
    <row r="2251" spans="1:9" x14ac:dyDescent="0.25">
      <c r="A2251" t="s">
        <v>97</v>
      </c>
      <c r="B2251" t="s">
        <v>109</v>
      </c>
      <c r="C2251" t="s">
        <v>96</v>
      </c>
      <c r="D2251" t="s">
        <v>93</v>
      </c>
      <c r="E2251" t="s">
        <v>43</v>
      </c>
      <c r="F2251" s="6">
        <v>0.34375</v>
      </c>
      <c r="G2251">
        <v>0</v>
      </c>
      <c r="H2251" s="6">
        <f>FLOOR(tblPivotData[[#This Row],[Time]],Summary!$B$6/1440)</f>
        <v>0.34375</v>
      </c>
      <c r="I2251" s="49">
        <f>INDEX(PeakCalc!$L$10:$L$303,MATCH(tblPivotData[[#This Row],[Time]],PeakCalc!$G$10:$G$303,0))</f>
        <v>1</v>
      </c>
    </row>
    <row r="2252" spans="1:9" x14ac:dyDescent="0.25">
      <c r="A2252" t="s">
        <v>97</v>
      </c>
      <c r="B2252" t="s">
        <v>109</v>
      </c>
      <c r="C2252" t="s">
        <v>96</v>
      </c>
      <c r="D2252" t="s">
        <v>93</v>
      </c>
      <c r="E2252" t="s">
        <v>43</v>
      </c>
      <c r="F2252" s="6">
        <v>0.35416666666666669</v>
      </c>
      <c r="G2252">
        <v>0</v>
      </c>
      <c r="H2252" s="6">
        <f>FLOOR(tblPivotData[[#This Row],[Time]],Summary!$B$6/1440)</f>
        <v>0.35416666666666663</v>
      </c>
      <c r="I2252" s="49">
        <f>INDEX(PeakCalc!$L$10:$L$303,MATCH(tblPivotData[[#This Row],[Time]],PeakCalc!$G$10:$G$303,0))</f>
        <v>1</v>
      </c>
    </row>
    <row r="2253" spans="1:9" x14ac:dyDescent="0.25">
      <c r="A2253" t="s">
        <v>97</v>
      </c>
      <c r="B2253" t="s">
        <v>109</v>
      </c>
      <c r="C2253" t="s">
        <v>96</v>
      </c>
      <c r="D2253" t="s">
        <v>93</v>
      </c>
      <c r="E2253" t="s">
        <v>43</v>
      </c>
      <c r="F2253" s="6">
        <v>0.36458333333333331</v>
      </c>
      <c r="G2253">
        <v>0</v>
      </c>
      <c r="H2253" s="6">
        <f>FLOOR(tblPivotData[[#This Row],[Time]],Summary!$B$6/1440)</f>
        <v>0.36458333333333331</v>
      </c>
      <c r="I2253" s="49">
        <f>INDEX(PeakCalc!$L$10:$L$303,MATCH(tblPivotData[[#This Row],[Time]],PeakCalc!$G$10:$G$303,0))</f>
        <v>0</v>
      </c>
    </row>
    <row r="2254" spans="1:9" x14ac:dyDescent="0.25">
      <c r="A2254" t="s">
        <v>97</v>
      </c>
      <c r="B2254" t="s">
        <v>109</v>
      </c>
      <c r="C2254" t="s">
        <v>96</v>
      </c>
      <c r="D2254" t="s">
        <v>93</v>
      </c>
      <c r="E2254" t="s">
        <v>43</v>
      </c>
      <c r="F2254" s="6">
        <v>0.375</v>
      </c>
      <c r="G2254">
        <v>0</v>
      </c>
      <c r="H2254" s="6">
        <f>FLOOR(tblPivotData[[#This Row],[Time]],Summary!$B$6/1440)</f>
        <v>0.375</v>
      </c>
      <c r="I2254" s="49">
        <f>INDEX(PeakCalc!$L$10:$L$303,MATCH(tblPivotData[[#This Row],[Time]],PeakCalc!$G$10:$G$303,0))</f>
        <v>0</v>
      </c>
    </row>
    <row r="2255" spans="1:9" x14ac:dyDescent="0.25">
      <c r="A2255" t="s">
        <v>97</v>
      </c>
      <c r="B2255" t="s">
        <v>109</v>
      </c>
      <c r="C2255" t="s">
        <v>96</v>
      </c>
      <c r="D2255" t="s">
        <v>93</v>
      </c>
      <c r="E2255" t="s">
        <v>43</v>
      </c>
      <c r="F2255" s="6">
        <v>0.38541666666666669</v>
      </c>
      <c r="G2255">
        <v>0</v>
      </c>
      <c r="H2255" s="6">
        <f>FLOOR(tblPivotData[[#This Row],[Time]],Summary!$B$6/1440)</f>
        <v>0.38541666666666663</v>
      </c>
      <c r="I2255" s="49">
        <f>INDEX(PeakCalc!$L$10:$L$303,MATCH(tblPivotData[[#This Row],[Time]],PeakCalc!$G$10:$G$303,0))</f>
        <v>0</v>
      </c>
    </row>
    <row r="2256" spans="1:9" x14ac:dyDescent="0.25">
      <c r="A2256" t="s">
        <v>97</v>
      </c>
      <c r="B2256" t="s">
        <v>109</v>
      </c>
      <c r="C2256" t="s">
        <v>96</v>
      </c>
      <c r="D2256" t="s">
        <v>93</v>
      </c>
      <c r="E2256" t="s">
        <v>110</v>
      </c>
      <c r="F2256" s="6">
        <v>0.45833333333333331</v>
      </c>
      <c r="G2256">
        <v>0</v>
      </c>
      <c r="H2256" s="6">
        <f>FLOOR(tblPivotData[[#This Row],[Time]],Summary!$B$6/1440)</f>
        <v>0.45833333333333331</v>
      </c>
      <c r="I2256" s="49">
        <f>INDEX(PeakCalc!$L$10:$L$303,MATCH(tblPivotData[[#This Row],[Time]],PeakCalc!$G$10:$G$303,0))</f>
        <v>0</v>
      </c>
    </row>
    <row r="2257" spans="1:9" x14ac:dyDescent="0.25">
      <c r="A2257" t="s">
        <v>97</v>
      </c>
      <c r="B2257" t="s">
        <v>109</v>
      </c>
      <c r="C2257" t="s">
        <v>96</v>
      </c>
      <c r="D2257" t="s">
        <v>93</v>
      </c>
      <c r="E2257" t="s">
        <v>110</v>
      </c>
      <c r="F2257" s="6">
        <v>0.46875</v>
      </c>
      <c r="G2257">
        <v>0</v>
      </c>
      <c r="H2257" s="6">
        <f>FLOOR(tblPivotData[[#This Row],[Time]],Summary!$B$6/1440)</f>
        <v>0.46875</v>
      </c>
      <c r="I2257" s="49">
        <f>INDEX(PeakCalc!$L$10:$L$303,MATCH(tblPivotData[[#This Row],[Time]],PeakCalc!$G$10:$G$303,0))</f>
        <v>0</v>
      </c>
    </row>
    <row r="2258" spans="1:9" x14ac:dyDescent="0.25">
      <c r="A2258" t="s">
        <v>97</v>
      </c>
      <c r="B2258" t="s">
        <v>109</v>
      </c>
      <c r="C2258" t="s">
        <v>96</v>
      </c>
      <c r="D2258" t="s">
        <v>93</v>
      </c>
      <c r="E2258" t="s">
        <v>110</v>
      </c>
      <c r="F2258" s="6">
        <v>0.47916666666666669</v>
      </c>
      <c r="G2258">
        <v>0</v>
      </c>
      <c r="H2258" s="6">
        <f>FLOOR(tblPivotData[[#This Row],[Time]],Summary!$B$6/1440)</f>
        <v>0.47916666666666663</v>
      </c>
      <c r="I2258" s="49">
        <f>INDEX(PeakCalc!$L$10:$L$303,MATCH(tblPivotData[[#This Row],[Time]],PeakCalc!$G$10:$G$303,0))</f>
        <v>0</v>
      </c>
    </row>
    <row r="2259" spans="1:9" x14ac:dyDescent="0.25">
      <c r="A2259" t="s">
        <v>97</v>
      </c>
      <c r="B2259" t="s">
        <v>109</v>
      </c>
      <c r="C2259" t="s">
        <v>96</v>
      </c>
      <c r="D2259" t="s">
        <v>93</v>
      </c>
      <c r="E2259" t="s">
        <v>110</v>
      </c>
      <c r="F2259" s="6">
        <v>0.48958333333333331</v>
      </c>
      <c r="G2259">
        <v>0</v>
      </c>
      <c r="H2259" s="6">
        <f>FLOOR(tblPivotData[[#This Row],[Time]],Summary!$B$6/1440)</f>
        <v>0.48958333333333331</v>
      </c>
      <c r="I2259" s="49">
        <f>INDEX(PeakCalc!$L$10:$L$303,MATCH(tblPivotData[[#This Row],[Time]],PeakCalc!$G$10:$G$303,0))</f>
        <v>0</v>
      </c>
    </row>
    <row r="2260" spans="1:9" x14ac:dyDescent="0.25">
      <c r="A2260" t="s">
        <v>97</v>
      </c>
      <c r="B2260" t="s">
        <v>109</v>
      </c>
      <c r="C2260" t="s">
        <v>96</v>
      </c>
      <c r="D2260" t="s">
        <v>93</v>
      </c>
      <c r="E2260" t="s">
        <v>110</v>
      </c>
      <c r="F2260" s="6">
        <v>0.5</v>
      </c>
      <c r="G2260">
        <v>0</v>
      </c>
      <c r="H2260" s="6">
        <f>FLOOR(tblPivotData[[#This Row],[Time]],Summary!$B$6/1440)</f>
        <v>0.5</v>
      </c>
      <c r="I2260" s="49">
        <f>INDEX(PeakCalc!$L$10:$L$303,MATCH(tblPivotData[[#This Row],[Time]],PeakCalc!$G$10:$G$303,0))</f>
        <v>0</v>
      </c>
    </row>
    <row r="2261" spans="1:9" x14ac:dyDescent="0.25">
      <c r="A2261" t="s">
        <v>97</v>
      </c>
      <c r="B2261" t="s">
        <v>109</v>
      </c>
      <c r="C2261" t="s">
        <v>96</v>
      </c>
      <c r="D2261" t="s">
        <v>93</v>
      </c>
      <c r="E2261" t="s">
        <v>110</v>
      </c>
      <c r="F2261" s="6">
        <v>0.51041666666666663</v>
      </c>
      <c r="G2261">
        <v>0</v>
      </c>
      <c r="H2261" s="6">
        <f>FLOOR(tblPivotData[[#This Row],[Time]],Summary!$B$6/1440)</f>
        <v>0.51041666666666663</v>
      </c>
      <c r="I2261" s="49">
        <f>INDEX(PeakCalc!$L$10:$L$303,MATCH(tblPivotData[[#This Row],[Time]],PeakCalc!$G$10:$G$303,0))</f>
        <v>0</v>
      </c>
    </row>
    <row r="2262" spans="1:9" x14ac:dyDescent="0.25">
      <c r="A2262" t="s">
        <v>97</v>
      </c>
      <c r="B2262" t="s">
        <v>109</v>
      </c>
      <c r="C2262" t="s">
        <v>96</v>
      </c>
      <c r="D2262" t="s">
        <v>93</v>
      </c>
      <c r="E2262" t="s">
        <v>110</v>
      </c>
      <c r="F2262" s="6">
        <v>0.52083333333333337</v>
      </c>
      <c r="G2262">
        <v>0</v>
      </c>
      <c r="H2262" s="6">
        <f>FLOOR(tblPivotData[[#This Row],[Time]],Summary!$B$6/1440)</f>
        <v>0.52083333333333326</v>
      </c>
      <c r="I2262" s="49">
        <f>INDEX(PeakCalc!$L$10:$L$303,MATCH(tblPivotData[[#This Row],[Time]],PeakCalc!$G$10:$G$303,0))</f>
        <v>1</v>
      </c>
    </row>
    <row r="2263" spans="1:9" x14ac:dyDescent="0.25">
      <c r="A2263" t="s">
        <v>97</v>
      </c>
      <c r="B2263" t="s">
        <v>109</v>
      </c>
      <c r="C2263" t="s">
        <v>96</v>
      </c>
      <c r="D2263" t="s">
        <v>93</v>
      </c>
      <c r="E2263" t="s">
        <v>110</v>
      </c>
      <c r="F2263" s="6">
        <v>0.53125</v>
      </c>
      <c r="G2263">
        <v>0</v>
      </c>
      <c r="H2263" s="6">
        <f>FLOOR(tblPivotData[[#This Row],[Time]],Summary!$B$6/1440)</f>
        <v>0.53125</v>
      </c>
      <c r="I2263" s="49">
        <f>INDEX(PeakCalc!$L$10:$L$303,MATCH(tblPivotData[[#This Row],[Time]],PeakCalc!$G$10:$G$303,0))</f>
        <v>1</v>
      </c>
    </row>
    <row r="2264" spans="1:9" x14ac:dyDescent="0.25">
      <c r="A2264" t="s">
        <v>97</v>
      </c>
      <c r="B2264" t="s">
        <v>109</v>
      </c>
      <c r="C2264" t="s">
        <v>96</v>
      </c>
      <c r="D2264" t="s">
        <v>93</v>
      </c>
      <c r="E2264" t="s">
        <v>110</v>
      </c>
      <c r="F2264" s="6">
        <v>0.54166666666666663</v>
      </c>
      <c r="G2264">
        <v>0</v>
      </c>
      <c r="H2264" s="6">
        <f>FLOOR(tblPivotData[[#This Row],[Time]],Summary!$B$6/1440)</f>
        <v>0.54166666666666663</v>
      </c>
      <c r="I2264" s="49">
        <f>INDEX(PeakCalc!$L$10:$L$303,MATCH(tblPivotData[[#This Row],[Time]],PeakCalc!$G$10:$G$303,0))</f>
        <v>1</v>
      </c>
    </row>
    <row r="2265" spans="1:9" x14ac:dyDescent="0.25">
      <c r="A2265" t="s">
        <v>97</v>
      </c>
      <c r="B2265" t="s">
        <v>109</v>
      </c>
      <c r="C2265" t="s">
        <v>96</v>
      </c>
      <c r="D2265" t="s">
        <v>93</v>
      </c>
      <c r="E2265" t="s">
        <v>110</v>
      </c>
      <c r="F2265" s="6">
        <v>0.55208333333333337</v>
      </c>
      <c r="G2265">
        <v>0</v>
      </c>
      <c r="H2265" s="6">
        <f>FLOOR(tblPivotData[[#This Row],[Time]],Summary!$B$6/1440)</f>
        <v>0.55208333333333326</v>
      </c>
      <c r="I2265" s="49">
        <f>INDEX(PeakCalc!$L$10:$L$303,MATCH(tblPivotData[[#This Row],[Time]],PeakCalc!$G$10:$G$303,0))</f>
        <v>1</v>
      </c>
    </row>
    <row r="2266" spans="1:9" x14ac:dyDescent="0.25">
      <c r="A2266" t="s">
        <v>97</v>
      </c>
      <c r="B2266" t="s">
        <v>109</v>
      </c>
      <c r="C2266" t="s">
        <v>96</v>
      </c>
      <c r="D2266" t="s">
        <v>93</v>
      </c>
      <c r="E2266" t="s">
        <v>110</v>
      </c>
      <c r="F2266" s="6">
        <v>0.5625</v>
      </c>
      <c r="G2266">
        <v>0</v>
      </c>
      <c r="H2266" s="6">
        <f>FLOOR(tblPivotData[[#This Row],[Time]],Summary!$B$6/1440)</f>
        <v>0.5625</v>
      </c>
      <c r="I2266" s="49">
        <f>INDEX(PeakCalc!$L$10:$L$303,MATCH(tblPivotData[[#This Row],[Time]],PeakCalc!$G$10:$G$303,0))</f>
        <v>0</v>
      </c>
    </row>
    <row r="2267" spans="1:9" x14ac:dyDescent="0.25">
      <c r="A2267" t="s">
        <v>97</v>
      </c>
      <c r="B2267" t="s">
        <v>109</v>
      </c>
      <c r="C2267" t="s">
        <v>96</v>
      </c>
      <c r="D2267" t="s">
        <v>93</v>
      </c>
      <c r="E2267" t="s">
        <v>110</v>
      </c>
      <c r="F2267" s="6">
        <v>0.57291666666666663</v>
      </c>
      <c r="G2267">
        <v>0</v>
      </c>
      <c r="H2267" s="6">
        <f>FLOOR(tblPivotData[[#This Row],[Time]],Summary!$B$6/1440)</f>
        <v>0.57291666666666663</v>
      </c>
      <c r="I2267" s="49">
        <f>INDEX(PeakCalc!$L$10:$L$303,MATCH(tblPivotData[[#This Row],[Time]],PeakCalc!$G$10:$G$303,0))</f>
        <v>0</v>
      </c>
    </row>
    <row r="2268" spans="1:9" x14ac:dyDescent="0.25">
      <c r="A2268" t="s">
        <v>97</v>
      </c>
      <c r="B2268" t="s">
        <v>109</v>
      </c>
      <c r="C2268" t="s">
        <v>96</v>
      </c>
      <c r="D2268" t="s">
        <v>93</v>
      </c>
      <c r="E2268" t="s">
        <v>44</v>
      </c>
      <c r="F2268" s="6">
        <v>0.625</v>
      </c>
      <c r="G2268">
        <v>0</v>
      </c>
      <c r="H2268" s="6">
        <f>FLOOR(tblPivotData[[#This Row],[Time]],Summary!$B$6/1440)</f>
        <v>0.625</v>
      </c>
      <c r="I2268" s="49">
        <f>INDEX(PeakCalc!$L$10:$L$303,MATCH(tblPivotData[[#This Row],[Time]],PeakCalc!$G$10:$G$303,0))</f>
        <v>0</v>
      </c>
    </row>
    <row r="2269" spans="1:9" x14ac:dyDescent="0.25">
      <c r="A2269" t="s">
        <v>97</v>
      </c>
      <c r="B2269" t="s">
        <v>109</v>
      </c>
      <c r="C2269" t="s">
        <v>96</v>
      </c>
      <c r="D2269" t="s">
        <v>93</v>
      </c>
      <c r="E2269" t="s">
        <v>44</v>
      </c>
      <c r="F2269" s="6">
        <v>0.63541666666666663</v>
      </c>
      <c r="G2269">
        <v>0</v>
      </c>
      <c r="H2269" s="6">
        <f>FLOOR(tblPivotData[[#This Row],[Time]],Summary!$B$6/1440)</f>
        <v>0.63541666666666663</v>
      </c>
      <c r="I2269" s="49">
        <f>INDEX(PeakCalc!$L$10:$L$303,MATCH(tblPivotData[[#This Row],[Time]],PeakCalc!$G$10:$G$303,0))</f>
        <v>0</v>
      </c>
    </row>
    <row r="2270" spans="1:9" x14ac:dyDescent="0.25">
      <c r="A2270" t="s">
        <v>97</v>
      </c>
      <c r="B2270" t="s">
        <v>109</v>
      </c>
      <c r="C2270" t="s">
        <v>96</v>
      </c>
      <c r="D2270" t="s">
        <v>93</v>
      </c>
      <c r="E2270" t="s">
        <v>44</v>
      </c>
      <c r="F2270" s="6">
        <v>0.64583333333333337</v>
      </c>
      <c r="G2270">
        <v>0</v>
      </c>
      <c r="H2270" s="6">
        <f>FLOOR(tblPivotData[[#This Row],[Time]],Summary!$B$6/1440)</f>
        <v>0.64583333333333326</v>
      </c>
      <c r="I2270" s="49">
        <f>INDEX(PeakCalc!$L$10:$L$303,MATCH(tblPivotData[[#This Row],[Time]],PeakCalc!$G$10:$G$303,0))</f>
        <v>0</v>
      </c>
    </row>
    <row r="2271" spans="1:9" x14ac:dyDescent="0.25">
      <c r="A2271" t="s">
        <v>97</v>
      </c>
      <c r="B2271" t="s">
        <v>109</v>
      </c>
      <c r="C2271" t="s">
        <v>96</v>
      </c>
      <c r="D2271" t="s">
        <v>93</v>
      </c>
      <c r="E2271" t="s">
        <v>44</v>
      </c>
      <c r="F2271" s="6">
        <v>0.65625</v>
      </c>
      <c r="G2271">
        <v>0</v>
      </c>
      <c r="H2271" s="6">
        <f>FLOOR(tblPivotData[[#This Row],[Time]],Summary!$B$6/1440)</f>
        <v>0.65625</v>
      </c>
      <c r="I2271" s="49">
        <f>INDEX(PeakCalc!$L$10:$L$303,MATCH(tblPivotData[[#This Row],[Time]],PeakCalc!$G$10:$G$303,0))</f>
        <v>0</v>
      </c>
    </row>
    <row r="2272" spans="1:9" x14ac:dyDescent="0.25">
      <c r="A2272" t="s">
        <v>97</v>
      </c>
      <c r="B2272" t="s">
        <v>109</v>
      </c>
      <c r="C2272" t="s">
        <v>96</v>
      </c>
      <c r="D2272" t="s">
        <v>93</v>
      </c>
      <c r="E2272" t="s">
        <v>44</v>
      </c>
      <c r="F2272" s="6">
        <v>0.66666666666666663</v>
      </c>
      <c r="G2272">
        <v>0</v>
      </c>
      <c r="H2272" s="6">
        <f>FLOOR(tblPivotData[[#This Row],[Time]],Summary!$B$6/1440)</f>
        <v>0.66666666666666663</v>
      </c>
      <c r="I2272" s="49">
        <f>INDEX(PeakCalc!$L$10:$L$303,MATCH(tblPivotData[[#This Row],[Time]],PeakCalc!$G$10:$G$303,0))</f>
        <v>0</v>
      </c>
    </row>
    <row r="2273" spans="1:9" x14ac:dyDescent="0.25">
      <c r="A2273" t="s">
        <v>97</v>
      </c>
      <c r="B2273" t="s">
        <v>109</v>
      </c>
      <c r="C2273" t="s">
        <v>96</v>
      </c>
      <c r="D2273" t="s">
        <v>93</v>
      </c>
      <c r="E2273" t="s">
        <v>44</v>
      </c>
      <c r="F2273" s="6">
        <v>0.67708333333333337</v>
      </c>
      <c r="G2273">
        <v>0</v>
      </c>
      <c r="H2273" s="6">
        <f>FLOOR(tblPivotData[[#This Row],[Time]],Summary!$B$6/1440)</f>
        <v>0.67708333333333326</v>
      </c>
      <c r="I2273" s="49">
        <f>INDEX(PeakCalc!$L$10:$L$303,MATCH(tblPivotData[[#This Row],[Time]],PeakCalc!$G$10:$G$303,0))</f>
        <v>0</v>
      </c>
    </row>
    <row r="2274" spans="1:9" x14ac:dyDescent="0.25">
      <c r="A2274" t="s">
        <v>97</v>
      </c>
      <c r="B2274" t="s">
        <v>109</v>
      </c>
      <c r="C2274" t="s">
        <v>96</v>
      </c>
      <c r="D2274" t="s">
        <v>93</v>
      </c>
      <c r="E2274" t="s">
        <v>44</v>
      </c>
      <c r="F2274" s="6">
        <v>0.6875</v>
      </c>
      <c r="G2274">
        <v>0</v>
      </c>
      <c r="H2274" s="6">
        <f>FLOOR(tblPivotData[[#This Row],[Time]],Summary!$B$6/1440)</f>
        <v>0.6875</v>
      </c>
      <c r="I2274" s="49">
        <f>INDEX(PeakCalc!$L$10:$L$303,MATCH(tblPivotData[[#This Row],[Time]],PeakCalc!$G$10:$G$303,0))</f>
        <v>1</v>
      </c>
    </row>
    <row r="2275" spans="1:9" x14ac:dyDescent="0.25">
      <c r="A2275" t="s">
        <v>97</v>
      </c>
      <c r="B2275" t="s">
        <v>109</v>
      </c>
      <c r="C2275" t="s">
        <v>96</v>
      </c>
      <c r="D2275" t="s">
        <v>93</v>
      </c>
      <c r="E2275" t="s">
        <v>44</v>
      </c>
      <c r="F2275" s="6">
        <v>0.69791666666666663</v>
      </c>
      <c r="G2275">
        <v>0</v>
      </c>
      <c r="H2275" s="6">
        <f>FLOOR(tblPivotData[[#This Row],[Time]],Summary!$B$6/1440)</f>
        <v>0.69791666666666663</v>
      </c>
      <c r="I2275" s="49">
        <f>INDEX(PeakCalc!$L$10:$L$303,MATCH(tblPivotData[[#This Row],[Time]],PeakCalc!$G$10:$G$303,0))</f>
        <v>1</v>
      </c>
    </row>
    <row r="2276" spans="1:9" x14ac:dyDescent="0.25">
      <c r="A2276" t="s">
        <v>97</v>
      </c>
      <c r="B2276" t="s">
        <v>109</v>
      </c>
      <c r="C2276" t="s">
        <v>96</v>
      </c>
      <c r="D2276" t="s">
        <v>93</v>
      </c>
      <c r="E2276" t="s">
        <v>44</v>
      </c>
      <c r="F2276" s="6">
        <v>0.70833333333333337</v>
      </c>
      <c r="G2276">
        <v>0</v>
      </c>
      <c r="H2276" s="6">
        <f>FLOOR(tblPivotData[[#This Row],[Time]],Summary!$B$6/1440)</f>
        <v>0.70833333333333326</v>
      </c>
      <c r="I2276" s="49">
        <f>INDEX(PeakCalc!$L$10:$L$303,MATCH(tblPivotData[[#This Row],[Time]],PeakCalc!$G$10:$G$303,0))</f>
        <v>1</v>
      </c>
    </row>
    <row r="2277" spans="1:9" x14ac:dyDescent="0.25">
      <c r="A2277" t="s">
        <v>97</v>
      </c>
      <c r="B2277" t="s">
        <v>109</v>
      </c>
      <c r="C2277" t="s">
        <v>96</v>
      </c>
      <c r="D2277" t="s">
        <v>93</v>
      </c>
      <c r="E2277" t="s">
        <v>44</v>
      </c>
      <c r="F2277" s="6">
        <v>0.71875</v>
      </c>
      <c r="G2277">
        <v>0</v>
      </c>
      <c r="H2277" s="6">
        <f>FLOOR(tblPivotData[[#This Row],[Time]],Summary!$B$6/1440)</f>
        <v>0.71875</v>
      </c>
      <c r="I2277" s="49">
        <f>INDEX(PeakCalc!$L$10:$L$303,MATCH(tblPivotData[[#This Row],[Time]],PeakCalc!$G$10:$G$303,0))</f>
        <v>1</v>
      </c>
    </row>
    <row r="2278" spans="1:9" x14ac:dyDescent="0.25">
      <c r="A2278" t="s">
        <v>97</v>
      </c>
      <c r="B2278" t="s">
        <v>109</v>
      </c>
      <c r="C2278" t="s">
        <v>96</v>
      </c>
      <c r="D2278" t="s">
        <v>93</v>
      </c>
      <c r="E2278" t="s">
        <v>44</v>
      </c>
      <c r="F2278" s="6">
        <v>0.72916666666666663</v>
      </c>
      <c r="G2278">
        <v>0</v>
      </c>
      <c r="H2278" s="6">
        <f>FLOOR(tblPivotData[[#This Row],[Time]],Summary!$B$6/1440)</f>
        <v>0.72916666666666663</v>
      </c>
      <c r="I2278" s="49">
        <f>INDEX(PeakCalc!$L$10:$L$303,MATCH(tblPivotData[[#This Row],[Time]],PeakCalc!$G$10:$G$303,0))</f>
        <v>0</v>
      </c>
    </row>
    <row r="2279" spans="1:9" x14ac:dyDescent="0.25">
      <c r="A2279" t="s">
        <v>97</v>
      </c>
      <c r="B2279" t="s">
        <v>109</v>
      </c>
      <c r="C2279" t="s">
        <v>96</v>
      </c>
      <c r="D2279" t="s">
        <v>93</v>
      </c>
      <c r="E2279" t="s">
        <v>44</v>
      </c>
      <c r="F2279" s="6">
        <v>0.73958333333333337</v>
      </c>
      <c r="G2279">
        <v>0</v>
      </c>
      <c r="H2279" s="6">
        <f>FLOOR(tblPivotData[[#This Row],[Time]],Summary!$B$6/1440)</f>
        <v>0.73958333333333326</v>
      </c>
      <c r="I2279" s="49">
        <f>INDEX(PeakCalc!$L$10:$L$303,MATCH(tblPivotData[[#This Row],[Time]],PeakCalc!$G$10:$G$303,0))</f>
        <v>0</v>
      </c>
    </row>
    <row r="2280" spans="1:9" x14ac:dyDescent="0.25">
      <c r="A2280" t="s">
        <v>97</v>
      </c>
      <c r="B2280" t="s">
        <v>109</v>
      </c>
      <c r="C2280" t="s">
        <v>96</v>
      </c>
      <c r="D2280" t="s">
        <v>93</v>
      </c>
      <c r="E2280" t="s">
        <v>44</v>
      </c>
      <c r="F2280" s="6">
        <v>0.75</v>
      </c>
      <c r="G2280">
        <v>0</v>
      </c>
      <c r="H2280" s="6">
        <f>FLOOR(tblPivotData[[#This Row],[Time]],Summary!$B$6/1440)</f>
        <v>0.75</v>
      </c>
      <c r="I2280" s="49">
        <f>INDEX(PeakCalc!$L$10:$L$303,MATCH(tblPivotData[[#This Row],[Time]],PeakCalc!$G$10:$G$303,0))</f>
        <v>0</v>
      </c>
    </row>
    <row r="2281" spans="1:9" x14ac:dyDescent="0.25">
      <c r="A2281" t="s">
        <v>97</v>
      </c>
      <c r="B2281" t="s">
        <v>109</v>
      </c>
      <c r="C2281" t="s">
        <v>96</v>
      </c>
      <c r="D2281" t="s">
        <v>93</v>
      </c>
      <c r="E2281" t="s">
        <v>44</v>
      </c>
      <c r="F2281" s="6">
        <v>0.76041666666666663</v>
      </c>
      <c r="G2281">
        <v>0</v>
      </c>
      <c r="H2281" s="6">
        <f>FLOOR(tblPivotData[[#This Row],[Time]],Summary!$B$6/1440)</f>
        <v>0.76041666666666663</v>
      </c>
      <c r="I22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A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9" ht="18.75" x14ac:dyDescent="0.3">
      <c r="B2" s="3" t="s">
        <v>78</v>
      </c>
    </row>
    <row r="4" spans="2:79" x14ac:dyDescent="0.25">
      <c r="B4" t="s">
        <v>76</v>
      </c>
    </row>
    <row r="6" spans="2:79" x14ac:dyDescent="0.25">
      <c r="B6" s="12">
        <v>15</v>
      </c>
      <c r="C6" t="s">
        <v>34</v>
      </c>
    </row>
    <row r="8" spans="2:79" x14ac:dyDescent="0.25">
      <c r="B8" t="s">
        <v>77</v>
      </c>
    </row>
    <row r="10" spans="2:79"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row>
    <row r="11" spans="2:79" x14ac:dyDescent="0.25">
      <c r="B11" s="25"/>
      <c r="C11" s="53" t="s">
        <v>94</v>
      </c>
      <c r="D11" s="54"/>
      <c r="E11" s="54"/>
      <c r="F11" s="54"/>
      <c r="G11" s="54"/>
      <c r="H11" s="54"/>
      <c r="I11" s="54"/>
      <c r="J11" s="54"/>
      <c r="K11" s="54"/>
      <c r="L11" s="54"/>
      <c r="M11" s="54"/>
      <c r="N11" s="54"/>
      <c r="O11" s="54"/>
      <c r="P11" s="54"/>
      <c r="Q11" s="54"/>
      <c r="R11" s="54"/>
      <c r="S11" s="54"/>
      <c r="T11" s="54"/>
      <c r="U11" s="51" t="s">
        <v>112</v>
      </c>
      <c r="V11" s="53" t="s">
        <v>95</v>
      </c>
      <c r="W11" s="54"/>
      <c r="X11" s="54"/>
      <c r="Y11" s="54"/>
      <c r="Z11" s="54"/>
      <c r="AA11" s="54"/>
      <c r="AB11" s="54"/>
      <c r="AC11" s="54"/>
      <c r="AD11" s="54"/>
      <c r="AE11" s="54"/>
      <c r="AF11" s="54"/>
      <c r="AG11" s="54"/>
      <c r="AH11" s="54"/>
      <c r="AI11" s="54"/>
      <c r="AJ11" s="54"/>
      <c r="AK11" s="54"/>
      <c r="AL11" s="54"/>
      <c r="AM11" s="54"/>
      <c r="AN11" s="51" t="s">
        <v>113</v>
      </c>
      <c r="AO11" s="53" t="s">
        <v>96</v>
      </c>
      <c r="AP11" s="54"/>
      <c r="AQ11" s="54"/>
      <c r="AR11" s="54"/>
      <c r="AS11" s="54"/>
      <c r="AT11" s="54"/>
      <c r="AU11" s="54"/>
      <c r="AV11" s="54"/>
      <c r="AW11" s="54"/>
      <c r="AX11" s="54"/>
      <c r="AY11" s="54"/>
      <c r="AZ11" s="54"/>
      <c r="BA11" s="54"/>
      <c r="BB11" s="54"/>
      <c r="BC11" s="54"/>
      <c r="BD11" s="54"/>
      <c r="BE11" s="54"/>
      <c r="BF11" s="54"/>
      <c r="BG11" s="51" t="s">
        <v>114</v>
      </c>
      <c r="BH11" s="53" t="s">
        <v>97</v>
      </c>
      <c r="BI11" s="54"/>
      <c r="BJ11" s="54"/>
      <c r="BK11" s="54"/>
      <c r="BL11" s="54"/>
      <c r="BM11" s="54"/>
      <c r="BN11" s="54"/>
      <c r="BO11" s="54"/>
      <c r="BP11" s="54"/>
      <c r="BQ11" s="54"/>
      <c r="BR11" s="54"/>
      <c r="BS11" s="54"/>
      <c r="BT11" s="54"/>
      <c r="BU11" s="54"/>
      <c r="BV11" s="54"/>
      <c r="BW11" s="54"/>
      <c r="BX11" s="54"/>
      <c r="BY11" s="54"/>
      <c r="BZ11" s="51" t="s">
        <v>115</v>
      </c>
      <c r="CA11" s="51" t="s">
        <v>49</v>
      </c>
    </row>
    <row r="12" spans="2:79" x14ac:dyDescent="0.25">
      <c r="B12" s="25"/>
      <c r="C12" s="51" t="s">
        <v>98</v>
      </c>
      <c r="D12" s="52"/>
      <c r="E12" s="52"/>
      <c r="F12" s="52"/>
      <c r="G12" s="52"/>
      <c r="H12" s="51" t="s">
        <v>116</v>
      </c>
      <c r="I12" s="51" t="s">
        <v>99</v>
      </c>
      <c r="J12" s="52"/>
      <c r="K12" s="52"/>
      <c r="L12" s="52"/>
      <c r="M12" s="52"/>
      <c r="N12" s="51" t="s">
        <v>117</v>
      </c>
      <c r="O12" s="51" t="s">
        <v>100</v>
      </c>
      <c r="P12" s="52"/>
      <c r="Q12" s="52"/>
      <c r="R12" s="52"/>
      <c r="S12" s="52"/>
      <c r="T12" s="51" t="s">
        <v>118</v>
      </c>
      <c r="U12" s="52"/>
      <c r="V12" s="51" t="s">
        <v>101</v>
      </c>
      <c r="W12" s="52"/>
      <c r="X12" s="52"/>
      <c r="Y12" s="52"/>
      <c r="Z12" s="52"/>
      <c r="AA12" s="51" t="s">
        <v>119</v>
      </c>
      <c r="AB12" s="51" t="s">
        <v>102</v>
      </c>
      <c r="AC12" s="52"/>
      <c r="AD12" s="52"/>
      <c r="AE12" s="52"/>
      <c r="AF12" s="52"/>
      <c r="AG12" s="51" t="s">
        <v>120</v>
      </c>
      <c r="AH12" s="51" t="s">
        <v>103</v>
      </c>
      <c r="AI12" s="52"/>
      <c r="AJ12" s="52"/>
      <c r="AK12" s="52"/>
      <c r="AL12" s="52"/>
      <c r="AM12" s="51" t="s">
        <v>121</v>
      </c>
      <c r="AN12" s="52"/>
      <c r="AO12" s="51" t="s">
        <v>104</v>
      </c>
      <c r="AP12" s="52"/>
      <c r="AQ12" s="52"/>
      <c r="AR12" s="52"/>
      <c r="AS12" s="52"/>
      <c r="AT12" s="51" t="s">
        <v>122</v>
      </c>
      <c r="AU12" s="51" t="s">
        <v>105</v>
      </c>
      <c r="AV12" s="52"/>
      <c r="AW12" s="52"/>
      <c r="AX12" s="52"/>
      <c r="AY12" s="52"/>
      <c r="AZ12" s="51" t="s">
        <v>123</v>
      </c>
      <c r="BA12" s="51" t="s">
        <v>106</v>
      </c>
      <c r="BB12" s="52"/>
      <c r="BC12" s="52"/>
      <c r="BD12" s="52"/>
      <c r="BE12" s="52"/>
      <c r="BF12" s="51" t="s">
        <v>124</v>
      </c>
      <c r="BG12" s="52"/>
      <c r="BH12" s="51" t="s">
        <v>107</v>
      </c>
      <c r="BI12" s="52"/>
      <c r="BJ12" s="52"/>
      <c r="BK12" s="52"/>
      <c r="BL12" s="52"/>
      <c r="BM12" s="51" t="s">
        <v>125</v>
      </c>
      <c r="BN12" s="51" t="s">
        <v>108</v>
      </c>
      <c r="BO12" s="52"/>
      <c r="BP12" s="52"/>
      <c r="BQ12" s="52"/>
      <c r="BR12" s="52"/>
      <c r="BS12" s="51" t="s">
        <v>126</v>
      </c>
      <c r="BT12" s="51" t="s">
        <v>109</v>
      </c>
      <c r="BU12" s="52"/>
      <c r="BV12" s="52"/>
      <c r="BW12" s="52"/>
      <c r="BX12" s="52"/>
      <c r="BY12" s="51" t="s">
        <v>127</v>
      </c>
      <c r="BZ12" s="52"/>
      <c r="CA12" s="52"/>
    </row>
    <row r="13" spans="2:79" ht="45" x14ac:dyDescent="0.25">
      <c r="B13" s="25"/>
      <c r="C13" s="24" t="s">
        <v>89</v>
      </c>
      <c r="D13" s="24" t="s">
        <v>90</v>
      </c>
      <c r="E13" s="24" t="s">
        <v>91</v>
      </c>
      <c r="F13" s="24" t="s">
        <v>92</v>
      </c>
      <c r="G13" s="24" t="s">
        <v>93</v>
      </c>
      <c r="H13" s="52"/>
      <c r="I13" s="24" t="s">
        <v>89</v>
      </c>
      <c r="J13" s="24" t="s">
        <v>90</v>
      </c>
      <c r="K13" s="24" t="s">
        <v>91</v>
      </c>
      <c r="L13" s="24" t="s">
        <v>92</v>
      </c>
      <c r="M13" s="24" t="s">
        <v>93</v>
      </c>
      <c r="N13" s="52"/>
      <c r="O13" s="24" t="s">
        <v>89</v>
      </c>
      <c r="P13" s="24" t="s">
        <v>90</v>
      </c>
      <c r="Q13" s="24" t="s">
        <v>91</v>
      </c>
      <c r="R13" s="24" t="s">
        <v>92</v>
      </c>
      <c r="S13" s="24" t="s">
        <v>93</v>
      </c>
      <c r="T13" s="52"/>
      <c r="U13" s="52"/>
      <c r="V13" s="24" t="s">
        <v>89</v>
      </c>
      <c r="W13" s="24" t="s">
        <v>90</v>
      </c>
      <c r="X13" s="24" t="s">
        <v>91</v>
      </c>
      <c r="Y13" s="24" t="s">
        <v>92</v>
      </c>
      <c r="Z13" s="24" t="s">
        <v>93</v>
      </c>
      <c r="AA13" s="52"/>
      <c r="AB13" s="24" t="s">
        <v>89</v>
      </c>
      <c r="AC13" s="24" t="s">
        <v>90</v>
      </c>
      <c r="AD13" s="24" t="s">
        <v>91</v>
      </c>
      <c r="AE13" s="24" t="s">
        <v>92</v>
      </c>
      <c r="AF13" s="24" t="s">
        <v>93</v>
      </c>
      <c r="AG13" s="52"/>
      <c r="AH13" s="24" t="s">
        <v>89</v>
      </c>
      <c r="AI13" s="24" t="s">
        <v>90</v>
      </c>
      <c r="AJ13" s="24" t="s">
        <v>91</v>
      </c>
      <c r="AK13" s="24" t="s">
        <v>92</v>
      </c>
      <c r="AL13" s="24" t="s">
        <v>93</v>
      </c>
      <c r="AM13" s="52"/>
      <c r="AN13" s="52"/>
      <c r="AO13" s="24" t="s">
        <v>89</v>
      </c>
      <c r="AP13" s="24" t="s">
        <v>90</v>
      </c>
      <c r="AQ13" s="24" t="s">
        <v>91</v>
      </c>
      <c r="AR13" s="24" t="s">
        <v>92</v>
      </c>
      <c r="AS13" s="24" t="s">
        <v>93</v>
      </c>
      <c r="AT13" s="52"/>
      <c r="AU13" s="24" t="s">
        <v>89</v>
      </c>
      <c r="AV13" s="24" t="s">
        <v>90</v>
      </c>
      <c r="AW13" s="24" t="s">
        <v>91</v>
      </c>
      <c r="AX13" s="24" t="s">
        <v>92</v>
      </c>
      <c r="AY13" s="24" t="s">
        <v>93</v>
      </c>
      <c r="AZ13" s="52"/>
      <c r="BA13" s="24" t="s">
        <v>89</v>
      </c>
      <c r="BB13" s="24" t="s">
        <v>90</v>
      </c>
      <c r="BC13" s="24" t="s">
        <v>91</v>
      </c>
      <c r="BD13" s="24" t="s">
        <v>92</v>
      </c>
      <c r="BE13" s="24" t="s">
        <v>93</v>
      </c>
      <c r="BF13" s="52"/>
      <c r="BG13" s="52"/>
      <c r="BH13" s="24" t="s">
        <v>89</v>
      </c>
      <c r="BI13" s="24" t="s">
        <v>90</v>
      </c>
      <c r="BJ13" s="24" t="s">
        <v>91</v>
      </c>
      <c r="BK13" s="24" t="s">
        <v>92</v>
      </c>
      <c r="BL13" s="24" t="s">
        <v>93</v>
      </c>
      <c r="BM13" s="52"/>
      <c r="BN13" s="24" t="s">
        <v>89</v>
      </c>
      <c r="BO13" s="24" t="s">
        <v>90</v>
      </c>
      <c r="BP13" s="24" t="s">
        <v>91</v>
      </c>
      <c r="BQ13" s="24" t="s">
        <v>92</v>
      </c>
      <c r="BR13" s="24" t="s">
        <v>93</v>
      </c>
      <c r="BS13" s="52"/>
      <c r="BT13" s="24" t="s">
        <v>89</v>
      </c>
      <c r="BU13" s="24" t="s">
        <v>90</v>
      </c>
      <c r="BV13" s="24" t="s">
        <v>91</v>
      </c>
      <c r="BW13" s="24" t="s">
        <v>92</v>
      </c>
      <c r="BX13" s="24" t="s">
        <v>93</v>
      </c>
      <c r="BY13" s="52"/>
      <c r="BZ13" s="52"/>
      <c r="CA13" s="52"/>
    </row>
    <row r="14" spans="2:79" x14ac:dyDescent="0.25">
      <c r="B14" s="10" t="s">
        <v>43</v>
      </c>
      <c r="C14" s="49">
        <v>1219</v>
      </c>
      <c r="D14" s="49">
        <v>2</v>
      </c>
      <c r="E14" s="49">
        <v>9</v>
      </c>
      <c r="F14" s="49">
        <v>0</v>
      </c>
      <c r="G14" s="49">
        <v>16</v>
      </c>
      <c r="H14" s="49">
        <v>1246</v>
      </c>
      <c r="I14" s="49">
        <v>1509</v>
      </c>
      <c r="J14" s="49">
        <v>3</v>
      </c>
      <c r="K14" s="49">
        <v>33</v>
      </c>
      <c r="L14" s="49">
        <v>2</v>
      </c>
      <c r="M14" s="49">
        <v>9</v>
      </c>
      <c r="N14" s="49">
        <v>1556</v>
      </c>
      <c r="O14" s="49">
        <v>888</v>
      </c>
      <c r="P14" s="49">
        <v>6</v>
      </c>
      <c r="Q14" s="49">
        <v>9</v>
      </c>
      <c r="R14" s="49">
        <v>0</v>
      </c>
      <c r="S14" s="49">
        <v>2</v>
      </c>
      <c r="T14" s="49">
        <v>905</v>
      </c>
      <c r="U14" s="49">
        <v>3707</v>
      </c>
      <c r="V14" s="49">
        <v>113</v>
      </c>
      <c r="W14" s="49">
        <v>0</v>
      </c>
      <c r="X14" s="49">
        <v>2</v>
      </c>
      <c r="Y14" s="49">
        <v>0</v>
      </c>
      <c r="Z14" s="49">
        <v>0</v>
      </c>
      <c r="AA14" s="49">
        <v>115</v>
      </c>
      <c r="AB14" s="49">
        <v>362</v>
      </c>
      <c r="AC14" s="49">
        <v>39</v>
      </c>
      <c r="AD14" s="49">
        <v>14</v>
      </c>
      <c r="AE14" s="49">
        <v>0</v>
      </c>
      <c r="AF14" s="49">
        <v>15</v>
      </c>
      <c r="AG14" s="49">
        <v>430</v>
      </c>
      <c r="AH14" s="49">
        <v>453</v>
      </c>
      <c r="AI14" s="49">
        <v>3</v>
      </c>
      <c r="AJ14" s="49">
        <v>4</v>
      </c>
      <c r="AK14" s="49">
        <v>0</v>
      </c>
      <c r="AL14" s="49">
        <v>0</v>
      </c>
      <c r="AM14" s="49">
        <v>460</v>
      </c>
      <c r="AN14" s="49">
        <v>1005</v>
      </c>
      <c r="AO14" s="49">
        <v>132</v>
      </c>
      <c r="AP14" s="49">
        <v>0</v>
      </c>
      <c r="AQ14" s="49">
        <v>3</v>
      </c>
      <c r="AR14" s="49">
        <v>1</v>
      </c>
      <c r="AS14" s="49">
        <v>1</v>
      </c>
      <c r="AT14" s="49">
        <v>137</v>
      </c>
      <c r="AU14" s="49">
        <v>925</v>
      </c>
      <c r="AV14" s="49">
        <v>2</v>
      </c>
      <c r="AW14" s="49">
        <v>22</v>
      </c>
      <c r="AX14" s="49">
        <v>2</v>
      </c>
      <c r="AY14" s="49">
        <v>0</v>
      </c>
      <c r="AZ14" s="49">
        <v>951</v>
      </c>
      <c r="BA14" s="49">
        <v>112</v>
      </c>
      <c r="BB14" s="49">
        <v>0</v>
      </c>
      <c r="BC14" s="49">
        <v>2</v>
      </c>
      <c r="BD14" s="49">
        <v>0</v>
      </c>
      <c r="BE14" s="49">
        <v>0</v>
      </c>
      <c r="BF14" s="49">
        <v>114</v>
      </c>
      <c r="BG14" s="49">
        <v>1202</v>
      </c>
      <c r="BH14" s="49">
        <v>565</v>
      </c>
      <c r="BI14" s="49">
        <v>7</v>
      </c>
      <c r="BJ14" s="49">
        <v>21</v>
      </c>
      <c r="BK14" s="49">
        <v>0</v>
      </c>
      <c r="BL14" s="49">
        <v>1</v>
      </c>
      <c r="BM14" s="49">
        <v>594</v>
      </c>
      <c r="BN14" s="49">
        <v>805</v>
      </c>
      <c r="BO14" s="49">
        <v>45</v>
      </c>
      <c r="BP14" s="49">
        <v>11</v>
      </c>
      <c r="BQ14" s="49">
        <v>1</v>
      </c>
      <c r="BR14" s="49">
        <v>48</v>
      </c>
      <c r="BS14" s="49">
        <v>910</v>
      </c>
      <c r="BT14" s="49">
        <v>112</v>
      </c>
      <c r="BU14" s="49">
        <v>1</v>
      </c>
      <c r="BV14" s="49">
        <v>2</v>
      </c>
      <c r="BW14" s="49">
        <v>0</v>
      </c>
      <c r="BX14" s="49">
        <v>0</v>
      </c>
      <c r="BY14" s="49">
        <v>115</v>
      </c>
      <c r="BZ14" s="49">
        <v>1619</v>
      </c>
      <c r="CA14" s="49">
        <v>7533</v>
      </c>
    </row>
    <row r="15" spans="2:79" x14ac:dyDescent="0.25">
      <c r="B15" s="11">
        <v>0.27083333333333331</v>
      </c>
      <c r="C15" s="49">
        <v>52</v>
      </c>
      <c r="D15" s="49">
        <v>0</v>
      </c>
      <c r="E15" s="49">
        <v>0</v>
      </c>
      <c r="F15" s="49">
        <v>0</v>
      </c>
      <c r="G15" s="49">
        <v>1</v>
      </c>
      <c r="H15" s="49">
        <v>53</v>
      </c>
      <c r="I15" s="49">
        <v>63</v>
      </c>
      <c r="J15" s="49">
        <v>0</v>
      </c>
      <c r="K15" s="49">
        <v>2</v>
      </c>
      <c r="L15" s="49">
        <v>0</v>
      </c>
      <c r="M15" s="49">
        <v>0</v>
      </c>
      <c r="N15" s="49">
        <v>65</v>
      </c>
      <c r="O15" s="49">
        <v>28</v>
      </c>
      <c r="P15" s="49">
        <v>0</v>
      </c>
      <c r="Q15" s="49">
        <v>0</v>
      </c>
      <c r="R15" s="49">
        <v>0</v>
      </c>
      <c r="S15" s="49">
        <v>0</v>
      </c>
      <c r="T15" s="49">
        <v>28</v>
      </c>
      <c r="U15" s="49">
        <v>146</v>
      </c>
      <c r="V15" s="49">
        <v>8</v>
      </c>
      <c r="W15" s="49">
        <v>0</v>
      </c>
      <c r="X15" s="49">
        <v>1</v>
      </c>
      <c r="Y15" s="49">
        <v>0</v>
      </c>
      <c r="Z15" s="49">
        <v>0</v>
      </c>
      <c r="AA15" s="49">
        <v>9</v>
      </c>
      <c r="AB15" s="49">
        <v>20</v>
      </c>
      <c r="AC15" s="49">
        <v>2</v>
      </c>
      <c r="AD15" s="49">
        <v>0</v>
      </c>
      <c r="AE15" s="49">
        <v>0</v>
      </c>
      <c r="AF15" s="49">
        <v>0</v>
      </c>
      <c r="AG15" s="49">
        <v>22</v>
      </c>
      <c r="AH15" s="49">
        <v>16</v>
      </c>
      <c r="AI15" s="49">
        <v>0</v>
      </c>
      <c r="AJ15" s="49">
        <v>0</v>
      </c>
      <c r="AK15" s="49">
        <v>0</v>
      </c>
      <c r="AL15" s="49">
        <v>0</v>
      </c>
      <c r="AM15" s="49">
        <v>16</v>
      </c>
      <c r="AN15" s="49">
        <v>47</v>
      </c>
      <c r="AO15" s="49">
        <v>3</v>
      </c>
      <c r="AP15" s="49">
        <v>0</v>
      </c>
      <c r="AQ15" s="49">
        <v>0</v>
      </c>
      <c r="AR15" s="49">
        <v>1</v>
      </c>
      <c r="AS15" s="49">
        <v>0</v>
      </c>
      <c r="AT15" s="49">
        <v>4</v>
      </c>
      <c r="AU15" s="49">
        <v>44</v>
      </c>
      <c r="AV15" s="49">
        <v>0</v>
      </c>
      <c r="AW15" s="49">
        <v>2</v>
      </c>
      <c r="AX15" s="49">
        <v>1</v>
      </c>
      <c r="AY15" s="49">
        <v>0</v>
      </c>
      <c r="AZ15" s="49">
        <v>47</v>
      </c>
      <c r="BA15" s="49">
        <v>4</v>
      </c>
      <c r="BB15" s="49">
        <v>0</v>
      </c>
      <c r="BC15" s="49">
        <v>0</v>
      </c>
      <c r="BD15" s="49">
        <v>0</v>
      </c>
      <c r="BE15" s="49">
        <v>0</v>
      </c>
      <c r="BF15" s="49">
        <v>4</v>
      </c>
      <c r="BG15" s="49">
        <v>55</v>
      </c>
      <c r="BH15" s="49">
        <v>19</v>
      </c>
      <c r="BI15" s="49">
        <v>0</v>
      </c>
      <c r="BJ15" s="49">
        <v>0</v>
      </c>
      <c r="BK15" s="49">
        <v>0</v>
      </c>
      <c r="BL15" s="49">
        <v>0</v>
      </c>
      <c r="BM15" s="49">
        <v>19</v>
      </c>
      <c r="BN15" s="49">
        <v>31</v>
      </c>
      <c r="BO15" s="49">
        <v>2</v>
      </c>
      <c r="BP15" s="49">
        <v>1</v>
      </c>
      <c r="BQ15" s="49">
        <v>0</v>
      </c>
      <c r="BR15" s="49">
        <v>0</v>
      </c>
      <c r="BS15" s="49">
        <v>34</v>
      </c>
      <c r="BT15" s="49">
        <v>7</v>
      </c>
      <c r="BU15" s="49">
        <v>0</v>
      </c>
      <c r="BV15" s="49">
        <v>0</v>
      </c>
      <c r="BW15" s="49">
        <v>0</v>
      </c>
      <c r="BX15" s="49">
        <v>0</v>
      </c>
      <c r="BY15" s="49">
        <v>7</v>
      </c>
      <c r="BZ15" s="49">
        <v>60</v>
      </c>
      <c r="CA15" s="49">
        <v>308</v>
      </c>
    </row>
    <row r="16" spans="2:79" x14ac:dyDescent="0.25">
      <c r="B16" s="11">
        <v>0.28125</v>
      </c>
      <c r="C16" s="49">
        <v>61</v>
      </c>
      <c r="D16" s="49">
        <v>0</v>
      </c>
      <c r="E16" s="49">
        <v>1</v>
      </c>
      <c r="F16" s="49">
        <v>0</v>
      </c>
      <c r="G16" s="49">
        <v>0</v>
      </c>
      <c r="H16" s="49">
        <v>62</v>
      </c>
      <c r="I16" s="49">
        <v>87</v>
      </c>
      <c r="J16" s="49">
        <v>0</v>
      </c>
      <c r="K16" s="49">
        <v>3</v>
      </c>
      <c r="L16" s="49">
        <v>0</v>
      </c>
      <c r="M16" s="49">
        <v>0</v>
      </c>
      <c r="N16" s="49">
        <v>90</v>
      </c>
      <c r="O16" s="49">
        <v>49</v>
      </c>
      <c r="P16" s="49">
        <v>1</v>
      </c>
      <c r="Q16" s="49">
        <v>1</v>
      </c>
      <c r="R16" s="49">
        <v>0</v>
      </c>
      <c r="S16" s="49">
        <v>0</v>
      </c>
      <c r="T16" s="49">
        <v>51</v>
      </c>
      <c r="U16" s="49">
        <v>203</v>
      </c>
      <c r="V16" s="49">
        <v>7</v>
      </c>
      <c r="W16" s="49">
        <v>0</v>
      </c>
      <c r="X16" s="49">
        <v>0</v>
      </c>
      <c r="Y16" s="49">
        <v>0</v>
      </c>
      <c r="Z16" s="49">
        <v>0</v>
      </c>
      <c r="AA16" s="49">
        <v>7</v>
      </c>
      <c r="AB16" s="49">
        <v>16</v>
      </c>
      <c r="AC16" s="49">
        <v>3</v>
      </c>
      <c r="AD16" s="49">
        <v>0</v>
      </c>
      <c r="AE16" s="49">
        <v>0</v>
      </c>
      <c r="AF16" s="49">
        <v>0</v>
      </c>
      <c r="AG16" s="49">
        <v>19</v>
      </c>
      <c r="AH16" s="49">
        <v>18</v>
      </c>
      <c r="AI16" s="49">
        <v>0</v>
      </c>
      <c r="AJ16" s="49">
        <v>1</v>
      </c>
      <c r="AK16" s="49">
        <v>0</v>
      </c>
      <c r="AL16" s="49">
        <v>0</v>
      </c>
      <c r="AM16" s="49">
        <v>19</v>
      </c>
      <c r="AN16" s="49">
        <v>45</v>
      </c>
      <c r="AO16" s="49">
        <v>3</v>
      </c>
      <c r="AP16" s="49">
        <v>0</v>
      </c>
      <c r="AQ16" s="49">
        <v>0</v>
      </c>
      <c r="AR16" s="49">
        <v>0</v>
      </c>
      <c r="AS16" s="49">
        <v>0</v>
      </c>
      <c r="AT16" s="49">
        <v>3</v>
      </c>
      <c r="AU16" s="49">
        <v>29</v>
      </c>
      <c r="AV16" s="49">
        <v>0</v>
      </c>
      <c r="AW16" s="49">
        <v>1</v>
      </c>
      <c r="AX16" s="49">
        <v>0</v>
      </c>
      <c r="AY16" s="49">
        <v>0</v>
      </c>
      <c r="AZ16" s="49">
        <v>30</v>
      </c>
      <c r="BA16" s="49">
        <v>4</v>
      </c>
      <c r="BB16" s="49">
        <v>0</v>
      </c>
      <c r="BC16" s="49">
        <v>0</v>
      </c>
      <c r="BD16" s="49">
        <v>0</v>
      </c>
      <c r="BE16" s="49">
        <v>0</v>
      </c>
      <c r="BF16" s="49">
        <v>4</v>
      </c>
      <c r="BG16" s="49">
        <v>37</v>
      </c>
      <c r="BH16" s="49">
        <v>36</v>
      </c>
      <c r="BI16" s="49">
        <v>2</v>
      </c>
      <c r="BJ16" s="49">
        <v>1</v>
      </c>
      <c r="BK16" s="49">
        <v>0</v>
      </c>
      <c r="BL16" s="49">
        <v>0</v>
      </c>
      <c r="BM16" s="49">
        <v>39</v>
      </c>
      <c r="BN16" s="49">
        <v>43</v>
      </c>
      <c r="BO16" s="49">
        <v>2</v>
      </c>
      <c r="BP16" s="49">
        <v>0</v>
      </c>
      <c r="BQ16" s="49">
        <v>0</v>
      </c>
      <c r="BR16" s="49">
        <v>1</v>
      </c>
      <c r="BS16" s="49">
        <v>46</v>
      </c>
      <c r="BT16" s="49">
        <v>4</v>
      </c>
      <c r="BU16" s="49">
        <v>0</v>
      </c>
      <c r="BV16" s="49">
        <v>0</v>
      </c>
      <c r="BW16" s="49">
        <v>0</v>
      </c>
      <c r="BX16" s="49">
        <v>0</v>
      </c>
      <c r="BY16" s="49">
        <v>4</v>
      </c>
      <c r="BZ16" s="49">
        <v>89</v>
      </c>
      <c r="CA16" s="49">
        <v>374</v>
      </c>
    </row>
    <row r="17" spans="2:79" x14ac:dyDescent="0.25">
      <c r="B17" s="11">
        <v>0.29166666666666669</v>
      </c>
      <c r="C17" s="49">
        <v>69</v>
      </c>
      <c r="D17" s="49">
        <v>0</v>
      </c>
      <c r="E17" s="49">
        <v>1</v>
      </c>
      <c r="F17" s="49">
        <v>0</v>
      </c>
      <c r="G17" s="49">
        <v>0</v>
      </c>
      <c r="H17" s="49">
        <v>70</v>
      </c>
      <c r="I17" s="49">
        <v>79</v>
      </c>
      <c r="J17" s="49">
        <v>0</v>
      </c>
      <c r="K17" s="49">
        <v>4</v>
      </c>
      <c r="L17" s="49">
        <v>0</v>
      </c>
      <c r="M17" s="49">
        <v>0</v>
      </c>
      <c r="N17" s="49">
        <v>83</v>
      </c>
      <c r="O17" s="49">
        <v>56</v>
      </c>
      <c r="P17" s="49">
        <v>0</v>
      </c>
      <c r="Q17" s="49">
        <v>0</v>
      </c>
      <c r="R17" s="49">
        <v>0</v>
      </c>
      <c r="S17" s="49">
        <v>0</v>
      </c>
      <c r="T17" s="49">
        <v>56</v>
      </c>
      <c r="U17" s="49">
        <v>209</v>
      </c>
      <c r="V17" s="49">
        <v>14</v>
      </c>
      <c r="W17" s="49">
        <v>0</v>
      </c>
      <c r="X17" s="49">
        <v>0</v>
      </c>
      <c r="Y17" s="49">
        <v>0</v>
      </c>
      <c r="Z17" s="49">
        <v>0</v>
      </c>
      <c r="AA17" s="49">
        <v>14</v>
      </c>
      <c r="AB17" s="49">
        <v>19</v>
      </c>
      <c r="AC17" s="49">
        <v>3</v>
      </c>
      <c r="AD17" s="49">
        <v>0</v>
      </c>
      <c r="AE17" s="49">
        <v>0</v>
      </c>
      <c r="AF17" s="49">
        <v>0</v>
      </c>
      <c r="AG17" s="49">
        <v>22</v>
      </c>
      <c r="AH17" s="49">
        <v>32</v>
      </c>
      <c r="AI17" s="49">
        <v>0</v>
      </c>
      <c r="AJ17" s="49">
        <v>0</v>
      </c>
      <c r="AK17" s="49">
        <v>0</v>
      </c>
      <c r="AL17" s="49">
        <v>0</v>
      </c>
      <c r="AM17" s="49">
        <v>32</v>
      </c>
      <c r="AN17" s="49">
        <v>68</v>
      </c>
      <c r="AO17" s="49">
        <v>3</v>
      </c>
      <c r="AP17" s="49">
        <v>0</v>
      </c>
      <c r="AQ17" s="49">
        <v>0</v>
      </c>
      <c r="AR17" s="49">
        <v>0</v>
      </c>
      <c r="AS17" s="49">
        <v>1</v>
      </c>
      <c r="AT17" s="49">
        <v>4</v>
      </c>
      <c r="AU17" s="49">
        <v>46</v>
      </c>
      <c r="AV17" s="49">
        <v>0</v>
      </c>
      <c r="AW17" s="49">
        <v>0</v>
      </c>
      <c r="AX17" s="49">
        <v>0</v>
      </c>
      <c r="AY17" s="49">
        <v>0</v>
      </c>
      <c r="AZ17" s="49">
        <v>46</v>
      </c>
      <c r="BA17" s="49">
        <v>7</v>
      </c>
      <c r="BB17" s="49">
        <v>0</v>
      </c>
      <c r="BC17" s="49">
        <v>0</v>
      </c>
      <c r="BD17" s="49">
        <v>0</v>
      </c>
      <c r="BE17" s="49">
        <v>0</v>
      </c>
      <c r="BF17" s="49">
        <v>7</v>
      </c>
      <c r="BG17" s="49">
        <v>57</v>
      </c>
      <c r="BH17" s="49">
        <v>28</v>
      </c>
      <c r="BI17" s="49">
        <v>0</v>
      </c>
      <c r="BJ17" s="49">
        <v>0</v>
      </c>
      <c r="BK17" s="49">
        <v>0</v>
      </c>
      <c r="BL17" s="49">
        <v>0</v>
      </c>
      <c r="BM17" s="49">
        <v>28</v>
      </c>
      <c r="BN17" s="49">
        <v>52</v>
      </c>
      <c r="BO17" s="49">
        <v>4</v>
      </c>
      <c r="BP17" s="49">
        <v>0</v>
      </c>
      <c r="BQ17" s="49">
        <v>0</v>
      </c>
      <c r="BR17" s="49">
        <v>2</v>
      </c>
      <c r="BS17" s="49">
        <v>58</v>
      </c>
      <c r="BT17" s="49">
        <v>10</v>
      </c>
      <c r="BU17" s="49">
        <v>0</v>
      </c>
      <c r="BV17" s="49">
        <v>0</v>
      </c>
      <c r="BW17" s="49">
        <v>0</v>
      </c>
      <c r="BX17" s="49">
        <v>0</v>
      </c>
      <c r="BY17" s="49">
        <v>10</v>
      </c>
      <c r="BZ17" s="49">
        <v>96</v>
      </c>
      <c r="CA17" s="49">
        <v>430</v>
      </c>
    </row>
    <row r="18" spans="2:79" x14ac:dyDescent="0.25">
      <c r="B18" s="11">
        <v>0.30208333333333331</v>
      </c>
      <c r="C18" s="49">
        <v>99</v>
      </c>
      <c r="D18" s="49">
        <v>0</v>
      </c>
      <c r="E18" s="49">
        <v>0</v>
      </c>
      <c r="F18" s="49">
        <v>0</v>
      </c>
      <c r="G18" s="49">
        <v>0</v>
      </c>
      <c r="H18" s="49">
        <v>99</v>
      </c>
      <c r="I18" s="49">
        <v>99</v>
      </c>
      <c r="J18" s="49">
        <v>0</v>
      </c>
      <c r="K18" s="49">
        <v>4</v>
      </c>
      <c r="L18" s="49">
        <v>0</v>
      </c>
      <c r="M18" s="49">
        <v>0</v>
      </c>
      <c r="N18" s="49">
        <v>103</v>
      </c>
      <c r="O18" s="49">
        <v>72</v>
      </c>
      <c r="P18" s="49">
        <v>1</v>
      </c>
      <c r="Q18" s="49">
        <v>0</v>
      </c>
      <c r="R18" s="49">
        <v>0</v>
      </c>
      <c r="S18" s="49">
        <v>0</v>
      </c>
      <c r="T18" s="49">
        <v>73</v>
      </c>
      <c r="U18" s="49">
        <v>275</v>
      </c>
      <c r="V18" s="49">
        <v>10</v>
      </c>
      <c r="W18" s="49">
        <v>0</v>
      </c>
      <c r="X18" s="49">
        <v>0</v>
      </c>
      <c r="Y18" s="49">
        <v>0</v>
      </c>
      <c r="Z18" s="49">
        <v>0</v>
      </c>
      <c r="AA18" s="49">
        <v>10</v>
      </c>
      <c r="AB18" s="49">
        <v>24</v>
      </c>
      <c r="AC18" s="49">
        <v>3</v>
      </c>
      <c r="AD18" s="49">
        <v>2</v>
      </c>
      <c r="AE18" s="49">
        <v>0</v>
      </c>
      <c r="AF18" s="49">
        <v>0</v>
      </c>
      <c r="AG18" s="49">
        <v>29</v>
      </c>
      <c r="AH18" s="49">
        <v>35</v>
      </c>
      <c r="AI18" s="49">
        <v>1</v>
      </c>
      <c r="AJ18" s="49">
        <v>0</v>
      </c>
      <c r="AK18" s="49">
        <v>0</v>
      </c>
      <c r="AL18" s="49">
        <v>0</v>
      </c>
      <c r="AM18" s="49">
        <v>36</v>
      </c>
      <c r="AN18" s="49">
        <v>75</v>
      </c>
      <c r="AO18" s="49">
        <v>8</v>
      </c>
      <c r="AP18" s="49">
        <v>0</v>
      </c>
      <c r="AQ18" s="49">
        <v>0</v>
      </c>
      <c r="AR18" s="49">
        <v>0</v>
      </c>
      <c r="AS18" s="49">
        <v>0</v>
      </c>
      <c r="AT18" s="49">
        <v>8</v>
      </c>
      <c r="AU18" s="49">
        <v>75</v>
      </c>
      <c r="AV18" s="49">
        <v>0</v>
      </c>
      <c r="AW18" s="49">
        <v>2</v>
      </c>
      <c r="AX18" s="49">
        <v>0</v>
      </c>
      <c r="AY18" s="49">
        <v>0</v>
      </c>
      <c r="AZ18" s="49">
        <v>77</v>
      </c>
      <c r="BA18" s="49">
        <v>10</v>
      </c>
      <c r="BB18" s="49">
        <v>0</v>
      </c>
      <c r="BC18" s="49">
        <v>0</v>
      </c>
      <c r="BD18" s="49">
        <v>0</v>
      </c>
      <c r="BE18" s="49">
        <v>0</v>
      </c>
      <c r="BF18" s="49">
        <v>10</v>
      </c>
      <c r="BG18" s="49">
        <v>95</v>
      </c>
      <c r="BH18" s="49">
        <v>43</v>
      </c>
      <c r="BI18" s="49">
        <v>0</v>
      </c>
      <c r="BJ18" s="49">
        <v>4</v>
      </c>
      <c r="BK18" s="49">
        <v>0</v>
      </c>
      <c r="BL18" s="49">
        <v>0</v>
      </c>
      <c r="BM18" s="49">
        <v>47</v>
      </c>
      <c r="BN18" s="49">
        <v>48</v>
      </c>
      <c r="BO18" s="49">
        <v>3</v>
      </c>
      <c r="BP18" s="49">
        <v>0</v>
      </c>
      <c r="BQ18" s="49">
        <v>0</v>
      </c>
      <c r="BR18" s="49">
        <v>7</v>
      </c>
      <c r="BS18" s="49">
        <v>58</v>
      </c>
      <c r="BT18" s="49">
        <v>12</v>
      </c>
      <c r="BU18" s="49">
        <v>0</v>
      </c>
      <c r="BV18" s="49">
        <v>0</v>
      </c>
      <c r="BW18" s="49">
        <v>0</v>
      </c>
      <c r="BX18" s="49">
        <v>0</v>
      </c>
      <c r="BY18" s="49">
        <v>12</v>
      </c>
      <c r="BZ18" s="49">
        <v>117</v>
      </c>
      <c r="CA18" s="49">
        <v>562</v>
      </c>
    </row>
    <row r="19" spans="2:79" x14ac:dyDescent="0.25">
      <c r="B19" s="11">
        <v>0.3125</v>
      </c>
      <c r="C19" s="49">
        <v>127</v>
      </c>
      <c r="D19" s="49">
        <v>0</v>
      </c>
      <c r="E19" s="49">
        <v>0</v>
      </c>
      <c r="F19" s="49">
        <v>0</v>
      </c>
      <c r="G19" s="49">
        <v>6</v>
      </c>
      <c r="H19" s="49">
        <v>133</v>
      </c>
      <c r="I19" s="49">
        <v>174</v>
      </c>
      <c r="J19" s="49">
        <v>0</v>
      </c>
      <c r="K19" s="49">
        <v>1</v>
      </c>
      <c r="L19" s="49">
        <v>0</v>
      </c>
      <c r="M19" s="49">
        <v>0</v>
      </c>
      <c r="N19" s="49">
        <v>175</v>
      </c>
      <c r="O19" s="49">
        <v>74</v>
      </c>
      <c r="P19" s="49">
        <v>0</v>
      </c>
      <c r="Q19" s="49">
        <v>3</v>
      </c>
      <c r="R19" s="49">
        <v>0</v>
      </c>
      <c r="S19" s="49">
        <v>0</v>
      </c>
      <c r="T19" s="49">
        <v>77</v>
      </c>
      <c r="U19" s="49">
        <v>385</v>
      </c>
      <c r="V19" s="49">
        <v>10</v>
      </c>
      <c r="W19" s="49">
        <v>0</v>
      </c>
      <c r="X19" s="49">
        <v>0</v>
      </c>
      <c r="Y19" s="49">
        <v>0</v>
      </c>
      <c r="Z19" s="49">
        <v>0</v>
      </c>
      <c r="AA19" s="49">
        <v>10</v>
      </c>
      <c r="AB19" s="49">
        <v>28</v>
      </c>
      <c r="AC19" s="49">
        <v>4</v>
      </c>
      <c r="AD19" s="49">
        <v>0</v>
      </c>
      <c r="AE19" s="49">
        <v>0</v>
      </c>
      <c r="AF19" s="49">
        <v>1</v>
      </c>
      <c r="AG19" s="49">
        <v>33</v>
      </c>
      <c r="AH19" s="49">
        <v>43</v>
      </c>
      <c r="AI19" s="49">
        <v>0</v>
      </c>
      <c r="AJ19" s="49">
        <v>0</v>
      </c>
      <c r="AK19" s="49">
        <v>0</v>
      </c>
      <c r="AL19" s="49">
        <v>0</v>
      </c>
      <c r="AM19" s="49">
        <v>43</v>
      </c>
      <c r="AN19" s="49">
        <v>86</v>
      </c>
      <c r="AO19" s="49">
        <v>15</v>
      </c>
      <c r="AP19" s="49">
        <v>0</v>
      </c>
      <c r="AQ19" s="49">
        <v>0</v>
      </c>
      <c r="AR19" s="49">
        <v>0</v>
      </c>
      <c r="AS19" s="49">
        <v>0</v>
      </c>
      <c r="AT19" s="49">
        <v>15</v>
      </c>
      <c r="AU19" s="49">
        <v>94</v>
      </c>
      <c r="AV19" s="49">
        <v>0</v>
      </c>
      <c r="AW19" s="49">
        <v>2</v>
      </c>
      <c r="AX19" s="49">
        <v>0</v>
      </c>
      <c r="AY19" s="49">
        <v>0</v>
      </c>
      <c r="AZ19" s="49">
        <v>96</v>
      </c>
      <c r="BA19" s="49">
        <v>4</v>
      </c>
      <c r="BB19" s="49">
        <v>0</v>
      </c>
      <c r="BC19" s="49">
        <v>0</v>
      </c>
      <c r="BD19" s="49">
        <v>0</v>
      </c>
      <c r="BE19" s="49">
        <v>0</v>
      </c>
      <c r="BF19" s="49">
        <v>4</v>
      </c>
      <c r="BG19" s="49">
        <v>115</v>
      </c>
      <c r="BH19" s="49">
        <v>46</v>
      </c>
      <c r="BI19" s="49">
        <v>0</v>
      </c>
      <c r="BJ19" s="49">
        <v>0</v>
      </c>
      <c r="BK19" s="49">
        <v>0</v>
      </c>
      <c r="BL19" s="49">
        <v>0</v>
      </c>
      <c r="BM19" s="49">
        <v>46</v>
      </c>
      <c r="BN19" s="49">
        <v>64</v>
      </c>
      <c r="BO19" s="49">
        <v>3</v>
      </c>
      <c r="BP19" s="49">
        <v>5</v>
      </c>
      <c r="BQ19" s="49">
        <v>0</v>
      </c>
      <c r="BR19" s="49">
        <v>9</v>
      </c>
      <c r="BS19" s="49">
        <v>81</v>
      </c>
      <c r="BT19" s="49">
        <v>10</v>
      </c>
      <c r="BU19" s="49">
        <v>0</v>
      </c>
      <c r="BV19" s="49">
        <v>0</v>
      </c>
      <c r="BW19" s="49">
        <v>0</v>
      </c>
      <c r="BX19" s="49">
        <v>0</v>
      </c>
      <c r="BY19" s="49">
        <v>10</v>
      </c>
      <c r="BZ19" s="49">
        <v>137</v>
      </c>
      <c r="CA19" s="49">
        <v>723</v>
      </c>
    </row>
    <row r="20" spans="2:79" x14ac:dyDescent="0.25">
      <c r="B20" s="11">
        <v>0.32291666666666669</v>
      </c>
      <c r="C20" s="49">
        <v>125</v>
      </c>
      <c r="D20" s="49">
        <v>0</v>
      </c>
      <c r="E20" s="49">
        <v>0</v>
      </c>
      <c r="F20" s="49">
        <v>0</v>
      </c>
      <c r="G20" s="49">
        <v>4</v>
      </c>
      <c r="H20" s="49">
        <v>129</v>
      </c>
      <c r="I20" s="49">
        <v>169</v>
      </c>
      <c r="J20" s="49">
        <v>0</v>
      </c>
      <c r="K20" s="49">
        <v>3</v>
      </c>
      <c r="L20" s="49">
        <v>0</v>
      </c>
      <c r="M20" s="49">
        <v>1</v>
      </c>
      <c r="N20" s="49">
        <v>173</v>
      </c>
      <c r="O20" s="49">
        <v>88</v>
      </c>
      <c r="P20" s="49">
        <v>1</v>
      </c>
      <c r="Q20" s="49">
        <v>0</v>
      </c>
      <c r="R20" s="49">
        <v>0</v>
      </c>
      <c r="S20" s="49">
        <v>1</v>
      </c>
      <c r="T20" s="49">
        <v>90</v>
      </c>
      <c r="U20" s="49">
        <v>392</v>
      </c>
      <c r="V20" s="49">
        <v>11</v>
      </c>
      <c r="W20" s="49">
        <v>0</v>
      </c>
      <c r="X20" s="49">
        <v>0</v>
      </c>
      <c r="Y20" s="49">
        <v>0</v>
      </c>
      <c r="Z20" s="49">
        <v>0</v>
      </c>
      <c r="AA20" s="49">
        <v>11</v>
      </c>
      <c r="AB20" s="49">
        <v>45</v>
      </c>
      <c r="AC20" s="49">
        <v>4</v>
      </c>
      <c r="AD20" s="49">
        <v>1</v>
      </c>
      <c r="AE20" s="49">
        <v>0</v>
      </c>
      <c r="AF20" s="49">
        <v>2</v>
      </c>
      <c r="AG20" s="49">
        <v>52</v>
      </c>
      <c r="AH20" s="49">
        <v>57</v>
      </c>
      <c r="AI20" s="49">
        <v>1</v>
      </c>
      <c r="AJ20" s="49">
        <v>0</v>
      </c>
      <c r="AK20" s="49">
        <v>0</v>
      </c>
      <c r="AL20" s="49">
        <v>0</v>
      </c>
      <c r="AM20" s="49">
        <v>58</v>
      </c>
      <c r="AN20" s="49">
        <v>121</v>
      </c>
      <c r="AO20" s="49">
        <v>11</v>
      </c>
      <c r="AP20" s="49">
        <v>0</v>
      </c>
      <c r="AQ20" s="49">
        <v>2</v>
      </c>
      <c r="AR20" s="49">
        <v>0</v>
      </c>
      <c r="AS20" s="49">
        <v>0</v>
      </c>
      <c r="AT20" s="49">
        <v>13</v>
      </c>
      <c r="AU20" s="49">
        <v>86</v>
      </c>
      <c r="AV20" s="49">
        <v>0</v>
      </c>
      <c r="AW20" s="49">
        <v>5</v>
      </c>
      <c r="AX20" s="49">
        <v>1</v>
      </c>
      <c r="AY20" s="49">
        <v>0</v>
      </c>
      <c r="AZ20" s="49">
        <v>92</v>
      </c>
      <c r="BA20" s="49">
        <v>13</v>
      </c>
      <c r="BB20" s="49">
        <v>0</v>
      </c>
      <c r="BC20" s="49">
        <v>0</v>
      </c>
      <c r="BD20" s="49">
        <v>0</v>
      </c>
      <c r="BE20" s="49">
        <v>0</v>
      </c>
      <c r="BF20" s="49">
        <v>13</v>
      </c>
      <c r="BG20" s="49">
        <v>118</v>
      </c>
      <c r="BH20" s="49">
        <v>49</v>
      </c>
      <c r="BI20" s="49">
        <v>0</v>
      </c>
      <c r="BJ20" s="49">
        <v>2</v>
      </c>
      <c r="BK20" s="49">
        <v>0</v>
      </c>
      <c r="BL20" s="49">
        <v>0</v>
      </c>
      <c r="BM20" s="49">
        <v>51</v>
      </c>
      <c r="BN20" s="49">
        <v>98</v>
      </c>
      <c r="BO20" s="49">
        <v>5</v>
      </c>
      <c r="BP20" s="49">
        <v>1</v>
      </c>
      <c r="BQ20" s="49">
        <v>0</v>
      </c>
      <c r="BR20" s="49">
        <v>11</v>
      </c>
      <c r="BS20" s="49">
        <v>115</v>
      </c>
      <c r="BT20" s="49">
        <v>7</v>
      </c>
      <c r="BU20" s="49">
        <v>0</v>
      </c>
      <c r="BV20" s="49">
        <v>0</v>
      </c>
      <c r="BW20" s="49">
        <v>0</v>
      </c>
      <c r="BX20" s="49">
        <v>0</v>
      </c>
      <c r="BY20" s="49">
        <v>7</v>
      </c>
      <c r="BZ20" s="49">
        <v>173</v>
      </c>
      <c r="CA20" s="49">
        <v>804</v>
      </c>
    </row>
    <row r="21" spans="2:79" x14ac:dyDescent="0.25">
      <c r="B21" s="11">
        <v>0.33333333333333331</v>
      </c>
      <c r="C21" s="49">
        <v>129</v>
      </c>
      <c r="D21" s="49">
        <v>1</v>
      </c>
      <c r="E21" s="49">
        <v>0</v>
      </c>
      <c r="F21" s="49">
        <v>0</v>
      </c>
      <c r="G21" s="49">
        <v>1</v>
      </c>
      <c r="H21" s="49">
        <v>131</v>
      </c>
      <c r="I21" s="49">
        <v>149</v>
      </c>
      <c r="J21" s="49">
        <v>0</v>
      </c>
      <c r="K21" s="49">
        <v>2</v>
      </c>
      <c r="L21" s="49">
        <v>0</v>
      </c>
      <c r="M21" s="49">
        <v>0</v>
      </c>
      <c r="N21" s="49">
        <v>151</v>
      </c>
      <c r="O21" s="49">
        <v>86</v>
      </c>
      <c r="P21" s="49">
        <v>0</v>
      </c>
      <c r="Q21" s="49">
        <v>0</v>
      </c>
      <c r="R21" s="49">
        <v>0</v>
      </c>
      <c r="S21" s="49">
        <v>0</v>
      </c>
      <c r="T21" s="49">
        <v>86</v>
      </c>
      <c r="U21" s="49">
        <v>368</v>
      </c>
      <c r="V21" s="49">
        <v>10</v>
      </c>
      <c r="W21" s="49">
        <v>0</v>
      </c>
      <c r="X21" s="49">
        <v>0</v>
      </c>
      <c r="Y21" s="49">
        <v>0</v>
      </c>
      <c r="Z21" s="49">
        <v>0</v>
      </c>
      <c r="AA21" s="49">
        <v>10</v>
      </c>
      <c r="AB21" s="49">
        <v>28</v>
      </c>
      <c r="AC21" s="49">
        <v>3</v>
      </c>
      <c r="AD21" s="49">
        <v>3</v>
      </c>
      <c r="AE21" s="49">
        <v>0</v>
      </c>
      <c r="AF21" s="49">
        <v>4</v>
      </c>
      <c r="AG21" s="49">
        <v>38</v>
      </c>
      <c r="AH21" s="49">
        <v>41</v>
      </c>
      <c r="AI21" s="49">
        <v>0</v>
      </c>
      <c r="AJ21" s="49">
        <v>0</v>
      </c>
      <c r="AK21" s="49">
        <v>0</v>
      </c>
      <c r="AL21" s="49">
        <v>0</v>
      </c>
      <c r="AM21" s="49">
        <v>41</v>
      </c>
      <c r="AN21" s="49">
        <v>89</v>
      </c>
      <c r="AO21" s="49">
        <v>8</v>
      </c>
      <c r="AP21" s="49">
        <v>0</v>
      </c>
      <c r="AQ21" s="49">
        <v>1</v>
      </c>
      <c r="AR21" s="49">
        <v>0</v>
      </c>
      <c r="AS21" s="49">
        <v>0</v>
      </c>
      <c r="AT21" s="49">
        <v>9</v>
      </c>
      <c r="AU21" s="49">
        <v>99</v>
      </c>
      <c r="AV21" s="49">
        <v>0</v>
      </c>
      <c r="AW21" s="49">
        <v>1</v>
      </c>
      <c r="AX21" s="49">
        <v>0</v>
      </c>
      <c r="AY21" s="49">
        <v>0</v>
      </c>
      <c r="AZ21" s="49">
        <v>100</v>
      </c>
      <c r="BA21" s="49">
        <v>16</v>
      </c>
      <c r="BB21" s="49">
        <v>0</v>
      </c>
      <c r="BC21" s="49">
        <v>0</v>
      </c>
      <c r="BD21" s="49">
        <v>0</v>
      </c>
      <c r="BE21" s="49">
        <v>0</v>
      </c>
      <c r="BF21" s="49">
        <v>16</v>
      </c>
      <c r="BG21" s="49">
        <v>125</v>
      </c>
      <c r="BH21" s="49">
        <v>67</v>
      </c>
      <c r="BI21" s="49">
        <v>1</v>
      </c>
      <c r="BJ21" s="49">
        <v>1</v>
      </c>
      <c r="BK21" s="49">
        <v>0</v>
      </c>
      <c r="BL21" s="49">
        <v>0</v>
      </c>
      <c r="BM21" s="49">
        <v>69</v>
      </c>
      <c r="BN21" s="49">
        <v>101</v>
      </c>
      <c r="BO21" s="49">
        <v>5</v>
      </c>
      <c r="BP21" s="49">
        <v>0</v>
      </c>
      <c r="BQ21" s="49">
        <v>0</v>
      </c>
      <c r="BR21" s="49">
        <v>8</v>
      </c>
      <c r="BS21" s="49">
        <v>114</v>
      </c>
      <c r="BT21" s="49">
        <v>18</v>
      </c>
      <c r="BU21" s="49">
        <v>0</v>
      </c>
      <c r="BV21" s="49">
        <v>0</v>
      </c>
      <c r="BW21" s="49">
        <v>0</v>
      </c>
      <c r="BX21" s="49">
        <v>0</v>
      </c>
      <c r="BY21" s="49">
        <v>18</v>
      </c>
      <c r="BZ21" s="49">
        <v>201</v>
      </c>
      <c r="CA21" s="49">
        <v>783</v>
      </c>
    </row>
    <row r="22" spans="2:79" x14ac:dyDescent="0.25">
      <c r="B22" s="11">
        <v>0.34375</v>
      </c>
      <c r="C22" s="49">
        <v>130</v>
      </c>
      <c r="D22" s="49">
        <v>0</v>
      </c>
      <c r="E22" s="49">
        <v>1</v>
      </c>
      <c r="F22" s="49">
        <v>0</v>
      </c>
      <c r="G22" s="49">
        <v>2</v>
      </c>
      <c r="H22" s="49">
        <v>133</v>
      </c>
      <c r="I22" s="49">
        <v>166</v>
      </c>
      <c r="J22" s="49">
        <v>0</v>
      </c>
      <c r="K22" s="49">
        <v>4</v>
      </c>
      <c r="L22" s="49">
        <v>1</v>
      </c>
      <c r="M22" s="49">
        <v>0</v>
      </c>
      <c r="N22" s="49">
        <v>171</v>
      </c>
      <c r="O22" s="49">
        <v>94</v>
      </c>
      <c r="P22" s="49">
        <v>1</v>
      </c>
      <c r="Q22" s="49">
        <v>0</v>
      </c>
      <c r="R22" s="49">
        <v>0</v>
      </c>
      <c r="S22" s="49">
        <v>0</v>
      </c>
      <c r="T22" s="49">
        <v>95</v>
      </c>
      <c r="U22" s="49">
        <v>399</v>
      </c>
      <c r="V22" s="49">
        <v>6</v>
      </c>
      <c r="W22" s="49">
        <v>0</v>
      </c>
      <c r="X22" s="49">
        <v>0</v>
      </c>
      <c r="Y22" s="49">
        <v>0</v>
      </c>
      <c r="Z22" s="49">
        <v>0</v>
      </c>
      <c r="AA22" s="49">
        <v>6</v>
      </c>
      <c r="AB22" s="49">
        <v>44</v>
      </c>
      <c r="AC22" s="49">
        <v>5</v>
      </c>
      <c r="AD22" s="49">
        <v>1</v>
      </c>
      <c r="AE22" s="49">
        <v>0</v>
      </c>
      <c r="AF22" s="49">
        <v>1</v>
      </c>
      <c r="AG22" s="49">
        <v>51</v>
      </c>
      <c r="AH22" s="49">
        <v>57</v>
      </c>
      <c r="AI22" s="49">
        <v>1</v>
      </c>
      <c r="AJ22" s="49">
        <v>1</v>
      </c>
      <c r="AK22" s="49">
        <v>0</v>
      </c>
      <c r="AL22" s="49">
        <v>0</v>
      </c>
      <c r="AM22" s="49">
        <v>59</v>
      </c>
      <c r="AN22" s="49">
        <v>116</v>
      </c>
      <c r="AO22" s="49">
        <v>16</v>
      </c>
      <c r="AP22" s="49">
        <v>0</v>
      </c>
      <c r="AQ22" s="49">
        <v>0</v>
      </c>
      <c r="AR22" s="49">
        <v>0</v>
      </c>
      <c r="AS22" s="49">
        <v>0</v>
      </c>
      <c r="AT22" s="49">
        <v>16</v>
      </c>
      <c r="AU22" s="49">
        <v>122</v>
      </c>
      <c r="AV22" s="49">
        <v>1</v>
      </c>
      <c r="AW22" s="49">
        <v>0</v>
      </c>
      <c r="AX22" s="49">
        <v>0</v>
      </c>
      <c r="AY22" s="49">
        <v>0</v>
      </c>
      <c r="AZ22" s="49">
        <v>123</v>
      </c>
      <c r="BA22" s="49">
        <v>17</v>
      </c>
      <c r="BB22" s="49">
        <v>0</v>
      </c>
      <c r="BC22" s="49">
        <v>1</v>
      </c>
      <c r="BD22" s="49">
        <v>0</v>
      </c>
      <c r="BE22" s="49">
        <v>0</v>
      </c>
      <c r="BF22" s="49">
        <v>18</v>
      </c>
      <c r="BG22" s="49">
        <v>157</v>
      </c>
      <c r="BH22" s="49">
        <v>53</v>
      </c>
      <c r="BI22" s="49">
        <v>1</v>
      </c>
      <c r="BJ22" s="49">
        <v>6</v>
      </c>
      <c r="BK22" s="49">
        <v>0</v>
      </c>
      <c r="BL22" s="49">
        <v>0</v>
      </c>
      <c r="BM22" s="49">
        <v>60</v>
      </c>
      <c r="BN22" s="49">
        <v>79</v>
      </c>
      <c r="BO22" s="49">
        <v>5</v>
      </c>
      <c r="BP22" s="49">
        <v>0</v>
      </c>
      <c r="BQ22" s="49">
        <v>1</v>
      </c>
      <c r="BR22" s="49">
        <v>2</v>
      </c>
      <c r="BS22" s="49">
        <v>87</v>
      </c>
      <c r="BT22" s="49">
        <v>16</v>
      </c>
      <c r="BU22" s="49">
        <v>0</v>
      </c>
      <c r="BV22" s="49">
        <v>0</v>
      </c>
      <c r="BW22" s="49">
        <v>0</v>
      </c>
      <c r="BX22" s="49">
        <v>0</v>
      </c>
      <c r="BY22" s="49">
        <v>16</v>
      </c>
      <c r="BZ22" s="49">
        <v>163</v>
      </c>
      <c r="CA22" s="49">
        <v>835</v>
      </c>
    </row>
    <row r="23" spans="2:79" x14ac:dyDescent="0.25">
      <c r="B23" s="11">
        <v>0.35416666666666669</v>
      </c>
      <c r="C23" s="49">
        <v>139</v>
      </c>
      <c r="D23" s="49">
        <v>1</v>
      </c>
      <c r="E23" s="49">
        <v>1</v>
      </c>
      <c r="F23" s="49">
        <v>0</v>
      </c>
      <c r="G23" s="49">
        <v>0</v>
      </c>
      <c r="H23" s="49">
        <v>141</v>
      </c>
      <c r="I23" s="49">
        <v>173</v>
      </c>
      <c r="J23" s="49">
        <v>1</v>
      </c>
      <c r="K23" s="49">
        <v>2</v>
      </c>
      <c r="L23" s="49">
        <v>0</v>
      </c>
      <c r="M23" s="49">
        <v>1</v>
      </c>
      <c r="N23" s="49">
        <v>177</v>
      </c>
      <c r="O23" s="49">
        <v>107</v>
      </c>
      <c r="P23" s="49">
        <v>0</v>
      </c>
      <c r="Q23" s="49">
        <v>3</v>
      </c>
      <c r="R23" s="49">
        <v>0</v>
      </c>
      <c r="S23" s="49">
        <v>1</v>
      </c>
      <c r="T23" s="49">
        <v>111</v>
      </c>
      <c r="U23" s="49">
        <v>429</v>
      </c>
      <c r="V23" s="49">
        <v>11</v>
      </c>
      <c r="W23" s="49">
        <v>0</v>
      </c>
      <c r="X23" s="49">
        <v>1</v>
      </c>
      <c r="Y23" s="49">
        <v>0</v>
      </c>
      <c r="Z23" s="49">
        <v>0</v>
      </c>
      <c r="AA23" s="49">
        <v>12</v>
      </c>
      <c r="AB23" s="49">
        <v>39</v>
      </c>
      <c r="AC23" s="49">
        <v>4</v>
      </c>
      <c r="AD23" s="49">
        <v>2</v>
      </c>
      <c r="AE23" s="49">
        <v>0</v>
      </c>
      <c r="AF23" s="49">
        <v>4</v>
      </c>
      <c r="AG23" s="49">
        <v>49</v>
      </c>
      <c r="AH23" s="49">
        <v>43</v>
      </c>
      <c r="AI23" s="49">
        <v>0</v>
      </c>
      <c r="AJ23" s="49">
        <v>1</v>
      </c>
      <c r="AK23" s="49">
        <v>0</v>
      </c>
      <c r="AL23" s="49">
        <v>0</v>
      </c>
      <c r="AM23" s="49">
        <v>44</v>
      </c>
      <c r="AN23" s="49">
        <v>105</v>
      </c>
      <c r="AO23" s="49">
        <v>13</v>
      </c>
      <c r="AP23" s="49">
        <v>0</v>
      </c>
      <c r="AQ23" s="49">
        <v>0</v>
      </c>
      <c r="AR23" s="49">
        <v>0</v>
      </c>
      <c r="AS23" s="49">
        <v>0</v>
      </c>
      <c r="AT23" s="49">
        <v>13</v>
      </c>
      <c r="AU23" s="49">
        <v>90</v>
      </c>
      <c r="AV23" s="49">
        <v>0</v>
      </c>
      <c r="AW23" s="49">
        <v>1</v>
      </c>
      <c r="AX23" s="49">
        <v>0</v>
      </c>
      <c r="AY23" s="49">
        <v>0</v>
      </c>
      <c r="AZ23" s="49">
        <v>91</v>
      </c>
      <c r="BA23" s="49">
        <v>8</v>
      </c>
      <c r="BB23" s="49">
        <v>0</v>
      </c>
      <c r="BC23" s="49">
        <v>0</v>
      </c>
      <c r="BD23" s="49">
        <v>0</v>
      </c>
      <c r="BE23" s="49">
        <v>0</v>
      </c>
      <c r="BF23" s="49">
        <v>8</v>
      </c>
      <c r="BG23" s="49">
        <v>112</v>
      </c>
      <c r="BH23" s="49">
        <v>59</v>
      </c>
      <c r="BI23" s="49">
        <v>1</v>
      </c>
      <c r="BJ23" s="49">
        <v>1</v>
      </c>
      <c r="BK23" s="49">
        <v>0</v>
      </c>
      <c r="BL23" s="49">
        <v>0</v>
      </c>
      <c r="BM23" s="49">
        <v>61</v>
      </c>
      <c r="BN23" s="49">
        <v>77</v>
      </c>
      <c r="BO23" s="49">
        <v>2</v>
      </c>
      <c r="BP23" s="49">
        <v>1</v>
      </c>
      <c r="BQ23" s="49">
        <v>0</v>
      </c>
      <c r="BR23" s="49">
        <v>2</v>
      </c>
      <c r="BS23" s="49">
        <v>82</v>
      </c>
      <c r="BT23" s="49">
        <v>6</v>
      </c>
      <c r="BU23" s="49">
        <v>1</v>
      </c>
      <c r="BV23" s="49">
        <v>0</v>
      </c>
      <c r="BW23" s="49">
        <v>0</v>
      </c>
      <c r="BX23" s="49">
        <v>0</v>
      </c>
      <c r="BY23" s="49">
        <v>7</v>
      </c>
      <c r="BZ23" s="49">
        <v>150</v>
      </c>
      <c r="CA23" s="49">
        <v>796</v>
      </c>
    </row>
    <row r="24" spans="2:79" x14ac:dyDescent="0.25">
      <c r="B24" s="11">
        <v>0.36458333333333331</v>
      </c>
      <c r="C24" s="49">
        <v>127</v>
      </c>
      <c r="D24" s="49">
        <v>0</v>
      </c>
      <c r="E24" s="49">
        <v>2</v>
      </c>
      <c r="F24" s="49">
        <v>0</v>
      </c>
      <c r="G24" s="49">
        <v>0</v>
      </c>
      <c r="H24" s="49">
        <v>129</v>
      </c>
      <c r="I24" s="49">
        <v>153</v>
      </c>
      <c r="J24" s="49">
        <v>1</v>
      </c>
      <c r="K24" s="49">
        <v>3</v>
      </c>
      <c r="L24" s="49">
        <v>0</v>
      </c>
      <c r="M24" s="49">
        <v>7</v>
      </c>
      <c r="N24" s="49">
        <v>164</v>
      </c>
      <c r="O24" s="49">
        <v>86</v>
      </c>
      <c r="P24" s="49">
        <v>1</v>
      </c>
      <c r="Q24" s="49">
        <v>0</v>
      </c>
      <c r="R24" s="49">
        <v>0</v>
      </c>
      <c r="S24" s="49">
        <v>0</v>
      </c>
      <c r="T24" s="49">
        <v>87</v>
      </c>
      <c r="U24" s="49">
        <v>380</v>
      </c>
      <c r="V24" s="49">
        <v>10</v>
      </c>
      <c r="W24" s="49">
        <v>0</v>
      </c>
      <c r="X24" s="49">
        <v>0</v>
      </c>
      <c r="Y24" s="49">
        <v>0</v>
      </c>
      <c r="Z24" s="49">
        <v>0</v>
      </c>
      <c r="AA24" s="49">
        <v>10</v>
      </c>
      <c r="AB24" s="49">
        <v>38</v>
      </c>
      <c r="AC24" s="49">
        <v>2</v>
      </c>
      <c r="AD24" s="49">
        <v>2</v>
      </c>
      <c r="AE24" s="49">
        <v>0</v>
      </c>
      <c r="AF24" s="49">
        <v>3</v>
      </c>
      <c r="AG24" s="49">
        <v>45</v>
      </c>
      <c r="AH24" s="49">
        <v>41</v>
      </c>
      <c r="AI24" s="49">
        <v>0</v>
      </c>
      <c r="AJ24" s="49">
        <v>0</v>
      </c>
      <c r="AK24" s="49">
        <v>0</v>
      </c>
      <c r="AL24" s="49">
        <v>0</v>
      </c>
      <c r="AM24" s="49">
        <v>41</v>
      </c>
      <c r="AN24" s="49">
        <v>96</v>
      </c>
      <c r="AO24" s="49">
        <v>20</v>
      </c>
      <c r="AP24" s="49">
        <v>0</v>
      </c>
      <c r="AQ24" s="49">
        <v>0</v>
      </c>
      <c r="AR24" s="49">
        <v>0</v>
      </c>
      <c r="AS24" s="49">
        <v>0</v>
      </c>
      <c r="AT24" s="49">
        <v>20</v>
      </c>
      <c r="AU24" s="49">
        <v>99</v>
      </c>
      <c r="AV24" s="49">
        <v>1</v>
      </c>
      <c r="AW24" s="49">
        <v>0</v>
      </c>
      <c r="AX24" s="49">
        <v>0</v>
      </c>
      <c r="AY24" s="49">
        <v>0</v>
      </c>
      <c r="AZ24" s="49">
        <v>100</v>
      </c>
      <c r="BA24" s="49">
        <v>7</v>
      </c>
      <c r="BB24" s="49">
        <v>0</v>
      </c>
      <c r="BC24" s="49">
        <v>0</v>
      </c>
      <c r="BD24" s="49">
        <v>0</v>
      </c>
      <c r="BE24" s="49">
        <v>0</v>
      </c>
      <c r="BF24" s="49">
        <v>7</v>
      </c>
      <c r="BG24" s="49">
        <v>127</v>
      </c>
      <c r="BH24" s="49">
        <v>51</v>
      </c>
      <c r="BI24" s="49">
        <v>1</v>
      </c>
      <c r="BJ24" s="49">
        <v>1</v>
      </c>
      <c r="BK24" s="49">
        <v>0</v>
      </c>
      <c r="BL24" s="49">
        <v>0</v>
      </c>
      <c r="BM24" s="49">
        <v>53</v>
      </c>
      <c r="BN24" s="49">
        <v>81</v>
      </c>
      <c r="BO24" s="49">
        <v>6</v>
      </c>
      <c r="BP24" s="49">
        <v>1</v>
      </c>
      <c r="BQ24" s="49">
        <v>0</v>
      </c>
      <c r="BR24" s="49">
        <v>6</v>
      </c>
      <c r="BS24" s="49">
        <v>94</v>
      </c>
      <c r="BT24" s="49">
        <v>5</v>
      </c>
      <c r="BU24" s="49">
        <v>0</v>
      </c>
      <c r="BV24" s="49">
        <v>0</v>
      </c>
      <c r="BW24" s="49">
        <v>0</v>
      </c>
      <c r="BX24" s="49">
        <v>0</v>
      </c>
      <c r="BY24" s="49">
        <v>5</v>
      </c>
      <c r="BZ24" s="49">
        <v>152</v>
      </c>
      <c r="CA24" s="49">
        <v>755</v>
      </c>
    </row>
    <row r="25" spans="2:79" x14ac:dyDescent="0.25">
      <c r="B25" s="11">
        <v>0.375</v>
      </c>
      <c r="C25" s="49">
        <v>84</v>
      </c>
      <c r="D25" s="49">
        <v>0</v>
      </c>
      <c r="E25" s="49">
        <v>2</v>
      </c>
      <c r="F25" s="49">
        <v>0</v>
      </c>
      <c r="G25" s="49">
        <v>1</v>
      </c>
      <c r="H25" s="49">
        <v>87</v>
      </c>
      <c r="I25" s="49">
        <v>108</v>
      </c>
      <c r="J25" s="49">
        <v>1</v>
      </c>
      <c r="K25" s="49">
        <v>3</v>
      </c>
      <c r="L25" s="49">
        <v>1</v>
      </c>
      <c r="M25" s="49">
        <v>0</v>
      </c>
      <c r="N25" s="49">
        <v>113</v>
      </c>
      <c r="O25" s="49">
        <v>90</v>
      </c>
      <c r="P25" s="49">
        <v>0</v>
      </c>
      <c r="Q25" s="49">
        <v>1</v>
      </c>
      <c r="R25" s="49">
        <v>0</v>
      </c>
      <c r="S25" s="49">
        <v>0</v>
      </c>
      <c r="T25" s="49">
        <v>91</v>
      </c>
      <c r="U25" s="49">
        <v>291</v>
      </c>
      <c r="V25" s="49">
        <v>6</v>
      </c>
      <c r="W25" s="49">
        <v>0</v>
      </c>
      <c r="X25" s="49">
        <v>0</v>
      </c>
      <c r="Y25" s="49">
        <v>0</v>
      </c>
      <c r="Z25" s="49">
        <v>0</v>
      </c>
      <c r="AA25" s="49">
        <v>6</v>
      </c>
      <c r="AB25" s="49">
        <v>32</v>
      </c>
      <c r="AC25" s="49">
        <v>5</v>
      </c>
      <c r="AD25" s="49">
        <v>1</v>
      </c>
      <c r="AE25" s="49">
        <v>0</v>
      </c>
      <c r="AF25" s="49">
        <v>0</v>
      </c>
      <c r="AG25" s="49">
        <v>38</v>
      </c>
      <c r="AH25" s="49">
        <v>47</v>
      </c>
      <c r="AI25" s="49">
        <v>0</v>
      </c>
      <c r="AJ25" s="49">
        <v>0</v>
      </c>
      <c r="AK25" s="49">
        <v>0</v>
      </c>
      <c r="AL25" s="49">
        <v>0</v>
      </c>
      <c r="AM25" s="49">
        <v>47</v>
      </c>
      <c r="AN25" s="49">
        <v>91</v>
      </c>
      <c r="AO25" s="49">
        <v>13</v>
      </c>
      <c r="AP25" s="49">
        <v>0</v>
      </c>
      <c r="AQ25" s="49">
        <v>0</v>
      </c>
      <c r="AR25" s="49">
        <v>0</v>
      </c>
      <c r="AS25" s="49">
        <v>0</v>
      </c>
      <c r="AT25" s="49">
        <v>13</v>
      </c>
      <c r="AU25" s="49">
        <v>54</v>
      </c>
      <c r="AV25" s="49">
        <v>0</v>
      </c>
      <c r="AW25" s="49">
        <v>5</v>
      </c>
      <c r="AX25" s="49">
        <v>0</v>
      </c>
      <c r="AY25" s="49">
        <v>0</v>
      </c>
      <c r="AZ25" s="49">
        <v>59</v>
      </c>
      <c r="BA25" s="49">
        <v>6</v>
      </c>
      <c r="BB25" s="49">
        <v>0</v>
      </c>
      <c r="BC25" s="49">
        <v>0</v>
      </c>
      <c r="BD25" s="49">
        <v>0</v>
      </c>
      <c r="BE25" s="49">
        <v>0</v>
      </c>
      <c r="BF25" s="49">
        <v>6</v>
      </c>
      <c r="BG25" s="49">
        <v>78</v>
      </c>
      <c r="BH25" s="49">
        <v>56</v>
      </c>
      <c r="BI25" s="49">
        <v>0</v>
      </c>
      <c r="BJ25" s="49">
        <v>3</v>
      </c>
      <c r="BK25" s="49">
        <v>0</v>
      </c>
      <c r="BL25" s="49">
        <v>0</v>
      </c>
      <c r="BM25" s="49">
        <v>59</v>
      </c>
      <c r="BN25" s="49">
        <v>63</v>
      </c>
      <c r="BO25" s="49">
        <v>5</v>
      </c>
      <c r="BP25" s="49">
        <v>1</v>
      </c>
      <c r="BQ25" s="49">
        <v>0</v>
      </c>
      <c r="BR25" s="49">
        <v>0</v>
      </c>
      <c r="BS25" s="49">
        <v>69</v>
      </c>
      <c r="BT25" s="49">
        <v>11</v>
      </c>
      <c r="BU25" s="49">
        <v>0</v>
      </c>
      <c r="BV25" s="49">
        <v>0</v>
      </c>
      <c r="BW25" s="49">
        <v>0</v>
      </c>
      <c r="BX25" s="49">
        <v>0</v>
      </c>
      <c r="BY25" s="49">
        <v>11</v>
      </c>
      <c r="BZ25" s="49">
        <v>139</v>
      </c>
      <c r="CA25" s="49">
        <v>599</v>
      </c>
    </row>
    <row r="26" spans="2:79" x14ac:dyDescent="0.25">
      <c r="B26" s="11">
        <v>0.38541666666666669</v>
      </c>
      <c r="C26" s="49">
        <v>77</v>
      </c>
      <c r="D26" s="49">
        <v>0</v>
      </c>
      <c r="E26" s="49">
        <v>1</v>
      </c>
      <c r="F26" s="49">
        <v>0</v>
      </c>
      <c r="G26" s="49">
        <v>1</v>
      </c>
      <c r="H26" s="49">
        <v>79</v>
      </c>
      <c r="I26" s="49">
        <v>89</v>
      </c>
      <c r="J26" s="49">
        <v>0</v>
      </c>
      <c r="K26" s="49">
        <v>2</v>
      </c>
      <c r="L26" s="49">
        <v>0</v>
      </c>
      <c r="M26" s="49">
        <v>0</v>
      </c>
      <c r="N26" s="49">
        <v>91</v>
      </c>
      <c r="O26" s="49">
        <v>58</v>
      </c>
      <c r="P26" s="49">
        <v>1</v>
      </c>
      <c r="Q26" s="49">
        <v>1</v>
      </c>
      <c r="R26" s="49">
        <v>0</v>
      </c>
      <c r="S26" s="49">
        <v>0</v>
      </c>
      <c r="T26" s="49">
        <v>60</v>
      </c>
      <c r="U26" s="49">
        <v>230</v>
      </c>
      <c r="V26" s="49">
        <v>10</v>
      </c>
      <c r="W26" s="49">
        <v>0</v>
      </c>
      <c r="X26" s="49">
        <v>0</v>
      </c>
      <c r="Y26" s="49">
        <v>0</v>
      </c>
      <c r="Z26" s="49">
        <v>0</v>
      </c>
      <c r="AA26" s="49">
        <v>10</v>
      </c>
      <c r="AB26" s="49">
        <v>29</v>
      </c>
      <c r="AC26" s="49">
        <v>1</v>
      </c>
      <c r="AD26" s="49">
        <v>2</v>
      </c>
      <c r="AE26" s="49">
        <v>0</v>
      </c>
      <c r="AF26" s="49">
        <v>0</v>
      </c>
      <c r="AG26" s="49">
        <v>32</v>
      </c>
      <c r="AH26" s="49">
        <v>23</v>
      </c>
      <c r="AI26" s="49">
        <v>0</v>
      </c>
      <c r="AJ26" s="49">
        <v>1</v>
      </c>
      <c r="AK26" s="49">
        <v>0</v>
      </c>
      <c r="AL26" s="49">
        <v>0</v>
      </c>
      <c r="AM26" s="49">
        <v>24</v>
      </c>
      <c r="AN26" s="49">
        <v>66</v>
      </c>
      <c r="AO26" s="49">
        <v>19</v>
      </c>
      <c r="AP26" s="49">
        <v>0</v>
      </c>
      <c r="AQ26" s="49">
        <v>0</v>
      </c>
      <c r="AR26" s="49">
        <v>0</v>
      </c>
      <c r="AS26" s="49">
        <v>0</v>
      </c>
      <c r="AT26" s="49">
        <v>19</v>
      </c>
      <c r="AU26" s="49">
        <v>87</v>
      </c>
      <c r="AV26" s="49">
        <v>0</v>
      </c>
      <c r="AW26" s="49">
        <v>3</v>
      </c>
      <c r="AX26" s="49">
        <v>0</v>
      </c>
      <c r="AY26" s="49">
        <v>0</v>
      </c>
      <c r="AZ26" s="49">
        <v>90</v>
      </c>
      <c r="BA26" s="49">
        <v>16</v>
      </c>
      <c r="BB26" s="49">
        <v>0</v>
      </c>
      <c r="BC26" s="49">
        <v>1</v>
      </c>
      <c r="BD26" s="49">
        <v>0</v>
      </c>
      <c r="BE26" s="49">
        <v>0</v>
      </c>
      <c r="BF26" s="49">
        <v>17</v>
      </c>
      <c r="BG26" s="49">
        <v>126</v>
      </c>
      <c r="BH26" s="49">
        <v>58</v>
      </c>
      <c r="BI26" s="49">
        <v>1</v>
      </c>
      <c r="BJ26" s="49">
        <v>2</v>
      </c>
      <c r="BK26" s="49">
        <v>0</v>
      </c>
      <c r="BL26" s="49">
        <v>1</v>
      </c>
      <c r="BM26" s="49">
        <v>62</v>
      </c>
      <c r="BN26" s="49">
        <v>68</v>
      </c>
      <c r="BO26" s="49">
        <v>3</v>
      </c>
      <c r="BP26" s="49">
        <v>1</v>
      </c>
      <c r="BQ26" s="49">
        <v>0</v>
      </c>
      <c r="BR26" s="49">
        <v>0</v>
      </c>
      <c r="BS26" s="49">
        <v>72</v>
      </c>
      <c r="BT26" s="49">
        <v>6</v>
      </c>
      <c r="BU26" s="49">
        <v>0</v>
      </c>
      <c r="BV26" s="49">
        <v>2</v>
      </c>
      <c r="BW26" s="49">
        <v>0</v>
      </c>
      <c r="BX26" s="49">
        <v>0</v>
      </c>
      <c r="BY26" s="49">
        <v>8</v>
      </c>
      <c r="BZ26" s="49">
        <v>142</v>
      </c>
      <c r="CA26" s="49">
        <v>564</v>
      </c>
    </row>
    <row r="27" spans="2:79" x14ac:dyDescent="0.25">
      <c r="B27" s="10" t="s">
        <v>44</v>
      </c>
      <c r="C27" s="49">
        <v>1197</v>
      </c>
      <c r="D27" s="49">
        <v>3</v>
      </c>
      <c r="E27" s="49">
        <v>17</v>
      </c>
      <c r="F27" s="49">
        <v>1</v>
      </c>
      <c r="G27" s="49">
        <v>1</v>
      </c>
      <c r="H27" s="49">
        <v>1219</v>
      </c>
      <c r="I27" s="49">
        <v>1312</v>
      </c>
      <c r="J27" s="49">
        <v>6</v>
      </c>
      <c r="K27" s="49">
        <v>13</v>
      </c>
      <c r="L27" s="49">
        <v>1</v>
      </c>
      <c r="M27" s="49">
        <v>1</v>
      </c>
      <c r="N27" s="49">
        <v>1333</v>
      </c>
      <c r="O27" s="49">
        <v>913</v>
      </c>
      <c r="P27" s="49">
        <v>6</v>
      </c>
      <c r="Q27" s="49">
        <v>7</v>
      </c>
      <c r="R27" s="49">
        <v>0</v>
      </c>
      <c r="S27" s="49">
        <v>0</v>
      </c>
      <c r="T27" s="49">
        <v>926</v>
      </c>
      <c r="U27" s="49">
        <v>3478</v>
      </c>
      <c r="V27" s="49">
        <v>171</v>
      </c>
      <c r="W27" s="49">
        <v>2</v>
      </c>
      <c r="X27" s="49">
        <v>6</v>
      </c>
      <c r="Y27" s="49">
        <v>0</v>
      </c>
      <c r="Z27" s="49">
        <v>0</v>
      </c>
      <c r="AA27" s="49">
        <v>179</v>
      </c>
      <c r="AB27" s="49">
        <v>833</v>
      </c>
      <c r="AC27" s="49">
        <v>54</v>
      </c>
      <c r="AD27" s="49">
        <v>6</v>
      </c>
      <c r="AE27" s="49">
        <v>0</v>
      </c>
      <c r="AF27" s="49">
        <v>19</v>
      </c>
      <c r="AG27" s="49">
        <v>912</v>
      </c>
      <c r="AH27" s="49">
        <v>1156</v>
      </c>
      <c r="AI27" s="49">
        <v>1</v>
      </c>
      <c r="AJ27" s="49">
        <v>7</v>
      </c>
      <c r="AK27" s="49">
        <v>0</v>
      </c>
      <c r="AL27" s="49">
        <v>1</v>
      </c>
      <c r="AM27" s="49">
        <v>1165</v>
      </c>
      <c r="AN27" s="49">
        <v>2256</v>
      </c>
      <c r="AO27" s="49">
        <v>280</v>
      </c>
      <c r="AP27" s="49">
        <v>1</v>
      </c>
      <c r="AQ27" s="49">
        <v>3</v>
      </c>
      <c r="AR27" s="49">
        <v>0</v>
      </c>
      <c r="AS27" s="49">
        <v>1</v>
      </c>
      <c r="AT27" s="49">
        <v>285</v>
      </c>
      <c r="AU27" s="49">
        <v>1921</v>
      </c>
      <c r="AV27" s="49">
        <v>0</v>
      </c>
      <c r="AW27" s="49">
        <v>11</v>
      </c>
      <c r="AX27" s="49">
        <v>0</v>
      </c>
      <c r="AY27" s="49">
        <v>4</v>
      </c>
      <c r="AZ27" s="49">
        <v>1936</v>
      </c>
      <c r="BA27" s="49">
        <v>171</v>
      </c>
      <c r="BB27" s="49">
        <v>3</v>
      </c>
      <c r="BC27" s="49">
        <v>3</v>
      </c>
      <c r="BD27" s="49">
        <v>0</v>
      </c>
      <c r="BE27" s="49">
        <v>0</v>
      </c>
      <c r="BF27" s="49">
        <v>177</v>
      </c>
      <c r="BG27" s="49">
        <v>2398</v>
      </c>
      <c r="BH27" s="49">
        <v>1229</v>
      </c>
      <c r="BI27" s="49">
        <v>8</v>
      </c>
      <c r="BJ27" s="49">
        <v>11</v>
      </c>
      <c r="BK27" s="49">
        <v>0</v>
      </c>
      <c r="BL27" s="49">
        <v>6</v>
      </c>
      <c r="BM27" s="49">
        <v>1254</v>
      </c>
      <c r="BN27" s="49">
        <v>890</v>
      </c>
      <c r="BO27" s="49">
        <v>60</v>
      </c>
      <c r="BP27" s="49">
        <v>8</v>
      </c>
      <c r="BQ27" s="49">
        <v>0</v>
      </c>
      <c r="BR27" s="49">
        <v>13</v>
      </c>
      <c r="BS27" s="49">
        <v>971</v>
      </c>
      <c r="BT27" s="49">
        <v>214</v>
      </c>
      <c r="BU27" s="49">
        <v>0</v>
      </c>
      <c r="BV27" s="49">
        <v>3</v>
      </c>
      <c r="BW27" s="49">
        <v>0</v>
      </c>
      <c r="BX27" s="49">
        <v>0</v>
      </c>
      <c r="BY27" s="49">
        <v>217</v>
      </c>
      <c r="BZ27" s="49">
        <v>2442</v>
      </c>
      <c r="CA27" s="49">
        <v>10574</v>
      </c>
    </row>
    <row r="28" spans="2:79" x14ac:dyDescent="0.25">
      <c r="B28" s="11">
        <v>0.625</v>
      </c>
      <c r="C28" s="49">
        <v>86</v>
      </c>
      <c r="D28" s="49">
        <v>0</v>
      </c>
      <c r="E28" s="49">
        <v>0</v>
      </c>
      <c r="F28" s="49">
        <v>0</v>
      </c>
      <c r="G28" s="49">
        <v>0</v>
      </c>
      <c r="H28" s="49">
        <v>86</v>
      </c>
      <c r="I28" s="49">
        <v>81</v>
      </c>
      <c r="J28" s="49">
        <v>1</v>
      </c>
      <c r="K28" s="49">
        <v>3</v>
      </c>
      <c r="L28" s="49">
        <v>0</v>
      </c>
      <c r="M28" s="49">
        <v>0</v>
      </c>
      <c r="N28" s="49">
        <v>85</v>
      </c>
      <c r="O28" s="49">
        <v>50</v>
      </c>
      <c r="P28" s="49">
        <v>0</v>
      </c>
      <c r="Q28" s="49">
        <v>0</v>
      </c>
      <c r="R28" s="49">
        <v>0</v>
      </c>
      <c r="S28" s="49">
        <v>0</v>
      </c>
      <c r="T28" s="49">
        <v>50</v>
      </c>
      <c r="U28" s="49">
        <v>221</v>
      </c>
      <c r="V28" s="49">
        <v>22</v>
      </c>
      <c r="W28" s="49">
        <v>0</v>
      </c>
      <c r="X28" s="49">
        <v>1</v>
      </c>
      <c r="Y28" s="49">
        <v>0</v>
      </c>
      <c r="Z28" s="49">
        <v>0</v>
      </c>
      <c r="AA28" s="49">
        <v>23</v>
      </c>
      <c r="AB28" s="49">
        <v>57</v>
      </c>
      <c r="AC28" s="49">
        <v>3</v>
      </c>
      <c r="AD28" s="49">
        <v>0</v>
      </c>
      <c r="AE28" s="49">
        <v>0</v>
      </c>
      <c r="AF28" s="49">
        <v>1</v>
      </c>
      <c r="AG28" s="49">
        <v>61</v>
      </c>
      <c r="AH28" s="49">
        <v>74</v>
      </c>
      <c r="AI28" s="49">
        <v>1</v>
      </c>
      <c r="AJ28" s="49">
        <v>0</v>
      </c>
      <c r="AK28" s="49">
        <v>0</v>
      </c>
      <c r="AL28" s="49">
        <v>0</v>
      </c>
      <c r="AM28" s="49">
        <v>75</v>
      </c>
      <c r="AN28" s="49">
        <v>159</v>
      </c>
      <c r="AO28" s="49">
        <v>20</v>
      </c>
      <c r="AP28" s="49">
        <v>0</v>
      </c>
      <c r="AQ28" s="49">
        <v>0</v>
      </c>
      <c r="AR28" s="49">
        <v>0</v>
      </c>
      <c r="AS28" s="49">
        <v>1</v>
      </c>
      <c r="AT28" s="49">
        <v>21</v>
      </c>
      <c r="AU28" s="49">
        <v>150</v>
      </c>
      <c r="AV28" s="49">
        <v>0</v>
      </c>
      <c r="AW28" s="49">
        <v>0</v>
      </c>
      <c r="AX28" s="49">
        <v>0</v>
      </c>
      <c r="AY28" s="49">
        <v>0</v>
      </c>
      <c r="AZ28" s="49">
        <v>150</v>
      </c>
      <c r="BA28" s="49">
        <v>10</v>
      </c>
      <c r="BB28" s="49">
        <v>1</v>
      </c>
      <c r="BC28" s="49">
        <v>0</v>
      </c>
      <c r="BD28" s="49">
        <v>0</v>
      </c>
      <c r="BE28" s="49">
        <v>0</v>
      </c>
      <c r="BF28" s="49">
        <v>11</v>
      </c>
      <c r="BG28" s="49">
        <v>182</v>
      </c>
      <c r="BH28" s="49">
        <v>87</v>
      </c>
      <c r="BI28" s="49">
        <v>0</v>
      </c>
      <c r="BJ28" s="49">
        <v>1</v>
      </c>
      <c r="BK28" s="49">
        <v>0</v>
      </c>
      <c r="BL28" s="49">
        <v>0</v>
      </c>
      <c r="BM28" s="49">
        <v>88</v>
      </c>
      <c r="BN28" s="49">
        <v>62</v>
      </c>
      <c r="BO28" s="49">
        <v>5</v>
      </c>
      <c r="BP28" s="49">
        <v>2</v>
      </c>
      <c r="BQ28" s="49">
        <v>0</v>
      </c>
      <c r="BR28" s="49">
        <v>2</v>
      </c>
      <c r="BS28" s="49">
        <v>71</v>
      </c>
      <c r="BT28" s="49">
        <v>8</v>
      </c>
      <c r="BU28" s="49">
        <v>0</v>
      </c>
      <c r="BV28" s="49">
        <v>2</v>
      </c>
      <c r="BW28" s="49">
        <v>0</v>
      </c>
      <c r="BX28" s="49">
        <v>0</v>
      </c>
      <c r="BY28" s="49">
        <v>10</v>
      </c>
      <c r="BZ28" s="49">
        <v>169</v>
      </c>
      <c r="CA28" s="49">
        <v>731</v>
      </c>
    </row>
    <row r="29" spans="2:79" x14ac:dyDescent="0.25">
      <c r="B29" s="11">
        <v>0.63541666666666663</v>
      </c>
      <c r="C29" s="49">
        <v>97</v>
      </c>
      <c r="D29" s="49">
        <v>1</v>
      </c>
      <c r="E29" s="49">
        <v>1</v>
      </c>
      <c r="F29" s="49">
        <v>0</v>
      </c>
      <c r="G29" s="49">
        <v>0</v>
      </c>
      <c r="H29" s="49">
        <v>99</v>
      </c>
      <c r="I29" s="49">
        <v>108</v>
      </c>
      <c r="J29" s="49">
        <v>2</v>
      </c>
      <c r="K29" s="49">
        <v>1</v>
      </c>
      <c r="L29" s="49">
        <v>0</v>
      </c>
      <c r="M29" s="49">
        <v>0</v>
      </c>
      <c r="N29" s="49">
        <v>111</v>
      </c>
      <c r="O29" s="49">
        <v>68</v>
      </c>
      <c r="P29" s="49">
        <v>0</v>
      </c>
      <c r="Q29" s="49">
        <v>0</v>
      </c>
      <c r="R29" s="49">
        <v>0</v>
      </c>
      <c r="S29" s="49">
        <v>0</v>
      </c>
      <c r="T29" s="49">
        <v>68</v>
      </c>
      <c r="U29" s="49">
        <v>278</v>
      </c>
      <c r="V29" s="49">
        <v>18</v>
      </c>
      <c r="W29" s="49">
        <v>0</v>
      </c>
      <c r="X29" s="49">
        <v>2</v>
      </c>
      <c r="Y29" s="49">
        <v>0</v>
      </c>
      <c r="Z29" s="49">
        <v>0</v>
      </c>
      <c r="AA29" s="49">
        <v>20</v>
      </c>
      <c r="AB29" s="49">
        <v>64</v>
      </c>
      <c r="AC29" s="49">
        <v>5</v>
      </c>
      <c r="AD29" s="49">
        <v>1</v>
      </c>
      <c r="AE29" s="49">
        <v>0</v>
      </c>
      <c r="AF29" s="49">
        <v>0</v>
      </c>
      <c r="AG29" s="49">
        <v>70</v>
      </c>
      <c r="AH29" s="49">
        <v>74</v>
      </c>
      <c r="AI29" s="49">
        <v>0</v>
      </c>
      <c r="AJ29" s="49">
        <v>0</v>
      </c>
      <c r="AK29" s="49">
        <v>0</v>
      </c>
      <c r="AL29" s="49">
        <v>0</v>
      </c>
      <c r="AM29" s="49">
        <v>74</v>
      </c>
      <c r="AN29" s="49">
        <v>164</v>
      </c>
      <c r="AO29" s="49">
        <v>23</v>
      </c>
      <c r="AP29" s="49">
        <v>0</v>
      </c>
      <c r="AQ29" s="49">
        <v>0</v>
      </c>
      <c r="AR29" s="49">
        <v>0</v>
      </c>
      <c r="AS29" s="49">
        <v>0</v>
      </c>
      <c r="AT29" s="49">
        <v>23</v>
      </c>
      <c r="AU29" s="49">
        <v>120</v>
      </c>
      <c r="AV29" s="49">
        <v>0</v>
      </c>
      <c r="AW29" s="49">
        <v>2</v>
      </c>
      <c r="AX29" s="49">
        <v>0</v>
      </c>
      <c r="AY29" s="49">
        <v>0</v>
      </c>
      <c r="AZ29" s="49">
        <v>122</v>
      </c>
      <c r="BA29" s="49">
        <v>19</v>
      </c>
      <c r="BB29" s="49">
        <v>1</v>
      </c>
      <c r="BC29" s="49">
        <v>0</v>
      </c>
      <c r="BD29" s="49">
        <v>0</v>
      </c>
      <c r="BE29" s="49">
        <v>0</v>
      </c>
      <c r="BF29" s="49">
        <v>20</v>
      </c>
      <c r="BG29" s="49">
        <v>165</v>
      </c>
      <c r="BH29" s="49">
        <v>68</v>
      </c>
      <c r="BI29" s="49">
        <v>1</v>
      </c>
      <c r="BJ29" s="49">
        <v>4</v>
      </c>
      <c r="BK29" s="49">
        <v>0</v>
      </c>
      <c r="BL29" s="49">
        <v>1</v>
      </c>
      <c r="BM29" s="49">
        <v>74</v>
      </c>
      <c r="BN29" s="49">
        <v>86</v>
      </c>
      <c r="BO29" s="49">
        <v>1</v>
      </c>
      <c r="BP29" s="49">
        <v>0</v>
      </c>
      <c r="BQ29" s="49">
        <v>0</v>
      </c>
      <c r="BR29" s="49">
        <v>3</v>
      </c>
      <c r="BS29" s="49">
        <v>90</v>
      </c>
      <c r="BT29" s="49">
        <v>17</v>
      </c>
      <c r="BU29" s="49">
        <v>0</v>
      </c>
      <c r="BV29" s="49">
        <v>0</v>
      </c>
      <c r="BW29" s="49">
        <v>0</v>
      </c>
      <c r="BX29" s="49">
        <v>0</v>
      </c>
      <c r="BY29" s="49">
        <v>17</v>
      </c>
      <c r="BZ29" s="49">
        <v>181</v>
      </c>
      <c r="CA29" s="49">
        <v>788</v>
      </c>
    </row>
    <row r="30" spans="2:79" x14ac:dyDescent="0.25">
      <c r="B30" s="11">
        <v>0.64583333333333337</v>
      </c>
      <c r="C30" s="49">
        <v>82</v>
      </c>
      <c r="D30" s="49">
        <v>0</v>
      </c>
      <c r="E30" s="49">
        <v>0</v>
      </c>
      <c r="F30" s="49">
        <v>0</v>
      </c>
      <c r="G30" s="49">
        <v>0</v>
      </c>
      <c r="H30" s="49">
        <v>82</v>
      </c>
      <c r="I30" s="49">
        <v>74</v>
      </c>
      <c r="J30" s="49">
        <v>0</v>
      </c>
      <c r="K30" s="49">
        <v>2</v>
      </c>
      <c r="L30" s="49">
        <v>1</v>
      </c>
      <c r="M30" s="49">
        <v>0</v>
      </c>
      <c r="N30" s="49">
        <v>77</v>
      </c>
      <c r="O30" s="49">
        <v>79</v>
      </c>
      <c r="P30" s="49">
        <v>1</v>
      </c>
      <c r="Q30" s="49">
        <v>0</v>
      </c>
      <c r="R30" s="49">
        <v>0</v>
      </c>
      <c r="S30" s="49">
        <v>0</v>
      </c>
      <c r="T30" s="49">
        <v>80</v>
      </c>
      <c r="U30" s="49">
        <v>239</v>
      </c>
      <c r="V30" s="49">
        <v>16</v>
      </c>
      <c r="W30" s="49">
        <v>0</v>
      </c>
      <c r="X30" s="49">
        <v>0</v>
      </c>
      <c r="Y30" s="49">
        <v>0</v>
      </c>
      <c r="Z30" s="49">
        <v>0</v>
      </c>
      <c r="AA30" s="49">
        <v>16</v>
      </c>
      <c r="AB30" s="49">
        <v>53</v>
      </c>
      <c r="AC30" s="49">
        <v>2</v>
      </c>
      <c r="AD30" s="49">
        <v>0</v>
      </c>
      <c r="AE30" s="49">
        <v>0</v>
      </c>
      <c r="AF30" s="49">
        <v>1</v>
      </c>
      <c r="AG30" s="49">
        <v>56</v>
      </c>
      <c r="AH30" s="49">
        <v>61</v>
      </c>
      <c r="AI30" s="49">
        <v>0</v>
      </c>
      <c r="AJ30" s="49">
        <v>1</v>
      </c>
      <c r="AK30" s="49">
        <v>0</v>
      </c>
      <c r="AL30" s="49">
        <v>0</v>
      </c>
      <c r="AM30" s="49">
        <v>62</v>
      </c>
      <c r="AN30" s="49">
        <v>134</v>
      </c>
      <c r="AO30" s="49">
        <v>23</v>
      </c>
      <c r="AP30" s="49">
        <v>0</v>
      </c>
      <c r="AQ30" s="49">
        <v>0</v>
      </c>
      <c r="AR30" s="49">
        <v>0</v>
      </c>
      <c r="AS30" s="49">
        <v>0</v>
      </c>
      <c r="AT30" s="49">
        <v>23</v>
      </c>
      <c r="AU30" s="49">
        <v>123</v>
      </c>
      <c r="AV30" s="49">
        <v>0</v>
      </c>
      <c r="AW30" s="49">
        <v>0</v>
      </c>
      <c r="AX30" s="49">
        <v>0</v>
      </c>
      <c r="AY30" s="49">
        <v>0</v>
      </c>
      <c r="AZ30" s="49">
        <v>123</v>
      </c>
      <c r="BA30" s="49">
        <v>14</v>
      </c>
      <c r="BB30" s="49">
        <v>0</v>
      </c>
      <c r="BC30" s="49">
        <v>0</v>
      </c>
      <c r="BD30" s="49">
        <v>0</v>
      </c>
      <c r="BE30" s="49">
        <v>0</v>
      </c>
      <c r="BF30" s="49">
        <v>14</v>
      </c>
      <c r="BG30" s="49">
        <v>160</v>
      </c>
      <c r="BH30" s="49">
        <v>86</v>
      </c>
      <c r="BI30" s="49">
        <v>1</v>
      </c>
      <c r="BJ30" s="49">
        <v>2</v>
      </c>
      <c r="BK30" s="49">
        <v>0</v>
      </c>
      <c r="BL30" s="49">
        <v>0</v>
      </c>
      <c r="BM30" s="49">
        <v>89</v>
      </c>
      <c r="BN30" s="49">
        <v>64</v>
      </c>
      <c r="BO30" s="49">
        <v>5</v>
      </c>
      <c r="BP30" s="49">
        <v>0</v>
      </c>
      <c r="BQ30" s="49">
        <v>0</v>
      </c>
      <c r="BR30" s="49">
        <v>1</v>
      </c>
      <c r="BS30" s="49">
        <v>70</v>
      </c>
      <c r="BT30" s="49">
        <v>13</v>
      </c>
      <c r="BU30" s="49">
        <v>0</v>
      </c>
      <c r="BV30" s="49">
        <v>1</v>
      </c>
      <c r="BW30" s="49">
        <v>0</v>
      </c>
      <c r="BX30" s="49">
        <v>0</v>
      </c>
      <c r="BY30" s="49">
        <v>14</v>
      </c>
      <c r="BZ30" s="49">
        <v>173</v>
      </c>
      <c r="CA30" s="49">
        <v>706</v>
      </c>
    </row>
    <row r="31" spans="2:79" x14ac:dyDescent="0.25">
      <c r="B31" s="11">
        <v>0.65625</v>
      </c>
      <c r="C31" s="49">
        <v>92</v>
      </c>
      <c r="D31" s="49">
        <v>0</v>
      </c>
      <c r="E31" s="49">
        <v>0</v>
      </c>
      <c r="F31" s="49">
        <v>0</v>
      </c>
      <c r="G31" s="49">
        <v>0</v>
      </c>
      <c r="H31" s="49">
        <v>92</v>
      </c>
      <c r="I31" s="49">
        <v>109</v>
      </c>
      <c r="J31" s="49">
        <v>2</v>
      </c>
      <c r="K31" s="49">
        <v>1</v>
      </c>
      <c r="L31" s="49">
        <v>0</v>
      </c>
      <c r="M31" s="49">
        <v>1</v>
      </c>
      <c r="N31" s="49">
        <v>113</v>
      </c>
      <c r="O31" s="49">
        <v>89</v>
      </c>
      <c r="P31" s="49">
        <v>0</v>
      </c>
      <c r="Q31" s="49">
        <v>2</v>
      </c>
      <c r="R31" s="49">
        <v>0</v>
      </c>
      <c r="S31" s="49">
        <v>0</v>
      </c>
      <c r="T31" s="49">
        <v>91</v>
      </c>
      <c r="U31" s="49">
        <v>296</v>
      </c>
      <c r="V31" s="49">
        <v>9</v>
      </c>
      <c r="W31" s="49">
        <v>0</v>
      </c>
      <c r="X31" s="49">
        <v>0</v>
      </c>
      <c r="Y31" s="49">
        <v>0</v>
      </c>
      <c r="Z31" s="49">
        <v>0</v>
      </c>
      <c r="AA31" s="49">
        <v>9</v>
      </c>
      <c r="AB31" s="49">
        <v>51</v>
      </c>
      <c r="AC31" s="49">
        <v>5</v>
      </c>
      <c r="AD31" s="49">
        <v>0</v>
      </c>
      <c r="AE31" s="49">
        <v>0</v>
      </c>
      <c r="AF31" s="49">
        <v>0</v>
      </c>
      <c r="AG31" s="49">
        <v>56</v>
      </c>
      <c r="AH31" s="49">
        <v>74</v>
      </c>
      <c r="AI31" s="49">
        <v>0</v>
      </c>
      <c r="AJ31" s="49">
        <v>1</v>
      </c>
      <c r="AK31" s="49">
        <v>0</v>
      </c>
      <c r="AL31" s="49">
        <v>0</v>
      </c>
      <c r="AM31" s="49">
        <v>75</v>
      </c>
      <c r="AN31" s="49">
        <v>140</v>
      </c>
      <c r="AO31" s="49">
        <v>19</v>
      </c>
      <c r="AP31" s="49">
        <v>0</v>
      </c>
      <c r="AQ31" s="49">
        <v>0</v>
      </c>
      <c r="AR31" s="49">
        <v>0</v>
      </c>
      <c r="AS31" s="49">
        <v>0</v>
      </c>
      <c r="AT31" s="49">
        <v>19</v>
      </c>
      <c r="AU31" s="49">
        <v>136</v>
      </c>
      <c r="AV31" s="49">
        <v>0</v>
      </c>
      <c r="AW31" s="49">
        <v>1</v>
      </c>
      <c r="AX31" s="49">
        <v>0</v>
      </c>
      <c r="AY31" s="49">
        <v>0</v>
      </c>
      <c r="AZ31" s="49">
        <v>137</v>
      </c>
      <c r="BA31" s="49">
        <v>11</v>
      </c>
      <c r="BB31" s="49">
        <v>1</v>
      </c>
      <c r="BC31" s="49">
        <v>1</v>
      </c>
      <c r="BD31" s="49">
        <v>0</v>
      </c>
      <c r="BE31" s="49">
        <v>0</v>
      </c>
      <c r="BF31" s="49">
        <v>13</v>
      </c>
      <c r="BG31" s="49">
        <v>169</v>
      </c>
      <c r="BH31" s="49">
        <v>92</v>
      </c>
      <c r="BI31" s="49">
        <v>0</v>
      </c>
      <c r="BJ31" s="49">
        <v>2</v>
      </c>
      <c r="BK31" s="49">
        <v>0</v>
      </c>
      <c r="BL31" s="49">
        <v>0</v>
      </c>
      <c r="BM31" s="49">
        <v>94</v>
      </c>
      <c r="BN31" s="49">
        <v>52</v>
      </c>
      <c r="BO31" s="49">
        <v>3</v>
      </c>
      <c r="BP31" s="49">
        <v>0</v>
      </c>
      <c r="BQ31" s="49">
        <v>0</v>
      </c>
      <c r="BR31" s="49">
        <v>1</v>
      </c>
      <c r="BS31" s="49">
        <v>56</v>
      </c>
      <c r="BT31" s="49">
        <v>14</v>
      </c>
      <c r="BU31" s="49">
        <v>0</v>
      </c>
      <c r="BV31" s="49">
        <v>0</v>
      </c>
      <c r="BW31" s="49">
        <v>0</v>
      </c>
      <c r="BX31" s="49">
        <v>0</v>
      </c>
      <c r="BY31" s="49">
        <v>14</v>
      </c>
      <c r="BZ31" s="49">
        <v>164</v>
      </c>
      <c r="CA31" s="49">
        <v>769</v>
      </c>
    </row>
    <row r="32" spans="2:79" x14ac:dyDescent="0.25">
      <c r="B32" s="11">
        <v>0.66666666666666663</v>
      </c>
      <c r="C32" s="49">
        <v>89</v>
      </c>
      <c r="D32" s="49">
        <v>0</v>
      </c>
      <c r="E32" s="49">
        <v>0</v>
      </c>
      <c r="F32" s="49">
        <v>0</v>
      </c>
      <c r="G32" s="49">
        <v>1</v>
      </c>
      <c r="H32" s="49">
        <v>90</v>
      </c>
      <c r="I32" s="49">
        <v>86</v>
      </c>
      <c r="J32" s="49">
        <v>0</v>
      </c>
      <c r="K32" s="49">
        <v>0</v>
      </c>
      <c r="L32" s="49">
        <v>0</v>
      </c>
      <c r="M32" s="49">
        <v>0</v>
      </c>
      <c r="N32" s="49">
        <v>86</v>
      </c>
      <c r="O32" s="49">
        <v>52</v>
      </c>
      <c r="P32" s="49">
        <v>1</v>
      </c>
      <c r="Q32" s="49">
        <v>3</v>
      </c>
      <c r="R32" s="49">
        <v>0</v>
      </c>
      <c r="S32" s="49">
        <v>0</v>
      </c>
      <c r="T32" s="49">
        <v>56</v>
      </c>
      <c r="U32" s="49">
        <v>232</v>
      </c>
      <c r="V32" s="49">
        <v>13</v>
      </c>
      <c r="W32" s="49">
        <v>0</v>
      </c>
      <c r="X32" s="49">
        <v>0</v>
      </c>
      <c r="Y32" s="49">
        <v>0</v>
      </c>
      <c r="Z32" s="49">
        <v>0</v>
      </c>
      <c r="AA32" s="49">
        <v>13</v>
      </c>
      <c r="AB32" s="49">
        <v>50</v>
      </c>
      <c r="AC32" s="49">
        <v>5</v>
      </c>
      <c r="AD32" s="49">
        <v>0</v>
      </c>
      <c r="AE32" s="49">
        <v>0</v>
      </c>
      <c r="AF32" s="49">
        <v>0</v>
      </c>
      <c r="AG32" s="49">
        <v>55</v>
      </c>
      <c r="AH32" s="49">
        <v>88</v>
      </c>
      <c r="AI32" s="49">
        <v>0</v>
      </c>
      <c r="AJ32" s="49">
        <v>1</v>
      </c>
      <c r="AK32" s="49">
        <v>0</v>
      </c>
      <c r="AL32" s="49">
        <v>1</v>
      </c>
      <c r="AM32" s="49">
        <v>90</v>
      </c>
      <c r="AN32" s="49">
        <v>158</v>
      </c>
      <c r="AO32" s="49">
        <v>19</v>
      </c>
      <c r="AP32" s="49">
        <v>0</v>
      </c>
      <c r="AQ32" s="49">
        <v>1</v>
      </c>
      <c r="AR32" s="49">
        <v>0</v>
      </c>
      <c r="AS32" s="49">
        <v>0</v>
      </c>
      <c r="AT32" s="49">
        <v>20</v>
      </c>
      <c r="AU32" s="49">
        <v>136</v>
      </c>
      <c r="AV32" s="49">
        <v>0</v>
      </c>
      <c r="AW32" s="49">
        <v>0</v>
      </c>
      <c r="AX32" s="49">
        <v>0</v>
      </c>
      <c r="AY32" s="49">
        <v>1</v>
      </c>
      <c r="AZ32" s="49">
        <v>137</v>
      </c>
      <c r="BA32" s="49">
        <v>12</v>
      </c>
      <c r="BB32" s="49">
        <v>0</v>
      </c>
      <c r="BC32" s="49">
        <v>0</v>
      </c>
      <c r="BD32" s="49">
        <v>0</v>
      </c>
      <c r="BE32" s="49">
        <v>0</v>
      </c>
      <c r="BF32" s="49">
        <v>12</v>
      </c>
      <c r="BG32" s="49">
        <v>169</v>
      </c>
      <c r="BH32" s="49">
        <v>82</v>
      </c>
      <c r="BI32" s="49">
        <v>0</v>
      </c>
      <c r="BJ32" s="49">
        <v>0</v>
      </c>
      <c r="BK32" s="49">
        <v>0</v>
      </c>
      <c r="BL32" s="49">
        <v>0</v>
      </c>
      <c r="BM32" s="49">
        <v>82</v>
      </c>
      <c r="BN32" s="49">
        <v>71</v>
      </c>
      <c r="BO32" s="49">
        <v>6</v>
      </c>
      <c r="BP32" s="49">
        <v>1</v>
      </c>
      <c r="BQ32" s="49">
        <v>0</v>
      </c>
      <c r="BR32" s="49">
        <v>0</v>
      </c>
      <c r="BS32" s="49">
        <v>78</v>
      </c>
      <c r="BT32" s="49">
        <v>15</v>
      </c>
      <c r="BU32" s="49">
        <v>0</v>
      </c>
      <c r="BV32" s="49">
        <v>0</v>
      </c>
      <c r="BW32" s="49">
        <v>0</v>
      </c>
      <c r="BX32" s="49">
        <v>0</v>
      </c>
      <c r="BY32" s="49">
        <v>15</v>
      </c>
      <c r="BZ32" s="49">
        <v>175</v>
      </c>
      <c r="CA32" s="49">
        <v>734</v>
      </c>
    </row>
    <row r="33" spans="2:79" x14ac:dyDescent="0.25">
      <c r="B33" s="11">
        <v>0.67708333333333337</v>
      </c>
      <c r="C33" s="49">
        <v>96</v>
      </c>
      <c r="D33" s="49">
        <v>0</v>
      </c>
      <c r="E33" s="49">
        <v>4</v>
      </c>
      <c r="F33" s="49">
        <v>0</v>
      </c>
      <c r="G33" s="49">
        <v>0</v>
      </c>
      <c r="H33" s="49">
        <v>100</v>
      </c>
      <c r="I33" s="49">
        <v>79</v>
      </c>
      <c r="J33" s="49">
        <v>0</v>
      </c>
      <c r="K33" s="49">
        <v>0</v>
      </c>
      <c r="L33" s="49">
        <v>0</v>
      </c>
      <c r="M33" s="49">
        <v>0</v>
      </c>
      <c r="N33" s="49">
        <v>79</v>
      </c>
      <c r="O33" s="49">
        <v>60</v>
      </c>
      <c r="P33" s="49">
        <v>1</v>
      </c>
      <c r="Q33" s="49">
        <v>1</v>
      </c>
      <c r="R33" s="49">
        <v>0</v>
      </c>
      <c r="S33" s="49">
        <v>0</v>
      </c>
      <c r="T33" s="49">
        <v>62</v>
      </c>
      <c r="U33" s="49">
        <v>241</v>
      </c>
      <c r="V33" s="49">
        <v>12</v>
      </c>
      <c r="W33" s="49">
        <v>0</v>
      </c>
      <c r="X33" s="49">
        <v>0</v>
      </c>
      <c r="Y33" s="49">
        <v>0</v>
      </c>
      <c r="Z33" s="49">
        <v>0</v>
      </c>
      <c r="AA33" s="49">
        <v>12</v>
      </c>
      <c r="AB33" s="49">
        <v>61</v>
      </c>
      <c r="AC33" s="49">
        <v>2</v>
      </c>
      <c r="AD33" s="49">
        <v>0</v>
      </c>
      <c r="AE33" s="49">
        <v>0</v>
      </c>
      <c r="AF33" s="49">
        <v>2</v>
      </c>
      <c r="AG33" s="49">
        <v>65</v>
      </c>
      <c r="AH33" s="49">
        <v>84</v>
      </c>
      <c r="AI33" s="49">
        <v>0</v>
      </c>
      <c r="AJ33" s="49">
        <v>0</v>
      </c>
      <c r="AK33" s="49">
        <v>0</v>
      </c>
      <c r="AL33" s="49">
        <v>0</v>
      </c>
      <c r="AM33" s="49">
        <v>84</v>
      </c>
      <c r="AN33" s="49">
        <v>161</v>
      </c>
      <c r="AO33" s="49">
        <v>26</v>
      </c>
      <c r="AP33" s="49">
        <v>0</v>
      </c>
      <c r="AQ33" s="49">
        <v>0</v>
      </c>
      <c r="AR33" s="49">
        <v>0</v>
      </c>
      <c r="AS33" s="49">
        <v>0</v>
      </c>
      <c r="AT33" s="49">
        <v>26</v>
      </c>
      <c r="AU33" s="49">
        <v>171</v>
      </c>
      <c r="AV33" s="49">
        <v>0</v>
      </c>
      <c r="AW33" s="49">
        <v>0</v>
      </c>
      <c r="AX33" s="49">
        <v>0</v>
      </c>
      <c r="AY33" s="49">
        <v>1</v>
      </c>
      <c r="AZ33" s="49">
        <v>172</v>
      </c>
      <c r="BA33" s="49">
        <v>12</v>
      </c>
      <c r="BB33" s="49">
        <v>0</v>
      </c>
      <c r="BC33" s="49">
        <v>0</v>
      </c>
      <c r="BD33" s="49">
        <v>0</v>
      </c>
      <c r="BE33" s="49">
        <v>0</v>
      </c>
      <c r="BF33" s="49">
        <v>12</v>
      </c>
      <c r="BG33" s="49">
        <v>210</v>
      </c>
      <c r="BH33" s="49">
        <v>71</v>
      </c>
      <c r="BI33" s="49">
        <v>1</v>
      </c>
      <c r="BJ33" s="49">
        <v>1</v>
      </c>
      <c r="BK33" s="49">
        <v>0</v>
      </c>
      <c r="BL33" s="49">
        <v>1</v>
      </c>
      <c r="BM33" s="49">
        <v>74</v>
      </c>
      <c r="BN33" s="49">
        <v>57</v>
      </c>
      <c r="BO33" s="49">
        <v>7</v>
      </c>
      <c r="BP33" s="49">
        <v>0</v>
      </c>
      <c r="BQ33" s="49">
        <v>0</v>
      </c>
      <c r="BR33" s="49">
        <v>0</v>
      </c>
      <c r="BS33" s="49">
        <v>64</v>
      </c>
      <c r="BT33" s="49">
        <v>16</v>
      </c>
      <c r="BU33" s="49">
        <v>0</v>
      </c>
      <c r="BV33" s="49">
        <v>0</v>
      </c>
      <c r="BW33" s="49">
        <v>0</v>
      </c>
      <c r="BX33" s="49">
        <v>0</v>
      </c>
      <c r="BY33" s="49">
        <v>16</v>
      </c>
      <c r="BZ33" s="49">
        <v>154</v>
      </c>
      <c r="CA33" s="49">
        <v>766</v>
      </c>
    </row>
    <row r="34" spans="2:79" x14ac:dyDescent="0.25">
      <c r="B34" s="11">
        <v>0.6875</v>
      </c>
      <c r="C34" s="49">
        <v>94</v>
      </c>
      <c r="D34" s="49">
        <v>0</v>
      </c>
      <c r="E34" s="49">
        <v>1</v>
      </c>
      <c r="F34" s="49">
        <v>0</v>
      </c>
      <c r="G34" s="49">
        <v>0</v>
      </c>
      <c r="H34" s="49">
        <v>95</v>
      </c>
      <c r="I34" s="49">
        <v>93</v>
      </c>
      <c r="J34" s="49">
        <v>0</v>
      </c>
      <c r="K34" s="49">
        <v>1</v>
      </c>
      <c r="L34" s="49">
        <v>0</v>
      </c>
      <c r="M34" s="49">
        <v>0</v>
      </c>
      <c r="N34" s="49">
        <v>94</v>
      </c>
      <c r="O34" s="49">
        <v>71</v>
      </c>
      <c r="P34" s="49">
        <v>0</v>
      </c>
      <c r="Q34" s="49">
        <v>1</v>
      </c>
      <c r="R34" s="49">
        <v>0</v>
      </c>
      <c r="S34" s="49">
        <v>0</v>
      </c>
      <c r="T34" s="49">
        <v>72</v>
      </c>
      <c r="U34" s="49">
        <v>261</v>
      </c>
      <c r="V34" s="49">
        <v>11</v>
      </c>
      <c r="W34" s="49">
        <v>0</v>
      </c>
      <c r="X34" s="49">
        <v>0</v>
      </c>
      <c r="Y34" s="49">
        <v>0</v>
      </c>
      <c r="Z34" s="49">
        <v>0</v>
      </c>
      <c r="AA34" s="49">
        <v>11</v>
      </c>
      <c r="AB34" s="49">
        <v>83</v>
      </c>
      <c r="AC34" s="49">
        <v>4</v>
      </c>
      <c r="AD34" s="49">
        <v>0</v>
      </c>
      <c r="AE34" s="49">
        <v>0</v>
      </c>
      <c r="AF34" s="49">
        <v>0</v>
      </c>
      <c r="AG34" s="49">
        <v>87</v>
      </c>
      <c r="AH34" s="49">
        <v>119</v>
      </c>
      <c r="AI34" s="49">
        <v>0</v>
      </c>
      <c r="AJ34" s="49">
        <v>0</v>
      </c>
      <c r="AK34" s="49">
        <v>0</v>
      </c>
      <c r="AL34" s="49">
        <v>0</v>
      </c>
      <c r="AM34" s="49">
        <v>119</v>
      </c>
      <c r="AN34" s="49">
        <v>217</v>
      </c>
      <c r="AO34" s="49">
        <v>21</v>
      </c>
      <c r="AP34" s="49">
        <v>0</v>
      </c>
      <c r="AQ34" s="49">
        <v>0</v>
      </c>
      <c r="AR34" s="49">
        <v>0</v>
      </c>
      <c r="AS34" s="49">
        <v>0</v>
      </c>
      <c r="AT34" s="49">
        <v>21</v>
      </c>
      <c r="AU34" s="49">
        <v>179</v>
      </c>
      <c r="AV34" s="49">
        <v>0</v>
      </c>
      <c r="AW34" s="49">
        <v>1</v>
      </c>
      <c r="AX34" s="49">
        <v>0</v>
      </c>
      <c r="AY34" s="49">
        <v>0</v>
      </c>
      <c r="AZ34" s="49">
        <v>180</v>
      </c>
      <c r="BA34" s="49">
        <v>16</v>
      </c>
      <c r="BB34" s="49">
        <v>0</v>
      </c>
      <c r="BC34" s="49">
        <v>0</v>
      </c>
      <c r="BD34" s="49">
        <v>0</v>
      </c>
      <c r="BE34" s="49">
        <v>0</v>
      </c>
      <c r="BF34" s="49">
        <v>16</v>
      </c>
      <c r="BG34" s="49">
        <v>217</v>
      </c>
      <c r="BH34" s="49">
        <v>98</v>
      </c>
      <c r="BI34" s="49">
        <v>2</v>
      </c>
      <c r="BJ34" s="49">
        <v>0</v>
      </c>
      <c r="BK34" s="49">
        <v>0</v>
      </c>
      <c r="BL34" s="49">
        <v>1</v>
      </c>
      <c r="BM34" s="49">
        <v>101</v>
      </c>
      <c r="BN34" s="49">
        <v>65</v>
      </c>
      <c r="BO34" s="49">
        <v>7</v>
      </c>
      <c r="BP34" s="49">
        <v>1</v>
      </c>
      <c r="BQ34" s="49">
        <v>0</v>
      </c>
      <c r="BR34" s="49">
        <v>0</v>
      </c>
      <c r="BS34" s="49">
        <v>73</v>
      </c>
      <c r="BT34" s="49">
        <v>15</v>
      </c>
      <c r="BU34" s="49">
        <v>0</v>
      </c>
      <c r="BV34" s="49">
        <v>0</v>
      </c>
      <c r="BW34" s="49">
        <v>0</v>
      </c>
      <c r="BX34" s="49">
        <v>0</v>
      </c>
      <c r="BY34" s="49">
        <v>15</v>
      </c>
      <c r="BZ34" s="49">
        <v>189</v>
      </c>
      <c r="CA34" s="49">
        <v>884</v>
      </c>
    </row>
    <row r="35" spans="2:79" x14ac:dyDescent="0.25">
      <c r="B35" s="11">
        <v>0.69791666666666663</v>
      </c>
      <c r="C35" s="49">
        <v>99</v>
      </c>
      <c r="D35" s="49">
        <v>0</v>
      </c>
      <c r="E35" s="49">
        <v>1</v>
      </c>
      <c r="F35" s="49">
        <v>0</v>
      </c>
      <c r="G35" s="49">
        <v>0</v>
      </c>
      <c r="H35" s="49">
        <v>100</v>
      </c>
      <c r="I35" s="49">
        <v>120</v>
      </c>
      <c r="J35" s="49">
        <v>0</v>
      </c>
      <c r="K35" s="49">
        <v>2</v>
      </c>
      <c r="L35" s="49">
        <v>0</v>
      </c>
      <c r="M35" s="49">
        <v>0</v>
      </c>
      <c r="N35" s="49">
        <v>122</v>
      </c>
      <c r="O35" s="49">
        <v>50</v>
      </c>
      <c r="P35" s="49">
        <v>1</v>
      </c>
      <c r="Q35" s="49">
        <v>0</v>
      </c>
      <c r="R35" s="49">
        <v>0</v>
      </c>
      <c r="S35" s="49">
        <v>0</v>
      </c>
      <c r="T35" s="49">
        <v>51</v>
      </c>
      <c r="U35" s="49">
        <v>273</v>
      </c>
      <c r="V35" s="49">
        <v>11</v>
      </c>
      <c r="W35" s="49">
        <v>1</v>
      </c>
      <c r="X35" s="49">
        <v>0</v>
      </c>
      <c r="Y35" s="49">
        <v>0</v>
      </c>
      <c r="Z35" s="49">
        <v>0</v>
      </c>
      <c r="AA35" s="49">
        <v>12</v>
      </c>
      <c r="AB35" s="49">
        <v>72</v>
      </c>
      <c r="AC35" s="49">
        <v>6</v>
      </c>
      <c r="AD35" s="49">
        <v>1</v>
      </c>
      <c r="AE35" s="49">
        <v>0</v>
      </c>
      <c r="AF35" s="49">
        <v>0</v>
      </c>
      <c r="AG35" s="49">
        <v>79</v>
      </c>
      <c r="AH35" s="49">
        <v>99</v>
      </c>
      <c r="AI35" s="49">
        <v>0</v>
      </c>
      <c r="AJ35" s="49">
        <v>1</v>
      </c>
      <c r="AK35" s="49">
        <v>0</v>
      </c>
      <c r="AL35" s="49">
        <v>0</v>
      </c>
      <c r="AM35" s="49">
        <v>100</v>
      </c>
      <c r="AN35" s="49">
        <v>191</v>
      </c>
      <c r="AO35" s="49">
        <v>24</v>
      </c>
      <c r="AP35" s="49">
        <v>1</v>
      </c>
      <c r="AQ35" s="49">
        <v>0</v>
      </c>
      <c r="AR35" s="49">
        <v>0</v>
      </c>
      <c r="AS35" s="49">
        <v>0</v>
      </c>
      <c r="AT35" s="49">
        <v>25</v>
      </c>
      <c r="AU35" s="49">
        <v>151</v>
      </c>
      <c r="AV35" s="49">
        <v>0</v>
      </c>
      <c r="AW35" s="49">
        <v>1</v>
      </c>
      <c r="AX35" s="49">
        <v>0</v>
      </c>
      <c r="AY35" s="49">
        <v>0</v>
      </c>
      <c r="AZ35" s="49">
        <v>152</v>
      </c>
      <c r="BA35" s="49">
        <v>8</v>
      </c>
      <c r="BB35" s="49">
        <v>0</v>
      </c>
      <c r="BC35" s="49">
        <v>0</v>
      </c>
      <c r="BD35" s="49">
        <v>0</v>
      </c>
      <c r="BE35" s="49">
        <v>0</v>
      </c>
      <c r="BF35" s="49">
        <v>8</v>
      </c>
      <c r="BG35" s="49">
        <v>185</v>
      </c>
      <c r="BH35" s="49">
        <v>114</v>
      </c>
      <c r="BI35" s="49">
        <v>0</v>
      </c>
      <c r="BJ35" s="49">
        <v>1</v>
      </c>
      <c r="BK35" s="49">
        <v>0</v>
      </c>
      <c r="BL35" s="49">
        <v>1</v>
      </c>
      <c r="BM35" s="49">
        <v>116</v>
      </c>
      <c r="BN35" s="49">
        <v>68</v>
      </c>
      <c r="BO35" s="49">
        <v>8</v>
      </c>
      <c r="BP35" s="49">
        <v>1</v>
      </c>
      <c r="BQ35" s="49">
        <v>0</v>
      </c>
      <c r="BR35" s="49">
        <v>0</v>
      </c>
      <c r="BS35" s="49">
        <v>77</v>
      </c>
      <c r="BT35" s="49">
        <v>12</v>
      </c>
      <c r="BU35" s="49">
        <v>0</v>
      </c>
      <c r="BV35" s="49">
        <v>0</v>
      </c>
      <c r="BW35" s="49">
        <v>0</v>
      </c>
      <c r="BX35" s="49">
        <v>0</v>
      </c>
      <c r="BY35" s="49">
        <v>12</v>
      </c>
      <c r="BZ35" s="49">
        <v>205</v>
      </c>
      <c r="CA35" s="49">
        <v>854</v>
      </c>
    </row>
    <row r="36" spans="2:79" x14ac:dyDescent="0.25">
      <c r="B36" s="11">
        <v>0.70833333333333337</v>
      </c>
      <c r="C36" s="49">
        <v>85</v>
      </c>
      <c r="D36" s="49">
        <v>0</v>
      </c>
      <c r="E36" s="49">
        <v>3</v>
      </c>
      <c r="F36" s="49">
        <v>1</v>
      </c>
      <c r="G36" s="49">
        <v>0</v>
      </c>
      <c r="H36" s="49">
        <v>89</v>
      </c>
      <c r="I36" s="49">
        <v>106</v>
      </c>
      <c r="J36" s="49">
        <v>1</v>
      </c>
      <c r="K36" s="49">
        <v>1</v>
      </c>
      <c r="L36" s="49">
        <v>0</v>
      </c>
      <c r="M36" s="49">
        <v>0</v>
      </c>
      <c r="N36" s="49">
        <v>108</v>
      </c>
      <c r="O36" s="49">
        <v>73</v>
      </c>
      <c r="P36" s="49">
        <v>0</v>
      </c>
      <c r="Q36" s="49">
        <v>0</v>
      </c>
      <c r="R36" s="49">
        <v>0</v>
      </c>
      <c r="S36" s="49">
        <v>0</v>
      </c>
      <c r="T36" s="49">
        <v>73</v>
      </c>
      <c r="U36" s="49">
        <v>270</v>
      </c>
      <c r="V36" s="49">
        <v>8</v>
      </c>
      <c r="W36" s="49">
        <v>1</v>
      </c>
      <c r="X36" s="49">
        <v>1</v>
      </c>
      <c r="Y36" s="49">
        <v>0</v>
      </c>
      <c r="Z36" s="49">
        <v>0</v>
      </c>
      <c r="AA36" s="49">
        <v>10</v>
      </c>
      <c r="AB36" s="49">
        <v>74</v>
      </c>
      <c r="AC36" s="49">
        <v>3</v>
      </c>
      <c r="AD36" s="49">
        <v>2</v>
      </c>
      <c r="AE36" s="49">
        <v>0</v>
      </c>
      <c r="AF36" s="49">
        <v>8</v>
      </c>
      <c r="AG36" s="49">
        <v>87</v>
      </c>
      <c r="AH36" s="49">
        <v>113</v>
      </c>
      <c r="AI36" s="49">
        <v>0</v>
      </c>
      <c r="AJ36" s="49">
        <v>1</v>
      </c>
      <c r="AK36" s="49">
        <v>0</v>
      </c>
      <c r="AL36" s="49">
        <v>0</v>
      </c>
      <c r="AM36" s="49">
        <v>114</v>
      </c>
      <c r="AN36" s="49">
        <v>211</v>
      </c>
      <c r="AO36" s="49">
        <v>13</v>
      </c>
      <c r="AP36" s="49">
        <v>0</v>
      </c>
      <c r="AQ36" s="49">
        <v>0</v>
      </c>
      <c r="AR36" s="49">
        <v>0</v>
      </c>
      <c r="AS36" s="49">
        <v>0</v>
      </c>
      <c r="AT36" s="49">
        <v>13</v>
      </c>
      <c r="AU36" s="49">
        <v>142</v>
      </c>
      <c r="AV36" s="49">
        <v>0</v>
      </c>
      <c r="AW36" s="49">
        <v>3</v>
      </c>
      <c r="AX36" s="49">
        <v>0</v>
      </c>
      <c r="AY36" s="49">
        <v>0</v>
      </c>
      <c r="AZ36" s="49">
        <v>145</v>
      </c>
      <c r="BA36" s="49">
        <v>10</v>
      </c>
      <c r="BB36" s="49">
        <v>0</v>
      </c>
      <c r="BC36" s="49">
        <v>0</v>
      </c>
      <c r="BD36" s="49">
        <v>0</v>
      </c>
      <c r="BE36" s="49">
        <v>0</v>
      </c>
      <c r="BF36" s="49">
        <v>10</v>
      </c>
      <c r="BG36" s="49">
        <v>168</v>
      </c>
      <c r="BH36" s="49">
        <v>93</v>
      </c>
      <c r="BI36" s="49">
        <v>0</v>
      </c>
      <c r="BJ36" s="49">
        <v>0</v>
      </c>
      <c r="BK36" s="49">
        <v>0</v>
      </c>
      <c r="BL36" s="49">
        <v>0</v>
      </c>
      <c r="BM36" s="49">
        <v>93</v>
      </c>
      <c r="BN36" s="49">
        <v>86</v>
      </c>
      <c r="BO36" s="49">
        <v>3</v>
      </c>
      <c r="BP36" s="49">
        <v>0</v>
      </c>
      <c r="BQ36" s="49">
        <v>0</v>
      </c>
      <c r="BR36" s="49">
        <v>0</v>
      </c>
      <c r="BS36" s="49">
        <v>89</v>
      </c>
      <c r="BT36" s="49">
        <v>13</v>
      </c>
      <c r="BU36" s="49">
        <v>0</v>
      </c>
      <c r="BV36" s="49">
        <v>0</v>
      </c>
      <c r="BW36" s="49">
        <v>0</v>
      </c>
      <c r="BX36" s="49">
        <v>0</v>
      </c>
      <c r="BY36" s="49">
        <v>13</v>
      </c>
      <c r="BZ36" s="49">
        <v>195</v>
      </c>
      <c r="CA36" s="49">
        <v>844</v>
      </c>
    </row>
    <row r="37" spans="2:79" x14ac:dyDescent="0.25">
      <c r="B37" s="11">
        <v>0.71875</v>
      </c>
      <c r="C37" s="49">
        <v>98</v>
      </c>
      <c r="D37" s="49">
        <v>2</v>
      </c>
      <c r="E37" s="49">
        <v>2</v>
      </c>
      <c r="F37" s="49">
        <v>0</v>
      </c>
      <c r="G37" s="49">
        <v>0</v>
      </c>
      <c r="H37" s="49">
        <v>102</v>
      </c>
      <c r="I37" s="49">
        <v>111</v>
      </c>
      <c r="J37" s="49">
        <v>0</v>
      </c>
      <c r="K37" s="49">
        <v>1</v>
      </c>
      <c r="L37" s="49">
        <v>0</v>
      </c>
      <c r="M37" s="49">
        <v>0</v>
      </c>
      <c r="N37" s="49">
        <v>112</v>
      </c>
      <c r="O37" s="49">
        <v>63</v>
      </c>
      <c r="P37" s="49">
        <v>1</v>
      </c>
      <c r="Q37" s="49">
        <v>0</v>
      </c>
      <c r="R37" s="49">
        <v>0</v>
      </c>
      <c r="S37" s="49">
        <v>0</v>
      </c>
      <c r="T37" s="49">
        <v>64</v>
      </c>
      <c r="U37" s="49">
        <v>278</v>
      </c>
      <c r="V37" s="49">
        <v>13</v>
      </c>
      <c r="W37" s="49">
        <v>0</v>
      </c>
      <c r="X37" s="49">
        <v>0</v>
      </c>
      <c r="Y37" s="49">
        <v>0</v>
      </c>
      <c r="Z37" s="49">
        <v>0</v>
      </c>
      <c r="AA37" s="49">
        <v>13</v>
      </c>
      <c r="AB37" s="49">
        <v>90</v>
      </c>
      <c r="AC37" s="49">
        <v>5</v>
      </c>
      <c r="AD37" s="49">
        <v>1</v>
      </c>
      <c r="AE37" s="49">
        <v>0</v>
      </c>
      <c r="AF37" s="49">
        <v>3</v>
      </c>
      <c r="AG37" s="49">
        <v>99</v>
      </c>
      <c r="AH37" s="49">
        <v>105</v>
      </c>
      <c r="AI37" s="49">
        <v>0</v>
      </c>
      <c r="AJ37" s="49">
        <v>0</v>
      </c>
      <c r="AK37" s="49">
        <v>0</v>
      </c>
      <c r="AL37" s="49">
        <v>0</v>
      </c>
      <c r="AM37" s="49">
        <v>105</v>
      </c>
      <c r="AN37" s="49">
        <v>217</v>
      </c>
      <c r="AO37" s="49">
        <v>18</v>
      </c>
      <c r="AP37" s="49">
        <v>0</v>
      </c>
      <c r="AQ37" s="49">
        <v>0</v>
      </c>
      <c r="AR37" s="49">
        <v>0</v>
      </c>
      <c r="AS37" s="49">
        <v>0</v>
      </c>
      <c r="AT37" s="49">
        <v>18</v>
      </c>
      <c r="AU37" s="49">
        <v>155</v>
      </c>
      <c r="AV37" s="49">
        <v>0</v>
      </c>
      <c r="AW37" s="49">
        <v>0</v>
      </c>
      <c r="AX37" s="49">
        <v>0</v>
      </c>
      <c r="AY37" s="49">
        <v>1</v>
      </c>
      <c r="AZ37" s="49">
        <v>156</v>
      </c>
      <c r="BA37" s="49">
        <v>17</v>
      </c>
      <c r="BB37" s="49">
        <v>0</v>
      </c>
      <c r="BC37" s="49">
        <v>1</v>
      </c>
      <c r="BD37" s="49">
        <v>0</v>
      </c>
      <c r="BE37" s="49">
        <v>0</v>
      </c>
      <c r="BF37" s="49">
        <v>18</v>
      </c>
      <c r="BG37" s="49">
        <v>192</v>
      </c>
      <c r="BH37" s="49">
        <v>95</v>
      </c>
      <c r="BI37" s="49">
        <v>0</v>
      </c>
      <c r="BJ37" s="49">
        <v>0</v>
      </c>
      <c r="BK37" s="49">
        <v>0</v>
      </c>
      <c r="BL37" s="49">
        <v>0</v>
      </c>
      <c r="BM37" s="49">
        <v>95</v>
      </c>
      <c r="BN37" s="49">
        <v>51</v>
      </c>
      <c r="BO37" s="49">
        <v>3</v>
      </c>
      <c r="BP37" s="49">
        <v>0</v>
      </c>
      <c r="BQ37" s="49">
        <v>0</v>
      </c>
      <c r="BR37" s="49">
        <v>2</v>
      </c>
      <c r="BS37" s="49">
        <v>56</v>
      </c>
      <c r="BT37" s="49">
        <v>17</v>
      </c>
      <c r="BU37" s="49">
        <v>0</v>
      </c>
      <c r="BV37" s="49">
        <v>0</v>
      </c>
      <c r="BW37" s="49">
        <v>0</v>
      </c>
      <c r="BX37" s="49">
        <v>0</v>
      </c>
      <c r="BY37" s="49">
        <v>17</v>
      </c>
      <c r="BZ37" s="49">
        <v>168</v>
      </c>
      <c r="CA37" s="49">
        <v>855</v>
      </c>
    </row>
    <row r="38" spans="2:79" x14ac:dyDescent="0.25">
      <c r="B38" s="11">
        <v>0.72916666666666663</v>
      </c>
      <c r="C38" s="49">
        <v>85</v>
      </c>
      <c r="D38" s="49">
        <v>0</v>
      </c>
      <c r="E38" s="49">
        <v>3</v>
      </c>
      <c r="F38" s="49">
        <v>0</v>
      </c>
      <c r="G38" s="49">
        <v>0</v>
      </c>
      <c r="H38" s="49">
        <v>88</v>
      </c>
      <c r="I38" s="49">
        <v>95</v>
      </c>
      <c r="J38" s="49">
        <v>0</v>
      </c>
      <c r="K38" s="49">
        <v>0</v>
      </c>
      <c r="L38" s="49">
        <v>0</v>
      </c>
      <c r="M38" s="49">
        <v>0</v>
      </c>
      <c r="N38" s="49">
        <v>95</v>
      </c>
      <c r="O38" s="49">
        <v>76</v>
      </c>
      <c r="P38" s="49">
        <v>0</v>
      </c>
      <c r="Q38" s="49">
        <v>0</v>
      </c>
      <c r="R38" s="49">
        <v>0</v>
      </c>
      <c r="S38" s="49">
        <v>0</v>
      </c>
      <c r="T38" s="49">
        <v>76</v>
      </c>
      <c r="U38" s="49">
        <v>259</v>
      </c>
      <c r="V38" s="49">
        <v>15</v>
      </c>
      <c r="W38" s="49">
        <v>0</v>
      </c>
      <c r="X38" s="49">
        <v>0</v>
      </c>
      <c r="Y38" s="49">
        <v>0</v>
      </c>
      <c r="Z38" s="49">
        <v>0</v>
      </c>
      <c r="AA38" s="49">
        <v>15</v>
      </c>
      <c r="AB38" s="49">
        <v>66</v>
      </c>
      <c r="AC38" s="49">
        <v>2</v>
      </c>
      <c r="AD38" s="49">
        <v>1</v>
      </c>
      <c r="AE38" s="49">
        <v>0</v>
      </c>
      <c r="AF38" s="49">
        <v>1</v>
      </c>
      <c r="AG38" s="49">
        <v>70</v>
      </c>
      <c r="AH38" s="49">
        <v>105</v>
      </c>
      <c r="AI38" s="49">
        <v>0</v>
      </c>
      <c r="AJ38" s="49">
        <v>0</v>
      </c>
      <c r="AK38" s="49">
        <v>0</v>
      </c>
      <c r="AL38" s="49">
        <v>0</v>
      </c>
      <c r="AM38" s="49">
        <v>105</v>
      </c>
      <c r="AN38" s="49">
        <v>190</v>
      </c>
      <c r="AO38" s="49">
        <v>13</v>
      </c>
      <c r="AP38" s="49">
        <v>0</v>
      </c>
      <c r="AQ38" s="49">
        <v>0</v>
      </c>
      <c r="AR38" s="49">
        <v>0</v>
      </c>
      <c r="AS38" s="49">
        <v>0</v>
      </c>
      <c r="AT38" s="49">
        <v>13</v>
      </c>
      <c r="AU38" s="49">
        <v>170</v>
      </c>
      <c r="AV38" s="49">
        <v>0</v>
      </c>
      <c r="AW38" s="49">
        <v>0</v>
      </c>
      <c r="AX38" s="49">
        <v>0</v>
      </c>
      <c r="AY38" s="49">
        <v>0</v>
      </c>
      <c r="AZ38" s="49">
        <v>170</v>
      </c>
      <c r="BA38" s="49">
        <v>15</v>
      </c>
      <c r="BB38" s="49">
        <v>0</v>
      </c>
      <c r="BC38" s="49">
        <v>1</v>
      </c>
      <c r="BD38" s="49">
        <v>0</v>
      </c>
      <c r="BE38" s="49">
        <v>0</v>
      </c>
      <c r="BF38" s="49">
        <v>16</v>
      </c>
      <c r="BG38" s="49">
        <v>199</v>
      </c>
      <c r="BH38" s="49">
        <v>88</v>
      </c>
      <c r="BI38" s="49">
        <v>1</v>
      </c>
      <c r="BJ38" s="49">
        <v>0</v>
      </c>
      <c r="BK38" s="49">
        <v>0</v>
      </c>
      <c r="BL38" s="49">
        <v>0</v>
      </c>
      <c r="BM38" s="49">
        <v>89</v>
      </c>
      <c r="BN38" s="49">
        <v>63</v>
      </c>
      <c r="BO38" s="49">
        <v>5</v>
      </c>
      <c r="BP38" s="49">
        <v>0</v>
      </c>
      <c r="BQ38" s="49">
        <v>0</v>
      </c>
      <c r="BR38" s="49">
        <v>1</v>
      </c>
      <c r="BS38" s="49">
        <v>69</v>
      </c>
      <c r="BT38" s="49">
        <v>17</v>
      </c>
      <c r="BU38" s="49">
        <v>0</v>
      </c>
      <c r="BV38" s="49">
        <v>0</v>
      </c>
      <c r="BW38" s="49">
        <v>0</v>
      </c>
      <c r="BX38" s="49">
        <v>0</v>
      </c>
      <c r="BY38" s="49">
        <v>17</v>
      </c>
      <c r="BZ38" s="49">
        <v>175</v>
      </c>
      <c r="CA38" s="49">
        <v>823</v>
      </c>
    </row>
    <row r="39" spans="2:79" x14ac:dyDescent="0.25">
      <c r="B39" s="11">
        <v>0.73958333333333337</v>
      </c>
      <c r="C39" s="49">
        <v>83</v>
      </c>
      <c r="D39" s="49">
        <v>0</v>
      </c>
      <c r="E39" s="49">
        <v>2</v>
      </c>
      <c r="F39" s="49">
        <v>0</v>
      </c>
      <c r="G39" s="49">
        <v>0</v>
      </c>
      <c r="H39" s="49">
        <v>85</v>
      </c>
      <c r="I39" s="49">
        <v>114</v>
      </c>
      <c r="J39" s="49">
        <v>0</v>
      </c>
      <c r="K39" s="49">
        <v>0</v>
      </c>
      <c r="L39" s="49">
        <v>0</v>
      </c>
      <c r="M39" s="49">
        <v>0</v>
      </c>
      <c r="N39" s="49">
        <v>114</v>
      </c>
      <c r="O39" s="49">
        <v>61</v>
      </c>
      <c r="P39" s="49">
        <v>1</v>
      </c>
      <c r="Q39" s="49">
        <v>0</v>
      </c>
      <c r="R39" s="49">
        <v>0</v>
      </c>
      <c r="S39" s="49">
        <v>0</v>
      </c>
      <c r="T39" s="49">
        <v>62</v>
      </c>
      <c r="U39" s="49">
        <v>261</v>
      </c>
      <c r="V39" s="49">
        <v>11</v>
      </c>
      <c r="W39" s="49">
        <v>0</v>
      </c>
      <c r="X39" s="49">
        <v>1</v>
      </c>
      <c r="Y39" s="49">
        <v>0</v>
      </c>
      <c r="Z39" s="49">
        <v>0</v>
      </c>
      <c r="AA39" s="49">
        <v>12</v>
      </c>
      <c r="AB39" s="49">
        <v>39</v>
      </c>
      <c r="AC39" s="49">
        <v>4</v>
      </c>
      <c r="AD39" s="49">
        <v>0</v>
      </c>
      <c r="AE39" s="49">
        <v>0</v>
      </c>
      <c r="AF39" s="49">
        <v>3</v>
      </c>
      <c r="AG39" s="49">
        <v>46</v>
      </c>
      <c r="AH39" s="49">
        <v>63</v>
      </c>
      <c r="AI39" s="49">
        <v>0</v>
      </c>
      <c r="AJ39" s="49">
        <v>0</v>
      </c>
      <c r="AK39" s="49">
        <v>0</v>
      </c>
      <c r="AL39" s="49">
        <v>0</v>
      </c>
      <c r="AM39" s="49">
        <v>63</v>
      </c>
      <c r="AN39" s="49">
        <v>121</v>
      </c>
      <c r="AO39" s="49">
        <v>23</v>
      </c>
      <c r="AP39" s="49">
        <v>0</v>
      </c>
      <c r="AQ39" s="49">
        <v>2</v>
      </c>
      <c r="AR39" s="49">
        <v>0</v>
      </c>
      <c r="AS39" s="49">
        <v>0</v>
      </c>
      <c r="AT39" s="49">
        <v>25</v>
      </c>
      <c r="AU39" s="49">
        <v>108</v>
      </c>
      <c r="AV39" s="49">
        <v>0</v>
      </c>
      <c r="AW39" s="49">
        <v>0</v>
      </c>
      <c r="AX39" s="49">
        <v>0</v>
      </c>
      <c r="AY39" s="49">
        <v>0</v>
      </c>
      <c r="AZ39" s="49">
        <v>108</v>
      </c>
      <c r="BA39" s="49">
        <v>13</v>
      </c>
      <c r="BB39" s="49">
        <v>0</v>
      </c>
      <c r="BC39" s="49">
        <v>0</v>
      </c>
      <c r="BD39" s="49">
        <v>0</v>
      </c>
      <c r="BE39" s="49">
        <v>0</v>
      </c>
      <c r="BF39" s="49">
        <v>13</v>
      </c>
      <c r="BG39" s="49">
        <v>146</v>
      </c>
      <c r="BH39" s="49">
        <v>83</v>
      </c>
      <c r="BI39" s="49">
        <v>1</v>
      </c>
      <c r="BJ39" s="49">
        <v>0</v>
      </c>
      <c r="BK39" s="49">
        <v>0</v>
      </c>
      <c r="BL39" s="49">
        <v>0</v>
      </c>
      <c r="BM39" s="49">
        <v>84</v>
      </c>
      <c r="BN39" s="49">
        <v>65</v>
      </c>
      <c r="BO39" s="49">
        <v>3</v>
      </c>
      <c r="BP39" s="49">
        <v>0</v>
      </c>
      <c r="BQ39" s="49">
        <v>0</v>
      </c>
      <c r="BR39" s="49">
        <v>2</v>
      </c>
      <c r="BS39" s="49">
        <v>70</v>
      </c>
      <c r="BT39" s="49">
        <v>20</v>
      </c>
      <c r="BU39" s="49">
        <v>0</v>
      </c>
      <c r="BV39" s="49">
        <v>0</v>
      </c>
      <c r="BW39" s="49">
        <v>0</v>
      </c>
      <c r="BX39" s="49">
        <v>0</v>
      </c>
      <c r="BY39" s="49">
        <v>20</v>
      </c>
      <c r="BZ39" s="49">
        <v>174</v>
      </c>
      <c r="CA39" s="49">
        <v>702</v>
      </c>
    </row>
    <row r="40" spans="2:79" x14ac:dyDescent="0.25">
      <c r="B40" s="11">
        <v>0.75</v>
      </c>
      <c r="C40" s="49">
        <v>56</v>
      </c>
      <c r="D40" s="49">
        <v>0</v>
      </c>
      <c r="E40" s="49">
        <v>0</v>
      </c>
      <c r="F40" s="49">
        <v>0</v>
      </c>
      <c r="G40" s="49">
        <v>0</v>
      </c>
      <c r="H40" s="49">
        <v>56</v>
      </c>
      <c r="I40" s="49">
        <v>69</v>
      </c>
      <c r="J40" s="49">
        <v>0</v>
      </c>
      <c r="K40" s="49">
        <v>0</v>
      </c>
      <c r="L40" s="49">
        <v>0</v>
      </c>
      <c r="M40" s="49">
        <v>0</v>
      </c>
      <c r="N40" s="49">
        <v>69</v>
      </c>
      <c r="O40" s="49">
        <v>68</v>
      </c>
      <c r="P40" s="49">
        <v>0</v>
      </c>
      <c r="Q40" s="49">
        <v>0</v>
      </c>
      <c r="R40" s="49">
        <v>0</v>
      </c>
      <c r="S40" s="49">
        <v>0</v>
      </c>
      <c r="T40" s="49">
        <v>68</v>
      </c>
      <c r="U40" s="49">
        <v>193</v>
      </c>
      <c r="V40" s="49">
        <v>5</v>
      </c>
      <c r="W40" s="49">
        <v>0</v>
      </c>
      <c r="X40" s="49">
        <v>1</v>
      </c>
      <c r="Y40" s="49">
        <v>0</v>
      </c>
      <c r="Z40" s="49">
        <v>0</v>
      </c>
      <c r="AA40" s="49">
        <v>6</v>
      </c>
      <c r="AB40" s="49">
        <v>32</v>
      </c>
      <c r="AC40" s="49">
        <v>3</v>
      </c>
      <c r="AD40" s="49">
        <v>0</v>
      </c>
      <c r="AE40" s="49">
        <v>0</v>
      </c>
      <c r="AF40" s="49">
        <v>0</v>
      </c>
      <c r="AG40" s="49">
        <v>35</v>
      </c>
      <c r="AH40" s="49">
        <v>54</v>
      </c>
      <c r="AI40" s="49">
        <v>0</v>
      </c>
      <c r="AJ40" s="49">
        <v>2</v>
      </c>
      <c r="AK40" s="49">
        <v>0</v>
      </c>
      <c r="AL40" s="49">
        <v>0</v>
      </c>
      <c r="AM40" s="49">
        <v>56</v>
      </c>
      <c r="AN40" s="49">
        <v>97</v>
      </c>
      <c r="AO40" s="49">
        <v>13</v>
      </c>
      <c r="AP40" s="49">
        <v>0</v>
      </c>
      <c r="AQ40" s="49">
        <v>0</v>
      </c>
      <c r="AR40" s="49">
        <v>0</v>
      </c>
      <c r="AS40" s="49">
        <v>0</v>
      </c>
      <c r="AT40" s="49">
        <v>13</v>
      </c>
      <c r="AU40" s="49">
        <v>95</v>
      </c>
      <c r="AV40" s="49">
        <v>0</v>
      </c>
      <c r="AW40" s="49">
        <v>3</v>
      </c>
      <c r="AX40" s="49">
        <v>0</v>
      </c>
      <c r="AY40" s="49">
        <v>1</v>
      </c>
      <c r="AZ40" s="49">
        <v>99</v>
      </c>
      <c r="BA40" s="49">
        <v>7</v>
      </c>
      <c r="BB40" s="49">
        <v>0</v>
      </c>
      <c r="BC40" s="49">
        <v>0</v>
      </c>
      <c r="BD40" s="49">
        <v>0</v>
      </c>
      <c r="BE40" s="49">
        <v>0</v>
      </c>
      <c r="BF40" s="49">
        <v>7</v>
      </c>
      <c r="BG40" s="49">
        <v>119</v>
      </c>
      <c r="BH40" s="49">
        <v>97</v>
      </c>
      <c r="BI40" s="49">
        <v>1</v>
      </c>
      <c r="BJ40" s="49">
        <v>0</v>
      </c>
      <c r="BK40" s="49">
        <v>0</v>
      </c>
      <c r="BL40" s="49">
        <v>0</v>
      </c>
      <c r="BM40" s="49">
        <v>98</v>
      </c>
      <c r="BN40" s="49">
        <v>48</v>
      </c>
      <c r="BO40" s="49">
        <v>2</v>
      </c>
      <c r="BP40" s="49">
        <v>1</v>
      </c>
      <c r="BQ40" s="49">
        <v>0</v>
      </c>
      <c r="BR40" s="49">
        <v>0</v>
      </c>
      <c r="BS40" s="49">
        <v>51</v>
      </c>
      <c r="BT40" s="49">
        <v>20</v>
      </c>
      <c r="BU40" s="49">
        <v>0</v>
      </c>
      <c r="BV40" s="49">
        <v>0</v>
      </c>
      <c r="BW40" s="49">
        <v>0</v>
      </c>
      <c r="BX40" s="49">
        <v>0</v>
      </c>
      <c r="BY40" s="49">
        <v>20</v>
      </c>
      <c r="BZ40" s="49">
        <v>169</v>
      </c>
      <c r="CA40" s="49">
        <v>578</v>
      </c>
    </row>
    <row r="41" spans="2:79" x14ac:dyDescent="0.25">
      <c r="B41" s="11">
        <v>0.76041666666666663</v>
      </c>
      <c r="C41" s="49">
        <v>55</v>
      </c>
      <c r="D41" s="49">
        <v>0</v>
      </c>
      <c r="E41" s="49">
        <v>0</v>
      </c>
      <c r="F41" s="49">
        <v>0</v>
      </c>
      <c r="G41" s="49">
        <v>0</v>
      </c>
      <c r="H41" s="49">
        <v>55</v>
      </c>
      <c r="I41" s="49">
        <v>67</v>
      </c>
      <c r="J41" s="49">
        <v>0</v>
      </c>
      <c r="K41" s="49">
        <v>1</v>
      </c>
      <c r="L41" s="49">
        <v>0</v>
      </c>
      <c r="M41" s="49">
        <v>0</v>
      </c>
      <c r="N41" s="49">
        <v>68</v>
      </c>
      <c r="O41" s="49">
        <v>53</v>
      </c>
      <c r="P41" s="49">
        <v>0</v>
      </c>
      <c r="Q41" s="49">
        <v>0</v>
      </c>
      <c r="R41" s="49">
        <v>0</v>
      </c>
      <c r="S41" s="49">
        <v>0</v>
      </c>
      <c r="T41" s="49">
        <v>53</v>
      </c>
      <c r="U41" s="49">
        <v>176</v>
      </c>
      <c r="V41" s="49">
        <v>7</v>
      </c>
      <c r="W41" s="49">
        <v>0</v>
      </c>
      <c r="X41" s="49">
        <v>0</v>
      </c>
      <c r="Y41" s="49">
        <v>0</v>
      </c>
      <c r="Z41" s="49">
        <v>0</v>
      </c>
      <c r="AA41" s="49">
        <v>7</v>
      </c>
      <c r="AB41" s="49">
        <v>41</v>
      </c>
      <c r="AC41" s="49">
        <v>5</v>
      </c>
      <c r="AD41" s="49">
        <v>0</v>
      </c>
      <c r="AE41" s="49">
        <v>0</v>
      </c>
      <c r="AF41" s="49">
        <v>0</v>
      </c>
      <c r="AG41" s="49">
        <v>46</v>
      </c>
      <c r="AH41" s="49">
        <v>43</v>
      </c>
      <c r="AI41" s="49">
        <v>0</v>
      </c>
      <c r="AJ41" s="49">
        <v>0</v>
      </c>
      <c r="AK41" s="49">
        <v>0</v>
      </c>
      <c r="AL41" s="49">
        <v>0</v>
      </c>
      <c r="AM41" s="49">
        <v>43</v>
      </c>
      <c r="AN41" s="49">
        <v>96</v>
      </c>
      <c r="AO41" s="49">
        <v>25</v>
      </c>
      <c r="AP41" s="49">
        <v>0</v>
      </c>
      <c r="AQ41" s="49">
        <v>0</v>
      </c>
      <c r="AR41" s="49">
        <v>0</v>
      </c>
      <c r="AS41" s="49">
        <v>0</v>
      </c>
      <c r="AT41" s="49">
        <v>25</v>
      </c>
      <c r="AU41" s="49">
        <v>85</v>
      </c>
      <c r="AV41" s="49">
        <v>0</v>
      </c>
      <c r="AW41" s="49">
        <v>0</v>
      </c>
      <c r="AX41" s="49">
        <v>0</v>
      </c>
      <c r="AY41" s="49">
        <v>0</v>
      </c>
      <c r="AZ41" s="49">
        <v>85</v>
      </c>
      <c r="BA41" s="49">
        <v>7</v>
      </c>
      <c r="BB41" s="49">
        <v>0</v>
      </c>
      <c r="BC41" s="49">
        <v>0</v>
      </c>
      <c r="BD41" s="49">
        <v>0</v>
      </c>
      <c r="BE41" s="49">
        <v>0</v>
      </c>
      <c r="BF41" s="49">
        <v>7</v>
      </c>
      <c r="BG41" s="49">
        <v>117</v>
      </c>
      <c r="BH41" s="49">
        <v>75</v>
      </c>
      <c r="BI41" s="49">
        <v>0</v>
      </c>
      <c r="BJ41" s="49">
        <v>0</v>
      </c>
      <c r="BK41" s="49">
        <v>0</v>
      </c>
      <c r="BL41" s="49">
        <v>2</v>
      </c>
      <c r="BM41" s="49">
        <v>77</v>
      </c>
      <c r="BN41" s="49">
        <v>52</v>
      </c>
      <c r="BO41" s="49">
        <v>2</v>
      </c>
      <c r="BP41" s="49">
        <v>2</v>
      </c>
      <c r="BQ41" s="49">
        <v>0</v>
      </c>
      <c r="BR41" s="49">
        <v>1</v>
      </c>
      <c r="BS41" s="49">
        <v>57</v>
      </c>
      <c r="BT41" s="49">
        <v>17</v>
      </c>
      <c r="BU41" s="49">
        <v>0</v>
      </c>
      <c r="BV41" s="49">
        <v>0</v>
      </c>
      <c r="BW41" s="49">
        <v>0</v>
      </c>
      <c r="BX41" s="49">
        <v>0</v>
      </c>
      <c r="BY41" s="49">
        <v>17</v>
      </c>
      <c r="BZ41" s="49">
        <v>151</v>
      </c>
      <c r="CA41" s="49">
        <v>540</v>
      </c>
    </row>
    <row r="42" spans="2:79" x14ac:dyDescent="0.25">
      <c r="B42" s="10" t="s">
        <v>110</v>
      </c>
      <c r="C42" s="49">
        <v>826</v>
      </c>
      <c r="D42" s="49">
        <v>2</v>
      </c>
      <c r="E42" s="49">
        <v>22</v>
      </c>
      <c r="F42" s="49">
        <v>1</v>
      </c>
      <c r="G42" s="49">
        <v>2</v>
      </c>
      <c r="H42" s="49">
        <v>853</v>
      </c>
      <c r="I42" s="49">
        <v>1134</v>
      </c>
      <c r="J42" s="49">
        <v>18</v>
      </c>
      <c r="K42" s="49">
        <v>13</v>
      </c>
      <c r="L42" s="49">
        <v>2</v>
      </c>
      <c r="M42" s="49">
        <v>1</v>
      </c>
      <c r="N42" s="49">
        <v>1168</v>
      </c>
      <c r="O42" s="49">
        <v>782</v>
      </c>
      <c r="P42" s="49">
        <v>7</v>
      </c>
      <c r="Q42" s="49">
        <v>12</v>
      </c>
      <c r="R42" s="49">
        <v>0</v>
      </c>
      <c r="S42" s="49">
        <v>1</v>
      </c>
      <c r="T42" s="49">
        <v>802</v>
      </c>
      <c r="U42" s="49">
        <v>2823</v>
      </c>
      <c r="V42" s="49">
        <v>149</v>
      </c>
      <c r="W42" s="49">
        <v>9</v>
      </c>
      <c r="X42" s="49">
        <v>1</v>
      </c>
      <c r="Y42" s="49">
        <v>0</v>
      </c>
      <c r="Z42" s="49">
        <v>1</v>
      </c>
      <c r="AA42" s="49">
        <v>160</v>
      </c>
      <c r="AB42" s="49">
        <v>525</v>
      </c>
      <c r="AC42" s="49">
        <v>35</v>
      </c>
      <c r="AD42" s="49">
        <v>7</v>
      </c>
      <c r="AE42" s="49">
        <v>1</v>
      </c>
      <c r="AF42" s="49">
        <v>6</v>
      </c>
      <c r="AG42" s="49">
        <v>574</v>
      </c>
      <c r="AH42" s="49">
        <v>562</v>
      </c>
      <c r="AI42" s="49">
        <v>2</v>
      </c>
      <c r="AJ42" s="49">
        <v>12</v>
      </c>
      <c r="AK42" s="49">
        <v>0</v>
      </c>
      <c r="AL42" s="49">
        <v>0</v>
      </c>
      <c r="AM42" s="49">
        <v>576</v>
      </c>
      <c r="AN42" s="49">
        <v>1310</v>
      </c>
      <c r="AO42" s="49">
        <v>310</v>
      </c>
      <c r="AP42" s="49">
        <v>0</v>
      </c>
      <c r="AQ42" s="49">
        <v>6</v>
      </c>
      <c r="AR42" s="49">
        <v>0</v>
      </c>
      <c r="AS42" s="49">
        <v>0</v>
      </c>
      <c r="AT42" s="49">
        <v>316</v>
      </c>
      <c r="AU42" s="49">
        <v>1143</v>
      </c>
      <c r="AV42" s="49">
        <v>5</v>
      </c>
      <c r="AW42" s="49">
        <v>19</v>
      </c>
      <c r="AX42" s="49">
        <v>2</v>
      </c>
      <c r="AY42" s="49">
        <v>0</v>
      </c>
      <c r="AZ42" s="49">
        <v>1169</v>
      </c>
      <c r="BA42" s="49">
        <v>150</v>
      </c>
      <c r="BB42" s="49">
        <v>0</v>
      </c>
      <c r="BC42" s="49">
        <v>2</v>
      </c>
      <c r="BD42" s="49">
        <v>0</v>
      </c>
      <c r="BE42" s="49">
        <v>0</v>
      </c>
      <c r="BF42" s="49">
        <v>152</v>
      </c>
      <c r="BG42" s="49">
        <v>1637</v>
      </c>
      <c r="BH42" s="49">
        <v>805</v>
      </c>
      <c r="BI42" s="49">
        <v>10</v>
      </c>
      <c r="BJ42" s="49">
        <v>17</v>
      </c>
      <c r="BK42" s="49">
        <v>2</v>
      </c>
      <c r="BL42" s="49">
        <v>2</v>
      </c>
      <c r="BM42" s="49">
        <v>836</v>
      </c>
      <c r="BN42" s="49">
        <v>690</v>
      </c>
      <c r="BO42" s="49">
        <v>35</v>
      </c>
      <c r="BP42" s="49">
        <v>8</v>
      </c>
      <c r="BQ42" s="49">
        <v>0</v>
      </c>
      <c r="BR42" s="49">
        <v>14</v>
      </c>
      <c r="BS42" s="49">
        <v>747</v>
      </c>
      <c r="BT42" s="49">
        <v>212</v>
      </c>
      <c r="BU42" s="49">
        <v>5</v>
      </c>
      <c r="BV42" s="49">
        <v>5</v>
      </c>
      <c r="BW42" s="49">
        <v>0</v>
      </c>
      <c r="BX42" s="49">
        <v>0</v>
      </c>
      <c r="BY42" s="49">
        <v>222</v>
      </c>
      <c r="BZ42" s="49">
        <v>1805</v>
      </c>
      <c r="CA42" s="49">
        <v>7575</v>
      </c>
    </row>
    <row r="43" spans="2:79" x14ac:dyDescent="0.25">
      <c r="B43" s="11">
        <v>0.45833333333333331</v>
      </c>
      <c r="C43" s="49">
        <v>49</v>
      </c>
      <c r="D43" s="49">
        <v>1</v>
      </c>
      <c r="E43" s="49">
        <v>2</v>
      </c>
      <c r="F43" s="49">
        <v>1</v>
      </c>
      <c r="G43" s="49">
        <v>0</v>
      </c>
      <c r="H43" s="49">
        <v>53</v>
      </c>
      <c r="I43" s="49">
        <v>91</v>
      </c>
      <c r="J43" s="49">
        <v>0</v>
      </c>
      <c r="K43" s="49">
        <v>1</v>
      </c>
      <c r="L43" s="49">
        <v>0</v>
      </c>
      <c r="M43" s="49">
        <v>0</v>
      </c>
      <c r="N43" s="49">
        <v>92</v>
      </c>
      <c r="O43" s="49">
        <v>55</v>
      </c>
      <c r="P43" s="49">
        <v>0</v>
      </c>
      <c r="Q43" s="49">
        <v>1</v>
      </c>
      <c r="R43" s="49">
        <v>0</v>
      </c>
      <c r="S43" s="49">
        <v>0</v>
      </c>
      <c r="T43" s="49">
        <v>56</v>
      </c>
      <c r="U43" s="49">
        <v>201</v>
      </c>
      <c r="V43" s="49">
        <v>14</v>
      </c>
      <c r="W43" s="49">
        <v>0</v>
      </c>
      <c r="X43" s="49">
        <v>0</v>
      </c>
      <c r="Y43" s="49">
        <v>0</v>
      </c>
      <c r="Z43" s="49">
        <v>1</v>
      </c>
      <c r="AA43" s="49">
        <v>15</v>
      </c>
      <c r="AB43" s="49">
        <v>42</v>
      </c>
      <c r="AC43" s="49">
        <v>3</v>
      </c>
      <c r="AD43" s="49">
        <v>0</v>
      </c>
      <c r="AE43" s="49">
        <v>0</v>
      </c>
      <c r="AF43" s="49">
        <v>0</v>
      </c>
      <c r="AG43" s="49">
        <v>45</v>
      </c>
      <c r="AH43" s="49">
        <v>40</v>
      </c>
      <c r="AI43" s="49">
        <v>0</v>
      </c>
      <c r="AJ43" s="49">
        <v>0</v>
      </c>
      <c r="AK43" s="49">
        <v>0</v>
      </c>
      <c r="AL43" s="49">
        <v>0</v>
      </c>
      <c r="AM43" s="49">
        <v>40</v>
      </c>
      <c r="AN43" s="49">
        <v>100</v>
      </c>
      <c r="AO43" s="49">
        <v>22</v>
      </c>
      <c r="AP43" s="49">
        <v>0</v>
      </c>
      <c r="AQ43" s="49">
        <v>0</v>
      </c>
      <c r="AR43" s="49">
        <v>0</v>
      </c>
      <c r="AS43" s="49">
        <v>0</v>
      </c>
      <c r="AT43" s="49">
        <v>22</v>
      </c>
      <c r="AU43" s="49">
        <v>84</v>
      </c>
      <c r="AV43" s="49">
        <v>0</v>
      </c>
      <c r="AW43" s="49">
        <v>0</v>
      </c>
      <c r="AX43" s="49">
        <v>1</v>
      </c>
      <c r="AY43" s="49">
        <v>0</v>
      </c>
      <c r="AZ43" s="49">
        <v>85</v>
      </c>
      <c r="BA43" s="49">
        <v>14</v>
      </c>
      <c r="BB43" s="49">
        <v>0</v>
      </c>
      <c r="BC43" s="49">
        <v>0</v>
      </c>
      <c r="BD43" s="49">
        <v>0</v>
      </c>
      <c r="BE43" s="49">
        <v>0</v>
      </c>
      <c r="BF43" s="49">
        <v>14</v>
      </c>
      <c r="BG43" s="49">
        <v>121</v>
      </c>
      <c r="BH43" s="49">
        <v>54</v>
      </c>
      <c r="BI43" s="49">
        <v>0</v>
      </c>
      <c r="BJ43" s="49">
        <v>2</v>
      </c>
      <c r="BK43" s="49">
        <v>0</v>
      </c>
      <c r="BL43" s="49">
        <v>0</v>
      </c>
      <c r="BM43" s="49">
        <v>56</v>
      </c>
      <c r="BN43" s="49">
        <v>44</v>
      </c>
      <c r="BO43" s="49">
        <v>3</v>
      </c>
      <c r="BP43" s="49">
        <v>0</v>
      </c>
      <c r="BQ43" s="49">
        <v>0</v>
      </c>
      <c r="BR43" s="49">
        <v>0</v>
      </c>
      <c r="BS43" s="49">
        <v>47</v>
      </c>
      <c r="BT43" s="49">
        <v>18</v>
      </c>
      <c r="BU43" s="49">
        <v>0</v>
      </c>
      <c r="BV43" s="49">
        <v>0</v>
      </c>
      <c r="BW43" s="49">
        <v>0</v>
      </c>
      <c r="BX43" s="49">
        <v>0</v>
      </c>
      <c r="BY43" s="49">
        <v>18</v>
      </c>
      <c r="BZ43" s="49">
        <v>121</v>
      </c>
      <c r="CA43" s="49">
        <v>543</v>
      </c>
    </row>
    <row r="44" spans="2:79" x14ac:dyDescent="0.25">
      <c r="B44" s="11">
        <v>0.46875</v>
      </c>
      <c r="C44" s="49">
        <v>72</v>
      </c>
      <c r="D44" s="49">
        <v>0</v>
      </c>
      <c r="E44" s="49">
        <v>1</v>
      </c>
      <c r="F44" s="49">
        <v>0</v>
      </c>
      <c r="G44" s="49">
        <v>0</v>
      </c>
      <c r="H44" s="49">
        <v>73</v>
      </c>
      <c r="I44" s="49">
        <v>96</v>
      </c>
      <c r="J44" s="49">
        <v>0</v>
      </c>
      <c r="K44" s="49">
        <v>0</v>
      </c>
      <c r="L44" s="49">
        <v>0</v>
      </c>
      <c r="M44" s="49">
        <v>0</v>
      </c>
      <c r="N44" s="49">
        <v>96</v>
      </c>
      <c r="O44" s="49">
        <v>63</v>
      </c>
      <c r="P44" s="49">
        <v>1</v>
      </c>
      <c r="Q44" s="49">
        <v>1</v>
      </c>
      <c r="R44" s="49">
        <v>0</v>
      </c>
      <c r="S44" s="49">
        <v>0</v>
      </c>
      <c r="T44" s="49">
        <v>65</v>
      </c>
      <c r="U44" s="49">
        <v>234</v>
      </c>
      <c r="V44" s="49">
        <v>11</v>
      </c>
      <c r="W44" s="49">
        <v>0</v>
      </c>
      <c r="X44" s="49">
        <v>0</v>
      </c>
      <c r="Y44" s="49">
        <v>0</v>
      </c>
      <c r="Z44" s="49">
        <v>0</v>
      </c>
      <c r="AA44" s="49">
        <v>11</v>
      </c>
      <c r="AB44" s="49">
        <v>33</v>
      </c>
      <c r="AC44" s="49">
        <v>2</v>
      </c>
      <c r="AD44" s="49">
        <v>0</v>
      </c>
      <c r="AE44" s="49">
        <v>0</v>
      </c>
      <c r="AF44" s="49">
        <v>0</v>
      </c>
      <c r="AG44" s="49">
        <v>35</v>
      </c>
      <c r="AH44" s="49">
        <v>45</v>
      </c>
      <c r="AI44" s="49">
        <v>0</v>
      </c>
      <c r="AJ44" s="49">
        <v>0</v>
      </c>
      <c r="AK44" s="49">
        <v>0</v>
      </c>
      <c r="AL44" s="49">
        <v>0</v>
      </c>
      <c r="AM44" s="49">
        <v>45</v>
      </c>
      <c r="AN44" s="49">
        <v>91</v>
      </c>
      <c r="AO44" s="49">
        <v>19</v>
      </c>
      <c r="AP44" s="49">
        <v>0</v>
      </c>
      <c r="AQ44" s="49">
        <v>1</v>
      </c>
      <c r="AR44" s="49">
        <v>0</v>
      </c>
      <c r="AS44" s="49">
        <v>0</v>
      </c>
      <c r="AT44" s="49">
        <v>20</v>
      </c>
      <c r="AU44" s="49">
        <v>79</v>
      </c>
      <c r="AV44" s="49">
        <v>0</v>
      </c>
      <c r="AW44" s="49">
        <v>2</v>
      </c>
      <c r="AX44" s="49">
        <v>1</v>
      </c>
      <c r="AY44" s="49">
        <v>0</v>
      </c>
      <c r="AZ44" s="49">
        <v>82</v>
      </c>
      <c r="BA44" s="49">
        <v>8</v>
      </c>
      <c r="BB44" s="49">
        <v>0</v>
      </c>
      <c r="BC44" s="49">
        <v>0</v>
      </c>
      <c r="BD44" s="49">
        <v>0</v>
      </c>
      <c r="BE44" s="49">
        <v>0</v>
      </c>
      <c r="BF44" s="49">
        <v>8</v>
      </c>
      <c r="BG44" s="49">
        <v>110</v>
      </c>
      <c r="BH44" s="49">
        <v>71</v>
      </c>
      <c r="BI44" s="49">
        <v>1</v>
      </c>
      <c r="BJ44" s="49">
        <v>2</v>
      </c>
      <c r="BK44" s="49">
        <v>1</v>
      </c>
      <c r="BL44" s="49">
        <v>0</v>
      </c>
      <c r="BM44" s="49">
        <v>75</v>
      </c>
      <c r="BN44" s="49">
        <v>51</v>
      </c>
      <c r="BO44" s="49">
        <v>3</v>
      </c>
      <c r="BP44" s="49">
        <v>0</v>
      </c>
      <c r="BQ44" s="49">
        <v>0</v>
      </c>
      <c r="BR44" s="49">
        <v>1</v>
      </c>
      <c r="BS44" s="49">
        <v>55</v>
      </c>
      <c r="BT44" s="49">
        <v>12</v>
      </c>
      <c r="BU44" s="49">
        <v>1</v>
      </c>
      <c r="BV44" s="49">
        <v>2</v>
      </c>
      <c r="BW44" s="49">
        <v>0</v>
      </c>
      <c r="BX44" s="49">
        <v>0</v>
      </c>
      <c r="BY44" s="49">
        <v>15</v>
      </c>
      <c r="BZ44" s="49">
        <v>145</v>
      </c>
      <c r="CA44" s="49">
        <v>580</v>
      </c>
    </row>
    <row r="45" spans="2:79" x14ac:dyDescent="0.25">
      <c r="B45" s="11">
        <v>0.47916666666666669</v>
      </c>
      <c r="C45" s="49">
        <v>74</v>
      </c>
      <c r="D45" s="49">
        <v>0</v>
      </c>
      <c r="E45" s="49">
        <v>5</v>
      </c>
      <c r="F45" s="49">
        <v>0</v>
      </c>
      <c r="G45" s="49">
        <v>0</v>
      </c>
      <c r="H45" s="49">
        <v>79</v>
      </c>
      <c r="I45" s="49">
        <v>75</v>
      </c>
      <c r="J45" s="49">
        <v>0</v>
      </c>
      <c r="K45" s="49">
        <v>2</v>
      </c>
      <c r="L45" s="49">
        <v>0</v>
      </c>
      <c r="M45" s="49">
        <v>0</v>
      </c>
      <c r="N45" s="49">
        <v>77</v>
      </c>
      <c r="O45" s="49">
        <v>70</v>
      </c>
      <c r="P45" s="49">
        <v>0</v>
      </c>
      <c r="Q45" s="49">
        <v>3</v>
      </c>
      <c r="R45" s="49">
        <v>0</v>
      </c>
      <c r="S45" s="49">
        <v>0</v>
      </c>
      <c r="T45" s="49">
        <v>73</v>
      </c>
      <c r="U45" s="49">
        <v>229</v>
      </c>
      <c r="V45" s="49">
        <v>15</v>
      </c>
      <c r="W45" s="49">
        <v>0</v>
      </c>
      <c r="X45" s="49">
        <v>0</v>
      </c>
      <c r="Y45" s="49">
        <v>0</v>
      </c>
      <c r="Z45" s="49">
        <v>0</v>
      </c>
      <c r="AA45" s="49">
        <v>15</v>
      </c>
      <c r="AB45" s="49">
        <v>38</v>
      </c>
      <c r="AC45" s="49">
        <v>3</v>
      </c>
      <c r="AD45" s="49">
        <v>1</v>
      </c>
      <c r="AE45" s="49">
        <v>0</v>
      </c>
      <c r="AF45" s="49">
        <v>0</v>
      </c>
      <c r="AG45" s="49">
        <v>42</v>
      </c>
      <c r="AH45" s="49">
        <v>46</v>
      </c>
      <c r="AI45" s="49">
        <v>0</v>
      </c>
      <c r="AJ45" s="49">
        <v>4</v>
      </c>
      <c r="AK45" s="49">
        <v>0</v>
      </c>
      <c r="AL45" s="49">
        <v>0</v>
      </c>
      <c r="AM45" s="49">
        <v>50</v>
      </c>
      <c r="AN45" s="49">
        <v>107</v>
      </c>
      <c r="AO45" s="49">
        <v>20</v>
      </c>
      <c r="AP45" s="49">
        <v>0</v>
      </c>
      <c r="AQ45" s="49">
        <v>1</v>
      </c>
      <c r="AR45" s="49">
        <v>0</v>
      </c>
      <c r="AS45" s="49">
        <v>0</v>
      </c>
      <c r="AT45" s="49">
        <v>21</v>
      </c>
      <c r="AU45" s="49">
        <v>88</v>
      </c>
      <c r="AV45" s="49">
        <v>0</v>
      </c>
      <c r="AW45" s="49">
        <v>2</v>
      </c>
      <c r="AX45" s="49">
        <v>0</v>
      </c>
      <c r="AY45" s="49">
        <v>0</v>
      </c>
      <c r="AZ45" s="49">
        <v>90</v>
      </c>
      <c r="BA45" s="49">
        <v>8</v>
      </c>
      <c r="BB45" s="49">
        <v>0</v>
      </c>
      <c r="BC45" s="49">
        <v>0</v>
      </c>
      <c r="BD45" s="49">
        <v>0</v>
      </c>
      <c r="BE45" s="49">
        <v>0</v>
      </c>
      <c r="BF45" s="49">
        <v>8</v>
      </c>
      <c r="BG45" s="49">
        <v>119</v>
      </c>
      <c r="BH45" s="49">
        <v>53</v>
      </c>
      <c r="BI45" s="49">
        <v>0</v>
      </c>
      <c r="BJ45" s="49">
        <v>0</v>
      </c>
      <c r="BK45" s="49">
        <v>0</v>
      </c>
      <c r="BL45" s="49">
        <v>1</v>
      </c>
      <c r="BM45" s="49">
        <v>54</v>
      </c>
      <c r="BN45" s="49">
        <v>52</v>
      </c>
      <c r="BO45" s="49">
        <v>3</v>
      </c>
      <c r="BP45" s="49">
        <v>1</v>
      </c>
      <c r="BQ45" s="49">
        <v>0</v>
      </c>
      <c r="BR45" s="49">
        <v>2</v>
      </c>
      <c r="BS45" s="49">
        <v>58</v>
      </c>
      <c r="BT45" s="49">
        <v>15</v>
      </c>
      <c r="BU45" s="49">
        <v>0</v>
      </c>
      <c r="BV45" s="49">
        <v>1</v>
      </c>
      <c r="BW45" s="49">
        <v>0</v>
      </c>
      <c r="BX45" s="49">
        <v>0</v>
      </c>
      <c r="BY45" s="49">
        <v>16</v>
      </c>
      <c r="BZ45" s="49">
        <v>128</v>
      </c>
      <c r="CA45" s="49">
        <v>583</v>
      </c>
    </row>
    <row r="46" spans="2:79" x14ac:dyDescent="0.25">
      <c r="B46" s="11">
        <v>0.48958333333333331</v>
      </c>
      <c r="C46" s="49">
        <v>72</v>
      </c>
      <c r="D46" s="49">
        <v>0</v>
      </c>
      <c r="E46" s="49">
        <v>3</v>
      </c>
      <c r="F46" s="49">
        <v>0</v>
      </c>
      <c r="G46" s="49">
        <v>0</v>
      </c>
      <c r="H46" s="49">
        <v>75</v>
      </c>
      <c r="I46" s="49">
        <v>110</v>
      </c>
      <c r="J46" s="49">
        <v>0</v>
      </c>
      <c r="K46" s="49">
        <v>3</v>
      </c>
      <c r="L46" s="49">
        <v>1</v>
      </c>
      <c r="M46" s="49">
        <v>0</v>
      </c>
      <c r="N46" s="49">
        <v>114</v>
      </c>
      <c r="O46" s="49">
        <v>76</v>
      </c>
      <c r="P46" s="49">
        <v>1</v>
      </c>
      <c r="Q46" s="49">
        <v>3</v>
      </c>
      <c r="R46" s="49">
        <v>0</v>
      </c>
      <c r="S46" s="49">
        <v>0</v>
      </c>
      <c r="T46" s="49">
        <v>80</v>
      </c>
      <c r="U46" s="49">
        <v>269</v>
      </c>
      <c r="V46" s="49">
        <v>16</v>
      </c>
      <c r="W46" s="49">
        <v>0</v>
      </c>
      <c r="X46" s="49">
        <v>0</v>
      </c>
      <c r="Y46" s="49">
        <v>0</v>
      </c>
      <c r="Z46" s="49">
        <v>0</v>
      </c>
      <c r="AA46" s="49">
        <v>16</v>
      </c>
      <c r="AB46" s="49">
        <v>40</v>
      </c>
      <c r="AC46" s="49">
        <v>4</v>
      </c>
      <c r="AD46" s="49">
        <v>0</v>
      </c>
      <c r="AE46" s="49">
        <v>0</v>
      </c>
      <c r="AF46" s="49">
        <v>0</v>
      </c>
      <c r="AG46" s="49">
        <v>44</v>
      </c>
      <c r="AH46" s="49">
        <v>37</v>
      </c>
      <c r="AI46" s="49">
        <v>0</v>
      </c>
      <c r="AJ46" s="49">
        <v>1</v>
      </c>
      <c r="AK46" s="49">
        <v>0</v>
      </c>
      <c r="AL46" s="49">
        <v>0</v>
      </c>
      <c r="AM46" s="49">
        <v>38</v>
      </c>
      <c r="AN46" s="49">
        <v>98</v>
      </c>
      <c r="AO46" s="49">
        <v>36</v>
      </c>
      <c r="AP46" s="49">
        <v>0</v>
      </c>
      <c r="AQ46" s="49">
        <v>1</v>
      </c>
      <c r="AR46" s="49">
        <v>0</v>
      </c>
      <c r="AS46" s="49">
        <v>0</v>
      </c>
      <c r="AT46" s="49">
        <v>37</v>
      </c>
      <c r="AU46" s="49">
        <v>114</v>
      </c>
      <c r="AV46" s="49">
        <v>0</v>
      </c>
      <c r="AW46" s="49">
        <v>3</v>
      </c>
      <c r="AX46" s="49">
        <v>0</v>
      </c>
      <c r="AY46" s="49">
        <v>0</v>
      </c>
      <c r="AZ46" s="49">
        <v>117</v>
      </c>
      <c r="BA46" s="49">
        <v>11</v>
      </c>
      <c r="BB46" s="49">
        <v>0</v>
      </c>
      <c r="BC46" s="49">
        <v>0</v>
      </c>
      <c r="BD46" s="49">
        <v>0</v>
      </c>
      <c r="BE46" s="49">
        <v>0</v>
      </c>
      <c r="BF46" s="49">
        <v>11</v>
      </c>
      <c r="BG46" s="49">
        <v>165</v>
      </c>
      <c r="BH46" s="49">
        <v>60</v>
      </c>
      <c r="BI46" s="49">
        <v>1</v>
      </c>
      <c r="BJ46" s="49">
        <v>2</v>
      </c>
      <c r="BK46" s="49">
        <v>0</v>
      </c>
      <c r="BL46" s="49">
        <v>0</v>
      </c>
      <c r="BM46" s="49">
        <v>63</v>
      </c>
      <c r="BN46" s="49">
        <v>69</v>
      </c>
      <c r="BO46" s="49">
        <v>3</v>
      </c>
      <c r="BP46" s="49">
        <v>0</v>
      </c>
      <c r="BQ46" s="49">
        <v>0</v>
      </c>
      <c r="BR46" s="49">
        <v>1</v>
      </c>
      <c r="BS46" s="49">
        <v>73</v>
      </c>
      <c r="BT46" s="49">
        <v>13</v>
      </c>
      <c r="BU46" s="49">
        <v>0</v>
      </c>
      <c r="BV46" s="49">
        <v>0</v>
      </c>
      <c r="BW46" s="49">
        <v>0</v>
      </c>
      <c r="BX46" s="49">
        <v>0</v>
      </c>
      <c r="BY46" s="49">
        <v>13</v>
      </c>
      <c r="BZ46" s="49">
        <v>149</v>
      </c>
      <c r="CA46" s="49">
        <v>681</v>
      </c>
    </row>
    <row r="47" spans="2:79" x14ac:dyDescent="0.25">
      <c r="B47" s="11">
        <v>0.5</v>
      </c>
      <c r="C47" s="49">
        <v>60</v>
      </c>
      <c r="D47" s="49">
        <v>0</v>
      </c>
      <c r="E47" s="49">
        <v>1</v>
      </c>
      <c r="F47" s="49">
        <v>0</v>
      </c>
      <c r="G47" s="49">
        <v>0</v>
      </c>
      <c r="H47" s="49">
        <v>61</v>
      </c>
      <c r="I47" s="49">
        <v>89</v>
      </c>
      <c r="J47" s="49">
        <v>0</v>
      </c>
      <c r="K47" s="49">
        <v>0</v>
      </c>
      <c r="L47" s="49">
        <v>0</v>
      </c>
      <c r="M47" s="49">
        <v>0</v>
      </c>
      <c r="N47" s="49">
        <v>89</v>
      </c>
      <c r="O47" s="49">
        <v>61</v>
      </c>
      <c r="P47" s="49">
        <v>0</v>
      </c>
      <c r="Q47" s="49">
        <v>0</v>
      </c>
      <c r="R47" s="49">
        <v>0</v>
      </c>
      <c r="S47" s="49">
        <v>0</v>
      </c>
      <c r="T47" s="49">
        <v>61</v>
      </c>
      <c r="U47" s="49">
        <v>211</v>
      </c>
      <c r="V47" s="49">
        <v>10</v>
      </c>
      <c r="W47" s="49">
        <v>0</v>
      </c>
      <c r="X47" s="49">
        <v>1</v>
      </c>
      <c r="Y47" s="49">
        <v>0</v>
      </c>
      <c r="Z47" s="49">
        <v>0</v>
      </c>
      <c r="AA47" s="49">
        <v>11</v>
      </c>
      <c r="AB47" s="49">
        <v>42</v>
      </c>
      <c r="AC47" s="49">
        <v>4</v>
      </c>
      <c r="AD47" s="49">
        <v>0</v>
      </c>
      <c r="AE47" s="49">
        <v>0</v>
      </c>
      <c r="AF47" s="49">
        <v>0</v>
      </c>
      <c r="AG47" s="49">
        <v>46</v>
      </c>
      <c r="AH47" s="49">
        <v>61</v>
      </c>
      <c r="AI47" s="49">
        <v>0</v>
      </c>
      <c r="AJ47" s="49">
        <v>3</v>
      </c>
      <c r="AK47" s="49">
        <v>0</v>
      </c>
      <c r="AL47" s="49">
        <v>0</v>
      </c>
      <c r="AM47" s="49">
        <v>64</v>
      </c>
      <c r="AN47" s="49">
        <v>121</v>
      </c>
      <c r="AO47" s="49">
        <v>25</v>
      </c>
      <c r="AP47" s="49">
        <v>0</v>
      </c>
      <c r="AQ47" s="49">
        <v>1</v>
      </c>
      <c r="AR47" s="49">
        <v>0</v>
      </c>
      <c r="AS47" s="49">
        <v>0</v>
      </c>
      <c r="AT47" s="49">
        <v>26</v>
      </c>
      <c r="AU47" s="49">
        <v>98</v>
      </c>
      <c r="AV47" s="49">
        <v>3</v>
      </c>
      <c r="AW47" s="49">
        <v>0</v>
      </c>
      <c r="AX47" s="49">
        <v>0</v>
      </c>
      <c r="AY47" s="49">
        <v>0</v>
      </c>
      <c r="AZ47" s="49">
        <v>101</v>
      </c>
      <c r="BA47" s="49">
        <v>11</v>
      </c>
      <c r="BB47" s="49">
        <v>0</v>
      </c>
      <c r="BC47" s="49">
        <v>0</v>
      </c>
      <c r="BD47" s="49">
        <v>0</v>
      </c>
      <c r="BE47" s="49">
        <v>0</v>
      </c>
      <c r="BF47" s="49">
        <v>11</v>
      </c>
      <c r="BG47" s="49">
        <v>138</v>
      </c>
      <c r="BH47" s="49">
        <v>70</v>
      </c>
      <c r="BI47" s="49">
        <v>0</v>
      </c>
      <c r="BJ47" s="49">
        <v>0</v>
      </c>
      <c r="BK47" s="49">
        <v>0</v>
      </c>
      <c r="BL47" s="49">
        <v>0</v>
      </c>
      <c r="BM47" s="49">
        <v>70</v>
      </c>
      <c r="BN47" s="49">
        <v>57</v>
      </c>
      <c r="BO47" s="49">
        <v>3</v>
      </c>
      <c r="BP47" s="49">
        <v>0</v>
      </c>
      <c r="BQ47" s="49">
        <v>0</v>
      </c>
      <c r="BR47" s="49">
        <v>2</v>
      </c>
      <c r="BS47" s="49">
        <v>62</v>
      </c>
      <c r="BT47" s="49">
        <v>21</v>
      </c>
      <c r="BU47" s="49">
        <v>0</v>
      </c>
      <c r="BV47" s="49">
        <v>0</v>
      </c>
      <c r="BW47" s="49">
        <v>0</v>
      </c>
      <c r="BX47" s="49">
        <v>0</v>
      </c>
      <c r="BY47" s="49">
        <v>21</v>
      </c>
      <c r="BZ47" s="49">
        <v>153</v>
      </c>
      <c r="CA47" s="49">
        <v>623</v>
      </c>
    </row>
    <row r="48" spans="2:79" x14ac:dyDescent="0.25">
      <c r="B48" s="11">
        <v>0.51041666666666663</v>
      </c>
      <c r="C48" s="49">
        <v>63</v>
      </c>
      <c r="D48" s="49">
        <v>0</v>
      </c>
      <c r="E48" s="49">
        <v>1</v>
      </c>
      <c r="F48" s="49">
        <v>0</v>
      </c>
      <c r="G48" s="49">
        <v>0</v>
      </c>
      <c r="H48" s="49">
        <v>64</v>
      </c>
      <c r="I48" s="49">
        <v>94</v>
      </c>
      <c r="J48" s="49">
        <v>0</v>
      </c>
      <c r="K48" s="49">
        <v>0</v>
      </c>
      <c r="L48" s="49">
        <v>0</v>
      </c>
      <c r="M48" s="49">
        <v>0</v>
      </c>
      <c r="N48" s="49">
        <v>94</v>
      </c>
      <c r="O48" s="49">
        <v>60</v>
      </c>
      <c r="P48" s="49">
        <v>1</v>
      </c>
      <c r="Q48" s="49">
        <v>1</v>
      </c>
      <c r="R48" s="49">
        <v>0</v>
      </c>
      <c r="S48" s="49">
        <v>0</v>
      </c>
      <c r="T48" s="49">
        <v>62</v>
      </c>
      <c r="U48" s="49">
        <v>220</v>
      </c>
      <c r="V48" s="49">
        <v>11</v>
      </c>
      <c r="W48" s="49">
        <v>0</v>
      </c>
      <c r="X48" s="49">
        <v>0</v>
      </c>
      <c r="Y48" s="49">
        <v>0</v>
      </c>
      <c r="Z48" s="49">
        <v>0</v>
      </c>
      <c r="AA48" s="49">
        <v>11</v>
      </c>
      <c r="AB48" s="49">
        <v>52</v>
      </c>
      <c r="AC48" s="49">
        <v>1</v>
      </c>
      <c r="AD48" s="49">
        <v>1</v>
      </c>
      <c r="AE48" s="49">
        <v>0</v>
      </c>
      <c r="AF48" s="49">
        <v>2</v>
      </c>
      <c r="AG48" s="49">
        <v>56</v>
      </c>
      <c r="AH48" s="49">
        <v>41</v>
      </c>
      <c r="AI48" s="49">
        <v>0</v>
      </c>
      <c r="AJ48" s="49">
        <v>0</v>
      </c>
      <c r="AK48" s="49">
        <v>0</v>
      </c>
      <c r="AL48" s="49">
        <v>0</v>
      </c>
      <c r="AM48" s="49">
        <v>41</v>
      </c>
      <c r="AN48" s="49">
        <v>108</v>
      </c>
      <c r="AO48" s="49">
        <v>33</v>
      </c>
      <c r="AP48" s="49">
        <v>0</v>
      </c>
      <c r="AQ48" s="49">
        <v>0</v>
      </c>
      <c r="AR48" s="49">
        <v>0</v>
      </c>
      <c r="AS48" s="49">
        <v>0</v>
      </c>
      <c r="AT48" s="49">
        <v>33</v>
      </c>
      <c r="AU48" s="49">
        <v>117</v>
      </c>
      <c r="AV48" s="49">
        <v>0</v>
      </c>
      <c r="AW48" s="49">
        <v>0</v>
      </c>
      <c r="AX48" s="49">
        <v>0</v>
      </c>
      <c r="AY48" s="49">
        <v>0</v>
      </c>
      <c r="AZ48" s="49">
        <v>117</v>
      </c>
      <c r="BA48" s="49">
        <v>17</v>
      </c>
      <c r="BB48" s="49">
        <v>0</v>
      </c>
      <c r="BC48" s="49">
        <v>0</v>
      </c>
      <c r="BD48" s="49">
        <v>0</v>
      </c>
      <c r="BE48" s="49">
        <v>0</v>
      </c>
      <c r="BF48" s="49">
        <v>17</v>
      </c>
      <c r="BG48" s="49">
        <v>167</v>
      </c>
      <c r="BH48" s="49">
        <v>63</v>
      </c>
      <c r="BI48" s="49">
        <v>3</v>
      </c>
      <c r="BJ48" s="49">
        <v>0</v>
      </c>
      <c r="BK48" s="49">
        <v>1</v>
      </c>
      <c r="BL48" s="49">
        <v>1</v>
      </c>
      <c r="BM48" s="49">
        <v>68</v>
      </c>
      <c r="BN48" s="49">
        <v>75</v>
      </c>
      <c r="BO48" s="49">
        <v>3</v>
      </c>
      <c r="BP48" s="49">
        <v>1</v>
      </c>
      <c r="BQ48" s="49">
        <v>0</v>
      </c>
      <c r="BR48" s="49">
        <v>2</v>
      </c>
      <c r="BS48" s="49">
        <v>81</v>
      </c>
      <c r="BT48" s="49">
        <v>21</v>
      </c>
      <c r="BU48" s="49">
        <v>0</v>
      </c>
      <c r="BV48" s="49">
        <v>1</v>
      </c>
      <c r="BW48" s="49">
        <v>0</v>
      </c>
      <c r="BX48" s="49">
        <v>0</v>
      </c>
      <c r="BY48" s="49">
        <v>22</v>
      </c>
      <c r="BZ48" s="49">
        <v>171</v>
      </c>
      <c r="CA48" s="49">
        <v>666</v>
      </c>
    </row>
    <row r="49" spans="2:79" x14ac:dyDescent="0.25">
      <c r="B49" s="11">
        <v>0.52083333333333337</v>
      </c>
      <c r="C49" s="49">
        <v>59</v>
      </c>
      <c r="D49" s="49">
        <v>1</v>
      </c>
      <c r="E49" s="49">
        <v>1</v>
      </c>
      <c r="F49" s="49">
        <v>0</v>
      </c>
      <c r="G49" s="49">
        <v>0</v>
      </c>
      <c r="H49" s="49">
        <v>61</v>
      </c>
      <c r="I49" s="49">
        <v>105</v>
      </c>
      <c r="J49" s="49">
        <v>0</v>
      </c>
      <c r="K49" s="49">
        <v>1</v>
      </c>
      <c r="L49" s="49">
        <v>0</v>
      </c>
      <c r="M49" s="49">
        <v>1</v>
      </c>
      <c r="N49" s="49">
        <v>107</v>
      </c>
      <c r="O49" s="49">
        <v>77</v>
      </c>
      <c r="P49" s="49">
        <v>1</v>
      </c>
      <c r="Q49" s="49">
        <v>0</v>
      </c>
      <c r="R49" s="49">
        <v>0</v>
      </c>
      <c r="S49" s="49">
        <v>0</v>
      </c>
      <c r="T49" s="49">
        <v>78</v>
      </c>
      <c r="U49" s="49">
        <v>246</v>
      </c>
      <c r="V49" s="49">
        <v>11</v>
      </c>
      <c r="W49" s="49">
        <v>0</v>
      </c>
      <c r="X49" s="49">
        <v>0</v>
      </c>
      <c r="Y49" s="49">
        <v>0</v>
      </c>
      <c r="Z49" s="49">
        <v>0</v>
      </c>
      <c r="AA49" s="49">
        <v>11</v>
      </c>
      <c r="AB49" s="49">
        <v>58</v>
      </c>
      <c r="AC49" s="49">
        <v>3</v>
      </c>
      <c r="AD49" s="49">
        <v>1</v>
      </c>
      <c r="AE49" s="49">
        <v>1</v>
      </c>
      <c r="AF49" s="49">
        <v>0</v>
      </c>
      <c r="AG49" s="49">
        <v>63</v>
      </c>
      <c r="AH49" s="49">
        <v>40</v>
      </c>
      <c r="AI49" s="49">
        <v>0</v>
      </c>
      <c r="AJ49" s="49">
        <v>0</v>
      </c>
      <c r="AK49" s="49">
        <v>0</v>
      </c>
      <c r="AL49" s="49">
        <v>0</v>
      </c>
      <c r="AM49" s="49">
        <v>40</v>
      </c>
      <c r="AN49" s="49">
        <v>114</v>
      </c>
      <c r="AO49" s="49">
        <v>29</v>
      </c>
      <c r="AP49" s="49">
        <v>0</v>
      </c>
      <c r="AQ49" s="49">
        <v>1</v>
      </c>
      <c r="AR49" s="49">
        <v>0</v>
      </c>
      <c r="AS49" s="49">
        <v>0</v>
      </c>
      <c r="AT49" s="49">
        <v>30</v>
      </c>
      <c r="AU49" s="49">
        <v>87</v>
      </c>
      <c r="AV49" s="49">
        <v>0</v>
      </c>
      <c r="AW49" s="49">
        <v>2</v>
      </c>
      <c r="AX49" s="49">
        <v>0</v>
      </c>
      <c r="AY49" s="49">
        <v>0</v>
      </c>
      <c r="AZ49" s="49">
        <v>89</v>
      </c>
      <c r="BA49" s="49">
        <v>9</v>
      </c>
      <c r="BB49" s="49">
        <v>0</v>
      </c>
      <c r="BC49" s="49">
        <v>0</v>
      </c>
      <c r="BD49" s="49">
        <v>0</v>
      </c>
      <c r="BE49" s="49">
        <v>0</v>
      </c>
      <c r="BF49" s="49">
        <v>9</v>
      </c>
      <c r="BG49" s="49">
        <v>128</v>
      </c>
      <c r="BH49" s="49">
        <v>75</v>
      </c>
      <c r="BI49" s="49">
        <v>1</v>
      </c>
      <c r="BJ49" s="49">
        <v>3</v>
      </c>
      <c r="BK49" s="49">
        <v>0</v>
      </c>
      <c r="BL49" s="49">
        <v>0</v>
      </c>
      <c r="BM49" s="49">
        <v>79</v>
      </c>
      <c r="BN49" s="49">
        <v>58</v>
      </c>
      <c r="BO49" s="49">
        <v>2</v>
      </c>
      <c r="BP49" s="49">
        <v>2</v>
      </c>
      <c r="BQ49" s="49">
        <v>0</v>
      </c>
      <c r="BR49" s="49">
        <v>0</v>
      </c>
      <c r="BS49" s="49">
        <v>62</v>
      </c>
      <c r="BT49" s="49">
        <v>11</v>
      </c>
      <c r="BU49" s="49">
        <v>0</v>
      </c>
      <c r="BV49" s="49">
        <v>1</v>
      </c>
      <c r="BW49" s="49">
        <v>0</v>
      </c>
      <c r="BX49" s="49">
        <v>0</v>
      </c>
      <c r="BY49" s="49">
        <v>12</v>
      </c>
      <c r="BZ49" s="49">
        <v>153</v>
      </c>
      <c r="CA49" s="49">
        <v>641</v>
      </c>
    </row>
    <row r="50" spans="2:79" x14ac:dyDescent="0.25">
      <c r="B50" s="11">
        <v>0.53125</v>
      </c>
      <c r="C50" s="49">
        <v>59</v>
      </c>
      <c r="D50" s="49">
        <v>0</v>
      </c>
      <c r="E50" s="49">
        <v>0</v>
      </c>
      <c r="F50" s="49">
        <v>0</v>
      </c>
      <c r="G50" s="49">
        <v>0</v>
      </c>
      <c r="H50" s="49">
        <v>59</v>
      </c>
      <c r="I50" s="49">
        <v>96</v>
      </c>
      <c r="J50" s="49">
        <v>0</v>
      </c>
      <c r="K50" s="49">
        <v>2</v>
      </c>
      <c r="L50" s="49">
        <v>0</v>
      </c>
      <c r="M50" s="49">
        <v>0</v>
      </c>
      <c r="N50" s="49">
        <v>98</v>
      </c>
      <c r="O50" s="49">
        <v>69</v>
      </c>
      <c r="P50" s="49">
        <v>1</v>
      </c>
      <c r="Q50" s="49">
        <v>1</v>
      </c>
      <c r="R50" s="49">
        <v>0</v>
      </c>
      <c r="S50" s="49">
        <v>0</v>
      </c>
      <c r="T50" s="49">
        <v>71</v>
      </c>
      <c r="U50" s="49">
        <v>228</v>
      </c>
      <c r="V50" s="49">
        <v>12</v>
      </c>
      <c r="W50" s="49">
        <v>1</v>
      </c>
      <c r="X50" s="49">
        <v>0</v>
      </c>
      <c r="Y50" s="49">
        <v>0</v>
      </c>
      <c r="Z50" s="49">
        <v>0</v>
      </c>
      <c r="AA50" s="49">
        <v>13</v>
      </c>
      <c r="AB50" s="49">
        <v>44</v>
      </c>
      <c r="AC50" s="49">
        <v>4</v>
      </c>
      <c r="AD50" s="49">
        <v>1</v>
      </c>
      <c r="AE50" s="49">
        <v>0</v>
      </c>
      <c r="AF50" s="49">
        <v>0</v>
      </c>
      <c r="AG50" s="49">
        <v>49</v>
      </c>
      <c r="AH50" s="49">
        <v>52</v>
      </c>
      <c r="AI50" s="49">
        <v>0</v>
      </c>
      <c r="AJ50" s="49">
        <v>0</v>
      </c>
      <c r="AK50" s="49">
        <v>0</v>
      </c>
      <c r="AL50" s="49">
        <v>0</v>
      </c>
      <c r="AM50" s="49">
        <v>52</v>
      </c>
      <c r="AN50" s="49">
        <v>114</v>
      </c>
      <c r="AO50" s="49">
        <v>22</v>
      </c>
      <c r="AP50" s="49">
        <v>0</v>
      </c>
      <c r="AQ50" s="49">
        <v>1</v>
      </c>
      <c r="AR50" s="49">
        <v>0</v>
      </c>
      <c r="AS50" s="49">
        <v>0</v>
      </c>
      <c r="AT50" s="49">
        <v>23</v>
      </c>
      <c r="AU50" s="49">
        <v>79</v>
      </c>
      <c r="AV50" s="49">
        <v>0</v>
      </c>
      <c r="AW50" s="49">
        <v>1</v>
      </c>
      <c r="AX50" s="49">
        <v>0</v>
      </c>
      <c r="AY50" s="49">
        <v>0</v>
      </c>
      <c r="AZ50" s="49">
        <v>80</v>
      </c>
      <c r="BA50" s="49">
        <v>20</v>
      </c>
      <c r="BB50" s="49">
        <v>0</v>
      </c>
      <c r="BC50" s="49">
        <v>0</v>
      </c>
      <c r="BD50" s="49">
        <v>0</v>
      </c>
      <c r="BE50" s="49">
        <v>0</v>
      </c>
      <c r="BF50" s="49">
        <v>20</v>
      </c>
      <c r="BG50" s="49">
        <v>123</v>
      </c>
      <c r="BH50" s="49">
        <v>84</v>
      </c>
      <c r="BI50" s="49">
        <v>3</v>
      </c>
      <c r="BJ50" s="49">
        <v>2</v>
      </c>
      <c r="BK50" s="49">
        <v>0</v>
      </c>
      <c r="BL50" s="49">
        <v>0</v>
      </c>
      <c r="BM50" s="49">
        <v>89</v>
      </c>
      <c r="BN50" s="49">
        <v>63</v>
      </c>
      <c r="BO50" s="49">
        <v>4</v>
      </c>
      <c r="BP50" s="49">
        <v>1</v>
      </c>
      <c r="BQ50" s="49">
        <v>0</v>
      </c>
      <c r="BR50" s="49">
        <v>0</v>
      </c>
      <c r="BS50" s="49">
        <v>68</v>
      </c>
      <c r="BT50" s="49">
        <v>16</v>
      </c>
      <c r="BU50" s="49">
        <v>0</v>
      </c>
      <c r="BV50" s="49">
        <v>0</v>
      </c>
      <c r="BW50" s="49">
        <v>0</v>
      </c>
      <c r="BX50" s="49">
        <v>0</v>
      </c>
      <c r="BY50" s="49">
        <v>16</v>
      </c>
      <c r="BZ50" s="49">
        <v>173</v>
      </c>
      <c r="CA50" s="49">
        <v>638</v>
      </c>
    </row>
    <row r="51" spans="2:79" x14ac:dyDescent="0.25">
      <c r="B51" s="11">
        <v>0.54166666666666663</v>
      </c>
      <c r="C51" s="49">
        <v>70</v>
      </c>
      <c r="D51" s="49">
        <v>0</v>
      </c>
      <c r="E51" s="49">
        <v>0</v>
      </c>
      <c r="F51" s="49">
        <v>0</v>
      </c>
      <c r="G51" s="49">
        <v>0</v>
      </c>
      <c r="H51" s="49">
        <v>70</v>
      </c>
      <c r="I51" s="49">
        <v>94</v>
      </c>
      <c r="J51" s="49">
        <v>15</v>
      </c>
      <c r="K51" s="49">
        <v>0</v>
      </c>
      <c r="L51" s="49">
        <v>1</v>
      </c>
      <c r="M51" s="49">
        <v>0</v>
      </c>
      <c r="N51" s="49">
        <v>110</v>
      </c>
      <c r="O51" s="49">
        <v>55</v>
      </c>
      <c r="P51" s="49">
        <v>0</v>
      </c>
      <c r="Q51" s="49">
        <v>1</v>
      </c>
      <c r="R51" s="49">
        <v>0</v>
      </c>
      <c r="S51" s="49">
        <v>1</v>
      </c>
      <c r="T51" s="49">
        <v>57</v>
      </c>
      <c r="U51" s="49">
        <v>237</v>
      </c>
      <c r="V51" s="49">
        <v>16</v>
      </c>
      <c r="W51" s="49">
        <v>6</v>
      </c>
      <c r="X51" s="49">
        <v>0</v>
      </c>
      <c r="Y51" s="49">
        <v>0</v>
      </c>
      <c r="Z51" s="49">
        <v>0</v>
      </c>
      <c r="AA51" s="49">
        <v>22</v>
      </c>
      <c r="AB51" s="49">
        <v>40</v>
      </c>
      <c r="AC51" s="49">
        <v>3</v>
      </c>
      <c r="AD51" s="49">
        <v>0</v>
      </c>
      <c r="AE51" s="49">
        <v>0</v>
      </c>
      <c r="AF51" s="49">
        <v>3</v>
      </c>
      <c r="AG51" s="49">
        <v>46</v>
      </c>
      <c r="AH51" s="49">
        <v>41</v>
      </c>
      <c r="AI51" s="49">
        <v>0</v>
      </c>
      <c r="AJ51" s="49">
        <v>1</v>
      </c>
      <c r="AK51" s="49">
        <v>0</v>
      </c>
      <c r="AL51" s="49">
        <v>0</v>
      </c>
      <c r="AM51" s="49">
        <v>42</v>
      </c>
      <c r="AN51" s="49">
        <v>110</v>
      </c>
      <c r="AO51" s="49">
        <v>32</v>
      </c>
      <c r="AP51" s="49">
        <v>0</v>
      </c>
      <c r="AQ51" s="49">
        <v>0</v>
      </c>
      <c r="AR51" s="49">
        <v>0</v>
      </c>
      <c r="AS51" s="49">
        <v>0</v>
      </c>
      <c r="AT51" s="49">
        <v>32</v>
      </c>
      <c r="AU51" s="49">
        <v>106</v>
      </c>
      <c r="AV51" s="49">
        <v>1</v>
      </c>
      <c r="AW51" s="49">
        <v>1</v>
      </c>
      <c r="AX51" s="49">
        <v>0</v>
      </c>
      <c r="AY51" s="49">
        <v>0</v>
      </c>
      <c r="AZ51" s="49">
        <v>108</v>
      </c>
      <c r="BA51" s="49">
        <v>10</v>
      </c>
      <c r="BB51" s="49">
        <v>0</v>
      </c>
      <c r="BC51" s="49">
        <v>0</v>
      </c>
      <c r="BD51" s="49">
        <v>0</v>
      </c>
      <c r="BE51" s="49">
        <v>0</v>
      </c>
      <c r="BF51" s="49">
        <v>10</v>
      </c>
      <c r="BG51" s="49">
        <v>150</v>
      </c>
      <c r="BH51" s="49">
        <v>72</v>
      </c>
      <c r="BI51" s="49">
        <v>0</v>
      </c>
      <c r="BJ51" s="49">
        <v>2</v>
      </c>
      <c r="BK51" s="49">
        <v>0</v>
      </c>
      <c r="BL51" s="49">
        <v>0</v>
      </c>
      <c r="BM51" s="49">
        <v>74</v>
      </c>
      <c r="BN51" s="49">
        <v>49</v>
      </c>
      <c r="BO51" s="49">
        <v>2</v>
      </c>
      <c r="BP51" s="49">
        <v>1</v>
      </c>
      <c r="BQ51" s="49">
        <v>0</v>
      </c>
      <c r="BR51" s="49">
        <v>1</v>
      </c>
      <c r="BS51" s="49">
        <v>53</v>
      </c>
      <c r="BT51" s="49">
        <v>14</v>
      </c>
      <c r="BU51" s="49">
        <v>3</v>
      </c>
      <c r="BV51" s="49">
        <v>0</v>
      </c>
      <c r="BW51" s="49">
        <v>0</v>
      </c>
      <c r="BX51" s="49">
        <v>0</v>
      </c>
      <c r="BY51" s="49">
        <v>17</v>
      </c>
      <c r="BZ51" s="49">
        <v>144</v>
      </c>
      <c r="CA51" s="49">
        <v>641</v>
      </c>
    </row>
    <row r="52" spans="2:79" x14ac:dyDescent="0.25">
      <c r="B52" s="11">
        <v>0.55208333333333337</v>
      </c>
      <c r="C52" s="49">
        <v>90</v>
      </c>
      <c r="D52" s="49">
        <v>0</v>
      </c>
      <c r="E52" s="49">
        <v>5</v>
      </c>
      <c r="F52" s="49">
        <v>0</v>
      </c>
      <c r="G52" s="49">
        <v>0</v>
      </c>
      <c r="H52" s="49">
        <v>95</v>
      </c>
      <c r="I52" s="49">
        <v>93</v>
      </c>
      <c r="J52" s="49">
        <v>3</v>
      </c>
      <c r="K52" s="49">
        <v>1</v>
      </c>
      <c r="L52" s="49">
        <v>0</v>
      </c>
      <c r="M52" s="49">
        <v>0</v>
      </c>
      <c r="N52" s="49">
        <v>97</v>
      </c>
      <c r="O52" s="49">
        <v>63</v>
      </c>
      <c r="P52" s="49">
        <v>1</v>
      </c>
      <c r="Q52" s="49">
        <v>1</v>
      </c>
      <c r="R52" s="49">
        <v>0</v>
      </c>
      <c r="S52" s="49">
        <v>0</v>
      </c>
      <c r="T52" s="49">
        <v>65</v>
      </c>
      <c r="U52" s="49">
        <v>257</v>
      </c>
      <c r="V52" s="49">
        <v>16</v>
      </c>
      <c r="W52" s="49">
        <v>1</v>
      </c>
      <c r="X52" s="49">
        <v>0</v>
      </c>
      <c r="Y52" s="49">
        <v>0</v>
      </c>
      <c r="Z52" s="49">
        <v>0</v>
      </c>
      <c r="AA52" s="49">
        <v>17</v>
      </c>
      <c r="AB52" s="49">
        <v>54</v>
      </c>
      <c r="AC52" s="49">
        <v>2</v>
      </c>
      <c r="AD52" s="49">
        <v>1</v>
      </c>
      <c r="AE52" s="49">
        <v>0</v>
      </c>
      <c r="AF52" s="49">
        <v>1</v>
      </c>
      <c r="AG52" s="49">
        <v>58</v>
      </c>
      <c r="AH52" s="49">
        <v>66</v>
      </c>
      <c r="AI52" s="49">
        <v>1</v>
      </c>
      <c r="AJ52" s="49">
        <v>1</v>
      </c>
      <c r="AK52" s="49">
        <v>0</v>
      </c>
      <c r="AL52" s="49">
        <v>0</v>
      </c>
      <c r="AM52" s="49">
        <v>68</v>
      </c>
      <c r="AN52" s="49">
        <v>143</v>
      </c>
      <c r="AO52" s="49">
        <v>28</v>
      </c>
      <c r="AP52" s="49">
        <v>0</v>
      </c>
      <c r="AQ52" s="49">
        <v>0</v>
      </c>
      <c r="AR52" s="49">
        <v>0</v>
      </c>
      <c r="AS52" s="49">
        <v>0</v>
      </c>
      <c r="AT52" s="49">
        <v>28</v>
      </c>
      <c r="AU52" s="49">
        <v>109</v>
      </c>
      <c r="AV52" s="49">
        <v>1</v>
      </c>
      <c r="AW52" s="49">
        <v>3</v>
      </c>
      <c r="AX52" s="49">
        <v>0</v>
      </c>
      <c r="AY52" s="49">
        <v>0</v>
      </c>
      <c r="AZ52" s="49">
        <v>113</v>
      </c>
      <c r="BA52" s="49">
        <v>11</v>
      </c>
      <c r="BB52" s="49">
        <v>0</v>
      </c>
      <c r="BC52" s="49">
        <v>0</v>
      </c>
      <c r="BD52" s="49">
        <v>0</v>
      </c>
      <c r="BE52" s="49">
        <v>0</v>
      </c>
      <c r="BF52" s="49">
        <v>11</v>
      </c>
      <c r="BG52" s="49">
        <v>152</v>
      </c>
      <c r="BH52" s="49">
        <v>71</v>
      </c>
      <c r="BI52" s="49">
        <v>0</v>
      </c>
      <c r="BJ52" s="49">
        <v>2</v>
      </c>
      <c r="BK52" s="49">
        <v>0</v>
      </c>
      <c r="BL52" s="49">
        <v>0</v>
      </c>
      <c r="BM52" s="49">
        <v>73</v>
      </c>
      <c r="BN52" s="49">
        <v>65</v>
      </c>
      <c r="BO52" s="49">
        <v>3</v>
      </c>
      <c r="BP52" s="49">
        <v>0</v>
      </c>
      <c r="BQ52" s="49">
        <v>0</v>
      </c>
      <c r="BR52" s="49">
        <v>3</v>
      </c>
      <c r="BS52" s="49">
        <v>71</v>
      </c>
      <c r="BT52" s="49">
        <v>30</v>
      </c>
      <c r="BU52" s="49">
        <v>0</v>
      </c>
      <c r="BV52" s="49">
        <v>0</v>
      </c>
      <c r="BW52" s="49">
        <v>0</v>
      </c>
      <c r="BX52" s="49">
        <v>0</v>
      </c>
      <c r="BY52" s="49">
        <v>30</v>
      </c>
      <c r="BZ52" s="49">
        <v>174</v>
      </c>
      <c r="CA52" s="49">
        <v>726</v>
      </c>
    </row>
    <row r="53" spans="2:79" x14ac:dyDescent="0.25">
      <c r="B53" s="11">
        <v>0.5625</v>
      </c>
      <c r="C53" s="49">
        <v>69</v>
      </c>
      <c r="D53" s="49">
        <v>0</v>
      </c>
      <c r="E53" s="49">
        <v>2</v>
      </c>
      <c r="F53" s="49">
        <v>0</v>
      </c>
      <c r="G53" s="49">
        <v>2</v>
      </c>
      <c r="H53" s="49">
        <v>73</v>
      </c>
      <c r="I53" s="49">
        <v>90</v>
      </c>
      <c r="J53" s="49">
        <v>0</v>
      </c>
      <c r="K53" s="49">
        <v>2</v>
      </c>
      <c r="L53" s="49">
        <v>0</v>
      </c>
      <c r="M53" s="49">
        <v>0</v>
      </c>
      <c r="N53" s="49">
        <v>92</v>
      </c>
      <c r="O53" s="49">
        <v>72</v>
      </c>
      <c r="P53" s="49">
        <v>0</v>
      </c>
      <c r="Q53" s="49">
        <v>0</v>
      </c>
      <c r="R53" s="49">
        <v>0</v>
      </c>
      <c r="S53" s="49">
        <v>0</v>
      </c>
      <c r="T53" s="49">
        <v>72</v>
      </c>
      <c r="U53" s="49">
        <v>237</v>
      </c>
      <c r="V53" s="49">
        <v>11</v>
      </c>
      <c r="W53" s="49">
        <v>1</v>
      </c>
      <c r="X53" s="49">
        <v>0</v>
      </c>
      <c r="Y53" s="49">
        <v>0</v>
      </c>
      <c r="Z53" s="49">
        <v>0</v>
      </c>
      <c r="AA53" s="49">
        <v>12</v>
      </c>
      <c r="AB53" s="49">
        <v>43</v>
      </c>
      <c r="AC53" s="49">
        <v>5</v>
      </c>
      <c r="AD53" s="49">
        <v>2</v>
      </c>
      <c r="AE53" s="49">
        <v>0</v>
      </c>
      <c r="AF53" s="49">
        <v>0</v>
      </c>
      <c r="AG53" s="49">
        <v>50</v>
      </c>
      <c r="AH53" s="49">
        <v>44</v>
      </c>
      <c r="AI53" s="49">
        <v>1</v>
      </c>
      <c r="AJ53" s="49">
        <v>1</v>
      </c>
      <c r="AK53" s="49">
        <v>0</v>
      </c>
      <c r="AL53" s="49">
        <v>0</v>
      </c>
      <c r="AM53" s="49">
        <v>46</v>
      </c>
      <c r="AN53" s="49">
        <v>108</v>
      </c>
      <c r="AO53" s="49">
        <v>22</v>
      </c>
      <c r="AP53" s="49">
        <v>0</v>
      </c>
      <c r="AQ53" s="49">
        <v>0</v>
      </c>
      <c r="AR53" s="49">
        <v>0</v>
      </c>
      <c r="AS53" s="49">
        <v>0</v>
      </c>
      <c r="AT53" s="49">
        <v>22</v>
      </c>
      <c r="AU53" s="49">
        <v>98</v>
      </c>
      <c r="AV53" s="49">
        <v>0</v>
      </c>
      <c r="AW53" s="49">
        <v>2</v>
      </c>
      <c r="AX53" s="49">
        <v>0</v>
      </c>
      <c r="AY53" s="49">
        <v>0</v>
      </c>
      <c r="AZ53" s="49">
        <v>100</v>
      </c>
      <c r="BA53" s="49">
        <v>19</v>
      </c>
      <c r="BB53" s="49">
        <v>0</v>
      </c>
      <c r="BC53" s="49">
        <v>0</v>
      </c>
      <c r="BD53" s="49">
        <v>0</v>
      </c>
      <c r="BE53" s="49">
        <v>0</v>
      </c>
      <c r="BF53" s="49">
        <v>19</v>
      </c>
      <c r="BG53" s="49">
        <v>141</v>
      </c>
      <c r="BH53" s="49">
        <v>72</v>
      </c>
      <c r="BI53" s="49">
        <v>0</v>
      </c>
      <c r="BJ53" s="49">
        <v>2</v>
      </c>
      <c r="BK53" s="49">
        <v>0</v>
      </c>
      <c r="BL53" s="49">
        <v>0</v>
      </c>
      <c r="BM53" s="49">
        <v>74</v>
      </c>
      <c r="BN53" s="49">
        <v>52</v>
      </c>
      <c r="BO53" s="49">
        <v>2</v>
      </c>
      <c r="BP53" s="49">
        <v>0</v>
      </c>
      <c r="BQ53" s="49">
        <v>0</v>
      </c>
      <c r="BR53" s="49">
        <v>0</v>
      </c>
      <c r="BS53" s="49">
        <v>54</v>
      </c>
      <c r="BT53" s="49">
        <v>21</v>
      </c>
      <c r="BU53" s="49">
        <v>0</v>
      </c>
      <c r="BV53" s="49">
        <v>0</v>
      </c>
      <c r="BW53" s="49">
        <v>0</v>
      </c>
      <c r="BX53" s="49">
        <v>0</v>
      </c>
      <c r="BY53" s="49">
        <v>21</v>
      </c>
      <c r="BZ53" s="49">
        <v>149</v>
      </c>
      <c r="CA53" s="49">
        <v>635</v>
      </c>
    </row>
    <row r="54" spans="2:79" x14ac:dyDescent="0.25">
      <c r="B54" s="11">
        <v>0.57291666666666663</v>
      </c>
      <c r="C54" s="49">
        <v>89</v>
      </c>
      <c r="D54" s="49">
        <v>0</v>
      </c>
      <c r="E54" s="49">
        <v>1</v>
      </c>
      <c r="F54" s="49">
        <v>0</v>
      </c>
      <c r="G54" s="49">
        <v>0</v>
      </c>
      <c r="H54" s="49">
        <v>90</v>
      </c>
      <c r="I54" s="49">
        <v>101</v>
      </c>
      <c r="J54" s="49">
        <v>0</v>
      </c>
      <c r="K54" s="49">
        <v>1</v>
      </c>
      <c r="L54" s="49">
        <v>0</v>
      </c>
      <c r="M54" s="49">
        <v>0</v>
      </c>
      <c r="N54" s="49">
        <v>102</v>
      </c>
      <c r="O54" s="49">
        <v>61</v>
      </c>
      <c r="P54" s="49">
        <v>1</v>
      </c>
      <c r="Q54" s="49">
        <v>0</v>
      </c>
      <c r="R54" s="49">
        <v>0</v>
      </c>
      <c r="S54" s="49">
        <v>0</v>
      </c>
      <c r="T54" s="49">
        <v>62</v>
      </c>
      <c r="U54" s="49">
        <v>254</v>
      </c>
      <c r="V54" s="49">
        <v>6</v>
      </c>
      <c r="W54" s="49">
        <v>0</v>
      </c>
      <c r="X54" s="49">
        <v>0</v>
      </c>
      <c r="Y54" s="49">
        <v>0</v>
      </c>
      <c r="Z54" s="49">
        <v>0</v>
      </c>
      <c r="AA54" s="49">
        <v>6</v>
      </c>
      <c r="AB54" s="49">
        <v>39</v>
      </c>
      <c r="AC54" s="49">
        <v>1</v>
      </c>
      <c r="AD54" s="49">
        <v>0</v>
      </c>
      <c r="AE54" s="49">
        <v>0</v>
      </c>
      <c r="AF54" s="49">
        <v>0</v>
      </c>
      <c r="AG54" s="49">
        <v>40</v>
      </c>
      <c r="AH54" s="49">
        <v>49</v>
      </c>
      <c r="AI54" s="49">
        <v>0</v>
      </c>
      <c r="AJ54" s="49">
        <v>1</v>
      </c>
      <c r="AK54" s="49">
        <v>0</v>
      </c>
      <c r="AL54" s="49">
        <v>0</v>
      </c>
      <c r="AM54" s="49">
        <v>50</v>
      </c>
      <c r="AN54" s="49">
        <v>96</v>
      </c>
      <c r="AO54" s="49">
        <v>22</v>
      </c>
      <c r="AP54" s="49">
        <v>0</v>
      </c>
      <c r="AQ54" s="49">
        <v>0</v>
      </c>
      <c r="AR54" s="49">
        <v>0</v>
      </c>
      <c r="AS54" s="49">
        <v>0</v>
      </c>
      <c r="AT54" s="49">
        <v>22</v>
      </c>
      <c r="AU54" s="49">
        <v>84</v>
      </c>
      <c r="AV54" s="49">
        <v>0</v>
      </c>
      <c r="AW54" s="49">
        <v>3</v>
      </c>
      <c r="AX54" s="49">
        <v>0</v>
      </c>
      <c r="AY54" s="49">
        <v>0</v>
      </c>
      <c r="AZ54" s="49">
        <v>87</v>
      </c>
      <c r="BA54" s="49">
        <v>12</v>
      </c>
      <c r="BB54" s="49">
        <v>0</v>
      </c>
      <c r="BC54" s="49">
        <v>2</v>
      </c>
      <c r="BD54" s="49">
        <v>0</v>
      </c>
      <c r="BE54" s="49">
        <v>0</v>
      </c>
      <c r="BF54" s="49">
        <v>14</v>
      </c>
      <c r="BG54" s="49">
        <v>123</v>
      </c>
      <c r="BH54" s="49">
        <v>60</v>
      </c>
      <c r="BI54" s="49">
        <v>1</v>
      </c>
      <c r="BJ54" s="49">
        <v>0</v>
      </c>
      <c r="BK54" s="49">
        <v>0</v>
      </c>
      <c r="BL54" s="49">
        <v>0</v>
      </c>
      <c r="BM54" s="49">
        <v>61</v>
      </c>
      <c r="BN54" s="49">
        <v>55</v>
      </c>
      <c r="BO54" s="49">
        <v>4</v>
      </c>
      <c r="BP54" s="49">
        <v>2</v>
      </c>
      <c r="BQ54" s="49">
        <v>0</v>
      </c>
      <c r="BR54" s="49">
        <v>2</v>
      </c>
      <c r="BS54" s="49">
        <v>63</v>
      </c>
      <c r="BT54" s="49">
        <v>20</v>
      </c>
      <c r="BU54" s="49">
        <v>1</v>
      </c>
      <c r="BV54" s="49">
        <v>0</v>
      </c>
      <c r="BW54" s="49">
        <v>0</v>
      </c>
      <c r="BX54" s="49">
        <v>0</v>
      </c>
      <c r="BY54" s="49">
        <v>21</v>
      </c>
      <c r="BZ54" s="49">
        <v>145</v>
      </c>
      <c r="CA54" s="49">
        <v>618</v>
      </c>
    </row>
  </sheetData>
  <mergeCells count="33">
    <mergeCell ref="BG11:BG13"/>
    <mergeCell ref="BH11:BY11"/>
    <mergeCell ref="AU12:AY12"/>
    <mergeCell ref="AZ12:AZ13"/>
    <mergeCell ref="BA12:BE12"/>
    <mergeCell ref="BF12:BF13"/>
    <mergeCell ref="BH12:BL12"/>
    <mergeCell ref="BM12:BM13"/>
    <mergeCell ref="BN12:BR12"/>
    <mergeCell ref="BS12:BS13"/>
    <mergeCell ref="AO12:AS12"/>
    <mergeCell ref="AT12:AT13"/>
    <mergeCell ref="C11:T11"/>
    <mergeCell ref="U11:U13"/>
    <mergeCell ref="V11:AM11"/>
    <mergeCell ref="AN11:AN13"/>
    <mergeCell ref="AO11:BF11"/>
    <mergeCell ref="BT12:BX12"/>
    <mergeCell ref="BY12:BY13"/>
    <mergeCell ref="BZ11:BZ13"/>
    <mergeCell ref="CA11:CA13"/>
    <mergeCell ref="C12:G12"/>
    <mergeCell ref="H12:H13"/>
    <mergeCell ref="I12:M12"/>
    <mergeCell ref="N12:N13"/>
    <mergeCell ref="O12:S12"/>
    <mergeCell ref="T12:T13"/>
    <mergeCell ref="V12:Z12"/>
    <mergeCell ref="AA12:AA13"/>
    <mergeCell ref="AB12:AF12"/>
    <mergeCell ref="AG12:AG13"/>
    <mergeCell ref="AH12:AL12"/>
    <mergeCell ref="AM12:AM13"/>
  </mergeCells>
  <conditionalFormatting pivot="1" sqref="C14:CA54">
    <cfRule type="expression" dxfId="2" priority="2">
      <formula>C$12&lt;&gt;""</formula>
    </cfRule>
  </conditionalFormatting>
  <conditionalFormatting pivot="1" sqref="C14:CA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3218</v>
      </c>
      <c r="I5">
        <f>MAX(I11:I303)</f>
        <v>2646</v>
      </c>
      <c r="J5">
        <f>MAX(J11:J303)</f>
        <v>3437</v>
      </c>
      <c r="K5">
        <f>MAX(K11:K303)</f>
        <v>0</v>
      </c>
      <c r="N5" t="s">
        <v>53</v>
      </c>
      <c r="O5">
        <f>INDEX($H5:$K5,1,MATCH($O$4,$H$10:$K$10,0))</f>
        <v>0</v>
      </c>
    </row>
    <row r="6" spans="1:21" x14ac:dyDescent="0.25">
      <c r="G6" t="s">
        <v>55</v>
      </c>
      <c r="H6" s="6">
        <f>IF(H5=0,0,H7-1/24)</f>
        <v>0.32291666666666669</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3218 vehicles between 07:45 and 08:45</v>
      </c>
      <c r="I8" s="6" t="str">
        <f>IF(I5=0,"","The peak hour for " &amp;I10&amp;" is "&amp;I5&amp;" vehicles between " &amp; TEXT(I6, "hh:mm")&amp; " and " &amp;TEXT(I7,"hh:mm"))</f>
        <v>The peak hour for INT is 2646 vehicles between 12:30 and 13:30</v>
      </c>
      <c r="J8" s="6" t="str">
        <f>IF(J5=0,"","The peak hour for " &amp;J10&amp;" is "&amp;J5&amp;" vehicles between " &amp; TEXT(J6, "hh:mm")&amp; " and " &amp;TEXT(J7,"hh:mm"))</f>
        <v>The peak hour for PM is 3437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110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308</v>
      </c>
      <c r="C11" s="49"/>
      <c r="D11" s="49"/>
      <c r="G11" s="7">
        <f>A11</f>
        <v>0.27083333333333331</v>
      </c>
      <c r="H11">
        <f>IF(B11&lt;&gt;0,SUMIF($G$11:$G11,"&gt;"&amp;$G11-1/24,B$11:B11),0)</f>
        <v>308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308</v>
      </c>
      <c r="Q11">
        <f>P11*L11</f>
        <v>0</v>
      </c>
      <c r="S11" s="9">
        <v>0.27083333333333331</v>
      </c>
      <c r="T11" s="49">
        <v>308</v>
      </c>
      <c r="U11" s="49">
        <v>0</v>
      </c>
    </row>
    <row r="12" spans="1:21" x14ac:dyDescent="0.25">
      <c r="A12" s="9">
        <v>0.28125</v>
      </c>
      <c r="B12" s="49">
        <v>374</v>
      </c>
      <c r="C12" s="49"/>
      <c r="D12" s="49"/>
      <c r="G12" s="7">
        <f t="shared" ref="G12:G26" si="3">A12</f>
        <v>0.28125</v>
      </c>
      <c r="H12">
        <f>IF(B12&lt;&gt;0,SUMIF($G$11:$G12,"&gt;"&amp;$G12-1/24,B$11:B12),0)</f>
        <v>682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374</v>
      </c>
      <c r="Q12">
        <f t="shared" ref="Q12:Q75" si="7">P12*L12</f>
        <v>0</v>
      </c>
      <c r="S12" s="9">
        <v>0.28125</v>
      </c>
      <c r="T12" s="49">
        <v>374</v>
      </c>
      <c r="U12" s="49">
        <v>0</v>
      </c>
    </row>
    <row r="13" spans="1:21" x14ac:dyDescent="0.25">
      <c r="A13" s="9">
        <v>0.29166666666666669</v>
      </c>
      <c r="B13" s="49">
        <v>430</v>
      </c>
      <c r="C13" s="49"/>
      <c r="D13" s="49"/>
      <c r="G13" s="7">
        <f t="shared" si="3"/>
        <v>0.29166666666666669</v>
      </c>
      <c r="H13">
        <f>IF(B13&lt;&gt;0,SUMIF($G$11:$G13,"&gt;"&amp;$G13-1/24,B$11:B13),0)</f>
        <v>1112</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430</v>
      </c>
      <c r="Q13">
        <f t="shared" si="7"/>
        <v>0</v>
      </c>
      <c r="S13" s="9">
        <v>0.29166666666666669</v>
      </c>
      <c r="T13" s="49">
        <v>430</v>
      </c>
      <c r="U13" s="49">
        <v>0</v>
      </c>
    </row>
    <row r="14" spans="1:21" x14ac:dyDescent="0.25">
      <c r="A14" s="9">
        <v>0.30208333333333331</v>
      </c>
      <c r="B14" s="49">
        <v>562</v>
      </c>
      <c r="C14" s="49"/>
      <c r="D14" s="49"/>
      <c r="G14" s="7">
        <f t="shared" si="3"/>
        <v>0.30208333333333331</v>
      </c>
      <c r="H14">
        <f>IF(B14&lt;&gt;0,SUMIF($G$11:$G14,"&gt;"&amp;$G14-1/24,B$11:B14),0)</f>
        <v>1674</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562</v>
      </c>
      <c r="Q14">
        <f t="shared" si="7"/>
        <v>0</v>
      </c>
      <c r="S14" s="9">
        <v>0.30208333333333331</v>
      </c>
      <c r="T14" s="49">
        <v>562</v>
      </c>
      <c r="U14" s="49">
        <v>0</v>
      </c>
    </row>
    <row r="15" spans="1:21" x14ac:dyDescent="0.25">
      <c r="A15" s="9">
        <v>0.3125</v>
      </c>
      <c r="B15" s="49">
        <v>723</v>
      </c>
      <c r="C15" s="49"/>
      <c r="D15" s="49"/>
      <c r="G15" s="7">
        <f t="shared" si="3"/>
        <v>0.3125</v>
      </c>
      <c r="H15">
        <f>IF(B15&lt;&gt;0,SUMIF($G$11:$G15,"&gt;"&amp;$G15-1/24,B$11:B15),0)</f>
        <v>2089</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723</v>
      </c>
      <c r="Q15">
        <f t="shared" si="7"/>
        <v>0</v>
      </c>
      <c r="S15" s="9">
        <v>0.3125</v>
      </c>
      <c r="T15" s="49">
        <v>723</v>
      </c>
      <c r="U15" s="49">
        <v>0</v>
      </c>
    </row>
    <row r="16" spans="1:21" x14ac:dyDescent="0.25">
      <c r="A16" s="9">
        <v>0.32291666666666669</v>
      </c>
      <c r="B16" s="49">
        <v>804</v>
      </c>
      <c r="C16" s="49"/>
      <c r="D16" s="49"/>
      <c r="G16" s="7">
        <f t="shared" si="3"/>
        <v>0.32291666666666669</v>
      </c>
      <c r="H16">
        <f>IF(B16&lt;&gt;0,SUMIF($G$11:$G16,"&gt;"&amp;$G16-1/24,B$11:B16),0)</f>
        <v>2519</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804</v>
      </c>
      <c r="Q16">
        <f t="shared" si="7"/>
        <v>804</v>
      </c>
      <c r="S16" s="9">
        <v>0.32291666666666669</v>
      </c>
      <c r="T16" s="49">
        <v>804</v>
      </c>
      <c r="U16" s="49">
        <v>804</v>
      </c>
    </row>
    <row r="17" spans="1:21" x14ac:dyDescent="0.25">
      <c r="A17" s="9">
        <v>0.33333333333333331</v>
      </c>
      <c r="B17" s="49">
        <v>783</v>
      </c>
      <c r="C17" s="49"/>
      <c r="D17" s="49"/>
      <c r="G17" s="7">
        <f t="shared" si="3"/>
        <v>0.33333333333333331</v>
      </c>
      <c r="H17">
        <f>IF(B17&lt;&gt;0,SUMIF($G$11:$G17,"&gt;"&amp;$G17-1/24,B$11:B17),0)</f>
        <v>2872</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783</v>
      </c>
      <c r="Q17">
        <f t="shared" si="7"/>
        <v>783</v>
      </c>
      <c r="S17" s="9">
        <v>0.33333333333333331</v>
      </c>
      <c r="T17" s="49">
        <v>783</v>
      </c>
      <c r="U17" s="49">
        <v>783</v>
      </c>
    </row>
    <row r="18" spans="1:21" x14ac:dyDescent="0.25">
      <c r="A18" s="9">
        <v>0.34375</v>
      </c>
      <c r="B18" s="49">
        <v>835</v>
      </c>
      <c r="C18" s="49"/>
      <c r="D18" s="49"/>
      <c r="G18" s="7">
        <f t="shared" si="3"/>
        <v>0.34375</v>
      </c>
      <c r="H18">
        <f>IF(B18&lt;&gt;0,SUMIF($G$11:$G18,"&gt;"&amp;$G18-1/24,B$11:B18),0)</f>
        <v>3145</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835</v>
      </c>
      <c r="Q18">
        <f t="shared" si="7"/>
        <v>835</v>
      </c>
      <c r="S18" s="9">
        <v>0.34375</v>
      </c>
      <c r="T18" s="49">
        <v>835</v>
      </c>
      <c r="U18" s="49">
        <v>835</v>
      </c>
    </row>
    <row r="19" spans="1:21" x14ac:dyDescent="0.25">
      <c r="A19" s="9">
        <v>0.35416666666666669</v>
      </c>
      <c r="B19" s="49">
        <v>796</v>
      </c>
      <c r="C19" s="49"/>
      <c r="D19" s="49"/>
      <c r="G19" s="7">
        <f t="shared" si="3"/>
        <v>0.35416666666666669</v>
      </c>
      <c r="H19">
        <f>IF(B19&lt;&gt;0,SUMIF($G$11:$G19,"&gt;"&amp;$G19-1/24,B$11:B19),0)</f>
        <v>3218</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796</v>
      </c>
      <c r="Q19">
        <f t="shared" si="7"/>
        <v>796</v>
      </c>
      <c r="S19" s="9">
        <v>0.35416666666666669</v>
      </c>
      <c r="T19" s="49">
        <v>796</v>
      </c>
      <c r="U19" s="49">
        <v>796</v>
      </c>
    </row>
    <row r="20" spans="1:21" x14ac:dyDescent="0.25">
      <c r="A20" s="9">
        <v>0.36458333333333331</v>
      </c>
      <c r="B20" s="49">
        <v>755</v>
      </c>
      <c r="C20" s="49"/>
      <c r="D20" s="49"/>
      <c r="G20" s="7">
        <f t="shared" si="3"/>
        <v>0.36458333333333331</v>
      </c>
      <c r="H20">
        <f>IF(B20&lt;&gt;0,SUMIF($G$11:$G20,"&gt;"&amp;$G20-1/24,B$11:B20),0)</f>
        <v>3169</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755</v>
      </c>
      <c r="Q20">
        <f t="shared" si="7"/>
        <v>0</v>
      </c>
      <c r="S20" s="9">
        <v>0.36458333333333331</v>
      </c>
      <c r="T20" s="49">
        <v>755</v>
      </c>
      <c r="U20" s="49">
        <v>0</v>
      </c>
    </row>
    <row r="21" spans="1:21" x14ac:dyDescent="0.25">
      <c r="A21" s="9">
        <v>0.375</v>
      </c>
      <c r="B21" s="49">
        <v>599</v>
      </c>
      <c r="C21" s="49"/>
      <c r="D21" s="49"/>
      <c r="G21" s="7">
        <f t="shared" si="3"/>
        <v>0.375</v>
      </c>
      <c r="H21">
        <f>IF(B21&lt;&gt;0,SUMIF($G$11:$G21,"&gt;"&amp;$G21-1/24,B$11:B21),0)</f>
        <v>2985</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599</v>
      </c>
      <c r="Q21">
        <f t="shared" si="7"/>
        <v>0</v>
      </c>
      <c r="S21" s="9">
        <v>0.375</v>
      </c>
      <c r="T21" s="49">
        <v>599</v>
      </c>
      <c r="U21" s="49">
        <v>0</v>
      </c>
    </row>
    <row r="22" spans="1:21" x14ac:dyDescent="0.25">
      <c r="A22" s="9">
        <v>0.38541666666666669</v>
      </c>
      <c r="B22" s="49">
        <v>564</v>
      </c>
      <c r="C22" s="49"/>
      <c r="D22" s="49"/>
      <c r="G22" s="7">
        <f t="shared" si="3"/>
        <v>0.38541666666666669</v>
      </c>
      <c r="H22">
        <f>IF(B22&lt;&gt;0,SUMIF($G$11:$G22,"&gt;"&amp;$G22-1/24,B$11:B22),0)</f>
        <v>2714</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564</v>
      </c>
      <c r="Q22">
        <f t="shared" si="7"/>
        <v>0</v>
      </c>
      <c r="S22" s="9">
        <v>0.38541666666666669</v>
      </c>
      <c r="T22" s="49">
        <v>564</v>
      </c>
      <c r="U22" s="49">
        <v>0</v>
      </c>
    </row>
    <row r="23" spans="1:21" x14ac:dyDescent="0.25">
      <c r="A23" s="9">
        <v>0.45833333333333331</v>
      </c>
      <c r="B23" s="49"/>
      <c r="C23" s="49">
        <v>543</v>
      </c>
      <c r="D23" s="49"/>
      <c r="G23" s="7">
        <f t="shared" si="3"/>
        <v>0.45833333333333331</v>
      </c>
      <c r="H23">
        <f>IF(B23&lt;&gt;0,SUMIF($G$11:$G23,"&gt;"&amp;$G23-1/24,B$11:B23),0)</f>
        <v>0</v>
      </c>
      <c r="I23">
        <f>IF(C23&lt;&gt;0,SUMIF($G$11:$G23,"&gt;"&amp;$G23-1/24,C$11:C23),0)</f>
        <v>543</v>
      </c>
      <c r="J23">
        <f>IF(D23&lt;&gt;0,SUMIF($G$11:$G23,"&gt;"&amp;$G23-1/24,D$11:D23),0)</f>
        <v>0</v>
      </c>
      <c r="K23">
        <f>IF(E23&lt;&gt;0,SUMIF($G$11:$G23,"&gt;"&amp;$G23-1/24,E$11:E23),0)</f>
        <v>0</v>
      </c>
      <c r="L23">
        <f t="shared" si="4"/>
        <v>0</v>
      </c>
      <c r="N23" t="str">
        <f t="shared" si="5"/>
        <v>INT</v>
      </c>
      <c r="O23" s="7">
        <f t="shared" si="2"/>
        <v>0.45833333333333331</v>
      </c>
      <c r="P23">
        <f t="shared" si="6"/>
        <v>543</v>
      </c>
      <c r="Q23">
        <f t="shared" si="7"/>
        <v>0</v>
      </c>
      <c r="S23" s="9" t="s">
        <v>49</v>
      </c>
      <c r="T23" s="49">
        <v>7533</v>
      </c>
      <c r="U23" s="49">
        <v>3218</v>
      </c>
    </row>
    <row r="24" spans="1:21" x14ac:dyDescent="0.25">
      <c r="A24" s="9">
        <v>0.46875</v>
      </c>
      <c r="B24" s="49"/>
      <c r="C24" s="49">
        <v>580</v>
      </c>
      <c r="D24" s="49"/>
      <c r="G24" s="7">
        <f t="shared" si="3"/>
        <v>0.46875</v>
      </c>
      <c r="H24">
        <f>IF(B24&lt;&gt;0,SUMIF($G$11:$G24,"&gt;"&amp;$G24-1/24,B$11:B24),0)</f>
        <v>0</v>
      </c>
      <c r="I24">
        <f>IF(C24&lt;&gt;0,SUMIF($G$11:$G24,"&gt;"&amp;$G24-1/24,C$11:C24),0)</f>
        <v>1123</v>
      </c>
      <c r="J24">
        <f>IF(D24&lt;&gt;0,SUMIF($G$11:$G24,"&gt;"&amp;$G24-1/24,D$11:D24),0)</f>
        <v>0</v>
      </c>
      <c r="K24">
        <f>IF(E24&lt;&gt;0,SUMIF($G$11:$G24,"&gt;"&amp;$G24-1/24,E$11:E24),0)</f>
        <v>0</v>
      </c>
      <c r="L24">
        <f t="shared" si="4"/>
        <v>0</v>
      </c>
      <c r="N24" t="str">
        <f t="shared" si="5"/>
        <v>INT</v>
      </c>
      <c r="O24" s="7">
        <f t="shared" si="2"/>
        <v>0.46875</v>
      </c>
      <c r="P24">
        <f t="shared" si="6"/>
        <v>580</v>
      </c>
      <c r="Q24">
        <f t="shared" si="7"/>
        <v>0</v>
      </c>
    </row>
    <row r="25" spans="1:21" x14ac:dyDescent="0.25">
      <c r="A25" s="9">
        <v>0.47916666666666669</v>
      </c>
      <c r="B25" s="49"/>
      <c r="C25" s="49">
        <v>583</v>
      </c>
      <c r="D25" s="49"/>
      <c r="G25" s="7">
        <f t="shared" si="3"/>
        <v>0.47916666666666669</v>
      </c>
      <c r="H25">
        <f>IF(B25&lt;&gt;0,SUMIF($G$11:$G25,"&gt;"&amp;$G25-1/24,B$11:B25),0)</f>
        <v>0</v>
      </c>
      <c r="I25">
        <f>IF(C25&lt;&gt;0,SUMIF($G$11:$G25,"&gt;"&amp;$G25-1/24,C$11:C25),0)</f>
        <v>1706</v>
      </c>
      <c r="J25">
        <f>IF(D25&lt;&gt;0,SUMIF($G$11:$G25,"&gt;"&amp;$G25-1/24,D$11:D25),0)</f>
        <v>0</v>
      </c>
      <c r="K25">
        <f>IF(E25&lt;&gt;0,SUMIF($G$11:$G25,"&gt;"&amp;$G25-1/24,E$11:E25),0)</f>
        <v>0</v>
      </c>
      <c r="L25">
        <f t="shared" si="4"/>
        <v>0</v>
      </c>
      <c r="N25" t="str">
        <f t="shared" si="5"/>
        <v>INT</v>
      </c>
      <c r="O25" s="7">
        <f t="shared" si="2"/>
        <v>0.47916666666666669</v>
      </c>
      <c r="P25">
        <f t="shared" si="6"/>
        <v>583</v>
      </c>
      <c r="Q25">
        <f t="shared" si="7"/>
        <v>0</v>
      </c>
    </row>
    <row r="26" spans="1:21" x14ac:dyDescent="0.25">
      <c r="A26" s="9">
        <v>0.48958333333333331</v>
      </c>
      <c r="B26" s="49"/>
      <c r="C26" s="49">
        <v>681</v>
      </c>
      <c r="D26" s="49"/>
      <c r="G26" s="7">
        <f t="shared" si="3"/>
        <v>0.48958333333333331</v>
      </c>
      <c r="H26">
        <f>IF(B26&lt;&gt;0,SUMIF($G$11:$G26,"&gt;"&amp;$G26-1/24,B$11:B26),0)</f>
        <v>0</v>
      </c>
      <c r="I26">
        <f>IF(C26&lt;&gt;0,SUMIF($G$11:$G26,"&gt;"&amp;$G26-1/24,C$11:C26),0)</f>
        <v>2387</v>
      </c>
      <c r="J26">
        <f>IF(D26&lt;&gt;0,SUMIF($G$11:$G26,"&gt;"&amp;$G26-1/24,D$11:D26),0)</f>
        <v>0</v>
      </c>
      <c r="K26">
        <f>IF(E26&lt;&gt;0,SUMIF($G$11:$G26,"&gt;"&amp;$G26-1/24,E$11:E26),0)</f>
        <v>0</v>
      </c>
      <c r="L26">
        <f t="shared" si="4"/>
        <v>0</v>
      </c>
      <c r="N26" t="str">
        <f t="shared" si="5"/>
        <v>INT</v>
      </c>
      <c r="O26" s="7">
        <f t="shared" si="2"/>
        <v>0.48958333333333331</v>
      </c>
      <c r="P26">
        <f t="shared" si="6"/>
        <v>681</v>
      </c>
      <c r="Q26">
        <f t="shared" si="7"/>
        <v>0</v>
      </c>
    </row>
    <row r="27" spans="1:21" x14ac:dyDescent="0.25">
      <c r="A27" s="9">
        <v>0.5</v>
      </c>
      <c r="B27" s="49"/>
      <c r="C27" s="49">
        <v>623</v>
      </c>
      <c r="D27" s="49"/>
      <c r="G27" s="7">
        <f t="shared" ref="G27:G90" si="8">A27</f>
        <v>0.5</v>
      </c>
      <c r="H27">
        <f>IF(B27&lt;&gt;0,SUMIF($G$11:$G27,"&gt;"&amp;$G27-1/24,B$11:B27),0)</f>
        <v>0</v>
      </c>
      <c r="I27">
        <f>IF(C27&lt;&gt;0,SUMIF($G$11:$G27,"&gt;"&amp;$G27-1/24,C$11:C27),0)</f>
        <v>2467</v>
      </c>
      <c r="J27">
        <f>IF(D27&lt;&gt;0,SUMIF($G$11:$G27,"&gt;"&amp;$G27-1/24,D$11:D27),0)</f>
        <v>0</v>
      </c>
      <c r="K27">
        <f>IF(E27&lt;&gt;0,SUMIF($G$11:$G27,"&gt;"&amp;$G27-1/24,E$11:E27),0)</f>
        <v>0</v>
      </c>
      <c r="L27">
        <f t="shared" si="4"/>
        <v>0</v>
      </c>
      <c r="N27" t="str">
        <f t="shared" si="5"/>
        <v>INT</v>
      </c>
      <c r="O27" s="7">
        <f t="shared" si="2"/>
        <v>0.5</v>
      </c>
      <c r="P27">
        <f t="shared" si="6"/>
        <v>623</v>
      </c>
      <c r="Q27">
        <f t="shared" si="7"/>
        <v>0</v>
      </c>
    </row>
    <row r="28" spans="1:21" x14ac:dyDescent="0.25">
      <c r="A28" s="9">
        <v>0.51041666666666663</v>
      </c>
      <c r="B28" s="49"/>
      <c r="C28" s="49">
        <v>666</v>
      </c>
      <c r="D28" s="49"/>
      <c r="G28" s="7">
        <f t="shared" si="8"/>
        <v>0.51041666666666663</v>
      </c>
      <c r="H28">
        <f>IF(B28&lt;&gt;0,SUMIF($G$11:$G28,"&gt;"&amp;$G28-1/24,B$11:B28),0)</f>
        <v>0</v>
      </c>
      <c r="I28">
        <f>IF(C28&lt;&gt;0,SUMIF($G$11:$G28,"&gt;"&amp;$G28-1/24,C$11:C28),0)</f>
        <v>2553</v>
      </c>
      <c r="J28">
        <f>IF(D28&lt;&gt;0,SUMIF($G$11:$G28,"&gt;"&amp;$G28-1/24,D$11:D28),0)</f>
        <v>0</v>
      </c>
      <c r="K28">
        <f>IF(E28&lt;&gt;0,SUMIF($G$11:$G28,"&gt;"&amp;$G28-1/24,E$11:E28),0)</f>
        <v>0</v>
      </c>
      <c r="L28">
        <f t="shared" si="4"/>
        <v>0</v>
      </c>
      <c r="N28" t="str">
        <f t="shared" si="5"/>
        <v>INT</v>
      </c>
      <c r="O28" s="7">
        <f t="shared" si="2"/>
        <v>0.51041666666666663</v>
      </c>
      <c r="P28">
        <f t="shared" si="6"/>
        <v>666</v>
      </c>
      <c r="Q28">
        <f t="shared" si="7"/>
        <v>0</v>
      </c>
    </row>
    <row r="29" spans="1:21" x14ac:dyDescent="0.25">
      <c r="A29" s="9">
        <v>0.52083333333333337</v>
      </c>
      <c r="B29" s="49"/>
      <c r="C29" s="49">
        <v>641</v>
      </c>
      <c r="D29" s="49"/>
      <c r="G29" s="7">
        <f t="shared" si="8"/>
        <v>0.52083333333333337</v>
      </c>
      <c r="H29">
        <f>IF(B29&lt;&gt;0,SUMIF($G$11:$G29,"&gt;"&amp;$G29-1/24,B$11:B29),0)</f>
        <v>0</v>
      </c>
      <c r="I29">
        <f>IF(C29&lt;&gt;0,SUMIF($G$11:$G29,"&gt;"&amp;$G29-1/24,C$11:C29),0)</f>
        <v>2611</v>
      </c>
      <c r="J29">
        <f>IF(D29&lt;&gt;0,SUMIF($G$11:$G29,"&gt;"&amp;$G29-1/24,D$11:D29),0)</f>
        <v>0</v>
      </c>
      <c r="K29">
        <f>IF(E29&lt;&gt;0,SUMIF($G$11:$G29,"&gt;"&amp;$G29-1/24,E$11:E29),0)</f>
        <v>0</v>
      </c>
      <c r="L29">
        <f t="shared" si="4"/>
        <v>1</v>
      </c>
      <c r="N29" t="str">
        <f t="shared" si="5"/>
        <v>INT</v>
      </c>
      <c r="O29" s="7">
        <f t="shared" si="2"/>
        <v>0.52083333333333337</v>
      </c>
      <c r="P29">
        <f t="shared" si="6"/>
        <v>641</v>
      </c>
      <c r="Q29">
        <f t="shared" si="7"/>
        <v>641</v>
      </c>
    </row>
    <row r="30" spans="1:21" x14ac:dyDescent="0.25">
      <c r="A30" s="9">
        <v>0.53125</v>
      </c>
      <c r="B30" s="49"/>
      <c r="C30" s="49">
        <v>638</v>
      </c>
      <c r="D30" s="49"/>
      <c r="G30" s="7">
        <f t="shared" si="8"/>
        <v>0.53125</v>
      </c>
      <c r="H30">
        <f>IF(B30&lt;&gt;0,SUMIF($G$11:$G30,"&gt;"&amp;$G30-1/24,B$11:B30),0)</f>
        <v>0</v>
      </c>
      <c r="I30">
        <f>IF(C30&lt;&gt;0,SUMIF($G$11:$G30,"&gt;"&amp;$G30-1/24,C$11:C30),0)</f>
        <v>2568</v>
      </c>
      <c r="J30">
        <f>IF(D30&lt;&gt;0,SUMIF($G$11:$G30,"&gt;"&amp;$G30-1/24,D$11:D30),0)</f>
        <v>0</v>
      </c>
      <c r="K30">
        <f>IF(E30&lt;&gt;0,SUMIF($G$11:$G30,"&gt;"&amp;$G30-1/24,E$11:E30),0)</f>
        <v>0</v>
      </c>
      <c r="L30">
        <f t="shared" si="4"/>
        <v>1</v>
      </c>
      <c r="N30" t="str">
        <f t="shared" si="5"/>
        <v>INT</v>
      </c>
      <c r="O30" s="7">
        <f t="shared" si="2"/>
        <v>0.53125</v>
      </c>
      <c r="P30">
        <f t="shared" si="6"/>
        <v>638</v>
      </c>
      <c r="Q30">
        <f t="shared" si="7"/>
        <v>638</v>
      </c>
    </row>
    <row r="31" spans="1:21" x14ac:dyDescent="0.25">
      <c r="A31" s="9">
        <v>0.54166666666666663</v>
      </c>
      <c r="B31" s="49"/>
      <c r="C31" s="49">
        <v>641</v>
      </c>
      <c r="D31" s="49"/>
      <c r="G31" s="7">
        <f t="shared" si="8"/>
        <v>0.54166666666666663</v>
      </c>
      <c r="H31">
        <f>IF(B31&lt;&gt;0,SUMIF($G$11:$G31,"&gt;"&amp;$G31-1/24,B$11:B31),0)</f>
        <v>0</v>
      </c>
      <c r="I31">
        <f>IF(C31&lt;&gt;0,SUMIF($G$11:$G31,"&gt;"&amp;$G31-1/24,C$11:C31),0)</f>
        <v>2586</v>
      </c>
      <c r="J31">
        <f>IF(D31&lt;&gt;0,SUMIF($G$11:$G31,"&gt;"&amp;$G31-1/24,D$11:D31),0)</f>
        <v>0</v>
      </c>
      <c r="K31">
        <f>IF(E31&lt;&gt;0,SUMIF($G$11:$G31,"&gt;"&amp;$G31-1/24,E$11:E31),0)</f>
        <v>0</v>
      </c>
      <c r="L31">
        <f t="shared" si="4"/>
        <v>1</v>
      </c>
      <c r="N31" t="str">
        <f t="shared" si="5"/>
        <v>INT</v>
      </c>
      <c r="O31" s="7">
        <f t="shared" si="2"/>
        <v>0.54166666666666663</v>
      </c>
      <c r="P31">
        <f t="shared" si="6"/>
        <v>641</v>
      </c>
      <c r="Q31">
        <f t="shared" si="7"/>
        <v>641</v>
      </c>
    </row>
    <row r="32" spans="1:21" x14ac:dyDescent="0.25">
      <c r="A32" s="9">
        <v>0.55208333333333337</v>
      </c>
      <c r="B32" s="49"/>
      <c r="C32" s="49">
        <v>726</v>
      </c>
      <c r="D32" s="49"/>
      <c r="G32" s="7">
        <f t="shared" si="8"/>
        <v>0.55208333333333337</v>
      </c>
      <c r="H32">
        <f>IF(B32&lt;&gt;0,SUMIF($G$11:$G32,"&gt;"&amp;$G32-1/24,B$11:B32),0)</f>
        <v>0</v>
      </c>
      <c r="I32">
        <f>IF(C32&lt;&gt;0,SUMIF($G$11:$G32,"&gt;"&amp;$G32-1/24,C$11:C32),0)</f>
        <v>2646</v>
      </c>
      <c r="J32">
        <f>IF(D32&lt;&gt;0,SUMIF($G$11:$G32,"&gt;"&amp;$G32-1/24,D$11:D32),0)</f>
        <v>0</v>
      </c>
      <c r="K32">
        <f>IF(E32&lt;&gt;0,SUMIF($G$11:$G32,"&gt;"&amp;$G32-1/24,E$11:E32),0)</f>
        <v>0</v>
      </c>
      <c r="L32">
        <f t="shared" si="4"/>
        <v>1</v>
      </c>
      <c r="N32" t="str">
        <f t="shared" si="5"/>
        <v>INT</v>
      </c>
      <c r="O32" s="7">
        <f t="shared" si="2"/>
        <v>0.55208333333333337</v>
      </c>
      <c r="P32">
        <f t="shared" si="6"/>
        <v>726</v>
      </c>
      <c r="Q32">
        <f t="shared" si="7"/>
        <v>726</v>
      </c>
    </row>
    <row r="33" spans="1:17" x14ac:dyDescent="0.25">
      <c r="A33" s="9">
        <v>0.5625</v>
      </c>
      <c r="B33" s="49"/>
      <c r="C33" s="49">
        <v>635</v>
      </c>
      <c r="D33" s="49"/>
      <c r="G33" s="7">
        <f t="shared" si="8"/>
        <v>0.5625</v>
      </c>
      <c r="H33">
        <f>IF(B33&lt;&gt;0,SUMIF($G$11:$G33,"&gt;"&amp;$G33-1/24,B$11:B33),0)</f>
        <v>0</v>
      </c>
      <c r="I33">
        <f>IF(C33&lt;&gt;0,SUMIF($G$11:$G33,"&gt;"&amp;$G33-1/24,C$11:C33),0)</f>
        <v>2640</v>
      </c>
      <c r="J33">
        <f>IF(D33&lt;&gt;0,SUMIF($G$11:$G33,"&gt;"&amp;$G33-1/24,D$11:D33),0)</f>
        <v>0</v>
      </c>
      <c r="K33">
        <f>IF(E33&lt;&gt;0,SUMIF($G$11:$G33,"&gt;"&amp;$G33-1/24,E$11:E33),0)</f>
        <v>0</v>
      </c>
      <c r="L33">
        <f t="shared" si="4"/>
        <v>0</v>
      </c>
      <c r="N33" t="str">
        <f t="shared" si="5"/>
        <v>INT</v>
      </c>
      <c r="O33" s="7">
        <f t="shared" si="2"/>
        <v>0.5625</v>
      </c>
      <c r="P33">
        <f t="shared" si="6"/>
        <v>635</v>
      </c>
      <c r="Q33">
        <f t="shared" si="7"/>
        <v>0</v>
      </c>
    </row>
    <row r="34" spans="1:17" x14ac:dyDescent="0.25">
      <c r="A34" s="9">
        <v>0.57291666666666663</v>
      </c>
      <c r="B34" s="49"/>
      <c r="C34" s="49">
        <v>618</v>
      </c>
      <c r="D34" s="49"/>
      <c r="G34" s="7">
        <f t="shared" si="8"/>
        <v>0.57291666666666663</v>
      </c>
      <c r="H34">
        <f>IF(B34&lt;&gt;0,SUMIF($G$11:$G34,"&gt;"&amp;$G34-1/24,B$11:B34),0)</f>
        <v>0</v>
      </c>
      <c r="I34">
        <f>IF(C34&lt;&gt;0,SUMIF($G$11:$G34,"&gt;"&amp;$G34-1/24,C$11:C34),0)</f>
        <v>2620</v>
      </c>
      <c r="J34">
        <f>IF(D34&lt;&gt;0,SUMIF($G$11:$G34,"&gt;"&amp;$G34-1/24,D$11:D34),0)</f>
        <v>0</v>
      </c>
      <c r="K34">
        <f>IF(E34&lt;&gt;0,SUMIF($G$11:$G34,"&gt;"&amp;$G34-1/24,E$11:E34),0)</f>
        <v>0</v>
      </c>
      <c r="L34">
        <f t="shared" si="4"/>
        <v>0</v>
      </c>
      <c r="N34" t="str">
        <f t="shared" si="5"/>
        <v>INT</v>
      </c>
      <c r="O34" s="7">
        <f t="shared" si="2"/>
        <v>0.57291666666666663</v>
      </c>
      <c r="P34">
        <f t="shared" si="6"/>
        <v>618</v>
      </c>
      <c r="Q34">
        <f t="shared" si="7"/>
        <v>0</v>
      </c>
    </row>
    <row r="35" spans="1:17" x14ac:dyDescent="0.25">
      <c r="A35" s="9">
        <v>0.625</v>
      </c>
      <c r="B35" s="49"/>
      <c r="C35" s="49"/>
      <c r="D35" s="49">
        <v>731</v>
      </c>
      <c r="G35" s="7">
        <f t="shared" si="8"/>
        <v>0.625</v>
      </c>
      <c r="H35">
        <f>IF(B35&lt;&gt;0,SUMIF($G$11:$G35,"&gt;"&amp;$G35-1/24,B$11:B35),0)</f>
        <v>0</v>
      </c>
      <c r="I35">
        <f>IF(C35&lt;&gt;0,SUMIF($G$11:$G35,"&gt;"&amp;$G35-1/24,C$11:C35),0)</f>
        <v>0</v>
      </c>
      <c r="J35">
        <f>IF(D35&lt;&gt;0,SUMIF($G$11:$G35,"&gt;"&amp;$G35-1/24,D$11:D35),0)</f>
        <v>731</v>
      </c>
      <c r="K35">
        <f>IF(E35&lt;&gt;0,SUMIF($G$11:$G35,"&gt;"&amp;$G35-1/24,E$11:E35),0)</f>
        <v>0</v>
      </c>
      <c r="L35">
        <f t="shared" si="4"/>
        <v>0</v>
      </c>
      <c r="N35" t="str">
        <f t="shared" si="5"/>
        <v>PM</v>
      </c>
      <c r="O35" s="7">
        <f t="shared" si="2"/>
        <v>0.625</v>
      </c>
      <c r="P35">
        <f t="shared" si="6"/>
        <v>731</v>
      </c>
      <c r="Q35">
        <f t="shared" si="7"/>
        <v>0</v>
      </c>
    </row>
    <row r="36" spans="1:17" x14ac:dyDescent="0.25">
      <c r="A36" s="9">
        <v>0.63541666666666663</v>
      </c>
      <c r="B36" s="49"/>
      <c r="C36" s="49"/>
      <c r="D36" s="49">
        <v>788</v>
      </c>
      <c r="G36" s="7">
        <f t="shared" si="8"/>
        <v>0.63541666666666663</v>
      </c>
      <c r="H36">
        <f>IF(B36&lt;&gt;0,SUMIF($G$11:$G36,"&gt;"&amp;$G36-1/24,B$11:B36),0)</f>
        <v>0</v>
      </c>
      <c r="I36">
        <f>IF(C36&lt;&gt;0,SUMIF($G$11:$G36,"&gt;"&amp;$G36-1/24,C$11:C36),0)</f>
        <v>0</v>
      </c>
      <c r="J36">
        <f>IF(D36&lt;&gt;0,SUMIF($G$11:$G36,"&gt;"&amp;$G36-1/24,D$11:D36),0)</f>
        <v>1519</v>
      </c>
      <c r="K36">
        <f>IF(E36&lt;&gt;0,SUMIF($G$11:$G36,"&gt;"&amp;$G36-1/24,E$11:E36),0)</f>
        <v>0</v>
      </c>
      <c r="L36">
        <f t="shared" si="4"/>
        <v>0</v>
      </c>
      <c r="N36" t="str">
        <f t="shared" si="5"/>
        <v>PM</v>
      </c>
      <c r="O36" s="7">
        <f t="shared" si="2"/>
        <v>0.63541666666666663</v>
      </c>
      <c r="P36">
        <f t="shared" si="6"/>
        <v>788</v>
      </c>
      <c r="Q36">
        <f t="shared" si="7"/>
        <v>0</v>
      </c>
    </row>
    <row r="37" spans="1:17" x14ac:dyDescent="0.25">
      <c r="A37" s="9">
        <v>0.64583333333333337</v>
      </c>
      <c r="B37" s="49"/>
      <c r="C37" s="49"/>
      <c r="D37" s="49">
        <v>706</v>
      </c>
      <c r="G37" s="7">
        <f t="shared" si="8"/>
        <v>0.64583333333333337</v>
      </c>
      <c r="H37">
        <f>IF(B37&lt;&gt;0,SUMIF($G$11:$G37,"&gt;"&amp;$G37-1/24,B$11:B37),0)</f>
        <v>0</v>
      </c>
      <c r="I37">
        <f>IF(C37&lt;&gt;0,SUMIF($G$11:$G37,"&gt;"&amp;$G37-1/24,C$11:C37),0)</f>
        <v>0</v>
      </c>
      <c r="J37">
        <f>IF(D37&lt;&gt;0,SUMIF($G$11:$G37,"&gt;"&amp;$G37-1/24,D$11:D37),0)</f>
        <v>2225</v>
      </c>
      <c r="K37">
        <f>IF(E37&lt;&gt;0,SUMIF($G$11:$G37,"&gt;"&amp;$G37-1/24,E$11:E37),0)</f>
        <v>0</v>
      </c>
      <c r="L37">
        <f t="shared" si="4"/>
        <v>0</v>
      </c>
      <c r="N37" t="str">
        <f t="shared" si="5"/>
        <v>PM</v>
      </c>
      <c r="O37" s="7">
        <f t="shared" si="2"/>
        <v>0.64583333333333337</v>
      </c>
      <c r="P37">
        <f t="shared" si="6"/>
        <v>706</v>
      </c>
      <c r="Q37">
        <f t="shared" si="7"/>
        <v>0</v>
      </c>
    </row>
    <row r="38" spans="1:17" x14ac:dyDescent="0.25">
      <c r="A38" s="9">
        <v>0.65625</v>
      </c>
      <c r="B38" s="49"/>
      <c r="C38" s="49"/>
      <c r="D38" s="49">
        <v>769</v>
      </c>
      <c r="G38" s="7">
        <f t="shared" si="8"/>
        <v>0.65625</v>
      </c>
      <c r="H38">
        <f>IF(B38&lt;&gt;0,SUMIF($G$11:$G38,"&gt;"&amp;$G38-1/24,B$11:B38),0)</f>
        <v>0</v>
      </c>
      <c r="I38">
        <f>IF(C38&lt;&gt;0,SUMIF($G$11:$G38,"&gt;"&amp;$G38-1/24,C$11:C38),0)</f>
        <v>0</v>
      </c>
      <c r="J38">
        <f>IF(D38&lt;&gt;0,SUMIF($G$11:$G38,"&gt;"&amp;$G38-1/24,D$11:D38),0)</f>
        <v>2994</v>
      </c>
      <c r="K38">
        <f>IF(E38&lt;&gt;0,SUMIF($G$11:$G38,"&gt;"&amp;$G38-1/24,E$11:E38),0)</f>
        <v>0</v>
      </c>
      <c r="L38">
        <f t="shared" si="4"/>
        <v>0</v>
      </c>
      <c r="N38" t="str">
        <f t="shared" si="5"/>
        <v>PM</v>
      </c>
      <c r="O38" s="7">
        <f t="shared" si="2"/>
        <v>0.65625</v>
      </c>
      <c r="P38">
        <f t="shared" si="6"/>
        <v>769</v>
      </c>
      <c r="Q38">
        <f t="shared" si="7"/>
        <v>0</v>
      </c>
    </row>
    <row r="39" spans="1:17" x14ac:dyDescent="0.25">
      <c r="A39" s="9">
        <v>0.66666666666666663</v>
      </c>
      <c r="B39" s="49"/>
      <c r="C39" s="49"/>
      <c r="D39" s="49">
        <v>734</v>
      </c>
      <c r="G39" s="7">
        <f t="shared" si="8"/>
        <v>0.66666666666666663</v>
      </c>
      <c r="H39">
        <f>IF(B39&lt;&gt;0,SUMIF($G$11:$G39,"&gt;"&amp;$G39-1/24,B$11:B39),0)</f>
        <v>0</v>
      </c>
      <c r="I39">
        <f>IF(C39&lt;&gt;0,SUMIF($G$11:$G39,"&gt;"&amp;$G39-1/24,C$11:C39),0)</f>
        <v>0</v>
      </c>
      <c r="J39">
        <f>IF(D39&lt;&gt;0,SUMIF($G$11:$G39,"&gt;"&amp;$G39-1/24,D$11:D39),0)</f>
        <v>2997</v>
      </c>
      <c r="K39">
        <f>IF(E39&lt;&gt;0,SUMIF($G$11:$G39,"&gt;"&amp;$G39-1/24,E$11:E39),0)</f>
        <v>0</v>
      </c>
      <c r="L39">
        <f t="shared" si="4"/>
        <v>0</v>
      </c>
      <c r="N39" t="str">
        <f t="shared" si="5"/>
        <v>PM</v>
      </c>
      <c r="O39" s="7">
        <f t="shared" si="2"/>
        <v>0.66666666666666663</v>
      </c>
      <c r="P39">
        <f t="shared" si="6"/>
        <v>734</v>
      </c>
      <c r="Q39">
        <f t="shared" si="7"/>
        <v>0</v>
      </c>
    </row>
    <row r="40" spans="1:17" x14ac:dyDescent="0.25">
      <c r="A40" s="9">
        <v>0.67708333333333337</v>
      </c>
      <c r="B40" s="49"/>
      <c r="C40" s="49"/>
      <c r="D40" s="49">
        <v>766</v>
      </c>
      <c r="G40" s="7">
        <f t="shared" si="8"/>
        <v>0.67708333333333337</v>
      </c>
      <c r="H40">
        <f>IF(B40&lt;&gt;0,SUMIF($G$11:$G40,"&gt;"&amp;$G40-1/24,B$11:B40),0)</f>
        <v>0</v>
      </c>
      <c r="I40">
        <f>IF(C40&lt;&gt;0,SUMIF($G$11:$G40,"&gt;"&amp;$G40-1/24,C$11:C40),0)</f>
        <v>0</v>
      </c>
      <c r="J40">
        <f>IF(D40&lt;&gt;0,SUMIF($G$11:$G40,"&gt;"&amp;$G40-1/24,D$11:D40),0)</f>
        <v>2975</v>
      </c>
      <c r="K40">
        <f>IF(E40&lt;&gt;0,SUMIF($G$11:$G40,"&gt;"&amp;$G40-1/24,E$11:E40),0)</f>
        <v>0</v>
      </c>
      <c r="L40">
        <f t="shared" si="4"/>
        <v>0</v>
      </c>
      <c r="N40" t="str">
        <f t="shared" si="5"/>
        <v>PM</v>
      </c>
      <c r="O40" s="7">
        <f t="shared" si="2"/>
        <v>0.67708333333333337</v>
      </c>
      <c r="P40">
        <f t="shared" si="6"/>
        <v>766</v>
      </c>
      <c r="Q40">
        <f t="shared" si="7"/>
        <v>0</v>
      </c>
    </row>
    <row r="41" spans="1:17" x14ac:dyDescent="0.25">
      <c r="A41" s="9">
        <v>0.6875</v>
      </c>
      <c r="B41" s="49"/>
      <c r="C41" s="49"/>
      <c r="D41" s="49">
        <v>884</v>
      </c>
      <c r="G41" s="7">
        <f t="shared" si="8"/>
        <v>0.6875</v>
      </c>
      <c r="H41">
        <f>IF(B41&lt;&gt;0,SUMIF($G$11:$G41,"&gt;"&amp;$G41-1/24,B$11:B41),0)</f>
        <v>0</v>
      </c>
      <c r="I41">
        <f>IF(C41&lt;&gt;0,SUMIF($G$11:$G41,"&gt;"&amp;$G41-1/24,C$11:C41),0)</f>
        <v>0</v>
      </c>
      <c r="J41">
        <f>IF(D41&lt;&gt;0,SUMIF($G$11:$G41,"&gt;"&amp;$G41-1/24,D$11:D41),0)</f>
        <v>3153</v>
      </c>
      <c r="K41">
        <f>IF(E41&lt;&gt;0,SUMIF($G$11:$G41,"&gt;"&amp;$G41-1/24,E$11:E41),0)</f>
        <v>0</v>
      </c>
      <c r="L41">
        <f t="shared" si="4"/>
        <v>1</v>
      </c>
      <c r="N41" t="str">
        <f t="shared" si="5"/>
        <v>PM</v>
      </c>
      <c r="O41" s="7">
        <f t="shared" si="2"/>
        <v>0.6875</v>
      </c>
      <c r="P41">
        <f t="shared" si="6"/>
        <v>884</v>
      </c>
      <c r="Q41">
        <f t="shared" si="7"/>
        <v>884</v>
      </c>
    </row>
    <row r="42" spans="1:17" x14ac:dyDescent="0.25">
      <c r="A42" s="9">
        <v>0.69791666666666663</v>
      </c>
      <c r="B42" s="49"/>
      <c r="C42" s="49"/>
      <c r="D42" s="49">
        <v>854</v>
      </c>
      <c r="G42" s="7">
        <f t="shared" si="8"/>
        <v>0.69791666666666663</v>
      </c>
      <c r="H42">
        <f>IF(B42&lt;&gt;0,SUMIF($G$11:$G42,"&gt;"&amp;$G42-1/24,B$11:B42),0)</f>
        <v>0</v>
      </c>
      <c r="I42">
        <f>IF(C42&lt;&gt;0,SUMIF($G$11:$G42,"&gt;"&amp;$G42-1/24,C$11:C42),0)</f>
        <v>0</v>
      </c>
      <c r="J42">
        <f>IF(D42&lt;&gt;0,SUMIF($G$11:$G42,"&gt;"&amp;$G42-1/24,D$11:D42),0)</f>
        <v>3238</v>
      </c>
      <c r="K42">
        <f>IF(E42&lt;&gt;0,SUMIF($G$11:$G42,"&gt;"&amp;$G42-1/24,E$11:E42),0)</f>
        <v>0</v>
      </c>
      <c r="L42">
        <f t="shared" si="4"/>
        <v>1</v>
      </c>
      <c r="N42" t="str">
        <f t="shared" si="5"/>
        <v>PM</v>
      </c>
      <c r="O42" s="7">
        <f t="shared" si="2"/>
        <v>0.69791666666666663</v>
      </c>
      <c r="P42">
        <f t="shared" si="6"/>
        <v>854</v>
      </c>
      <c r="Q42">
        <f t="shared" si="7"/>
        <v>854</v>
      </c>
    </row>
    <row r="43" spans="1:17" x14ac:dyDescent="0.25">
      <c r="A43" s="9">
        <v>0.70833333333333337</v>
      </c>
      <c r="B43" s="49"/>
      <c r="C43" s="49"/>
      <c r="D43" s="49">
        <v>844</v>
      </c>
      <c r="G43" s="7">
        <f t="shared" si="8"/>
        <v>0.70833333333333337</v>
      </c>
      <c r="H43">
        <f>IF(B43&lt;&gt;0,SUMIF($G$11:$G43,"&gt;"&amp;$G43-1/24,B$11:B43),0)</f>
        <v>0</v>
      </c>
      <c r="I43">
        <f>IF(C43&lt;&gt;0,SUMIF($G$11:$G43,"&gt;"&amp;$G43-1/24,C$11:C43),0)</f>
        <v>0</v>
      </c>
      <c r="J43">
        <f>IF(D43&lt;&gt;0,SUMIF($G$11:$G43,"&gt;"&amp;$G43-1/24,D$11:D43),0)</f>
        <v>3348</v>
      </c>
      <c r="K43">
        <f>IF(E43&lt;&gt;0,SUMIF($G$11:$G43,"&gt;"&amp;$G43-1/24,E$11:E43),0)</f>
        <v>0</v>
      </c>
      <c r="L43">
        <f t="shared" si="4"/>
        <v>1</v>
      </c>
      <c r="N43" t="str">
        <f t="shared" si="5"/>
        <v>PM</v>
      </c>
      <c r="O43" s="7">
        <f t="shared" si="2"/>
        <v>0.70833333333333337</v>
      </c>
      <c r="P43">
        <f t="shared" si="6"/>
        <v>844</v>
      </c>
      <c r="Q43">
        <f t="shared" si="7"/>
        <v>844</v>
      </c>
    </row>
    <row r="44" spans="1:17" x14ac:dyDescent="0.25">
      <c r="A44" s="9">
        <v>0.71875</v>
      </c>
      <c r="B44" s="49"/>
      <c r="C44" s="49"/>
      <c r="D44" s="49">
        <v>855</v>
      </c>
      <c r="G44" s="7">
        <f t="shared" si="8"/>
        <v>0.71875</v>
      </c>
      <c r="H44">
        <f>IF(B44&lt;&gt;0,SUMIF($G$11:$G44,"&gt;"&amp;$G44-1/24,B$11:B44),0)</f>
        <v>0</v>
      </c>
      <c r="I44">
        <f>IF(C44&lt;&gt;0,SUMIF($G$11:$G44,"&gt;"&amp;$G44-1/24,C$11:C44),0)</f>
        <v>0</v>
      </c>
      <c r="J44">
        <f>IF(D44&lt;&gt;0,SUMIF($G$11:$G44,"&gt;"&amp;$G44-1/24,D$11:D44),0)</f>
        <v>3437</v>
      </c>
      <c r="K44">
        <f>IF(E44&lt;&gt;0,SUMIF($G$11:$G44,"&gt;"&amp;$G44-1/24,E$11:E44),0)</f>
        <v>0</v>
      </c>
      <c r="L44">
        <f t="shared" si="4"/>
        <v>1</v>
      </c>
      <c r="N44" t="str">
        <f t="shared" si="5"/>
        <v>PM</v>
      </c>
      <c r="O44" s="7">
        <f t="shared" si="2"/>
        <v>0.71875</v>
      </c>
      <c r="P44">
        <f t="shared" si="6"/>
        <v>855</v>
      </c>
      <c r="Q44">
        <f t="shared" si="7"/>
        <v>855</v>
      </c>
    </row>
    <row r="45" spans="1:17" x14ac:dyDescent="0.25">
      <c r="A45" s="9">
        <v>0.72916666666666663</v>
      </c>
      <c r="B45" s="49"/>
      <c r="C45" s="49"/>
      <c r="D45" s="49">
        <v>823</v>
      </c>
      <c r="G45" s="7">
        <f t="shared" si="8"/>
        <v>0.72916666666666663</v>
      </c>
      <c r="H45">
        <f>IF(B45&lt;&gt;0,SUMIF($G$11:$G45,"&gt;"&amp;$G45-1/24,B$11:B45),0)</f>
        <v>0</v>
      </c>
      <c r="I45">
        <f>IF(C45&lt;&gt;0,SUMIF($G$11:$G45,"&gt;"&amp;$G45-1/24,C$11:C45),0)</f>
        <v>0</v>
      </c>
      <c r="J45">
        <f>IF(D45&lt;&gt;0,SUMIF($G$11:$G45,"&gt;"&amp;$G45-1/24,D$11:D45),0)</f>
        <v>3376</v>
      </c>
      <c r="K45">
        <f>IF(E45&lt;&gt;0,SUMIF($G$11:$G45,"&gt;"&amp;$G45-1/24,E$11:E45),0)</f>
        <v>0</v>
      </c>
      <c r="L45">
        <f t="shared" si="4"/>
        <v>0</v>
      </c>
      <c r="N45" t="str">
        <f t="shared" si="5"/>
        <v>PM</v>
      </c>
      <c r="O45" s="7">
        <f t="shared" si="2"/>
        <v>0.72916666666666663</v>
      </c>
      <c r="P45">
        <f t="shared" si="6"/>
        <v>823</v>
      </c>
      <c r="Q45">
        <f t="shared" si="7"/>
        <v>0</v>
      </c>
    </row>
    <row r="46" spans="1:17" x14ac:dyDescent="0.25">
      <c r="A46" s="9">
        <v>0.73958333333333337</v>
      </c>
      <c r="B46" s="49"/>
      <c r="C46" s="49"/>
      <c r="D46" s="49">
        <v>702</v>
      </c>
      <c r="G46" s="7">
        <f t="shared" si="8"/>
        <v>0.73958333333333337</v>
      </c>
      <c r="H46">
        <f>IF(B46&lt;&gt;0,SUMIF($G$11:$G46,"&gt;"&amp;$G46-1/24,B$11:B46),0)</f>
        <v>0</v>
      </c>
      <c r="I46">
        <f>IF(C46&lt;&gt;0,SUMIF($G$11:$G46,"&gt;"&amp;$G46-1/24,C$11:C46),0)</f>
        <v>0</v>
      </c>
      <c r="J46">
        <f>IF(D46&lt;&gt;0,SUMIF($G$11:$G46,"&gt;"&amp;$G46-1/24,D$11:D46),0)</f>
        <v>3224</v>
      </c>
      <c r="K46">
        <f>IF(E46&lt;&gt;0,SUMIF($G$11:$G46,"&gt;"&amp;$G46-1/24,E$11:E46),0)</f>
        <v>0</v>
      </c>
      <c r="L46">
        <f t="shared" si="4"/>
        <v>0</v>
      </c>
      <c r="N46" t="str">
        <f t="shared" si="5"/>
        <v>PM</v>
      </c>
      <c r="O46" s="7">
        <f t="shared" si="2"/>
        <v>0.73958333333333337</v>
      </c>
      <c r="P46">
        <f t="shared" si="6"/>
        <v>702</v>
      </c>
      <c r="Q46">
        <f t="shared" si="7"/>
        <v>0</v>
      </c>
    </row>
    <row r="47" spans="1:17" x14ac:dyDescent="0.25">
      <c r="A47" s="9">
        <v>0.75</v>
      </c>
      <c r="B47" s="49"/>
      <c r="C47" s="49"/>
      <c r="D47" s="49">
        <v>578</v>
      </c>
      <c r="G47" s="7">
        <f t="shared" si="8"/>
        <v>0.75</v>
      </c>
      <c r="H47">
        <f>IF(B47&lt;&gt;0,SUMIF($G$11:$G47,"&gt;"&amp;$G47-1/24,B$11:B47),0)</f>
        <v>0</v>
      </c>
      <c r="I47">
        <f>IF(C47&lt;&gt;0,SUMIF($G$11:$G47,"&gt;"&amp;$G47-1/24,C$11:C47),0)</f>
        <v>0</v>
      </c>
      <c r="J47">
        <f>IF(D47&lt;&gt;0,SUMIF($G$11:$G47,"&gt;"&amp;$G47-1/24,D$11:D47),0)</f>
        <v>2958</v>
      </c>
      <c r="K47">
        <f>IF(E47&lt;&gt;0,SUMIF($G$11:$G47,"&gt;"&amp;$G47-1/24,E$11:E47),0)</f>
        <v>0</v>
      </c>
      <c r="L47">
        <f t="shared" si="4"/>
        <v>0</v>
      </c>
      <c r="N47" t="str">
        <f t="shared" si="5"/>
        <v>PM</v>
      </c>
      <c r="O47" s="7">
        <f t="shared" si="2"/>
        <v>0.75</v>
      </c>
      <c r="P47">
        <f t="shared" si="6"/>
        <v>578</v>
      </c>
      <c r="Q47">
        <f t="shared" si="7"/>
        <v>0</v>
      </c>
    </row>
    <row r="48" spans="1:17" x14ac:dyDescent="0.25">
      <c r="A48" s="9">
        <v>0.76041666666666663</v>
      </c>
      <c r="B48" s="49"/>
      <c r="C48" s="49"/>
      <c r="D48" s="49">
        <v>540</v>
      </c>
      <c r="G48" s="7">
        <f t="shared" si="8"/>
        <v>0.76041666666666663</v>
      </c>
      <c r="H48">
        <f>IF(B48&lt;&gt;0,SUMIF($G$11:$G48,"&gt;"&amp;$G48-1/24,B$11:B48),0)</f>
        <v>0</v>
      </c>
      <c r="I48">
        <f>IF(C48&lt;&gt;0,SUMIF($G$11:$G48,"&gt;"&amp;$G48-1/24,C$11:C48),0)</f>
        <v>0</v>
      </c>
      <c r="J48">
        <f>IF(D48&lt;&gt;0,SUMIF($G$11:$G48,"&gt;"&amp;$G48-1/24,D$11:D48),0)</f>
        <v>2643</v>
      </c>
      <c r="K48">
        <f>IF(E48&lt;&gt;0,SUMIF($G$11:$G48,"&gt;"&amp;$G48-1/24,E$11:E48),0)</f>
        <v>0</v>
      </c>
      <c r="L48">
        <f t="shared" si="4"/>
        <v>0</v>
      </c>
      <c r="N48" t="str">
        <f t="shared" si="5"/>
        <v>PM</v>
      </c>
      <c r="O48" s="7">
        <f t="shared" si="2"/>
        <v>0.76041666666666663</v>
      </c>
      <c r="P48">
        <f t="shared" si="6"/>
        <v>540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308</v>
      </c>
      <c r="E5" t="str">
        <f>"Vehicle Count by Exit Leg for "&amp;C2&amp;" Period"</f>
        <v>Vehicle Count by Exit Leg for AM Period</v>
      </c>
    </row>
    <row r="6" spans="2:5" x14ac:dyDescent="0.25">
      <c r="B6" s="9">
        <v>0.28125</v>
      </c>
      <c r="C6" s="49">
        <v>374</v>
      </c>
    </row>
    <row r="7" spans="2:5" x14ac:dyDescent="0.25">
      <c r="B7" s="9">
        <v>0.29166666666666669</v>
      </c>
      <c r="C7" s="49">
        <v>430</v>
      </c>
    </row>
    <row r="8" spans="2:5" x14ac:dyDescent="0.25">
      <c r="B8" s="9">
        <v>0.30208333333333331</v>
      </c>
      <c r="C8" s="49">
        <v>562</v>
      </c>
    </row>
    <row r="9" spans="2:5" x14ac:dyDescent="0.25">
      <c r="B9" s="9">
        <v>0.3125</v>
      </c>
      <c r="C9" s="49">
        <v>723</v>
      </c>
    </row>
    <row r="10" spans="2:5" x14ac:dyDescent="0.25">
      <c r="B10" s="9">
        <v>0.32291666666666669</v>
      </c>
      <c r="C10" s="49">
        <v>804</v>
      </c>
    </row>
    <row r="11" spans="2:5" x14ac:dyDescent="0.25">
      <c r="B11" s="9">
        <v>0.33333333333333331</v>
      </c>
      <c r="C11" s="49">
        <v>783</v>
      </c>
    </row>
    <row r="12" spans="2:5" x14ac:dyDescent="0.25">
      <c r="B12" s="9">
        <v>0.34375</v>
      </c>
      <c r="C12" s="49">
        <v>835</v>
      </c>
    </row>
    <row r="13" spans="2:5" x14ac:dyDescent="0.25">
      <c r="B13" s="9">
        <v>0.35416666666666669</v>
      </c>
      <c r="C13" s="49">
        <v>796</v>
      </c>
    </row>
    <row r="14" spans="2:5" x14ac:dyDescent="0.25">
      <c r="B14" s="9">
        <v>0.36458333333333331</v>
      </c>
      <c r="C14" s="49">
        <v>755</v>
      </c>
    </row>
    <row r="15" spans="2:5" x14ac:dyDescent="0.25">
      <c r="B15" s="9">
        <v>0.375</v>
      </c>
      <c r="C15" s="49">
        <v>599</v>
      </c>
    </row>
    <row r="16" spans="2:5" x14ac:dyDescent="0.25">
      <c r="B16" s="9">
        <v>0.38541666666666669</v>
      </c>
      <c r="C16" s="49">
        <v>564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5703125" bestFit="1" customWidth="1"/>
    <col min="13" max="13" width="20.7109375" bestFit="1" customWidth="1"/>
    <col min="14" max="14" width="19.42578125" bestFit="1" customWidth="1"/>
    <col min="15" max="15" width="5.5703125" customWidth="1"/>
    <col min="16" max="18" width="3.28515625" customWidth="1"/>
    <col min="19" max="19" width="11.28515625" bestFit="1" customWidth="1"/>
    <col min="20" max="21" width="19.5703125" bestFit="1" customWidth="1"/>
    <col min="22" max="22" width="20.7109375" bestFit="1" customWidth="1"/>
    <col min="23" max="23" width="19.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94</v>
      </c>
      <c r="L25" s="25" t="s">
        <v>96</v>
      </c>
      <c r="M25" s="25" t="s">
        <v>95</v>
      </c>
      <c r="N25" s="25" t="s">
        <v>97</v>
      </c>
      <c r="T25" s="25" t="s">
        <v>94</v>
      </c>
      <c r="U25" s="25" t="s">
        <v>96</v>
      </c>
      <c r="V25" s="25" t="s">
        <v>95</v>
      </c>
      <c r="W25" s="25" t="s">
        <v>97</v>
      </c>
      <c r="X25" s="13"/>
    </row>
    <row r="26" spans="2:24" x14ac:dyDescent="0.25">
      <c r="B26" s="9">
        <v>0.27083333333333331</v>
      </c>
      <c r="C26" s="50">
        <v>308</v>
      </c>
      <c r="J26" s="9">
        <v>0.27083333333333331</v>
      </c>
      <c r="K26" s="50">
        <v>146</v>
      </c>
      <c r="L26" s="50">
        <v>55</v>
      </c>
      <c r="M26" s="50">
        <v>47</v>
      </c>
      <c r="N26" s="50">
        <v>60</v>
      </c>
      <c r="S26" s="9">
        <v>0.27083333333333331</v>
      </c>
      <c r="T26" s="50">
        <v>82</v>
      </c>
      <c r="U26" s="50">
        <v>81</v>
      </c>
      <c r="V26" s="50">
        <v>91</v>
      </c>
      <c r="W26" s="50">
        <v>54</v>
      </c>
    </row>
    <row r="27" spans="2:24" x14ac:dyDescent="0.25">
      <c r="B27" s="9">
        <v>0.28125</v>
      </c>
      <c r="C27" s="50">
        <v>374</v>
      </c>
      <c r="J27" s="9">
        <v>0.28125</v>
      </c>
      <c r="K27" s="50">
        <v>203</v>
      </c>
      <c r="L27" s="50">
        <v>37</v>
      </c>
      <c r="M27" s="50">
        <v>45</v>
      </c>
      <c r="N27" s="50">
        <v>89</v>
      </c>
      <c r="S27" s="9">
        <v>0.28125</v>
      </c>
      <c r="T27" s="50">
        <v>88</v>
      </c>
      <c r="U27" s="50">
        <v>101</v>
      </c>
      <c r="V27" s="50">
        <v>112</v>
      </c>
      <c r="W27" s="50">
        <v>73</v>
      </c>
    </row>
    <row r="28" spans="2:24" x14ac:dyDescent="0.25">
      <c r="B28" s="9">
        <v>0.29166666666666669</v>
      </c>
      <c r="C28" s="50">
        <v>430</v>
      </c>
      <c r="J28" s="9">
        <v>0.29166666666666669</v>
      </c>
      <c r="K28" s="50">
        <v>209</v>
      </c>
      <c r="L28" s="50">
        <v>57</v>
      </c>
      <c r="M28" s="50">
        <v>68</v>
      </c>
      <c r="N28" s="50">
        <v>96</v>
      </c>
      <c r="S28" s="9">
        <v>0.29166666666666669</v>
      </c>
      <c r="T28" s="50">
        <v>106</v>
      </c>
      <c r="U28" s="50">
        <v>107</v>
      </c>
      <c r="V28" s="50">
        <v>135</v>
      </c>
      <c r="W28" s="50">
        <v>82</v>
      </c>
    </row>
    <row r="29" spans="2:24" x14ac:dyDescent="0.25">
      <c r="B29" s="9">
        <v>0.30208333333333331</v>
      </c>
      <c r="C29" s="50">
        <v>562</v>
      </c>
      <c r="J29" s="9">
        <v>0.30208333333333331</v>
      </c>
      <c r="K29" s="50">
        <v>275</v>
      </c>
      <c r="L29" s="50">
        <v>95</v>
      </c>
      <c r="M29" s="50">
        <v>75</v>
      </c>
      <c r="N29" s="50">
        <v>117</v>
      </c>
      <c r="S29" s="9">
        <v>0.30208333333333331</v>
      </c>
      <c r="T29" s="50">
        <v>160</v>
      </c>
      <c r="U29" s="50">
        <v>125</v>
      </c>
      <c r="V29" s="50">
        <v>167</v>
      </c>
      <c r="W29" s="50">
        <v>110</v>
      </c>
    </row>
    <row r="30" spans="2:24" x14ac:dyDescent="0.25">
      <c r="B30" s="9">
        <v>0.3125</v>
      </c>
      <c r="C30" s="50">
        <v>723</v>
      </c>
      <c r="J30" s="9">
        <v>0.3125</v>
      </c>
      <c r="K30" s="50">
        <v>385</v>
      </c>
      <c r="L30" s="50">
        <v>115</v>
      </c>
      <c r="M30" s="50">
        <v>86</v>
      </c>
      <c r="N30" s="50">
        <v>137</v>
      </c>
      <c r="S30" s="9">
        <v>0.3125</v>
      </c>
      <c r="T30" s="50">
        <v>185</v>
      </c>
      <c r="U30" s="50">
        <v>195</v>
      </c>
      <c r="V30" s="50">
        <v>218</v>
      </c>
      <c r="W30" s="50">
        <v>125</v>
      </c>
    </row>
    <row r="31" spans="2:24" x14ac:dyDescent="0.25">
      <c r="B31" s="9">
        <v>0.32291666666666669</v>
      </c>
      <c r="C31" s="50">
        <v>804</v>
      </c>
      <c r="J31" s="9">
        <v>0.32291666666666669</v>
      </c>
      <c r="K31" s="50">
        <v>392</v>
      </c>
      <c r="L31" s="50">
        <v>118</v>
      </c>
      <c r="M31" s="50">
        <v>121</v>
      </c>
      <c r="N31" s="50">
        <v>173</v>
      </c>
      <c r="S31" s="9">
        <v>0.32291666666666669</v>
      </c>
      <c r="T31" s="50">
        <v>201</v>
      </c>
      <c r="U31" s="50">
        <v>191</v>
      </c>
      <c r="V31" s="50">
        <v>257</v>
      </c>
      <c r="W31" s="50">
        <v>155</v>
      </c>
    </row>
    <row r="32" spans="2:24" x14ac:dyDescent="0.25">
      <c r="B32" s="9">
        <v>0.33333333333333331</v>
      </c>
      <c r="C32" s="50">
        <v>783</v>
      </c>
      <c r="J32" s="9">
        <v>0.33333333333333331</v>
      </c>
      <c r="K32" s="50">
        <v>368</v>
      </c>
      <c r="L32" s="50">
        <v>125</v>
      </c>
      <c r="M32" s="50">
        <v>89</v>
      </c>
      <c r="N32" s="50">
        <v>201</v>
      </c>
      <c r="S32" s="9">
        <v>0.33333333333333331</v>
      </c>
      <c r="T32" s="50">
        <v>210</v>
      </c>
      <c r="U32" s="50">
        <v>179</v>
      </c>
      <c r="V32" s="50">
        <v>261</v>
      </c>
      <c r="W32" s="50">
        <v>133</v>
      </c>
    </row>
    <row r="33" spans="2:23" x14ac:dyDescent="0.25">
      <c r="B33" s="9">
        <v>0.34375</v>
      </c>
      <c r="C33" s="50">
        <v>835</v>
      </c>
      <c r="J33" s="9">
        <v>0.34375</v>
      </c>
      <c r="K33" s="50">
        <v>399</v>
      </c>
      <c r="L33" s="50">
        <v>157</v>
      </c>
      <c r="M33" s="50">
        <v>116</v>
      </c>
      <c r="N33" s="50">
        <v>163</v>
      </c>
      <c r="S33" s="9">
        <v>0.34375</v>
      </c>
      <c r="T33" s="50">
        <v>242</v>
      </c>
      <c r="U33" s="50">
        <v>193</v>
      </c>
      <c r="V33" s="50">
        <v>238</v>
      </c>
      <c r="W33" s="50">
        <v>162</v>
      </c>
    </row>
    <row r="34" spans="2:23" x14ac:dyDescent="0.25">
      <c r="B34" s="9">
        <v>0.35416666666666669</v>
      </c>
      <c r="C34" s="50">
        <v>796</v>
      </c>
      <c r="J34" s="9">
        <v>0.35416666666666669</v>
      </c>
      <c r="K34" s="50">
        <v>429</v>
      </c>
      <c r="L34" s="50">
        <v>112</v>
      </c>
      <c r="M34" s="50">
        <v>105</v>
      </c>
      <c r="N34" s="50">
        <v>150</v>
      </c>
      <c r="S34" s="9">
        <v>0.35416666666666669</v>
      </c>
      <c r="T34" s="50">
        <v>196</v>
      </c>
      <c r="U34" s="50">
        <v>196</v>
      </c>
      <c r="V34" s="50">
        <v>231</v>
      </c>
      <c r="W34" s="50">
        <v>173</v>
      </c>
    </row>
    <row r="35" spans="2:23" x14ac:dyDescent="0.25">
      <c r="B35" s="9">
        <v>0.36458333333333331</v>
      </c>
      <c r="C35" s="50">
        <v>755</v>
      </c>
      <c r="J35" s="9">
        <v>0.36458333333333331</v>
      </c>
      <c r="K35" s="50">
        <v>380</v>
      </c>
      <c r="L35" s="50">
        <v>127</v>
      </c>
      <c r="M35" s="50">
        <v>96</v>
      </c>
      <c r="N35" s="50">
        <v>152</v>
      </c>
      <c r="S35" s="9">
        <v>0.36458333333333331</v>
      </c>
      <c r="T35" s="50">
        <v>194</v>
      </c>
      <c r="U35" s="50">
        <v>179</v>
      </c>
      <c r="V35" s="50">
        <v>230</v>
      </c>
      <c r="W35" s="50">
        <v>152</v>
      </c>
    </row>
    <row r="36" spans="2:23" x14ac:dyDescent="0.25">
      <c r="B36" s="9">
        <v>0.375</v>
      </c>
      <c r="C36" s="50">
        <v>599</v>
      </c>
      <c r="J36" s="9">
        <v>0.375</v>
      </c>
      <c r="K36" s="50">
        <v>291</v>
      </c>
      <c r="L36" s="50">
        <v>78</v>
      </c>
      <c r="M36" s="50">
        <v>91</v>
      </c>
      <c r="N36" s="50">
        <v>139</v>
      </c>
      <c r="S36" s="9">
        <v>0.375</v>
      </c>
      <c r="T36" s="50">
        <v>165</v>
      </c>
      <c r="U36" s="50">
        <v>130</v>
      </c>
      <c r="V36" s="50">
        <v>162</v>
      </c>
      <c r="W36" s="50">
        <v>142</v>
      </c>
    </row>
    <row r="37" spans="2:23" x14ac:dyDescent="0.25">
      <c r="B37" s="9">
        <v>0.38541666666666669</v>
      </c>
      <c r="C37" s="50">
        <v>564</v>
      </c>
      <c r="J37" s="9">
        <v>0.38541666666666669</v>
      </c>
      <c r="K37" s="50">
        <v>230</v>
      </c>
      <c r="L37" s="50">
        <v>126</v>
      </c>
      <c r="M37" s="50">
        <v>66</v>
      </c>
      <c r="N37" s="50">
        <v>142</v>
      </c>
      <c r="S37" s="9">
        <v>0.38541666666666669</v>
      </c>
      <c r="T37" s="50">
        <v>176</v>
      </c>
      <c r="U37" s="50">
        <v>109</v>
      </c>
      <c r="V37" s="50">
        <v>168</v>
      </c>
      <c r="W37" s="50">
        <v>111</v>
      </c>
    </row>
    <row r="38" spans="2:23" x14ac:dyDescent="0.25">
      <c r="B38" s="9" t="s">
        <v>49</v>
      </c>
      <c r="C38" s="50">
        <v>7533</v>
      </c>
      <c r="J38" s="9" t="s">
        <v>49</v>
      </c>
      <c r="K38" s="50">
        <v>3707</v>
      </c>
      <c r="L38" s="50">
        <v>1202</v>
      </c>
      <c r="M38" s="50">
        <v>1005</v>
      </c>
      <c r="N38" s="50">
        <v>1619</v>
      </c>
      <c r="S38" s="9" t="s">
        <v>49</v>
      </c>
      <c r="T38" s="50">
        <v>2005</v>
      </c>
      <c r="U38" s="50">
        <v>1786</v>
      </c>
      <c r="V38" s="50">
        <v>2270</v>
      </c>
      <c r="W38" s="50">
        <v>1472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48"/>
  <sheetViews>
    <sheetView showGridLines="0" workbookViewId="0"/>
  </sheetViews>
  <sheetFormatPr defaultRowHeight="15" x14ac:dyDescent="0.25"/>
  <cols>
    <col min="1" max="1" width="3.7109375" customWidth="1"/>
    <col min="2" max="2" width="31.4257812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3218 vehicles between 07:45 and 08:45</v>
      </c>
    </row>
    <row r="5" spans="2:2" x14ac:dyDescent="0.25">
      <c r="B5" s="6" t="str">
        <f>PeakCalc!I8</f>
        <v>The peak hour for INT is 2646 vehicles between 12:30 and 13:30</v>
      </c>
    </row>
    <row r="6" spans="2:2" x14ac:dyDescent="0.25">
      <c r="B6" s="6" t="str">
        <f>PeakCalc!J8</f>
        <v>The peak hour for PM is 3437 vehicles between 16:30 and 17:30</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110</v>
      </c>
      <c r="P30" s="52"/>
      <c r="Q30" s="52"/>
      <c r="R30" s="52"/>
      <c r="S30" s="52"/>
      <c r="T30" s="51" t="s">
        <v>128</v>
      </c>
    </row>
    <row r="31" spans="2:20" x14ac:dyDescent="0.25">
      <c r="B31" s="25"/>
      <c r="C31" s="24" t="s">
        <v>89</v>
      </c>
      <c r="D31" s="24" t="s">
        <v>90</v>
      </c>
      <c r="E31" s="24" t="s">
        <v>91</v>
      </c>
      <c r="F31" s="24" t="s">
        <v>92</v>
      </c>
      <c r="G31" s="24" t="s">
        <v>93</v>
      </c>
      <c r="H31" s="54"/>
      <c r="I31" s="24" t="s">
        <v>89</v>
      </c>
      <c r="J31" s="24" t="s">
        <v>90</v>
      </c>
      <c r="K31" s="24" t="s">
        <v>91</v>
      </c>
      <c r="L31" s="24" t="s">
        <v>92</v>
      </c>
      <c r="M31" s="24" t="s">
        <v>93</v>
      </c>
      <c r="N31" s="52"/>
      <c r="O31" s="24" t="s">
        <v>89</v>
      </c>
      <c r="P31" s="24" t="s">
        <v>90</v>
      </c>
      <c r="Q31" s="24" t="s">
        <v>91</v>
      </c>
      <c r="R31" s="24" t="s">
        <v>92</v>
      </c>
      <c r="S31" s="24" t="s">
        <v>93</v>
      </c>
      <c r="T31" s="52"/>
    </row>
    <row r="32" spans="2:20" x14ac:dyDescent="0.25">
      <c r="B32" s="10" t="s">
        <v>94</v>
      </c>
      <c r="C32" s="49">
        <v>1555</v>
      </c>
      <c r="D32" s="49">
        <v>5</v>
      </c>
      <c r="E32" s="49">
        <v>16</v>
      </c>
      <c r="F32" s="49">
        <v>1</v>
      </c>
      <c r="G32" s="49">
        <v>11</v>
      </c>
      <c r="H32" s="49">
        <v>1588</v>
      </c>
      <c r="I32" s="49">
        <v>1063</v>
      </c>
      <c r="J32" s="49">
        <v>5</v>
      </c>
      <c r="K32" s="49">
        <v>13</v>
      </c>
      <c r="L32" s="49">
        <v>1</v>
      </c>
      <c r="M32" s="49">
        <v>0</v>
      </c>
      <c r="N32" s="49">
        <v>1082</v>
      </c>
      <c r="O32" s="49">
        <v>930</v>
      </c>
      <c r="P32" s="49">
        <v>22</v>
      </c>
      <c r="Q32" s="49">
        <v>13</v>
      </c>
      <c r="R32" s="49">
        <v>1</v>
      </c>
      <c r="S32" s="49">
        <v>2</v>
      </c>
      <c r="T32" s="49">
        <v>968</v>
      </c>
    </row>
    <row r="33" spans="2:20" x14ac:dyDescent="0.25">
      <c r="B33" s="14" t="s">
        <v>98</v>
      </c>
      <c r="C33" s="49">
        <v>523</v>
      </c>
      <c r="D33" s="49">
        <v>2</v>
      </c>
      <c r="E33" s="49">
        <v>2</v>
      </c>
      <c r="F33" s="49">
        <v>0</v>
      </c>
      <c r="G33" s="49">
        <v>7</v>
      </c>
      <c r="H33" s="49">
        <v>534</v>
      </c>
      <c r="I33" s="49">
        <v>376</v>
      </c>
      <c r="J33" s="49">
        <v>2</v>
      </c>
      <c r="K33" s="49">
        <v>7</v>
      </c>
      <c r="L33" s="49">
        <v>1</v>
      </c>
      <c r="M33" s="49">
        <v>0</v>
      </c>
      <c r="N33" s="49">
        <v>386</v>
      </c>
      <c r="O33" s="49">
        <v>278</v>
      </c>
      <c r="P33" s="49">
        <v>1</v>
      </c>
      <c r="Q33" s="49">
        <v>6</v>
      </c>
      <c r="R33" s="49">
        <v>0</v>
      </c>
      <c r="S33" s="49">
        <v>0</v>
      </c>
      <c r="T33" s="49">
        <v>285</v>
      </c>
    </row>
    <row r="34" spans="2:20" x14ac:dyDescent="0.25">
      <c r="B34" s="14" t="s">
        <v>99</v>
      </c>
      <c r="C34" s="49">
        <v>657</v>
      </c>
      <c r="D34" s="49">
        <v>1</v>
      </c>
      <c r="E34" s="49">
        <v>11</v>
      </c>
      <c r="F34" s="49">
        <v>1</v>
      </c>
      <c r="G34" s="49">
        <v>2</v>
      </c>
      <c r="H34" s="49">
        <v>672</v>
      </c>
      <c r="I34" s="49">
        <v>430</v>
      </c>
      <c r="J34" s="49">
        <v>1</v>
      </c>
      <c r="K34" s="49">
        <v>5</v>
      </c>
      <c r="L34" s="49">
        <v>0</v>
      </c>
      <c r="M34" s="49">
        <v>0</v>
      </c>
      <c r="N34" s="49">
        <v>436</v>
      </c>
      <c r="O34" s="49">
        <v>388</v>
      </c>
      <c r="P34" s="49">
        <v>18</v>
      </c>
      <c r="Q34" s="49">
        <v>4</v>
      </c>
      <c r="R34" s="49">
        <v>1</v>
      </c>
      <c r="S34" s="49">
        <v>1</v>
      </c>
      <c r="T34" s="49">
        <v>412</v>
      </c>
    </row>
    <row r="35" spans="2:20" x14ac:dyDescent="0.25">
      <c r="B35" s="14" t="s">
        <v>100</v>
      </c>
      <c r="C35" s="49">
        <v>375</v>
      </c>
      <c r="D35" s="49">
        <v>2</v>
      </c>
      <c r="E35" s="49">
        <v>3</v>
      </c>
      <c r="F35" s="49">
        <v>0</v>
      </c>
      <c r="G35" s="49">
        <v>2</v>
      </c>
      <c r="H35" s="49">
        <v>382</v>
      </c>
      <c r="I35" s="49">
        <v>257</v>
      </c>
      <c r="J35" s="49">
        <v>2</v>
      </c>
      <c r="K35" s="49">
        <v>1</v>
      </c>
      <c r="L35" s="49">
        <v>0</v>
      </c>
      <c r="M35" s="49">
        <v>0</v>
      </c>
      <c r="N35" s="49">
        <v>260</v>
      </c>
      <c r="O35" s="49">
        <v>264</v>
      </c>
      <c r="P35" s="49">
        <v>3</v>
      </c>
      <c r="Q35" s="49">
        <v>3</v>
      </c>
      <c r="R35" s="49">
        <v>0</v>
      </c>
      <c r="S35" s="49">
        <v>1</v>
      </c>
      <c r="T35" s="49">
        <v>271</v>
      </c>
    </row>
    <row r="36" spans="2:20" x14ac:dyDescent="0.25">
      <c r="B36" s="10" t="s">
        <v>95</v>
      </c>
      <c r="C36" s="49">
        <v>392</v>
      </c>
      <c r="D36" s="49">
        <v>18</v>
      </c>
      <c r="E36" s="49">
        <v>10</v>
      </c>
      <c r="F36" s="49">
        <v>0</v>
      </c>
      <c r="G36" s="49">
        <v>11</v>
      </c>
      <c r="H36" s="49">
        <v>431</v>
      </c>
      <c r="I36" s="49">
        <v>798</v>
      </c>
      <c r="J36" s="49">
        <v>20</v>
      </c>
      <c r="K36" s="49">
        <v>7</v>
      </c>
      <c r="L36" s="49">
        <v>0</v>
      </c>
      <c r="M36" s="49">
        <v>11</v>
      </c>
      <c r="N36" s="49">
        <v>836</v>
      </c>
      <c r="O36" s="49">
        <v>450</v>
      </c>
      <c r="P36" s="49">
        <v>21</v>
      </c>
      <c r="Q36" s="49">
        <v>5</v>
      </c>
      <c r="R36" s="49">
        <v>1</v>
      </c>
      <c r="S36" s="49">
        <v>4</v>
      </c>
      <c r="T36" s="49">
        <v>481</v>
      </c>
    </row>
    <row r="37" spans="2:20" x14ac:dyDescent="0.25">
      <c r="B37" s="14" t="s">
        <v>101</v>
      </c>
      <c r="C37" s="49">
        <v>38</v>
      </c>
      <c r="D37" s="49">
        <v>0</v>
      </c>
      <c r="E37" s="49">
        <v>1</v>
      </c>
      <c r="F37" s="49">
        <v>0</v>
      </c>
      <c r="G37" s="49">
        <v>0</v>
      </c>
      <c r="H37" s="49">
        <v>39</v>
      </c>
      <c r="I37" s="49">
        <v>43</v>
      </c>
      <c r="J37" s="49">
        <v>2</v>
      </c>
      <c r="K37" s="49">
        <v>1</v>
      </c>
      <c r="L37" s="49">
        <v>0</v>
      </c>
      <c r="M37" s="49">
        <v>0</v>
      </c>
      <c r="N37" s="49">
        <v>46</v>
      </c>
      <c r="O37" s="49">
        <v>55</v>
      </c>
      <c r="P37" s="49">
        <v>8</v>
      </c>
      <c r="Q37" s="49">
        <v>0</v>
      </c>
      <c r="R37" s="49">
        <v>0</v>
      </c>
      <c r="S37" s="49">
        <v>0</v>
      </c>
      <c r="T37" s="49">
        <v>63</v>
      </c>
    </row>
    <row r="38" spans="2:20" x14ac:dyDescent="0.25">
      <c r="B38" s="14" t="s">
        <v>102</v>
      </c>
      <c r="C38" s="49">
        <v>156</v>
      </c>
      <c r="D38" s="49">
        <v>16</v>
      </c>
      <c r="E38" s="49">
        <v>7</v>
      </c>
      <c r="F38" s="49">
        <v>0</v>
      </c>
      <c r="G38" s="49">
        <v>11</v>
      </c>
      <c r="H38" s="49">
        <v>190</v>
      </c>
      <c r="I38" s="49">
        <v>319</v>
      </c>
      <c r="J38" s="49">
        <v>18</v>
      </c>
      <c r="K38" s="49">
        <v>4</v>
      </c>
      <c r="L38" s="49">
        <v>0</v>
      </c>
      <c r="M38" s="49">
        <v>11</v>
      </c>
      <c r="N38" s="49">
        <v>352</v>
      </c>
      <c r="O38" s="49">
        <v>196</v>
      </c>
      <c r="P38" s="49">
        <v>12</v>
      </c>
      <c r="Q38" s="49">
        <v>3</v>
      </c>
      <c r="R38" s="49">
        <v>1</v>
      </c>
      <c r="S38" s="49">
        <v>4</v>
      </c>
      <c r="T38" s="49">
        <v>216</v>
      </c>
    </row>
    <row r="39" spans="2:20" x14ac:dyDescent="0.25">
      <c r="B39" s="14" t="s">
        <v>103</v>
      </c>
      <c r="C39" s="49">
        <v>198</v>
      </c>
      <c r="D39" s="49">
        <v>2</v>
      </c>
      <c r="E39" s="49">
        <v>2</v>
      </c>
      <c r="F39" s="49">
        <v>0</v>
      </c>
      <c r="G39" s="49">
        <v>0</v>
      </c>
      <c r="H39" s="49">
        <v>202</v>
      </c>
      <c r="I39" s="49">
        <v>436</v>
      </c>
      <c r="J39" s="49">
        <v>0</v>
      </c>
      <c r="K39" s="49">
        <v>2</v>
      </c>
      <c r="L39" s="49">
        <v>0</v>
      </c>
      <c r="M39" s="49">
        <v>0</v>
      </c>
      <c r="N39" s="49">
        <v>438</v>
      </c>
      <c r="O39" s="49">
        <v>199</v>
      </c>
      <c r="P39" s="49">
        <v>1</v>
      </c>
      <c r="Q39" s="49">
        <v>2</v>
      </c>
      <c r="R39" s="49">
        <v>0</v>
      </c>
      <c r="S39" s="49">
        <v>0</v>
      </c>
      <c r="T39" s="49">
        <v>202</v>
      </c>
    </row>
    <row r="40" spans="2:20" x14ac:dyDescent="0.25">
      <c r="B40" s="10" t="s">
        <v>96</v>
      </c>
      <c r="C40" s="49">
        <v>499</v>
      </c>
      <c r="D40" s="49">
        <v>1</v>
      </c>
      <c r="E40" s="49">
        <v>11</v>
      </c>
      <c r="F40" s="49">
        <v>1</v>
      </c>
      <c r="G40" s="49">
        <v>0</v>
      </c>
      <c r="H40" s="49">
        <v>512</v>
      </c>
      <c r="I40" s="49">
        <v>754</v>
      </c>
      <c r="J40" s="49">
        <v>1</v>
      </c>
      <c r="K40" s="49">
        <v>6</v>
      </c>
      <c r="L40" s="49">
        <v>0</v>
      </c>
      <c r="M40" s="49">
        <v>1</v>
      </c>
      <c r="N40" s="49">
        <v>762</v>
      </c>
      <c r="O40" s="49">
        <v>542</v>
      </c>
      <c r="P40" s="49">
        <v>2</v>
      </c>
      <c r="Q40" s="49">
        <v>9</v>
      </c>
      <c r="R40" s="49">
        <v>0</v>
      </c>
      <c r="S40" s="49">
        <v>0</v>
      </c>
      <c r="T40" s="49">
        <v>553</v>
      </c>
    </row>
    <row r="41" spans="2:20" x14ac:dyDescent="0.25">
      <c r="B41" s="14" t="s">
        <v>104</v>
      </c>
      <c r="C41" s="49">
        <v>48</v>
      </c>
      <c r="D41" s="49">
        <v>0</v>
      </c>
      <c r="E41" s="49">
        <v>3</v>
      </c>
      <c r="F41" s="49">
        <v>0</v>
      </c>
      <c r="G41" s="49">
        <v>0</v>
      </c>
      <c r="H41" s="49">
        <v>51</v>
      </c>
      <c r="I41" s="49">
        <v>76</v>
      </c>
      <c r="J41" s="49">
        <v>1</v>
      </c>
      <c r="K41" s="49">
        <v>0</v>
      </c>
      <c r="L41" s="49">
        <v>0</v>
      </c>
      <c r="M41" s="49">
        <v>0</v>
      </c>
      <c r="N41" s="49">
        <v>77</v>
      </c>
      <c r="O41" s="49">
        <v>111</v>
      </c>
      <c r="P41" s="49">
        <v>0</v>
      </c>
      <c r="Q41" s="49">
        <v>2</v>
      </c>
      <c r="R41" s="49">
        <v>0</v>
      </c>
      <c r="S41" s="49">
        <v>0</v>
      </c>
      <c r="T41" s="49">
        <v>113</v>
      </c>
    </row>
    <row r="42" spans="2:20" x14ac:dyDescent="0.25">
      <c r="B42" s="14" t="s">
        <v>105</v>
      </c>
      <c r="C42" s="49">
        <v>397</v>
      </c>
      <c r="D42" s="49">
        <v>1</v>
      </c>
      <c r="E42" s="49">
        <v>7</v>
      </c>
      <c r="F42" s="49">
        <v>1</v>
      </c>
      <c r="G42" s="49">
        <v>0</v>
      </c>
      <c r="H42" s="49">
        <v>406</v>
      </c>
      <c r="I42" s="49">
        <v>627</v>
      </c>
      <c r="J42" s="49">
        <v>0</v>
      </c>
      <c r="K42" s="49">
        <v>5</v>
      </c>
      <c r="L42" s="49">
        <v>0</v>
      </c>
      <c r="M42" s="49">
        <v>1</v>
      </c>
      <c r="N42" s="49">
        <v>633</v>
      </c>
      <c r="O42" s="49">
        <v>381</v>
      </c>
      <c r="P42" s="49">
        <v>2</v>
      </c>
      <c r="Q42" s="49">
        <v>7</v>
      </c>
      <c r="R42" s="49">
        <v>0</v>
      </c>
      <c r="S42" s="49">
        <v>0</v>
      </c>
      <c r="T42" s="49">
        <v>390</v>
      </c>
    </row>
    <row r="43" spans="2:20" x14ac:dyDescent="0.25">
      <c r="B43" s="14" t="s">
        <v>106</v>
      </c>
      <c r="C43" s="49">
        <v>54</v>
      </c>
      <c r="D43" s="49">
        <v>0</v>
      </c>
      <c r="E43" s="49">
        <v>1</v>
      </c>
      <c r="F43" s="49">
        <v>0</v>
      </c>
      <c r="G43" s="49">
        <v>0</v>
      </c>
      <c r="H43" s="49">
        <v>55</v>
      </c>
      <c r="I43" s="49">
        <v>51</v>
      </c>
      <c r="J43" s="49">
        <v>0</v>
      </c>
      <c r="K43" s="49">
        <v>1</v>
      </c>
      <c r="L43" s="49">
        <v>0</v>
      </c>
      <c r="M43" s="49">
        <v>0</v>
      </c>
      <c r="N43" s="49">
        <v>52</v>
      </c>
      <c r="O43" s="49">
        <v>50</v>
      </c>
      <c r="P43" s="49">
        <v>0</v>
      </c>
      <c r="Q43" s="49">
        <v>0</v>
      </c>
      <c r="R43" s="49">
        <v>0</v>
      </c>
      <c r="S43" s="49">
        <v>0</v>
      </c>
      <c r="T43" s="49">
        <v>50</v>
      </c>
    </row>
    <row r="44" spans="2:20" x14ac:dyDescent="0.25">
      <c r="B44" s="10" t="s">
        <v>97</v>
      </c>
      <c r="C44" s="49">
        <v>630</v>
      </c>
      <c r="D44" s="49">
        <v>21</v>
      </c>
      <c r="E44" s="49">
        <v>12</v>
      </c>
      <c r="F44" s="49">
        <v>1</v>
      </c>
      <c r="G44" s="49">
        <v>23</v>
      </c>
      <c r="H44" s="49">
        <v>687</v>
      </c>
      <c r="I44" s="49">
        <v>727</v>
      </c>
      <c r="J44" s="49">
        <v>23</v>
      </c>
      <c r="K44" s="49">
        <v>3</v>
      </c>
      <c r="L44" s="49">
        <v>0</v>
      </c>
      <c r="M44" s="49">
        <v>4</v>
      </c>
      <c r="N44" s="49">
        <v>757</v>
      </c>
      <c r="O44" s="49">
        <v>608</v>
      </c>
      <c r="P44" s="49">
        <v>18</v>
      </c>
      <c r="Q44" s="49">
        <v>14</v>
      </c>
      <c r="R44" s="49">
        <v>0</v>
      </c>
      <c r="S44" s="49">
        <v>4</v>
      </c>
      <c r="T44" s="49">
        <v>644</v>
      </c>
    </row>
    <row r="45" spans="2:20" x14ac:dyDescent="0.25">
      <c r="B45" s="14" t="s">
        <v>107</v>
      </c>
      <c r="C45" s="49">
        <v>228</v>
      </c>
      <c r="D45" s="49">
        <v>3</v>
      </c>
      <c r="E45" s="49">
        <v>10</v>
      </c>
      <c r="F45" s="49">
        <v>0</v>
      </c>
      <c r="G45" s="49">
        <v>0</v>
      </c>
      <c r="H45" s="49">
        <v>241</v>
      </c>
      <c r="I45" s="49">
        <v>400</v>
      </c>
      <c r="J45" s="49">
        <v>2</v>
      </c>
      <c r="K45" s="49">
        <v>1</v>
      </c>
      <c r="L45" s="49">
        <v>0</v>
      </c>
      <c r="M45" s="49">
        <v>2</v>
      </c>
      <c r="N45" s="49">
        <v>405</v>
      </c>
      <c r="O45" s="49">
        <v>302</v>
      </c>
      <c r="P45" s="49">
        <v>4</v>
      </c>
      <c r="Q45" s="49">
        <v>9</v>
      </c>
      <c r="R45" s="49">
        <v>0</v>
      </c>
      <c r="S45" s="49">
        <v>0</v>
      </c>
      <c r="T45" s="49">
        <v>315</v>
      </c>
    </row>
    <row r="46" spans="2:20" x14ac:dyDescent="0.25">
      <c r="B46" s="14" t="s">
        <v>108</v>
      </c>
      <c r="C46" s="49">
        <v>355</v>
      </c>
      <c r="D46" s="49">
        <v>17</v>
      </c>
      <c r="E46" s="49">
        <v>2</v>
      </c>
      <c r="F46" s="49">
        <v>1</v>
      </c>
      <c r="G46" s="49">
        <v>23</v>
      </c>
      <c r="H46" s="49">
        <v>398</v>
      </c>
      <c r="I46" s="49">
        <v>270</v>
      </c>
      <c r="J46" s="49">
        <v>21</v>
      </c>
      <c r="K46" s="49">
        <v>2</v>
      </c>
      <c r="L46" s="49">
        <v>0</v>
      </c>
      <c r="M46" s="49">
        <v>2</v>
      </c>
      <c r="N46" s="49">
        <v>295</v>
      </c>
      <c r="O46" s="49">
        <v>235</v>
      </c>
      <c r="P46" s="49">
        <v>11</v>
      </c>
      <c r="Q46" s="49">
        <v>4</v>
      </c>
      <c r="R46" s="49">
        <v>0</v>
      </c>
      <c r="S46" s="49">
        <v>4</v>
      </c>
      <c r="T46" s="49">
        <v>254</v>
      </c>
    </row>
    <row r="47" spans="2:20" x14ac:dyDescent="0.25">
      <c r="B47" s="14" t="s">
        <v>109</v>
      </c>
      <c r="C47" s="49">
        <v>47</v>
      </c>
      <c r="D47" s="49">
        <v>1</v>
      </c>
      <c r="E47" s="49">
        <v>0</v>
      </c>
      <c r="F47" s="49">
        <v>0</v>
      </c>
      <c r="G47" s="49">
        <v>0</v>
      </c>
      <c r="H47" s="49">
        <v>48</v>
      </c>
      <c r="I47" s="49">
        <v>57</v>
      </c>
      <c r="J47" s="49">
        <v>0</v>
      </c>
      <c r="K47" s="49">
        <v>0</v>
      </c>
      <c r="L47" s="49">
        <v>0</v>
      </c>
      <c r="M47" s="49">
        <v>0</v>
      </c>
      <c r="N47" s="49">
        <v>57</v>
      </c>
      <c r="O47" s="49">
        <v>71</v>
      </c>
      <c r="P47" s="49">
        <v>3</v>
      </c>
      <c r="Q47" s="49">
        <v>1</v>
      </c>
      <c r="R47" s="49">
        <v>0</v>
      </c>
      <c r="S47" s="49">
        <v>0</v>
      </c>
      <c r="T47" s="49">
        <v>75</v>
      </c>
    </row>
    <row r="48" spans="2:20" x14ac:dyDescent="0.25">
      <c r="B48" s="10" t="s">
        <v>49</v>
      </c>
      <c r="C48" s="49">
        <v>3076</v>
      </c>
      <c r="D48" s="49">
        <v>45</v>
      </c>
      <c r="E48" s="49">
        <v>49</v>
      </c>
      <c r="F48" s="49">
        <v>3</v>
      </c>
      <c r="G48" s="49">
        <v>45</v>
      </c>
      <c r="H48" s="49">
        <v>3218</v>
      </c>
      <c r="I48" s="49">
        <v>3342</v>
      </c>
      <c r="J48" s="49">
        <v>49</v>
      </c>
      <c r="K48" s="49">
        <v>29</v>
      </c>
      <c r="L48" s="49">
        <v>1</v>
      </c>
      <c r="M48" s="49">
        <v>16</v>
      </c>
      <c r="N48" s="49">
        <v>3437</v>
      </c>
      <c r="O48" s="49">
        <v>2530</v>
      </c>
      <c r="P48" s="49">
        <v>63</v>
      </c>
      <c r="Q48" s="49">
        <v>41</v>
      </c>
      <c r="R48" s="49">
        <v>2</v>
      </c>
      <c r="S48" s="49">
        <v>10</v>
      </c>
      <c r="T48" s="49">
        <v>2646</v>
      </c>
    </row>
  </sheetData>
  <mergeCells count="6">
    <mergeCell ref="T30:T31"/>
    <mergeCell ref="C30:G30"/>
    <mergeCell ref="H30:H31"/>
    <mergeCell ref="I30:M30"/>
    <mergeCell ref="N30:N31"/>
    <mergeCell ref="O30:S30"/>
  </mergeCells>
  <conditionalFormatting pivot="1" sqref="C32:T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D2B4-F872-4210-8BEC-A7E3C8B8327E}">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52</v>
      </c>
      <c r="D15" s="55" t="s">
        <v>129</v>
      </c>
      <c r="E15" s="55">
        <v>63</v>
      </c>
      <c r="F15" s="55" t="s">
        <v>129</v>
      </c>
      <c r="G15" s="55">
        <v>28</v>
      </c>
      <c r="H15" s="55" t="s">
        <v>129</v>
      </c>
      <c r="I15" s="55">
        <v>0</v>
      </c>
      <c r="J15" s="55" t="s">
        <v>129</v>
      </c>
      <c r="K15" s="55" t="s">
        <v>129</v>
      </c>
      <c r="L15" s="55" t="s">
        <v>129</v>
      </c>
      <c r="M15" s="55" t="s">
        <v>129</v>
      </c>
      <c r="N15" s="55" t="s">
        <v>129</v>
      </c>
      <c r="O15" s="55" t="s">
        <v>129</v>
      </c>
      <c r="P15" s="55" t="s">
        <v>129</v>
      </c>
      <c r="Q15" s="55" t="s">
        <v>129</v>
      </c>
      <c r="R15" s="55" t="s">
        <v>129</v>
      </c>
      <c r="S15" s="55">
        <v>8</v>
      </c>
      <c r="T15" s="55" t="s">
        <v>129</v>
      </c>
      <c r="U15" s="55">
        <v>20</v>
      </c>
      <c r="V15" s="55" t="s">
        <v>129</v>
      </c>
      <c r="W15" s="55">
        <v>16</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44</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19</v>
      </c>
      <c r="AZ15" s="55" t="s">
        <v>129</v>
      </c>
      <c r="BA15" s="55">
        <v>31</v>
      </c>
      <c r="BB15" s="55" t="s">
        <v>129</v>
      </c>
      <c r="BC15" s="55">
        <v>7</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61</v>
      </c>
      <c r="D16" s="55" t="s">
        <v>129</v>
      </c>
      <c r="E16" s="55">
        <v>87</v>
      </c>
      <c r="F16" s="55" t="s">
        <v>129</v>
      </c>
      <c r="G16" s="55">
        <v>49</v>
      </c>
      <c r="H16" s="55" t="s">
        <v>129</v>
      </c>
      <c r="I16" s="55">
        <v>0</v>
      </c>
      <c r="J16" s="55" t="s">
        <v>129</v>
      </c>
      <c r="K16" s="55" t="s">
        <v>129</v>
      </c>
      <c r="L16" s="55" t="s">
        <v>129</v>
      </c>
      <c r="M16" s="55" t="s">
        <v>129</v>
      </c>
      <c r="N16" s="55" t="s">
        <v>129</v>
      </c>
      <c r="O16" s="55" t="s">
        <v>129</v>
      </c>
      <c r="P16" s="55" t="s">
        <v>129</v>
      </c>
      <c r="Q16" s="55" t="s">
        <v>129</v>
      </c>
      <c r="R16" s="55" t="s">
        <v>129</v>
      </c>
      <c r="S16" s="55">
        <v>7</v>
      </c>
      <c r="T16" s="55" t="s">
        <v>129</v>
      </c>
      <c r="U16" s="55">
        <v>16</v>
      </c>
      <c r="V16" s="55" t="s">
        <v>129</v>
      </c>
      <c r="W16" s="55">
        <v>18</v>
      </c>
      <c r="X16" s="55" t="s">
        <v>129</v>
      </c>
      <c r="Y16" s="55">
        <v>0</v>
      </c>
      <c r="Z16" s="55" t="s">
        <v>129</v>
      </c>
      <c r="AA16" s="55" t="s">
        <v>129</v>
      </c>
      <c r="AB16" s="55" t="s">
        <v>129</v>
      </c>
      <c r="AC16" s="55" t="s">
        <v>129</v>
      </c>
      <c r="AD16" s="55" t="s">
        <v>129</v>
      </c>
      <c r="AE16" s="55" t="s">
        <v>129</v>
      </c>
      <c r="AF16" s="55" t="s">
        <v>129</v>
      </c>
      <c r="AG16" s="55" t="s">
        <v>129</v>
      </c>
      <c r="AH16" s="55" t="s">
        <v>129</v>
      </c>
      <c r="AI16" s="55">
        <v>3</v>
      </c>
      <c r="AJ16" s="55" t="s">
        <v>129</v>
      </c>
      <c r="AK16" s="55">
        <v>29</v>
      </c>
      <c r="AL16" s="55" t="s">
        <v>129</v>
      </c>
      <c r="AM16" s="55">
        <v>4</v>
      </c>
      <c r="AN16" s="55" t="s">
        <v>129</v>
      </c>
      <c r="AO16" s="55">
        <v>0</v>
      </c>
      <c r="AP16" s="55" t="s">
        <v>129</v>
      </c>
      <c r="AQ16" s="55" t="s">
        <v>129</v>
      </c>
      <c r="AR16" s="55" t="s">
        <v>129</v>
      </c>
      <c r="AS16" s="55" t="s">
        <v>129</v>
      </c>
      <c r="AT16" s="55" t="s">
        <v>129</v>
      </c>
      <c r="AU16" s="55" t="s">
        <v>129</v>
      </c>
      <c r="AV16" s="55" t="s">
        <v>129</v>
      </c>
      <c r="AW16" s="55" t="s">
        <v>129</v>
      </c>
      <c r="AX16" s="55" t="s">
        <v>129</v>
      </c>
      <c r="AY16" s="55">
        <v>36</v>
      </c>
      <c r="AZ16" s="55" t="s">
        <v>129</v>
      </c>
      <c r="BA16" s="55">
        <v>43</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69</v>
      </c>
      <c r="D17" s="55" t="s">
        <v>129</v>
      </c>
      <c r="E17" s="55">
        <v>79</v>
      </c>
      <c r="F17" s="55" t="s">
        <v>129</v>
      </c>
      <c r="G17" s="55">
        <v>56</v>
      </c>
      <c r="H17" s="55" t="s">
        <v>129</v>
      </c>
      <c r="I17" s="55">
        <v>0</v>
      </c>
      <c r="J17" s="55" t="s">
        <v>129</v>
      </c>
      <c r="K17" s="55" t="s">
        <v>129</v>
      </c>
      <c r="L17" s="55" t="s">
        <v>129</v>
      </c>
      <c r="M17" s="55" t="s">
        <v>129</v>
      </c>
      <c r="N17" s="55" t="s">
        <v>129</v>
      </c>
      <c r="O17" s="55" t="s">
        <v>129</v>
      </c>
      <c r="P17" s="55" t="s">
        <v>129</v>
      </c>
      <c r="Q17" s="55" t="s">
        <v>129</v>
      </c>
      <c r="R17" s="55" t="s">
        <v>129</v>
      </c>
      <c r="S17" s="55">
        <v>14</v>
      </c>
      <c r="T17" s="55" t="s">
        <v>129</v>
      </c>
      <c r="U17" s="55">
        <v>19</v>
      </c>
      <c r="V17" s="55" t="s">
        <v>129</v>
      </c>
      <c r="W17" s="55">
        <v>32</v>
      </c>
      <c r="X17" s="55" t="s">
        <v>129</v>
      </c>
      <c r="Y17" s="55">
        <v>0</v>
      </c>
      <c r="Z17" s="55" t="s">
        <v>129</v>
      </c>
      <c r="AA17" s="55" t="s">
        <v>129</v>
      </c>
      <c r="AB17" s="55" t="s">
        <v>129</v>
      </c>
      <c r="AC17" s="55" t="s">
        <v>129</v>
      </c>
      <c r="AD17" s="55" t="s">
        <v>129</v>
      </c>
      <c r="AE17" s="55" t="s">
        <v>129</v>
      </c>
      <c r="AF17" s="55" t="s">
        <v>129</v>
      </c>
      <c r="AG17" s="55" t="s">
        <v>129</v>
      </c>
      <c r="AH17" s="55" t="s">
        <v>129</v>
      </c>
      <c r="AI17" s="55">
        <v>3</v>
      </c>
      <c r="AJ17" s="55" t="s">
        <v>129</v>
      </c>
      <c r="AK17" s="55">
        <v>46</v>
      </c>
      <c r="AL17" s="55" t="s">
        <v>129</v>
      </c>
      <c r="AM17" s="55">
        <v>7</v>
      </c>
      <c r="AN17" s="55" t="s">
        <v>129</v>
      </c>
      <c r="AO17" s="55">
        <v>0</v>
      </c>
      <c r="AP17" s="55" t="s">
        <v>129</v>
      </c>
      <c r="AQ17" s="55" t="s">
        <v>129</v>
      </c>
      <c r="AR17" s="55" t="s">
        <v>129</v>
      </c>
      <c r="AS17" s="55" t="s">
        <v>129</v>
      </c>
      <c r="AT17" s="55" t="s">
        <v>129</v>
      </c>
      <c r="AU17" s="55" t="s">
        <v>129</v>
      </c>
      <c r="AV17" s="55" t="s">
        <v>129</v>
      </c>
      <c r="AW17" s="55" t="s">
        <v>129</v>
      </c>
      <c r="AX17" s="55" t="s">
        <v>129</v>
      </c>
      <c r="AY17" s="55">
        <v>28</v>
      </c>
      <c r="AZ17" s="55" t="s">
        <v>129</v>
      </c>
      <c r="BA17" s="55">
        <v>52</v>
      </c>
      <c r="BB17" s="55" t="s">
        <v>129</v>
      </c>
      <c r="BC17" s="55">
        <v>10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99</v>
      </c>
      <c r="D18" s="55" t="s">
        <v>129</v>
      </c>
      <c r="E18" s="55">
        <v>99</v>
      </c>
      <c r="F18" s="55" t="s">
        <v>129</v>
      </c>
      <c r="G18" s="55">
        <v>72</v>
      </c>
      <c r="H18" s="55" t="s">
        <v>129</v>
      </c>
      <c r="I18" s="55">
        <v>0</v>
      </c>
      <c r="J18" s="55" t="s">
        <v>129</v>
      </c>
      <c r="K18" s="55" t="s">
        <v>129</v>
      </c>
      <c r="L18" s="55" t="s">
        <v>129</v>
      </c>
      <c r="M18" s="55" t="s">
        <v>129</v>
      </c>
      <c r="N18" s="55" t="s">
        <v>129</v>
      </c>
      <c r="O18" s="55" t="s">
        <v>129</v>
      </c>
      <c r="P18" s="55" t="s">
        <v>129</v>
      </c>
      <c r="Q18" s="55" t="s">
        <v>129</v>
      </c>
      <c r="R18" s="55" t="s">
        <v>129</v>
      </c>
      <c r="S18" s="55">
        <v>10</v>
      </c>
      <c r="T18" s="55" t="s">
        <v>129</v>
      </c>
      <c r="U18" s="55">
        <v>24</v>
      </c>
      <c r="V18" s="55" t="s">
        <v>129</v>
      </c>
      <c r="W18" s="55">
        <v>35</v>
      </c>
      <c r="X18" s="55" t="s">
        <v>129</v>
      </c>
      <c r="Y18" s="55">
        <v>0</v>
      </c>
      <c r="Z18" s="55" t="s">
        <v>129</v>
      </c>
      <c r="AA18" s="55" t="s">
        <v>129</v>
      </c>
      <c r="AB18" s="55" t="s">
        <v>129</v>
      </c>
      <c r="AC18" s="55" t="s">
        <v>129</v>
      </c>
      <c r="AD18" s="55" t="s">
        <v>129</v>
      </c>
      <c r="AE18" s="55" t="s">
        <v>129</v>
      </c>
      <c r="AF18" s="55" t="s">
        <v>129</v>
      </c>
      <c r="AG18" s="55" t="s">
        <v>129</v>
      </c>
      <c r="AH18" s="55" t="s">
        <v>129</v>
      </c>
      <c r="AI18" s="55">
        <v>8</v>
      </c>
      <c r="AJ18" s="55" t="s">
        <v>129</v>
      </c>
      <c r="AK18" s="55">
        <v>75</v>
      </c>
      <c r="AL18" s="55" t="s">
        <v>129</v>
      </c>
      <c r="AM18" s="55">
        <v>10</v>
      </c>
      <c r="AN18" s="55" t="s">
        <v>129</v>
      </c>
      <c r="AO18" s="55">
        <v>0</v>
      </c>
      <c r="AP18" s="55" t="s">
        <v>129</v>
      </c>
      <c r="AQ18" s="55" t="s">
        <v>129</v>
      </c>
      <c r="AR18" s="55" t="s">
        <v>129</v>
      </c>
      <c r="AS18" s="55" t="s">
        <v>129</v>
      </c>
      <c r="AT18" s="55" t="s">
        <v>129</v>
      </c>
      <c r="AU18" s="55" t="s">
        <v>129</v>
      </c>
      <c r="AV18" s="55" t="s">
        <v>129</v>
      </c>
      <c r="AW18" s="55" t="s">
        <v>129</v>
      </c>
      <c r="AX18" s="55" t="s">
        <v>129</v>
      </c>
      <c r="AY18" s="55">
        <v>43</v>
      </c>
      <c r="AZ18" s="55" t="s">
        <v>129</v>
      </c>
      <c r="BA18" s="55">
        <v>48</v>
      </c>
      <c r="BB18" s="55" t="s">
        <v>129</v>
      </c>
      <c r="BC18" s="55">
        <v>12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127</v>
      </c>
      <c r="D19" s="55" t="s">
        <v>129</v>
      </c>
      <c r="E19" s="55">
        <v>174</v>
      </c>
      <c r="F19" s="55" t="s">
        <v>129</v>
      </c>
      <c r="G19" s="55">
        <v>74</v>
      </c>
      <c r="H19" s="55" t="s">
        <v>129</v>
      </c>
      <c r="I19" s="55">
        <v>0</v>
      </c>
      <c r="J19" s="55" t="s">
        <v>129</v>
      </c>
      <c r="K19" s="55" t="s">
        <v>129</v>
      </c>
      <c r="L19" s="55" t="s">
        <v>129</v>
      </c>
      <c r="M19" s="55" t="s">
        <v>129</v>
      </c>
      <c r="N19" s="55" t="s">
        <v>129</v>
      </c>
      <c r="O19" s="55" t="s">
        <v>129</v>
      </c>
      <c r="P19" s="55" t="s">
        <v>129</v>
      </c>
      <c r="Q19" s="55" t="s">
        <v>129</v>
      </c>
      <c r="R19" s="55" t="s">
        <v>129</v>
      </c>
      <c r="S19" s="55">
        <v>10</v>
      </c>
      <c r="T19" s="55" t="s">
        <v>129</v>
      </c>
      <c r="U19" s="55">
        <v>28</v>
      </c>
      <c r="V19" s="55" t="s">
        <v>129</v>
      </c>
      <c r="W19" s="55">
        <v>43</v>
      </c>
      <c r="X19" s="55" t="s">
        <v>129</v>
      </c>
      <c r="Y19" s="55">
        <v>0</v>
      </c>
      <c r="Z19" s="55" t="s">
        <v>129</v>
      </c>
      <c r="AA19" s="55" t="s">
        <v>129</v>
      </c>
      <c r="AB19" s="55" t="s">
        <v>129</v>
      </c>
      <c r="AC19" s="55" t="s">
        <v>129</v>
      </c>
      <c r="AD19" s="55" t="s">
        <v>129</v>
      </c>
      <c r="AE19" s="55" t="s">
        <v>129</v>
      </c>
      <c r="AF19" s="55" t="s">
        <v>129</v>
      </c>
      <c r="AG19" s="55" t="s">
        <v>129</v>
      </c>
      <c r="AH19" s="55" t="s">
        <v>129</v>
      </c>
      <c r="AI19" s="55">
        <v>15</v>
      </c>
      <c r="AJ19" s="55" t="s">
        <v>129</v>
      </c>
      <c r="AK19" s="55">
        <v>94</v>
      </c>
      <c r="AL19" s="55" t="s">
        <v>129</v>
      </c>
      <c r="AM19" s="55">
        <v>4</v>
      </c>
      <c r="AN19" s="55" t="s">
        <v>129</v>
      </c>
      <c r="AO19" s="55">
        <v>0</v>
      </c>
      <c r="AP19" s="55" t="s">
        <v>129</v>
      </c>
      <c r="AQ19" s="55" t="s">
        <v>129</v>
      </c>
      <c r="AR19" s="55" t="s">
        <v>129</v>
      </c>
      <c r="AS19" s="55" t="s">
        <v>129</v>
      </c>
      <c r="AT19" s="55" t="s">
        <v>129</v>
      </c>
      <c r="AU19" s="55" t="s">
        <v>129</v>
      </c>
      <c r="AV19" s="55" t="s">
        <v>129</v>
      </c>
      <c r="AW19" s="55" t="s">
        <v>129</v>
      </c>
      <c r="AX19" s="55" t="s">
        <v>129</v>
      </c>
      <c r="AY19" s="55">
        <v>46</v>
      </c>
      <c r="AZ19" s="55" t="s">
        <v>129</v>
      </c>
      <c r="BA19" s="55">
        <v>64</v>
      </c>
      <c r="BB19" s="55" t="s">
        <v>129</v>
      </c>
      <c r="BC19" s="55">
        <v>10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125</v>
      </c>
      <c r="D20" s="55" t="s">
        <v>129</v>
      </c>
      <c r="E20" s="55">
        <v>169</v>
      </c>
      <c r="F20" s="55" t="s">
        <v>129</v>
      </c>
      <c r="G20" s="55">
        <v>88</v>
      </c>
      <c r="H20" s="55" t="s">
        <v>129</v>
      </c>
      <c r="I20" s="55">
        <v>0</v>
      </c>
      <c r="J20" s="55" t="s">
        <v>129</v>
      </c>
      <c r="K20" s="55" t="s">
        <v>129</v>
      </c>
      <c r="L20" s="55" t="s">
        <v>129</v>
      </c>
      <c r="M20" s="55" t="s">
        <v>129</v>
      </c>
      <c r="N20" s="55" t="s">
        <v>129</v>
      </c>
      <c r="O20" s="55" t="s">
        <v>129</v>
      </c>
      <c r="P20" s="55" t="s">
        <v>129</v>
      </c>
      <c r="Q20" s="55" t="s">
        <v>129</v>
      </c>
      <c r="R20" s="55" t="s">
        <v>129</v>
      </c>
      <c r="S20" s="55">
        <v>11</v>
      </c>
      <c r="T20" s="55" t="s">
        <v>129</v>
      </c>
      <c r="U20" s="55">
        <v>45</v>
      </c>
      <c r="V20" s="55" t="s">
        <v>129</v>
      </c>
      <c r="W20" s="55">
        <v>57</v>
      </c>
      <c r="X20" s="55" t="s">
        <v>129</v>
      </c>
      <c r="Y20" s="55">
        <v>0</v>
      </c>
      <c r="Z20" s="55" t="s">
        <v>129</v>
      </c>
      <c r="AA20" s="55" t="s">
        <v>129</v>
      </c>
      <c r="AB20" s="55" t="s">
        <v>129</v>
      </c>
      <c r="AC20" s="55" t="s">
        <v>129</v>
      </c>
      <c r="AD20" s="55" t="s">
        <v>129</v>
      </c>
      <c r="AE20" s="55" t="s">
        <v>129</v>
      </c>
      <c r="AF20" s="55" t="s">
        <v>129</v>
      </c>
      <c r="AG20" s="55" t="s">
        <v>129</v>
      </c>
      <c r="AH20" s="55" t="s">
        <v>129</v>
      </c>
      <c r="AI20" s="55">
        <v>11</v>
      </c>
      <c r="AJ20" s="55" t="s">
        <v>129</v>
      </c>
      <c r="AK20" s="55">
        <v>86</v>
      </c>
      <c r="AL20" s="55" t="s">
        <v>129</v>
      </c>
      <c r="AM20" s="55">
        <v>13</v>
      </c>
      <c r="AN20" s="55" t="s">
        <v>129</v>
      </c>
      <c r="AO20" s="55">
        <v>1</v>
      </c>
      <c r="AP20" s="55" t="s">
        <v>129</v>
      </c>
      <c r="AQ20" s="55" t="s">
        <v>129</v>
      </c>
      <c r="AR20" s="55" t="s">
        <v>129</v>
      </c>
      <c r="AS20" s="55" t="s">
        <v>129</v>
      </c>
      <c r="AT20" s="55" t="s">
        <v>129</v>
      </c>
      <c r="AU20" s="55" t="s">
        <v>129</v>
      </c>
      <c r="AV20" s="55" t="s">
        <v>129</v>
      </c>
      <c r="AW20" s="55" t="s">
        <v>129</v>
      </c>
      <c r="AX20" s="55" t="s">
        <v>129</v>
      </c>
      <c r="AY20" s="55">
        <v>49</v>
      </c>
      <c r="AZ20" s="55" t="s">
        <v>129</v>
      </c>
      <c r="BA20" s="55">
        <v>98</v>
      </c>
      <c r="BB20" s="55" t="s">
        <v>129</v>
      </c>
      <c r="BC20" s="55">
        <v>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129</v>
      </c>
      <c r="D21" s="55" t="s">
        <v>129</v>
      </c>
      <c r="E21" s="55">
        <v>149</v>
      </c>
      <c r="F21" s="55" t="s">
        <v>129</v>
      </c>
      <c r="G21" s="55">
        <v>86</v>
      </c>
      <c r="H21" s="55" t="s">
        <v>129</v>
      </c>
      <c r="I21" s="55">
        <v>0</v>
      </c>
      <c r="J21" s="55" t="s">
        <v>129</v>
      </c>
      <c r="K21" s="55" t="s">
        <v>129</v>
      </c>
      <c r="L21" s="55" t="s">
        <v>129</v>
      </c>
      <c r="M21" s="55" t="s">
        <v>129</v>
      </c>
      <c r="N21" s="55" t="s">
        <v>129</v>
      </c>
      <c r="O21" s="55" t="s">
        <v>129</v>
      </c>
      <c r="P21" s="55" t="s">
        <v>129</v>
      </c>
      <c r="Q21" s="55" t="s">
        <v>129</v>
      </c>
      <c r="R21" s="55" t="s">
        <v>129</v>
      </c>
      <c r="S21" s="55">
        <v>10</v>
      </c>
      <c r="T21" s="55" t="s">
        <v>129</v>
      </c>
      <c r="U21" s="55">
        <v>28</v>
      </c>
      <c r="V21" s="55" t="s">
        <v>129</v>
      </c>
      <c r="W21" s="55">
        <v>41</v>
      </c>
      <c r="X21" s="55" t="s">
        <v>129</v>
      </c>
      <c r="Y21" s="55">
        <v>0</v>
      </c>
      <c r="Z21" s="55" t="s">
        <v>129</v>
      </c>
      <c r="AA21" s="55" t="s">
        <v>129</v>
      </c>
      <c r="AB21" s="55" t="s">
        <v>129</v>
      </c>
      <c r="AC21" s="55" t="s">
        <v>129</v>
      </c>
      <c r="AD21" s="55" t="s">
        <v>129</v>
      </c>
      <c r="AE21" s="55" t="s">
        <v>129</v>
      </c>
      <c r="AF21" s="55" t="s">
        <v>129</v>
      </c>
      <c r="AG21" s="55" t="s">
        <v>129</v>
      </c>
      <c r="AH21" s="55" t="s">
        <v>129</v>
      </c>
      <c r="AI21" s="55">
        <v>8</v>
      </c>
      <c r="AJ21" s="55" t="s">
        <v>129</v>
      </c>
      <c r="AK21" s="55">
        <v>99</v>
      </c>
      <c r="AL21" s="55" t="s">
        <v>129</v>
      </c>
      <c r="AM21" s="55">
        <v>16</v>
      </c>
      <c r="AN21" s="55" t="s">
        <v>129</v>
      </c>
      <c r="AO21" s="55">
        <v>0</v>
      </c>
      <c r="AP21" s="55" t="s">
        <v>129</v>
      </c>
      <c r="AQ21" s="55" t="s">
        <v>129</v>
      </c>
      <c r="AR21" s="55" t="s">
        <v>129</v>
      </c>
      <c r="AS21" s="55" t="s">
        <v>129</v>
      </c>
      <c r="AT21" s="55" t="s">
        <v>129</v>
      </c>
      <c r="AU21" s="55" t="s">
        <v>129</v>
      </c>
      <c r="AV21" s="55" t="s">
        <v>129</v>
      </c>
      <c r="AW21" s="55" t="s">
        <v>129</v>
      </c>
      <c r="AX21" s="55" t="s">
        <v>129</v>
      </c>
      <c r="AY21" s="55">
        <v>67</v>
      </c>
      <c r="AZ21" s="55" t="s">
        <v>129</v>
      </c>
      <c r="BA21" s="55">
        <v>101</v>
      </c>
      <c r="BB21" s="55" t="s">
        <v>129</v>
      </c>
      <c r="BC21" s="55">
        <v>18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130</v>
      </c>
      <c r="D22" s="55" t="s">
        <v>129</v>
      </c>
      <c r="E22" s="55">
        <v>166</v>
      </c>
      <c r="F22" s="55" t="s">
        <v>129</v>
      </c>
      <c r="G22" s="55">
        <v>94</v>
      </c>
      <c r="H22" s="55" t="s">
        <v>129</v>
      </c>
      <c r="I22" s="55">
        <v>0</v>
      </c>
      <c r="J22" s="55" t="s">
        <v>129</v>
      </c>
      <c r="K22" s="55" t="s">
        <v>129</v>
      </c>
      <c r="L22" s="55" t="s">
        <v>129</v>
      </c>
      <c r="M22" s="55" t="s">
        <v>129</v>
      </c>
      <c r="N22" s="55" t="s">
        <v>129</v>
      </c>
      <c r="O22" s="55" t="s">
        <v>129</v>
      </c>
      <c r="P22" s="55" t="s">
        <v>129</v>
      </c>
      <c r="Q22" s="55" t="s">
        <v>129</v>
      </c>
      <c r="R22" s="55" t="s">
        <v>129</v>
      </c>
      <c r="S22" s="55">
        <v>6</v>
      </c>
      <c r="T22" s="55" t="s">
        <v>129</v>
      </c>
      <c r="U22" s="55">
        <v>44</v>
      </c>
      <c r="V22" s="55" t="s">
        <v>129</v>
      </c>
      <c r="W22" s="55">
        <v>57</v>
      </c>
      <c r="X22" s="55" t="s">
        <v>129</v>
      </c>
      <c r="Y22" s="55">
        <v>0</v>
      </c>
      <c r="Z22" s="55" t="s">
        <v>129</v>
      </c>
      <c r="AA22" s="55" t="s">
        <v>129</v>
      </c>
      <c r="AB22" s="55" t="s">
        <v>129</v>
      </c>
      <c r="AC22" s="55" t="s">
        <v>129</v>
      </c>
      <c r="AD22" s="55" t="s">
        <v>129</v>
      </c>
      <c r="AE22" s="55" t="s">
        <v>129</v>
      </c>
      <c r="AF22" s="55" t="s">
        <v>129</v>
      </c>
      <c r="AG22" s="55" t="s">
        <v>129</v>
      </c>
      <c r="AH22" s="55" t="s">
        <v>129</v>
      </c>
      <c r="AI22" s="55">
        <v>16</v>
      </c>
      <c r="AJ22" s="55" t="s">
        <v>129</v>
      </c>
      <c r="AK22" s="55">
        <v>122</v>
      </c>
      <c r="AL22" s="55" t="s">
        <v>129</v>
      </c>
      <c r="AM22" s="55">
        <v>17</v>
      </c>
      <c r="AN22" s="55" t="s">
        <v>129</v>
      </c>
      <c r="AO22" s="55">
        <v>0</v>
      </c>
      <c r="AP22" s="55" t="s">
        <v>129</v>
      </c>
      <c r="AQ22" s="55" t="s">
        <v>129</v>
      </c>
      <c r="AR22" s="55" t="s">
        <v>129</v>
      </c>
      <c r="AS22" s="55" t="s">
        <v>129</v>
      </c>
      <c r="AT22" s="55" t="s">
        <v>129</v>
      </c>
      <c r="AU22" s="55" t="s">
        <v>129</v>
      </c>
      <c r="AV22" s="55" t="s">
        <v>129</v>
      </c>
      <c r="AW22" s="55" t="s">
        <v>129</v>
      </c>
      <c r="AX22" s="55" t="s">
        <v>129</v>
      </c>
      <c r="AY22" s="55">
        <v>53</v>
      </c>
      <c r="AZ22" s="55" t="s">
        <v>129</v>
      </c>
      <c r="BA22" s="55">
        <v>79</v>
      </c>
      <c r="BB22" s="55" t="s">
        <v>129</v>
      </c>
      <c r="BC22" s="55">
        <v>16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139</v>
      </c>
      <c r="D23" s="55" t="s">
        <v>129</v>
      </c>
      <c r="E23" s="55">
        <v>173</v>
      </c>
      <c r="F23" s="55" t="s">
        <v>129</v>
      </c>
      <c r="G23" s="55">
        <v>107</v>
      </c>
      <c r="H23" s="55" t="s">
        <v>129</v>
      </c>
      <c r="I23" s="55">
        <v>0</v>
      </c>
      <c r="J23" s="55" t="s">
        <v>129</v>
      </c>
      <c r="K23" s="55" t="s">
        <v>129</v>
      </c>
      <c r="L23" s="55" t="s">
        <v>129</v>
      </c>
      <c r="M23" s="55" t="s">
        <v>129</v>
      </c>
      <c r="N23" s="55" t="s">
        <v>129</v>
      </c>
      <c r="O23" s="55" t="s">
        <v>129</v>
      </c>
      <c r="P23" s="55" t="s">
        <v>129</v>
      </c>
      <c r="Q23" s="55" t="s">
        <v>129</v>
      </c>
      <c r="R23" s="55" t="s">
        <v>129</v>
      </c>
      <c r="S23" s="55">
        <v>11</v>
      </c>
      <c r="T23" s="55" t="s">
        <v>129</v>
      </c>
      <c r="U23" s="55">
        <v>39</v>
      </c>
      <c r="V23" s="55" t="s">
        <v>129</v>
      </c>
      <c r="W23" s="55">
        <v>43</v>
      </c>
      <c r="X23" s="55" t="s">
        <v>129</v>
      </c>
      <c r="Y23" s="55">
        <v>0</v>
      </c>
      <c r="Z23" s="55" t="s">
        <v>129</v>
      </c>
      <c r="AA23" s="55" t="s">
        <v>129</v>
      </c>
      <c r="AB23" s="55" t="s">
        <v>129</v>
      </c>
      <c r="AC23" s="55" t="s">
        <v>129</v>
      </c>
      <c r="AD23" s="55" t="s">
        <v>129</v>
      </c>
      <c r="AE23" s="55" t="s">
        <v>129</v>
      </c>
      <c r="AF23" s="55" t="s">
        <v>129</v>
      </c>
      <c r="AG23" s="55" t="s">
        <v>129</v>
      </c>
      <c r="AH23" s="55" t="s">
        <v>129</v>
      </c>
      <c r="AI23" s="55">
        <v>13</v>
      </c>
      <c r="AJ23" s="55" t="s">
        <v>129</v>
      </c>
      <c r="AK23" s="55">
        <v>90</v>
      </c>
      <c r="AL23" s="55" t="s">
        <v>129</v>
      </c>
      <c r="AM23" s="55">
        <v>8</v>
      </c>
      <c r="AN23" s="55" t="s">
        <v>129</v>
      </c>
      <c r="AO23" s="55">
        <v>0</v>
      </c>
      <c r="AP23" s="55" t="s">
        <v>129</v>
      </c>
      <c r="AQ23" s="55" t="s">
        <v>129</v>
      </c>
      <c r="AR23" s="55" t="s">
        <v>129</v>
      </c>
      <c r="AS23" s="55" t="s">
        <v>129</v>
      </c>
      <c r="AT23" s="55" t="s">
        <v>129</v>
      </c>
      <c r="AU23" s="55" t="s">
        <v>129</v>
      </c>
      <c r="AV23" s="55" t="s">
        <v>129</v>
      </c>
      <c r="AW23" s="55" t="s">
        <v>129</v>
      </c>
      <c r="AX23" s="55" t="s">
        <v>129</v>
      </c>
      <c r="AY23" s="55">
        <v>59</v>
      </c>
      <c r="AZ23" s="55" t="s">
        <v>129</v>
      </c>
      <c r="BA23" s="55">
        <v>77</v>
      </c>
      <c r="BB23" s="55" t="s">
        <v>129</v>
      </c>
      <c r="BC23" s="55">
        <v>6</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127</v>
      </c>
      <c r="D24" s="55" t="s">
        <v>129</v>
      </c>
      <c r="E24" s="55">
        <v>153</v>
      </c>
      <c r="F24" s="55" t="s">
        <v>129</v>
      </c>
      <c r="G24" s="55">
        <v>86</v>
      </c>
      <c r="H24" s="55" t="s">
        <v>129</v>
      </c>
      <c r="I24" s="55">
        <v>0</v>
      </c>
      <c r="J24" s="55" t="s">
        <v>129</v>
      </c>
      <c r="K24" s="55" t="s">
        <v>129</v>
      </c>
      <c r="L24" s="55" t="s">
        <v>129</v>
      </c>
      <c r="M24" s="55" t="s">
        <v>129</v>
      </c>
      <c r="N24" s="55" t="s">
        <v>129</v>
      </c>
      <c r="O24" s="55" t="s">
        <v>129</v>
      </c>
      <c r="P24" s="55" t="s">
        <v>129</v>
      </c>
      <c r="Q24" s="55" t="s">
        <v>129</v>
      </c>
      <c r="R24" s="55" t="s">
        <v>129</v>
      </c>
      <c r="S24" s="55">
        <v>10</v>
      </c>
      <c r="T24" s="55" t="s">
        <v>129</v>
      </c>
      <c r="U24" s="55">
        <v>38</v>
      </c>
      <c r="V24" s="55" t="s">
        <v>129</v>
      </c>
      <c r="W24" s="55">
        <v>41</v>
      </c>
      <c r="X24" s="55" t="s">
        <v>129</v>
      </c>
      <c r="Y24" s="55">
        <v>0</v>
      </c>
      <c r="Z24" s="55" t="s">
        <v>129</v>
      </c>
      <c r="AA24" s="55" t="s">
        <v>129</v>
      </c>
      <c r="AB24" s="55" t="s">
        <v>129</v>
      </c>
      <c r="AC24" s="55" t="s">
        <v>129</v>
      </c>
      <c r="AD24" s="55" t="s">
        <v>129</v>
      </c>
      <c r="AE24" s="55" t="s">
        <v>129</v>
      </c>
      <c r="AF24" s="55" t="s">
        <v>129</v>
      </c>
      <c r="AG24" s="55" t="s">
        <v>129</v>
      </c>
      <c r="AH24" s="55" t="s">
        <v>129</v>
      </c>
      <c r="AI24" s="55">
        <v>20</v>
      </c>
      <c r="AJ24" s="55" t="s">
        <v>129</v>
      </c>
      <c r="AK24" s="55">
        <v>99</v>
      </c>
      <c r="AL24" s="55" t="s">
        <v>129</v>
      </c>
      <c r="AM24" s="55">
        <v>7</v>
      </c>
      <c r="AN24" s="55" t="s">
        <v>129</v>
      </c>
      <c r="AO24" s="55">
        <v>0</v>
      </c>
      <c r="AP24" s="55" t="s">
        <v>129</v>
      </c>
      <c r="AQ24" s="55" t="s">
        <v>129</v>
      </c>
      <c r="AR24" s="55" t="s">
        <v>129</v>
      </c>
      <c r="AS24" s="55" t="s">
        <v>129</v>
      </c>
      <c r="AT24" s="55" t="s">
        <v>129</v>
      </c>
      <c r="AU24" s="55" t="s">
        <v>129</v>
      </c>
      <c r="AV24" s="55" t="s">
        <v>129</v>
      </c>
      <c r="AW24" s="55" t="s">
        <v>129</v>
      </c>
      <c r="AX24" s="55" t="s">
        <v>129</v>
      </c>
      <c r="AY24" s="55">
        <v>51</v>
      </c>
      <c r="AZ24" s="55" t="s">
        <v>129</v>
      </c>
      <c r="BA24" s="55">
        <v>81</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84</v>
      </c>
      <c r="D25" s="55" t="s">
        <v>129</v>
      </c>
      <c r="E25" s="55">
        <v>108</v>
      </c>
      <c r="F25" s="55" t="s">
        <v>129</v>
      </c>
      <c r="G25" s="55">
        <v>90</v>
      </c>
      <c r="H25" s="55" t="s">
        <v>129</v>
      </c>
      <c r="I25" s="55">
        <v>0</v>
      </c>
      <c r="J25" s="55" t="s">
        <v>129</v>
      </c>
      <c r="K25" s="55" t="s">
        <v>129</v>
      </c>
      <c r="L25" s="55" t="s">
        <v>129</v>
      </c>
      <c r="M25" s="55" t="s">
        <v>129</v>
      </c>
      <c r="N25" s="55" t="s">
        <v>129</v>
      </c>
      <c r="O25" s="55" t="s">
        <v>129</v>
      </c>
      <c r="P25" s="55" t="s">
        <v>129</v>
      </c>
      <c r="Q25" s="55" t="s">
        <v>129</v>
      </c>
      <c r="R25" s="55" t="s">
        <v>129</v>
      </c>
      <c r="S25" s="55">
        <v>6</v>
      </c>
      <c r="T25" s="55" t="s">
        <v>129</v>
      </c>
      <c r="U25" s="55">
        <v>32</v>
      </c>
      <c r="V25" s="55" t="s">
        <v>129</v>
      </c>
      <c r="W25" s="55">
        <v>47</v>
      </c>
      <c r="X25" s="55" t="s">
        <v>129</v>
      </c>
      <c r="Y25" s="55">
        <v>0</v>
      </c>
      <c r="Z25" s="55" t="s">
        <v>129</v>
      </c>
      <c r="AA25" s="55" t="s">
        <v>129</v>
      </c>
      <c r="AB25" s="55" t="s">
        <v>129</v>
      </c>
      <c r="AC25" s="55" t="s">
        <v>129</v>
      </c>
      <c r="AD25" s="55" t="s">
        <v>129</v>
      </c>
      <c r="AE25" s="55" t="s">
        <v>129</v>
      </c>
      <c r="AF25" s="55" t="s">
        <v>129</v>
      </c>
      <c r="AG25" s="55" t="s">
        <v>129</v>
      </c>
      <c r="AH25" s="55" t="s">
        <v>129</v>
      </c>
      <c r="AI25" s="55">
        <v>13</v>
      </c>
      <c r="AJ25" s="55" t="s">
        <v>129</v>
      </c>
      <c r="AK25" s="55">
        <v>54</v>
      </c>
      <c r="AL25" s="55" t="s">
        <v>129</v>
      </c>
      <c r="AM25" s="55">
        <v>6</v>
      </c>
      <c r="AN25" s="55" t="s">
        <v>129</v>
      </c>
      <c r="AO25" s="55">
        <v>0</v>
      </c>
      <c r="AP25" s="55" t="s">
        <v>129</v>
      </c>
      <c r="AQ25" s="55" t="s">
        <v>129</v>
      </c>
      <c r="AR25" s="55" t="s">
        <v>129</v>
      </c>
      <c r="AS25" s="55" t="s">
        <v>129</v>
      </c>
      <c r="AT25" s="55" t="s">
        <v>129</v>
      </c>
      <c r="AU25" s="55" t="s">
        <v>129</v>
      </c>
      <c r="AV25" s="55" t="s">
        <v>129</v>
      </c>
      <c r="AW25" s="55" t="s">
        <v>129</v>
      </c>
      <c r="AX25" s="55" t="s">
        <v>129</v>
      </c>
      <c r="AY25" s="55">
        <v>56</v>
      </c>
      <c r="AZ25" s="55" t="s">
        <v>129</v>
      </c>
      <c r="BA25" s="55">
        <v>63</v>
      </c>
      <c r="BB25" s="55" t="s">
        <v>129</v>
      </c>
      <c r="BC25" s="55">
        <v>11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77</v>
      </c>
      <c r="D26" s="55" t="s">
        <v>129</v>
      </c>
      <c r="E26" s="55">
        <v>89</v>
      </c>
      <c r="F26" s="55" t="s">
        <v>129</v>
      </c>
      <c r="G26" s="55">
        <v>58</v>
      </c>
      <c r="H26" s="55" t="s">
        <v>129</v>
      </c>
      <c r="I26" s="55">
        <v>0</v>
      </c>
      <c r="J26" s="55" t="s">
        <v>129</v>
      </c>
      <c r="K26" s="55" t="s">
        <v>129</v>
      </c>
      <c r="L26" s="55" t="s">
        <v>129</v>
      </c>
      <c r="M26" s="55" t="s">
        <v>129</v>
      </c>
      <c r="N26" s="55" t="s">
        <v>129</v>
      </c>
      <c r="O26" s="55" t="s">
        <v>129</v>
      </c>
      <c r="P26" s="55" t="s">
        <v>129</v>
      </c>
      <c r="Q26" s="55" t="s">
        <v>129</v>
      </c>
      <c r="R26" s="55" t="s">
        <v>129</v>
      </c>
      <c r="S26" s="55">
        <v>10</v>
      </c>
      <c r="T26" s="55" t="s">
        <v>129</v>
      </c>
      <c r="U26" s="55">
        <v>29</v>
      </c>
      <c r="V26" s="55" t="s">
        <v>129</v>
      </c>
      <c r="W26" s="55">
        <v>23</v>
      </c>
      <c r="X26" s="55" t="s">
        <v>129</v>
      </c>
      <c r="Y26" s="55">
        <v>0</v>
      </c>
      <c r="Z26" s="55" t="s">
        <v>129</v>
      </c>
      <c r="AA26" s="55" t="s">
        <v>129</v>
      </c>
      <c r="AB26" s="55" t="s">
        <v>129</v>
      </c>
      <c r="AC26" s="55" t="s">
        <v>129</v>
      </c>
      <c r="AD26" s="55" t="s">
        <v>129</v>
      </c>
      <c r="AE26" s="55" t="s">
        <v>129</v>
      </c>
      <c r="AF26" s="55" t="s">
        <v>129</v>
      </c>
      <c r="AG26" s="55" t="s">
        <v>129</v>
      </c>
      <c r="AH26" s="55" t="s">
        <v>129</v>
      </c>
      <c r="AI26" s="55">
        <v>19</v>
      </c>
      <c r="AJ26" s="55" t="s">
        <v>129</v>
      </c>
      <c r="AK26" s="55">
        <v>87</v>
      </c>
      <c r="AL26" s="55" t="s">
        <v>129</v>
      </c>
      <c r="AM26" s="55">
        <v>16</v>
      </c>
      <c r="AN26" s="55" t="s">
        <v>129</v>
      </c>
      <c r="AO26" s="55">
        <v>0</v>
      </c>
      <c r="AP26" s="55" t="s">
        <v>129</v>
      </c>
      <c r="AQ26" s="55" t="s">
        <v>129</v>
      </c>
      <c r="AR26" s="55" t="s">
        <v>129</v>
      </c>
      <c r="AS26" s="55" t="s">
        <v>129</v>
      </c>
      <c r="AT26" s="55" t="s">
        <v>129</v>
      </c>
      <c r="AU26" s="55" t="s">
        <v>129</v>
      </c>
      <c r="AV26" s="55" t="s">
        <v>129</v>
      </c>
      <c r="AW26" s="55" t="s">
        <v>129</v>
      </c>
      <c r="AX26" s="55" t="s">
        <v>129</v>
      </c>
      <c r="AY26" s="55">
        <v>58</v>
      </c>
      <c r="AZ26" s="55" t="s">
        <v>129</v>
      </c>
      <c r="BA26" s="55">
        <v>68</v>
      </c>
      <c r="BB26" s="55" t="s">
        <v>129</v>
      </c>
      <c r="BC26" s="55">
        <v>6</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49</v>
      </c>
      <c r="D27" s="55" t="s">
        <v>129</v>
      </c>
      <c r="E27" s="55">
        <v>91</v>
      </c>
      <c r="F27" s="55" t="s">
        <v>129</v>
      </c>
      <c r="G27" s="55">
        <v>55</v>
      </c>
      <c r="H27" s="55" t="s">
        <v>129</v>
      </c>
      <c r="I27" s="55">
        <v>0</v>
      </c>
      <c r="J27" s="55" t="s">
        <v>129</v>
      </c>
      <c r="K27" s="55" t="s">
        <v>129</v>
      </c>
      <c r="L27" s="55" t="s">
        <v>129</v>
      </c>
      <c r="M27" s="55" t="s">
        <v>129</v>
      </c>
      <c r="N27" s="55" t="s">
        <v>129</v>
      </c>
      <c r="O27" s="55" t="s">
        <v>129</v>
      </c>
      <c r="P27" s="55" t="s">
        <v>129</v>
      </c>
      <c r="Q27" s="55" t="s">
        <v>129</v>
      </c>
      <c r="R27" s="55" t="s">
        <v>129</v>
      </c>
      <c r="S27" s="55">
        <v>14</v>
      </c>
      <c r="T27" s="55" t="s">
        <v>129</v>
      </c>
      <c r="U27" s="55">
        <v>42</v>
      </c>
      <c r="V27" s="55" t="s">
        <v>129</v>
      </c>
      <c r="W27" s="55">
        <v>40</v>
      </c>
      <c r="X27" s="55" t="s">
        <v>129</v>
      </c>
      <c r="Y27" s="55">
        <v>0</v>
      </c>
      <c r="Z27" s="55" t="s">
        <v>129</v>
      </c>
      <c r="AA27" s="55" t="s">
        <v>129</v>
      </c>
      <c r="AB27" s="55" t="s">
        <v>129</v>
      </c>
      <c r="AC27" s="55" t="s">
        <v>129</v>
      </c>
      <c r="AD27" s="55" t="s">
        <v>129</v>
      </c>
      <c r="AE27" s="55" t="s">
        <v>129</v>
      </c>
      <c r="AF27" s="55" t="s">
        <v>129</v>
      </c>
      <c r="AG27" s="55" t="s">
        <v>129</v>
      </c>
      <c r="AH27" s="55" t="s">
        <v>129</v>
      </c>
      <c r="AI27" s="55">
        <v>22</v>
      </c>
      <c r="AJ27" s="55" t="s">
        <v>129</v>
      </c>
      <c r="AK27" s="55">
        <v>84</v>
      </c>
      <c r="AL27" s="55" t="s">
        <v>129</v>
      </c>
      <c r="AM27" s="55">
        <v>14</v>
      </c>
      <c r="AN27" s="55" t="s">
        <v>129</v>
      </c>
      <c r="AO27" s="55">
        <v>0</v>
      </c>
      <c r="AP27" s="55" t="s">
        <v>129</v>
      </c>
      <c r="AQ27" s="55" t="s">
        <v>129</v>
      </c>
      <c r="AR27" s="55" t="s">
        <v>129</v>
      </c>
      <c r="AS27" s="55" t="s">
        <v>129</v>
      </c>
      <c r="AT27" s="55" t="s">
        <v>129</v>
      </c>
      <c r="AU27" s="55" t="s">
        <v>129</v>
      </c>
      <c r="AV27" s="55" t="s">
        <v>129</v>
      </c>
      <c r="AW27" s="55" t="s">
        <v>129</v>
      </c>
      <c r="AX27" s="55" t="s">
        <v>129</v>
      </c>
      <c r="AY27" s="55">
        <v>54</v>
      </c>
      <c r="AZ27" s="55" t="s">
        <v>129</v>
      </c>
      <c r="BA27" s="55">
        <v>44</v>
      </c>
      <c r="BB27" s="55" t="s">
        <v>129</v>
      </c>
      <c r="BC27" s="55">
        <v>18</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72</v>
      </c>
      <c r="D28" s="55" t="s">
        <v>129</v>
      </c>
      <c r="E28" s="55">
        <v>96</v>
      </c>
      <c r="F28" s="55" t="s">
        <v>129</v>
      </c>
      <c r="G28" s="55">
        <v>63</v>
      </c>
      <c r="H28" s="55" t="s">
        <v>129</v>
      </c>
      <c r="I28" s="55">
        <v>0</v>
      </c>
      <c r="J28" s="55" t="s">
        <v>129</v>
      </c>
      <c r="K28" s="55" t="s">
        <v>129</v>
      </c>
      <c r="L28" s="55" t="s">
        <v>129</v>
      </c>
      <c r="M28" s="55" t="s">
        <v>129</v>
      </c>
      <c r="N28" s="55" t="s">
        <v>129</v>
      </c>
      <c r="O28" s="55" t="s">
        <v>129</v>
      </c>
      <c r="P28" s="55" t="s">
        <v>129</v>
      </c>
      <c r="Q28" s="55" t="s">
        <v>129</v>
      </c>
      <c r="R28" s="55" t="s">
        <v>129</v>
      </c>
      <c r="S28" s="55">
        <v>11</v>
      </c>
      <c r="T28" s="55" t="s">
        <v>129</v>
      </c>
      <c r="U28" s="55">
        <v>33</v>
      </c>
      <c r="V28" s="55" t="s">
        <v>129</v>
      </c>
      <c r="W28" s="55">
        <v>45</v>
      </c>
      <c r="X28" s="55" t="s">
        <v>129</v>
      </c>
      <c r="Y28" s="55">
        <v>0</v>
      </c>
      <c r="Z28" s="55" t="s">
        <v>129</v>
      </c>
      <c r="AA28" s="55" t="s">
        <v>129</v>
      </c>
      <c r="AB28" s="55" t="s">
        <v>129</v>
      </c>
      <c r="AC28" s="55" t="s">
        <v>129</v>
      </c>
      <c r="AD28" s="55" t="s">
        <v>129</v>
      </c>
      <c r="AE28" s="55" t="s">
        <v>129</v>
      </c>
      <c r="AF28" s="55" t="s">
        <v>129</v>
      </c>
      <c r="AG28" s="55" t="s">
        <v>129</v>
      </c>
      <c r="AH28" s="55" t="s">
        <v>129</v>
      </c>
      <c r="AI28" s="55">
        <v>19</v>
      </c>
      <c r="AJ28" s="55" t="s">
        <v>129</v>
      </c>
      <c r="AK28" s="55">
        <v>79</v>
      </c>
      <c r="AL28" s="55" t="s">
        <v>129</v>
      </c>
      <c r="AM28" s="55">
        <v>8</v>
      </c>
      <c r="AN28" s="55" t="s">
        <v>129</v>
      </c>
      <c r="AO28" s="55">
        <v>0</v>
      </c>
      <c r="AP28" s="55" t="s">
        <v>129</v>
      </c>
      <c r="AQ28" s="55" t="s">
        <v>129</v>
      </c>
      <c r="AR28" s="55" t="s">
        <v>129</v>
      </c>
      <c r="AS28" s="55" t="s">
        <v>129</v>
      </c>
      <c r="AT28" s="55" t="s">
        <v>129</v>
      </c>
      <c r="AU28" s="55" t="s">
        <v>129</v>
      </c>
      <c r="AV28" s="55" t="s">
        <v>129</v>
      </c>
      <c r="AW28" s="55" t="s">
        <v>129</v>
      </c>
      <c r="AX28" s="55" t="s">
        <v>129</v>
      </c>
      <c r="AY28" s="55">
        <v>71</v>
      </c>
      <c r="AZ28" s="55" t="s">
        <v>129</v>
      </c>
      <c r="BA28" s="55">
        <v>51</v>
      </c>
      <c r="BB28" s="55" t="s">
        <v>129</v>
      </c>
      <c r="BC28" s="55">
        <v>12</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74</v>
      </c>
      <c r="D29" s="55" t="s">
        <v>129</v>
      </c>
      <c r="E29" s="55">
        <v>75</v>
      </c>
      <c r="F29" s="55" t="s">
        <v>129</v>
      </c>
      <c r="G29" s="55">
        <v>70</v>
      </c>
      <c r="H29" s="55" t="s">
        <v>129</v>
      </c>
      <c r="I29" s="55">
        <v>0</v>
      </c>
      <c r="J29" s="55" t="s">
        <v>129</v>
      </c>
      <c r="K29" s="55" t="s">
        <v>129</v>
      </c>
      <c r="L29" s="55" t="s">
        <v>129</v>
      </c>
      <c r="M29" s="55" t="s">
        <v>129</v>
      </c>
      <c r="N29" s="55" t="s">
        <v>129</v>
      </c>
      <c r="O29" s="55" t="s">
        <v>129</v>
      </c>
      <c r="P29" s="55" t="s">
        <v>129</v>
      </c>
      <c r="Q29" s="55" t="s">
        <v>129</v>
      </c>
      <c r="R29" s="55" t="s">
        <v>129</v>
      </c>
      <c r="S29" s="55">
        <v>15</v>
      </c>
      <c r="T29" s="55" t="s">
        <v>129</v>
      </c>
      <c r="U29" s="55">
        <v>38</v>
      </c>
      <c r="V29" s="55" t="s">
        <v>129</v>
      </c>
      <c r="W29" s="55">
        <v>46</v>
      </c>
      <c r="X29" s="55" t="s">
        <v>129</v>
      </c>
      <c r="Y29" s="55">
        <v>0</v>
      </c>
      <c r="Z29" s="55" t="s">
        <v>129</v>
      </c>
      <c r="AA29" s="55" t="s">
        <v>129</v>
      </c>
      <c r="AB29" s="55" t="s">
        <v>129</v>
      </c>
      <c r="AC29" s="55" t="s">
        <v>129</v>
      </c>
      <c r="AD29" s="55" t="s">
        <v>129</v>
      </c>
      <c r="AE29" s="55" t="s">
        <v>129</v>
      </c>
      <c r="AF29" s="55" t="s">
        <v>129</v>
      </c>
      <c r="AG29" s="55" t="s">
        <v>129</v>
      </c>
      <c r="AH29" s="55" t="s">
        <v>129</v>
      </c>
      <c r="AI29" s="55">
        <v>20</v>
      </c>
      <c r="AJ29" s="55" t="s">
        <v>129</v>
      </c>
      <c r="AK29" s="55">
        <v>88</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53</v>
      </c>
      <c r="AZ29" s="55" t="s">
        <v>129</v>
      </c>
      <c r="BA29" s="55">
        <v>52</v>
      </c>
      <c r="BB29" s="55" t="s">
        <v>129</v>
      </c>
      <c r="BC29" s="55">
        <v>15</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72</v>
      </c>
      <c r="D30" s="55" t="s">
        <v>129</v>
      </c>
      <c r="E30" s="55">
        <v>110</v>
      </c>
      <c r="F30" s="55" t="s">
        <v>129</v>
      </c>
      <c r="G30" s="55">
        <v>76</v>
      </c>
      <c r="H30" s="55" t="s">
        <v>129</v>
      </c>
      <c r="I30" s="55">
        <v>0</v>
      </c>
      <c r="J30" s="55" t="s">
        <v>129</v>
      </c>
      <c r="K30" s="55" t="s">
        <v>129</v>
      </c>
      <c r="L30" s="55" t="s">
        <v>129</v>
      </c>
      <c r="M30" s="55" t="s">
        <v>129</v>
      </c>
      <c r="N30" s="55" t="s">
        <v>129</v>
      </c>
      <c r="O30" s="55" t="s">
        <v>129</v>
      </c>
      <c r="P30" s="55" t="s">
        <v>129</v>
      </c>
      <c r="Q30" s="55" t="s">
        <v>129</v>
      </c>
      <c r="R30" s="55" t="s">
        <v>129</v>
      </c>
      <c r="S30" s="55">
        <v>16</v>
      </c>
      <c r="T30" s="55" t="s">
        <v>129</v>
      </c>
      <c r="U30" s="55">
        <v>40</v>
      </c>
      <c r="V30" s="55" t="s">
        <v>129</v>
      </c>
      <c r="W30" s="55">
        <v>37</v>
      </c>
      <c r="X30" s="55" t="s">
        <v>129</v>
      </c>
      <c r="Y30" s="55">
        <v>0</v>
      </c>
      <c r="Z30" s="55" t="s">
        <v>129</v>
      </c>
      <c r="AA30" s="55" t="s">
        <v>129</v>
      </c>
      <c r="AB30" s="55" t="s">
        <v>129</v>
      </c>
      <c r="AC30" s="55" t="s">
        <v>129</v>
      </c>
      <c r="AD30" s="55" t="s">
        <v>129</v>
      </c>
      <c r="AE30" s="55" t="s">
        <v>129</v>
      </c>
      <c r="AF30" s="55" t="s">
        <v>129</v>
      </c>
      <c r="AG30" s="55" t="s">
        <v>129</v>
      </c>
      <c r="AH30" s="55" t="s">
        <v>129</v>
      </c>
      <c r="AI30" s="55">
        <v>36</v>
      </c>
      <c r="AJ30" s="55" t="s">
        <v>129</v>
      </c>
      <c r="AK30" s="55">
        <v>114</v>
      </c>
      <c r="AL30" s="55" t="s">
        <v>129</v>
      </c>
      <c r="AM30" s="55">
        <v>11</v>
      </c>
      <c r="AN30" s="55" t="s">
        <v>129</v>
      </c>
      <c r="AO30" s="55">
        <v>0</v>
      </c>
      <c r="AP30" s="55" t="s">
        <v>129</v>
      </c>
      <c r="AQ30" s="55" t="s">
        <v>129</v>
      </c>
      <c r="AR30" s="55" t="s">
        <v>129</v>
      </c>
      <c r="AS30" s="55" t="s">
        <v>129</v>
      </c>
      <c r="AT30" s="55" t="s">
        <v>129</v>
      </c>
      <c r="AU30" s="55" t="s">
        <v>129</v>
      </c>
      <c r="AV30" s="55" t="s">
        <v>129</v>
      </c>
      <c r="AW30" s="55" t="s">
        <v>129</v>
      </c>
      <c r="AX30" s="55" t="s">
        <v>129</v>
      </c>
      <c r="AY30" s="55">
        <v>60</v>
      </c>
      <c r="AZ30" s="55" t="s">
        <v>129</v>
      </c>
      <c r="BA30" s="55">
        <v>69</v>
      </c>
      <c r="BB30" s="55" t="s">
        <v>129</v>
      </c>
      <c r="BC30" s="55">
        <v>13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60</v>
      </c>
      <c r="D31" s="55" t="s">
        <v>129</v>
      </c>
      <c r="E31" s="55">
        <v>89</v>
      </c>
      <c r="F31" s="55" t="s">
        <v>129</v>
      </c>
      <c r="G31" s="55">
        <v>61</v>
      </c>
      <c r="H31" s="55" t="s">
        <v>129</v>
      </c>
      <c r="I31" s="55">
        <v>0</v>
      </c>
      <c r="J31" s="55" t="s">
        <v>129</v>
      </c>
      <c r="K31" s="55" t="s">
        <v>129</v>
      </c>
      <c r="L31" s="55" t="s">
        <v>129</v>
      </c>
      <c r="M31" s="55" t="s">
        <v>129</v>
      </c>
      <c r="N31" s="55" t="s">
        <v>129</v>
      </c>
      <c r="O31" s="55" t="s">
        <v>129</v>
      </c>
      <c r="P31" s="55" t="s">
        <v>129</v>
      </c>
      <c r="Q31" s="55" t="s">
        <v>129</v>
      </c>
      <c r="R31" s="55" t="s">
        <v>129</v>
      </c>
      <c r="S31" s="55">
        <v>10</v>
      </c>
      <c r="T31" s="55" t="s">
        <v>129</v>
      </c>
      <c r="U31" s="55">
        <v>42</v>
      </c>
      <c r="V31" s="55" t="s">
        <v>129</v>
      </c>
      <c r="W31" s="55">
        <v>61</v>
      </c>
      <c r="X31" s="55" t="s">
        <v>129</v>
      </c>
      <c r="Y31" s="55">
        <v>0</v>
      </c>
      <c r="Z31" s="55" t="s">
        <v>129</v>
      </c>
      <c r="AA31" s="55" t="s">
        <v>129</v>
      </c>
      <c r="AB31" s="55" t="s">
        <v>129</v>
      </c>
      <c r="AC31" s="55" t="s">
        <v>129</v>
      </c>
      <c r="AD31" s="55" t="s">
        <v>129</v>
      </c>
      <c r="AE31" s="55" t="s">
        <v>129</v>
      </c>
      <c r="AF31" s="55" t="s">
        <v>129</v>
      </c>
      <c r="AG31" s="55" t="s">
        <v>129</v>
      </c>
      <c r="AH31" s="55" t="s">
        <v>129</v>
      </c>
      <c r="AI31" s="55">
        <v>25</v>
      </c>
      <c r="AJ31" s="55" t="s">
        <v>129</v>
      </c>
      <c r="AK31" s="55">
        <v>98</v>
      </c>
      <c r="AL31" s="55" t="s">
        <v>129</v>
      </c>
      <c r="AM31" s="55">
        <v>11</v>
      </c>
      <c r="AN31" s="55" t="s">
        <v>129</v>
      </c>
      <c r="AO31" s="55">
        <v>0</v>
      </c>
      <c r="AP31" s="55" t="s">
        <v>129</v>
      </c>
      <c r="AQ31" s="55" t="s">
        <v>129</v>
      </c>
      <c r="AR31" s="55" t="s">
        <v>129</v>
      </c>
      <c r="AS31" s="55" t="s">
        <v>129</v>
      </c>
      <c r="AT31" s="55" t="s">
        <v>129</v>
      </c>
      <c r="AU31" s="55" t="s">
        <v>129</v>
      </c>
      <c r="AV31" s="55" t="s">
        <v>129</v>
      </c>
      <c r="AW31" s="55" t="s">
        <v>129</v>
      </c>
      <c r="AX31" s="55" t="s">
        <v>129</v>
      </c>
      <c r="AY31" s="55">
        <v>70</v>
      </c>
      <c r="AZ31" s="55" t="s">
        <v>129</v>
      </c>
      <c r="BA31" s="55">
        <v>57</v>
      </c>
      <c r="BB31" s="55" t="s">
        <v>129</v>
      </c>
      <c r="BC31" s="55">
        <v>21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63</v>
      </c>
      <c r="D32" s="55" t="s">
        <v>129</v>
      </c>
      <c r="E32" s="55">
        <v>94</v>
      </c>
      <c r="F32" s="55" t="s">
        <v>129</v>
      </c>
      <c r="G32" s="55">
        <v>60</v>
      </c>
      <c r="H32" s="55" t="s">
        <v>129</v>
      </c>
      <c r="I32" s="55">
        <v>0</v>
      </c>
      <c r="J32" s="55" t="s">
        <v>129</v>
      </c>
      <c r="K32" s="55" t="s">
        <v>129</v>
      </c>
      <c r="L32" s="55" t="s">
        <v>129</v>
      </c>
      <c r="M32" s="55" t="s">
        <v>129</v>
      </c>
      <c r="N32" s="55" t="s">
        <v>129</v>
      </c>
      <c r="O32" s="55" t="s">
        <v>129</v>
      </c>
      <c r="P32" s="55" t="s">
        <v>129</v>
      </c>
      <c r="Q32" s="55" t="s">
        <v>129</v>
      </c>
      <c r="R32" s="55" t="s">
        <v>129</v>
      </c>
      <c r="S32" s="55">
        <v>11</v>
      </c>
      <c r="T32" s="55" t="s">
        <v>129</v>
      </c>
      <c r="U32" s="55">
        <v>52</v>
      </c>
      <c r="V32" s="55" t="s">
        <v>129</v>
      </c>
      <c r="W32" s="55">
        <v>41</v>
      </c>
      <c r="X32" s="55" t="s">
        <v>129</v>
      </c>
      <c r="Y32" s="55">
        <v>0</v>
      </c>
      <c r="Z32" s="55" t="s">
        <v>129</v>
      </c>
      <c r="AA32" s="55" t="s">
        <v>129</v>
      </c>
      <c r="AB32" s="55" t="s">
        <v>129</v>
      </c>
      <c r="AC32" s="55" t="s">
        <v>129</v>
      </c>
      <c r="AD32" s="55" t="s">
        <v>129</v>
      </c>
      <c r="AE32" s="55" t="s">
        <v>129</v>
      </c>
      <c r="AF32" s="55" t="s">
        <v>129</v>
      </c>
      <c r="AG32" s="55" t="s">
        <v>129</v>
      </c>
      <c r="AH32" s="55" t="s">
        <v>129</v>
      </c>
      <c r="AI32" s="55">
        <v>33</v>
      </c>
      <c r="AJ32" s="55" t="s">
        <v>129</v>
      </c>
      <c r="AK32" s="55">
        <v>117</v>
      </c>
      <c r="AL32" s="55" t="s">
        <v>129</v>
      </c>
      <c r="AM32" s="55">
        <v>17</v>
      </c>
      <c r="AN32" s="55" t="s">
        <v>129</v>
      </c>
      <c r="AO32" s="55">
        <v>0</v>
      </c>
      <c r="AP32" s="55" t="s">
        <v>129</v>
      </c>
      <c r="AQ32" s="55" t="s">
        <v>129</v>
      </c>
      <c r="AR32" s="55" t="s">
        <v>129</v>
      </c>
      <c r="AS32" s="55" t="s">
        <v>129</v>
      </c>
      <c r="AT32" s="55" t="s">
        <v>129</v>
      </c>
      <c r="AU32" s="55" t="s">
        <v>129</v>
      </c>
      <c r="AV32" s="55" t="s">
        <v>129</v>
      </c>
      <c r="AW32" s="55" t="s">
        <v>129</v>
      </c>
      <c r="AX32" s="55" t="s">
        <v>129</v>
      </c>
      <c r="AY32" s="55">
        <v>63</v>
      </c>
      <c r="AZ32" s="55" t="s">
        <v>129</v>
      </c>
      <c r="BA32" s="55">
        <v>75</v>
      </c>
      <c r="BB32" s="55" t="s">
        <v>129</v>
      </c>
      <c r="BC32" s="55">
        <v>21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59</v>
      </c>
      <c r="D33" s="55" t="s">
        <v>129</v>
      </c>
      <c r="E33" s="55">
        <v>105</v>
      </c>
      <c r="F33" s="55" t="s">
        <v>129</v>
      </c>
      <c r="G33" s="55">
        <v>77</v>
      </c>
      <c r="H33" s="55" t="s">
        <v>129</v>
      </c>
      <c r="I33" s="55">
        <v>0</v>
      </c>
      <c r="J33" s="55" t="s">
        <v>129</v>
      </c>
      <c r="K33" s="55" t="s">
        <v>129</v>
      </c>
      <c r="L33" s="55" t="s">
        <v>129</v>
      </c>
      <c r="M33" s="55" t="s">
        <v>129</v>
      </c>
      <c r="N33" s="55" t="s">
        <v>129</v>
      </c>
      <c r="O33" s="55" t="s">
        <v>129</v>
      </c>
      <c r="P33" s="55" t="s">
        <v>129</v>
      </c>
      <c r="Q33" s="55" t="s">
        <v>129</v>
      </c>
      <c r="R33" s="55" t="s">
        <v>129</v>
      </c>
      <c r="S33" s="55">
        <v>11</v>
      </c>
      <c r="T33" s="55" t="s">
        <v>129</v>
      </c>
      <c r="U33" s="55">
        <v>58</v>
      </c>
      <c r="V33" s="55" t="s">
        <v>129</v>
      </c>
      <c r="W33" s="55">
        <v>40</v>
      </c>
      <c r="X33" s="55" t="s">
        <v>129</v>
      </c>
      <c r="Y33" s="55">
        <v>0</v>
      </c>
      <c r="Z33" s="55" t="s">
        <v>129</v>
      </c>
      <c r="AA33" s="55" t="s">
        <v>129</v>
      </c>
      <c r="AB33" s="55" t="s">
        <v>129</v>
      </c>
      <c r="AC33" s="55" t="s">
        <v>129</v>
      </c>
      <c r="AD33" s="55" t="s">
        <v>129</v>
      </c>
      <c r="AE33" s="55" t="s">
        <v>129</v>
      </c>
      <c r="AF33" s="55" t="s">
        <v>129</v>
      </c>
      <c r="AG33" s="55" t="s">
        <v>129</v>
      </c>
      <c r="AH33" s="55" t="s">
        <v>129</v>
      </c>
      <c r="AI33" s="55">
        <v>29</v>
      </c>
      <c r="AJ33" s="55" t="s">
        <v>129</v>
      </c>
      <c r="AK33" s="55">
        <v>87</v>
      </c>
      <c r="AL33" s="55" t="s">
        <v>129</v>
      </c>
      <c r="AM33" s="55">
        <v>9</v>
      </c>
      <c r="AN33" s="55" t="s">
        <v>129</v>
      </c>
      <c r="AO33" s="55">
        <v>0</v>
      </c>
      <c r="AP33" s="55" t="s">
        <v>129</v>
      </c>
      <c r="AQ33" s="55" t="s">
        <v>129</v>
      </c>
      <c r="AR33" s="55" t="s">
        <v>129</v>
      </c>
      <c r="AS33" s="55" t="s">
        <v>129</v>
      </c>
      <c r="AT33" s="55" t="s">
        <v>129</v>
      </c>
      <c r="AU33" s="55" t="s">
        <v>129</v>
      </c>
      <c r="AV33" s="55" t="s">
        <v>129</v>
      </c>
      <c r="AW33" s="55" t="s">
        <v>129</v>
      </c>
      <c r="AX33" s="55" t="s">
        <v>129</v>
      </c>
      <c r="AY33" s="55">
        <v>75</v>
      </c>
      <c r="AZ33" s="55" t="s">
        <v>129</v>
      </c>
      <c r="BA33" s="55">
        <v>58</v>
      </c>
      <c r="BB33" s="55" t="s">
        <v>129</v>
      </c>
      <c r="BC33" s="55">
        <v>11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59</v>
      </c>
      <c r="D34" s="55" t="s">
        <v>129</v>
      </c>
      <c r="E34" s="55">
        <v>96</v>
      </c>
      <c r="F34" s="55" t="s">
        <v>129</v>
      </c>
      <c r="G34" s="55">
        <v>69</v>
      </c>
      <c r="H34" s="55" t="s">
        <v>129</v>
      </c>
      <c r="I34" s="55">
        <v>0</v>
      </c>
      <c r="J34" s="55" t="s">
        <v>129</v>
      </c>
      <c r="K34" s="55" t="s">
        <v>129</v>
      </c>
      <c r="L34" s="55" t="s">
        <v>129</v>
      </c>
      <c r="M34" s="55" t="s">
        <v>129</v>
      </c>
      <c r="N34" s="55" t="s">
        <v>129</v>
      </c>
      <c r="O34" s="55" t="s">
        <v>129</v>
      </c>
      <c r="P34" s="55" t="s">
        <v>129</v>
      </c>
      <c r="Q34" s="55" t="s">
        <v>129</v>
      </c>
      <c r="R34" s="55" t="s">
        <v>129</v>
      </c>
      <c r="S34" s="55">
        <v>12</v>
      </c>
      <c r="T34" s="55" t="s">
        <v>129</v>
      </c>
      <c r="U34" s="55">
        <v>44</v>
      </c>
      <c r="V34" s="55" t="s">
        <v>129</v>
      </c>
      <c r="W34" s="55">
        <v>52</v>
      </c>
      <c r="X34" s="55" t="s">
        <v>129</v>
      </c>
      <c r="Y34" s="55">
        <v>0</v>
      </c>
      <c r="Z34" s="55" t="s">
        <v>129</v>
      </c>
      <c r="AA34" s="55" t="s">
        <v>129</v>
      </c>
      <c r="AB34" s="55" t="s">
        <v>129</v>
      </c>
      <c r="AC34" s="55" t="s">
        <v>129</v>
      </c>
      <c r="AD34" s="55" t="s">
        <v>129</v>
      </c>
      <c r="AE34" s="55" t="s">
        <v>129</v>
      </c>
      <c r="AF34" s="55" t="s">
        <v>129</v>
      </c>
      <c r="AG34" s="55" t="s">
        <v>129</v>
      </c>
      <c r="AH34" s="55" t="s">
        <v>129</v>
      </c>
      <c r="AI34" s="55">
        <v>22</v>
      </c>
      <c r="AJ34" s="55" t="s">
        <v>129</v>
      </c>
      <c r="AK34" s="55">
        <v>79</v>
      </c>
      <c r="AL34" s="55" t="s">
        <v>129</v>
      </c>
      <c r="AM34" s="55">
        <v>20</v>
      </c>
      <c r="AN34" s="55" t="s">
        <v>129</v>
      </c>
      <c r="AO34" s="55">
        <v>0</v>
      </c>
      <c r="AP34" s="55" t="s">
        <v>129</v>
      </c>
      <c r="AQ34" s="55" t="s">
        <v>129</v>
      </c>
      <c r="AR34" s="55" t="s">
        <v>129</v>
      </c>
      <c r="AS34" s="55" t="s">
        <v>129</v>
      </c>
      <c r="AT34" s="55" t="s">
        <v>129</v>
      </c>
      <c r="AU34" s="55" t="s">
        <v>129</v>
      </c>
      <c r="AV34" s="55" t="s">
        <v>129</v>
      </c>
      <c r="AW34" s="55" t="s">
        <v>129</v>
      </c>
      <c r="AX34" s="55" t="s">
        <v>129</v>
      </c>
      <c r="AY34" s="55">
        <v>84</v>
      </c>
      <c r="AZ34" s="55" t="s">
        <v>129</v>
      </c>
      <c r="BA34" s="55">
        <v>63</v>
      </c>
      <c r="BB34" s="55" t="s">
        <v>129</v>
      </c>
      <c r="BC34" s="55">
        <v>16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70</v>
      </c>
      <c r="D35" s="55" t="s">
        <v>129</v>
      </c>
      <c r="E35" s="55">
        <v>94</v>
      </c>
      <c r="F35" s="55" t="s">
        <v>129</v>
      </c>
      <c r="G35" s="55">
        <v>55</v>
      </c>
      <c r="H35" s="55" t="s">
        <v>129</v>
      </c>
      <c r="I35" s="55">
        <v>0</v>
      </c>
      <c r="J35" s="55" t="s">
        <v>129</v>
      </c>
      <c r="K35" s="55" t="s">
        <v>129</v>
      </c>
      <c r="L35" s="55" t="s">
        <v>129</v>
      </c>
      <c r="M35" s="55" t="s">
        <v>129</v>
      </c>
      <c r="N35" s="55" t="s">
        <v>129</v>
      </c>
      <c r="O35" s="55" t="s">
        <v>129</v>
      </c>
      <c r="P35" s="55" t="s">
        <v>129</v>
      </c>
      <c r="Q35" s="55" t="s">
        <v>129</v>
      </c>
      <c r="R35" s="55" t="s">
        <v>129</v>
      </c>
      <c r="S35" s="55">
        <v>16</v>
      </c>
      <c r="T35" s="55" t="s">
        <v>129</v>
      </c>
      <c r="U35" s="55">
        <v>40</v>
      </c>
      <c r="V35" s="55" t="s">
        <v>129</v>
      </c>
      <c r="W35" s="55">
        <v>41</v>
      </c>
      <c r="X35" s="55" t="s">
        <v>129</v>
      </c>
      <c r="Y35" s="55">
        <v>0</v>
      </c>
      <c r="Z35" s="55" t="s">
        <v>129</v>
      </c>
      <c r="AA35" s="55" t="s">
        <v>129</v>
      </c>
      <c r="AB35" s="55" t="s">
        <v>129</v>
      </c>
      <c r="AC35" s="55" t="s">
        <v>129</v>
      </c>
      <c r="AD35" s="55" t="s">
        <v>129</v>
      </c>
      <c r="AE35" s="55" t="s">
        <v>129</v>
      </c>
      <c r="AF35" s="55" t="s">
        <v>129</v>
      </c>
      <c r="AG35" s="55" t="s">
        <v>129</v>
      </c>
      <c r="AH35" s="55" t="s">
        <v>129</v>
      </c>
      <c r="AI35" s="55">
        <v>32</v>
      </c>
      <c r="AJ35" s="55" t="s">
        <v>129</v>
      </c>
      <c r="AK35" s="55">
        <v>106</v>
      </c>
      <c r="AL35" s="55" t="s">
        <v>129</v>
      </c>
      <c r="AM35" s="55">
        <v>10</v>
      </c>
      <c r="AN35" s="55" t="s">
        <v>129</v>
      </c>
      <c r="AO35" s="55">
        <v>0</v>
      </c>
      <c r="AP35" s="55" t="s">
        <v>129</v>
      </c>
      <c r="AQ35" s="55" t="s">
        <v>129</v>
      </c>
      <c r="AR35" s="55" t="s">
        <v>129</v>
      </c>
      <c r="AS35" s="55" t="s">
        <v>129</v>
      </c>
      <c r="AT35" s="55" t="s">
        <v>129</v>
      </c>
      <c r="AU35" s="55" t="s">
        <v>129</v>
      </c>
      <c r="AV35" s="55" t="s">
        <v>129</v>
      </c>
      <c r="AW35" s="55" t="s">
        <v>129</v>
      </c>
      <c r="AX35" s="55" t="s">
        <v>129</v>
      </c>
      <c r="AY35" s="55">
        <v>72</v>
      </c>
      <c r="AZ35" s="55" t="s">
        <v>129</v>
      </c>
      <c r="BA35" s="55">
        <v>49</v>
      </c>
      <c r="BB35" s="55" t="s">
        <v>129</v>
      </c>
      <c r="BC35" s="55">
        <v>14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90</v>
      </c>
      <c r="D36" s="55" t="s">
        <v>129</v>
      </c>
      <c r="E36" s="55">
        <v>93</v>
      </c>
      <c r="F36" s="55" t="s">
        <v>129</v>
      </c>
      <c r="G36" s="55">
        <v>63</v>
      </c>
      <c r="H36" s="55" t="s">
        <v>129</v>
      </c>
      <c r="I36" s="55">
        <v>0</v>
      </c>
      <c r="J36" s="55" t="s">
        <v>129</v>
      </c>
      <c r="K36" s="55" t="s">
        <v>129</v>
      </c>
      <c r="L36" s="55" t="s">
        <v>129</v>
      </c>
      <c r="M36" s="55" t="s">
        <v>129</v>
      </c>
      <c r="N36" s="55" t="s">
        <v>129</v>
      </c>
      <c r="O36" s="55" t="s">
        <v>129</v>
      </c>
      <c r="P36" s="55" t="s">
        <v>129</v>
      </c>
      <c r="Q36" s="55" t="s">
        <v>129</v>
      </c>
      <c r="R36" s="55" t="s">
        <v>129</v>
      </c>
      <c r="S36" s="55">
        <v>16</v>
      </c>
      <c r="T36" s="55" t="s">
        <v>129</v>
      </c>
      <c r="U36" s="55">
        <v>54</v>
      </c>
      <c r="V36" s="55" t="s">
        <v>129</v>
      </c>
      <c r="W36" s="55">
        <v>66</v>
      </c>
      <c r="X36" s="55" t="s">
        <v>129</v>
      </c>
      <c r="Y36" s="55">
        <v>0</v>
      </c>
      <c r="Z36" s="55" t="s">
        <v>129</v>
      </c>
      <c r="AA36" s="55" t="s">
        <v>129</v>
      </c>
      <c r="AB36" s="55" t="s">
        <v>129</v>
      </c>
      <c r="AC36" s="55" t="s">
        <v>129</v>
      </c>
      <c r="AD36" s="55" t="s">
        <v>129</v>
      </c>
      <c r="AE36" s="55" t="s">
        <v>129</v>
      </c>
      <c r="AF36" s="55" t="s">
        <v>129</v>
      </c>
      <c r="AG36" s="55" t="s">
        <v>129</v>
      </c>
      <c r="AH36" s="55" t="s">
        <v>129</v>
      </c>
      <c r="AI36" s="55">
        <v>28</v>
      </c>
      <c r="AJ36" s="55" t="s">
        <v>129</v>
      </c>
      <c r="AK36" s="55">
        <v>109</v>
      </c>
      <c r="AL36" s="55" t="s">
        <v>129</v>
      </c>
      <c r="AM36" s="55">
        <v>11</v>
      </c>
      <c r="AN36" s="55" t="s">
        <v>129</v>
      </c>
      <c r="AO36" s="55">
        <v>0</v>
      </c>
      <c r="AP36" s="55" t="s">
        <v>129</v>
      </c>
      <c r="AQ36" s="55" t="s">
        <v>129</v>
      </c>
      <c r="AR36" s="55" t="s">
        <v>129</v>
      </c>
      <c r="AS36" s="55" t="s">
        <v>129</v>
      </c>
      <c r="AT36" s="55" t="s">
        <v>129</v>
      </c>
      <c r="AU36" s="55" t="s">
        <v>129</v>
      </c>
      <c r="AV36" s="55" t="s">
        <v>129</v>
      </c>
      <c r="AW36" s="55" t="s">
        <v>129</v>
      </c>
      <c r="AX36" s="55" t="s">
        <v>129</v>
      </c>
      <c r="AY36" s="55">
        <v>71</v>
      </c>
      <c r="AZ36" s="55" t="s">
        <v>129</v>
      </c>
      <c r="BA36" s="55">
        <v>65</v>
      </c>
      <c r="BB36" s="55" t="s">
        <v>129</v>
      </c>
      <c r="BC36" s="55">
        <v>30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69</v>
      </c>
      <c r="D37" s="55" t="s">
        <v>129</v>
      </c>
      <c r="E37" s="55">
        <v>90</v>
      </c>
      <c r="F37" s="55" t="s">
        <v>129</v>
      </c>
      <c r="G37" s="55">
        <v>72</v>
      </c>
      <c r="H37" s="55" t="s">
        <v>129</v>
      </c>
      <c r="I37" s="55">
        <v>0</v>
      </c>
      <c r="J37" s="55" t="s">
        <v>129</v>
      </c>
      <c r="K37" s="55" t="s">
        <v>129</v>
      </c>
      <c r="L37" s="55" t="s">
        <v>129</v>
      </c>
      <c r="M37" s="55" t="s">
        <v>129</v>
      </c>
      <c r="N37" s="55" t="s">
        <v>129</v>
      </c>
      <c r="O37" s="55" t="s">
        <v>129</v>
      </c>
      <c r="P37" s="55" t="s">
        <v>129</v>
      </c>
      <c r="Q37" s="55" t="s">
        <v>129</v>
      </c>
      <c r="R37" s="55" t="s">
        <v>129</v>
      </c>
      <c r="S37" s="55">
        <v>11</v>
      </c>
      <c r="T37" s="55" t="s">
        <v>129</v>
      </c>
      <c r="U37" s="55">
        <v>43</v>
      </c>
      <c r="V37" s="55" t="s">
        <v>129</v>
      </c>
      <c r="W37" s="55">
        <v>44</v>
      </c>
      <c r="X37" s="55" t="s">
        <v>129</v>
      </c>
      <c r="Y37" s="55">
        <v>0</v>
      </c>
      <c r="Z37" s="55" t="s">
        <v>129</v>
      </c>
      <c r="AA37" s="55" t="s">
        <v>129</v>
      </c>
      <c r="AB37" s="55" t="s">
        <v>129</v>
      </c>
      <c r="AC37" s="55" t="s">
        <v>129</v>
      </c>
      <c r="AD37" s="55" t="s">
        <v>129</v>
      </c>
      <c r="AE37" s="55" t="s">
        <v>129</v>
      </c>
      <c r="AF37" s="55" t="s">
        <v>129</v>
      </c>
      <c r="AG37" s="55" t="s">
        <v>129</v>
      </c>
      <c r="AH37" s="55" t="s">
        <v>129</v>
      </c>
      <c r="AI37" s="55">
        <v>22</v>
      </c>
      <c r="AJ37" s="55" t="s">
        <v>129</v>
      </c>
      <c r="AK37" s="55">
        <v>98</v>
      </c>
      <c r="AL37" s="55" t="s">
        <v>129</v>
      </c>
      <c r="AM37" s="55">
        <v>19</v>
      </c>
      <c r="AN37" s="55" t="s">
        <v>129</v>
      </c>
      <c r="AO37" s="55">
        <v>1</v>
      </c>
      <c r="AP37" s="55" t="s">
        <v>129</v>
      </c>
      <c r="AQ37" s="55" t="s">
        <v>129</v>
      </c>
      <c r="AR37" s="55" t="s">
        <v>129</v>
      </c>
      <c r="AS37" s="55" t="s">
        <v>129</v>
      </c>
      <c r="AT37" s="55" t="s">
        <v>129</v>
      </c>
      <c r="AU37" s="55" t="s">
        <v>129</v>
      </c>
      <c r="AV37" s="55" t="s">
        <v>129</v>
      </c>
      <c r="AW37" s="55" t="s">
        <v>129</v>
      </c>
      <c r="AX37" s="55" t="s">
        <v>129</v>
      </c>
      <c r="AY37" s="55">
        <v>72</v>
      </c>
      <c r="AZ37" s="55" t="s">
        <v>129</v>
      </c>
      <c r="BA37" s="55">
        <v>52</v>
      </c>
      <c r="BB37" s="55" t="s">
        <v>129</v>
      </c>
      <c r="BC37" s="55">
        <v>21</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89</v>
      </c>
      <c r="D38" s="55" t="s">
        <v>129</v>
      </c>
      <c r="E38" s="55">
        <v>101</v>
      </c>
      <c r="F38" s="55" t="s">
        <v>129</v>
      </c>
      <c r="G38" s="55">
        <v>61</v>
      </c>
      <c r="H38" s="55" t="s">
        <v>129</v>
      </c>
      <c r="I38" s="55">
        <v>0</v>
      </c>
      <c r="J38" s="55" t="s">
        <v>129</v>
      </c>
      <c r="K38" s="55" t="s">
        <v>129</v>
      </c>
      <c r="L38" s="55" t="s">
        <v>129</v>
      </c>
      <c r="M38" s="55" t="s">
        <v>129</v>
      </c>
      <c r="N38" s="55" t="s">
        <v>129</v>
      </c>
      <c r="O38" s="55" t="s">
        <v>129</v>
      </c>
      <c r="P38" s="55" t="s">
        <v>129</v>
      </c>
      <c r="Q38" s="55" t="s">
        <v>129</v>
      </c>
      <c r="R38" s="55" t="s">
        <v>129</v>
      </c>
      <c r="S38" s="55">
        <v>6</v>
      </c>
      <c r="T38" s="55" t="s">
        <v>129</v>
      </c>
      <c r="U38" s="55">
        <v>39</v>
      </c>
      <c r="V38" s="55" t="s">
        <v>129</v>
      </c>
      <c r="W38" s="55">
        <v>49</v>
      </c>
      <c r="X38" s="55" t="s">
        <v>129</v>
      </c>
      <c r="Y38" s="55">
        <v>0</v>
      </c>
      <c r="Z38" s="55" t="s">
        <v>129</v>
      </c>
      <c r="AA38" s="55" t="s">
        <v>129</v>
      </c>
      <c r="AB38" s="55" t="s">
        <v>129</v>
      </c>
      <c r="AC38" s="55" t="s">
        <v>129</v>
      </c>
      <c r="AD38" s="55" t="s">
        <v>129</v>
      </c>
      <c r="AE38" s="55" t="s">
        <v>129</v>
      </c>
      <c r="AF38" s="55" t="s">
        <v>129</v>
      </c>
      <c r="AG38" s="55" t="s">
        <v>129</v>
      </c>
      <c r="AH38" s="55" t="s">
        <v>129</v>
      </c>
      <c r="AI38" s="55">
        <v>22</v>
      </c>
      <c r="AJ38" s="55" t="s">
        <v>129</v>
      </c>
      <c r="AK38" s="55">
        <v>84</v>
      </c>
      <c r="AL38" s="55" t="s">
        <v>129</v>
      </c>
      <c r="AM38" s="55">
        <v>12</v>
      </c>
      <c r="AN38" s="55" t="s">
        <v>129</v>
      </c>
      <c r="AO38" s="55">
        <v>0</v>
      </c>
      <c r="AP38" s="55" t="s">
        <v>129</v>
      </c>
      <c r="AQ38" s="55" t="s">
        <v>129</v>
      </c>
      <c r="AR38" s="55" t="s">
        <v>129</v>
      </c>
      <c r="AS38" s="55" t="s">
        <v>129</v>
      </c>
      <c r="AT38" s="55" t="s">
        <v>129</v>
      </c>
      <c r="AU38" s="55" t="s">
        <v>129</v>
      </c>
      <c r="AV38" s="55" t="s">
        <v>129</v>
      </c>
      <c r="AW38" s="55" t="s">
        <v>129</v>
      </c>
      <c r="AX38" s="55" t="s">
        <v>129</v>
      </c>
      <c r="AY38" s="55">
        <v>60</v>
      </c>
      <c r="AZ38" s="55" t="s">
        <v>129</v>
      </c>
      <c r="BA38" s="55">
        <v>55</v>
      </c>
      <c r="BB38" s="55" t="s">
        <v>129</v>
      </c>
      <c r="BC38" s="55">
        <v>20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86</v>
      </c>
      <c r="D39" s="55" t="s">
        <v>129</v>
      </c>
      <c r="E39" s="55">
        <v>81</v>
      </c>
      <c r="F39" s="55" t="s">
        <v>129</v>
      </c>
      <c r="G39" s="55">
        <v>50</v>
      </c>
      <c r="H39" s="55" t="s">
        <v>129</v>
      </c>
      <c r="I39" s="55">
        <v>0</v>
      </c>
      <c r="J39" s="55" t="s">
        <v>129</v>
      </c>
      <c r="K39" s="55" t="s">
        <v>129</v>
      </c>
      <c r="L39" s="55" t="s">
        <v>129</v>
      </c>
      <c r="M39" s="55" t="s">
        <v>129</v>
      </c>
      <c r="N39" s="55" t="s">
        <v>129</v>
      </c>
      <c r="O39" s="55" t="s">
        <v>129</v>
      </c>
      <c r="P39" s="55" t="s">
        <v>129</v>
      </c>
      <c r="Q39" s="55" t="s">
        <v>129</v>
      </c>
      <c r="R39" s="55" t="s">
        <v>129</v>
      </c>
      <c r="S39" s="55">
        <v>22</v>
      </c>
      <c r="T39" s="55" t="s">
        <v>129</v>
      </c>
      <c r="U39" s="55">
        <v>57</v>
      </c>
      <c r="V39" s="55" t="s">
        <v>129</v>
      </c>
      <c r="W39" s="55">
        <v>74</v>
      </c>
      <c r="X39" s="55" t="s">
        <v>129</v>
      </c>
      <c r="Y39" s="55">
        <v>0</v>
      </c>
      <c r="Z39" s="55" t="s">
        <v>129</v>
      </c>
      <c r="AA39" s="55" t="s">
        <v>129</v>
      </c>
      <c r="AB39" s="55" t="s">
        <v>129</v>
      </c>
      <c r="AC39" s="55" t="s">
        <v>129</v>
      </c>
      <c r="AD39" s="55" t="s">
        <v>129</v>
      </c>
      <c r="AE39" s="55" t="s">
        <v>129</v>
      </c>
      <c r="AF39" s="55" t="s">
        <v>129</v>
      </c>
      <c r="AG39" s="55" t="s">
        <v>129</v>
      </c>
      <c r="AH39" s="55" t="s">
        <v>129</v>
      </c>
      <c r="AI39" s="55">
        <v>20</v>
      </c>
      <c r="AJ39" s="55" t="s">
        <v>129</v>
      </c>
      <c r="AK39" s="55">
        <v>150</v>
      </c>
      <c r="AL39" s="55" t="s">
        <v>129</v>
      </c>
      <c r="AM39" s="55">
        <v>10</v>
      </c>
      <c r="AN39" s="55" t="s">
        <v>129</v>
      </c>
      <c r="AO39" s="55">
        <v>0</v>
      </c>
      <c r="AP39" s="55" t="s">
        <v>129</v>
      </c>
      <c r="AQ39" s="55" t="s">
        <v>129</v>
      </c>
      <c r="AR39" s="55" t="s">
        <v>129</v>
      </c>
      <c r="AS39" s="55" t="s">
        <v>129</v>
      </c>
      <c r="AT39" s="55" t="s">
        <v>129</v>
      </c>
      <c r="AU39" s="55" t="s">
        <v>129</v>
      </c>
      <c r="AV39" s="55" t="s">
        <v>129</v>
      </c>
      <c r="AW39" s="55" t="s">
        <v>129</v>
      </c>
      <c r="AX39" s="55" t="s">
        <v>129</v>
      </c>
      <c r="AY39" s="55">
        <v>87</v>
      </c>
      <c r="AZ39" s="55" t="s">
        <v>129</v>
      </c>
      <c r="BA39" s="55">
        <v>62</v>
      </c>
      <c r="BB39" s="55" t="s">
        <v>129</v>
      </c>
      <c r="BC39" s="55">
        <v>8</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97</v>
      </c>
      <c r="D40" s="55" t="s">
        <v>129</v>
      </c>
      <c r="E40" s="55">
        <v>108</v>
      </c>
      <c r="F40" s="55" t="s">
        <v>129</v>
      </c>
      <c r="G40" s="55">
        <v>68</v>
      </c>
      <c r="H40" s="55" t="s">
        <v>129</v>
      </c>
      <c r="I40" s="55">
        <v>0</v>
      </c>
      <c r="J40" s="55" t="s">
        <v>129</v>
      </c>
      <c r="K40" s="55" t="s">
        <v>129</v>
      </c>
      <c r="L40" s="55" t="s">
        <v>129</v>
      </c>
      <c r="M40" s="55" t="s">
        <v>129</v>
      </c>
      <c r="N40" s="55" t="s">
        <v>129</v>
      </c>
      <c r="O40" s="55" t="s">
        <v>129</v>
      </c>
      <c r="P40" s="55" t="s">
        <v>129</v>
      </c>
      <c r="Q40" s="55" t="s">
        <v>129</v>
      </c>
      <c r="R40" s="55" t="s">
        <v>129</v>
      </c>
      <c r="S40" s="55">
        <v>18</v>
      </c>
      <c r="T40" s="55" t="s">
        <v>129</v>
      </c>
      <c r="U40" s="55">
        <v>64</v>
      </c>
      <c r="V40" s="55" t="s">
        <v>129</v>
      </c>
      <c r="W40" s="55">
        <v>74</v>
      </c>
      <c r="X40" s="55" t="s">
        <v>129</v>
      </c>
      <c r="Y40" s="55">
        <v>0</v>
      </c>
      <c r="Z40" s="55" t="s">
        <v>129</v>
      </c>
      <c r="AA40" s="55" t="s">
        <v>129</v>
      </c>
      <c r="AB40" s="55" t="s">
        <v>129</v>
      </c>
      <c r="AC40" s="55" t="s">
        <v>129</v>
      </c>
      <c r="AD40" s="55" t="s">
        <v>129</v>
      </c>
      <c r="AE40" s="55" t="s">
        <v>129</v>
      </c>
      <c r="AF40" s="55" t="s">
        <v>129</v>
      </c>
      <c r="AG40" s="55" t="s">
        <v>129</v>
      </c>
      <c r="AH40" s="55" t="s">
        <v>129</v>
      </c>
      <c r="AI40" s="55">
        <v>23</v>
      </c>
      <c r="AJ40" s="55" t="s">
        <v>129</v>
      </c>
      <c r="AK40" s="55">
        <v>120</v>
      </c>
      <c r="AL40" s="55" t="s">
        <v>129</v>
      </c>
      <c r="AM40" s="55">
        <v>19</v>
      </c>
      <c r="AN40" s="55" t="s">
        <v>129</v>
      </c>
      <c r="AO40" s="55">
        <v>0</v>
      </c>
      <c r="AP40" s="55" t="s">
        <v>129</v>
      </c>
      <c r="AQ40" s="55" t="s">
        <v>129</v>
      </c>
      <c r="AR40" s="55" t="s">
        <v>129</v>
      </c>
      <c r="AS40" s="55" t="s">
        <v>129</v>
      </c>
      <c r="AT40" s="55" t="s">
        <v>129</v>
      </c>
      <c r="AU40" s="55" t="s">
        <v>129</v>
      </c>
      <c r="AV40" s="55" t="s">
        <v>129</v>
      </c>
      <c r="AW40" s="55" t="s">
        <v>129</v>
      </c>
      <c r="AX40" s="55" t="s">
        <v>129</v>
      </c>
      <c r="AY40" s="55">
        <v>68</v>
      </c>
      <c r="AZ40" s="55" t="s">
        <v>129</v>
      </c>
      <c r="BA40" s="55">
        <v>86</v>
      </c>
      <c r="BB40" s="55" t="s">
        <v>129</v>
      </c>
      <c r="BC40" s="55">
        <v>17</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82</v>
      </c>
      <c r="D41" s="55" t="s">
        <v>129</v>
      </c>
      <c r="E41" s="55">
        <v>74</v>
      </c>
      <c r="F41" s="55" t="s">
        <v>129</v>
      </c>
      <c r="G41" s="55">
        <v>79</v>
      </c>
      <c r="H41" s="55" t="s">
        <v>129</v>
      </c>
      <c r="I41" s="55">
        <v>0</v>
      </c>
      <c r="J41" s="55" t="s">
        <v>129</v>
      </c>
      <c r="K41" s="55" t="s">
        <v>129</v>
      </c>
      <c r="L41" s="55" t="s">
        <v>129</v>
      </c>
      <c r="M41" s="55" t="s">
        <v>129</v>
      </c>
      <c r="N41" s="55" t="s">
        <v>129</v>
      </c>
      <c r="O41" s="55" t="s">
        <v>129</v>
      </c>
      <c r="P41" s="55" t="s">
        <v>129</v>
      </c>
      <c r="Q41" s="55" t="s">
        <v>129</v>
      </c>
      <c r="R41" s="55" t="s">
        <v>129</v>
      </c>
      <c r="S41" s="55">
        <v>16</v>
      </c>
      <c r="T41" s="55" t="s">
        <v>129</v>
      </c>
      <c r="U41" s="55">
        <v>53</v>
      </c>
      <c r="V41" s="55" t="s">
        <v>129</v>
      </c>
      <c r="W41" s="55">
        <v>61</v>
      </c>
      <c r="X41" s="55" t="s">
        <v>129</v>
      </c>
      <c r="Y41" s="55">
        <v>0</v>
      </c>
      <c r="Z41" s="55" t="s">
        <v>129</v>
      </c>
      <c r="AA41" s="55" t="s">
        <v>129</v>
      </c>
      <c r="AB41" s="55" t="s">
        <v>129</v>
      </c>
      <c r="AC41" s="55" t="s">
        <v>129</v>
      </c>
      <c r="AD41" s="55" t="s">
        <v>129</v>
      </c>
      <c r="AE41" s="55" t="s">
        <v>129</v>
      </c>
      <c r="AF41" s="55" t="s">
        <v>129</v>
      </c>
      <c r="AG41" s="55" t="s">
        <v>129</v>
      </c>
      <c r="AH41" s="55" t="s">
        <v>129</v>
      </c>
      <c r="AI41" s="55">
        <v>23</v>
      </c>
      <c r="AJ41" s="55" t="s">
        <v>129</v>
      </c>
      <c r="AK41" s="55">
        <v>123</v>
      </c>
      <c r="AL41" s="55" t="s">
        <v>129</v>
      </c>
      <c r="AM41" s="55">
        <v>14</v>
      </c>
      <c r="AN41" s="55" t="s">
        <v>129</v>
      </c>
      <c r="AO41" s="55">
        <v>0</v>
      </c>
      <c r="AP41" s="55" t="s">
        <v>129</v>
      </c>
      <c r="AQ41" s="55" t="s">
        <v>129</v>
      </c>
      <c r="AR41" s="55" t="s">
        <v>129</v>
      </c>
      <c r="AS41" s="55" t="s">
        <v>129</v>
      </c>
      <c r="AT41" s="55" t="s">
        <v>129</v>
      </c>
      <c r="AU41" s="55" t="s">
        <v>129</v>
      </c>
      <c r="AV41" s="55" t="s">
        <v>129</v>
      </c>
      <c r="AW41" s="55" t="s">
        <v>129</v>
      </c>
      <c r="AX41" s="55" t="s">
        <v>129</v>
      </c>
      <c r="AY41" s="55">
        <v>86</v>
      </c>
      <c r="AZ41" s="55" t="s">
        <v>129</v>
      </c>
      <c r="BA41" s="55">
        <v>64</v>
      </c>
      <c r="BB41" s="55" t="s">
        <v>129</v>
      </c>
      <c r="BC41" s="55">
        <v>13</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92</v>
      </c>
      <c r="D42" s="55" t="s">
        <v>129</v>
      </c>
      <c r="E42" s="55">
        <v>109</v>
      </c>
      <c r="F42" s="55" t="s">
        <v>129</v>
      </c>
      <c r="G42" s="55">
        <v>89</v>
      </c>
      <c r="H42" s="55" t="s">
        <v>129</v>
      </c>
      <c r="I42" s="55">
        <v>0</v>
      </c>
      <c r="J42" s="55" t="s">
        <v>129</v>
      </c>
      <c r="K42" s="55" t="s">
        <v>129</v>
      </c>
      <c r="L42" s="55" t="s">
        <v>129</v>
      </c>
      <c r="M42" s="55" t="s">
        <v>129</v>
      </c>
      <c r="N42" s="55" t="s">
        <v>129</v>
      </c>
      <c r="O42" s="55" t="s">
        <v>129</v>
      </c>
      <c r="P42" s="55" t="s">
        <v>129</v>
      </c>
      <c r="Q42" s="55" t="s">
        <v>129</v>
      </c>
      <c r="R42" s="55" t="s">
        <v>129</v>
      </c>
      <c r="S42" s="55">
        <v>9</v>
      </c>
      <c r="T42" s="55" t="s">
        <v>129</v>
      </c>
      <c r="U42" s="55">
        <v>51</v>
      </c>
      <c r="V42" s="55" t="s">
        <v>129</v>
      </c>
      <c r="W42" s="55">
        <v>74</v>
      </c>
      <c r="X42" s="55" t="s">
        <v>129</v>
      </c>
      <c r="Y42" s="55">
        <v>0</v>
      </c>
      <c r="Z42" s="55" t="s">
        <v>129</v>
      </c>
      <c r="AA42" s="55" t="s">
        <v>129</v>
      </c>
      <c r="AB42" s="55" t="s">
        <v>129</v>
      </c>
      <c r="AC42" s="55" t="s">
        <v>129</v>
      </c>
      <c r="AD42" s="55" t="s">
        <v>129</v>
      </c>
      <c r="AE42" s="55" t="s">
        <v>129</v>
      </c>
      <c r="AF42" s="55" t="s">
        <v>129</v>
      </c>
      <c r="AG42" s="55" t="s">
        <v>129</v>
      </c>
      <c r="AH42" s="55" t="s">
        <v>129</v>
      </c>
      <c r="AI42" s="55">
        <v>19</v>
      </c>
      <c r="AJ42" s="55" t="s">
        <v>129</v>
      </c>
      <c r="AK42" s="55">
        <v>136</v>
      </c>
      <c r="AL42" s="55" t="s">
        <v>129</v>
      </c>
      <c r="AM42" s="55">
        <v>11</v>
      </c>
      <c r="AN42" s="55" t="s">
        <v>129</v>
      </c>
      <c r="AO42" s="55">
        <v>0</v>
      </c>
      <c r="AP42" s="55" t="s">
        <v>129</v>
      </c>
      <c r="AQ42" s="55" t="s">
        <v>129</v>
      </c>
      <c r="AR42" s="55" t="s">
        <v>129</v>
      </c>
      <c r="AS42" s="55" t="s">
        <v>129</v>
      </c>
      <c r="AT42" s="55" t="s">
        <v>129</v>
      </c>
      <c r="AU42" s="55" t="s">
        <v>129</v>
      </c>
      <c r="AV42" s="55" t="s">
        <v>129</v>
      </c>
      <c r="AW42" s="55" t="s">
        <v>129</v>
      </c>
      <c r="AX42" s="55" t="s">
        <v>129</v>
      </c>
      <c r="AY42" s="55">
        <v>92</v>
      </c>
      <c r="AZ42" s="55" t="s">
        <v>129</v>
      </c>
      <c r="BA42" s="55">
        <v>52</v>
      </c>
      <c r="BB42" s="55" t="s">
        <v>129</v>
      </c>
      <c r="BC42" s="55">
        <v>14</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89</v>
      </c>
      <c r="D43" s="55" t="s">
        <v>129</v>
      </c>
      <c r="E43" s="55">
        <v>86</v>
      </c>
      <c r="F43" s="55" t="s">
        <v>129</v>
      </c>
      <c r="G43" s="55">
        <v>52</v>
      </c>
      <c r="H43" s="55" t="s">
        <v>129</v>
      </c>
      <c r="I43" s="55">
        <v>0</v>
      </c>
      <c r="J43" s="55" t="s">
        <v>129</v>
      </c>
      <c r="K43" s="55" t="s">
        <v>129</v>
      </c>
      <c r="L43" s="55" t="s">
        <v>129</v>
      </c>
      <c r="M43" s="55" t="s">
        <v>129</v>
      </c>
      <c r="N43" s="55" t="s">
        <v>129</v>
      </c>
      <c r="O43" s="55" t="s">
        <v>129</v>
      </c>
      <c r="P43" s="55" t="s">
        <v>129</v>
      </c>
      <c r="Q43" s="55" t="s">
        <v>129</v>
      </c>
      <c r="R43" s="55" t="s">
        <v>129</v>
      </c>
      <c r="S43" s="55">
        <v>13</v>
      </c>
      <c r="T43" s="55" t="s">
        <v>129</v>
      </c>
      <c r="U43" s="55">
        <v>50</v>
      </c>
      <c r="V43" s="55" t="s">
        <v>129</v>
      </c>
      <c r="W43" s="55">
        <v>88</v>
      </c>
      <c r="X43" s="55" t="s">
        <v>129</v>
      </c>
      <c r="Y43" s="55">
        <v>0</v>
      </c>
      <c r="Z43" s="55" t="s">
        <v>129</v>
      </c>
      <c r="AA43" s="55" t="s">
        <v>129</v>
      </c>
      <c r="AB43" s="55" t="s">
        <v>129</v>
      </c>
      <c r="AC43" s="55" t="s">
        <v>129</v>
      </c>
      <c r="AD43" s="55" t="s">
        <v>129</v>
      </c>
      <c r="AE43" s="55" t="s">
        <v>129</v>
      </c>
      <c r="AF43" s="55" t="s">
        <v>129</v>
      </c>
      <c r="AG43" s="55" t="s">
        <v>129</v>
      </c>
      <c r="AH43" s="55" t="s">
        <v>129</v>
      </c>
      <c r="AI43" s="55">
        <v>19</v>
      </c>
      <c r="AJ43" s="55" t="s">
        <v>129</v>
      </c>
      <c r="AK43" s="55">
        <v>136</v>
      </c>
      <c r="AL43" s="55" t="s">
        <v>129</v>
      </c>
      <c r="AM43" s="55">
        <v>12</v>
      </c>
      <c r="AN43" s="55" t="s">
        <v>129</v>
      </c>
      <c r="AO43" s="55">
        <v>0</v>
      </c>
      <c r="AP43" s="55" t="s">
        <v>129</v>
      </c>
      <c r="AQ43" s="55" t="s">
        <v>129</v>
      </c>
      <c r="AR43" s="55" t="s">
        <v>129</v>
      </c>
      <c r="AS43" s="55" t="s">
        <v>129</v>
      </c>
      <c r="AT43" s="55" t="s">
        <v>129</v>
      </c>
      <c r="AU43" s="55" t="s">
        <v>129</v>
      </c>
      <c r="AV43" s="55" t="s">
        <v>129</v>
      </c>
      <c r="AW43" s="55" t="s">
        <v>129</v>
      </c>
      <c r="AX43" s="55" t="s">
        <v>129</v>
      </c>
      <c r="AY43" s="55">
        <v>82</v>
      </c>
      <c r="AZ43" s="55" t="s">
        <v>129</v>
      </c>
      <c r="BA43" s="55">
        <v>71</v>
      </c>
      <c r="BB43" s="55" t="s">
        <v>129</v>
      </c>
      <c r="BC43" s="55">
        <v>15</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96</v>
      </c>
      <c r="D44" s="55" t="s">
        <v>129</v>
      </c>
      <c r="E44" s="55">
        <v>79</v>
      </c>
      <c r="F44" s="55" t="s">
        <v>129</v>
      </c>
      <c r="G44" s="55">
        <v>60</v>
      </c>
      <c r="H44" s="55" t="s">
        <v>129</v>
      </c>
      <c r="I44" s="55">
        <v>0</v>
      </c>
      <c r="J44" s="55" t="s">
        <v>129</v>
      </c>
      <c r="K44" s="55" t="s">
        <v>129</v>
      </c>
      <c r="L44" s="55" t="s">
        <v>129</v>
      </c>
      <c r="M44" s="55" t="s">
        <v>129</v>
      </c>
      <c r="N44" s="55" t="s">
        <v>129</v>
      </c>
      <c r="O44" s="55" t="s">
        <v>129</v>
      </c>
      <c r="P44" s="55" t="s">
        <v>129</v>
      </c>
      <c r="Q44" s="55" t="s">
        <v>129</v>
      </c>
      <c r="R44" s="55" t="s">
        <v>129</v>
      </c>
      <c r="S44" s="55">
        <v>12</v>
      </c>
      <c r="T44" s="55" t="s">
        <v>129</v>
      </c>
      <c r="U44" s="55">
        <v>61</v>
      </c>
      <c r="V44" s="55" t="s">
        <v>129</v>
      </c>
      <c r="W44" s="55">
        <v>84</v>
      </c>
      <c r="X44" s="55" t="s">
        <v>129</v>
      </c>
      <c r="Y44" s="55">
        <v>0</v>
      </c>
      <c r="Z44" s="55" t="s">
        <v>129</v>
      </c>
      <c r="AA44" s="55" t="s">
        <v>129</v>
      </c>
      <c r="AB44" s="55" t="s">
        <v>129</v>
      </c>
      <c r="AC44" s="55" t="s">
        <v>129</v>
      </c>
      <c r="AD44" s="55" t="s">
        <v>129</v>
      </c>
      <c r="AE44" s="55" t="s">
        <v>129</v>
      </c>
      <c r="AF44" s="55" t="s">
        <v>129</v>
      </c>
      <c r="AG44" s="55" t="s">
        <v>129</v>
      </c>
      <c r="AH44" s="55" t="s">
        <v>129</v>
      </c>
      <c r="AI44" s="55">
        <v>26</v>
      </c>
      <c r="AJ44" s="55" t="s">
        <v>129</v>
      </c>
      <c r="AK44" s="55">
        <v>171</v>
      </c>
      <c r="AL44" s="55" t="s">
        <v>129</v>
      </c>
      <c r="AM44" s="55">
        <v>12</v>
      </c>
      <c r="AN44" s="55" t="s">
        <v>129</v>
      </c>
      <c r="AO44" s="55">
        <v>0</v>
      </c>
      <c r="AP44" s="55" t="s">
        <v>129</v>
      </c>
      <c r="AQ44" s="55" t="s">
        <v>129</v>
      </c>
      <c r="AR44" s="55" t="s">
        <v>129</v>
      </c>
      <c r="AS44" s="55" t="s">
        <v>129</v>
      </c>
      <c r="AT44" s="55" t="s">
        <v>129</v>
      </c>
      <c r="AU44" s="55" t="s">
        <v>129</v>
      </c>
      <c r="AV44" s="55" t="s">
        <v>129</v>
      </c>
      <c r="AW44" s="55" t="s">
        <v>129</v>
      </c>
      <c r="AX44" s="55" t="s">
        <v>129</v>
      </c>
      <c r="AY44" s="55">
        <v>71</v>
      </c>
      <c r="AZ44" s="55" t="s">
        <v>129</v>
      </c>
      <c r="BA44" s="55">
        <v>57</v>
      </c>
      <c r="BB44" s="55" t="s">
        <v>129</v>
      </c>
      <c r="BC44" s="55">
        <v>16</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94</v>
      </c>
      <c r="D45" s="55" t="s">
        <v>129</v>
      </c>
      <c r="E45" s="55">
        <v>93</v>
      </c>
      <c r="F45" s="55" t="s">
        <v>129</v>
      </c>
      <c r="G45" s="55">
        <v>71</v>
      </c>
      <c r="H45" s="55" t="s">
        <v>129</v>
      </c>
      <c r="I45" s="55">
        <v>0</v>
      </c>
      <c r="J45" s="55" t="s">
        <v>129</v>
      </c>
      <c r="K45" s="55" t="s">
        <v>129</v>
      </c>
      <c r="L45" s="55" t="s">
        <v>129</v>
      </c>
      <c r="M45" s="55" t="s">
        <v>129</v>
      </c>
      <c r="N45" s="55" t="s">
        <v>129</v>
      </c>
      <c r="O45" s="55" t="s">
        <v>129</v>
      </c>
      <c r="P45" s="55" t="s">
        <v>129</v>
      </c>
      <c r="Q45" s="55" t="s">
        <v>129</v>
      </c>
      <c r="R45" s="55" t="s">
        <v>129</v>
      </c>
      <c r="S45" s="55">
        <v>11</v>
      </c>
      <c r="T45" s="55" t="s">
        <v>129</v>
      </c>
      <c r="U45" s="55">
        <v>83</v>
      </c>
      <c r="V45" s="55" t="s">
        <v>129</v>
      </c>
      <c r="W45" s="55">
        <v>119</v>
      </c>
      <c r="X45" s="55" t="s">
        <v>129</v>
      </c>
      <c r="Y45" s="55">
        <v>0</v>
      </c>
      <c r="Z45" s="55" t="s">
        <v>129</v>
      </c>
      <c r="AA45" s="55" t="s">
        <v>129</v>
      </c>
      <c r="AB45" s="55" t="s">
        <v>129</v>
      </c>
      <c r="AC45" s="55" t="s">
        <v>129</v>
      </c>
      <c r="AD45" s="55" t="s">
        <v>129</v>
      </c>
      <c r="AE45" s="55" t="s">
        <v>129</v>
      </c>
      <c r="AF45" s="55" t="s">
        <v>129</v>
      </c>
      <c r="AG45" s="55" t="s">
        <v>129</v>
      </c>
      <c r="AH45" s="55" t="s">
        <v>129</v>
      </c>
      <c r="AI45" s="55">
        <v>21</v>
      </c>
      <c r="AJ45" s="55" t="s">
        <v>129</v>
      </c>
      <c r="AK45" s="55">
        <v>179</v>
      </c>
      <c r="AL45" s="55" t="s">
        <v>129</v>
      </c>
      <c r="AM45" s="55">
        <v>16</v>
      </c>
      <c r="AN45" s="55" t="s">
        <v>129</v>
      </c>
      <c r="AO45" s="55">
        <v>0</v>
      </c>
      <c r="AP45" s="55" t="s">
        <v>129</v>
      </c>
      <c r="AQ45" s="55" t="s">
        <v>129</v>
      </c>
      <c r="AR45" s="55" t="s">
        <v>129</v>
      </c>
      <c r="AS45" s="55" t="s">
        <v>129</v>
      </c>
      <c r="AT45" s="55" t="s">
        <v>129</v>
      </c>
      <c r="AU45" s="55" t="s">
        <v>129</v>
      </c>
      <c r="AV45" s="55" t="s">
        <v>129</v>
      </c>
      <c r="AW45" s="55" t="s">
        <v>129</v>
      </c>
      <c r="AX45" s="55" t="s">
        <v>129</v>
      </c>
      <c r="AY45" s="55">
        <v>98</v>
      </c>
      <c r="AZ45" s="55" t="s">
        <v>129</v>
      </c>
      <c r="BA45" s="55">
        <v>65</v>
      </c>
      <c r="BB45" s="55" t="s">
        <v>129</v>
      </c>
      <c r="BC45" s="55">
        <v>15</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99</v>
      </c>
      <c r="D46" s="55" t="s">
        <v>129</v>
      </c>
      <c r="E46" s="55">
        <v>120</v>
      </c>
      <c r="F46" s="55" t="s">
        <v>129</v>
      </c>
      <c r="G46" s="55">
        <v>50</v>
      </c>
      <c r="H46" s="55" t="s">
        <v>129</v>
      </c>
      <c r="I46" s="55">
        <v>0</v>
      </c>
      <c r="J46" s="55" t="s">
        <v>129</v>
      </c>
      <c r="K46" s="55" t="s">
        <v>129</v>
      </c>
      <c r="L46" s="55" t="s">
        <v>129</v>
      </c>
      <c r="M46" s="55" t="s">
        <v>129</v>
      </c>
      <c r="N46" s="55" t="s">
        <v>129</v>
      </c>
      <c r="O46" s="55" t="s">
        <v>129</v>
      </c>
      <c r="P46" s="55" t="s">
        <v>129</v>
      </c>
      <c r="Q46" s="55" t="s">
        <v>129</v>
      </c>
      <c r="R46" s="55" t="s">
        <v>129</v>
      </c>
      <c r="S46" s="55">
        <v>11</v>
      </c>
      <c r="T46" s="55" t="s">
        <v>129</v>
      </c>
      <c r="U46" s="55">
        <v>72</v>
      </c>
      <c r="V46" s="55" t="s">
        <v>129</v>
      </c>
      <c r="W46" s="55">
        <v>99</v>
      </c>
      <c r="X46" s="55" t="s">
        <v>129</v>
      </c>
      <c r="Y46" s="55">
        <v>0</v>
      </c>
      <c r="Z46" s="55" t="s">
        <v>129</v>
      </c>
      <c r="AA46" s="55" t="s">
        <v>129</v>
      </c>
      <c r="AB46" s="55" t="s">
        <v>129</v>
      </c>
      <c r="AC46" s="55" t="s">
        <v>129</v>
      </c>
      <c r="AD46" s="55" t="s">
        <v>129</v>
      </c>
      <c r="AE46" s="55" t="s">
        <v>129</v>
      </c>
      <c r="AF46" s="55" t="s">
        <v>129</v>
      </c>
      <c r="AG46" s="55" t="s">
        <v>129</v>
      </c>
      <c r="AH46" s="55" t="s">
        <v>129</v>
      </c>
      <c r="AI46" s="55">
        <v>24</v>
      </c>
      <c r="AJ46" s="55" t="s">
        <v>129</v>
      </c>
      <c r="AK46" s="55">
        <v>151</v>
      </c>
      <c r="AL46" s="55" t="s">
        <v>129</v>
      </c>
      <c r="AM46" s="55">
        <v>8</v>
      </c>
      <c r="AN46" s="55" t="s">
        <v>129</v>
      </c>
      <c r="AO46" s="55">
        <v>0</v>
      </c>
      <c r="AP46" s="55" t="s">
        <v>129</v>
      </c>
      <c r="AQ46" s="55" t="s">
        <v>129</v>
      </c>
      <c r="AR46" s="55" t="s">
        <v>129</v>
      </c>
      <c r="AS46" s="55" t="s">
        <v>129</v>
      </c>
      <c r="AT46" s="55" t="s">
        <v>129</v>
      </c>
      <c r="AU46" s="55" t="s">
        <v>129</v>
      </c>
      <c r="AV46" s="55" t="s">
        <v>129</v>
      </c>
      <c r="AW46" s="55" t="s">
        <v>129</v>
      </c>
      <c r="AX46" s="55" t="s">
        <v>129</v>
      </c>
      <c r="AY46" s="55">
        <v>114</v>
      </c>
      <c r="AZ46" s="55" t="s">
        <v>129</v>
      </c>
      <c r="BA46" s="55">
        <v>68</v>
      </c>
      <c r="BB46" s="55" t="s">
        <v>129</v>
      </c>
      <c r="BC46" s="55">
        <v>12</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85</v>
      </c>
      <c r="D47" s="55" t="s">
        <v>129</v>
      </c>
      <c r="E47" s="55">
        <v>106</v>
      </c>
      <c r="F47" s="55" t="s">
        <v>129</v>
      </c>
      <c r="G47" s="55">
        <v>73</v>
      </c>
      <c r="H47" s="55" t="s">
        <v>129</v>
      </c>
      <c r="I47" s="55">
        <v>1</v>
      </c>
      <c r="J47" s="55" t="s">
        <v>129</v>
      </c>
      <c r="K47" s="55" t="s">
        <v>129</v>
      </c>
      <c r="L47" s="55" t="s">
        <v>129</v>
      </c>
      <c r="M47" s="55" t="s">
        <v>129</v>
      </c>
      <c r="N47" s="55" t="s">
        <v>129</v>
      </c>
      <c r="O47" s="55" t="s">
        <v>129</v>
      </c>
      <c r="P47" s="55" t="s">
        <v>129</v>
      </c>
      <c r="Q47" s="55" t="s">
        <v>129</v>
      </c>
      <c r="R47" s="55" t="s">
        <v>129</v>
      </c>
      <c r="S47" s="55">
        <v>8</v>
      </c>
      <c r="T47" s="55" t="s">
        <v>129</v>
      </c>
      <c r="U47" s="55">
        <v>74</v>
      </c>
      <c r="V47" s="55" t="s">
        <v>129</v>
      </c>
      <c r="W47" s="55">
        <v>113</v>
      </c>
      <c r="X47" s="55" t="s">
        <v>129</v>
      </c>
      <c r="Y47" s="55">
        <v>0</v>
      </c>
      <c r="Z47" s="55" t="s">
        <v>129</v>
      </c>
      <c r="AA47" s="55" t="s">
        <v>129</v>
      </c>
      <c r="AB47" s="55" t="s">
        <v>129</v>
      </c>
      <c r="AC47" s="55" t="s">
        <v>129</v>
      </c>
      <c r="AD47" s="55" t="s">
        <v>129</v>
      </c>
      <c r="AE47" s="55" t="s">
        <v>129</v>
      </c>
      <c r="AF47" s="55" t="s">
        <v>129</v>
      </c>
      <c r="AG47" s="55" t="s">
        <v>129</v>
      </c>
      <c r="AH47" s="55" t="s">
        <v>129</v>
      </c>
      <c r="AI47" s="55">
        <v>13</v>
      </c>
      <c r="AJ47" s="55" t="s">
        <v>129</v>
      </c>
      <c r="AK47" s="55">
        <v>142</v>
      </c>
      <c r="AL47" s="55" t="s">
        <v>129</v>
      </c>
      <c r="AM47" s="55">
        <v>10</v>
      </c>
      <c r="AN47" s="55" t="s">
        <v>129</v>
      </c>
      <c r="AO47" s="55">
        <v>0</v>
      </c>
      <c r="AP47" s="55" t="s">
        <v>129</v>
      </c>
      <c r="AQ47" s="55" t="s">
        <v>129</v>
      </c>
      <c r="AR47" s="55" t="s">
        <v>129</v>
      </c>
      <c r="AS47" s="55" t="s">
        <v>129</v>
      </c>
      <c r="AT47" s="55" t="s">
        <v>129</v>
      </c>
      <c r="AU47" s="55" t="s">
        <v>129</v>
      </c>
      <c r="AV47" s="55" t="s">
        <v>129</v>
      </c>
      <c r="AW47" s="55" t="s">
        <v>129</v>
      </c>
      <c r="AX47" s="55" t="s">
        <v>129</v>
      </c>
      <c r="AY47" s="55">
        <v>93</v>
      </c>
      <c r="AZ47" s="55" t="s">
        <v>129</v>
      </c>
      <c r="BA47" s="55">
        <v>86</v>
      </c>
      <c r="BB47" s="55" t="s">
        <v>129</v>
      </c>
      <c r="BC47" s="55">
        <v>13</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98</v>
      </c>
      <c r="D48" s="55" t="s">
        <v>129</v>
      </c>
      <c r="E48" s="55">
        <v>111</v>
      </c>
      <c r="F48" s="55" t="s">
        <v>129</v>
      </c>
      <c r="G48" s="55">
        <v>63</v>
      </c>
      <c r="H48" s="55" t="s">
        <v>129</v>
      </c>
      <c r="I48" s="55">
        <v>0</v>
      </c>
      <c r="J48" s="55" t="s">
        <v>129</v>
      </c>
      <c r="K48" s="55" t="s">
        <v>129</v>
      </c>
      <c r="L48" s="55" t="s">
        <v>129</v>
      </c>
      <c r="M48" s="55" t="s">
        <v>129</v>
      </c>
      <c r="N48" s="55" t="s">
        <v>129</v>
      </c>
      <c r="O48" s="55" t="s">
        <v>129</v>
      </c>
      <c r="P48" s="55" t="s">
        <v>129</v>
      </c>
      <c r="Q48" s="55" t="s">
        <v>129</v>
      </c>
      <c r="R48" s="55" t="s">
        <v>129</v>
      </c>
      <c r="S48" s="55">
        <v>13</v>
      </c>
      <c r="T48" s="55" t="s">
        <v>129</v>
      </c>
      <c r="U48" s="55">
        <v>90</v>
      </c>
      <c r="V48" s="55" t="s">
        <v>129</v>
      </c>
      <c r="W48" s="55">
        <v>105</v>
      </c>
      <c r="X48" s="55" t="s">
        <v>129</v>
      </c>
      <c r="Y48" s="55">
        <v>0</v>
      </c>
      <c r="Z48" s="55" t="s">
        <v>129</v>
      </c>
      <c r="AA48" s="55" t="s">
        <v>129</v>
      </c>
      <c r="AB48" s="55" t="s">
        <v>129</v>
      </c>
      <c r="AC48" s="55" t="s">
        <v>129</v>
      </c>
      <c r="AD48" s="55" t="s">
        <v>129</v>
      </c>
      <c r="AE48" s="55" t="s">
        <v>129</v>
      </c>
      <c r="AF48" s="55" t="s">
        <v>129</v>
      </c>
      <c r="AG48" s="55" t="s">
        <v>129</v>
      </c>
      <c r="AH48" s="55" t="s">
        <v>129</v>
      </c>
      <c r="AI48" s="55">
        <v>18</v>
      </c>
      <c r="AJ48" s="55" t="s">
        <v>129</v>
      </c>
      <c r="AK48" s="55">
        <v>155</v>
      </c>
      <c r="AL48" s="55" t="s">
        <v>129</v>
      </c>
      <c r="AM48" s="55">
        <v>17</v>
      </c>
      <c r="AN48" s="55" t="s">
        <v>129</v>
      </c>
      <c r="AO48" s="55">
        <v>0</v>
      </c>
      <c r="AP48" s="55" t="s">
        <v>129</v>
      </c>
      <c r="AQ48" s="55" t="s">
        <v>129</v>
      </c>
      <c r="AR48" s="55" t="s">
        <v>129</v>
      </c>
      <c r="AS48" s="55" t="s">
        <v>129</v>
      </c>
      <c r="AT48" s="55" t="s">
        <v>129</v>
      </c>
      <c r="AU48" s="55" t="s">
        <v>129</v>
      </c>
      <c r="AV48" s="55" t="s">
        <v>129</v>
      </c>
      <c r="AW48" s="55" t="s">
        <v>129</v>
      </c>
      <c r="AX48" s="55" t="s">
        <v>129</v>
      </c>
      <c r="AY48" s="55">
        <v>95</v>
      </c>
      <c r="AZ48" s="55" t="s">
        <v>129</v>
      </c>
      <c r="BA48" s="55">
        <v>51</v>
      </c>
      <c r="BB48" s="55" t="s">
        <v>129</v>
      </c>
      <c r="BC48" s="55">
        <v>17</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85</v>
      </c>
      <c r="D49" s="55" t="s">
        <v>129</v>
      </c>
      <c r="E49" s="55">
        <v>95</v>
      </c>
      <c r="F49" s="55" t="s">
        <v>129</v>
      </c>
      <c r="G49" s="55">
        <v>76</v>
      </c>
      <c r="H49" s="55" t="s">
        <v>129</v>
      </c>
      <c r="I49" s="55">
        <v>0</v>
      </c>
      <c r="J49" s="55" t="s">
        <v>129</v>
      </c>
      <c r="K49" s="55" t="s">
        <v>129</v>
      </c>
      <c r="L49" s="55" t="s">
        <v>129</v>
      </c>
      <c r="M49" s="55" t="s">
        <v>129</v>
      </c>
      <c r="N49" s="55" t="s">
        <v>129</v>
      </c>
      <c r="O49" s="55" t="s">
        <v>129</v>
      </c>
      <c r="P49" s="55" t="s">
        <v>129</v>
      </c>
      <c r="Q49" s="55" t="s">
        <v>129</v>
      </c>
      <c r="R49" s="55" t="s">
        <v>129</v>
      </c>
      <c r="S49" s="55">
        <v>15</v>
      </c>
      <c r="T49" s="55" t="s">
        <v>129</v>
      </c>
      <c r="U49" s="55">
        <v>66</v>
      </c>
      <c r="V49" s="55" t="s">
        <v>129</v>
      </c>
      <c r="W49" s="55">
        <v>105</v>
      </c>
      <c r="X49" s="55" t="s">
        <v>129</v>
      </c>
      <c r="Y49" s="55">
        <v>0</v>
      </c>
      <c r="Z49" s="55" t="s">
        <v>129</v>
      </c>
      <c r="AA49" s="55" t="s">
        <v>129</v>
      </c>
      <c r="AB49" s="55" t="s">
        <v>129</v>
      </c>
      <c r="AC49" s="55" t="s">
        <v>129</v>
      </c>
      <c r="AD49" s="55" t="s">
        <v>129</v>
      </c>
      <c r="AE49" s="55" t="s">
        <v>129</v>
      </c>
      <c r="AF49" s="55" t="s">
        <v>129</v>
      </c>
      <c r="AG49" s="55" t="s">
        <v>129</v>
      </c>
      <c r="AH49" s="55" t="s">
        <v>129</v>
      </c>
      <c r="AI49" s="55">
        <v>13</v>
      </c>
      <c r="AJ49" s="55" t="s">
        <v>129</v>
      </c>
      <c r="AK49" s="55">
        <v>170</v>
      </c>
      <c r="AL49" s="55" t="s">
        <v>129</v>
      </c>
      <c r="AM49" s="55">
        <v>15</v>
      </c>
      <c r="AN49" s="55" t="s">
        <v>129</v>
      </c>
      <c r="AO49" s="55">
        <v>0</v>
      </c>
      <c r="AP49" s="55" t="s">
        <v>129</v>
      </c>
      <c r="AQ49" s="55" t="s">
        <v>129</v>
      </c>
      <c r="AR49" s="55" t="s">
        <v>129</v>
      </c>
      <c r="AS49" s="55" t="s">
        <v>129</v>
      </c>
      <c r="AT49" s="55" t="s">
        <v>129</v>
      </c>
      <c r="AU49" s="55" t="s">
        <v>129</v>
      </c>
      <c r="AV49" s="55" t="s">
        <v>129</v>
      </c>
      <c r="AW49" s="55" t="s">
        <v>129</v>
      </c>
      <c r="AX49" s="55" t="s">
        <v>129</v>
      </c>
      <c r="AY49" s="55">
        <v>88</v>
      </c>
      <c r="AZ49" s="55" t="s">
        <v>129</v>
      </c>
      <c r="BA49" s="55">
        <v>63</v>
      </c>
      <c r="BB49" s="55" t="s">
        <v>129</v>
      </c>
      <c r="BC49" s="55">
        <v>17</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83</v>
      </c>
      <c r="D50" s="55" t="s">
        <v>129</v>
      </c>
      <c r="E50" s="55">
        <v>114</v>
      </c>
      <c r="F50" s="55" t="s">
        <v>129</v>
      </c>
      <c r="G50" s="55">
        <v>61</v>
      </c>
      <c r="H50" s="55" t="s">
        <v>129</v>
      </c>
      <c r="I50" s="55">
        <v>0</v>
      </c>
      <c r="J50" s="55" t="s">
        <v>129</v>
      </c>
      <c r="K50" s="55" t="s">
        <v>129</v>
      </c>
      <c r="L50" s="55" t="s">
        <v>129</v>
      </c>
      <c r="M50" s="55" t="s">
        <v>129</v>
      </c>
      <c r="N50" s="55" t="s">
        <v>129</v>
      </c>
      <c r="O50" s="55" t="s">
        <v>129</v>
      </c>
      <c r="P50" s="55" t="s">
        <v>129</v>
      </c>
      <c r="Q50" s="55" t="s">
        <v>129</v>
      </c>
      <c r="R50" s="55" t="s">
        <v>129</v>
      </c>
      <c r="S50" s="55">
        <v>11</v>
      </c>
      <c r="T50" s="55" t="s">
        <v>129</v>
      </c>
      <c r="U50" s="55">
        <v>39</v>
      </c>
      <c r="V50" s="55" t="s">
        <v>129</v>
      </c>
      <c r="W50" s="55">
        <v>63</v>
      </c>
      <c r="X50" s="55" t="s">
        <v>129</v>
      </c>
      <c r="Y50" s="55">
        <v>0</v>
      </c>
      <c r="Z50" s="55" t="s">
        <v>129</v>
      </c>
      <c r="AA50" s="55" t="s">
        <v>129</v>
      </c>
      <c r="AB50" s="55" t="s">
        <v>129</v>
      </c>
      <c r="AC50" s="55" t="s">
        <v>129</v>
      </c>
      <c r="AD50" s="55" t="s">
        <v>129</v>
      </c>
      <c r="AE50" s="55" t="s">
        <v>129</v>
      </c>
      <c r="AF50" s="55" t="s">
        <v>129</v>
      </c>
      <c r="AG50" s="55" t="s">
        <v>129</v>
      </c>
      <c r="AH50" s="55" t="s">
        <v>129</v>
      </c>
      <c r="AI50" s="55">
        <v>23</v>
      </c>
      <c r="AJ50" s="55" t="s">
        <v>129</v>
      </c>
      <c r="AK50" s="55">
        <v>108</v>
      </c>
      <c r="AL50" s="55" t="s">
        <v>129</v>
      </c>
      <c r="AM50" s="55">
        <v>13</v>
      </c>
      <c r="AN50" s="55" t="s">
        <v>129</v>
      </c>
      <c r="AO50" s="55">
        <v>0</v>
      </c>
      <c r="AP50" s="55" t="s">
        <v>129</v>
      </c>
      <c r="AQ50" s="55" t="s">
        <v>129</v>
      </c>
      <c r="AR50" s="55" t="s">
        <v>129</v>
      </c>
      <c r="AS50" s="55" t="s">
        <v>129</v>
      </c>
      <c r="AT50" s="55" t="s">
        <v>129</v>
      </c>
      <c r="AU50" s="55" t="s">
        <v>129</v>
      </c>
      <c r="AV50" s="55" t="s">
        <v>129</v>
      </c>
      <c r="AW50" s="55" t="s">
        <v>129</v>
      </c>
      <c r="AX50" s="55" t="s">
        <v>129</v>
      </c>
      <c r="AY50" s="55">
        <v>83</v>
      </c>
      <c r="AZ50" s="55" t="s">
        <v>129</v>
      </c>
      <c r="BA50" s="55">
        <v>65</v>
      </c>
      <c r="BB50" s="55" t="s">
        <v>129</v>
      </c>
      <c r="BC50" s="55">
        <v>20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56</v>
      </c>
      <c r="D51" s="55" t="s">
        <v>129</v>
      </c>
      <c r="E51" s="55">
        <v>69</v>
      </c>
      <c r="F51" s="55" t="s">
        <v>129</v>
      </c>
      <c r="G51" s="55">
        <v>68</v>
      </c>
      <c r="H51" s="55" t="s">
        <v>129</v>
      </c>
      <c r="I51" s="55">
        <v>0</v>
      </c>
      <c r="J51" s="55" t="s">
        <v>129</v>
      </c>
      <c r="K51" s="55" t="s">
        <v>129</v>
      </c>
      <c r="L51" s="55" t="s">
        <v>129</v>
      </c>
      <c r="M51" s="55" t="s">
        <v>129</v>
      </c>
      <c r="N51" s="55" t="s">
        <v>129</v>
      </c>
      <c r="O51" s="55" t="s">
        <v>129</v>
      </c>
      <c r="P51" s="55" t="s">
        <v>129</v>
      </c>
      <c r="Q51" s="55" t="s">
        <v>129</v>
      </c>
      <c r="R51" s="55" t="s">
        <v>129</v>
      </c>
      <c r="S51" s="55">
        <v>5</v>
      </c>
      <c r="T51" s="55" t="s">
        <v>129</v>
      </c>
      <c r="U51" s="55">
        <v>32</v>
      </c>
      <c r="V51" s="55" t="s">
        <v>129</v>
      </c>
      <c r="W51" s="55">
        <v>54</v>
      </c>
      <c r="X51" s="55" t="s">
        <v>129</v>
      </c>
      <c r="Y51" s="55">
        <v>0</v>
      </c>
      <c r="Z51" s="55" t="s">
        <v>129</v>
      </c>
      <c r="AA51" s="55" t="s">
        <v>129</v>
      </c>
      <c r="AB51" s="55" t="s">
        <v>129</v>
      </c>
      <c r="AC51" s="55" t="s">
        <v>129</v>
      </c>
      <c r="AD51" s="55" t="s">
        <v>129</v>
      </c>
      <c r="AE51" s="55" t="s">
        <v>129</v>
      </c>
      <c r="AF51" s="55" t="s">
        <v>129</v>
      </c>
      <c r="AG51" s="55" t="s">
        <v>129</v>
      </c>
      <c r="AH51" s="55" t="s">
        <v>129</v>
      </c>
      <c r="AI51" s="55">
        <v>13</v>
      </c>
      <c r="AJ51" s="55" t="s">
        <v>129</v>
      </c>
      <c r="AK51" s="55">
        <v>95</v>
      </c>
      <c r="AL51" s="55" t="s">
        <v>129</v>
      </c>
      <c r="AM51" s="55">
        <v>7</v>
      </c>
      <c r="AN51" s="55" t="s">
        <v>129</v>
      </c>
      <c r="AO51" s="55">
        <v>0</v>
      </c>
      <c r="AP51" s="55" t="s">
        <v>129</v>
      </c>
      <c r="AQ51" s="55" t="s">
        <v>129</v>
      </c>
      <c r="AR51" s="55" t="s">
        <v>129</v>
      </c>
      <c r="AS51" s="55" t="s">
        <v>129</v>
      </c>
      <c r="AT51" s="55" t="s">
        <v>129</v>
      </c>
      <c r="AU51" s="55" t="s">
        <v>129</v>
      </c>
      <c r="AV51" s="55" t="s">
        <v>129</v>
      </c>
      <c r="AW51" s="55" t="s">
        <v>129</v>
      </c>
      <c r="AX51" s="55" t="s">
        <v>129</v>
      </c>
      <c r="AY51" s="55">
        <v>97</v>
      </c>
      <c r="AZ51" s="55" t="s">
        <v>129</v>
      </c>
      <c r="BA51" s="55">
        <v>48</v>
      </c>
      <c r="BB51" s="55" t="s">
        <v>129</v>
      </c>
      <c r="BC51" s="55">
        <v>20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55</v>
      </c>
      <c r="D52" s="55" t="s">
        <v>129</v>
      </c>
      <c r="E52" s="55">
        <v>67</v>
      </c>
      <c r="F52" s="55" t="s">
        <v>129</v>
      </c>
      <c r="G52" s="55">
        <v>53</v>
      </c>
      <c r="H52" s="55" t="s">
        <v>129</v>
      </c>
      <c r="I52" s="55">
        <v>0</v>
      </c>
      <c r="J52" s="55" t="s">
        <v>129</v>
      </c>
      <c r="K52" s="55" t="s">
        <v>129</v>
      </c>
      <c r="L52" s="55" t="s">
        <v>129</v>
      </c>
      <c r="M52" s="55" t="s">
        <v>129</v>
      </c>
      <c r="N52" s="55" t="s">
        <v>129</v>
      </c>
      <c r="O52" s="55" t="s">
        <v>129</v>
      </c>
      <c r="P52" s="55" t="s">
        <v>129</v>
      </c>
      <c r="Q52" s="55" t="s">
        <v>129</v>
      </c>
      <c r="R52" s="55" t="s">
        <v>129</v>
      </c>
      <c r="S52" s="55">
        <v>7</v>
      </c>
      <c r="T52" s="55" t="s">
        <v>129</v>
      </c>
      <c r="U52" s="55">
        <v>41</v>
      </c>
      <c r="V52" s="55" t="s">
        <v>129</v>
      </c>
      <c r="W52" s="55">
        <v>43</v>
      </c>
      <c r="X52" s="55" t="s">
        <v>129</v>
      </c>
      <c r="Y52" s="55">
        <v>0</v>
      </c>
      <c r="Z52" s="55" t="s">
        <v>129</v>
      </c>
      <c r="AA52" s="55" t="s">
        <v>129</v>
      </c>
      <c r="AB52" s="55" t="s">
        <v>129</v>
      </c>
      <c r="AC52" s="55" t="s">
        <v>129</v>
      </c>
      <c r="AD52" s="55" t="s">
        <v>129</v>
      </c>
      <c r="AE52" s="55" t="s">
        <v>129</v>
      </c>
      <c r="AF52" s="55" t="s">
        <v>129</v>
      </c>
      <c r="AG52" s="55" t="s">
        <v>129</v>
      </c>
      <c r="AH52" s="55" t="s">
        <v>129</v>
      </c>
      <c r="AI52" s="55">
        <v>25</v>
      </c>
      <c r="AJ52" s="55" t="s">
        <v>129</v>
      </c>
      <c r="AK52" s="55">
        <v>85</v>
      </c>
      <c r="AL52" s="55" t="s">
        <v>129</v>
      </c>
      <c r="AM52" s="55">
        <v>7</v>
      </c>
      <c r="AN52" s="55" t="s">
        <v>129</v>
      </c>
      <c r="AO52" s="55">
        <v>0</v>
      </c>
      <c r="AP52" s="55" t="s">
        <v>129</v>
      </c>
      <c r="AQ52" s="55" t="s">
        <v>129</v>
      </c>
      <c r="AR52" s="55" t="s">
        <v>129</v>
      </c>
      <c r="AS52" s="55" t="s">
        <v>129</v>
      </c>
      <c r="AT52" s="55" t="s">
        <v>129</v>
      </c>
      <c r="AU52" s="55" t="s">
        <v>129</v>
      </c>
      <c r="AV52" s="55" t="s">
        <v>129</v>
      </c>
      <c r="AW52" s="55" t="s">
        <v>129</v>
      </c>
      <c r="AX52" s="55" t="s">
        <v>129</v>
      </c>
      <c r="AY52" s="55">
        <v>75</v>
      </c>
      <c r="AZ52" s="55" t="s">
        <v>129</v>
      </c>
      <c r="BA52" s="55">
        <v>52</v>
      </c>
      <c r="BB52" s="55" t="s">
        <v>129</v>
      </c>
      <c r="BC52" s="55">
        <v>17</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8C80-88D1-4959-943E-C6ABB9596054}">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0</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v>
      </c>
      <c r="AZ16" s="55" t="s">
        <v>129</v>
      </c>
      <c r="BA16" s="55">
        <v>2</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3</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3</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3</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4</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3</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4</v>
      </c>
      <c r="V20" s="55" t="s">
        <v>129</v>
      </c>
      <c r="W20" s="55">
        <v>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5</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1</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5</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0</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5</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5</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1</v>
      </c>
      <c r="D23" s="55" t="s">
        <v>129</v>
      </c>
      <c r="E23" s="55">
        <v>1</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4</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1</v>
      </c>
      <c r="AZ23" s="55" t="s">
        <v>129</v>
      </c>
      <c r="BA23" s="55">
        <v>2</v>
      </c>
      <c r="BB23" s="55" t="s">
        <v>129</v>
      </c>
      <c r="BC23" s="55">
        <v>1</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1</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2</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6</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5</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5</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0</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3</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1</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3</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3</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0</v>
      </c>
      <c r="F28" s="55" t="s">
        <v>129</v>
      </c>
      <c r="G28" s="55">
        <v>1</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3</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0</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4</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4</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3</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3</v>
      </c>
      <c r="AZ32" s="55" t="s">
        <v>129</v>
      </c>
      <c r="BA32" s="55">
        <v>3</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1</v>
      </c>
      <c r="D33" s="55" t="s">
        <v>129</v>
      </c>
      <c r="E33" s="55">
        <v>0</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3</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15</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6</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3</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3</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2</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5</v>
      </c>
      <c r="V37" s="55" t="s">
        <v>129</v>
      </c>
      <c r="W37" s="55">
        <v>1</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2</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0</v>
      </c>
      <c r="F38" s="55" t="s">
        <v>129</v>
      </c>
      <c r="G38" s="55">
        <v>1</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1</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v>1</v>
      </c>
      <c r="AZ38" s="55" t="s">
        <v>129</v>
      </c>
      <c r="BA38" s="55">
        <v>4</v>
      </c>
      <c r="BB38" s="55" t="s">
        <v>129</v>
      </c>
      <c r="BC38" s="55">
        <v>1</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1</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3</v>
      </c>
      <c r="V39" s="55" t="s">
        <v>129</v>
      </c>
      <c r="W39" s="55">
        <v>1</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1</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5</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1</v>
      </c>
      <c r="D40" s="55" t="s">
        <v>129</v>
      </c>
      <c r="E40" s="55">
        <v>2</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5</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0</v>
      </c>
      <c r="AL40" s="55" t="s">
        <v>129</v>
      </c>
      <c r="AM40" s="55">
        <v>1</v>
      </c>
      <c r="AN40" s="55" t="s">
        <v>129</v>
      </c>
      <c r="AO40" s="55">
        <v>0</v>
      </c>
      <c r="AP40" s="55" t="s">
        <v>129</v>
      </c>
      <c r="AQ40" s="55" t="s">
        <v>129</v>
      </c>
      <c r="AR40" s="55" t="s">
        <v>129</v>
      </c>
      <c r="AS40" s="55" t="s">
        <v>129</v>
      </c>
      <c r="AT40" s="55" t="s">
        <v>129</v>
      </c>
      <c r="AU40" s="55" t="s">
        <v>129</v>
      </c>
      <c r="AV40" s="55" t="s">
        <v>129</v>
      </c>
      <c r="AW40" s="55" t="s">
        <v>129</v>
      </c>
      <c r="AX40" s="55" t="s">
        <v>129</v>
      </c>
      <c r="AY40" s="55">
        <v>1</v>
      </c>
      <c r="AZ40" s="55" t="s">
        <v>129</v>
      </c>
      <c r="BA40" s="55">
        <v>1</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0</v>
      </c>
      <c r="F41" s="55" t="s">
        <v>129</v>
      </c>
      <c r="G41" s="55">
        <v>1</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2</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0</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1</v>
      </c>
      <c r="AZ41" s="55" t="s">
        <v>129</v>
      </c>
      <c r="BA41" s="55">
        <v>5</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2</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5</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0</v>
      </c>
      <c r="AL42" s="55" t="s">
        <v>129</v>
      </c>
      <c r="AM42" s="55">
        <v>1</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3</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0</v>
      </c>
      <c r="F43" s="55" t="s">
        <v>129</v>
      </c>
      <c r="G43" s="55">
        <v>1</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5</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0</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6</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0</v>
      </c>
      <c r="F44" s="55" t="s">
        <v>129</v>
      </c>
      <c r="G44" s="55">
        <v>1</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2</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0</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1</v>
      </c>
      <c r="AZ44" s="55" t="s">
        <v>129</v>
      </c>
      <c r="BA44" s="55">
        <v>7</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0</v>
      </c>
      <c r="D45" s="55" t="s">
        <v>129</v>
      </c>
      <c r="E45" s="55">
        <v>0</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4</v>
      </c>
      <c r="V45" s="55" t="s">
        <v>129</v>
      </c>
      <c r="W45" s="55">
        <v>0</v>
      </c>
      <c r="X45" s="55" t="s">
        <v>129</v>
      </c>
      <c r="Y45" s="55">
        <v>1</v>
      </c>
      <c r="Z45" s="55" t="s">
        <v>129</v>
      </c>
      <c r="AA45" s="55" t="s">
        <v>129</v>
      </c>
      <c r="AB45" s="55" t="s">
        <v>129</v>
      </c>
      <c r="AC45" s="55" t="s">
        <v>129</v>
      </c>
      <c r="AD45" s="55" t="s">
        <v>129</v>
      </c>
      <c r="AE45" s="55" t="s">
        <v>129</v>
      </c>
      <c r="AF45" s="55" t="s">
        <v>129</v>
      </c>
      <c r="AG45" s="55" t="s">
        <v>129</v>
      </c>
      <c r="AH45" s="55" t="s">
        <v>129</v>
      </c>
      <c r="AI45" s="55">
        <v>0</v>
      </c>
      <c r="AJ45" s="55" t="s">
        <v>129</v>
      </c>
      <c r="AK45" s="55">
        <v>0</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2</v>
      </c>
      <c r="AZ45" s="55" t="s">
        <v>129</v>
      </c>
      <c r="BA45" s="55">
        <v>7</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1</v>
      </c>
      <c r="H46" s="55" t="s">
        <v>129</v>
      </c>
      <c r="I46" s="55">
        <v>0</v>
      </c>
      <c r="J46" s="55" t="s">
        <v>129</v>
      </c>
      <c r="K46" s="55" t="s">
        <v>129</v>
      </c>
      <c r="L46" s="55" t="s">
        <v>129</v>
      </c>
      <c r="M46" s="55" t="s">
        <v>129</v>
      </c>
      <c r="N46" s="55" t="s">
        <v>129</v>
      </c>
      <c r="O46" s="55" t="s">
        <v>129</v>
      </c>
      <c r="P46" s="55" t="s">
        <v>129</v>
      </c>
      <c r="Q46" s="55" t="s">
        <v>129</v>
      </c>
      <c r="R46" s="55" t="s">
        <v>129</v>
      </c>
      <c r="S46" s="55">
        <v>1</v>
      </c>
      <c r="T46" s="55" t="s">
        <v>129</v>
      </c>
      <c r="U46" s="55">
        <v>6</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1</v>
      </c>
      <c r="AJ46" s="55" t="s">
        <v>129</v>
      </c>
      <c r="AK46" s="55">
        <v>0</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0</v>
      </c>
      <c r="AZ46" s="55" t="s">
        <v>129</v>
      </c>
      <c r="BA46" s="55">
        <v>8</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0</v>
      </c>
      <c r="D47" s="55" t="s">
        <v>129</v>
      </c>
      <c r="E47" s="55">
        <v>1</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1</v>
      </c>
      <c r="T47" s="55" t="s">
        <v>129</v>
      </c>
      <c r="U47" s="55">
        <v>3</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0</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3</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2</v>
      </c>
      <c r="D48" s="55" t="s">
        <v>129</v>
      </c>
      <c r="E48" s="55">
        <v>0</v>
      </c>
      <c r="F48" s="55" t="s">
        <v>129</v>
      </c>
      <c r="G48" s="55">
        <v>1</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5</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0</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3</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0</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2</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1</v>
      </c>
      <c r="AZ49" s="55" t="s">
        <v>129</v>
      </c>
      <c r="BA49" s="55">
        <v>5</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0</v>
      </c>
      <c r="F50" s="55" t="s">
        <v>129</v>
      </c>
      <c r="G50" s="55">
        <v>1</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4</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0</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1</v>
      </c>
      <c r="AZ50" s="55" t="s">
        <v>129</v>
      </c>
      <c r="BA50" s="55">
        <v>3</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3</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0</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1</v>
      </c>
      <c r="AZ51" s="55" t="s">
        <v>129</v>
      </c>
      <c r="BA51" s="55">
        <v>2</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0</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5</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2</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9C0F-6F03-46EF-9B1D-CC79D6FF678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1</v>
      </c>
      <c r="D16" s="55" t="s">
        <v>129</v>
      </c>
      <c r="E16" s="55">
        <v>3</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1</v>
      </c>
      <c r="D17" s="55" t="s">
        <v>129</v>
      </c>
      <c r="E17" s="55">
        <v>4</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4</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2</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2</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4</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1</v>
      </c>
      <c r="F19" s="55" t="s">
        <v>129</v>
      </c>
      <c r="G19" s="55">
        <v>3</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2</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5</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3</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5</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2</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0</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1</v>
      </c>
      <c r="D22" s="55" t="s">
        <v>129</v>
      </c>
      <c r="E22" s="55">
        <v>4</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6</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1</v>
      </c>
      <c r="D23" s="55" t="s">
        <v>129</v>
      </c>
      <c r="E23" s="55">
        <v>2</v>
      </c>
      <c r="F23" s="55" t="s">
        <v>129</v>
      </c>
      <c r="G23" s="55">
        <v>3</v>
      </c>
      <c r="H23" s="55" t="s">
        <v>129</v>
      </c>
      <c r="I23" s="55">
        <v>0</v>
      </c>
      <c r="J23" s="55" t="s">
        <v>129</v>
      </c>
      <c r="K23" s="55" t="s">
        <v>129</v>
      </c>
      <c r="L23" s="55" t="s">
        <v>129</v>
      </c>
      <c r="M23" s="55" t="s">
        <v>129</v>
      </c>
      <c r="N23" s="55" t="s">
        <v>129</v>
      </c>
      <c r="O23" s="55" t="s">
        <v>129</v>
      </c>
      <c r="P23" s="55" t="s">
        <v>129</v>
      </c>
      <c r="Q23" s="55" t="s">
        <v>129</v>
      </c>
      <c r="R23" s="55" t="s">
        <v>129</v>
      </c>
      <c r="S23" s="55">
        <v>1</v>
      </c>
      <c r="T23" s="55" t="s">
        <v>129</v>
      </c>
      <c r="U23" s="55">
        <v>2</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1</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2</v>
      </c>
      <c r="D24" s="55" t="s">
        <v>129</v>
      </c>
      <c r="E24" s="55">
        <v>3</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2</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2</v>
      </c>
      <c r="D25" s="55" t="s">
        <v>129</v>
      </c>
      <c r="E25" s="55">
        <v>3</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5</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3</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1</v>
      </c>
      <c r="D26" s="55" t="s">
        <v>129</v>
      </c>
      <c r="E26" s="55">
        <v>2</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3</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2</v>
      </c>
      <c r="AZ26" s="55" t="s">
        <v>129</v>
      </c>
      <c r="BA26" s="55">
        <v>1</v>
      </c>
      <c r="BB26" s="55" t="s">
        <v>129</v>
      </c>
      <c r="BC26" s="55">
        <v>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2</v>
      </c>
      <c r="D27" s="55" t="s">
        <v>129</v>
      </c>
      <c r="E27" s="55">
        <v>1</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2</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1</v>
      </c>
      <c r="D28" s="55" t="s">
        <v>129</v>
      </c>
      <c r="E28" s="55">
        <v>0</v>
      </c>
      <c r="F28" s="55" t="s">
        <v>129</v>
      </c>
      <c r="G28" s="55">
        <v>1</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1</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2</v>
      </c>
      <c r="AZ28" s="55" t="s">
        <v>129</v>
      </c>
      <c r="BA28" s="55">
        <v>0</v>
      </c>
      <c r="BB28" s="55" t="s">
        <v>129</v>
      </c>
      <c r="BC28" s="55">
        <v>2</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5</v>
      </c>
      <c r="D29" s="55" t="s">
        <v>129</v>
      </c>
      <c r="E29" s="55">
        <v>2</v>
      </c>
      <c r="F29" s="55" t="s">
        <v>129</v>
      </c>
      <c r="G29" s="55">
        <v>3</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4</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2</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3</v>
      </c>
      <c r="D30" s="55" t="s">
        <v>129</v>
      </c>
      <c r="E30" s="55">
        <v>3</v>
      </c>
      <c r="F30" s="55" t="s">
        <v>129</v>
      </c>
      <c r="G30" s="55">
        <v>3</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3</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1</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0</v>
      </c>
      <c r="V31" s="55" t="s">
        <v>129</v>
      </c>
      <c r="W31" s="55">
        <v>3</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1</v>
      </c>
      <c r="D32" s="55" t="s">
        <v>129</v>
      </c>
      <c r="E32" s="55">
        <v>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1</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2</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3</v>
      </c>
      <c r="AZ33" s="55" t="s">
        <v>129</v>
      </c>
      <c r="BA33" s="55">
        <v>2</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2</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2</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0</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2</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5</v>
      </c>
      <c r="D36" s="55" t="s">
        <v>129</v>
      </c>
      <c r="E36" s="55">
        <v>1</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3</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2</v>
      </c>
      <c r="D37" s="55" t="s">
        <v>129</v>
      </c>
      <c r="E37" s="55">
        <v>2</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2</v>
      </c>
      <c r="V37" s="55" t="s">
        <v>129</v>
      </c>
      <c r="W37" s="55">
        <v>1</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2</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2</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1</v>
      </c>
      <c r="D38" s="55" t="s">
        <v>129</v>
      </c>
      <c r="E38" s="55">
        <v>1</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1</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3</v>
      </c>
      <c r="AL38" s="55" t="s">
        <v>129</v>
      </c>
      <c r="AM38" s="55">
        <v>2</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2</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3</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1</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1</v>
      </c>
      <c r="AZ39" s="55" t="s">
        <v>129</v>
      </c>
      <c r="BA39" s="55">
        <v>2</v>
      </c>
      <c r="BB39" s="55" t="s">
        <v>129</v>
      </c>
      <c r="BC39" s="55">
        <v>2</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1</v>
      </c>
      <c r="D40" s="55" t="s">
        <v>129</v>
      </c>
      <c r="E40" s="55">
        <v>1</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2</v>
      </c>
      <c r="T40" s="55" t="s">
        <v>129</v>
      </c>
      <c r="U40" s="55">
        <v>1</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2</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4</v>
      </c>
      <c r="AZ40" s="55" t="s">
        <v>129</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2</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1</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0</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2</v>
      </c>
      <c r="AZ41" s="55" t="s">
        <v>129</v>
      </c>
      <c r="BA41" s="55">
        <v>0</v>
      </c>
      <c r="BB41" s="55" t="s">
        <v>129</v>
      </c>
      <c r="BC41" s="55">
        <v>1</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1</v>
      </c>
      <c r="F42" s="55" t="s">
        <v>129</v>
      </c>
      <c r="G42" s="55">
        <v>2</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1</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1</v>
      </c>
      <c r="AL42" s="55" t="s">
        <v>129</v>
      </c>
      <c r="AM42" s="55">
        <v>1</v>
      </c>
      <c r="AN42" s="55" t="s">
        <v>129</v>
      </c>
      <c r="AO42" s="55">
        <v>0</v>
      </c>
      <c r="AP42" s="55" t="s">
        <v>129</v>
      </c>
      <c r="AQ42" s="55" t="s">
        <v>129</v>
      </c>
      <c r="AR42" s="55" t="s">
        <v>129</v>
      </c>
      <c r="AS42" s="55" t="s">
        <v>129</v>
      </c>
      <c r="AT42" s="55" t="s">
        <v>129</v>
      </c>
      <c r="AU42" s="55" t="s">
        <v>129</v>
      </c>
      <c r="AV42" s="55" t="s">
        <v>129</v>
      </c>
      <c r="AW42" s="55" t="s">
        <v>129</v>
      </c>
      <c r="AX42" s="55" t="s">
        <v>129</v>
      </c>
      <c r="AY42" s="55">
        <v>2</v>
      </c>
      <c r="AZ42" s="55" t="s">
        <v>129</v>
      </c>
      <c r="BA42" s="55">
        <v>0</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0</v>
      </c>
      <c r="F43" s="55" t="s">
        <v>129</v>
      </c>
      <c r="G43" s="55">
        <v>3</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1</v>
      </c>
      <c r="X43" s="55" t="s">
        <v>129</v>
      </c>
      <c r="Y43" s="55">
        <v>0</v>
      </c>
      <c r="Z43" s="55" t="s">
        <v>129</v>
      </c>
      <c r="AA43" s="55" t="s">
        <v>129</v>
      </c>
      <c r="AB43" s="55" t="s">
        <v>129</v>
      </c>
      <c r="AC43" s="55" t="s">
        <v>129</v>
      </c>
      <c r="AD43" s="55" t="s">
        <v>129</v>
      </c>
      <c r="AE43" s="55" t="s">
        <v>129</v>
      </c>
      <c r="AF43" s="55" t="s">
        <v>129</v>
      </c>
      <c r="AG43" s="55" t="s">
        <v>129</v>
      </c>
      <c r="AH43" s="55" t="s">
        <v>129</v>
      </c>
      <c r="AI43" s="55">
        <v>1</v>
      </c>
      <c r="AJ43" s="55" t="s">
        <v>129</v>
      </c>
      <c r="AK43" s="55">
        <v>0</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1</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4</v>
      </c>
      <c r="D44" s="55" t="s">
        <v>129</v>
      </c>
      <c r="E44" s="55">
        <v>0</v>
      </c>
      <c r="F44" s="55" t="s">
        <v>129</v>
      </c>
      <c r="G44" s="55">
        <v>1</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0</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1</v>
      </c>
      <c r="AZ44" s="55" t="s">
        <v>129</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1</v>
      </c>
      <c r="D45" s="55" t="s">
        <v>129</v>
      </c>
      <c r="E45" s="55">
        <v>1</v>
      </c>
      <c r="F45" s="55" t="s">
        <v>129</v>
      </c>
      <c r="G45" s="55">
        <v>1</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1</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1</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1</v>
      </c>
      <c r="D46" s="55" t="s">
        <v>129</v>
      </c>
      <c r="E46" s="55">
        <v>2</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1</v>
      </c>
      <c r="V46" s="55" t="s">
        <v>129</v>
      </c>
      <c r="W46" s="55">
        <v>1</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1</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1</v>
      </c>
      <c r="AZ46" s="55" t="s">
        <v>129</v>
      </c>
      <c r="BA46" s="55">
        <v>1</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3</v>
      </c>
      <c r="D47" s="55" t="s">
        <v>129</v>
      </c>
      <c r="E47" s="55">
        <v>1</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1</v>
      </c>
      <c r="T47" s="55" t="s">
        <v>129</v>
      </c>
      <c r="U47" s="55">
        <v>2</v>
      </c>
      <c r="V47" s="55" t="s">
        <v>129</v>
      </c>
      <c r="W47" s="55">
        <v>1</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3</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2</v>
      </c>
      <c r="D48" s="55" t="s">
        <v>129</v>
      </c>
      <c r="E48" s="55">
        <v>1</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1</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0</v>
      </c>
      <c r="AL48" s="55" t="s">
        <v>129</v>
      </c>
      <c r="AM48" s="55">
        <v>1</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3</v>
      </c>
      <c r="D49" s="55" t="s">
        <v>129</v>
      </c>
      <c r="E49" s="55">
        <v>0</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1</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1</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2</v>
      </c>
      <c r="D50" s="55" t="s">
        <v>129</v>
      </c>
      <c r="E50" s="55">
        <v>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1</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2</v>
      </c>
      <c r="AJ50" s="55" t="s">
        <v>129</v>
      </c>
      <c r="AK50" s="55">
        <v>0</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1</v>
      </c>
      <c r="T51" s="55" t="s">
        <v>129</v>
      </c>
      <c r="U51" s="55">
        <v>0</v>
      </c>
      <c r="V51" s="55" t="s">
        <v>129</v>
      </c>
      <c r="W51" s="55">
        <v>2</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3</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1</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1</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2</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4558E-4465-4C17-83F9-F12F380715F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1</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1</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1</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0</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0</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0</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0</v>
      </c>
      <c r="AZ40" s="55" t="s">
        <v>129</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1</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0</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0</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0</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0</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0</v>
      </c>
      <c r="AL42" s="55" t="s">
        <v>129</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0</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0</v>
      </c>
      <c r="D43" s="55" t="s">
        <v>129</v>
      </c>
      <c r="E43" s="55">
        <v>0</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0</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0</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0</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0</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0</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0</v>
      </c>
      <c r="AZ44" s="55" t="s">
        <v>129</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0</v>
      </c>
      <c r="D45" s="55" t="s">
        <v>129</v>
      </c>
      <c r="E45" s="55">
        <v>0</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0</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0</v>
      </c>
      <c r="AZ45" s="55" t="s">
        <v>129</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0</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0</v>
      </c>
      <c r="AZ46" s="55" t="s">
        <v>129</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1</v>
      </c>
      <c r="D47" s="55" t="s">
        <v>129</v>
      </c>
      <c r="E47" s="55">
        <v>0</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0</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0</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0</v>
      </c>
      <c r="D48" s="55" t="s">
        <v>129</v>
      </c>
      <c r="E48" s="55">
        <v>0</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0</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0</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0</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0</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0</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0</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0</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0</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0</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0</v>
      </c>
      <c r="AZ52" s="55" t="s">
        <v>129</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3EAE-4C5B-47BC-BC84-4D040F13F090}">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198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1</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7</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6</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9</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4</v>
      </c>
      <c r="D20" s="55" t="s">
        <v>129</v>
      </c>
      <c r="E20" s="55">
        <v>1</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1</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4</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8</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2</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0</v>
      </c>
      <c r="D23" s="55" t="s">
        <v>129</v>
      </c>
      <c r="E23" s="55">
        <v>1</v>
      </c>
      <c r="F23" s="55" t="s">
        <v>129</v>
      </c>
      <c r="G23" s="55">
        <v>1</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4</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0</v>
      </c>
      <c r="D24" s="55" t="s">
        <v>129</v>
      </c>
      <c r="E24" s="55">
        <v>7</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3</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6</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1</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1</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0</v>
      </c>
      <c r="D35" s="55" t="s">
        <v>129</v>
      </c>
      <c r="E35" s="55">
        <v>0</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2</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0</v>
      </c>
      <c r="D38" s="55" t="s">
        <v>129</v>
      </c>
      <c r="E38" s="55">
        <v>0</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2</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1</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1</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2</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0</v>
      </c>
      <c r="D40" s="55" t="s">
        <v>129</v>
      </c>
      <c r="E40" s="55">
        <v>0</v>
      </c>
      <c r="F40" s="55" t="s">
        <v>129</v>
      </c>
      <c r="G40" s="55">
        <v>0</v>
      </c>
      <c r="H40" s="55" t="s">
        <v>129</v>
      </c>
      <c r="I40" s="55">
        <v>0</v>
      </c>
      <c r="J40" s="55" t="s">
        <v>129</v>
      </c>
      <c r="K40" s="55" t="s">
        <v>129</v>
      </c>
      <c r="L40" s="55" t="s">
        <v>129</v>
      </c>
      <c r="M40" s="55" t="s">
        <v>129</v>
      </c>
      <c r="N40" s="55" t="s">
        <v>129</v>
      </c>
      <c r="O40" s="55" t="s">
        <v>129</v>
      </c>
      <c r="P40" s="55" t="s">
        <v>129</v>
      </c>
      <c r="Q40" s="55" t="s">
        <v>129</v>
      </c>
      <c r="R40" s="55" t="s">
        <v>129</v>
      </c>
      <c r="S40" s="55">
        <v>0</v>
      </c>
      <c r="T40" s="55" t="s">
        <v>129</v>
      </c>
      <c r="U40" s="55">
        <v>0</v>
      </c>
      <c r="V40" s="55" t="s">
        <v>129</v>
      </c>
      <c r="W40" s="55">
        <v>0</v>
      </c>
      <c r="X40" s="55" t="s">
        <v>129</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v>0</v>
      </c>
      <c r="AL40" s="55" t="s">
        <v>129</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v>1</v>
      </c>
      <c r="AZ40" s="55" t="s">
        <v>129</v>
      </c>
      <c r="BA40" s="55">
        <v>3</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0</v>
      </c>
      <c r="D41" s="55" t="s">
        <v>129</v>
      </c>
      <c r="E41" s="55">
        <v>0</v>
      </c>
      <c r="F41" s="55" t="s">
        <v>129</v>
      </c>
      <c r="G41" s="55">
        <v>0</v>
      </c>
      <c r="H41" s="55" t="s">
        <v>129</v>
      </c>
      <c r="I41" s="55">
        <v>0</v>
      </c>
      <c r="J41" s="55" t="s">
        <v>129</v>
      </c>
      <c r="K41" s="55" t="s">
        <v>129</v>
      </c>
      <c r="L41" s="55" t="s">
        <v>129</v>
      </c>
      <c r="M41" s="55" t="s">
        <v>129</v>
      </c>
      <c r="N41" s="55" t="s">
        <v>129</v>
      </c>
      <c r="O41" s="55" t="s">
        <v>129</v>
      </c>
      <c r="P41" s="55" t="s">
        <v>129</v>
      </c>
      <c r="Q41" s="55" t="s">
        <v>129</v>
      </c>
      <c r="R41" s="55" t="s">
        <v>129</v>
      </c>
      <c r="S41" s="55">
        <v>0</v>
      </c>
      <c r="T41" s="55" t="s">
        <v>129</v>
      </c>
      <c r="U41" s="55">
        <v>1</v>
      </c>
      <c r="V41" s="55" t="s">
        <v>129</v>
      </c>
      <c r="W41" s="55">
        <v>0</v>
      </c>
      <c r="X41" s="55" t="s">
        <v>129</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v>0</v>
      </c>
      <c r="AL41" s="55" t="s">
        <v>129</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v>0</v>
      </c>
      <c r="AZ41" s="55" t="s">
        <v>129</v>
      </c>
      <c r="BA41" s="55">
        <v>1</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0</v>
      </c>
      <c r="D42" s="55" t="s">
        <v>129</v>
      </c>
      <c r="E42" s="55">
        <v>1</v>
      </c>
      <c r="F42" s="55" t="s">
        <v>129</v>
      </c>
      <c r="G42" s="55">
        <v>0</v>
      </c>
      <c r="H42" s="55" t="s">
        <v>129</v>
      </c>
      <c r="I42" s="55">
        <v>0</v>
      </c>
      <c r="J42" s="55" t="s">
        <v>129</v>
      </c>
      <c r="K42" s="55" t="s">
        <v>129</v>
      </c>
      <c r="L42" s="55" t="s">
        <v>129</v>
      </c>
      <c r="M42" s="55" t="s">
        <v>129</v>
      </c>
      <c r="N42" s="55" t="s">
        <v>129</v>
      </c>
      <c r="O42" s="55" t="s">
        <v>129</v>
      </c>
      <c r="P42" s="55" t="s">
        <v>129</v>
      </c>
      <c r="Q42" s="55" t="s">
        <v>129</v>
      </c>
      <c r="R42" s="55" t="s">
        <v>129</v>
      </c>
      <c r="S42" s="55">
        <v>0</v>
      </c>
      <c r="T42" s="55" t="s">
        <v>129</v>
      </c>
      <c r="U42" s="55">
        <v>0</v>
      </c>
      <c r="V42" s="55" t="s">
        <v>129</v>
      </c>
      <c r="W42" s="55">
        <v>0</v>
      </c>
      <c r="X42" s="55" t="s">
        <v>129</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v>0</v>
      </c>
      <c r="AL42" s="55" t="s">
        <v>129</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v>0</v>
      </c>
      <c r="AZ42" s="55" t="s">
        <v>129</v>
      </c>
      <c r="BA42" s="55">
        <v>1</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1</v>
      </c>
      <c r="D43" s="55" t="s">
        <v>129</v>
      </c>
      <c r="E43" s="55">
        <v>0</v>
      </c>
      <c r="F43" s="55" t="s">
        <v>129</v>
      </c>
      <c r="G43" s="55">
        <v>0</v>
      </c>
      <c r="H43" s="55" t="s">
        <v>129</v>
      </c>
      <c r="I43" s="55">
        <v>0</v>
      </c>
      <c r="J43" s="55" t="s">
        <v>129</v>
      </c>
      <c r="K43" s="55" t="s">
        <v>129</v>
      </c>
      <c r="L43" s="55" t="s">
        <v>129</v>
      </c>
      <c r="M43" s="55" t="s">
        <v>129</v>
      </c>
      <c r="N43" s="55" t="s">
        <v>129</v>
      </c>
      <c r="O43" s="55" t="s">
        <v>129</v>
      </c>
      <c r="P43" s="55" t="s">
        <v>129</v>
      </c>
      <c r="Q43" s="55" t="s">
        <v>129</v>
      </c>
      <c r="R43" s="55" t="s">
        <v>129</v>
      </c>
      <c r="S43" s="55">
        <v>0</v>
      </c>
      <c r="T43" s="55" t="s">
        <v>129</v>
      </c>
      <c r="U43" s="55">
        <v>0</v>
      </c>
      <c r="V43" s="55" t="s">
        <v>129</v>
      </c>
      <c r="W43" s="55">
        <v>1</v>
      </c>
      <c r="X43" s="55" t="s">
        <v>129</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v>1</v>
      </c>
      <c r="AL43" s="55" t="s">
        <v>129</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v>0</v>
      </c>
      <c r="AZ43" s="55" t="s">
        <v>129</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0</v>
      </c>
      <c r="D44" s="55" t="s">
        <v>129</v>
      </c>
      <c r="E44" s="55">
        <v>0</v>
      </c>
      <c r="F44" s="55" t="s">
        <v>129</v>
      </c>
      <c r="G44" s="55">
        <v>0</v>
      </c>
      <c r="H44" s="55" t="s">
        <v>129</v>
      </c>
      <c r="I44" s="55">
        <v>0</v>
      </c>
      <c r="J44" s="55" t="s">
        <v>129</v>
      </c>
      <c r="K44" s="55" t="s">
        <v>129</v>
      </c>
      <c r="L44" s="55" t="s">
        <v>129</v>
      </c>
      <c r="M44" s="55" t="s">
        <v>129</v>
      </c>
      <c r="N44" s="55" t="s">
        <v>129</v>
      </c>
      <c r="O44" s="55" t="s">
        <v>129</v>
      </c>
      <c r="P44" s="55" t="s">
        <v>129</v>
      </c>
      <c r="Q44" s="55" t="s">
        <v>129</v>
      </c>
      <c r="R44" s="55" t="s">
        <v>129</v>
      </c>
      <c r="S44" s="55">
        <v>0</v>
      </c>
      <c r="T44" s="55" t="s">
        <v>129</v>
      </c>
      <c r="U44" s="55">
        <v>2</v>
      </c>
      <c r="V44" s="55" t="s">
        <v>129</v>
      </c>
      <c r="W44" s="55">
        <v>0</v>
      </c>
      <c r="X44" s="55" t="s">
        <v>129</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v>1</v>
      </c>
      <c r="AL44" s="55" t="s">
        <v>129</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v>1</v>
      </c>
      <c r="AZ44" s="55" t="s">
        <v>129</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0</v>
      </c>
      <c r="D45" s="55" t="s">
        <v>129</v>
      </c>
      <c r="E45" s="55">
        <v>0</v>
      </c>
      <c r="F45" s="55" t="s">
        <v>129</v>
      </c>
      <c r="G45" s="55">
        <v>0</v>
      </c>
      <c r="H45" s="55" t="s">
        <v>129</v>
      </c>
      <c r="I45" s="55">
        <v>0</v>
      </c>
      <c r="J45" s="55" t="s">
        <v>129</v>
      </c>
      <c r="K45" s="55" t="s">
        <v>129</v>
      </c>
      <c r="L45" s="55" t="s">
        <v>129</v>
      </c>
      <c r="M45" s="55" t="s">
        <v>129</v>
      </c>
      <c r="N45" s="55" t="s">
        <v>129</v>
      </c>
      <c r="O45" s="55" t="s">
        <v>129</v>
      </c>
      <c r="P45" s="55" t="s">
        <v>129</v>
      </c>
      <c r="Q45" s="55" t="s">
        <v>129</v>
      </c>
      <c r="R45" s="55" t="s">
        <v>129</v>
      </c>
      <c r="S45" s="55">
        <v>0</v>
      </c>
      <c r="T45" s="55" t="s">
        <v>129</v>
      </c>
      <c r="U45" s="55">
        <v>0</v>
      </c>
      <c r="V45" s="55" t="s">
        <v>129</v>
      </c>
      <c r="W45" s="55">
        <v>0</v>
      </c>
      <c r="X45" s="55" t="s">
        <v>129</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v>0</v>
      </c>
      <c r="AL45" s="55" t="s">
        <v>129</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v>1</v>
      </c>
      <c r="AZ45" s="55" t="s">
        <v>129</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0</v>
      </c>
      <c r="D46" s="55" t="s">
        <v>129</v>
      </c>
      <c r="E46" s="55">
        <v>0</v>
      </c>
      <c r="F46" s="55" t="s">
        <v>129</v>
      </c>
      <c r="G46" s="55">
        <v>0</v>
      </c>
      <c r="H46" s="55" t="s">
        <v>129</v>
      </c>
      <c r="I46" s="55">
        <v>0</v>
      </c>
      <c r="J46" s="55" t="s">
        <v>129</v>
      </c>
      <c r="K46" s="55" t="s">
        <v>129</v>
      </c>
      <c r="L46" s="55" t="s">
        <v>129</v>
      </c>
      <c r="M46" s="55" t="s">
        <v>129</v>
      </c>
      <c r="N46" s="55" t="s">
        <v>129</v>
      </c>
      <c r="O46" s="55" t="s">
        <v>129</v>
      </c>
      <c r="P46" s="55" t="s">
        <v>129</v>
      </c>
      <c r="Q46" s="55" t="s">
        <v>129</v>
      </c>
      <c r="R46" s="55" t="s">
        <v>129</v>
      </c>
      <c r="S46" s="55">
        <v>0</v>
      </c>
      <c r="T46" s="55" t="s">
        <v>129</v>
      </c>
      <c r="U46" s="55">
        <v>0</v>
      </c>
      <c r="V46" s="55" t="s">
        <v>129</v>
      </c>
      <c r="W46" s="55">
        <v>0</v>
      </c>
      <c r="X46" s="55" t="s">
        <v>129</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v>0</v>
      </c>
      <c r="AL46" s="55" t="s">
        <v>129</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v>1</v>
      </c>
      <c r="AZ46" s="55" t="s">
        <v>129</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0</v>
      </c>
      <c r="D47" s="55" t="s">
        <v>129</v>
      </c>
      <c r="E47" s="55">
        <v>0</v>
      </c>
      <c r="F47" s="55" t="s">
        <v>129</v>
      </c>
      <c r="G47" s="55">
        <v>0</v>
      </c>
      <c r="H47" s="55" t="s">
        <v>129</v>
      </c>
      <c r="I47" s="55">
        <v>0</v>
      </c>
      <c r="J47" s="55" t="s">
        <v>129</v>
      </c>
      <c r="K47" s="55" t="s">
        <v>129</v>
      </c>
      <c r="L47" s="55" t="s">
        <v>129</v>
      </c>
      <c r="M47" s="55" t="s">
        <v>129</v>
      </c>
      <c r="N47" s="55" t="s">
        <v>129</v>
      </c>
      <c r="O47" s="55" t="s">
        <v>129</v>
      </c>
      <c r="P47" s="55" t="s">
        <v>129</v>
      </c>
      <c r="Q47" s="55" t="s">
        <v>129</v>
      </c>
      <c r="R47" s="55" t="s">
        <v>129</v>
      </c>
      <c r="S47" s="55">
        <v>0</v>
      </c>
      <c r="T47" s="55" t="s">
        <v>129</v>
      </c>
      <c r="U47" s="55">
        <v>8</v>
      </c>
      <c r="V47" s="55" t="s">
        <v>129</v>
      </c>
      <c r="W47" s="55">
        <v>0</v>
      </c>
      <c r="X47" s="55" t="s">
        <v>129</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v>0</v>
      </c>
      <c r="AL47" s="55" t="s">
        <v>129</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v>0</v>
      </c>
      <c r="AZ47" s="55" t="s">
        <v>129</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0</v>
      </c>
      <c r="D48" s="55" t="s">
        <v>129</v>
      </c>
      <c r="E48" s="55">
        <v>0</v>
      </c>
      <c r="F48" s="55" t="s">
        <v>129</v>
      </c>
      <c r="G48" s="55">
        <v>0</v>
      </c>
      <c r="H48" s="55" t="s">
        <v>129</v>
      </c>
      <c r="I48" s="55">
        <v>0</v>
      </c>
      <c r="J48" s="55" t="s">
        <v>129</v>
      </c>
      <c r="K48" s="55" t="s">
        <v>129</v>
      </c>
      <c r="L48" s="55" t="s">
        <v>129</v>
      </c>
      <c r="M48" s="55" t="s">
        <v>129</v>
      </c>
      <c r="N48" s="55" t="s">
        <v>129</v>
      </c>
      <c r="O48" s="55" t="s">
        <v>129</v>
      </c>
      <c r="P48" s="55" t="s">
        <v>129</v>
      </c>
      <c r="Q48" s="55" t="s">
        <v>129</v>
      </c>
      <c r="R48" s="55" t="s">
        <v>129</v>
      </c>
      <c r="S48" s="55">
        <v>0</v>
      </c>
      <c r="T48" s="55" t="s">
        <v>129</v>
      </c>
      <c r="U48" s="55">
        <v>3</v>
      </c>
      <c r="V48" s="55" t="s">
        <v>129</v>
      </c>
      <c r="W48" s="55">
        <v>0</v>
      </c>
      <c r="X48" s="55" t="s">
        <v>129</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v>1</v>
      </c>
      <c r="AL48" s="55" t="s">
        <v>129</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v>0</v>
      </c>
      <c r="AZ48" s="55" t="s">
        <v>129</v>
      </c>
      <c r="BA48" s="55">
        <v>2</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0</v>
      </c>
      <c r="D49" s="55" t="s">
        <v>129</v>
      </c>
      <c r="E49" s="55">
        <v>0</v>
      </c>
      <c r="F49" s="55" t="s">
        <v>129</v>
      </c>
      <c r="G49" s="55">
        <v>0</v>
      </c>
      <c r="H49" s="55" t="s">
        <v>129</v>
      </c>
      <c r="I49" s="55">
        <v>0</v>
      </c>
      <c r="J49" s="55" t="s">
        <v>129</v>
      </c>
      <c r="K49" s="55" t="s">
        <v>129</v>
      </c>
      <c r="L49" s="55" t="s">
        <v>129</v>
      </c>
      <c r="M49" s="55" t="s">
        <v>129</v>
      </c>
      <c r="N49" s="55" t="s">
        <v>129</v>
      </c>
      <c r="O49" s="55" t="s">
        <v>129</v>
      </c>
      <c r="P49" s="55" t="s">
        <v>129</v>
      </c>
      <c r="Q49" s="55" t="s">
        <v>129</v>
      </c>
      <c r="R49" s="55" t="s">
        <v>129</v>
      </c>
      <c r="S49" s="55">
        <v>0</v>
      </c>
      <c r="T49" s="55" t="s">
        <v>129</v>
      </c>
      <c r="U49" s="55">
        <v>1</v>
      </c>
      <c r="V49" s="55" t="s">
        <v>129</v>
      </c>
      <c r="W49" s="55">
        <v>0</v>
      </c>
      <c r="X49" s="55" t="s">
        <v>129</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v>0</v>
      </c>
      <c r="AL49" s="55" t="s">
        <v>129</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v>0</v>
      </c>
      <c r="AZ49" s="55" t="s">
        <v>129</v>
      </c>
      <c r="BA49" s="55">
        <v>1</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0</v>
      </c>
      <c r="D50" s="55" t="s">
        <v>129</v>
      </c>
      <c r="E50" s="55">
        <v>0</v>
      </c>
      <c r="F50" s="55" t="s">
        <v>129</v>
      </c>
      <c r="G50" s="55">
        <v>0</v>
      </c>
      <c r="H50" s="55" t="s">
        <v>129</v>
      </c>
      <c r="I50" s="55">
        <v>0</v>
      </c>
      <c r="J50" s="55" t="s">
        <v>129</v>
      </c>
      <c r="K50" s="55" t="s">
        <v>129</v>
      </c>
      <c r="L50" s="55" t="s">
        <v>129</v>
      </c>
      <c r="M50" s="55" t="s">
        <v>129</v>
      </c>
      <c r="N50" s="55" t="s">
        <v>129</v>
      </c>
      <c r="O50" s="55" t="s">
        <v>129</v>
      </c>
      <c r="P50" s="55" t="s">
        <v>129</v>
      </c>
      <c r="Q50" s="55" t="s">
        <v>129</v>
      </c>
      <c r="R50" s="55" t="s">
        <v>129</v>
      </c>
      <c r="S50" s="55">
        <v>0</v>
      </c>
      <c r="T50" s="55" t="s">
        <v>129</v>
      </c>
      <c r="U50" s="55">
        <v>3</v>
      </c>
      <c r="V50" s="55" t="s">
        <v>129</v>
      </c>
      <c r="W50" s="55">
        <v>0</v>
      </c>
      <c r="X50" s="55" t="s">
        <v>129</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v>0</v>
      </c>
      <c r="AL50" s="55" t="s">
        <v>129</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v>0</v>
      </c>
      <c r="AZ50" s="55" t="s">
        <v>129</v>
      </c>
      <c r="BA50" s="55">
        <v>2</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0</v>
      </c>
      <c r="D51" s="55" t="s">
        <v>129</v>
      </c>
      <c r="E51" s="55">
        <v>0</v>
      </c>
      <c r="F51" s="55" t="s">
        <v>129</v>
      </c>
      <c r="G51" s="55">
        <v>0</v>
      </c>
      <c r="H51" s="55" t="s">
        <v>129</v>
      </c>
      <c r="I51" s="55">
        <v>0</v>
      </c>
      <c r="J51" s="55" t="s">
        <v>129</v>
      </c>
      <c r="K51" s="55" t="s">
        <v>129</v>
      </c>
      <c r="L51" s="55" t="s">
        <v>129</v>
      </c>
      <c r="M51" s="55" t="s">
        <v>129</v>
      </c>
      <c r="N51" s="55" t="s">
        <v>129</v>
      </c>
      <c r="O51" s="55" t="s">
        <v>129</v>
      </c>
      <c r="P51" s="55" t="s">
        <v>129</v>
      </c>
      <c r="Q51" s="55" t="s">
        <v>129</v>
      </c>
      <c r="R51" s="55" t="s">
        <v>129</v>
      </c>
      <c r="S51" s="55">
        <v>0</v>
      </c>
      <c r="T51" s="55" t="s">
        <v>129</v>
      </c>
      <c r="U51" s="55">
        <v>0</v>
      </c>
      <c r="V51" s="55" t="s">
        <v>129</v>
      </c>
      <c r="W51" s="55">
        <v>0</v>
      </c>
      <c r="X51" s="55" t="s">
        <v>129</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v>1</v>
      </c>
      <c r="AL51" s="55" t="s">
        <v>129</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v>0</v>
      </c>
      <c r="AZ51" s="55" t="s">
        <v>129</v>
      </c>
      <c r="BA51" s="55">
        <v>0</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0</v>
      </c>
      <c r="D52" s="55" t="s">
        <v>129</v>
      </c>
      <c r="E52" s="55">
        <v>0</v>
      </c>
      <c r="F52" s="55" t="s">
        <v>129</v>
      </c>
      <c r="G52" s="55">
        <v>0</v>
      </c>
      <c r="H52" s="55" t="s">
        <v>129</v>
      </c>
      <c r="I52" s="55">
        <v>0</v>
      </c>
      <c r="J52" s="55" t="s">
        <v>129</v>
      </c>
      <c r="K52" s="55" t="s">
        <v>129</v>
      </c>
      <c r="L52" s="55" t="s">
        <v>129</v>
      </c>
      <c r="M52" s="55" t="s">
        <v>129</v>
      </c>
      <c r="N52" s="55" t="s">
        <v>129</v>
      </c>
      <c r="O52" s="55" t="s">
        <v>129</v>
      </c>
      <c r="P52" s="55" t="s">
        <v>129</v>
      </c>
      <c r="Q52" s="55" t="s">
        <v>129</v>
      </c>
      <c r="R52" s="55" t="s">
        <v>129</v>
      </c>
      <c r="S52" s="55">
        <v>0</v>
      </c>
      <c r="T52" s="55" t="s">
        <v>129</v>
      </c>
      <c r="U52" s="55">
        <v>0</v>
      </c>
      <c r="V52" s="55" t="s">
        <v>129</v>
      </c>
      <c r="W52" s="55">
        <v>0</v>
      </c>
      <c r="X52" s="55" t="s">
        <v>129</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v>0</v>
      </c>
      <c r="AL52" s="55" t="s">
        <v>129</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v>2</v>
      </c>
      <c r="AZ52" s="55" t="s">
        <v>129</v>
      </c>
      <c r="BA52" s="55">
        <v>1</v>
      </c>
      <c r="BB52" s="55" t="s">
        <v>129</v>
      </c>
      <c r="BC52" s="55">
        <v>0</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2683-C5D7-4C3D-A6D2-96D5CC387C2A}">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197</v>
      </c>
      <c r="B1" s="64"/>
      <c r="C1" s="63" t="s">
        <v>196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195</v>
      </c>
      <c r="B2" s="64"/>
      <c r="C2" s="63" t="s">
        <v>194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193</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192</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191</v>
      </c>
      <c r="B10" s="64"/>
      <c r="C10" s="63" t="s">
        <v>190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189</v>
      </c>
      <c r="B11" s="64"/>
      <c r="C11" s="63" t="s">
        <v>199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188</v>
      </c>
      <c r="C12" s="61"/>
      <c r="D12" s="61"/>
      <c r="E12" s="61"/>
      <c r="F12" s="61"/>
      <c r="G12" s="61"/>
      <c r="H12" s="61"/>
      <c r="I12" s="60"/>
      <c r="J12" s="62" t="s">
        <v>184</v>
      </c>
      <c r="K12" s="61"/>
      <c r="L12" s="61"/>
      <c r="M12" s="61"/>
      <c r="N12" s="61"/>
      <c r="O12" s="61"/>
      <c r="P12" s="61"/>
      <c r="Q12" s="60"/>
      <c r="R12" s="62" t="s">
        <v>187</v>
      </c>
      <c r="S12" s="61"/>
      <c r="T12" s="61"/>
      <c r="U12" s="61"/>
      <c r="V12" s="61"/>
      <c r="W12" s="61"/>
      <c r="X12" s="61"/>
      <c r="Y12" s="60"/>
      <c r="Z12" s="62" t="s">
        <v>184</v>
      </c>
      <c r="AA12" s="61"/>
      <c r="AB12" s="61"/>
      <c r="AC12" s="61"/>
      <c r="AD12" s="61"/>
      <c r="AE12" s="61"/>
      <c r="AF12" s="61"/>
      <c r="AG12" s="60"/>
      <c r="AH12" s="62" t="s">
        <v>186</v>
      </c>
      <c r="AI12" s="61"/>
      <c r="AJ12" s="61"/>
      <c r="AK12" s="61"/>
      <c r="AL12" s="61"/>
      <c r="AM12" s="61"/>
      <c r="AN12" s="61"/>
      <c r="AO12" s="60"/>
      <c r="AP12" s="62" t="s">
        <v>184</v>
      </c>
      <c r="AQ12" s="61"/>
      <c r="AR12" s="61"/>
      <c r="AS12" s="61"/>
      <c r="AT12" s="61"/>
      <c r="AU12" s="61"/>
      <c r="AV12" s="61"/>
      <c r="AW12" s="60"/>
      <c r="AX12" s="62" t="s">
        <v>185</v>
      </c>
      <c r="AY12" s="61"/>
      <c r="AZ12" s="61"/>
      <c r="BA12" s="61"/>
      <c r="BB12" s="61"/>
      <c r="BC12" s="61"/>
      <c r="BD12" s="61"/>
      <c r="BE12" s="60"/>
      <c r="BF12" s="62" t="s">
        <v>184</v>
      </c>
      <c r="BG12" s="61"/>
      <c r="BH12" s="61"/>
      <c r="BI12" s="61"/>
      <c r="BJ12" s="61"/>
      <c r="BK12" s="61"/>
      <c r="BL12" s="61"/>
      <c r="BM12" s="60"/>
    </row>
    <row r="13" spans="1:65" ht="15" customHeight="1" x14ac:dyDescent="0.2">
      <c r="A13" s="55" t="s">
        <v>129</v>
      </c>
      <c r="B13" s="59" t="s">
        <v>183</v>
      </c>
      <c r="C13" s="58"/>
      <c r="D13" s="58"/>
      <c r="E13" s="58"/>
      <c r="F13" s="58"/>
      <c r="G13" s="58"/>
      <c r="H13" s="58"/>
      <c r="I13" s="57"/>
      <c r="J13" s="59" t="s">
        <v>182</v>
      </c>
      <c r="K13" s="58"/>
      <c r="L13" s="58"/>
      <c r="M13" s="58"/>
      <c r="N13" s="58"/>
      <c r="O13" s="58"/>
      <c r="P13" s="58"/>
      <c r="Q13" s="57"/>
      <c r="R13" s="59" t="s">
        <v>181</v>
      </c>
      <c r="S13" s="58"/>
      <c r="T13" s="58"/>
      <c r="U13" s="58"/>
      <c r="V13" s="58"/>
      <c r="W13" s="58"/>
      <c r="X13" s="58"/>
      <c r="Y13" s="57"/>
      <c r="Z13" s="59" t="s">
        <v>180</v>
      </c>
      <c r="AA13" s="58"/>
      <c r="AB13" s="58"/>
      <c r="AC13" s="58"/>
      <c r="AD13" s="58"/>
      <c r="AE13" s="58"/>
      <c r="AF13" s="58"/>
      <c r="AG13" s="57"/>
      <c r="AH13" s="59" t="s">
        <v>179</v>
      </c>
      <c r="AI13" s="58"/>
      <c r="AJ13" s="58"/>
      <c r="AK13" s="58"/>
      <c r="AL13" s="58"/>
      <c r="AM13" s="58"/>
      <c r="AN13" s="58"/>
      <c r="AO13" s="57"/>
      <c r="AP13" s="59" t="s">
        <v>178</v>
      </c>
      <c r="AQ13" s="58"/>
      <c r="AR13" s="58"/>
      <c r="AS13" s="58"/>
      <c r="AT13" s="58"/>
      <c r="AU13" s="58"/>
      <c r="AV13" s="58"/>
      <c r="AW13" s="57"/>
      <c r="AX13" s="59" t="s">
        <v>177</v>
      </c>
      <c r="AY13" s="58"/>
      <c r="AZ13" s="58"/>
      <c r="BA13" s="58"/>
      <c r="BB13" s="58"/>
      <c r="BC13" s="58"/>
      <c r="BD13" s="58"/>
      <c r="BE13" s="57"/>
      <c r="BF13" s="59" t="s">
        <v>176</v>
      </c>
      <c r="BG13" s="58"/>
      <c r="BH13" s="58"/>
      <c r="BI13" s="58"/>
      <c r="BJ13" s="58"/>
      <c r="BK13" s="58"/>
      <c r="BL13" s="58"/>
      <c r="BM13" s="57"/>
    </row>
    <row r="14" spans="1:65" ht="15" customHeight="1" x14ac:dyDescent="0.2">
      <c r="A14" s="56" t="s">
        <v>9</v>
      </c>
      <c r="B14" s="56" t="s">
        <v>175</v>
      </c>
      <c r="C14" s="56" t="s">
        <v>174</v>
      </c>
      <c r="D14" s="56" t="s">
        <v>173</v>
      </c>
      <c r="E14" s="56" t="s">
        <v>172</v>
      </c>
      <c r="F14" s="56" t="s">
        <v>171</v>
      </c>
      <c r="G14" s="56" t="s">
        <v>170</v>
      </c>
      <c r="H14" s="56" t="s">
        <v>169</v>
      </c>
      <c r="I14" s="56" t="s">
        <v>168</v>
      </c>
      <c r="J14" s="56" t="s">
        <v>175</v>
      </c>
      <c r="K14" s="56" t="s">
        <v>174</v>
      </c>
      <c r="L14" s="56" t="s">
        <v>173</v>
      </c>
      <c r="M14" s="56" t="s">
        <v>172</v>
      </c>
      <c r="N14" s="56" t="s">
        <v>171</v>
      </c>
      <c r="O14" s="56" t="s">
        <v>170</v>
      </c>
      <c r="P14" s="56" t="s">
        <v>169</v>
      </c>
      <c r="Q14" s="56" t="s">
        <v>168</v>
      </c>
      <c r="R14" s="56" t="s">
        <v>175</v>
      </c>
      <c r="S14" s="56" t="s">
        <v>174</v>
      </c>
      <c r="T14" s="56" t="s">
        <v>173</v>
      </c>
      <c r="U14" s="56" t="s">
        <v>172</v>
      </c>
      <c r="V14" s="56" t="s">
        <v>171</v>
      </c>
      <c r="W14" s="56" t="s">
        <v>170</v>
      </c>
      <c r="X14" s="56" t="s">
        <v>169</v>
      </c>
      <c r="Y14" s="56" t="s">
        <v>168</v>
      </c>
      <c r="Z14" s="56" t="s">
        <v>175</v>
      </c>
      <c r="AA14" s="56" t="s">
        <v>174</v>
      </c>
      <c r="AB14" s="56" t="s">
        <v>173</v>
      </c>
      <c r="AC14" s="56" t="s">
        <v>172</v>
      </c>
      <c r="AD14" s="56" t="s">
        <v>171</v>
      </c>
      <c r="AE14" s="56" t="s">
        <v>170</v>
      </c>
      <c r="AF14" s="56" t="s">
        <v>169</v>
      </c>
      <c r="AG14" s="56" t="s">
        <v>168</v>
      </c>
      <c r="AH14" s="56" t="s">
        <v>175</v>
      </c>
      <c r="AI14" s="56" t="s">
        <v>174</v>
      </c>
      <c r="AJ14" s="56" t="s">
        <v>173</v>
      </c>
      <c r="AK14" s="56" t="s">
        <v>172</v>
      </c>
      <c r="AL14" s="56" t="s">
        <v>171</v>
      </c>
      <c r="AM14" s="56" t="s">
        <v>170</v>
      </c>
      <c r="AN14" s="56" t="s">
        <v>169</v>
      </c>
      <c r="AO14" s="56" t="s">
        <v>168</v>
      </c>
      <c r="AP14" s="56" t="s">
        <v>175</v>
      </c>
      <c r="AQ14" s="56" t="s">
        <v>174</v>
      </c>
      <c r="AR14" s="56" t="s">
        <v>173</v>
      </c>
      <c r="AS14" s="56" t="s">
        <v>172</v>
      </c>
      <c r="AT14" s="56" t="s">
        <v>171</v>
      </c>
      <c r="AU14" s="56" t="s">
        <v>170</v>
      </c>
      <c r="AV14" s="56" t="s">
        <v>169</v>
      </c>
      <c r="AW14" s="56" t="s">
        <v>168</v>
      </c>
      <c r="AX14" s="56" t="s">
        <v>175</v>
      </c>
      <c r="AY14" s="56" t="s">
        <v>174</v>
      </c>
      <c r="AZ14" s="56" t="s">
        <v>173</v>
      </c>
      <c r="BA14" s="56" t="s">
        <v>172</v>
      </c>
      <c r="BB14" s="56" t="s">
        <v>171</v>
      </c>
      <c r="BC14" s="56" t="s">
        <v>170</v>
      </c>
      <c r="BD14" s="56" t="s">
        <v>169</v>
      </c>
      <c r="BE14" s="56" t="s">
        <v>168</v>
      </c>
      <c r="BF14" s="56" t="s">
        <v>175</v>
      </c>
      <c r="BG14" s="56" t="s">
        <v>174</v>
      </c>
      <c r="BH14" s="56" t="s">
        <v>173</v>
      </c>
      <c r="BI14" s="56" t="s">
        <v>172</v>
      </c>
      <c r="BJ14" s="56" t="s">
        <v>171</v>
      </c>
      <c r="BK14" s="56" t="s">
        <v>170</v>
      </c>
      <c r="BL14" s="56" t="s">
        <v>169</v>
      </c>
      <c r="BM14" s="56" t="s">
        <v>168</v>
      </c>
    </row>
    <row r="15" spans="1:65" ht="15" customHeight="1" x14ac:dyDescent="0.2">
      <c r="A15" s="55" t="s">
        <v>167</v>
      </c>
      <c r="B15" s="55" t="s">
        <v>129</v>
      </c>
      <c r="C15" s="55">
        <v>53</v>
      </c>
      <c r="D15" s="55" t="s">
        <v>129</v>
      </c>
      <c r="E15" s="55">
        <v>65</v>
      </c>
      <c r="F15" s="55" t="s">
        <v>129</v>
      </c>
      <c r="G15" s="55">
        <v>28</v>
      </c>
      <c r="H15" s="55" t="s">
        <v>129</v>
      </c>
      <c r="I15" s="55">
        <v>0</v>
      </c>
      <c r="J15" s="55" t="s">
        <v>129</v>
      </c>
      <c r="K15" s="55" t="s">
        <v>129</v>
      </c>
      <c r="L15" s="55" t="s">
        <v>129</v>
      </c>
      <c r="M15" s="55" t="s">
        <v>129</v>
      </c>
      <c r="N15" s="55" t="s">
        <v>129</v>
      </c>
      <c r="O15" s="55" t="s">
        <v>129</v>
      </c>
      <c r="P15" s="55" t="s">
        <v>129</v>
      </c>
      <c r="Q15" s="55" t="s">
        <v>129</v>
      </c>
      <c r="R15" s="55" t="s">
        <v>129</v>
      </c>
      <c r="S15" s="55">
        <v>9</v>
      </c>
      <c r="T15" s="55" t="s">
        <v>129</v>
      </c>
      <c r="U15" s="55">
        <v>22</v>
      </c>
      <c r="V15" s="55" t="s">
        <v>129</v>
      </c>
      <c r="W15" s="55">
        <v>16</v>
      </c>
      <c r="X15" s="55" t="s">
        <v>129</v>
      </c>
      <c r="Y15" s="55">
        <v>0</v>
      </c>
      <c r="Z15" s="55" t="s">
        <v>129</v>
      </c>
      <c r="AA15" s="55" t="s">
        <v>129</v>
      </c>
      <c r="AB15" s="55" t="s">
        <v>129</v>
      </c>
      <c r="AC15" s="55" t="s">
        <v>129</v>
      </c>
      <c r="AD15" s="55" t="s">
        <v>129</v>
      </c>
      <c r="AE15" s="55" t="s">
        <v>129</v>
      </c>
      <c r="AF15" s="55" t="s">
        <v>129</v>
      </c>
      <c r="AG15" s="55" t="s">
        <v>129</v>
      </c>
      <c r="AH15" s="55" t="s">
        <v>129</v>
      </c>
      <c r="AI15" s="55">
        <v>4</v>
      </c>
      <c r="AJ15" s="55" t="s">
        <v>129</v>
      </c>
      <c r="AK15" s="55">
        <v>47</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19</v>
      </c>
      <c r="AZ15" s="55" t="s">
        <v>129</v>
      </c>
      <c r="BA15" s="55">
        <v>34</v>
      </c>
      <c r="BB15" s="55" t="s">
        <v>129</v>
      </c>
      <c r="BC15" s="55">
        <v>7</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166</v>
      </c>
      <c r="B16" s="55" t="s">
        <v>129</v>
      </c>
      <c r="C16" s="55">
        <v>62</v>
      </c>
      <c r="D16" s="55" t="s">
        <v>129</v>
      </c>
      <c r="E16" s="55">
        <v>90</v>
      </c>
      <c r="F16" s="55" t="s">
        <v>129</v>
      </c>
      <c r="G16" s="55">
        <v>51</v>
      </c>
      <c r="H16" s="55" t="s">
        <v>129</v>
      </c>
      <c r="I16" s="55">
        <v>0</v>
      </c>
      <c r="J16" s="55" t="s">
        <v>129</v>
      </c>
      <c r="K16" s="55" t="s">
        <v>129</v>
      </c>
      <c r="L16" s="55" t="s">
        <v>129</v>
      </c>
      <c r="M16" s="55" t="s">
        <v>129</v>
      </c>
      <c r="N16" s="55" t="s">
        <v>129</v>
      </c>
      <c r="O16" s="55" t="s">
        <v>129</v>
      </c>
      <c r="P16" s="55" t="s">
        <v>129</v>
      </c>
      <c r="Q16" s="55" t="s">
        <v>129</v>
      </c>
      <c r="R16" s="55" t="s">
        <v>129</v>
      </c>
      <c r="S16" s="55">
        <v>7</v>
      </c>
      <c r="T16" s="55" t="s">
        <v>129</v>
      </c>
      <c r="U16" s="55">
        <v>19</v>
      </c>
      <c r="V16" s="55" t="s">
        <v>129</v>
      </c>
      <c r="W16" s="55">
        <v>19</v>
      </c>
      <c r="X16" s="55" t="s">
        <v>129</v>
      </c>
      <c r="Y16" s="55">
        <v>0</v>
      </c>
      <c r="Z16" s="55" t="s">
        <v>129</v>
      </c>
      <c r="AA16" s="55" t="s">
        <v>129</v>
      </c>
      <c r="AB16" s="55" t="s">
        <v>129</v>
      </c>
      <c r="AC16" s="55" t="s">
        <v>129</v>
      </c>
      <c r="AD16" s="55" t="s">
        <v>129</v>
      </c>
      <c r="AE16" s="55" t="s">
        <v>129</v>
      </c>
      <c r="AF16" s="55" t="s">
        <v>129</v>
      </c>
      <c r="AG16" s="55" t="s">
        <v>129</v>
      </c>
      <c r="AH16" s="55" t="s">
        <v>129</v>
      </c>
      <c r="AI16" s="55">
        <v>3</v>
      </c>
      <c r="AJ16" s="55" t="s">
        <v>129</v>
      </c>
      <c r="AK16" s="55">
        <v>30</v>
      </c>
      <c r="AL16" s="55" t="s">
        <v>129</v>
      </c>
      <c r="AM16" s="55">
        <v>4</v>
      </c>
      <c r="AN16" s="55" t="s">
        <v>129</v>
      </c>
      <c r="AO16" s="55">
        <v>0</v>
      </c>
      <c r="AP16" s="55" t="s">
        <v>129</v>
      </c>
      <c r="AQ16" s="55" t="s">
        <v>129</v>
      </c>
      <c r="AR16" s="55" t="s">
        <v>129</v>
      </c>
      <c r="AS16" s="55" t="s">
        <v>129</v>
      </c>
      <c r="AT16" s="55" t="s">
        <v>129</v>
      </c>
      <c r="AU16" s="55" t="s">
        <v>129</v>
      </c>
      <c r="AV16" s="55" t="s">
        <v>129</v>
      </c>
      <c r="AW16" s="55" t="s">
        <v>129</v>
      </c>
      <c r="AX16" s="55" t="s">
        <v>129</v>
      </c>
      <c r="AY16" s="55">
        <v>39</v>
      </c>
      <c r="AZ16" s="55" t="s">
        <v>129</v>
      </c>
      <c r="BA16" s="55">
        <v>46</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165</v>
      </c>
      <c r="B17" s="55" t="s">
        <v>129</v>
      </c>
      <c r="C17" s="55">
        <v>70</v>
      </c>
      <c r="D17" s="55" t="s">
        <v>129</v>
      </c>
      <c r="E17" s="55">
        <v>83</v>
      </c>
      <c r="F17" s="55" t="s">
        <v>129</v>
      </c>
      <c r="G17" s="55">
        <v>56</v>
      </c>
      <c r="H17" s="55" t="s">
        <v>129</v>
      </c>
      <c r="I17" s="55">
        <v>0</v>
      </c>
      <c r="J17" s="55" t="s">
        <v>129</v>
      </c>
      <c r="K17" s="55" t="s">
        <v>129</v>
      </c>
      <c r="L17" s="55" t="s">
        <v>129</v>
      </c>
      <c r="M17" s="55" t="s">
        <v>129</v>
      </c>
      <c r="N17" s="55" t="s">
        <v>129</v>
      </c>
      <c r="O17" s="55" t="s">
        <v>129</v>
      </c>
      <c r="P17" s="55" t="s">
        <v>129</v>
      </c>
      <c r="Q17" s="55" t="s">
        <v>129</v>
      </c>
      <c r="R17" s="55" t="s">
        <v>129</v>
      </c>
      <c r="S17" s="55">
        <v>14</v>
      </c>
      <c r="T17" s="55" t="s">
        <v>129</v>
      </c>
      <c r="U17" s="55">
        <v>22</v>
      </c>
      <c r="V17" s="55" t="s">
        <v>129</v>
      </c>
      <c r="W17" s="55">
        <v>32</v>
      </c>
      <c r="X17" s="55" t="s">
        <v>129</v>
      </c>
      <c r="Y17" s="55">
        <v>0</v>
      </c>
      <c r="Z17" s="55" t="s">
        <v>129</v>
      </c>
      <c r="AA17" s="55" t="s">
        <v>129</v>
      </c>
      <c r="AB17" s="55" t="s">
        <v>129</v>
      </c>
      <c r="AC17" s="55" t="s">
        <v>129</v>
      </c>
      <c r="AD17" s="55" t="s">
        <v>129</v>
      </c>
      <c r="AE17" s="55" t="s">
        <v>129</v>
      </c>
      <c r="AF17" s="55" t="s">
        <v>129</v>
      </c>
      <c r="AG17" s="55" t="s">
        <v>129</v>
      </c>
      <c r="AH17" s="55" t="s">
        <v>129</v>
      </c>
      <c r="AI17" s="55">
        <v>4</v>
      </c>
      <c r="AJ17" s="55" t="s">
        <v>129</v>
      </c>
      <c r="AK17" s="55">
        <v>46</v>
      </c>
      <c r="AL17" s="55" t="s">
        <v>129</v>
      </c>
      <c r="AM17" s="55">
        <v>7</v>
      </c>
      <c r="AN17" s="55" t="s">
        <v>129</v>
      </c>
      <c r="AO17" s="55">
        <v>0</v>
      </c>
      <c r="AP17" s="55" t="s">
        <v>129</v>
      </c>
      <c r="AQ17" s="55" t="s">
        <v>129</v>
      </c>
      <c r="AR17" s="55" t="s">
        <v>129</v>
      </c>
      <c r="AS17" s="55" t="s">
        <v>129</v>
      </c>
      <c r="AT17" s="55" t="s">
        <v>129</v>
      </c>
      <c r="AU17" s="55" t="s">
        <v>129</v>
      </c>
      <c r="AV17" s="55" t="s">
        <v>129</v>
      </c>
      <c r="AW17" s="55" t="s">
        <v>129</v>
      </c>
      <c r="AX17" s="55" t="s">
        <v>129</v>
      </c>
      <c r="AY17" s="55">
        <v>28</v>
      </c>
      <c r="AZ17" s="55" t="s">
        <v>129</v>
      </c>
      <c r="BA17" s="55">
        <v>58</v>
      </c>
      <c r="BB17" s="55" t="s">
        <v>129</v>
      </c>
      <c r="BC17" s="55">
        <v>10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164</v>
      </c>
      <c r="B18" s="55" t="s">
        <v>129</v>
      </c>
      <c r="C18" s="55">
        <v>99</v>
      </c>
      <c r="D18" s="55" t="s">
        <v>129</v>
      </c>
      <c r="E18" s="55">
        <v>103</v>
      </c>
      <c r="F18" s="55" t="s">
        <v>129</v>
      </c>
      <c r="G18" s="55">
        <v>73</v>
      </c>
      <c r="H18" s="55" t="s">
        <v>129</v>
      </c>
      <c r="I18" s="55">
        <v>0</v>
      </c>
      <c r="J18" s="55" t="s">
        <v>129</v>
      </c>
      <c r="K18" s="55" t="s">
        <v>129</v>
      </c>
      <c r="L18" s="55" t="s">
        <v>129</v>
      </c>
      <c r="M18" s="55" t="s">
        <v>129</v>
      </c>
      <c r="N18" s="55" t="s">
        <v>129</v>
      </c>
      <c r="O18" s="55" t="s">
        <v>129</v>
      </c>
      <c r="P18" s="55" t="s">
        <v>129</v>
      </c>
      <c r="Q18" s="55" t="s">
        <v>129</v>
      </c>
      <c r="R18" s="55" t="s">
        <v>129</v>
      </c>
      <c r="S18" s="55">
        <v>10</v>
      </c>
      <c r="T18" s="55" t="s">
        <v>129</v>
      </c>
      <c r="U18" s="55">
        <v>29</v>
      </c>
      <c r="V18" s="55" t="s">
        <v>129</v>
      </c>
      <c r="W18" s="55">
        <v>36</v>
      </c>
      <c r="X18" s="55" t="s">
        <v>129</v>
      </c>
      <c r="Y18" s="55">
        <v>0</v>
      </c>
      <c r="Z18" s="55" t="s">
        <v>129</v>
      </c>
      <c r="AA18" s="55" t="s">
        <v>129</v>
      </c>
      <c r="AB18" s="55" t="s">
        <v>129</v>
      </c>
      <c r="AC18" s="55" t="s">
        <v>129</v>
      </c>
      <c r="AD18" s="55" t="s">
        <v>129</v>
      </c>
      <c r="AE18" s="55" t="s">
        <v>129</v>
      </c>
      <c r="AF18" s="55" t="s">
        <v>129</v>
      </c>
      <c r="AG18" s="55" t="s">
        <v>129</v>
      </c>
      <c r="AH18" s="55" t="s">
        <v>129</v>
      </c>
      <c r="AI18" s="55">
        <v>8</v>
      </c>
      <c r="AJ18" s="55" t="s">
        <v>129</v>
      </c>
      <c r="AK18" s="55">
        <v>77</v>
      </c>
      <c r="AL18" s="55" t="s">
        <v>129</v>
      </c>
      <c r="AM18" s="55">
        <v>10</v>
      </c>
      <c r="AN18" s="55" t="s">
        <v>129</v>
      </c>
      <c r="AO18" s="55">
        <v>0</v>
      </c>
      <c r="AP18" s="55" t="s">
        <v>129</v>
      </c>
      <c r="AQ18" s="55" t="s">
        <v>129</v>
      </c>
      <c r="AR18" s="55" t="s">
        <v>129</v>
      </c>
      <c r="AS18" s="55" t="s">
        <v>129</v>
      </c>
      <c r="AT18" s="55" t="s">
        <v>129</v>
      </c>
      <c r="AU18" s="55" t="s">
        <v>129</v>
      </c>
      <c r="AV18" s="55" t="s">
        <v>129</v>
      </c>
      <c r="AW18" s="55" t="s">
        <v>129</v>
      </c>
      <c r="AX18" s="55" t="s">
        <v>129</v>
      </c>
      <c r="AY18" s="55">
        <v>47</v>
      </c>
      <c r="AZ18" s="55" t="s">
        <v>129</v>
      </c>
      <c r="BA18" s="55">
        <v>58</v>
      </c>
      <c r="BB18" s="55" t="s">
        <v>129</v>
      </c>
      <c r="BC18" s="55">
        <v>12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163</v>
      </c>
      <c r="B19" s="55" t="s">
        <v>129</v>
      </c>
      <c r="C19" s="55">
        <v>133</v>
      </c>
      <c r="D19" s="55" t="s">
        <v>129</v>
      </c>
      <c r="E19" s="55">
        <v>175</v>
      </c>
      <c r="F19" s="55" t="s">
        <v>129</v>
      </c>
      <c r="G19" s="55">
        <v>77</v>
      </c>
      <c r="H19" s="55" t="s">
        <v>129</v>
      </c>
      <c r="I19" s="55">
        <v>0</v>
      </c>
      <c r="J19" s="55" t="s">
        <v>129</v>
      </c>
      <c r="K19" s="55" t="s">
        <v>129</v>
      </c>
      <c r="L19" s="55" t="s">
        <v>129</v>
      </c>
      <c r="M19" s="55" t="s">
        <v>129</v>
      </c>
      <c r="N19" s="55" t="s">
        <v>129</v>
      </c>
      <c r="O19" s="55" t="s">
        <v>129</v>
      </c>
      <c r="P19" s="55" t="s">
        <v>129</v>
      </c>
      <c r="Q19" s="55" t="s">
        <v>129</v>
      </c>
      <c r="R19" s="55" t="s">
        <v>129</v>
      </c>
      <c r="S19" s="55">
        <v>10</v>
      </c>
      <c r="T19" s="55" t="s">
        <v>129</v>
      </c>
      <c r="U19" s="55">
        <v>33</v>
      </c>
      <c r="V19" s="55" t="s">
        <v>129</v>
      </c>
      <c r="W19" s="55">
        <v>43</v>
      </c>
      <c r="X19" s="55" t="s">
        <v>129</v>
      </c>
      <c r="Y19" s="55">
        <v>0</v>
      </c>
      <c r="Z19" s="55" t="s">
        <v>129</v>
      </c>
      <c r="AA19" s="55" t="s">
        <v>129</v>
      </c>
      <c r="AB19" s="55" t="s">
        <v>129</v>
      </c>
      <c r="AC19" s="55" t="s">
        <v>129</v>
      </c>
      <c r="AD19" s="55" t="s">
        <v>129</v>
      </c>
      <c r="AE19" s="55" t="s">
        <v>129</v>
      </c>
      <c r="AF19" s="55" t="s">
        <v>129</v>
      </c>
      <c r="AG19" s="55" t="s">
        <v>129</v>
      </c>
      <c r="AH19" s="55" t="s">
        <v>129</v>
      </c>
      <c r="AI19" s="55">
        <v>15</v>
      </c>
      <c r="AJ19" s="55" t="s">
        <v>129</v>
      </c>
      <c r="AK19" s="55">
        <v>96</v>
      </c>
      <c r="AL19" s="55" t="s">
        <v>129</v>
      </c>
      <c r="AM19" s="55">
        <v>4</v>
      </c>
      <c r="AN19" s="55" t="s">
        <v>129</v>
      </c>
      <c r="AO19" s="55">
        <v>0</v>
      </c>
      <c r="AP19" s="55" t="s">
        <v>129</v>
      </c>
      <c r="AQ19" s="55" t="s">
        <v>129</v>
      </c>
      <c r="AR19" s="55" t="s">
        <v>129</v>
      </c>
      <c r="AS19" s="55" t="s">
        <v>129</v>
      </c>
      <c r="AT19" s="55" t="s">
        <v>129</v>
      </c>
      <c r="AU19" s="55" t="s">
        <v>129</v>
      </c>
      <c r="AV19" s="55" t="s">
        <v>129</v>
      </c>
      <c r="AW19" s="55" t="s">
        <v>129</v>
      </c>
      <c r="AX19" s="55" t="s">
        <v>129</v>
      </c>
      <c r="AY19" s="55">
        <v>46</v>
      </c>
      <c r="AZ19" s="55" t="s">
        <v>129</v>
      </c>
      <c r="BA19" s="55">
        <v>81</v>
      </c>
      <c r="BB19" s="55" t="s">
        <v>129</v>
      </c>
      <c r="BC19" s="55">
        <v>10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162</v>
      </c>
      <c r="B20" s="55" t="s">
        <v>129</v>
      </c>
      <c r="C20" s="55">
        <v>129</v>
      </c>
      <c r="D20" s="55" t="s">
        <v>129</v>
      </c>
      <c r="E20" s="55">
        <v>173</v>
      </c>
      <c r="F20" s="55" t="s">
        <v>129</v>
      </c>
      <c r="G20" s="55">
        <v>90</v>
      </c>
      <c r="H20" s="55" t="s">
        <v>129</v>
      </c>
      <c r="I20" s="55">
        <v>0</v>
      </c>
      <c r="J20" s="55" t="s">
        <v>129</v>
      </c>
      <c r="K20" s="55" t="s">
        <v>129</v>
      </c>
      <c r="L20" s="55" t="s">
        <v>129</v>
      </c>
      <c r="M20" s="55" t="s">
        <v>129</v>
      </c>
      <c r="N20" s="55" t="s">
        <v>129</v>
      </c>
      <c r="O20" s="55" t="s">
        <v>129</v>
      </c>
      <c r="P20" s="55" t="s">
        <v>129</v>
      </c>
      <c r="Q20" s="55" t="s">
        <v>129</v>
      </c>
      <c r="R20" s="55" t="s">
        <v>129</v>
      </c>
      <c r="S20" s="55">
        <v>11</v>
      </c>
      <c r="T20" s="55" t="s">
        <v>129</v>
      </c>
      <c r="U20" s="55">
        <v>52</v>
      </c>
      <c r="V20" s="55" t="s">
        <v>129</v>
      </c>
      <c r="W20" s="55">
        <v>58</v>
      </c>
      <c r="X20" s="55" t="s">
        <v>129</v>
      </c>
      <c r="Y20" s="55">
        <v>0</v>
      </c>
      <c r="Z20" s="55" t="s">
        <v>129</v>
      </c>
      <c r="AA20" s="55" t="s">
        <v>129</v>
      </c>
      <c r="AB20" s="55" t="s">
        <v>129</v>
      </c>
      <c r="AC20" s="55" t="s">
        <v>129</v>
      </c>
      <c r="AD20" s="55" t="s">
        <v>129</v>
      </c>
      <c r="AE20" s="55" t="s">
        <v>129</v>
      </c>
      <c r="AF20" s="55" t="s">
        <v>129</v>
      </c>
      <c r="AG20" s="55" t="s">
        <v>129</v>
      </c>
      <c r="AH20" s="55" t="s">
        <v>129</v>
      </c>
      <c r="AI20" s="55">
        <v>13</v>
      </c>
      <c r="AJ20" s="55" t="s">
        <v>129</v>
      </c>
      <c r="AK20" s="55">
        <v>92</v>
      </c>
      <c r="AL20" s="55" t="s">
        <v>129</v>
      </c>
      <c r="AM20" s="55">
        <v>13</v>
      </c>
      <c r="AN20" s="55" t="s">
        <v>129</v>
      </c>
      <c r="AO20" s="55">
        <v>1</v>
      </c>
      <c r="AP20" s="55" t="s">
        <v>129</v>
      </c>
      <c r="AQ20" s="55" t="s">
        <v>129</v>
      </c>
      <c r="AR20" s="55" t="s">
        <v>129</v>
      </c>
      <c r="AS20" s="55" t="s">
        <v>129</v>
      </c>
      <c r="AT20" s="55" t="s">
        <v>129</v>
      </c>
      <c r="AU20" s="55" t="s">
        <v>129</v>
      </c>
      <c r="AV20" s="55" t="s">
        <v>129</v>
      </c>
      <c r="AW20" s="55" t="s">
        <v>129</v>
      </c>
      <c r="AX20" s="55" t="s">
        <v>129</v>
      </c>
      <c r="AY20" s="55">
        <v>51</v>
      </c>
      <c r="AZ20" s="55" t="s">
        <v>129</v>
      </c>
      <c r="BA20" s="55">
        <v>115</v>
      </c>
      <c r="BB20" s="55" t="s">
        <v>129</v>
      </c>
      <c r="BC20" s="55">
        <v>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161</v>
      </c>
      <c r="B21" s="55" t="s">
        <v>129</v>
      </c>
      <c r="C21" s="55">
        <v>131</v>
      </c>
      <c r="D21" s="55" t="s">
        <v>129</v>
      </c>
      <c r="E21" s="55">
        <v>151</v>
      </c>
      <c r="F21" s="55" t="s">
        <v>129</v>
      </c>
      <c r="G21" s="55">
        <v>86</v>
      </c>
      <c r="H21" s="55" t="s">
        <v>129</v>
      </c>
      <c r="I21" s="55">
        <v>0</v>
      </c>
      <c r="J21" s="55" t="s">
        <v>129</v>
      </c>
      <c r="K21" s="55" t="s">
        <v>129</v>
      </c>
      <c r="L21" s="55" t="s">
        <v>129</v>
      </c>
      <c r="M21" s="55" t="s">
        <v>129</v>
      </c>
      <c r="N21" s="55" t="s">
        <v>129</v>
      </c>
      <c r="O21" s="55" t="s">
        <v>129</v>
      </c>
      <c r="P21" s="55" t="s">
        <v>129</v>
      </c>
      <c r="Q21" s="55" t="s">
        <v>129</v>
      </c>
      <c r="R21" s="55" t="s">
        <v>129</v>
      </c>
      <c r="S21" s="55">
        <v>10</v>
      </c>
      <c r="T21" s="55" t="s">
        <v>129</v>
      </c>
      <c r="U21" s="55">
        <v>38</v>
      </c>
      <c r="V21" s="55" t="s">
        <v>129</v>
      </c>
      <c r="W21" s="55">
        <v>41</v>
      </c>
      <c r="X21" s="55" t="s">
        <v>129</v>
      </c>
      <c r="Y21" s="55">
        <v>0</v>
      </c>
      <c r="Z21" s="55" t="s">
        <v>129</v>
      </c>
      <c r="AA21" s="55" t="s">
        <v>129</v>
      </c>
      <c r="AB21" s="55" t="s">
        <v>129</v>
      </c>
      <c r="AC21" s="55" t="s">
        <v>129</v>
      </c>
      <c r="AD21" s="55" t="s">
        <v>129</v>
      </c>
      <c r="AE21" s="55" t="s">
        <v>129</v>
      </c>
      <c r="AF21" s="55" t="s">
        <v>129</v>
      </c>
      <c r="AG21" s="55" t="s">
        <v>129</v>
      </c>
      <c r="AH21" s="55" t="s">
        <v>129</v>
      </c>
      <c r="AI21" s="55">
        <v>9</v>
      </c>
      <c r="AJ21" s="55" t="s">
        <v>129</v>
      </c>
      <c r="AK21" s="55">
        <v>100</v>
      </c>
      <c r="AL21" s="55" t="s">
        <v>129</v>
      </c>
      <c r="AM21" s="55">
        <v>16</v>
      </c>
      <c r="AN21" s="55" t="s">
        <v>129</v>
      </c>
      <c r="AO21" s="55">
        <v>0</v>
      </c>
      <c r="AP21" s="55" t="s">
        <v>129</v>
      </c>
      <c r="AQ21" s="55" t="s">
        <v>129</v>
      </c>
      <c r="AR21" s="55" t="s">
        <v>129</v>
      </c>
      <c r="AS21" s="55" t="s">
        <v>129</v>
      </c>
      <c r="AT21" s="55" t="s">
        <v>129</v>
      </c>
      <c r="AU21" s="55" t="s">
        <v>129</v>
      </c>
      <c r="AV21" s="55" t="s">
        <v>129</v>
      </c>
      <c r="AW21" s="55" t="s">
        <v>129</v>
      </c>
      <c r="AX21" s="55" t="s">
        <v>129</v>
      </c>
      <c r="AY21" s="55">
        <v>69</v>
      </c>
      <c r="AZ21" s="55" t="s">
        <v>129</v>
      </c>
      <c r="BA21" s="55">
        <v>114</v>
      </c>
      <c r="BB21" s="55" t="s">
        <v>129</v>
      </c>
      <c r="BC21" s="55">
        <v>18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160</v>
      </c>
      <c r="B22" s="55" t="s">
        <v>129</v>
      </c>
      <c r="C22" s="55">
        <v>133</v>
      </c>
      <c r="D22" s="55" t="s">
        <v>129</v>
      </c>
      <c r="E22" s="55">
        <v>171</v>
      </c>
      <c r="F22" s="55" t="s">
        <v>129</v>
      </c>
      <c r="G22" s="55">
        <v>95</v>
      </c>
      <c r="H22" s="55" t="s">
        <v>129</v>
      </c>
      <c r="I22" s="55">
        <v>0</v>
      </c>
      <c r="J22" s="55" t="s">
        <v>129</v>
      </c>
      <c r="K22" s="55" t="s">
        <v>129</v>
      </c>
      <c r="L22" s="55" t="s">
        <v>129</v>
      </c>
      <c r="M22" s="55" t="s">
        <v>129</v>
      </c>
      <c r="N22" s="55" t="s">
        <v>129</v>
      </c>
      <c r="O22" s="55" t="s">
        <v>129</v>
      </c>
      <c r="P22" s="55" t="s">
        <v>129</v>
      </c>
      <c r="Q22" s="55" t="s">
        <v>129</v>
      </c>
      <c r="R22" s="55" t="s">
        <v>129</v>
      </c>
      <c r="S22" s="55">
        <v>6</v>
      </c>
      <c r="T22" s="55" t="s">
        <v>129</v>
      </c>
      <c r="U22" s="55">
        <v>51</v>
      </c>
      <c r="V22" s="55" t="s">
        <v>129</v>
      </c>
      <c r="W22" s="55">
        <v>59</v>
      </c>
      <c r="X22" s="55" t="s">
        <v>129</v>
      </c>
      <c r="Y22" s="55">
        <v>0</v>
      </c>
      <c r="Z22" s="55" t="s">
        <v>129</v>
      </c>
      <c r="AA22" s="55" t="s">
        <v>129</v>
      </c>
      <c r="AB22" s="55" t="s">
        <v>129</v>
      </c>
      <c r="AC22" s="55" t="s">
        <v>129</v>
      </c>
      <c r="AD22" s="55" t="s">
        <v>129</v>
      </c>
      <c r="AE22" s="55" t="s">
        <v>129</v>
      </c>
      <c r="AF22" s="55" t="s">
        <v>129</v>
      </c>
      <c r="AG22" s="55" t="s">
        <v>129</v>
      </c>
      <c r="AH22" s="55" t="s">
        <v>129</v>
      </c>
      <c r="AI22" s="55">
        <v>16</v>
      </c>
      <c r="AJ22" s="55" t="s">
        <v>129</v>
      </c>
      <c r="AK22" s="55">
        <v>123</v>
      </c>
      <c r="AL22" s="55" t="s">
        <v>129</v>
      </c>
      <c r="AM22" s="55">
        <v>18</v>
      </c>
      <c r="AN22" s="55" t="s">
        <v>129</v>
      </c>
      <c r="AO22" s="55">
        <v>0</v>
      </c>
      <c r="AP22" s="55" t="s">
        <v>129</v>
      </c>
      <c r="AQ22" s="55" t="s">
        <v>129</v>
      </c>
      <c r="AR22" s="55" t="s">
        <v>129</v>
      </c>
      <c r="AS22" s="55" t="s">
        <v>129</v>
      </c>
      <c r="AT22" s="55" t="s">
        <v>129</v>
      </c>
      <c r="AU22" s="55" t="s">
        <v>129</v>
      </c>
      <c r="AV22" s="55" t="s">
        <v>129</v>
      </c>
      <c r="AW22" s="55" t="s">
        <v>129</v>
      </c>
      <c r="AX22" s="55" t="s">
        <v>129</v>
      </c>
      <c r="AY22" s="55">
        <v>60</v>
      </c>
      <c r="AZ22" s="55" t="s">
        <v>129</v>
      </c>
      <c r="BA22" s="55">
        <v>87</v>
      </c>
      <c r="BB22" s="55" t="s">
        <v>129</v>
      </c>
      <c r="BC22" s="55">
        <v>16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159</v>
      </c>
      <c r="B23" s="55" t="s">
        <v>129</v>
      </c>
      <c r="C23" s="55">
        <v>141</v>
      </c>
      <c r="D23" s="55" t="s">
        <v>129</v>
      </c>
      <c r="E23" s="55">
        <v>177</v>
      </c>
      <c r="F23" s="55" t="s">
        <v>129</v>
      </c>
      <c r="G23" s="55">
        <v>111</v>
      </c>
      <c r="H23" s="55" t="s">
        <v>129</v>
      </c>
      <c r="I23" s="55">
        <v>0</v>
      </c>
      <c r="J23" s="55" t="s">
        <v>129</v>
      </c>
      <c r="K23" s="55" t="s">
        <v>129</v>
      </c>
      <c r="L23" s="55" t="s">
        <v>129</v>
      </c>
      <c r="M23" s="55" t="s">
        <v>129</v>
      </c>
      <c r="N23" s="55" t="s">
        <v>129</v>
      </c>
      <c r="O23" s="55" t="s">
        <v>129</v>
      </c>
      <c r="P23" s="55" t="s">
        <v>129</v>
      </c>
      <c r="Q23" s="55" t="s">
        <v>129</v>
      </c>
      <c r="R23" s="55" t="s">
        <v>129</v>
      </c>
      <c r="S23" s="55">
        <v>12</v>
      </c>
      <c r="T23" s="55" t="s">
        <v>129</v>
      </c>
      <c r="U23" s="55">
        <v>49</v>
      </c>
      <c r="V23" s="55" t="s">
        <v>129</v>
      </c>
      <c r="W23" s="55">
        <v>44</v>
      </c>
      <c r="X23" s="55" t="s">
        <v>129</v>
      </c>
      <c r="Y23" s="55">
        <v>0</v>
      </c>
      <c r="Z23" s="55" t="s">
        <v>129</v>
      </c>
      <c r="AA23" s="55" t="s">
        <v>129</v>
      </c>
      <c r="AB23" s="55" t="s">
        <v>129</v>
      </c>
      <c r="AC23" s="55" t="s">
        <v>129</v>
      </c>
      <c r="AD23" s="55" t="s">
        <v>129</v>
      </c>
      <c r="AE23" s="55" t="s">
        <v>129</v>
      </c>
      <c r="AF23" s="55" t="s">
        <v>129</v>
      </c>
      <c r="AG23" s="55" t="s">
        <v>129</v>
      </c>
      <c r="AH23" s="55" t="s">
        <v>129</v>
      </c>
      <c r="AI23" s="55">
        <v>13</v>
      </c>
      <c r="AJ23" s="55" t="s">
        <v>129</v>
      </c>
      <c r="AK23" s="55">
        <v>91</v>
      </c>
      <c r="AL23" s="55" t="s">
        <v>129</v>
      </c>
      <c r="AM23" s="55">
        <v>8</v>
      </c>
      <c r="AN23" s="55" t="s">
        <v>129</v>
      </c>
      <c r="AO23" s="55">
        <v>0</v>
      </c>
      <c r="AP23" s="55" t="s">
        <v>129</v>
      </c>
      <c r="AQ23" s="55" t="s">
        <v>129</v>
      </c>
      <c r="AR23" s="55" t="s">
        <v>129</v>
      </c>
      <c r="AS23" s="55" t="s">
        <v>129</v>
      </c>
      <c r="AT23" s="55" t="s">
        <v>129</v>
      </c>
      <c r="AU23" s="55" t="s">
        <v>129</v>
      </c>
      <c r="AV23" s="55" t="s">
        <v>129</v>
      </c>
      <c r="AW23" s="55" t="s">
        <v>129</v>
      </c>
      <c r="AX23" s="55" t="s">
        <v>129</v>
      </c>
      <c r="AY23" s="55">
        <v>61</v>
      </c>
      <c r="AZ23" s="55" t="s">
        <v>129</v>
      </c>
      <c r="BA23" s="55">
        <v>82</v>
      </c>
      <c r="BB23" s="55" t="s">
        <v>129</v>
      </c>
      <c r="BC23" s="55">
        <v>7</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158</v>
      </c>
      <c r="B24" s="55" t="s">
        <v>129</v>
      </c>
      <c r="C24" s="55">
        <v>129</v>
      </c>
      <c r="D24" s="55" t="s">
        <v>129</v>
      </c>
      <c r="E24" s="55">
        <v>164</v>
      </c>
      <c r="F24" s="55" t="s">
        <v>129</v>
      </c>
      <c r="G24" s="55">
        <v>87</v>
      </c>
      <c r="H24" s="55" t="s">
        <v>129</v>
      </c>
      <c r="I24" s="55">
        <v>0</v>
      </c>
      <c r="J24" s="55" t="s">
        <v>129</v>
      </c>
      <c r="K24" s="55" t="s">
        <v>129</v>
      </c>
      <c r="L24" s="55" t="s">
        <v>129</v>
      </c>
      <c r="M24" s="55" t="s">
        <v>129</v>
      </c>
      <c r="N24" s="55" t="s">
        <v>129</v>
      </c>
      <c r="O24" s="55" t="s">
        <v>129</v>
      </c>
      <c r="P24" s="55" t="s">
        <v>129</v>
      </c>
      <c r="Q24" s="55" t="s">
        <v>129</v>
      </c>
      <c r="R24" s="55" t="s">
        <v>129</v>
      </c>
      <c r="S24" s="55">
        <v>10</v>
      </c>
      <c r="T24" s="55" t="s">
        <v>129</v>
      </c>
      <c r="U24" s="55">
        <v>45</v>
      </c>
      <c r="V24" s="55" t="s">
        <v>129</v>
      </c>
      <c r="W24" s="55">
        <v>41</v>
      </c>
      <c r="X24" s="55" t="s">
        <v>129</v>
      </c>
      <c r="Y24" s="55">
        <v>0</v>
      </c>
      <c r="Z24" s="55" t="s">
        <v>129</v>
      </c>
      <c r="AA24" s="55" t="s">
        <v>129</v>
      </c>
      <c r="AB24" s="55" t="s">
        <v>129</v>
      </c>
      <c r="AC24" s="55" t="s">
        <v>129</v>
      </c>
      <c r="AD24" s="55" t="s">
        <v>129</v>
      </c>
      <c r="AE24" s="55" t="s">
        <v>129</v>
      </c>
      <c r="AF24" s="55" t="s">
        <v>129</v>
      </c>
      <c r="AG24" s="55" t="s">
        <v>129</v>
      </c>
      <c r="AH24" s="55" t="s">
        <v>129</v>
      </c>
      <c r="AI24" s="55">
        <v>20</v>
      </c>
      <c r="AJ24" s="55" t="s">
        <v>129</v>
      </c>
      <c r="AK24" s="55">
        <v>100</v>
      </c>
      <c r="AL24" s="55" t="s">
        <v>129</v>
      </c>
      <c r="AM24" s="55">
        <v>7</v>
      </c>
      <c r="AN24" s="55" t="s">
        <v>129</v>
      </c>
      <c r="AO24" s="55">
        <v>0</v>
      </c>
      <c r="AP24" s="55" t="s">
        <v>129</v>
      </c>
      <c r="AQ24" s="55" t="s">
        <v>129</v>
      </c>
      <c r="AR24" s="55" t="s">
        <v>129</v>
      </c>
      <c r="AS24" s="55" t="s">
        <v>129</v>
      </c>
      <c r="AT24" s="55" t="s">
        <v>129</v>
      </c>
      <c r="AU24" s="55" t="s">
        <v>129</v>
      </c>
      <c r="AV24" s="55" t="s">
        <v>129</v>
      </c>
      <c r="AW24" s="55" t="s">
        <v>129</v>
      </c>
      <c r="AX24" s="55" t="s">
        <v>129</v>
      </c>
      <c r="AY24" s="55">
        <v>53</v>
      </c>
      <c r="AZ24" s="55" t="s">
        <v>129</v>
      </c>
      <c r="BA24" s="55">
        <v>94</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157</v>
      </c>
      <c r="B25" s="55" t="s">
        <v>129</v>
      </c>
      <c r="C25" s="55">
        <v>87</v>
      </c>
      <c r="D25" s="55" t="s">
        <v>129</v>
      </c>
      <c r="E25" s="55">
        <v>113</v>
      </c>
      <c r="F25" s="55" t="s">
        <v>129</v>
      </c>
      <c r="G25" s="55">
        <v>91</v>
      </c>
      <c r="H25" s="55" t="s">
        <v>129</v>
      </c>
      <c r="I25" s="55">
        <v>0</v>
      </c>
      <c r="J25" s="55" t="s">
        <v>129</v>
      </c>
      <c r="K25" s="55" t="s">
        <v>129</v>
      </c>
      <c r="L25" s="55" t="s">
        <v>129</v>
      </c>
      <c r="M25" s="55" t="s">
        <v>129</v>
      </c>
      <c r="N25" s="55" t="s">
        <v>129</v>
      </c>
      <c r="O25" s="55" t="s">
        <v>129</v>
      </c>
      <c r="P25" s="55" t="s">
        <v>129</v>
      </c>
      <c r="Q25" s="55" t="s">
        <v>129</v>
      </c>
      <c r="R25" s="55" t="s">
        <v>129</v>
      </c>
      <c r="S25" s="55">
        <v>6</v>
      </c>
      <c r="T25" s="55" t="s">
        <v>129</v>
      </c>
      <c r="U25" s="55">
        <v>38</v>
      </c>
      <c r="V25" s="55" t="s">
        <v>129</v>
      </c>
      <c r="W25" s="55">
        <v>47</v>
      </c>
      <c r="X25" s="55" t="s">
        <v>129</v>
      </c>
      <c r="Y25" s="55">
        <v>0</v>
      </c>
      <c r="Z25" s="55" t="s">
        <v>129</v>
      </c>
      <c r="AA25" s="55" t="s">
        <v>129</v>
      </c>
      <c r="AB25" s="55" t="s">
        <v>129</v>
      </c>
      <c r="AC25" s="55" t="s">
        <v>129</v>
      </c>
      <c r="AD25" s="55" t="s">
        <v>129</v>
      </c>
      <c r="AE25" s="55" t="s">
        <v>129</v>
      </c>
      <c r="AF25" s="55" t="s">
        <v>129</v>
      </c>
      <c r="AG25" s="55" t="s">
        <v>129</v>
      </c>
      <c r="AH25" s="55" t="s">
        <v>129</v>
      </c>
      <c r="AI25" s="55">
        <v>13</v>
      </c>
      <c r="AJ25" s="55" t="s">
        <v>129</v>
      </c>
      <c r="AK25" s="55">
        <v>59</v>
      </c>
      <c r="AL25" s="55" t="s">
        <v>129</v>
      </c>
      <c r="AM25" s="55">
        <v>6</v>
      </c>
      <c r="AN25" s="55" t="s">
        <v>129</v>
      </c>
      <c r="AO25" s="55">
        <v>0</v>
      </c>
      <c r="AP25" s="55" t="s">
        <v>129</v>
      </c>
      <c r="AQ25" s="55" t="s">
        <v>129</v>
      </c>
      <c r="AR25" s="55" t="s">
        <v>129</v>
      </c>
      <c r="AS25" s="55" t="s">
        <v>129</v>
      </c>
      <c r="AT25" s="55" t="s">
        <v>129</v>
      </c>
      <c r="AU25" s="55" t="s">
        <v>129</v>
      </c>
      <c r="AV25" s="55" t="s">
        <v>129</v>
      </c>
      <c r="AW25" s="55" t="s">
        <v>129</v>
      </c>
      <c r="AX25" s="55" t="s">
        <v>129</v>
      </c>
      <c r="AY25" s="55">
        <v>59</v>
      </c>
      <c r="AZ25" s="55" t="s">
        <v>129</v>
      </c>
      <c r="BA25" s="55">
        <v>69</v>
      </c>
      <c r="BB25" s="55" t="s">
        <v>129</v>
      </c>
      <c r="BC25" s="55">
        <v>11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156</v>
      </c>
      <c r="B26" s="55" t="s">
        <v>129</v>
      </c>
      <c r="C26" s="55">
        <v>79</v>
      </c>
      <c r="D26" s="55" t="s">
        <v>129</v>
      </c>
      <c r="E26" s="55">
        <v>91</v>
      </c>
      <c r="F26" s="55" t="s">
        <v>129</v>
      </c>
      <c r="G26" s="55">
        <v>60</v>
      </c>
      <c r="H26" s="55" t="s">
        <v>129</v>
      </c>
      <c r="I26" s="55">
        <v>0</v>
      </c>
      <c r="J26" s="55" t="s">
        <v>129</v>
      </c>
      <c r="K26" s="55" t="s">
        <v>129</v>
      </c>
      <c r="L26" s="55" t="s">
        <v>129</v>
      </c>
      <c r="M26" s="55" t="s">
        <v>129</v>
      </c>
      <c r="N26" s="55" t="s">
        <v>129</v>
      </c>
      <c r="O26" s="55" t="s">
        <v>129</v>
      </c>
      <c r="P26" s="55" t="s">
        <v>129</v>
      </c>
      <c r="Q26" s="55" t="s">
        <v>129</v>
      </c>
      <c r="R26" s="55" t="s">
        <v>129</v>
      </c>
      <c r="S26" s="55">
        <v>10</v>
      </c>
      <c r="T26" s="55" t="s">
        <v>129</v>
      </c>
      <c r="U26" s="55">
        <v>32</v>
      </c>
      <c r="V26" s="55" t="s">
        <v>129</v>
      </c>
      <c r="W26" s="55">
        <v>24</v>
      </c>
      <c r="X26" s="55" t="s">
        <v>129</v>
      </c>
      <c r="Y26" s="55">
        <v>0</v>
      </c>
      <c r="Z26" s="55" t="s">
        <v>129</v>
      </c>
      <c r="AA26" s="55" t="s">
        <v>129</v>
      </c>
      <c r="AB26" s="55" t="s">
        <v>129</v>
      </c>
      <c r="AC26" s="55" t="s">
        <v>129</v>
      </c>
      <c r="AD26" s="55" t="s">
        <v>129</v>
      </c>
      <c r="AE26" s="55" t="s">
        <v>129</v>
      </c>
      <c r="AF26" s="55" t="s">
        <v>129</v>
      </c>
      <c r="AG26" s="55" t="s">
        <v>129</v>
      </c>
      <c r="AH26" s="55" t="s">
        <v>129</v>
      </c>
      <c r="AI26" s="55">
        <v>19</v>
      </c>
      <c r="AJ26" s="55" t="s">
        <v>129</v>
      </c>
      <c r="AK26" s="55">
        <v>90</v>
      </c>
      <c r="AL26" s="55" t="s">
        <v>129</v>
      </c>
      <c r="AM26" s="55">
        <v>17</v>
      </c>
      <c r="AN26" s="55" t="s">
        <v>129</v>
      </c>
      <c r="AO26" s="55">
        <v>0</v>
      </c>
      <c r="AP26" s="55" t="s">
        <v>129</v>
      </c>
      <c r="AQ26" s="55" t="s">
        <v>129</v>
      </c>
      <c r="AR26" s="55" t="s">
        <v>129</v>
      </c>
      <c r="AS26" s="55" t="s">
        <v>129</v>
      </c>
      <c r="AT26" s="55" t="s">
        <v>129</v>
      </c>
      <c r="AU26" s="55" t="s">
        <v>129</v>
      </c>
      <c r="AV26" s="55" t="s">
        <v>129</v>
      </c>
      <c r="AW26" s="55" t="s">
        <v>129</v>
      </c>
      <c r="AX26" s="55" t="s">
        <v>129</v>
      </c>
      <c r="AY26" s="55">
        <v>62</v>
      </c>
      <c r="AZ26" s="55" t="s">
        <v>129</v>
      </c>
      <c r="BA26" s="55">
        <v>72</v>
      </c>
      <c r="BB26" s="55" t="s">
        <v>129</v>
      </c>
      <c r="BC26" s="55">
        <v>8</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155</v>
      </c>
      <c r="B27" s="55" t="s">
        <v>129</v>
      </c>
      <c r="C27" s="55">
        <v>53</v>
      </c>
      <c r="D27" s="55" t="s">
        <v>129</v>
      </c>
      <c r="E27" s="55">
        <v>92</v>
      </c>
      <c r="F27" s="55" t="s">
        <v>129</v>
      </c>
      <c r="G27" s="55">
        <v>56</v>
      </c>
      <c r="H27" s="55" t="s">
        <v>129</v>
      </c>
      <c r="I27" s="55">
        <v>0</v>
      </c>
      <c r="J27" s="55" t="s">
        <v>129</v>
      </c>
      <c r="K27" s="55" t="s">
        <v>129</v>
      </c>
      <c r="L27" s="55" t="s">
        <v>129</v>
      </c>
      <c r="M27" s="55" t="s">
        <v>129</v>
      </c>
      <c r="N27" s="55" t="s">
        <v>129</v>
      </c>
      <c r="O27" s="55" t="s">
        <v>129</v>
      </c>
      <c r="P27" s="55" t="s">
        <v>129</v>
      </c>
      <c r="Q27" s="55" t="s">
        <v>129</v>
      </c>
      <c r="R27" s="55" t="s">
        <v>129</v>
      </c>
      <c r="S27" s="55">
        <v>15</v>
      </c>
      <c r="T27" s="55" t="s">
        <v>129</v>
      </c>
      <c r="U27" s="55">
        <v>45</v>
      </c>
      <c r="V27" s="55" t="s">
        <v>129</v>
      </c>
      <c r="W27" s="55">
        <v>40</v>
      </c>
      <c r="X27" s="55" t="s">
        <v>129</v>
      </c>
      <c r="Y27" s="55">
        <v>0</v>
      </c>
      <c r="Z27" s="55" t="s">
        <v>129</v>
      </c>
      <c r="AA27" s="55" t="s">
        <v>129</v>
      </c>
      <c r="AB27" s="55" t="s">
        <v>129</v>
      </c>
      <c r="AC27" s="55" t="s">
        <v>129</v>
      </c>
      <c r="AD27" s="55" t="s">
        <v>129</v>
      </c>
      <c r="AE27" s="55" t="s">
        <v>129</v>
      </c>
      <c r="AF27" s="55" t="s">
        <v>129</v>
      </c>
      <c r="AG27" s="55" t="s">
        <v>129</v>
      </c>
      <c r="AH27" s="55" t="s">
        <v>129</v>
      </c>
      <c r="AI27" s="55">
        <v>22</v>
      </c>
      <c r="AJ27" s="55" t="s">
        <v>129</v>
      </c>
      <c r="AK27" s="55">
        <v>85</v>
      </c>
      <c r="AL27" s="55" t="s">
        <v>129</v>
      </c>
      <c r="AM27" s="55">
        <v>14</v>
      </c>
      <c r="AN27" s="55" t="s">
        <v>129</v>
      </c>
      <c r="AO27" s="55">
        <v>0</v>
      </c>
      <c r="AP27" s="55" t="s">
        <v>129</v>
      </c>
      <c r="AQ27" s="55" t="s">
        <v>129</v>
      </c>
      <c r="AR27" s="55" t="s">
        <v>129</v>
      </c>
      <c r="AS27" s="55" t="s">
        <v>129</v>
      </c>
      <c r="AT27" s="55" t="s">
        <v>129</v>
      </c>
      <c r="AU27" s="55" t="s">
        <v>129</v>
      </c>
      <c r="AV27" s="55" t="s">
        <v>129</v>
      </c>
      <c r="AW27" s="55" t="s">
        <v>129</v>
      </c>
      <c r="AX27" s="55" t="s">
        <v>129</v>
      </c>
      <c r="AY27" s="55">
        <v>56</v>
      </c>
      <c r="AZ27" s="55" t="s">
        <v>129</v>
      </c>
      <c r="BA27" s="55">
        <v>47</v>
      </c>
      <c r="BB27" s="55" t="s">
        <v>129</v>
      </c>
      <c r="BC27" s="55">
        <v>18</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154</v>
      </c>
      <c r="B28" s="55" t="s">
        <v>129</v>
      </c>
      <c r="C28" s="55">
        <v>73</v>
      </c>
      <c r="D28" s="55" t="s">
        <v>129</v>
      </c>
      <c r="E28" s="55">
        <v>96</v>
      </c>
      <c r="F28" s="55" t="s">
        <v>129</v>
      </c>
      <c r="G28" s="55">
        <v>65</v>
      </c>
      <c r="H28" s="55" t="s">
        <v>129</v>
      </c>
      <c r="I28" s="55">
        <v>0</v>
      </c>
      <c r="J28" s="55" t="s">
        <v>129</v>
      </c>
      <c r="K28" s="55" t="s">
        <v>129</v>
      </c>
      <c r="L28" s="55" t="s">
        <v>129</v>
      </c>
      <c r="M28" s="55" t="s">
        <v>129</v>
      </c>
      <c r="N28" s="55" t="s">
        <v>129</v>
      </c>
      <c r="O28" s="55" t="s">
        <v>129</v>
      </c>
      <c r="P28" s="55" t="s">
        <v>129</v>
      </c>
      <c r="Q28" s="55" t="s">
        <v>129</v>
      </c>
      <c r="R28" s="55" t="s">
        <v>129</v>
      </c>
      <c r="S28" s="55">
        <v>11</v>
      </c>
      <c r="T28" s="55" t="s">
        <v>129</v>
      </c>
      <c r="U28" s="55">
        <v>35</v>
      </c>
      <c r="V28" s="55" t="s">
        <v>129</v>
      </c>
      <c r="W28" s="55">
        <v>45</v>
      </c>
      <c r="X28" s="55" t="s">
        <v>129</v>
      </c>
      <c r="Y28" s="55">
        <v>0</v>
      </c>
      <c r="Z28" s="55" t="s">
        <v>129</v>
      </c>
      <c r="AA28" s="55" t="s">
        <v>129</v>
      </c>
      <c r="AB28" s="55" t="s">
        <v>129</v>
      </c>
      <c r="AC28" s="55" t="s">
        <v>129</v>
      </c>
      <c r="AD28" s="55" t="s">
        <v>129</v>
      </c>
      <c r="AE28" s="55" t="s">
        <v>129</v>
      </c>
      <c r="AF28" s="55" t="s">
        <v>129</v>
      </c>
      <c r="AG28" s="55" t="s">
        <v>129</v>
      </c>
      <c r="AH28" s="55" t="s">
        <v>129</v>
      </c>
      <c r="AI28" s="55">
        <v>20</v>
      </c>
      <c r="AJ28" s="55" t="s">
        <v>129</v>
      </c>
      <c r="AK28" s="55">
        <v>82</v>
      </c>
      <c r="AL28" s="55" t="s">
        <v>129</v>
      </c>
      <c r="AM28" s="55">
        <v>8</v>
      </c>
      <c r="AN28" s="55" t="s">
        <v>129</v>
      </c>
      <c r="AO28" s="55">
        <v>0</v>
      </c>
      <c r="AP28" s="55" t="s">
        <v>129</v>
      </c>
      <c r="AQ28" s="55" t="s">
        <v>129</v>
      </c>
      <c r="AR28" s="55" t="s">
        <v>129</v>
      </c>
      <c r="AS28" s="55" t="s">
        <v>129</v>
      </c>
      <c r="AT28" s="55" t="s">
        <v>129</v>
      </c>
      <c r="AU28" s="55" t="s">
        <v>129</v>
      </c>
      <c r="AV28" s="55" t="s">
        <v>129</v>
      </c>
      <c r="AW28" s="55" t="s">
        <v>129</v>
      </c>
      <c r="AX28" s="55" t="s">
        <v>129</v>
      </c>
      <c r="AY28" s="55">
        <v>75</v>
      </c>
      <c r="AZ28" s="55" t="s">
        <v>129</v>
      </c>
      <c r="BA28" s="55">
        <v>55</v>
      </c>
      <c r="BB28" s="55" t="s">
        <v>129</v>
      </c>
      <c r="BC28" s="55">
        <v>15</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153</v>
      </c>
      <c r="B29" s="55" t="s">
        <v>129</v>
      </c>
      <c r="C29" s="55">
        <v>79</v>
      </c>
      <c r="D29" s="55" t="s">
        <v>129</v>
      </c>
      <c r="E29" s="55">
        <v>77</v>
      </c>
      <c r="F29" s="55" t="s">
        <v>129</v>
      </c>
      <c r="G29" s="55">
        <v>73</v>
      </c>
      <c r="H29" s="55" t="s">
        <v>129</v>
      </c>
      <c r="I29" s="55">
        <v>0</v>
      </c>
      <c r="J29" s="55" t="s">
        <v>129</v>
      </c>
      <c r="K29" s="55" t="s">
        <v>129</v>
      </c>
      <c r="L29" s="55" t="s">
        <v>129</v>
      </c>
      <c r="M29" s="55" t="s">
        <v>129</v>
      </c>
      <c r="N29" s="55" t="s">
        <v>129</v>
      </c>
      <c r="O29" s="55" t="s">
        <v>129</v>
      </c>
      <c r="P29" s="55" t="s">
        <v>129</v>
      </c>
      <c r="Q29" s="55" t="s">
        <v>129</v>
      </c>
      <c r="R29" s="55" t="s">
        <v>129</v>
      </c>
      <c r="S29" s="55">
        <v>15</v>
      </c>
      <c r="T29" s="55" t="s">
        <v>129</v>
      </c>
      <c r="U29" s="55">
        <v>42</v>
      </c>
      <c r="V29" s="55" t="s">
        <v>129</v>
      </c>
      <c r="W29" s="55">
        <v>50</v>
      </c>
      <c r="X29" s="55" t="s">
        <v>129</v>
      </c>
      <c r="Y29" s="55">
        <v>0</v>
      </c>
      <c r="Z29" s="55" t="s">
        <v>129</v>
      </c>
      <c r="AA29" s="55" t="s">
        <v>129</v>
      </c>
      <c r="AB29" s="55" t="s">
        <v>129</v>
      </c>
      <c r="AC29" s="55" t="s">
        <v>129</v>
      </c>
      <c r="AD29" s="55" t="s">
        <v>129</v>
      </c>
      <c r="AE29" s="55" t="s">
        <v>129</v>
      </c>
      <c r="AF29" s="55" t="s">
        <v>129</v>
      </c>
      <c r="AG29" s="55" t="s">
        <v>129</v>
      </c>
      <c r="AH29" s="55" t="s">
        <v>129</v>
      </c>
      <c r="AI29" s="55">
        <v>21</v>
      </c>
      <c r="AJ29" s="55" t="s">
        <v>129</v>
      </c>
      <c r="AK29" s="55">
        <v>90</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54</v>
      </c>
      <c r="AZ29" s="55" t="s">
        <v>129</v>
      </c>
      <c r="BA29" s="55">
        <v>58</v>
      </c>
      <c r="BB29" s="55" t="s">
        <v>129</v>
      </c>
      <c r="BC29" s="55">
        <v>16</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152</v>
      </c>
      <c r="B30" s="55" t="s">
        <v>129</v>
      </c>
      <c r="C30" s="55">
        <v>75</v>
      </c>
      <c r="D30" s="55" t="s">
        <v>129</v>
      </c>
      <c r="E30" s="55">
        <v>114</v>
      </c>
      <c r="F30" s="55" t="s">
        <v>129</v>
      </c>
      <c r="G30" s="55">
        <v>80</v>
      </c>
      <c r="H30" s="55" t="s">
        <v>129</v>
      </c>
      <c r="I30" s="55">
        <v>0</v>
      </c>
      <c r="J30" s="55" t="s">
        <v>129</v>
      </c>
      <c r="K30" s="55" t="s">
        <v>129</v>
      </c>
      <c r="L30" s="55" t="s">
        <v>129</v>
      </c>
      <c r="M30" s="55" t="s">
        <v>129</v>
      </c>
      <c r="N30" s="55" t="s">
        <v>129</v>
      </c>
      <c r="O30" s="55" t="s">
        <v>129</v>
      </c>
      <c r="P30" s="55" t="s">
        <v>129</v>
      </c>
      <c r="Q30" s="55" t="s">
        <v>129</v>
      </c>
      <c r="R30" s="55" t="s">
        <v>129</v>
      </c>
      <c r="S30" s="55">
        <v>16</v>
      </c>
      <c r="T30" s="55" t="s">
        <v>129</v>
      </c>
      <c r="U30" s="55">
        <v>44</v>
      </c>
      <c r="V30" s="55" t="s">
        <v>129</v>
      </c>
      <c r="W30" s="55">
        <v>38</v>
      </c>
      <c r="X30" s="55" t="s">
        <v>129</v>
      </c>
      <c r="Y30" s="55">
        <v>0</v>
      </c>
      <c r="Z30" s="55" t="s">
        <v>129</v>
      </c>
      <c r="AA30" s="55" t="s">
        <v>129</v>
      </c>
      <c r="AB30" s="55" t="s">
        <v>129</v>
      </c>
      <c r="AC30" s="55" t="s">
        <v>129</v>
      </c>
      <c r="AD30" s="55" t="s">
        <v>129</v>
      </c>
      <c r="AE30" s="55" t="s">
        <v>129</v>
      </c>
      <c r="AF30" s="55" t="s">
        <v>129</v>
      </c>
      <c r="AG30" s="55" t="s">
        <v>129</v>
      </c>
      <c r="AH30" s="55" t="s">
        <v>129</v>
      </c>
      <c r="AI30" s="55">
        <v>37</v>
      </c>
      <c r="AJ30" s="55" t="s">
        <v>129</v>
      </c>
      <c r="AK30" s="55">
        <v>117</v>
      </c>
      <c r="AL30" s="55" t="s">
        <v>129</v>
      </c>
      <c r="AM30" s="55">
        <v>11</v>
      </c>
      <c r="AN30" s="55" t="s">
        <v>129</v>
      </c>
      <c r="AO30" s="55">
        <v>0</v>
      </c>
      <c r="AP30" s="55" t="s">
        <v>129</v>
      </c>
      <c r="AQ30" s="55" t="s">
        <v>129</v>
      </c>
      <c r="AR30" s="55" t="s">
        <v>129</v>
      </c>
      <c r="AS30" s="55" t="s">
        <v>129</v>
      </c>
      <c r="AT30" s="55" t="s">
        <v>129</v>
      </c>
      <c r="AU30" s="55" t="s">
        <v>129</v>
      </c>
      <c r="AV30" s="55" t="s">
        <v>129</v>
      </c>
      <c r="AW30" s="55" t="s">
        <v>129</v>
      </c>
      <c r="AX30" s="55" t="s">
        <v>129</v>
      </c>
      <c r="AY30" s="55">
        <v>63</v>
      </c>
      <c r="AZ30" s="55" t="s">
        <v>129</v>
      </c>
      <c r="BA30" s="55">
        <v>73</v>
      </c>
      <c r="BB30" s="55" t="s">
        <v>129</v>
      </c>
      <c r="BC30" s="55">
        <v>13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151</v>
      </c>
      <c r="B31" s="55" t="s">
        <v>129</v>
      </c>
      <c r="C31" s="55">
        <v>61</v>
      </c>
      <c r="D31" s="55" t="s">
        <v>129</v>
      </c>
      <c r="E31" s="55">
        <v>89</v>
      </c>
      <c r="F31" s="55" t="s">
        <v>129</v>
      </c>
      <c r="G31" s="55">
        <v>61</v>
      </c>
      <c r="H31" s="55" t="s">
        <v>129</v>
      </c>
      <c r="I31" s="55">
        <v>0</v>
      </c>
      <c r="J31" s="55" t="s">
        <v>129</v>
      </c>
      <c r="K31" s="55" t="s">
        <v>129</v>
      </c>
      <c r="L31" s="55" t="s">
        <v>129</v>
      </c>
      <c r="M31" s="55" t="s">
        <v>129</v>
      </c>
      <c r="N31" s="55" t="s">
        <v>129</v>
      </c>
      <c r="O31" s="55" t="s">
        <v>129</v>
      </c>
      <c r="P31" s="55" t="s">
        <v>129</v>
      </c>
      <c r="Q31" s="55" t="s">
        <v>129</v>
      </c>
      <c r="R31" s="55" t="s">
        <v>129</v>
      </c>
      <c r="S31" s="55">
        <v>11</v>
      </c>
      <c r="T31" s="55" t="s">
        <v>129</v>
      </c>
      <c r="U31" s="55">
        <v>46</v>
      </c>
      <c r="V31" s="55" t="s">
        <v>129</v>
      </c>
      <c r="W31" s="55">
        <v>64</v>
      </c>
      <c r="X31" s="55" t="s">
        <v>129</v>
      </c>
      <c r="Y31" s="55">
        <v>0</v>
      </c>
      <c r="Z31" s="55" t="s">
        <v>129</v>
      </c>
      <c r="AA31" s="55" t="s">
        <v>129</v>
      </c>
      <c r="AB31" s="55" t="s">
        <v>129</v>
      </c>
      <c r="AC31" s="55" t="s">
        <v>129</v>
      </c>
      <c r="AD31" s="55" t="s">
        <v>129</v>
      </c>
      <c r="AE31" s="55" t="s">
        <v>129</v>
      </c>
      <c r="AF31" s="55" t="s">
        <v>129</v>
      </c>
      <c r="AG31" s="55" t="s">
        <v>129</v>
      </c>
      <c r="AH31" s="55" t="s">
        <v>129</v>
      </c>
      <c r="AI31" s="55">
        <v>26</v>
      </c>
      <c r="AJ31" s="55" t="s">
        <v>129</v>
      </c>
      <c r="AK31" s="55">
        <v>101</v>
      </c>
      <c r="AL31" s="55" t="s">
        <v>129</v>
      </c>
      <c r="AM31" s="55">
        <v>11</v>
      </c>
      <c r="AN31" s="55" t="s">
        <v>129</v>
      </c>
      <c r="AO31" s="55">
        <v>0</v>
      </c>
      <c r="AP31" s="55" t="s">
        <v>129</v>
      </c>
      <c r="AQ31" s="55" t="s">
        <v>129</v>
      </c>
      <c r="AR31" s="55" t="s">
        <v>129</v>
      </c>
      <c r="AS31" s="55" t="s">
        <v>129</v>
      </c>
      <c r="AT31" s="55" t="s">
        <v>129</v>
      </c>
      <c r="AU31" s="55" t="s">
        <v>129</v>
      </c>
      <c r="AV31" s="55" t="s">
        <v>129</v>
      </c>
      <c r="AW31" s="55" t="s">
        <v>129</v>
      </c>
      <c r="AX31" s="55" t="s">
        <v>129</v>
      </c>
      <c r="AY31" s="55">
        <v>70</v>
      </c>
      <c r="AZ31" s="55" t="s">
        <v>129</v>
      </c>
      <c r="BA31" s="55">
        <v>62</v>
      </c>
      <c r="BB31" s="55" t="s">
        <v>129</v>
      </c>
      <c r="BC31" s="55">
        <v>21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150</v>
      </c>
      <c r="B32" s="55" t="s">
        <v>129</v>
      </c>
      <c r="C32" s="55">
        <v>64</v>
      </c>
      <c r="D32" s="55" t="s">
        <v>129</v>
      </c>
      <c r="E32" s="55">
        <v>94</v>
      </c>
      <c r="F32" s="55" t="s">
        <v>129</v>
      </c>
      <c r="G32" s="55">
        <v>62</v>
      </c>
      <c r="H32" s="55" t="s">
        <v>129</v>
      </c>
      <c r="I32" s="55">
        <v>0</v>
      </c>
      <c r="J32" s="55" t="s">
        <v>129</v>
      </c>
      <c r="K32" s="55" t="s">
        <v>129</v>
      </c>
      <c r="L32" s="55" t="s">
        <v>129</v>
      </c>
      <c r="M32" s="55" t="s">
        <v>129</v>
      </c>
      <c r="N32" s="55" t="s">
        <v>129</v>
      </c>
      <c r="O32" s="55" t="s">
        <v>129</v>
      </c>
      <c r="P32" s="55" t="s">
        <v>129</v>
      </c>
      <c r="Q32" s="55" t="s">
        <v>129</v>
      </c>
      <c r="R32" s="55" t="s">
        <v>129</v>
      </c>
      <c r="S32" s="55">
        <v>11</v>
      </c>
      <c r="T32" s="55" t="s">
        <v>129</v>
      </c>
      <c r="U32" s="55">
        <v>56</v>
      </c>
      <c r="V32" s="55" t="s">
        <v>129</v>
      </c>
      <c r="W32" s="55">
        <v>41</v>
      </c>
      <c r="X32" s="55" t="s">
        <v>129</v>
      </c>
      <c r="Y32" s="55">
        <v>0</v>
      </c>
      <c r="Z32" s="55" t="s">
        <v>129</v>
      </c>
      <c r="AA32" s="55" t="s">
        <v>129</v>
      </c>
      <c r="AB32" s="55" t="s">
        <v>129</v>
      </c>
      <c r="AC32" s="55" t="s">
        <v>129</v>
      </c>
      <c r="AD32" s="55" t="s">
        <v>129</v>
      </c>
      <c r="AE32" s="55" t="s">
        <v>129</v>
      </c>
      <c r="AF32" s="55" t="s">
        <v>129</v>
      </c>
      <c r="AG32" s="55" t="s">
        <v>129</v>
      </c>
      <c r="AH32" s="55" t="s">
        <v>129</v>
      </c>
      <c r="AI32" s="55">
        <v>33</v>
      </c>
      <c r="AJ32" s="55" t="s">
        <v>129</v>
      </c>
      <c r="AK32" s="55">
        <v>117</v>
      </c>
      <c r="AL32" s="55" t="s">
        <v>129</v>
      </c>
      <c r="AM32" s="55">
        <v>17</v>
      </c>
      <c r="AN32" s="55" t="s">
        <v>129</v>
      </c>
      <c r="AO32" s="55">
        <v>0</v>
      </c>
      <c r="AP32" s="55" t="s">
        <v>129</v>
      </c>
      <c r="AQ32" s="55" t="s">
        <v>129</v>
      </c>
      <c r="AR32" s="55" t="s">
        <v>129</v>
      </c>
      <c r="AS32" s="55" t="s">
        <v>129</v>
      </c>
      <c r="AT32" s="55" t="s">
        <v>129</v>
      </c>
      <c r="AU32" s="55" t="s">
        <v>129</v>
      </c>
      <c r="AV32" s="55" t="s">
        <v>129</v>
      </c>
      <c r="AW32" s="55" t="s">
        <v>129</v>
      </c>
      <c r="AX32" s="55" t="s">
        <v>129</v>
      </c>
      <c r="AY32" s="55">
        <v>68</v>
      </c>
      <c r="AZ32" s="55" t="s">
        <v>129</v>
      </c>
      <c r="BA32" s="55">
        <v>81</v>
      </c>
      <c r="BB32" s="55" t="s">
        <v>129</v>
      </c>
      <c r="BC32" s="55">
        <v>22</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149</v>
      </c>
      <c r="B33" s="55" t="s">
        <v>129</v>
      </c>
      <c r="C33" s="55">
        <v>61</v>
      </c>
      <c r="D33" s="55" t="s">
        <v>129</v>
      </c>
      <c r="E33" s="55">
        <v>107</v>
      </c>
      <c r="F33" s="55" t="s">
        <v>129</v>
      </c>
      <c r="G33" s="55">
        <v>78</v>
      </c>
      <c r="H33" s="55" t="s">
        <v>129</v>
      </c>
      <c r="I33" s="55">
        <v>0</v>
      </c>
      <c r="J33" s="55" t="s">
        <v>129</v>
      </c>
      <c r="K33" s="55" t="s">
        <v>129</v>
      </c>
      <c r="L33" s="55" t="s">
        <v>129</v>
      </c>
      <c r="M33" s="55" t="s">
        <v>129</v>
      </c>
      <c r="N33" s="55" t="s">
        <v>129</v>
      </c>
      <c r="O33" s="55" t="s">
        <v>129</v>
      </c>
      <c r="P33" s="55" t="s">
        <v>129</v>
      </c>
      <c r="Q33" s="55" t="s">
        <v>129</v>
      </c>
      <c r="R33" s="55" t="s">
        <v>129</v>
      </c>
      <c r="S33" s="55">
        <v>11</v>
      </c>
      <c r="T33" s="55" t="s">
        <v>129</v>
      </c>
      <c r="U33" s="55">
        <v>63</v>
      </c>
      <c r="V33" s="55" t="s">
        <v>129</v>
      </c>
      <c r="W33" s="55">
        <v>40</v>
      </c>
      <c r="X33" s="55" t="s">
        <v>129</v>
      </c>
      <c r="Y33" s="55">
        <v>0</v>
      </c>
      <c r="Z33" s="55" t="s">
        <v>129</v>
      </c>
      <c r="AA33" s="55" t="s">
        <v>129</v>
      </c>
      <c r="AB33" s="55" t="s">
        <v>129</v>
      </c>
      <c r="AC33" s="55" t="s">
        <v>129</v>
      </c>
      <c r="AD33" s="55" t="s">
        <v>129</v>
      </c>
      <c r="AE33" s="55" t="s">
        <v>129</v>
      </c>
      <c r="AF33" s="55" t="s">
        <v>129</v>
      </c>
      <c r="AG33" s="55" t="s">
        <v>129</v>
      </c>
      <c r="AH33" s="55" t="s">
        <v>129</v>
      </c>
      <c r="AI33" s="55">
        <v>30</v>
      </c>
      <c r="AJ33" s="55" t="s">
        <v>129</v>
      </c>
      <c r="AK33" s="55">
        <v>89</v>
      </c>
      <c r="AL33" s="55" t="s">
        <v>129</v>
      </c>
      <c r="AM33" s="55">
        <v>9</v>
      </c>
      <c r="AN33" s="55" t="s">
        <v>129</v>
      </c>
      <c r="AO33" s="55">
        <v>0</v>
      </c>
      <c r="AP33" s="55" t="s">
        <v>129</v>
      </c>
      <c r="AQ33" s="55" t="s">
        <v>129</v>
      </c>
      <c r="AR33" s="55" t="s">
        <v>129</v>
      </c>
      <c r="AS33" s="55" t="s">
        <v>129</v>
      </c>
      <c r="AT33" s="55" t="s">
        <v>129</v>
      </c>
      <c r="AU33" s="55" t="s">
        <v>129</v>
      </c>
      <c r="AV33" s="55" t="s">
        <v>129</v>
      </c>
      <c r="AW33" s="55" t="s">
        <v>129</v>
      </c>
      <c r="AX33" s="55" t="s">
        <v>129</v>
      </c>
      <c r="AY33" s="55">
        <v>79</v>
      </c>
      <c r="AZ33" s="55" t="s">
        <v>129</v>
      </c>
      <c r="BA33" s="55">
        <v>62</v>
      </c>
      <c r="BB33" s="55" t="s">
        <v>129</v>
      </c>
      <c r="BC33" s="55">
        <v>12</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148</v>
      </c>
      <c r="B34" s="55" t="s">
        <v>129</v>
      </c>
      <c r="C34" s="55">
        <v>59</v>
      </c>
      <c r="D34" s="55" t="s">
        <v>129</v>
      </c>
      <c r="E34" s="55">
        <v>98</v>
      </c>
      <c r="F34" s="55" t="s">
        <v>129</v>
      </c>
      <c r="G34" s="55">
        <v>71</v>
      </c>
      <c r="H34" s="55" t="s">
        <v>129</v>
      </c>
      <c r="I34" s="55">
        <v>0</v>
      </c>
      <c r="J34" s="55" t="s">
        <v>129</v>
      </c>
      <c r="K34" s="55" t="s">
        <v>129</v>
      </c>
      <c r="L34" s="55" t="s">
        <v>129</v>
      </c>
      <c r="M34" s="55" t="s">
        <v>129</v>
      </c>
      <c r="N34" s="55" t="s">
        <v>129</v>
      </c>
      <c r="O34" s="55" t="s">
        <v>129</v>
      </c>
      <c r="P34" s="55" t="s">
        <v>129</v>
      </c>
      <c r="Q34" s="55" t="s">
        <v>129</v>
      </c>
      <c r="R34" s="55" t="s">
        <v>129</v>
      </c>
      <c r="S34" s="55">
        <v>13</v>
      </c>
      <c r="T34" s="55" t="s">
        <v>129</v>
      </c>
      <c r="U34" s="55">
        <v>49</v>
      </c>
      <c r="V34" s="55" t="s">
        <v>129</v>
      </c>
      <c r="W34" s="55">
        <v>52</v>
      </c>
      <c r="X34" s="55" t="s">
        <v>129</v>
      </c>
      <c r="Y34" s="55">
        <v>0</v>
      </c>
      <c r="Z34" s="55" t="s">
        <v>129</v>
      </c>
      <c r="AA34" s="55" t="s">
        <v>129</v>
      </c>
      <c r="AB34" s="55" t="s">
        <v>129</v>
      </c>
      <c r="AC34" s="55" t="s">
        <v>129</v>
      </c>
      <c r="AD34" s="55" t="s">
        <v>129</v>
      </c>
      <c r="AE34" s="55" t="s">
        <v>129</v>
      </c>
      <c r="AF34" s="55" t="s">
        <v>129</v>
      </c>
      <c r="AG34" s="55" t="s">
        <v>129</v>
      </c>
      <c r="AH34" s="55" t="s">
        <v>129</v>
      </c>
      <c r="AI34" s="55">
        <v>23</v>
      </c>
      <c r="AJ34" s="55" t="s">
        <v>129</v>
      </c>
      <c r="AK34" s="55">
        <v>80</v>
      </c>
      <c r="AL34" s="55" t="s">
        <v>129</v>
      </c>
      <c r="AM34" s="55">
        <v>20</v>
      </c>
      <c r="AN34" s="55" t="s">
        <v>129</v>
      </c>
      <c r="AO34" s="55">
        <v>0</v>
      </c>
      <c r="AP34" s="55" t="s">
        <v>129</v>
      </c>
      <c r="AQ34" s="55" t="s">
        <v>129</v>
      </c>
      <c r="AR34" s="55" t="s">
        <v>129</v>
      </c>
      <c r="AS34" s="55" t="s">
        <v>129</v>
      </c>
      <c r="AT34" s="55" t="s">
        <v>129</v>
      </c>
      <c r="AU34" s="55" t="s">
        <v>129</v>
      </c>
      <c r="AV34" s="55" t="s">
        <v>129</v>
      </c>
      <c r="AW34" s="55" t="s">
        <v>129</v>
      </c>
      <c r="AX34" s="55" t="s">
        <v>129</v>
      </c>
      <c r="AY34" s="55">
        <v>89</v>
      </c>
      <c r="AZ34" s="55" t="s">
        <v>129</v>
      </c>
      <c r="BA34" s="55">
        <v>68</v>
      </c>
      <c r="BB34" s="55" t="s">
        <v>129</v>
      </c>
      <c r="BC34" s="55">
        <v>16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147</v>
      </c>
      <c r="B35" s="55" t="s">
        <v>129</v>
      </c>
      <c r="C35" s="55">
        <v>70</v>
      </c>
      <c r="D35" s="55" t="s">
        <v>129</v>
      </c>
      <c r="E35" s="55">
        <v>110</v>
      </c>
      <c r="F35" s="55" t="s">
        <v>129</v>
      </c>
      <c r="G35" s="55">
        <v>57</v>
      </c>
      <c r="H35" s="55" t="s">
        <v>129</v>
      </c>
      <c r="I35" s="55">
        <v>0</v>
      </c>
      <c r="J35" s="55" t="s">
        <v>129</v>
      </c>
      <c r="K35" s="55" t="s">
        <v>129</v>
      </c>
      <c r="L35" s="55" t="s">
        <v>129</v>
      </c>
      <c r="M35" s="55" t="s">
        <v>129</v>
      </c>
      <c r="N35" s="55" t="s">
        <v>129</v>
      </c>
      <c r="O35" s="55" t="s">
        <v>129</v>
      </c>
      <c r="P35" s="55" t="s">
        <v>129</v>
      </c>
      <c r="Q35" s="55" t="s">
        <v>129</v>
      </c>
      <c r="R35" s="55" t="s">
        <v>129</v>
      </c>
      <c r="S35" s="55">
        <v>22</v>
      </c>
      <c r="T35" s="55" t="s">
        <v>129</v>
      </c>
      <c r="U35" s="55">
        <v>46</v>
      </c>
      <c r="V35" s="55" t="s">
        <v>129</v>
      </c>
      <c r="W35" s="55">
        <v>42</v>
      </c>
      <c r="X35" s="55" t="s">
        <v>129</v>
      </c>
      <c r="Y35" s="55">
        <v>0</v>
      </c>
      <c r="Z35" s="55" t="s">
        <v>129</v>
      </c>
      <c r="AA35" s="55" t="s">
        <v>129</v>
      </c>
      <c r="AB35" s="55" t="s">
        <v>129</v>
      </c>
      <c r="AC35" s="55" t="s">
        <v>129</v>
      </c>
      <c r="AD35" s="55" t="s">
        <v>129</v>
      </c>
      <c r="AE35" s="55" t="s">
        <v>129</v>
      </c>
      <c r="AF35" s="55" t="s">
        <v>129</v>
      </c>
      <c r="AG35" s="55" t="s">
        <v>129</v>
      </c>
      <c r="AH35" s="55" t="s">
        <v>129</v>
      </c>
      <c r="AI35" s="55">
        <v>32</v>
      </c>
      <c r="AJ35" s="55" t="s">
        <v>129</v>
      </c>
      <c r="AK35" s="55">
        <v>108</v>
      </c>
      <c r="AL35" s="55" t="s">
        <v>129</v>
      </c>
      <c r="AM35" s="55">
        <v>10</v>
      </c>
      <c r="AN35" s="55" t="s">
        <v>129</v>
      </c>
      <c r="AO35" s="55">
        <v>0</v>
      </c>
      <c r="AP35" s="55" t="s">
        <v>129</v>
      </c>
      <c r="AQ35" s="55" t="s">
        <v>129</v>
      </c>
      <c r="AR35" s="55" t="s">
        <v>129</v>
      </c>
      <c r="AS35" s="55" t="s">
        <v>129</v>
      </c>
      <c r="AT35" s="55" t="s">
        <v>129</v>
      </c>
      <c r="AU35" s="55" t="s">
        <v>129</v>
      </c>
      <c r="AV35" s="55" t="s">
        <v>129</v>
      </c>
      <c r="AW35" s="55" t="s">
        <v>129</v>
      </c>
      <c r="AX35" s="55" t="s">
        <v>129</v>
      </c>
      <c r="AY35" s="55">
        <v>74</v>
      </c>
      <c r="AZ35" s="55" t="s">
        <v>129</v>
      </c>
      <c r="BA35" s="55">
        <v>53</v>
      </c>
      <c r="BB35" s="55" t="s">
        <v>129</v>
      </c>
      <c r="BC35" s="55">
        <v>17</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146</v>
      </c>
      <c r="B36" s="55" t="s">
        <v>129</v>
      </c>
      <c r="C36" s="55">
        <v>95</v>
      </c>
      <c r="D36" s="55" t="s">
        <v>129</v>
      </c>
      <c r="E36" s="55">
        <v>97</v>
      </c>
      <c r="F36" s="55" t="s">
        <v>129</v>
      </c>
      <c r="G36" s="55">
        <v>65</v>
      </c>
      <c r="H36" s="55" t="s">
        <v>129</v>
      </c>
      <c r="I36" s="55">
        <v>0</v>
      </c>
      <c r="J36" s="55" t="s">
        <v>129</v>
      </c>
      <c r="K36" s="55" t="s">
        <v>129</v>
      </c>
      <c r="L36" s="55" t="s">
        <v>129</v>
      </c>
      <c r="M36" s="55" t="s">
        <v>129</v>
      </c>
      <c r="N36" s="55" t="s">
        <v>129</v>
      </c>
      <c r="O36" s="55" t="s">
        <v>129</v>
      </c>
      <c r="P36" s="55" t="s">
        <v>129</v>
      </c>
      <c r="Q36" s="55" t="s">
        <v>129</v>
      </c>
      <c r="R36" s="55" t="s">
        <v>129</v>
      </c>
      <c r="S36" s="55">
        <v>17</v>
      </c>
      <c r="T36" s="55" t="s">
        <v>129</v>
      </c>
      <c r="U36" s="55">
        <v>58</v>
      </c>
      <c r="V36" s="55" t="s">
        <v>129</v>
      </c>
      <c r="W36" s="55">
        <v>68</v>
      </c>
      <c r="X36" s="55" t="s">
        <v>129</v>
      </c>
      <c r="Y36" s="55">
        <v>0</v>
      </c>
      <c r="Z36" s="55" t="s">
        <v>129</v>
      </c>
      <c r="AA36" s="55" t="s">
        <v>129</v>
      </c>
      <c r="AB36" s="55" t="s">
        <v>129</v>
      </c>
      <c r="AC36" s="55" t="s">
        <v>129</v>
      </c>
      <c r="AD36" s="55" t="s">
        <v>129</v>
      </c>
      <c r="AE36" s="55" t="s">
        <v>129</v>
      </c>
      <c r="AF36" s="55" t="s">
        <v>129</v>
      </c>
      <c r="AG36" s="55" t="s">
        <v>129</v>
      </c>
      <c r="AH36" s="55" t="s">
        <v>129</v>
      </c>
      <c r="AI36" s="55">
        <v>28</v>
      </c>
      <c r="AJ36" s="55" t="s">
        <v>129</v>
      </c>
      <c r="AK36" s="55">
        <v>113</v>
      </c>
      <c r="AL36" s="55" t="s">
        <v>129</v>
      </c>
      <c r="AM36" s="55">
        <v>11</v>
      </c>
      <c r="AN36" s="55" t="s">
        <v>129</v>
      </c>
      <c r="AO36" s="55">
        <v>0</v>
      </c>
      <c r="AP36" s="55" t="s">
        <v>129</v>
      </c>
      <c r="AQ36" s="55" t="s">
        <v>129</v>
      </c>
      <c r="AR36" s="55" t="s">
        <v>129</v>
      </c>
      <c r="AS36" s="55" t="s">
        <v>129</v>
      </c>
      <c r="AT36" s="55" t="s">
        <v>129</v>
      </c>
      <c r="AU36" s="55" t="s">
        <v>129</v>
      </c>
      <c r="AV36" s="55" t="s">
        <v>129</v>
      </c>
      <c r="AW36" s="55" t="s">
        <v>129</v>
      </c>
      <c r="AX36" s="55" t="s">
        <v>129</v>
      </c>
      <c r="AY36" s="55">
        <v>73</v>
      </c>
      <c r="AZ36" s="55" t="s">
        <v>129</v>
      </c>
      <c r="BA36" s="55">
        <v>71</v>
      </c>
      <c r="BB36" s="55" t="s">
        <v>129</v>
      </c>
      <c r="BC36" s="55">
        <v>30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145</v>
      </c>
      <c r="B37" s="55" t="s">
        <v>129</v>
      </c>
      <c r="C37" s="55">
        <v>73</v>
      </c>
      <c r="D37" s="55" t="s">
        <v>129</v>
      </c>
      <c r="E37" s="55">
        <v>92</v>
      </c>
      <c r="F37" s="55" t="s">
        <v>129</v>
      </c>
      <c r="G37" s="55">
        <v>72</v>
      </c>
      <c r="H37" s="55" t="s">
        <v>129</v>
      </c>
      <c r="I37" s="55">
        <v>0</v>
      </c>
      <c r="J37" s="55" t="s">
        <v>129</v>
      </c>
      <c r="K37" s="55" t="s">
        <v>129</v>
      </c>
      <c r="L37" s="55" t="s">
        <v>129</v>
      </c>
      <c r="M37" s="55" t="s">
        <v>129</v>
      </c>
      <c r="N37" s="55" t="s">
        <v>129</v>
      </c>
      <c r="O37" s="55" t="s">
        <v>129</v>
      </c>
      <c r="P37" s="55" t="s">
        <v>129</v>
      </c>
      <c r="Q37" s="55" t="s">
        <v>129</v>
      </c>
      <c r="R37" s="55" t="s">
        <v>129</v>
      </c>
      <c r="S37" s="55">
        <v>12</v>
      </c>
      <c r="T37" s="55" t="s">
        <v>129</v>
      </c>
      <c r="U37" s="55">
        <v>50</v>
      </c>
      <c r="V37" s="55" t="s">
        <v>129</v>
      </c>
      <c r="W37" s="55">
        <v>46</v>
      </c>
      <c r="X37" s="55" t="s">
        <v>129</v>
      </c>
      <c r="Y37" s="55">
        <v>0</v>
      </c>
      <c r="Z37" s="55" t="s">
        <v>129</v>
      </c>
      <c r="AA37" s="55" t="s">
        <v>129</v>
      </c>
      <c r="AB37" s="55" t="s">
        <v>129</v>
      </c>
      <c r="AC37" s="55" t="s">
        <v>129</v>
      </c>
      <c r="AD37" s="55" t="s">
        <v>129</v>
      </c>
      <c r="AE37" s="55" t="s">
        <v>129</v>
      </c>
      <c r="AF37" s="55" t="s">
        <v>129</v>
      </c>
      <c r="AG37" s="55" t="s">
        <v>129</v>
      </c>
      <c r="AH37" s="55" t="s">
        <v>129</v>
      </c>
      <c r="AI37" s="55">
        <v>22</v>
      </c>
      <c r="AJ37" s="55" t="s">
        <v>129</v>
      </c>
      <c r="AK37" s="55">
        <v>100</v>
      </c>
      <c r="AL37" s="55" t="s">
        <v>129</v>
      </c>
      <c r="AM37" s="55">
        <v>19</v>
      </c>
      <c r="AN37" s="55" t="s">
        <v>129</v>
      </c>
      <c r="AO37" s="55">
        <v>1</v>
      </c>
      <c r="AP37" s="55" t="s">
        <v>129</v>
      </c>
      <c r="AQ37" s="55" t="s">
        <v>129</v>
      </c>
      <c r="AR37" s="55" t="s">
        <v>129</v>
      </c>
      <c r="AS37" s="55" t="s">
        <v>129</v>
      </c>
      <c r="AT37" s="55" t="s">
        <v>129</v>
      </c>
      <c r="AU37" s="55" t="s">
        <v>129</v>
      </c>
      <c r="AV37" s="55" t="s">
        <v>129</v>
      </c>
      <c r="AW37" s="55" t="s">
        <v>129</v>
      </c>
      <c r="AX37" s="55" t="s">
        <v>129</v>
      </c>
      <c r="AY37" s="55">
        <v>74</v>
      </c>
      <c r="AZ37" s="55" t="s">
        <v>129</v>
      </c>
      <c r="BA37" s="55">
        <v>54</v>
      </c>
      <c r="BB37" s="55" t="s">
        <v>129</v>
      </c>
      <c r="BC37" s="55">
        <v>21</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144</v>
      </c>
      <c r="B38" s="55" t="s">
        <v>129</v>
      </c>
      <c r="C38" s="55">
        <v>90</v>
      </c>
      <c r="D38" s="55" t="s">
        <v>129</v>
      </c>
      <c r="E38" s="55">
        <v>102</v>
      </c>
      <c r="F38" s="55" t="s">
        <v>129</v>
      </c>
      <c r="G38" s="55">
        <v>62</v>
      </c>
      <c r="H38" s="55" t="s">
        <v>129</v>
      </c>
      <c r="I38" s="55">
        <v>0</v>
      </c>
      <c r="J38" s="55" t="s">
        <v>129</v>
      </c>
      <c r="K38" s="55" t="s">
        <v>129</v>
      </c>
      <c r="L38" s="55" t="s">
        <v>129</v>
      </c>
      <c r="M38" s="55" t="s">
        <v>129</v>
      </c>
      <c r="N38" s="55" t="s">
        <v>129</v>
      </c>
      <c r="O38" s="55" t="s">
        <v>129</v>
      </c>
      <c r="P38" s="55" t="s">
        <v>129</v>
      </c>
      <c r="Q38" s="55" t="s">
        <v>129</v>
      </c>
      <c r="R38" s="55" t="s">
        <v>129</v>
      </c>
      <c r="S38" s="55">
        <v>6</v>
      </c>
      <c r="T38" s="55" t="s">
        <v>129</v>
      </c>
      <c r="U38" s="55">
        <v>40</v>
      </c>
      <c r="V38" s="55" t="s">
        <v>129</v>
      </c>
      <c r="W38" s="55">
        <v>50</v>
      </c>
      <c r="X38" s="55" t="s">
        <v>129</v>
      </c>
      <c r="Y38" s="55">
        <v>0</v>
      </c>
      <c r="Z38" s="55" t="s">
        <v>129</v>
      </c>
      <c r="AA38" s="55" t="s">
        <v>129</v>
      </c>
      <c r="AB38" s="55" t="s">
        <v>129</v>
      </c>
      <c r="AC38" s="55" t="s">
        <v>129</v>
      </c>
      <c r="AD38" s="55" t="s">
        <v>129</v>
      </c>
      <c r="AE38" s="55" t="s">
        <v>129</v>
      </c>
      <c r="AF38" s="55" t="s">
        <v>129</v>
      </c>
      <c r="AG38" s="55" t="s">
        <v>129</v>
      </c>
      <c r="AH38" s="55" t="s">
        <v>129</v>
      </c>
      <c r="AI38" s="55">
        <v>22</v>
      </c>
      <c r="AJ38" s="55" t="s">
        <v>129</v>
      </c>
      <c r="AK38" s="55">
        <v>87</v>
      </c>
      <c r="AL38" s="55" t="s">
        <v>129</v>
      </c>
      <c r="AM38" s="55">
        <v>14</v>
      </c>
      <c r="AN38" s="55" t="s">
        <v>129</v>
      </c>
      <c r="AO38" s="55">
        <v>0</v>
      </c>
      <c r="AP38" s="55" t="s">
        <v>129</v>
      </c>
      <c r="AQ38" s="55" t="s">
        <v>129</v>
      </c>
      <c r="AR38" s="55" t="s">
        <v>129</v>
      </c>
      <c r="AS38" s="55" t="s">
        <v>129</v>
      </c>
      <c r="AT38" s="55" t="s">
        <v>129</v>
      </c>
      <c r="AU38" s="55" t="s">
        <v>129</v>
      </c>
      <c r="AV38" s="55" t="s">
        <v>129</v>
      </c>
      <c r="AW38" s="55" t="s">
        <v>129</v>
      </c>
      <c r="AX38" s="55" t="s">
        <v>129</v>
      </c>
      <c r="AY38" s="55">
        <v>61</v>
      </c>
      <c r="AZ38" s="55" t="s">
        <v>129</v>
      </c>
      <c r="BA38" s="55">
        <v>63</v>
      </c>
      <c r="BB38" s="55" t="s">
        <v>129</v>
      </c>
      <c r="BC38" s="55">
        <v>21</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143</v>
      </c>
      <c r="B39" s="55" t="s">
        <v>129</v>
      </c>
      <c r="C39" s="55">
        <v>86</v>
      </c>
      <c r="D39" s="55" t="s">
        <v>129</v>
      </c>
      <c r="E39" s="55">
        <v>85</v>
      </c>
      <c r="F39" s="55" t="s">
        <v>129</v>
      </c>
      <c r="G39" s="55">
        <v>50</v>
      </c>
      <c r="H39" s="55" t="s">
        <v>129</v>
      </c>
      <c r="I39" s="55">
        <v>0</v>
      </c>
      <c r="J39" s="55" t="s">
        <v>129</v>
      </c>
      <c r="K39" s="55" t="s">
        <v>129</v>
      </c>
      <c r="L39" s="55" t="s">
        <v>129</v>
      </c>
      <c r="M39" s="55" t="s">
        <v>129</v>
      </c>
      <c r="N39" s="55" t="s">
        <v>129</v>
      </c>
      <c r="O39" s="55" t="s">
        <v>129</v>
      </c>
      <c r="P39" s="55" t="s">
        <v>129</v>
      </c>
      <c r="Q39" s="55" t="s">
        <v>129</v>
      </c>
      <c r="R39" s="55" t="s">
        <v>129</v>
      </c>
      <c r="S39" s="55">
        <v>23</v>
      </c>
      <c r="T39" s="55" t="s">
        <v>129</v>
      </c>
      <c r="U39" s="55">
        <v>61</v>
      </c>
      <c r="V39" s="55" t="s">
        <v>129</v>
      </c>
      <c r="W39" s="55">
        <v>75</v>
      </c>
      <c r="X39" s="55" t="s">
        <v>129</v>
      </c>
      <c r="Y39" s="55">
        <v>0</v>
      </c>
      <c r="Z39" s="55" t="s">
        <v>129</v>
      </c>
      <c r="AA39" s="55" t="s">
        <v>129</v>
      </c>
      <c r="AB39" s="55" t="s">
        <v>129</v>
      </c>
      <c r="AC39" s="55" t="s">
        <v>129</v>
      </c>
      <c r="AD39" s="55" t="s">
        <v>129</v>
      </c>
      <c r="AE39" s="55" t="s">
        <v>129</v>
      </c>
      <c r="AF39" s="55" t="s">
        <v>129</v>
      </c>
      <c r="AG39" s="55" t="s">
        <v>129</v>
      </c>
      <c r="AH39" s="55" t="s">
        <v>129</v>
      </c>
      <c r="AI39" s="55">
        <v>21</v>
      </c>
      <c r="AJ39" s="55" t="s">
        <v>129</v>
      </c>
      <c r="AK39" s="55">
        <v>150</v>
      </c>
      <c r="AL39" s="55" t="s">
        <v>129</v>
      </c>
      <c r="AM39" s="55">
        <v>11</v>
      </c>
      <c r="AN39" s="55" t="s">
        <v>129</v>
      </c>
      <c r="AO39" s="55">
        <v>0</v>
      </c>
      <c r="AP39" s="55" t="s">
        <v>129</v>
      </c>
      <c r="AQ39" s="55" t="s">
        <v>129</v>
      </c>
      <c r="AR39" s="55" t="s">
        <v>129</v>
      </c>
      <c r="AS39" s="55" t="s">
        <v>129</v>
      </c>
      <c r="AT39" s="55" t="s">
        <v>129</v>
      </c>
      <c r="AU39" s="55" t="s">
        <v>129</v>
      </c>
      <c r="AV39" s="55" t="s">
        <v>129</v>
      </c>
      <c r="AW39" s="55" t="s">
        <v>129</v>
      </c>
      <c r="AX39" s="55" t="s">
        <v>129</v>
      </c>
      <c r="AY39" s="55">
        <v>88</v>
      </c>
      <c r="AZ39" s="55" t="s">
        <v>129</v>
      </c>
      <c r="BA39" s="55">
        <v>71</v>
      </c>
      <c r="BB39" s="55" t="s">
        <v>129</v>
      </c>
      <c r="BC39" s="55">
        <v>10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142</v>
      </c>
      <c r="B40" s="55" t="s">
        <v>129</v>
      </c>
      <c r="C40" s="55">
        <v>99</v>
      </c>
      <c r="D40" s="55" t="s">
        <v>129</v>
      </c>
      <c r="E40" s="55">
        <v>111</v>
      </c>
      <c r="F40" s="55" t="s">
        <v>129</v>
      </c>
      <c r="G40" s="55">
        <v>68</v>
      </c>
      <c r="H40" s="55" t="s">
        <v>129</v>
      </c>
      <c r="I40" s="55">
        <v>0</v>
      </c>
      <c r="J40" s="55" t="s">
        <v>129</v>
      </c>
      <c r="K40" s="55" t="s">
        <v>129</v>
      </c>
      <c r="L40" s="55" t="s">
        <v>129</v>
      </c>
      <c r="M40" s="55" t="s">
        <v>129</v>
      </c>
      <c r="N40" s="55" t="s">
        <v>129</v>
      </c>
      <c r="O40" s="55" t="s">
        <v>129</v>
      </c>
      <c r="P40" s="55" t="s">
        <v>129</v>
      </c>
      <c r="Q40" s="55" t="s">
        <v>129</v>
      </c>
      <c r="R40" s="55" t="s">
        <v>129</v>
      </c>
      <c r="S40" s="55">
        <v>20</v>
      </c>
      <c r="T40" s="55" t="s">
        <v>129</v>
      </c>
      <c r="U40" s="55">
        <v>70</v>
      </c>
      <c r="V40" s="55" t="s">
        <v>129</v>
      </c>
      <c r="W40" s="55">
        <v>74</v>
      </c>
      <c r="X40" s="55" t="s">
        <v>129</v>
      </c>
      <c r="Y40" s="55">
        <v>0</v>
      </c>
      <c r="Z40" s="55" t="s">
        <v>129</v>
      </c>
      <c r="AA40" s="55" t="s">
        <v>129</v>
      </c>
      <c r="AB40" s="55" t="s">
        <v>129</v>
      </c>
      <c r="AC40" s="55" t="s">
        <v>129</v>
      </c>
      <c r="AD40" s="55" t="s">
        <v>129</v>
      </c>
      <c r="AE40" s="55" t="s">
        <v>129</v>
      </c>
      <c r="AF40" s="55" t="s">
        <v>129</v>
      </c>
      <c r="AG40" s="55" t="s">
        <v>129</v>
      </c>
      <c r="AH40" s="55" t="s">
        <v>129</v>
      </c>
      <c r="AI40" s="55">
        <v>23</v>
      </c>
      <c r="AJ40" s="55" t="s">
        <v>129</v>
      </c>
      <c r="AK40" s="55">
        <v>122</v>
      </c>
      <c r="AL40" s="55" t="s">
        <v>129</v>
      </c>
      <c r="AM40" s="55">
        <v>20</v>
      </c>
      <c r="AN40" s="55" t="s">
        <v>129</v>
      </c>
      <c r="AO40" s="55">
        <v>0</v>
      </c>
      <c r="AP40" s="55" t="s">
        <v>129</v>
      </c>
      <c r="AQ40" s="55" t="s">
        <v>129</v>
      </c>
      <c r="AR40" s="55" t="s">
        <v>129</v>
      </c>
      <c r="AS40" s="55" t="s">
        <v>129</v>
      </c>
      <c r="AT40" s="55" t="s">
        <v>129</v>
      </c>
      <c r="AU40" s="55" t="s">
        <v>129</v>
      </c>
      <c r="AV40" s="55" t="s">
        <v>129</v>
      </c>
      <c r="AW40" s="55" t="s">
        <v>129</v>
      </c>
      <c r="AX40" s="55" t="s">
        <v>129</v>
      </c>
      <c r="AY40" s="55">
        <v>74</v>
      </c>
      <c r="AZ40" s="55" t="s">
        <v>129</v>
      </c>
      <c r="BA40" s="55">
        <v>90</v>
      </c>
      <c r="BB40" s="55" t="s">
        <v>129</v>
      </c>
      <c r="BC40" s="55">
        <v>17</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141</v>
      </c>
      <c r="B41" s="55" t="s">
        <v>129</v>
      </c>
      <c r="C41" s="55">
        <v>82</v>
      </c>
      <c r="D41" s="55" t="s">
        <v>129</v>
      </c>
      <c r="E41" s="55">
        <v>77</v>
      </c>
      <c r="F41" s="55" t="s">
        <v>129</v>
      </c>
      <c r="G41" s="55">
        <v>80</v>
      </c>
      <c r="H41" s="55" t="s">
        <v>129</v>
      </c>
      <c r="I41" s="55">
        <v>0</v>
      </c>
      <c r="J41" s="55" t="s">
        <v>129</v>
      </c>
      <c r="K41" s="55" t="s">
        <v>129</v>
      </c>
      <c r="L41" s="55" t="s">
        <v>129</v>
      </c>
      <c r="M41" s="55" t="s">
        <v>129</v>
      </c>
      <c r="N41" s="55" t="s">
        <v>129</v>
      </c>
      <c r="O41" s="55" t="s">
        <v>129</v>
      </c>
      <c r="P41" s="55" t="s">
        <v>129</v>
      </c>
      <c r="Q41" s="55" t="s">
        <v>129</v>
      </c>
      <c r="R41" s="55" t="s">
        <v>129</v>
      </c>
      <c r="S41" s="55">
        <v>16</v>
      </c>
      <c r="T41" s="55" t="s">
        <v>129</v>
      </c>
      <c r="U41" s="55">
        <v>56</v>
      </c>
      <c r="V41" s="55" t="s">
        <v>129</v>
      </c>
      <c r="W41" s="55">
        <v>62</v>
      </c>
      <c r="X41" s="55" t="s">
        <v>129</v>
      </c>
      <c r="Y41" s="55">
        <v>0</v>
      </c>
      <c r="Z41" s="55" t="s">
        <v>129</v>
      </c>
      <c r="AA41" s="55" t="s">
        <v>129</v>
      </c>
      <c r="AB41" s="55" t="s">
        <v>129</v>
      </c>
      <c r="AC41" s="55" t="s">
        <v>129</v>
      </c>
      <c r="AD41" s="55" t="s">
        <v>129</v>
      </c>
      <c r="AE41" s="55" t="s">
        <v>129</v>
      </c>
      <c r="AF41" s="55" t="s">
        <v>129</v>
      </c>
      <c r="AG41" s="55" t="s">
        <v>129</v>
      </c>
      <c r="AH41" s="55" t="s">
        <v>129</v>
      </c>
      <c r="AI41" s="55">
        <v>23</v>
      </c>
      <c r="AJ41" s="55" t="s">
        <v>129</v>
      </c>
      <c r="AK41" s="55">
        <v>123</v>
      </c>
      <c r="AL41" s="55" t="s">
        <v>129</v>
      </c>
      <c r="AM41" s="55">
        <v>14</v>
      </c>
      <c r="AN41" s="55" t="s">
        <v>129</v>
      </c>
      <c r="AO41" s="55">
        <v>0</v>
      </c>
      <c r="AP41" s="55" t="s">
        <v>129</v>
      </c>
      <c r="AQ41" s="55" t="s">
        <v>129</v>
      </c>
      <c r="AR41" s="55" t="s">
        <v>129</v>
      </c>
      <c r="AS41" s="55" t="s">
        <v>129</v>
      </c>
      <c r="AT41" s="55" t="s">
        <v>129</v>
      </c>
      <c r="AU41" s="55" t="s">
        <v>129</v>
      </c>
      <c r="AV41" s="55" t="s">
        <v>129</v>
      </c>
      <c r="AW41" s="55" t="s">
        <v>129</v>
      </c>
      <c r="AX41" s="55" t="s">
        <v>129</v>
      </c>
      <c r="AY41" s="55">
        <v>89</v>
      </c>
      <c r="AZ41" s="55" t="s">
        <v>129</v>
      </c>
      <c r="BA41" s="55">
        <v>70</v>
      </c>
      <c r="BB41" s="55" t="s">
        <v>129</v>
      </c>
      <c r="BC41" s="55">
        <v>14</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140</v>
      </c>
      <c r="B42" s="55" t="s">
        <v>129</v>
      </c>
      <c r="C42" s="55">
        <v>92</v>
      </c>
      <c r="D42" s="55" t="s">
        <v>129</v>
      </c>
      <c r="E42" s="55">
        <v>113</v>
      </c>
      <c r="F42" s="55" t="s">
        <v>129</v>
      </c>
      <c r="G42" s="55">
        <v>91</v>
      </c>
      <c r="H42" s="55" t="s">
        <v>129</v>
      </c>
      <c r="I42" s="55">
        <v>0</v>
      </c>
      <c r="J42" s="55" t="s">
        <v>129</v>
      </c>
      <c r="K42" s="55" t="s">
        <v>129</v>
      </c>
      <c r="L42" s="55" t="s">
        <v>129</v>
      </c>
      <c r="M42" s="55" t="s">
        <v>129</v>
      </c>
      <c r="N42" s="55" t="s">
        <v>129</v>
      </c>
      <c r="O42" s="55" t="s">
        <v>129</v>
      </c>
      <c r="P42" s="55" t="s">
        <v>129</v>
      </c>
      <c r="Q42" s="55" t="s">
        <v>129</v>
      </c>
      <c r="R42" s="55" t="s">
        <v>129</v>
      </c>
      <c r="S42" s="55">
        <v>9</v>
      </c>
      <c r="T42" s="55" t="s">
        <v>129</v>
      </c>
      <c r="U42" s="55">
        <v>56</v>
      </c>
      <c r="V42" s="55" t="s">
        <v>129</v>
      </c>
      <c r="W42" s="55">
        <v>75</v>
      </c>
      <c r="X42" s="55" t="s">
        <v>129</v>
      </c>
      <c r="Y42" s="55">
        <v>0</v>
      </c>
      <c r="Z42" s="55" t="s">
        <v>129</v>
      </c>
      <c r="AA42" s="55" t="s">
        <v>129</v>
      </c>
      <c r="AB42" s="55" t="s">
        <v>129</v>
      </c>
      <c r="AC42" s="55" t="s">
        <v>129</v>
      </c>
      <c r="AD42" s="55" t="s">
        <v>129</v>
      </c>
      <c r="AE42" s="55" t="s">
        <v>129</v>
      </c>
      <c r="AF42" s="55" t="s">
        <v>129</v>
      </c>
      <c r="AG42" s="55" t="s">
        <v>129</v>
      </c>
      <c r="AH42" s="55" t="s">
        <v>129</v>
      </c>
      <c r="AI42" s="55">
        <v>19</v>
      </c>
      <c r="AJ42" s="55" t="s">
        <v>129</v>
      </c>
      <c r="AK42" s="55">
        <v>137</v>
      </c>
      <c r="AL42" s="55" t="s">
        <v>129</v>
      </c>
      <c r="AM42" s="55">
        <v>13</v>
      </c>
      <c r="AN42" s="55" t="s">
        <v>129</v>
      </c>
      <c r="AO42" s="55">
        <v>0</v>
      </c>
      <c r="AP42" s="55" t="s">
        <v>129</v>
      </c>
      <c r="AQ42" s="55" t="s">
        <v>129</v>
      </c>
      <c r="AR42" s="55" t="s">
        <v>129</v>
      </c>
      <c r="AS42" s="55" t="s">
        <v>129</v>
      </c>
      <c r="AT42" s="55" t="s">
        <v>129</v>
      </c>
      <c r="AU42" s="55" t="s">
        <v>129</v>
      </c>
      <c r="AV42" s="55" t="s">
        <v>129</v>
      </c>
      <c r="AW42" s="55" t="s">
        <v>129</v>
      </c>
      <c r="AX42" s="55" t="s">
        <v>129</v>
      </c>
      <c r="AY42" s="55">
        <v>94</v>
      </c>
      <c r="AZ42" s="55" t="s">
        <v>129</v>
      </c>
      <c r="BA42" s="55">
        <v>56</v>
      </c>
      <c r="BB42" s="55" t="s">
        <v>129</v>
      </c>
      <c r="BC42" s="55">
        <v>14</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139</v>
      </c>
      <c r="B43" s="55" t="s">
        <v>129</v>
      </c>
      <c r="C43" s="55">
        <v>90</v>
      </c>
      <c r="D43" s="55" t="s">
        <v>129</v>
      </c>
      <c r="E43" s="55">
        <v>86</v>
      </c>
      <c r="F43" s="55" t="s">
        <v>129</v>
      </c>
      <c r="G43" s="55">
        <v>56</v>
      </c>
      <c r="H43" s="55" t="s">
        <v>129</v>
      </c>
      <c r="I43" s="55">
        <v>0</v>
      </c>
      <c r="J43" s="55" t="s">
        <v>129</v>
      </c>
      <c r="K43" s="55" t="s">
        <v>129</v>
      </c>
      <c r="L43" s="55" t="s">
        <v>129</v>
      </c>
      <c r="M43" s="55" t="s">
        <v>129</v>
      </c>
      <c r="N43" s="55" t="s">
        <v>129</v>
      </c>
      <c r="O43" s="55" t="s">
        <v>129</v>
      </c>
      <c r="P43" s="55" t="s">
        <v>129</v>
      </c>
      <c r="Q43" s="55" t="s">
        <v>129</v>
      </c>
      <c r="R43" s="55" t="s">
        <v>129</v>
      </c>
      <c r="S43" s="55">
        <v>13</v>
      </c>
      <c r="T43" s="55" t="s">
        <v>129</v>
      </c>
      <c r="U43" s="55">
        <v>55</v>
      </c>
      <c r="V43" s="55" t="s">
        <v>129</v>
      </c>
      <c r="W43" s="55">
        <v>90</v>
      </c>
      <c r="X43" s="55" t="s">
        <v>129</v>
      </c>
      <c r="Y43" s="55">
        <v>0</v>
      </c>
      <c r="Z43" s="55" t="s">
        <v>129</v>
      </c>
      <c r="AA43" s="55" t="s">
        <v>129</v>
      </c>
      <c r="AB43" s="55" t="s">
        <v>129</v>
      </c>
      <c r="AC43" s="55" t="s">
        <v>129</v>
      </c>
      <c r="AD43" s="55" t="s">
        <v>129</v>
      </c>
      <c r="AE43" s="55" t="s">
        <v>129</v>
      </c>
      <c r="AF43" s="55" t="s">
        <v>129</v>
      </c>
      <c r="AG43" s="55" t="s">
        <v>129</v>
      </c>
      <c r="AH43" s="55" t="s">
        <v>129</v>
      </c>
      <c r="AI43" s="55">
        <v>20</v>
      </c>
      <c r="AJ43" s="55" t="s">
        <v>129</v>
      </c>
      <c r="AK43" s="55">
        <v>137</v>
      </c>
      <c r="AL43" s="55" t="s">
        <v>129</v>
      </c>
      <c r="AM43" s="55">
        <v>12</v>
      </c>
      <c r="AN43" s="55" t="s">
        <v>129</v>
      </c>
      <c r="AO43" s="55">
        <v>0</v>
      </c>
      <c r="AP43" s="55" t="s">
        <v>129</v>
      </c>
      <c r="AQ43" s="55" t="s">
        <v>129</v>
      </c>
      <c r="AR43" s="55" t="s">
        <v>129</v>
      </c>
      <c r="AS43" s="55" t="s">
        <v>129</v>
      </c>
      <c r="AT43" s="55" t="s">
        <v>129</v>
      </c>
      <c r="AU43" s="55" t="s">
        <v>129</v>
      </c>
      <c r="AV43" s="55" t="s">
        <v>129</v>
      </c>
      <c r="AW43" s="55" t="s">
        <v>129</v>
      </c>
      <c r="AX43" s="55" t="s">
        <v>129</v>
      </c>
      <c r="AY43" s="55">
        <v>82</v>
      </c>
      <c r="AZ43" s="55" t="s">
        <v>129</v>
      </c>
      <c r="BA43" s="55">
        <v>78</v>
      </c>
      <c r="BB43" s="55" t="s">
        <v>129</v>
      </c>
      <c r="BC43" s="55">
        <v>15</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138</v>
      </c>
      <c r="B44" s="55" t="s">
        <v>129</v>
      </c>
      <c r="C44" s="55">
        <v>100</v>
      </c>
      <c r="D44" s="55" t="s">
        <v>129</v>
      </c>
      <c r="E44" s="55">
        <v>79</v>
      </c>
      <c r="F44" s="55" t="s">
        <v>129</v>
      </c>
      <c r="G44" s="55">
        <v>62</v>
      </c>
      <c r="H44" s="55" t="s">
        <v>129</v>
      </c>
      <c r="I44" s="55">
        <v>0</v>
      </c>
      <c r="J44" s="55" t="s">
        <v>129</v>
      </c>
      <c r="K44" s="55" t="s">
        <v>129</v>
      </c>
      <c r="L44" s="55" t="s">
        <v>129</v>
      </c>
      <c r="M44" s="55" t="s">
        <v>129</v>
      </c>
      <c r="N44" s="55" t="s">
        <v>129</v>
      </c>
      <c r="O44" s="55" t="s">
        <v>129</v>
      </c>
      <c r="P44" s="55" t="s">
        <v>129</v>
      </c>
      <c r="Q44" s="55" t="s">
        <v>129</v>
      </c>
      <c r="R44" s="55" t="s">
        <v>129</v>
      </c>
      <c r="S44" s="55">
        <v>12</v>
      </c>
      <c r="T44" s="55" t="s">
        <v>129</v>
      </c>
      <c r="U44" s="55">
        <v>65</v>
      </c>
      <c r="V44" s="55" t="s">
        <v>129</v>
      </c>
      <c r="W44" s="55">
        <v>84</v>
      </c>
      <c r="X44" s="55" t="s">
        <v>129</v>
      </c>
      <c r="Y44" s="55">
        <v>0</v>
      </c>
      <c r="Z44" s="55" t="s">
        <v>129</v>
      </c>
      <c r="AA44" s="55" t="s">
        <v>129</v>
      </c>
      <c r="AB44" s="55" t="s">
        <v>129</v>
      </c>
      <c r="AC44" s="55" t="s">
        <v>129</v>
      </c>
      <c r="AD44" s="55" t="s">
        <v>129</v>
      </c>
      <c r="AE44" s="55" t="s">
        <v>129</v>
      </c>
      <c r="AF44" s="55" t="s">
        <v>129</v>
      </c>
      <c r="AG44" s="55" t="s">
        <v>129</v>
      </c>
      <c r="AH44" s="55" t="s">
        <v>129</v>
      </c>
      <c r="AI44" s="55">
        <v>26</v>
      </c>
      <c r="AJ44" s="55" t="s">
        <v>129</v>
      </c>
      <c r="AK44" s="55">
        <v>172</v>
      </c>
      <c r="AL44" s="55" t="s">
        <v>129</v>
      </c>
      <c r="AM44" s="55">
        <v>12</v>
      </c>
      <c r="AN44" s="55" t="s">
        <v>129</v>
      </c>
      <c r="AO44" s="55">
        <v>0</v>
      </c>
      <c r="AP44" s="55" t="s">
        <v>129</v>
      </c>
      <c r="AQ44" s="55" t="s">
        <v>129</v>
      </c>
      <c r="AR44" s="55" t="s">
        <v>129</v>
      </c>
      <c r="AS44" s="55" t="s">
        <v>129</v>
      </c>
      <c r="AT44" s="55" t="s">
        <v>129</v>
      </c>
      <c r="AU44" s="55" t="s">
        <v>129</v>
      </c>
      <c r="AV44" s="55" t="s">
        <v>129</v>
      </c>
      <c r="AW44" s="55" t="s">
        <v>129</v>
      </c>
      <c r="AX44" s="55" t="s">
        <v>129</v>
      </c>
      <c r="AY44" s="55">
        <v>74</v>
      </c>
      <c r="AZ44" s="55" t="s">
        <v>129</v>
      </c>
      <c r="BA44" s="55">
        <v>64</v>
      </c>
      <c r="BB44" s="55" t="s">
        <v>129</v>
      </c>
      <c r="BC44" s="55">
        <v>16</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137</v>
      </c>
      <c r="B45" s="55" t="s">
        <v>129</v>
      </c>
      <c r="C45" s="55">
        <v>95</v>
      </c>
      <c r="D45" s="55" t="s">
        <v>129</v>
      </c>
      <c r="E45" s="55">
        <v>94</v>
      </c>
      <c r="F45" s="55" t="s">
        <v>129</v>
      </c>
      <c r="G45" s="55">
        <v>72</v>
      </c>
      <c r="H45" s="55" t="s">
        <v>129</v>
      </c>
      <c r="I45" s="55">
        <v>0</v>
      </c>
      <c r="J45" s="55" t="s">
        <v>129</v>
      </c>
      <c r="K45" s="55" t="s">
        <v>129</v>
      </c>
      <c r="L45" s="55" t="s">
        <v>129</v>
      </c>
      <c r="M45" s="55" t="s">
        <v>129</v>
      </c>
      <c r="N45" s="55" t="s">
        <v>129</v>
      </c>
      <c r="O45" s="55" t="s">
        <v>129</v>
      </c>
      <c r="P45" s="55" t="s">
        <v>129</v>
      </c>
      <c r="Q45" s="55" t="s">
        <v>129</v>
      </c>
      <c r="R45" s="55" t="s">
        <v>129</v>
      </c>
      <c r="S45" s="55">
        <v>11</v>
      </c>
      <c r="T45" s="55" t="s">
        <v>129</v>
      </c>
      <c r="U45" s="55">
        <v>87</v>
      </c>
      <c r="V45" s="55" t="s">
        <v>129</v>
      </c>
      <c r="W45" s="55">
        <v>119</v>
      </c>
      <c r="X45" s="55" t="s">
        <v>129</v>
      </c>
      <c r="Y45" s="55">
        <v>1</v>
      </c>
      <c r="Z45" s="55" t="s">
        <v>129</v>
      </c>
      <c r="AA45" s="55" t="s">
        <v>129</v>
      </c>
      <c r="AB45" s="55" t="s">
        <v>129</v>
      </c>
      <c r="AC45" s="55" t="s">
        <v>129</v>
      </c>
      <c r="AD45" s="55" t="s">
        <v>129</v>
      </c>
      <c r="AE45" s="55" t="s">
        <v>129</v>
      </c>
      <c r="AF45" s="55" t="s">
        <v>129</v>
      </c>
      <c r="AG45" s="55" t="s">
        <v>129</v>
      </c>
      <c r="AH45" s="55" t="s">
        <v>129</v>
      </c>
      <c r="AI45" s="55">
        <v>21</v>
      </c>
      <c r="AJ45" s="55" t="s">
        <v>129</v>
      </c>
      <c r="AK45" s="55">
        <v>180</v>
      </c>
      <c r="AL45" s="55" t="s">
        <v>129</v>
      </c>
      <c r="AM45" s="55">
        <v>16</v>
      </c>
      <c r="AN45" s="55" t="s">
        <v>129</v>
      </c>
      <c r="AO45" s="55">
        <v>0</v>
      </c>
      <c r="AP45" s="55" t="s">
        <v>129</v>
      </c>
      <c r="AQ45" s="55" t="s">
        <v>129</v>
      </c>
      <c r="AR45" s="55" t="s">
        <v>129</v>
      </c>
      <c r="AS45" s="55" t="s">
        <v>129</v>
      </c>
      <c r="AT45" s="55" t="s">
        <v>129</v>
      </c>
      <c r="AU45" s="55" t="s">
        <v>129</v>
      </c>
      <c r="AV45" s="55" t="s">
        <v>129</v>
      </c>
      <c r="AW45" s="55" t="s">
        <v>129</v>
      </c>
      <c r="AX45" s="55" t="s">
        <v>129</v>
      </c>
      <c r="AY45" s="55">
        <v>101</v>
      </c>
      <c r="AZ45" s="55" t="s">
        <v>129</v>
      </c>
      <c r="BA45" s="55">
        <v>73</v>
      </c>
      <c r="BB45" s="55" t="s">
        <v>129</v>
      </c>
      <c r="BC45" s="55">
        <v>15</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136</v>
      </c>
      <c r="B46" s="55" t="s">
        <v>129</v>
      </c>
      <c r="C46" s="55">
        <v>100</v>
      </c>
      <c r="D46" s="55" t="s">
        <v>129</v>
      </c>
      <c r="E46" s="55">
        <v>122</v>
      </c>
      <c r="F46" s="55" t="s">
        <v>129</v>
      </c>
      <c r="G46" s="55">
        <v>51</v>
      </c>
      <c r="H46" s="55" t="s">
        <v>129</v>
      </c>
      <c r="I46" s="55">
        <v>0</v>
      </c>
      <c r="J46" s="55" t="s">
        <v>129</v>
      </c>
      <c r="K46" s="55" t="s">
        <v>129</v>
      </c>
      <c r="L46" s="55" t="s">
        <v>129</v>
      </c>
      <c r="M46" s="55" t="s">
        <v>129</v>
      </c>
      <c r="N46" s="55" t="s">
        <v>129</v>
      </c>
      <c r="O46" s="55" t="s">
        <v>129</v>
      </c>
      <c r="P46" s="55" t="s">
        <v>129</v>
      </c>
      <c r="Q46" s="55" t="s">
        <v>129</v>
      </c>
      <c r="R46" s="55" t="s">
        <v>129</v>
      </c>
      <c r="S46" s="55">
        <v>12</v>
      </c>
      <c r="T46" s="55" t="s">
        <v>129</v>
      </c>
      <c r="U46" s="55">
        <v>79</v>
      </c>
      <c r="V46" s="55" t="s">
        <v>129</v>
      </c>
      <c r="W46" s="55">
        <v>100</v>
      </c>
      <c r="X46" s="55" t="s">
        <v>129</v>
      </c>
      <c r="Y46" s="55">
        <v>0</v>
      </c>
      <c r="Z46" s="55" t="s">
        <v>129</v>
      </c>
      <c r="AA46" s="55" t="s">
        <v>129</v>
      </c>
      <c r="AB46" s="55" t="s">
        <v>129</v>
      </c>
      <c r="AC46" s="55" t="s">
        <v>129</v>
      </c>
      <c r="AD46" s="55" t="s">
        <v>129</v>
      </c>
      <c r="AE46" s="55" t="s">
        <v>129</v>
      </c>
      <c r="AF46" s="55" t="s">
        <v>129</v>
      </c>
      <c r="AG46" s="55" t="s">
        <v>129</v>
      </c>
      <c r="AH46" s="55" t="s">
        <v>129</v>
      </c>
      <c r="AI46" s="55">
        <v>25</v>
      </c>
      <c r="AJ46" s="55" t="s">
        <v>129</v>
      </c>
      <c r="AK46" s="55">
        <v>152</v>
      </c>
      <c r="AL46" s="55" t="s">
        <v>129</v>
      </c>
      <c r="AM46" s="55">
        <v>8</v>
      </c>
      <c r="AN46" s="55" t="s">
        <v>129</v>
      </c>
      <c r="AO46" s="55">
        <v>0</v>
      </c>
      <c r="AP46" s="55" t="s">
        <v>129</v>
      </c>
      <c r="AQ46" s="55" t="s">
        <v>129</v>
      </c>
      <c r="AR46" s="55" t="s">
        <v>129</v>
      </c>
      <c r="AS46" s="55" t="s">
        <v>129</v>
      </c>
      <c r="AT46" s="55" t="s">
        <v>129</v>
      </c>
      <c r="AU46" s="55" t="s">
        <v>129</v>
      </c>
      <c r="AV46" s="55" t="s">
        <v>129</v>
      </c>
      <c r="AW46" s="55" t="s">
        <v>129</v>
      </c>
      <c r="AX46" s="55" t="s">
        <v>129</v>
      </c>
      <c r="AY46" s="55">
        <v>116</v>
      </c>
      <c r="AZ46" s="55" t="s">
        <v>129</v>
      </c>
      <c r="BA46" s="55">
        <v>77</v>
      </c>
      <c r="BB46" s="55" t="s">
        <v>129</v>
      </c>
      <c r="BC46" s="55">
        <v>12</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135</v>
      </c>
      <c r="B47" s="55" t="s">
        <v>129</v>
      </c>
      <c r="C47" s="55">
        <v>89</v>
      </c>
      <c r="D47" s="55" t="s">
        <v>129</v>
      </c>
      <c r="E47" s="55">
        <v>108</v>
      </c>
      <c r="F47" s="55" t="s">
        <v>129</v>
      </c>
      <c r="G47" s="55">
        <v>73</v>
      </c>
      <c r="H47" s="55" t="s">
        <v>129</v>
      </c>
      <c r="I47" s="55">
        <v>1</v>
      </c>
      <c r="J47" s="55" t="s">
        <v>129</v>
      </c>
      <c r="K47" s="55" t="s">
        <v>129</v>
      </c>
      <c r="L47" s="55" t="s">
        <v>129</v>
      </c>
      <c r="M47" s="55" t="s">
        <v>129</v>
      </c>
      <c r="N47" s="55" t="s">
        <v>129</v>
      </c>
      <c r="O47" s="55" t="s">
        <v>129</v>
      </c>
      <c r="P47" s="55" t="s">
        <v>129</v>
      </c>
      <c r="Q47" s="55" t="s">
        <v>129</v>
      </c>
      <c r="R47" s="55" t="s">
        <v>129</v>
      </c>
      <c r="S47" s="55">
        <v>10</v>
      </c>
      <c r="T47" s="55" t="s">
        <v>129</v>
      </c>
      <c r="U47" s="55">
        <v>87</v>
      </c>
      <c r="V47" s="55" t="s">
        <v>129</v>
      </c>
      <c r="W47" s="55">
        <v>114</v>
      </c>
      <c r="X47" s="55" t="s">
        <v>129</v>
      </c>
      <c r="Y47" s="55">
        <v>0</v>
      </c>
      <c r="Z47" s="55" t="s">
        <v>129</v>
      </c>
      <c r="AA47" s="55" t="s">
        <v>129</v>
      </c>
      <c r="AB47" s="55" t="s">
        <v>129</v>
      </c>
      <c r="AC47" s="55" t="s">
        <v>129</v>
      </c>
      <c r="AD47" s="55" t="s">
        <v>129</v>
      </c>
      <c r="AE47" s="55" t="s">
        <v>129</v>
      </c>
      <c r="AF47" s="55" t="s">
        <v>129</v>
      </c>
      <c r="AG47" s="55" t="s">
        <v>129</v>
      </c>
      <c r="AH47" s="55" t="s">
        <v>129</v>
      </c>
      <c r="AI47" s="55">
        <v>13</v>
      </c>
      <c r="AJ47" s="55" t="s">
        <v>129</v>
      </c>
      <c r="AK47" s="55">
        <v>145</v>
      </c>
      <c r="AL47" s="55" t="s">
        <v>129</v>
      </c>
      <c r="AM47" s="55">
        <v>10</v>
      </c>
      <c r="AN47" s="55" t="s">
        <v>129</v>
      </c>
      <c r="AO47" s="55">
        <v>0</v>
      </c>
      <c r="AP47" s="55" t="s">
        <v>129</v>
      </c>
      <c r="AQ47" s="55" t="s">
        <v>129</v>
      </c>
      <c r="AR47" s="55" t="s">
        <v>129</v>
      </c>
      <c r="AS47" s="55" t="s">
        <v>129</v>
      </c>
      <c r="AT47" s="55" t="s">
        <v>129</v>
      </c>
      <c r="AU47" s="55" t="s">
        <v>129</v>
      </c>
      <c r="AV47" s="55" t="s">
        <v>129</v>
      </c>
      <c r="AW47" s="55" t="s">
        <v>129</v>
      </c>
      <c r="AX47" s="55" t="s">
        <v>129</v>
      </c>
      <c r="AY47" s="55">
        <v>93</v>
      </c>
      <c r="AZ47" s="55" t="s">
        <v>129</v>
      </c>
      <c r="BA47" s="55">
        <v>89</v>
      </c>
      <c r="BB47" s="55" t="s">
        <v>129</v>
      </c>
      <c r="BC47" s="55">
        <v>13</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134</v>
      </c>
      <c r="B48" s="55" t="s">
        <v>129</v>
      </c>
      <c r="C48" s="55">
        <v>102</v>
      </c>
      <c r="D48" s="55" t="s">
        <v>129</v>
      </c>
      <c r="E48" s="55">
        <v>112</v>
      </c>
      <c r="F48" s="55" t="s">
        <v>129</v>
      </c>
      <c r="G48" s="55">
        <v>64</v>
      </c>
      <c r="H48" s="55" t="s">
        <v>129</v>
      </c>
      <c r="I48" s="55">
        <v>0</v>
      </c>
      <c r="J48" s="55" t="s">
        <v>129</v>
      </c>
      <c r="K48" s="55" t="s">
        <v>129</v>
      </c>
      <c r="L48" s="55" t="s">
        <v>129</v>
      </c>
      <c r="M48" s="55" t="s">
        <v>129</v>
      </c>
      <c r="N48" s="55" t="s">
        <v>129</v>
      </c>
      <c r="O48" s="55" t="s">
        <v>129</v>
      </c>
      <c r="P48" s="55" t="s">
        <v>129</v>
      </c>
      <c r="Q48" s="55" t="s">
        <v>129</v>
      </c>
      <c r="R48" s="55" t="s">
        <v>129</v>
      </c>
      <c r="S48" s="55">
        <v>13</v>
      </c>
      <c r="T48" s="55" t="s">
        <v>129</v>
      </c>
      <c r="U48" s="55">
        <v>99</v>
      </c>
      <c r="V48" s="55" t="s">
        <v>129</v>
      </c>
      <c r="W48" s="55">
        <v>105</v>
      </c>
      <c r="X48" s="55" t="s">
        <v>129</v>
      </c>
      <c r="Y48" s="55">
        <v>0</v>
      </c>
      <c r="Z48" s="55" t="s">
        <v>129</v>
      </c>
      <c r="AA48" s="55" t="s">
        <v>129</v>
      </c>
      <c r="AB48" s="55" t="s">
        <v>129</v>
      </c>
      <c r="AC48" s="55" t="s">
        <v>129</v>
      </c>
      <c r="AD48" s="55" t="s">
        <v>129</v>
      </c>
      <c r="AE48" s="55" t="s">
        <v>129</v>
      </c>
      <c r="AF48" s="55" t="s">
        <v>129</v>
      </c>
      <c r="AG48" s="55" t="s">
        <v>129</v>
      </c>
      <c r="AH48" s="55" t="s">
        <v>129</v>
      </c>
      <c r="AI48" s="55">
        <v>18</v>
      </c>
      <c r="AJ48" s="55" t="s">
        <v>129</v>
      </c>
      <c r="AK48" s="55">
        <v>156</v>
      </c>
      <c r="AL48" s="55" t="s">
        <v>129</v>
      </c>
      <c r="AM48" s="55">
        <v>18</v>
      </c>
      <c r="AN48" s="55" t="s">
        <v>129</v>
      </c>
      <c r="AO48" s="55">
        <v>0</v>
      </c>
      <c r="AP48" s="55" t="s">
        <v>129</v>
      </c>
      <c r="AQ48" s="55" t="s">
        <v>129</v>
      </c>
      <c r="AR48" s="55" t="s">
        <v>129</v>
      </c>
      <c r="AS48" s="55" t="s">
        <v>129</v>
      </c>
      <c r="AT48" s="55" t="s">
        <v>129</v>
      </c>
      <c r="AU48" s="55" t="s">
        <v>129</v>
      </c>
      <c r="AV48" s="55" t="s">
        <v>129</v>
      </c>
      <c r="AW48" s="55" t="s">
        <v>129</v>
      </c>
      <c r="AX48" s="55" t="s">
        <v>129</v>
      </c>
      <c r="AY48" s="55">
        <v>95</v>
      </c>
      <c r="AZ48" s="55" t="s">
        <v>129</v>
      </c>
      <c r="BA48" s="55">
        <v>56</v>
      </c>
      <c r="BB48" s="55" t="s">
        <v>129</v>
      </c>
      <c r="BC48" s="55">
        <v>17</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133</v>
      </c>
      <c r="B49" s="55" t="s">
        <v>129</v>
      </c>
      <c r="C49" s="55">
        <v>88</v>
      </c>
      <c r="D49" s="55" t="s">
        <v>129</v>
      </c>
      <c r="E49" s="55">
        <v>95</v>
      </c>
      <c r="F49" s="55" t="s">
        <v>129</v>
      </c>
      <c r="G49" s="55">
        <v>76</v>
      </c>
      <c r="H49" s="55" t="s">
        <v>129</v>
      </c>
      <c r="I49" s="55">
        <v>0</v>
      </c>
      <c r="J49" s="55" t="s">
        <v>129</v>
      </c>
      <c r="K49" s="55" t="s">
        <v>129</v>
      </c>
      <c r="L49" s="55" t="s">
        <v>129</v>
      </c>
      <c r="M49" s="55" t="s">
        <v>129</v>
      </c>
      <c r="N49" s="55" t="s">
        <v>129</v>
      </c>
      <c r="O49" s="55" t="s">
        <v>129</v>
      </c>
      <c r="P49" s="55" t="s">
        <v>129</v>
      </c>
      <c r="Q49" s="55" t="s">
        <v>129</v>
      </c>
      <c r="R49" s="55" t="s">
        <v>129</v>
      </c>
      <c r="S49" s="55">
        <v>15</v>
      </c>
      <c r="T49" s="55" t="s">
        <v>129</v>
      </c>
      <c r="U49" s="55">
        <v>70</v>
      </c>
      <c r="V49" s="55" t="s">
        <v>129</v>
      </c>
      <c r="W49" s="55">
        <v>105</v>
      </c>
      <c r="X49" s="55" t="s">
        <v>129</v>
      </c>
      <c r="Y49" s="55">
        <v>0</v>
      </c>
      <c r="Z49" s="55" t="s">
        <v>129</v>
      </c>
      <c r="AA49" s="55" t="s">
        <v>129</v>
      </c>
      <c r="AB49" s="55" t="s">
        <v>129</v>
      </c>
      <c r="AC49" s="55" t="s">
        <v>129</v>
      </c>
      <c r="AD49" s="55" t="s">
        <v>129</v>
      </c>
      <c r="AE49" s="55" t="s">
        <v>129</v>
      </c>
      <c r="AF49" s="55" t="s">
        <v>129</v>
      </c>
      <c r="AG49" s="55" t="s">
        <v>129</v>
      </c>
      <c r="AH49" s="55" t="s">
        <v>129</v>
      </c>
      <c r="AI49" s="55">
        <v>13</v>
      </c>
      <c r="AJ49" s="55" t="s">
        <v>129</v>
      </c>
      <c r="AK49" s="55">
        <v>170</v>
      </c>
      <c r="AL49" s="55" t="s">
        <v>129</v>
      </c>
      <c r="AM49" s="55">
        <v>16</v>
      </c>
      <c r="AN49" s="55" t="s">
        <v>129</v>
      </c>
      <c r="AO49" s="55">
        <v>0</v>
      </c>
      <c r="AP49" s="55" t="s">
        <v>129</v>
      </c>
      <c r="AQ49" s="55" t="s">
        <v>129</v>
      </c>
      <c r="AR49" s="55" t="s">
        <v>129</v>
      </c>
      <c r="AS49" s="55" t="s">
        <v>129</v>
      </c>
      <c r="AT49" s="55" t="s">
        <v>129</v>
      </c>
      <c r="AU49" s="55" t="s">
        <v>129</v>
      </c>
      <c r="AV49" s="55" t="s">
        <v>129</v>
      </c>
      <c r="AW49" s="55" t="s">
        <v>129</v>
      </c>
      <c r="AX49" s="55" t="s">
        <v>129</v>
      </c>
      <c r="AY49" s="55">
        <v>89</v>
      </c>
      <c r="AZ49" s="55" t="s">
        <v>129</v>
      </c>
      <c r="BA49" s="55">
        <v>69</v>
      </c>
      <c r="BB49" s="55" t="s">
        <v>129</v>
      </c>
      <c r="BC49" s="55">
        <v>17</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132</v>
      </c>
      <c r="B50" s="55" t="s">
        <v>129</v>
      </c>
      <c r="C50" s="55">
        <v>85</v>
      </c>
      <c r="D50" s="55" t="s">
        <v>129</v>
      </c>
      <c r="E50" s="55">
        <v>114</v>
      </c>
      <c r="F50" s="55" t="s">
        <v>129</v>
      </c>
      <c r="G50" s="55">
        <v>62</v>
      </c>
      <c r="H50" s="55" t="s">
        <v>129</v>
      </c>
      <c r="I50" s="55">
        <v>0</v>
      </c>
      <c r="J50" s="55" t="s">
        <v>129</v>
      </c>
      <c r="K50" s="55" t="s">
        <v>129</v>
      </c>
      <c r="L50" s="55" t="s">
        <v>129</v>
      </c>
      <c r="M50" s="55" t="s">
        <v>129</v>
      </c>
      <c r="N50" s="55" t="s">
        <v>129</v>
      </c>
      <c r="O50" s="55" t="s">
        <v>129</v>
      </c>
      <c r="P50" s="55" t="s">
        <v>129</v>
      </c>
      <c r="Q50" s="55" t="s">
        <v>129</v>
      </c>
      <c r="R50" s="55" t="s">
        <v>129</v>
      </c>
      <c r="S50" s="55">
        <v>12</v>
      </c>
      <c r="T50" s="55" t="s">
        <v>129</v>
      </c>
      <c r="U50" s="55">
        <v>46</v>
      </c>
      <c r="V50" s="55" t="s">
        <v>129</v>
      </c>
      <c r="W50" s="55">
        <v>63</v>
      </c>
      <c r="X50" s="55" t="s">
        <v>129</v>
      </c>
      <c r="Y50" s="55">
        <v>0</v>
      </c>
      <c r="Z50" s="55" t="s">
        <v>129</v>
      </c>
      <c r="AA50" s="55" t="s">
        <v>129</v>
      </c>
      <c r="AB50" s="55" t="s">
        <v>129</v>
      </c>
      <c r="AC50" s="55" t="s">
        <v>129</v>
      </c>
      <c r="AD50" s="55" t="s">
        <v>129</v>
      </c>
      <c r="AE50" s="55" t="s">
        <v>129</v>
      </c>
      <c r="AF50" s="55" t="s">
        <v>129</v>
      </c>
      <c r="AG50" s="55" t="s">
        <v>129</v>
      </c>
      <c r="AH50" s="55" t="s">
        <v>129</v>
      </c>
      <c r="AI50" s="55">
        <v>25</v>
      </c>
      <c r="AJ50" s="55" t="s">
        <v>129</v>
      </c>
      <c r="AK50" s="55">
        <v>108</v>
      </c>
      <c r="AL50" s="55" t="s">
        <v>129</v>
      </c>
      <c r="AM50" s="55">
        <v>13</v>
      </c>
      <c r="AN50" s="55" t="s">
        <v>129</v>
      </c>
      <c r="AO50" s="55">
        <v>0</v>
      </c>
      <c r="AP50" s="55" t="s">
        <v>129</v>
      </c>
      <c r="AQ50" s="55" t="s">
        <v>129</v>
      </c>
      <c r="AR50" s="55" t="s">
        <v>129</v>
      </c>
      <c r="AS50" s="55" t="s">
        <v>129</v>
      </c>
      <c r="AT50" s="55" t="s">
        <v>129</v>
      </c>
      <c r="AU50" s="55" t="s">
        <v>129</v>
      </c>
      <c r="AV50" s="55" t="s">
        <v>129</v>
      </c>
      <c r="AW50" s="55" t="s">
        <v>129</v>
      </c>
      <c r="AX50" s="55" t="s">
        <v>129</v>
      </c>
      <c r="AY50" s="55">
        <v>84</v>
      </c>
      <c r="AZ50" s="55" t="s">
        <v>129</v>
      </c>
      <c r="BA50" s="55">
        <v>70</v>
      </c>
      <c r="BB50" s="55" t="s">
        <v>129</v>
      </c>
      <c r="BC50" s="55">
        <v>20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131</v>
      </c>
      <c r="B51" s="55" t="s">
        <v>129</v>
      </c>
      <c r="C51" s="55">
        <v>56</v>
      </c>
      <c r="D51" s="55" t="s">
        <v>129</v>
      </c>
      <c r="E51" s="55">
        <v>69</v>
      </c>
      <c r="F51" s="55" t="s">
        <v>129</v>
      </c>
      <c r="G51" s="55">
        <v>68</v>
      </c>
      <c r="H51" s="55" t="s">
        <v>129</v>
      </c>
      <c r="I51" s="55">
        <v>0</v>
      </c>
      <c r="J51" s="55" t="s">
        <v>129</v>
      </c>
      <c r="K51" s="55" t="s">
        <v>129</v>
      </c>
      <c r="L51" s="55" t="s">
        <v>129</v>
      </c>
      <c r="M51" s="55" t="s">
        <v>129</v>
      </c>
      <c r="N51" s="55" t="s">
        <v>129</v>
      </c>
      <c r="O51" s="55" t="s">
        <v>129</v>
      </c>
      <c r="P51" s="55" t="s">
        <v>129</v>
      </c>
      <c r="Q51" s="55" t="s">
        <v>129</v>
      </c>
      <c r="R51" s="55" t="s">
        <v>129</v>
      </c>
      <c r="S51" s="55">
        <v>6</v>
      </c>
      <c r="T51" s="55" t="s">
        <v>129</v>
      </c>
      <c r="U51" s="55">
        <v>35</v>
      </c>
      <c r="V51" s="55" t="s">
        <v>129</v>
      </c>
      <c r="W51" s="55">
        <v>56</v>
      </c>
      <c r="X51" s="55" t="s">
        <v>129</v>
      </c>
      <c r="Y51" s="55">
        <v>0</v>
      </c>
      <c r="Z51" s="55" t="s">
        <v>129</v>
      </c>
      <c r="AA51" s="55" t="s">
        <v>129</v>
      </c>
      <c r="AB51" s="55" t="s">
        <v>129</v>
      </c>
      <c r="AC51" s="55" t="s">
        <v>129</v>
      </c>
      <c r="AD51" s="55" t="s">
        <v>129</v>
      </c>
      <c r="AE51" s="55" t="s">
        <v>129</v>
      </c>
      <c r="AF51" s="55" t="s">
        <v>129</v>
      </c>
      <c r="AG51" s="55" t="s">
        <v>129</v>
      </c>
      <c r="AH51" s="55" t="s">
        <v>129</v>
      </c>
      <c r="AI51" s="55">
        <v>13</v>
      </c>
      <c r="AJ51" s="55" t="s">
        <v>129</v>
      </c>
      <c r="AK51" s="55">
        <v>99</v>
      </c>
      <c r="AL51" s="55" t="s">
        <v>129</v>
      </c>
      <c r="AM51" s="55">
        <v>7</v>
      </c>
      <c r="AN51" s="55" t="s">
        <v>129</v>
      </c>
      <c r="AO51" s="55">
        <v>0</v>
      </c>
      <c r="AP51" s="55" t="s">
        <v>129</v>
      </c>
      <c r="AQ51" s="55" t="s">
        <v>129</v>
      </c>
      <c r="AR51" s="55" t="s">
        <v>129</v>
      </c>
      <c r="AS51" s="55" t="s">
        <v>129</v>
      </c>
      <c r="AT51" s="55" t="s">
        <v>129</v>
      </c>
      <c r="AU51" s="55" t="s">
        <v>129</v>
      </c>
      <c r="AV51" s="55" t="s">
        <v>129</v>
      </c>
      <c r="AW51" s="55" t="s">
        <v>129</v>
      </c>
      <c r="AX51" s="55" t="s">
        <v>129</v>
      </c>
      <c r="AY51" s="55">
        <v>98</v>
      </c>
      <c r="AZ51" s="55" t="s">
        <v>129</v>
      </c>
      <c r="BA51" s="55">
        <v>51</v>
      </c>
      <c r="BB51" s="55" t="s">
        <v>129</v>
      </c>
      <c r="BC51" s="55">
        <v>20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130</v>
      </c>
      <c r="B52" s="55" t="s">
        <v>129</v>
      </c>
      <c r="C52" s="55">
        <v>55</v>
      </c>
      <c r="D52" s="55" t="s">
        <v>129</v>
      </c>
      <c r="E52" s="55">
        <v>68</v>
      </c>
      <c r="F52" s="55" t="s">
        <v>129</v>
      </c>
      <c r="G52" s="55">
        <v>53</v>
      </c>
      <c r="H52" s="55" t="s">
        <v>129</v>
      </c>
      <c r="I52" s="55">
        <v>0</v>
      </c>
      <c r="J52" s="55" t="s">
        <v>129</v>
      </c>
      <c r="K52" s="55" t="s">
        <v>129</v>
      </c>
      <c r="L52" s="55" t="s">
        <v>129</v>
      </c>
      <c r="M52" s="55" t="s">
        <v>129</v>
      </c>
      <c r="N52" s="55" t="s">
        <v>129</v>
      </c>
      <c r="O52" s="55" t="s">
        <v>129</v>
      </c>
      <c r="P52" s="55" t="s">
        <v>129</v>
      </c>
      <c r="Q52" s="55" t="s">
        <v>129</v>
      </c>
      <c r="R52" s="55" t="s">
        <v>129</v>
      </c>
      <c r="S52" s="55">
        <v>7</v>
      </c>
      <c r="T52" s="55" t="s">
        <v>129</v>
      </c>
      <c r="U52" s="55">
        <v>46</v>
      </c>
      <c r="V52" s="55" t="s">
        <v>129</v>
      </c>
      <c r="W52" s="55">
        <v>43</v>
      </c>
      <c r="X52" s="55" t="s">
        <v>129</v>
      </c>
      <c r="Y52" s="55">
        <v>0</v>
      </c>
      <c r="Z52" s="55" t="s">
        <v>129</v>
      </c>
      <c r="AA52" s="55" t="s">
        <v>129</v>
      </c>
      <c r="AB52" s="55" t="s">
        <v>129</v>
      </c>
      <c r="AC52" s="55" t="s">
        <v>129</v>
      </c>
      <c r="AD52" s="55" t="s">
        <v>129</v>
      </c>
      <c r="AE52" s="55" t="s">
        <v>129</v>
      </c>
      <c r="AF52" s="55" t="s">
        <v>129</v>
      </c>
      <c r="AG52" s="55" t="s">
        <v>129</v>
      </c>
      <c r="AH52" s="55" t="s">
        <v>129</v>
      </c>
      <c r="AI52" s="55">
        <v>25</v>
      </c>
      <c r="AJ52" s="55" t="s">
        <v>129</v>
      </c>
      <c r="AK52" s="55">
        <v>85</v>
      </c>
      <c r="AL52" s="55" t="s">
        <v>129</v>
      </c>
      <c r="AM52" s="55">
        <v>7</v>
      </c>
      <c r="AN52" s="55" t="s">
        <v>129</v>
      </c>
      <c r="AO52" s="55">
        <v>0</v>
      </c>
      <c r="AP52" s="55" t="s">
        <v>129</v>
      </c>
      <c r="AQ52" s="55" t="s">
        <v>129</v>
      </c>
      <c r="AR52" s="55" t="s">
        <v>129</v>
      </c>
      <c r="AS52" s="55" t="s">
        <v>129</v>
      </c>
      <c r="AT52" s="55" t="s">
        <v>129</v>
      </c>
      <c r="AU52" s="55" t="s">
        <v>129</v>
      </c>
      <c r="AV52" s="55" t="s">
        <v>129</v>
      </c>
      <c r="AW52" s="55" t="s">
        <v>129</v>
      </c>
      <c r="AX52" s="55" t="s">
        <v>129</v>
      </c>
      <c r="AY52" s="55">
        <v>77</v>
      </c>
      <c r="AZ52" s="55" t="s">
        <v>129</v>
      </c>
      <c r="BA52" s="55">
        <v>57</v>
      </c>
      <c r="BB52" s="55" t="s">
        <v>129</v>
      </c>
      <c r="BC52" s="55">
        <v>17</v>
      </c>
      <c r="BD52" s="55" t="s">
        <v>129</v>
      </c>
      <c r="BE52" s="55">
        <v>0</v>
      </c>
      <c r="BF52" s="55" t="s">
        <v>129</v>
      </c>
      <c r="BG52" s="55" t="s">
        <v>129</v>
      </c>
      <c r="BH52" s="55" t="s">
        <v>129</v>
      </c>
      <c r="BI52" s="55" t="s">
        <v>129</v>
      </c>
      <c r="BJ52" s="55" t="s">
        <v>129</v>
      </c>
      <c r="BK52" s="55" t="s">
        <v>129</v>
      </c>
      <c r="BL52" s="55" t="s">
        <v>129</v>
      </c>
      <c r="BM52"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2022-06-21T22:47:19Z</dcterms:modified>
</cp:coreProperties>
</file>