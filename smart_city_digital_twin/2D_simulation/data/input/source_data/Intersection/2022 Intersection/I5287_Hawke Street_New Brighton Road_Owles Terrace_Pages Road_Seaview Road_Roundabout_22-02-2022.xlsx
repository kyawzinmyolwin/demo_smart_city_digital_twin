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0F7433BB-0EBA-48FF-AF94-956F6717A19F}"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26" i="6"/>
  <c r="Q202" i="6"/>
  <c r="Q162" i="6"/>
  <c r="Q106" i="6"/>
  <c r="Q90" i="6"/>
  <c r="Q50" i="6"/>
  <c r="Q280" i="6"/>
  <c r="Q268" i="6"/>
  <c r="Q216" i="6"/>
  <c r="Q177" i="6"/>
  <c r="Q140" i="6"/>
  <c r="Q88" i="6"/>
  <c r="Q76" i="6"/>
  <c r="Q41" i="6"/>
  <c r="Q276" i="6"/>
  <c r="Q110" i="6"/>
  <c r="Q71" i="6"/>
  <c r="Q300" i="6"/>
  <c r="Q190" i="6"/>
  <c r="Q73" i="6"/>
  <c r="Q48" i="6"/>
  <c r="Q302" i="6"/>
  <c r="Q263" i="6"/>
  <c r="Q238" i="6"/>
  <c r="Q199" i="6"/>
  <c r="Q135" i="6"/>
  <c r="Q96" i="6"/>
  <c r="Q5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406" i="4"/>
  <c r="I486" i="4"/>
  <c r="I566" i="4"/>
  <c r="I6" i="4"/>
  <c r="I86" i="4"/>
  <c r="I166" i="4"/>
  <c r="I246" i="4"/>
  <c r="I326" i="4"/>
  <c r="I346" i="4"/>
  <c r="I426" i="4"/>
  <c r="I506" i="4"/>
  <c r="I26" i="4"/>
  <c r="I106" i="4"/>
  <c r="I186" i="4"/>
  <c r="I266" i="4"/>
  <c r="I366" i="4"/>
  <c r="I446" i="4"/>
  <c r="I526" i="4"/>
  <c r="I46" i="4"/>
  <c r="I126" i="4"/>
  <c r="I206" i="4"/>
  <c r="I286" i="4"/>
  <c r="I386" i="4"/>
  <c r="I466" i="4"/>
  <c r="I546" i="4"/>
  <c r="I666" i="4"/>
  <c r="I746" i="4"/>
  <c r="I826" i="4"/>
  <c r="I986" i="4"/>
  <c r="I1066" i="4"/>
  <c r="I886" i="4"/>
  <c r="I866" i="4"/>
  <c r="I686" i="4"/>
  <c r="I766" i="4"/>
  <c r="I606" i="4"/>
  <c r="I1006" i="4"/>
  <c r="I926" i="4"/>
  <c r="I906" i="4"/>
  <c r="I1086" i="4"/>
  <c r="I586" i="4"/>
  <c r="I706" i="4"/>
  <c r="I786" i="4"/>
  <c r="I646" i="4"/>
  <c r="I1026" i="4"/>
  <c r="I1106" i="4"/>
  <c r="I966" i="4"/>
  <c r="I946" i="4"/>
  <c r="I1126" i="4"/>
  <c r="I1186" i="4"/>
  <c r="I626" i="4"/>
  <c r="I726" i="4"/>
  <c r="I806" i="4"/>
  <c r="I1046" i="4"/>
  <c r="I1146" i="4"/>
  <c r="I846" i="4"/>
  <c r="I1166" i="4"/>
  <c r="I18" i="4"/>
  <c r="I98" i="4"/>
  <c r="I178" i="4"/>
  <c r="I258" i="4"/>
  <c r="I338" i="4"/>
  <c r="I358" i="4"/>
  <c r="I438" i="4"/>
  <c r="I518" i="4"/>
  <c r="I38" i="4"/>
  <c r="I118" i="4"/>
  <c r="I198" i="4"/>
  <c r="I278" i="4"/>
  <c r="I378" i="4"/>
  <c r="I458" i="4"/>
  <c r="I538" i="4"/>
  <c r="I58" i="4"/>
  <c r="I138" i="4"/>
  <c r="I218" i="4"/>
  <c r="I298" i="4"/>
  <c r="I398" i="4"/>
  <c r="I478" i="4"/>
  <c r="I558" i="4"/>
  <c r="I78" i="4"/>
  <c r="I158" i="4"/>
  <c r="I238" i="4"/>
  <c r="I318" i="4"/>
  <c r="I418" i="4"/>
  <c r="I498" i="4"/>
  <c r="I578" i="4"/>
  <c r="I698" i="4"/>
  <c r="I778" i="4"/>
  <c r="I598" i="4"/>
  <c r="I1018" i="4"/>
  <c r="I918" i="4"/>
  <c r="I898" i="4"/>
  <c r="I1078" i="4"/>
  <c r="I718" i="4"/>
  <c r="I798" i="4"/>
  <c r="I638" i="4"/>
  <c r="I1038" i="4"/>
  <c r="I1098" i="4"/>
  <c r="I958" i="4"/>
  <c r="I938" i="4"/>
  <c r="I1118" i="4"/>
  <c r="I1178" i="4"/>
  <c r="I618" i="4"/>
  <c r="I738" i="4"/>
  <c r="I818" i="4"/>
  <c r="I978" i="4"/>
  <c r="I1058" i="4"/>
  <c r="I1138" i="4"/>
  <c r="I1158" i="4"/>
  <c r="I658" i="4"/>
  <c r="I678" i="4"/>
  <c r="I758" i="4"/>
  <c r="I838" i="4"/>
  <c r="I998" i="4"/>
  <c r="I878" i="4"/>
  <c r="I858" i="4"/>
  <c r="I1198" i="4"/>
  <c r="I63" i="4"/>
  <c r="I143" i="4"/>
  <c r="I223" i="4"/>
  <c r="I303" i="4"/>
  <c r="I403" i="4"/>
  <c r="I483" i="4"/>
  <c r="I563" i="4"/>
  <c r="I643" i="4"/>
  <c r="I3" i="4"/>
  <c r="I83" i="4"/>
  <c r="I163" i="4"/>
  <c r="I243" i="4"/>
  <c r="I323" i="4"/>
  <c r="I343" i="4"/>
  <c r="I423" i="4"/>
  <c r="I503" i="4"/>
  <c r="I583" i="4"/>
  <c r="I663" i="4"/>
  <c r="I23" i="4"/>
  <c r="I103" i="4"/>
  <c r="I183" i="4"/>
  <c r="I263" i="4"/>
  <c r="I363" i="4"/>
  <c r="I443" i="4"/>
  <c r="I523" i="4"/>
  <c r="I603" i="4"/>
  <c r="I43" i="4"/>
  <c r="I123" i="4"/>
  <c r="I203" i="4"/>
  <c r="I283" i="4"/>
  <c r="I383" i="4"/>
  <c r="I463" i="4"/>
  <c r="I543" i="4"/>
  <c r="I623" i="4"/>
  <c r="I703" i="4"/>
  <c r="I783" i="4"/>
  <c r="I863" i="4"/>
  <c r="I943" i="4"/>
  <c r="I1023" i="4"/>
  <c r="I1103" i="4"/>
  <c r="I1183" i="4"/>
  <c r="I723" i="4"/>
  <c r="I803" i="4"/>
  <c r="I883" i="4"/>
  <c r="I963" i="4"/>
  <c r="I1043" i="4"/>
  <c r="I1123" i="4"/>
  <c r="I743" i="4"/>
  <c r="I823" i="4"/>
  <c r="I903" i="4"/>
  <c r="I983" i="4"/>
  <c r="I1063" i="4"/>
  <c r="I1143" i="4"/>
  <c r="I683" i="4"/>
  <c r="I763" i="4"/>
  <c r="I843" i="4"/>
  <c r="I923" i="4"/>
  <c r="I1003" i="4"/>
  <c r="I1083" i="4"/>
  <c r="I1163" i="4"/>
  <c r="I5" i="4"/>
  <c r="I85" i="4"/>
  <c r="I165" i="4"/>
  <c r="I245" i="4"/>
  <c r="I345" i="4"/>
  <c r="I425" i="4"/>
  <c r="I505" i="4"/>
  <c r="I625" i="4"/>
  <c r="I725" i="4"/>
  <c r="I805" i="4"/>
  <c r="I25" i="4"/>
  <c r="I105" i="4"/>
  <c r="I185" i="4"/>
  <c r="I265" i="4"/>
  <c r="I325" i="4"/>
  <c r="I365" i="4"/>
  <c r="I445" i="4"/>
  <c r="I525" i="4"/>
  <c r="I665" i="4"/>
  <c r="I745" i="4"/>
  <c r="I825" i="4"/>
  <c r="I45" i="4"/>
  <c r="I125" i="4"/>
  <c r="I205" i="4"/>
  <c r="I285" i="4"/>
  <c r="I385" i="4"/>
  <c r="I465" i="4"/>
  <c r="I545" i="4"/>
  <c r="I685" i="4"/>
  <c r="I765" i="4"/>
  <c r="I65" i="4"/>
  <c r="I145" i="4"/>
  <c r="I225" i="4"/>
  <c r="I305" i="4"/>
  <c r="I405" i="4"/>
  <c r="I485" i="4"/>
  <c r="I565" i="4"/>
  <c r="I585" i="4"/>
  <c r="I705" i="4"/>
  <c r="I785" i="4"/>
  <c r="I645" i="4"/>
  <c r="I845" i="4"/>
  <c r="I945" i="4"/>
  <c r="I1045" i="4"/>
  <c r="I1125" i="4"/>
  <c r="I885" i="4"/>
  <c r="I985" i="4"/>
  <c r="I1065" i="4"/>
  <c r="I1145" i="4"/>
  <c r="I925" i="4"/>
  <c r="I865" i="4"/>
  <c r="I1005" i="4"/>
  <c r="I1085" i="4"/>
  <c r="I1165" i="4"/>
  <c r="I605" i="4"/>
  <c r="I965" i="4"/>
  <c r="I905" i="4"/>
  <c r="I1025" i="4"/>
  <c r="I1105" i="4"/>
  <c r="I1185" i="4"/>
  <c r="I53" i="4"/>
  <c r="I133" i="4"/>
  <c r="I213" i="4"/>
  <c r="I293" i="4"/>
  <c r="I393" i="4"/>
  <c r="I473" i="4"/>
  <c r="I553" i="4"/>
  <c r="I593" i="4"/>
  <c r="I693" i="4"/>
  <c r="I773" i="4"/>
  <c r="I73" i="4"/>
  <c r="I153" i="4"/>
  <c r="I233" i="4"/>
  <c r="I313" i="4"/>
  <c r="I413" i="4"/>
  <c r="I493" i="4"/>
  <c r="I573" i="4"/>
  <c r="I633" i="4"/>
  <c r="I713" i="4"/>
  <c r="I793" i="4"/>
  <c r="I13" i="4"/>
  <c r="I93" i="4"/>
  <c r="I173" i="4"/>
  <c r="I253" i="4"/>
  <c r="I333" i="4"/>
  <c r="I353" i="4"/>
  <c r="I433" i="4"/>
  <c r="I513" i="4"/>
  <c r="I733" i="4"/>
  <c r="I813" i="4"/>
  <c r="I33" i="4"/>
  <c r="I113" i="4"/>
  <c r="I193" i="4"/>
  <c r="I273" i="4"/>
  <c r="I373" i="4"/>
  <c r="I453" i="4"/>
  <c r="I533" i="4"/>
  <c r="I673" i="4"/>
  <c r="I753" i="4"/>
  <c r="I613" i="4"/>
  <c r="I913" i="4"/>
  <c r="I1013" i="4"/>
  <c r="I1093" i="4"/>
  <c r="I1173" i="4"/>
  <c r="I833" i="4"/>
  <c r="I653" i="4"/>
  <c r="I853" i="4"/>
  <c r="I953" i="4"/>
  <c r="I1033" i="4"/>
  <c r="I1113" i="4"/>
  <c r="I1193" i="4"/>
  <c r="I893" i="4"/>
  <c r="I973" i="4"/>
  <c r="I1053" i="4"/>
  <c r="I1133" i="4"/>
  <c r="I933" i="4"/>
  <c r="I873" i="4"/>
  <c r="I993" i="4"/>
  <c r="I1073" i="4"/>
  <c r="I1153" i="4"/>
  <c r="I50" i="4"/>
  <c r="I130" i="4"/>
  <c r="I210" i="4"/>
  <c r="I290" i="4"/>
  <c r="I390" i="4"/>
  <c r="I470" i="4"/>
  <c r="I550" i="4"/>
  <c r="I70" i="4"/>
  <c r="I150" i="4"/>
  <c r="I230" i="4"/>
  <c r="I310" i="4"/>
  <c r="I410" i="4"/>
  <c r="I490" i="4"/>
  <c r="I570" i="4"/>
  <c r="I10" i="4"/>
  <c r="I90" i="4"/>
  <c r="I170" i="4"/>
  <c r="I250" i="4"/>
  <c r="I330" i="4"/>
  <c r="I350" i="4"/>
  <c r="I430" i="4"/>
  <c r="I510" i="4"/>
  <c r="I30" i="4"/>
  <c r="I110" i="4"/>
  <c r="I190" i="4"/>
  <c r="I270" i="4"/>
  <c r="I370" i="4"/>
  <c r="I450" i="4"/>
  <c r="I530" i="4"/>
  <c r="I730" i="4"/>
  <c r="I810" i="4"/>
  <c r="I630" i="4"/>
  <c r="I970" i="4"/>
  <c r="I1050" i="4"/>
  <c r="I1090" i="4"/>
  <c r="I950" i="4"/>
  <c r="I930" i="4"/>
  <c r="I1110" i="4"/>
  <c r="I610" i="4"/>
  <c r="I670" i="4"/>
  <c r="I750" i="4"/>
  <c r="I830" i="4"/>
  <c r="I990" i="4"/>
  <c r="I1070" i="4"/>
  <c r="I1130" i="4"/>
  <c r="I1150" i="4"/>
  <c r="I650" i="4"/>
  <c r="I690" i="4"/>
  <c r="I770" i="4"/>
  <c r="I1010" i="4"/>
  <c r="I1170" i="4"/>
  <c r="I870" i="4"/>
  <c r="I850" i="4"/>
  <c r="I1190" i="4"/>
  <c r="I710" i="4"/>
  <c r="I790" i="4"/>
  <c r="I590" i="4"/>
  <c r="I1030" i="4"/>
  <c r="I910" i="4"/>
  <c r="I890" i="4"/>
  <c r="I47" i="4"/>
  <c r="I127" i="4"/>
  <c r="I207" i="4"/>
  <c r="I287" i="4"/>
  <c r="I387" i="4"/>
  <c r="I467" i="4"/>
  <c r="I547" i="4"/>
  <c r="I627" i="4"/>
  <c r="I67" i="4"/>
  <c r="I147" i="4"/>
  <c r="I227" i="4"/>
  <c r="I307" i="4"/>
  <c r="I407" i="4"/>
  <c r="I487" i="4"/>
  <c r="I567" i="4"/>
  <c r="I647" i="4"/>
  <c r="I7" i="4"/>
  <c r="I87" i="4"/>
  <c r="I167" i="4"/>
  <c r="I247" i="4"/>
  <c r="I327" i="4"/>
  <c r="I347" i="4"/>
  <c r="I427" i="4"/>
  <c r="I507" i="4"/>
  <c r="I587" i="4"/>
  <c r="I27" i="4"/>
  <c r="I107" i="4"/>
  <c r="I187" i="4"/>
  <c r="I267" i="4"/>
  <c r="I367" i="4"/>
  <c r="I447" i="4"/>
  <c r="I527" i="4"/>
  <c r="I607" i="4"/>
  <c r="I687" i="4"/>
  <c r="I767" i="4"/>
  <c r="I847" i="4"/>
  <c r="I927" i="4"/>
  <c r="I1007" i="4"/>
  <c r="I1087" i="4"/>
  <c r="I1167" i="4"/>
  <c r="I707" i="4"/>
  <c r="I787" i="4"/>
  <c r="I867" i="4"/>
  <c r="I947" i="4"/>
  <c r="I1027" i="4"/>
  <c r="I1107" i="4"/>
  <c r="I1187" i="4"/>
  <c r="I727" i="4"/>
  <c r="I807" i="4"/>
  <c r="I887" i="4"/>
  <c r="I967" i="4"/>
  <c r="I1047" i="4"/>
  <c r="I1127" i="4"/>
  <c r="I667" i="4"/>
  <c r="I747" i="4"/>
  <c r="I827" i="4"/>
  <c r="I907" i="4"/>
  <c r="I987" i="4"/>
  <c r="I1067" i="4"/>
  <c r="I1147" i="4"/>
  <c r="I60" i="4"/>
  <c r="I140" i="4"/>
  <c r="I220" i="4"/>
  <c r="I400" i="4"/>
  <c r="I480" i="4"/>
  <c r="I560" i="4"/>
  <c r="I640" i="4"/>
  <c r="I80" i="4"/>
  <c r="I160" i="4"/>
  <c r="I240" i="4"/>
  <c r="I320" i="4"/>
  <c r="I340" i="4"/>
  <c r="I420" i="4"/>
  <c r="I500" i="4"/>
  <c r="I580" i="4"/>
  <c r="I660" i="4"/>
  <c r="I20" i="4"/>
  <c r="I100" i="4"/>
  <c r="I180" i="4"/>
  <c r="I260" i="4"/>
  <c r="I360" i="4"/>
  <c r="I440" i="4"/>
  <c r="I520" i="4"/>
  <c r="I600" i="4"/>
  <c r="I40" i="4"/>
  <c r="I120" i="4"/>
  <c r="I200" i="4"/>
  <c r="I280" i="4"/>
  <c r="I300" i="4"/>
  <c r="I380" i="4"/>
  <c r="I460" i="4"/>
  <c r="I540" i="4"/>
  <c r="I620" i="4"/>
  <c r="I680" i="4"/>
  <c r="I760" i="4"/>
  <c r="I840" i="4"/>
  <c r="I920" i="4"/>
  <c r="I1100" i="4"/>
  <c r="I1020" i="4"/>
  <c r="I700" i="4"/>
  <c r="I780" i="4"/>
  <c r="I860" i="4"/>
  <c r="I940" i="4"/>
  <c r="I1040" i="4"/>
  <c r="I1180" i="4"/>
  <c r="I720" i="4"/>
  <c r="I800" i="4"/>
  <c r="I880" i="4"/>
  <c r="I960" i="4"/>
  <c r="I980" i="4"/>
  <c r="I1060" i="4"/>
  <c r="I1080" i="4"/>
  <c r="I1140" i="4"/>
  <c r="I740" i="4"/>
  <c r="I820" i="4"/>
  <c r="I900" i="4"/>
  <c r="I1160" i="4"/>
  <c r="I1000" i="4"/>
  <c r="I1120" i="4"/>
  <c r="I1200" i="4"/>
  <c r="I2" i="4"/>
  <c r="I82" i="4"/>
  <c r="I162" i="4"/>
  <c r="I242" i="4"/>
  <c r="I322" i="4"/>
  <c r="I342" i="4"/>
  <c r="I422" i="4"/>
  <c r="I502" i="4"/>
  <c r="I582" i="4"/>
  <c r="I22" i="4"/>
  <c r="I102" i="4"/>
  <c r="I182" i="4"/>
  <c r="I262" i="4"/>
  <c r="I362" i="4"/>
  <c r="I442" i="4"/>
  <c r="I522" i="4"/>
  <c r="I42" i="4"/>
  <c r="I122" i="4"/>
  <c r="I202" i="4"/>
  <c r="I282" i="4"/>
  <c r="I382" i="4"/>
  <c r="I462" i="4"/>
  <c r="I542" i="4"/>
  <c r="I62" i="4"/>
  <c r="I142" i="4"/>
  <c r="I222" i="4"/>
  <c r="I302" i="4"/>
  <c r="I402" i="4"/>
  <c r="I482" i="4"/>
  <c r="I562" i="4"/>
  <c r="I602" i="4"/>
  <c r="I682" i="4"/>
  <c r="I762" i="4"/>
  <c r="I842" i="4"/>
  <c r="I662" i="4"/>
  <c r="I1002" i="4"/>
  <c r="I1122" i="4"/>
  <c r="I962" i="4"/>
  <c r="I1142" i="4"/>
  <c r="I642" i="4"/>
  <c r="I702" i="4"/>
  <c r="I782" i="4"/>
  <c r="I1022" i="4"/>
  <c r="I1162" i="4"/>
  <c r="I862" i="4"/>
  <c r="I1182" i="4"/>
  <c r="I722" i="4"/>
  <c r="I802" i="4"/>
  <c r="I1042" i="4"/>
  <c r="I902" i="4"/>
  <c r="I882" i="4"/>
  <c r="I742" i="4"/>
  <c r="I822" i="4"/>
  <c r="I622" i="4"/>
  <c r="I982" i="4"/>
  <c r="I1062" i="4"/>
  <c r="I1082" i="4"/>
  <c r="I942" i="4"/>
  <c r="I922" i="4"/>
  <c r="I1102" i="4"/>
  <c r="I34" i="4"/>
  <c r="I114" i="4"/>
  <c r="I194" i="4"/>
  <c r="I274" i="4"/>
  <c r="I374" i="4"/>
  <c r="I454" i="4"/>
  <c r="I534" i="4"/>
  <c r="I54" i="4"/>
  <c r="I134" i="4"/>
  <c r="I214" i="4"/>
  <c r="I294" i="4"/>
  <c r="I394" i="4"/>
  <c r="I474" i="4"/>
  <c r="I554" i="4"/>
  <c r="I74" i="4"/>
  <c r="I154" i="4"/>
  <c r="I234" i="4"/>
  <c r="I314" i="4"/>
  <c r="I414" i="4"/>
  <c r="I494" i="4"/>
  <c r="I574" i="4"/>
  <c r="I14" i="4"/>
  <c r="I94" i="4"/>
  <c r="I174" i="4"/>
  <c r="I254" i="4"/>
  <c r="I334" i="4"/>
  <c r="I354" i="4"/>
  <c r="I434" i="4"/>
  <c r="I514" i="4"/>
  <c r="I634" i="4"/>
  <c r="I714" i="4"/>
  <c r="I794" i="4"/>
  <c r="I1034" i="4"/>
  <c r="I1154" i="4"/>
  <c r="I854" i="4"/>
  <c r="I1174" i="4"/>
  <c r="I734" i="4"/>
  <c r="I814" i="4"/>
  <c r="I974" i="4"/>
  <c r="I1054" i="4"/>
  <c r="I894" i="4"/>
  <c r="I874" i="4"/>
  <c r="I674" i="4"/>
  <c r="I754" i="4"/>
  <c r="I834" i="4"/>
  <c r="I614" i="4"/>
  <c r="I994" i="4"/>
  <c r="I1074" i="4"/>
  <c r="I934" i="4"/>
  <c r="I914" i="4"/>
  <c r="I1094" i="4"/>
  <c r="I594" i="4"/>
  <c r="I694" i="4"/>
  <c r="I774" i="4"/>
  <c r="I654" i="4"/>
  <c r="I1014" i="4"/>
  <c r="I1114" i="4"/>
  <c r="I954" i="4"/>
  <c r="I1134" i="4"/>
  <c r="I1194" i="4"/>
  <c r="I31" i="4"/>
  <c r="I111" i="4"/>
  <c r="I191" i="4"/>
  <c r="I271" i="4"/>
  <c r="I371" i="4"/>
  <c r="I451" i="4"/>
  <c r="I531" i="4"/>
  <c r="I611" i="4"/>
  <c r="I51" i="4"/>
  <c r="I131" i="4"/>
  <c r="I211" i="4"/>
  <c r="I291" i="4"/>
  <c r="I391" i="4"/>
  <c r="I471" i="4"/>
  <c r="I551" i="4"/>
  <c r="I631" i="4"/>
  <c r="I71" i="4"/>
  <c r="I151" i="4"/>
  <c r="I231" i="4"/>
  <c r="I311" i="4"/>
  <c r="I411" i="4"/>
  <c r="I491" i="4"/>
  <c r="I571" i="4"/>
  <c r="I651" i="4"/>
  <c r="I11" i="4"/>
  <c r="I91" i="4"/>
  <c r="I171" i="4"/>
  <c r="I251" i="4"/>
  <c r="I331" i="4"/>
  <c r="I351" i="4"/>
  <c r="I431" i="4"/>
  <c r="I511" i="4"/>
  <c r="I591" i="4"/>
  <c r="I671" i="4"/>
  <c r="I751" i="4"/>
  <c r="I831" i="4"/>
  <c r="I911" i="4"/>
  <c r="I991" i="4"/>
  <c r="I1071" i="4"/>
  <c r="I1151" i="4"/>
  <c r="I691" i="4"/>
  <c r="I771" i="4"/>
  <c r="I851" i="4"/>
  <c r="I931" i="4"/>
  <c r="I1011" i="4"/>
  <c r="I1091" i="4"/>
  <c r="I1171" i="4"/>
  <c r="I711" i="4"/>
  <c r="I791" i="4"/>
  <c r="I871" i="4"/>
  <c r="I951" i="4"/>
  <c r="I1031" i="4"/>
  <c r="I1111" i="4"/>
  <c r="I1191" i="4"/>
  <c r="I731" i="4"/>
  <c r="I811" i="4"/>
  <c r="I891" i="4"/>
  <c r="I971" i="4"/>
  <c r="I1051" i="4"/>
  <c r="I1131" i="4"/>
  <c r="I28" i="4"/>
  <c r="I108" i="4"/>
  <c r="I188" i="4"/>
  <c r="I268" i="4"/>
  <c r="I368" i="4"/>
  <c r="I448" i="4"/>
  <c r="I528" i="4"/>
  <c r="I608" i="4"/>
  <c r="I48" i="4"/>
  <c r="I128" i="4"/>
  <c r="I208" i="4"/>
  <c r="I288" i="4"/>
  <c r="I308" i="4"/>
  <c r="I388" i="4"/>
  <c r="I468" i="4"/>
  <c r="I548" i="4"/>
  <c r="I628" i="4"/>
  <c r="I68" i="4"/>
  <c r="I148" i="4"/>
  <c r="I228" i="4"/>
  <c r="I328" i="4"/>
  <c r="I408" i="4"/>
  <c r="I488" i="4"/>
  <c r="I568" i="4"/>
  <c r="I648" i="4"/>
  <c r="I8" i="4"/>
  <c r="I88" i="4"/>
  <c r="I168" i="4"/>
  <c r="I248" i="4"/>
  <c r="I348" i="4"/>
  <c r="I428" i="4"/>
  <c r="I508" i="4"/>
  <c r="I588" i="4"/>
  <c r="I728" i="4"/>
  <c r="I808" i="4"/>
  <c r="I888" i="4"/>
  <c r="I988" i="4"/>
  <c r="I1068" i="4"/>
  <c r="I1128" i="4"/>
  <c r="I1168" i="4"/>
  <c r="I668" i="4"/>
  <c r="I748" i="4"/>
  <c r="I828" i="4"/>
  <c r="I908" i="4"/>
  <c r="I1108" i="4"/>
  <c r="I1008" i="4"/>
  <c r="I688" i="4"/>
  <c r="I768" i="4"/>
  <c r="I848" i="4"/>
  <c r="I928" i="4"/>
  <c r="I1028" i="4"/>
  <c r="I1188" i="4"/>
  <c r="I708" i="4"/>
  <c r="I788" i="4"/>
  <c r="I868" i="4"/>
  <c r="I948" i="4"/>
  <c r="I968" i="4"/>
  <c r="I1048" i="4"/>
  <c r="I1088" i="4"/>
  <c r="I1148" i="4"/>
  <c r="I44" i="4"/>
  <c r="I124" i="4"/>
  <c r="I204" i="4"/>
  <c r="I284" i="4"/>
  <c r="I304" i="4"/>
  <c r="I384" i="4"/>
  <c r="I464" i="4"/>
  <c r="I544" i="4"/>
  <c r="I624" i="4"/>
  <c r="I64" i="4"/>
  <c r="I144" i="4"/>
  <c r="I224" i="4"/>
  <c r="I404" i="4"/>
  <c r="I484" i="4"/>
  <c r="I564" i="4"/>
  <c r="I644" i="4"/>
  <c r="I4" i="4"/>
  <c r="I84" i="4"/>
  <c r="I164" i="4"/>
  <c r="I244" i="4"/>
  <c r="I344" i="4"/>
  <c r="I424" i="4"/>
  <c r="I504" i="4"/>
  <c r="I584" i="4"/>
  <c r="I664" i="4"/>
  <c r="I24" i="4"/>
  <c r="I104" i="4"/>
  <c r="I184" i="4"/>
  <c r="I264" i="4"/>
  <c r="I324" i="4"/>
  <c r="I364" i="4"/>
  <c r="I444" i="4"/>
  <c r="I524" i="4"/>
  <c r="I604" i="4"/>
  <c r="I744" i="4"/>
  <c r="I824" i="4"/>
  <c r="I904" i="4"/>
  <c r="I1004" i="4"/>
  <c r="I684" i="4"/>
  <c r="I764" i="4"/>
  <c r="I844" i="4"/>
  <c r="I924" i="4"/>
  <c r="I1144" i="4"/>
  <c r="I1024" i="4"/>
  <c r="I1104" i="4"/>
  <c r="I1164" i="4"/>
  <c r="I1184" i="4"/>
  <c r="I704" i="4"/>
  <c r="I784" i="4"/>
  <c r="I864" i="4"/>
  <c r="I944" i="4"/>
  <c r="I1084" i="4"/>
  <c r="I1044" i="4"/>
  <c r="I724" i="4"/>
  <c r="I804" i="4"/>
  <c r="I884" i="4"/>
  <c r="I964" i="4"/>
  <c r="I1124" i="4"/>
  <c r="I984" i="4"/>
  <c r="I1064" i="4"/>
  <c r="I12" i="4"/>
  <c r="I92" i="4"/>
  <c r="I172" i="4"/>
  <c r="I252" i="4"/>
  <c r="I332" i="4"/>
  <c r="I352" i="4"/>
  <c r="I432" i="4"/>
  <c r="I512" i="4"/>
  <c r="I592" i="4"/>
  <c r="I32" i="4"/>
  <c r="I112" i="4"/>
  <c r="I192" i="4"/>
  <c r="I272" i="4"/>
  <c r="I372" i="4"/>
  <c r="I452" i="4"/>
  <c r="I532" i="4"/>
  <c r="I612" i="4"/>
  <c r="I52" i="4"/>
  <c r="I132" i="4"/>
  <c r="I212" i="4"/>
  <c r="I292" i="4"/>
  <c r="I312" i="4"/>
  <c r="I392" i="4"/>
  <c r="I472" i="4"/>
  <c r="I552" i="4"/>
  <c r="I632" i="4"/>
  <c r="I72" i="4"/>
  <c r="I152" i="4"/>
  <c r="I232" i="4"/>
  <c r="I412" i="4"/>
  <c r="I492" i="4"/>
  <c r="I572" i="4"/>
  <c r="I652" i="4"/>
  <c r="I712" i="4"/>
  <c r="I792" i="4"/>
  <c r="I872" i="4"/>
  <c r="I952" i="4"/>
  <c r="I972" i="4"/>
  <c r="I1052" i="4"/>
  <c r="I1172" i="4"/>
  <c r="I732" i="4"/>
  <c r="I812" i="4"/>
  <c r="I892" i="4"/>
  <c r="I992" i="4"/>
  <c r="I1072" i="4"/>
  <c r="I1132" i="4"/>
  <c r="I672" i="4"/>
  <c r="I752" i="4"/>
  <c r="I832" i="4"/>
  <c r="I912" i="4"/>
  <c r="I1152" i="4"/>
  <c r="I1012" i="4"/>
  <c r="I1112" i="4"/>
  <c r="I1192" i="4"/>
  <c r="I692" i="4"/>
  <c r="I772" i="4"/>
  <c r="I852" i="4"/>
  <c r="I932" i="4"/>
  <c r="I1092" i="4"/>
  <c r="I1032" i="4"/>
  <c r="I15" i="4"/>
  <c r="I95" i="4"/>
  <c r="I175" i="4"/>
  <c r="I255" i="4"/>
  <c r="I335" i="4"/>
  <c r="I355" i="4"/>
  <c r="I435" i="4"/>
  <c r="I515" i="4"/>
  <c r="I595" i="4"/>
  <c r="I35" i="4"/>
  <c r="I115" i="4"/>
  <c r="I195" i="4"/>
  <c r="I275" i="4"/>
  <c r="I375" i="4"/>
  <c r="I455" i="4"/>
  <c r="I535" i="4"/>
  <c r="I615" i="4"/>
  <c r="I55" i="4"/>
  <c r="I135" i="4"/>
  <c r="I215" i="4"/>
  <c r="I295" i="4"/>
  <c r="I395" i="4"/>
  <c r="I475" i="4"/>
  <c r="I555" i="4"/>
  <c r="I635" i="4"/>
  <c r="I75" i="4"/>
  <c r="I155" i="4"/>
  <c r="I235" i="4"/>
  <c r="I315" i="4"/>
  <c r="I415" i="4"/>
  <c r="I495" i="4"/>
  <c r="I575" i="4"/>
  <c r="I655" i="4"/>
  <c r="I735" i="4"/>
  <c r="I815" i="4"/>
  <c r="I895" i="4"/>
  <c r="I975" i="4"/>
  <c r="I1055" i="4"/>
  <c r="I1135" i="4"/>
  <c r="I675" i="4"/>
  <c r="I755" i="4"/>
  <c r="I835" i="4"/>
  <c r="I915" i="4"/>
  <c r="I995" i="4"/>
  <c r="I1075" i="4"/>
  <c r="I1155" i="4"/>
  <c r="I695" i="4"/>
  <c r="I775" i="4"/>
  <c r="I855" i="4"/>
  <c r="I935" i="4"/>
  <c r="I1015" i="4"/>
  <c r="I1095" i="4"/>
  <c r="I1175" i="4"/>
  <c r="I715" i="4"/>
  <c r="I795" i="4"/>
  <c r="I875" i="4"/>
  <c r="I955" i="4"/>
  <c r="I1035" i="4"/>
  <c r="I1115" i="4"/>
  <c r="I1195" i="4"/>
  <c r="I69" i="4"/>
  <c r="I149" i="4"/>
  <c r="I229" i="4"/>
  <c r="I309" i="4"/>
  <c r="I409" i="4"/>
  <c r="I489" i="4"/>
  <c r="I569" i="4"/>
  <c r="I709" i="4"/>
  <c r="I789" i="4"/>
  <c r="I9" i="4"/>
  <c r="I89" i="4"/>
  <c r="I169" i="4"/>
  <c r="I249" i="4"/>
  <c r="I349" i="4"/>
  <c r="I429" i="4"/>
  <c r="I509" i="4"/>
  <c r="I729" i="4"/>
  <c r="I809" i="4"/>
  <c r="I29" i="4"/>
  <c r="I109" i="4"/>
  <c r="I189" i="4"/>
  <c r="I269" i="4"/>
  <c r="I369" i="4"/>
  <c r="I449" i="4"/>
  <c r="I529" i="4"/>
  <c r="I609" i="4"/>
  <c r="I669" i="4"/>
  <c r="I749" i="4"/>
  <c r="I49" i="4"/>
  <c r="I129" i="4"/>
  <c r="I209" i="4"/>
  <c r="I289" i="4"/>
  <c r="I389" i="4"/>
  <c r="I469" i="4"/>
  <c r="I549" i="4"/>
  <c r="I329" i="4"/>
  <c r="I649" i="4"/>
  <c r="I689" i="4"/>
  <c r="I769" i="4"/>
  <c r="I829" i="4"/>
  <c r="I909" i="4"/>
  <c r="I849" i="4"/>
  <c r="I1029" i="4"/>
  <c r="I1109" i="4"/>
  <c r="I1189" i="4"/>
  <c r="I589" i="4"/>
  <c r="I949" i="4"/>
  <c r="I889" i="4"/>
  <c r="I969" i="4"/>
  <c r="I1049" i="4"/>
  <c r="I1129" i="4"/>
  <c r="I629" i="4"/>
  <c r="I929" i="4"/>
  <c r="I989" i="4"/>
  <c r="I1069" i="4"/>
  <c r="I1149" i="4"/>
  <c r="I869" i="4"/>
  <c r="I1009" i="4"/>
  <c r="I1089" i="4"/>
  <c r="I1169" i="4"/>
  <c r="I21" i="4"/>
  <c r="I101" i="4"/>
  <c r="I181" i="4"/>
  <c r="I261" i="4"/>
  <c r="I361" i="4"/>
  <c r="I441" i="4"/>
  <c r="I521" i="4"/>
  <c r="I741" i="4"/>
  <c r="I821" i="4"/>
  <c r="I41" i="4"/>
  <c r="I121" i="4"/>
  <c r="I201" i="4"/>
  <c r="I281" i="4"/>
  <c r="I381" i="4"/>
  <c r="I461" i="4"/>
  <c r="I541" i="4"/>
  <c r="I601" i="4"/>
  <c r="I681" i="4"/>
  <c r="I761" i="4"/>
  <c r="I841" i="4"/>
  <c r="I61" i="4"/>
  <c r="I141" i="4"/>
  <c r="I221" i="4"/>
  <c r="I301" i="4"/>
  <c r="I401" i="4"/>
  <c r="I481" i="4"/>
  <c r="I561" i="4"/>
  <c r="I321" i="4"/>
  <c r="I641" i="4"/>
  <c r="I701" i="4"/>
  <c r="I781" i="4"/>
  <c r="I81" i="4"/>
  <c r="I161" i="4"/>
  <c r="I241" i="4"/>
  <c r="I341" i="4"/>
  <c r="I421" i="4"/>
  <c r="I501" i="4"/>
  <c r="I581" i="4"/>
  <c r="I721" i="4"/>
  <c r="I801" i="4"/>
  <c r="I941" i="4"/>
  <c r="I881" i="4"/>
  <c r="I981" i="4"/>
  <c r="I1061" i="4"/>
  <c r="I1141" i="4"/>
  <c r="I621" i="4"/>
  <c r="I921" i="4"/>
  <c r="I1001" i="4"/>
  <c r="I1081" i="4"/>
  <c r="I1161" i="4"/>
  <c r="I661" i="4"/>
  <c r="I861" i="4"/>
  <c r="I961" i="4"/>
  <c r="I1021" i="4"/>
  <c r="I1101" i="4"/>
  <c r="I1181" i="4"/>
  <c r="I901" i="4"/>
  <c r="I1041" i="4"/>
  <c r="I1121" i="4"/>
  <c r="I1201" i="4"/>
  <c r="I37" i="4"/>
  <c r="I117" i="4"/>
  <c r="I197" i="4"/>
  <c r="I277" i="4"/>
  <c r="I377" i="4"/>
  <c r="I457" i="4"/>
  <c r="I537" i="4"/>
  <c r="I337" i="4"/>
  <c r="I657" i="4"/>
  <c r="I677" i="4"/>
  <c r="I757" i="4"/>
  <c r="I837" i="4"/>
  <c r="I57" i="4"/>
  <c r="I137" i="4"/>
  <c r="I217" i="4"/>
  <c r="I297" i="4"/>
  <c r="I397" i="4"/>
  <c r="I477" i="4"/>
  <c r="I557" i="4"/>
  <c r="I697" i="4"/>
  <c r="I777" i="4"/>
  <c r="I77" i="4"/>
  <c r="I157" i="4"/>
  <c r="I237" i="4"/>
  <c r="I317" i="4"/>
  <c r="I417" i="4"/>
  <c r="I497" i="4"/>
  <c r="I577" i="4"/>
  <c r="I717" i="4"/>
  <c r="I797" i="4"/>
  <c r="I17" i="4"/>
  <c r="I97" i="4"/>
  <c r="I177" i="4"/>
  <c r="I257" i="4"/>
  <c r="I357" i="4"/>
  <c r="I437" i="4"/>
  <c r="I517" i="4"/>
  <c r="I617" i="4"/>
  <c r="I737" i="4"/>
  <c r="I817" i="4"/>
  <c r="I877" i="4"/>
  <c r="I997" i="4"/>
  <c r="I1077" i="4"/>
  <c r="I1157" i="4"/>
  <c r="I917" i="4"/>
  <c r="I857" i="4"/>
  <c r="I1017" i="4"/>
  <c r="I1097" i="4"/>
  <c r="I1177" i="4"/>
  <c r="I597" i="4"/>
  <c r="I957" i="4"/>
  <c r="I897" i="4"/>
  <c r="I1037" i="4"/>
  <c r="I1117" i="4"/>
  <c r="I1197" i="4"/>
  <c r="I637" i="4"/>
  <c r="I937" i="4"/>
  <c r="I977" i="4"/>
  <c r="I1057" i="4"/>
  <c r="I1137" i="4"/>
  <c r="I76" i="4"/>
  <c r="I156" i="4"/>
  <c r="I236" i="4"/>
  <c r="I316" i="4"/>
  <c r="I416" i="4"/>
  <c r="I496" i="4"/>
  <c r="I576" i="4"/>
  <c r="I656" i="4"/>
  <c r="I16" i="4"/>
  <c r="I96" i="4"/>
  <c r="I176" i="4"/>
  <c r="I256" i="4"/>
  <c r="I356" i="4"/>
  <c r="I436" i="4"/>
  <c r="I516" i="4"/>
  <c r="I596" i="4"/>
  <c r="I36" i="4"/>
  <c r="I116" i="4"/>
  <c r="I196" i="4"/>
  <c r="I276" i="4"/>
  <c r="I376" i="4"/>
  <c r="I456" i="4"/>
  <c r="I536" i="4"/>
  <c r="I616" i="4"/>
  <c r="I56" i="4"/>
  <c r="I136" i="4"/>
  <c r="I216" i="4"/>
  <c r="I296" i="4"/>
  <c r="I336" i="4"/>
  <c r="I396" i="4"/>
  <c r="I476" i="4"/>
  <c r="I556" i="4"/>
  <c r="I636" i="4"/>
  <c r="I696" i="4"/>
  <c r="I776" i="4"/>
  <c r="I856" i="4"/>
  <c r="I936" i="4"/>
  <c r="I1136" i="4"/>
  <c r="I1036" i="4"/>
  <c r="I1096" i="4"/>
  <c r="I1156" i="4"/>
  <c r="I1176" i="4"/>
  <c r="I716" i="4"/>
  <c r="I796" i="4"/>
  <c r="I876" i="4"/>
  <c r="I956" i="4"/>
  <c r="I1076" i="4"/>
  <c r="I976" i="4"/>
  <c r="I1056" i="4"/>
  <c r="I736" i="4"/>
  <c r="I816" i="4"/>
  <c r="I896" i="4"/>
  <c r="I1116" i="4"/>
  <c r="I996" i="4"/>
  <c r="I676" i="4"/>
  <c r="I756" i="4"/>
  <c r="I836" i="4"/>
  <c r="I916" i="4"/>
  <c r="I1016" i="4"/>
  <c r="I1196" i="4"/>
  <c r="I79" i="4"/>
  <c r="I159" i="4"/>
  <c r="I239" i="4"/>
  <c r="I319" i="4"/>
  <c r="I419" i="4"/>
  <c r="I499" i="4"/>
  <c r="I579" i="4"/>
  <c r="I659" i="4"/>
  <c r="I19" i="4"/>
  <c r="I99" i="4"/>
  <c r="I179" i="4"/>
  <c r="I259" i="4"/>
  <c r="I339" i="4"/>
  <c r="I359" i="4"/>
  <c r="I439" i="4"/>
  <c r="I519" i="4"/>
  <c r="I599" i="4"/>
  <c r="I39" i="4"/>
  <c r="I119" i="4"/>
  <c r="I199" i="4"/>
  <c r="I279" i="4"/>
  <c r="I379" i="4"/>
  <c r="I459" i="4"/>
  <c r="I539" i="4"/>
  <c r="I619" i="4"/>
  <c r="I59" i="4"/>
  <c r="I139" i="4"/>
  <c r="I219" i="4"/>
  <c r="I299" i="4"/>
  <c r="I399" i="4"/>
  <c r="I479" i="4"/>
  <c r="I559" i="4"/>
  <c r="I639" i="4"/>
  <c r="I719" i="4"/>
  <c r="I799" i="4"/>
  <c r="I879" i="4"/>
  <c r="I959" i="4"/>
  <c r="I1039" i="4"/>
  <c r="I1119" i="4"/>
  <c r="I1199" i="4"/>
  <c r="I739" i="4"/>
  <c r="I819" i="4"/>
  <c r="I899" i="4"/>
  <c r="I979" i="4"/>
  <c r="I1059" i="4"/>
  <c r="I1139" i="4"/>
  <c r="I679" i="4"/>
  <c r="I759" i="4"/>
  <c r="I839" i="4"/>
  <c r="I919" i="4"/>
  <c r="I999" i="4"/>
  <c r="I1079" i="4"/>
  <c r="I1159" i="4"/>
  <c r="I699" i="4"/>
  <c r="I779" i="4"/>
  <c r="I859" i="4"/>
  <c r="I939" i="4"/>
  <c r="I1019" i="4"/>
  <c r="I1099" i="4"/>
  <c r="I11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<sst xmlns="http://schemas.openxmlformats.org/spreadsheetml/2006/main" count="10728" uniqueCount="194">
  <si>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</si>
  <si>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</si>
  <si>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</si>
  <si>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</si>
  <si>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</si>
  <si>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</si>
  <si>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</si>
  <si>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</si>
  <si>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</si>
  <si>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</si>
  <si>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</si>
  <si>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</si>
  <si>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</si>
  <si>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</si>
  <si>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</si>
  <si>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</si>
  <si>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</si>
  <si>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</si>
  <si>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</si>
  <si>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</si>
  <si>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</si>
  <si>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</si>
  <si>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</si>
  <si>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</si>
  <si>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</si>
  <si>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</si>
  <si>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</si>
  <si>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</si>
  <si>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</si>
  <si>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</si>
  <si>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</si>
  <si>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</si>
  <si>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</si>
  <si>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</si>
  <si>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</si>
  <si>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</si>
  <si>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</si>
  <si>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</si>
  <si>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</si>
  <si>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</si>
  <si>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</si>
  <si>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</si>
  <si>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</si>
  <si>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</si>
  <si>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</si>
  <si>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</si>
  <si>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</si>
  <si>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</si>
  <si>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</si>
  <si>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</si>
  <si>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</si>
  <si>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</si>
  <si>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</si>
  <si>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</si>
  <si>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</si>
  <si>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</si>
  <si>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</si>
  <si>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</si>
  <si>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</si>
  <si>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</si>
  <si>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</si>
  <si>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</si>
  <si>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</si>
  <si>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</si>
  <si>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</si>
  <si>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</si>
  <si>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</si>
  <si>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</si>
  <si>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</si>
  <si>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</si>
  <si>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</si>
  <si>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</si>
  <si>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</si>
  <si>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</si>
  <si>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</si>
  <si>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</si>
  <si>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</si>
  <si>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</si>
  <si>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</si>
  <si>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</si>
  <si>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</si>
  <si>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</si>
  <si>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</si>
  <si>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</si>
  <si>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</si>
  <si>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</si>
  <si>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</si>
  <si>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</si>
  <si>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</si>
  <si>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</si>
  <si>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</si>
  <si>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</si>
  <si>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</si>
  <si>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Hawke Street_New Brighton Road_Owles Terrace_Pages Road_Seaview Road_Roundabout</t>
  </si>
  <si>
    <t>Hawke Street North</t>
  </si>
  <si>
    <t>Seaview Street East</t>
  </si>
  <si>
    <t>Owles Terrace South</t>
  </si>
  <si>
    <t>Pages Road South-West</t>
  </si>
  <si>
    <t>New Brighton Road North-West</t>
  </si>
  <si>
    <t>Left into Seaview Street East</t>
  </si>
  <si>
    <t>Thru to Owles Terrace South</t>
  </si>
  <si>
    <t>Bear Right into Pages Road South-West</t>
  </si>
  <si>
    <t>Left into Owles Terrace South</t>
  </si>
  <si>
    <t>Bear Left into Pages Road South-West</t>
  </si>
  <si>
    <t>Right into Hawke Street North</t>
  </si>
  <si>
    <t>Hard Left into Pages Road South-West</t>
  </si>
  <si>
    <t>Thru to Hawke Street North</t>
  </si>
  <si>
    <t>Right into Seaview Street East</t>
  </si>
  <si>
    <t>Bear Left into Hawke Street North</t>
  </si>
  <si>
    <t>Bear Right into Seaview Road East</t>
  </si>
  <si>
    <t>Hard Right into Owles Terrace South</t>
  </si>
  <si>
    <t>Hard Left into Hawke Street North</t>
  </si>
  <si>
    <t>Bear Left into Seaview Road East</t>
  </si>
  <si>
    <t>Bear Right into Owles Terrace South</t>
  </si>
  <si>
    <t>Right into Pages Road South-West</t>
  </si>
  <si>
    <t>Hawke Street_New Brighton Road_Owles Terrace_Pages Road_Seaview Road_Roundabout      Fine      22/02/2022</t>
  </si>
  <si>
    <t>Hawke Street North Total</t>
  </si>
  <si>
    <t>Seaview Street East Total</t>
  </si>
  <si>
    <t>Owles Terrace South Total</t>
  </si>
  <si>
    <t>Pages Road South-West Total</t>
  </si>
  <si>
    <t>New Brighton Road North-West Total</t>
  </si>
  <si>
    <t>Left into Seaview Street East Total</t>
  </si>
  <si>
    <t>Thru to Owles Terrace South Total</t>
  </si>
  <si>
    <t>Bear Right into Pages Road South-West Total</t>
  </si>
  <si>
    <t>U-Turn Total</t>
  </si>
  <si>
    <t>Left into Owles Terrace South Total</t>
  </si>
  <si>
    <t>Bear Left into Pages Road South-West Total</t>
  </si>
  <si>
    <t>Right into Hawke Street North Total</t>
  </si>
  <si>
    <t>Hard Left into Pages Road South-West Total</t>
  </si>
  <si>
    <t>Thru to Hawke Street North Total</t>
  </si>
  <si>
    <t>Right into Seaview Street East Total</t>
  </si>
  <si>
    <t>Bear Left into Hawke Street North Total</t>
  </si>
  <si>
    <t>Bear Right into Seaview Road East Total</t>
  </si>
  <si>
    <t>Hard Right into Owles Terrace South Total</t>
  </si>
  <si>
    <t>Hard Left into Hawke Street North Total</t>
  </si>
  <si>
    <t>Bear Left into Seaview Road East Total</t>
  </si>
  <si>
    <t>Bear Right into Owles Terrace South Total</t>
  </si>
  <si>
    <t>Right into Pages Road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</si>
  <si>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</si>
  <si>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</si>
  <si>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</si>
  <si>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</si>
  <si>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</si>
  <si>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</si>
  <si>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</si>
  <si>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</si>
  <si>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</si>
  <si>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</si>
  <si>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</si>
  <si>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</si>
  <si>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</si>
  <si>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</si>
  <si>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</si>
  <si>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</si>
  <si>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</si>
  <si>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</si>
  <si>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</si>
  <si>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</si>
  <si>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</si>
  <si>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</si>
  <si>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</si>
  <si>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</si>
  <si>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</si>
  <si>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</si>
  <si>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</si>
  <si>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</si>
  <si>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</si>
  <si>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</si>
  <si>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</si>
  <si>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</si>
  <si>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</si>
  <si>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</si>
  <si>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</si>
  <si>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</si>
  <si>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</si>
  <si>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</si>
  <si>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New Brighton Rd</t>
  </si>
  <si>
    <t>n/a</t>
  </si>
  <si>
    <t>Pages Rd</t>
  </si>
  <si>
    <t>Owles Tce</t>
  </si>
  <si>
    <t>Seaview St</t>
  </si>
  <si>
    <t>Hawke St</t>
  </si>
  <si>
    <t>Lights</t>
  </si>
  <si>
    <t>Classification</t>
  </si>
  <si>
    <t>Road</t>
  </si>
  <si>
    <t>Type</t>
  </si>
  <si>
    <t>Project</t>
  </si>
  <si>
    <t>Site Code</t>
  </si>
  <si>
    <t>02/22/2022</t>
  </si>
  <si>
    <t>Start Date</t>
  </si>
  <si>
    <t>CCC I5287 Hawke St - New Brighton Rd - Owles Tce - Pages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</si>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</sst>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ADB77E9-395B-4126-AC79-40011EFF13F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[I5287_Hawke Street_New Brighton Road_Owles Terrace_Pages Road_Seaview Road_Roundabout_22-02-2022.xlsx]Graphs!pvtGraphApproach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Hawke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57</c:v>
                </c:pt>
                <c:pt idx="1">
                  <c:v>59</c:v>
                </c:pt>
                <c:pt idx="2">
                  <c:v>76</c:v>
                </c:pt>
                <c:pt idx="3">
                  <c:v>65</c:v>
                </c:pt>
                <c:pt idx="4">
                  <c:v>71</c:v>
                </c:pt>
                <c:pt idx="5">
                  <c:v>95</c:v>
                </c:pt>
                <c:pt idx="6">
                  <c:v>114</c:v>
                </c:pt>
                <c:pt idx="7">
                  <c:v>77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New Brighton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15</c:v>
                </c:pt>
                <c:pt idx="2">
                  <c:v>25</c:v>
                </c:pt>
                <c:pt idx="3">
                  <c:v>23</c:v>
                </c:pt>
                <c:pt idx="4">
                  <c:v>22</c:v>
                </c:pt>
                <c:pt idx="5">
                  <c:v>55</c:v>
                </c:pt>
                <c:pt idx="6">
                  <c:v>43</c:v>
                </c:pt>
                <c:pt idx="7">
                  <c:v>35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Owles Terrace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24</c:v>
                </c:pt>
                <c:pt idx="2">
                  <c:v>42</c:v>
                </c:pt>
                <c:pt idx="3">
                  <c:v>31</c:v>
                </c:pt>
                <c:pt idx="4">
                  <c:v>40</c:v>
                </c:pt>
                <c:pt idx="5">
                  <c:v>52</c:v>
                </c:pt>
                <c:pt idx="6">
                  <c:v>46</c:v>
                </c:pt>
                <c:pt idx="7">
                  <c:v>29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Pages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c:v>
                </c:pt>
                <c:pt idx="1">
                  <c:v>42</c:v>
                </c:pt>
                <c:pt idx="2">
                  <c:v>34</c:v>
                </c:pt>
                <c:pt idx="3">
                  <c:v>51</c:v>
                </c:pt>
                <c:pt idx="4">
                  <c:v>49</c:v>
                </c:pt>
                <c:pt idx="5">
                  <c:v>81</c:v>
                </c:pt>
                <c:pt idx="6">
                  <c:v>85</c:v>
                </c:pt>
                <c:pt idx="7">
                  <c:v>83</c:v>
                </c:pt>
              </c:numCache>
            </c:numRef>
          </c:val>
          <c:smooth val="0"/>
          <c:extLst>
            <c:ext xmlns:c16="http://schemas.microsoft.com/office/drawing/2014/chart" uri="{C3380CC4-5D6E-409C-BE32-E72D297353CC}">
              <c16:uniqueId val="{00000000-EA0A-4B6C-B076-1E312E0B5C2C}"/>
            </c:ext>
          </c:extLst>
        </c:ser>
        <c:ser>
          <c:idx val="4"/>
          <c:order val="4"/>
          <c:tx>
            <c:strRef>
              <c:f>GraphData!$E$4</c:f>
              <c:strCache>
                <c:ptCount val="1"/>
                <c:pt idx="0">
                  <c:v>Seaview Street East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c:v>
                </c:pt>
                <c:pt idx="1">
                  <c:v>7</c:v>
                </c:pt>
                <c:pt idx="2">
                  <c:v>11</c:v>
                </c:pt>
                <c:pt idx="3">
                  <c:v>12</c:v>
                </c:pt>
                <c:pt idx="4">
                  <c:v>15</c:v>
                </c:pt>
                <c:pt idx="5">
                  <c:v>15</c:v>
                </c:pt>
                <c:pt idx="6">
                  <c:v>30</c:v>
                </c:pt>
                <c:pt idx="7">
                  <c:v>12</c:v>
                </c:pt>
              </c:numCache>
            </c:numRef>
          </c:val>
          <c:smooth val="0"/>
          <c:extLst>
            <c:ext xmlns:c16="http://schemas.microsoft.com/office/drawing/2014/chart" uri="{C3380CC4-5D6E-409C-BE32-E72D297353CC}">
              <c16:uniqueId val="{00000001-EA0A-4B6C-B076-1E312E0B5C2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[I5287_Hawke Street_New Brighton Road_Owles Terrace_Pages Road_Seaview Road_Roundabout_22-02-2022.xlsx]Graphs!pvtGraphExit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Hawke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40</c:v>
                </c:pt>
                <c:pt idx="2">
                  <c:v>37</c:v>
                </c:pt>
                <c:pt idx="3">
                  <c:v>48</c:v>
                </c:pt>
                <c:pt idx="4">
                  <c:v>61</c:v>
                </c:pt>
                <c:pt idx="5">
                  <c:v>100</c:v>
                </c:pt>
                <c:pt idx="6">
                  <c:v>83</c:v>
                </c:pt>
                <c:pt idx="7">
                  <c:v>64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Owles Terrace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18</c:v>
                </c:pt>
                <c:pt idx="2">
                  <c:v>14</c:v>
                </c:pt>
                <c:pt idx="3">
                  <c:v>20</c:v>
                </c:pt>
                <c:pt idx="4">
                  <c:v>21</c:v>
                </c:pt>
                <c:pt idx="5">
                  <c:v>50</c:v>
                </c:pt>
                <c:pt idx="6">
                  <c:v>61</c:v>
                </c:pt>
                <c:pt idx="7">
                  <c:v>39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Pages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99</c:v>
                </c:pt>
                <c:pt idx="1">
                  <c:v>81</c:v>
                </c:pt>
                <c:pt idx="2">
                  <c:v>129</c:v>
                </c:pt>
                <c:pt idx="3">
                  <c:v>101</c:v>
                </c:pt>
                <c:pt idx="4">
                  <c:v>108</c:v>
                </c:pt>
                <c:pt idx="5">
                  <c:v>130</c:v>
                </c:pt>
                <c:pt idx="6">
                  <c:v>156</c:v>
                </c:pt>
                <c:pt idx="7">
                  <c:v>107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Seaview Street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c:v>
                </c:pt>
                <c:pt idx="1">
                  <c:v>8</c:v>
                </c:pt>
                <c:pt idx="2">
                  <c:v>8</c:v>
                </c:pt>
                <c:pt idx="3">
                  <c:v>13</c:v>
                </c:pt>
                <c:pt idx="4">
                  <c:v>7</c:v>
                </c:pt>
                <c:pt idx="5">
                  <c:v>18</c:v>
                </c:pt>
                <c:pt idx="6">
                  <c:v>18</c:v>
                </c:pt>
                <c:pt idx="7">
                  <c:v>26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[I5287_Hawke Street_New Brighton Road_Owles Terrace_Pages Road_Seaview Road_Roundabout_22-02-2022.xlsx]GraphData!PivotTable2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133</c:v>
                </c:pt>
                <c:pt idx="1">
                  <c:v>147</c:v>
                </c:pt>
                <c:pt idx="2">
                  <c:v>188</c:v>
                </c:pt>
                <c:pt idx="3">
                  <c:v>182</c:v>
                </c:pt>
                <c:pt idx="4">
                  <c:v>197</c:v>
                </c:pt>
                <c:pt idx="5">
                  <c:v>298</c:v>
                </c:pt>
                <c:pt idx="6">
                  <c:v>318</c:v>
                </c:pt>
                <c:pt idx="7">
                  <c:v>236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[I5287_Hawke Street_New Brighton Road_Owles Terrace_Pages Road_Seaview Road_Roundabout_22-02-2022.xlsx]PeakCalc!pvtPeak2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133</c:v>
                </c:pt>
                <c:pt idx="1">
                  <c:v>147</c:v>
                </c:pt>
                <c:pt idx="2">
                  <c:v>188</c:v>
                </c:pt>
                <c:pt idx="3">
                  <c:v>182</c:v>
                </c:pt>
                <c:pt idx="4">
                  <c:v>197</c:v>
                </c:pt>
                <c:pt idx="5">
                  <c:v>298</c:v>
                </c:pt>
                <c:pt idx="6">
                  <c:v>318</c:v>
                </c:pt>
                <c:pt idx="7">
                  <c:v>236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197</c:v>
                </c:pt>
                <c:pt idx="5">
                  <c:v>298</c:v>
                </c:pt>
                <c:pt idx="6">
                  <c:v>318</c:v>
                </c:pt>
                <c:pt idx="7">
                  <c:v>236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617059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732367</xdr:colOff>
      <xdr:row>5</xdr:row>
      <xdr:rowOff>3175</xdr:rowOff>
    </xdr:from>
    <xdr:to>
      <xdr:col>18</xdr:col>
      <xdr:colOff>726067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36749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3.65415937500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96"/>
    </cacheField>
    <cacheField name="Peak" numFmtId="0">
      <sharedItems containsSemiMixedTypes="0" containsString="0" containsNumber="1" containsInteger="1" minValue="0" maxValue="39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3.654266087964" createdVersion="5" refreshedVersion="7" minRefreshableVersion="3" recordCount="1200" xr:uid="{00000000-000A-0000-FFFF-FFFF01000000}">
  <cacheSource type="worksheet">
    <worksheetSource name="tblPivotData"/>
  </cacheSource>
  <cacheFields count="9">
    <cacheField name="Approach" numFmtId="0">
      <sharedItems count="8">
        <s v="Hawke Street North"/>
        <s v="Seaview Street East"/>
        <s v="Owles Terrace South"/>
        <s v="Pages Road South-West"/>
        <s v="New Brighton Road North-West"/>
        <s v="Great south Rd (North)" u="1"/>
        <s v="Great south Rd (South)" u="1"/>
        <s v="Grange Rd" u="1"/>
      </sharedItems>
    </cacheField>
    <cacheField name="Movement" numFmtId="0">
      <sharedItems count="25">
        <s v="Left into Seaview Street East"/>
        <s v="Thru to Owles Terrace South"/>
        <s v="Bear Right into Pages Road South-West"/>
        <s v="U-Turn"/>
        <s v="Left into Owles Terrace South"/>
        <s v="Bear Left into Pages Road South-West"/>
        <s v="Right into Hawke Street North"/>
        <s v="Hard Left into Pages Road South-West"/>
        <s v="Thru to Hawke Street North"/>
        <s v="Right into Seaview Street East"/>
        <s v="Bear Left into Hawke Street North"/>
        <s v="Bear Right into Seaview Road East"/>
        <s v="Hard Right into Owles Terrace South"/>
        <s v="Hard Left into Hawke Street North"/>
        <s v="Bear Left into Seaview Road East"/>
        <s v="Bear Right into Owles Terrace South"/>
        <s v="Right into Page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Seaview Street East"/>
        <s v="Owles Terrace South"/>
        <s v="Pages Road South-West"/>
        <s v="Hawke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1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33"/>
    <n v="0"/>
  </r>
  <r>
    <x v="0"/>
    <x v="1"/>
    <n v="147"/>
    <n v="0"/>
  </r>
  <r>
    <x v="0"/>
    <x v="2"/>
    <n v="188"/>
    <n v="0"/>
  </r>
  <r>
    <x v="0"/>
    <x v="3"/>
    <n v="182"/>
    <n v="0"/>
  </r>
  <r>
    <x v="0"/>
    <x v="4"/>
    <n v="197"/>
    <n v="197"/>
  </r>
  <r>
    <x v="0"/>
    <x v="5"/>
    <n v="298"/>
    <n v="298"/>
  </r>
  <r>
    <x v="0"/>
    <x v="6"/>
    <n v="318"/>
    <n v="318"/>
  </r>
  <r>
    <x v="0"/>
    <x v="7"/>
    <n v="236"/>
    <n v="236"/>
  </r>
  <r>
    <x v="1"/>
    <x v="8"/>
    <n v="227"/>
    <n v="227"/>
  </r>
  <r>
    <x v="1"/>
    <x v="9"/>
    <n v="242"/>
    <n v="242"/>
  </r>
  <r>
    <x v="1"/>
    <x v="10"/>
    <n v="222"/>
    <n v="222"/>
  </r>
  <r>
    <x v="1"/>
    <x v="11"/>
    <n v="208"/>
    <n v="208"/>
  </r>
  <r>
    <x v="2"/>
    <x v="12"/>
    <n v="329"/>
    <n v="0"/>
  </r>
  <r>
    <x v="2"/>
    <x v="13"/>
    <n v="328"/>
    <n v="0"/>
  </r>
  <r>
    <x v="2"/>
    <x v="14"/>
    <n v="357"/>
    <n v="0"/>
  </r>
  <r>
    <x v="2"/>
    <x v="15"/>
    <n v="349"/>
    <n v="349"/>
  </r>
  <r>
    <x v="2"/>
    <x v="16"/>
    <n v="396"/>
    <n v="396"/>
  </r>
  <r>
    <x v="2"/>
    <x v="17"/>
    <n v="350"/>
    <n v="350"/>
  </r>
  <r>
    <x v="2"/>
    <x v="18"/>
    <n v="386"/>
    <n v="386"/>
  </r>
  <r>
    <x v="2"/>
    <x v="19"/>
    <n v="32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x v="0"/>
    <n v="0"/>
    <x v="0"/>
    <x v="0"/>
  </r>
  <r>
    <x v="0"/>
    <x v="0"/>
    <x v="0"/>
    <x v="0"/>
    <x v="0"/>
    <x v="1"/>
    <n v="1"/>
    <x v="1"/>
    <x v="0"/>
  </r>
  <r>
    <x v="0"/>
    <x v="0"/>
    <x v="0"/>
    <x v="0"/>
    <x v="0"/>
    <x v="2"/>
    <n v="1"/>
    <x v="2"/>
    <x v="0"/>
  </r>
  <r>
    <x v="0"/>
    <x v="0"/>
    <x v="0"/>
    <x v="0"/>
    <x v="0"/>
    <x v="3"/>
    <n v="3"/>
    <x v="3"/>
    <x v="0"/>
  </r>
  <r>
    <x v="0"/>
    <x v="0"/>
    <x v="0"/>
    <x v="0"/>
    <x v="0"/>
    <x v="4"/>
    <n v="0"/>
    <x v="4"/>
    <x v="1"/>
  </r>
  <r>
    <x v="0"/>
    <x v="0"/>
    <x v="0"/>
    <x v="0"/>
    <x v="0"/>
    <x v="5"/>
    <n v="0"/>
    <x v="5"/>
    <x v="1"/>
  </r>
  <r>
    <x v="0"/>
    <x v="0"/>
    <x v="0"/>
    <x v="0"/>
    <x v="0"/>
    <x v="6"/>
    <n v="0"/>
    <x v="6"/>
    <x v="1"/>
  </r>
  <r>
    <x v="0"/>
    <x v="0"/>
    <x v="0"/>
    <x v="0"/>
    <x v="0"/>
    <x v="7"/>
    <n v="1"/>
    <x v="7"/>
    <x v="1"/>
  </r>
  <r>
    <x v="0"/>
    <x v="0"/>
    <x v="0"/>
    <x v="0"/>
    <x v="1"/>
    <x v="8"/>
    <n v="0"/>
    <x v="8"/>
    <x v="1"/>
  </r>
  <r>
    <x v="0"/>
    <x v="0"/>
    <x v="0"/>
    <x v="0"/>
    <x v="1"/>
    <x v="9"/>
    <n v="3"/>
    <x v="9"/>
    <x v="1"/>
  </r>
  <r>
    <x v="0"/>
    <x v="0"/>
    <x v="0"/>
    <x v="0"/>
    <x v="1"/>
    <x v="10"/>
    <n v="0"/>
    <x v="10"/>
    <x v="1"/>
  </r>
  <r>
    <x v="0"/>
    <x v="0"/>
    <x v="0"/>
    <x v="0"/>
    <x v="1"/>
    <x v="11"/>
    <n v="0"/>
    <x v="11"/>
    <x v="1"/>
  </r>
  <r>
    <x v="0"/>
    <x v="0"/>
    <x v="0"/>
    <x v="0"/>
    <x v="2"/>
    <x v="12"/>
    <n v="0"/>
    <x v="12"/>
    <x v="0"/>
  </r>
  <r>
    <x v="0"/>
    <x v="0"/>
    <x v="0"/>
    <x v="0"/>
    <x v="2"/>
    <x v="13"/>
    <n v="0"/>
    <x v="13"/>
    <x v="0"/>
  </r>
  <r>
    <x v="0"/>
    <x v="0"/>
    <x v="0"/>
    <x v="0"/>
    <x v="2"/>
    <x v="14"/>
    <n v="6"/>
    <x v="14"/>
    <x v="0"/>
  </r>
  <r>
    <x v="0"/>
    <x v="0"/>
    <x v="0"/>
    <x v="0"/>
    <x v="2"/>
    <x v="15"/>
    <n v="2"/>
    <x v="15"/>
    <x v="1"/>
  </r>
  <r>
    <x v="0"/>
    <x v="0"/>
    <x v="0"/>
    <x v="0"/>
    <x v="2"/>
    <x v="16"/>
    <n v="4"/>
    <x v="16"/>
    <x v="1"/>
  </r>
  <r>
    <x v="0"/>
    <x v="0"/>
    <x v="0"/>
    <x v="0"/>
    <x v="2"/>
    <x v="17"/>
    <n v="1"/>
    <x v="17"/>
    <x v="1"/>
  </r>
  <r>
    <x v="0"/>
    <x v="0"/>
    <x v="0"/>
    <x v="0"/>
    <x v="2"/>
    <x v="18"/>
    <n v="6"/>
    <x v="18"/>
    <x v="1"/>
  </r>
  <r>
    <x v="0"/>
    <x v="0"/>
    <x v="0"/>
    <x v="0"/>
    <x v="2"/>
    <x v="19"/>
    <n v="2"/>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0"/>
    <x v="0"/>
    <x v="0"/>
  </r>
  <r>
    <x v="0"/>
    <x v="1"/>
    <x v="1"/>
    <x v="0"/>
    <x v="0"/>
    <x v="1"/>
    <n v="7"/>
    <x v="1"/>
    <x v="0"/>
  </r>
  <r>
    <x v="0"/>
    <x v="1"/>
    <x v="1"/>
    <x v="0"/>
    <x v="0"/>
    <x v="2"/>
    <n v="3"/>
    <x v="2"/>
    <x v="0"/>
  </r>
  <r>
    <x v="0"/>
    <x v="1"/>
    <x v="1"/>
    <x v="0"/>
    <x v="0"/>
    <x v="3"/>
    <n v="2"/>
    <x v="3"/>
    <x v="0"/>
  </r>
  <r>
    <x v="0"/>
    <x v="1"/>
    <x v="1"/>
    <x v="0"/>
    <x v="0"/>
    <x v="4"/>
    <n v="7"/>
    <x v="4"/>
    <x v="1"/>
  </r>
  <r>
    <x v="0"/>
    <x v="1"/>
    <x v="1"/>
    <x v="0"/>
    <x v="0"/>
    <x v="5"/>
    <n v="13"/>
    <x v="5"/>
    <x v="1"/>
  </r>
  <r>
    <x v="0"/>
    <x v="1"/>
    <x v="1"/>
    <x v="0"/>
    <x v="0"/>
    <x v="6"/>
    <n v="19"/>
    <x v="6"/>
    <x v="1"/>
  </r>
  <r>
    <x v="0"/>
    <x v="1"/>
    <x v="1"/>
    <x v="0"/>
    <x v="0"/>
    <x v="7"/>
    <n v="8"/>
    <x v="7"/>
    <x v="1"/>
  </r>
  <r>
    <x v="0"/>
    <x v="1"/>
    <x v="1"/>
    <x v="0"/>
    <x v="1"/>
    <x v="8"/>
    <n v="5"/>
    <x v="8"/>
    <x v="1"/>
  </r>
  <r>
    <x v="0"/>
    <x v="1"/>
    <x v="1"/>
    <x v="0"/>
    <x v="1"/>
    <x v="9"/>
    <n v="2"/>
    <x v="9"/>
    <x v="1"/>
  </r>
  <r>
    <x v="0"/>
    <x v="1"/>
    <x v="1"/>
    <x v="0"/>
    <x v="1"/>
    <x v="10"/>
    <n v="5"/>
    <x v="10"/>
    <x v="1"/>
  </r>
  <r>
    <x v="0"/>
    <x v="1"/>
    <x v="1"/>
    <x v="0"/>
    <x v="1"/>
    <x v="11"/>
    <n v="8"/>
    <x v="11"/>
    <x v="1"/>
  </r>
  <r>
    <x v="0"/>
    <x v="1"/>
    <x v="1"/>
    <x v="0"/>
    <x v="2"/>
    <x v="12"/>
    <n v="11"/>
    <x v="12"/>
    <x v="0"/>
  </r>
  <r>
    <x v="0"/>
    <x v="1"/>
    <x v="1"/>
    <x v="0"/>
    <x v="2"/>
    <x v="13"/>
    <n v="15"/>
    <x v="13"/>
    <x v="0"/>
  </r>
  <r>
    <x v="0"/>
    <x v="1"/>
    <x v="1"/>
    <x v="0"/>
    <x v="2"/>
    <x v="14"/>
    <n v="8"/>
    <x v="14"/>
    <x v="0"/>
  </r>
  <r>
    <x v="0"/>
    <x v="1"/>
    <x v="1"/>
    <x v="0"/>
    <x v="2"/>
    <x v="15"/>
    <n v="13"/>
    <x v="15"/>
    <x v="1"/>
  </r>
  <r>
    <x v="0"/>
    <x v="1"/>
    <x v="1"/>
    <x v="0"/>
    <x v="2"/>
    <x v="16"/>
    <n v="8"/>
    <x v="16"/>
    <x v="1"/>
  </r>
  <r>
    <x v="0"/>
    <x v="1"/>
    <x v="1"/>
    <x v="0"/>
    <x v="2"/>
    <x v="17"/>
    <n v="12"/>
    <x v="17"/>
    <x v="1"/>
  </r>
  <r>
    <x v="0"/>
    <x v="1"/>
    <x v="1"/>
    <x v="0"/>
    <x v="2"/>
    <x v="18"/>
    <n v="12"/>
    <x v="18"/>
    <x v="1"/>
  </r>
  <r>
    <x v="0"/>
    <x v="1"/>
    <x v="1"/>
    <x v="0"/>
    <x v="2"/>
    <x v="19"/>
    <n v="12"/>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1"/>
    <x v="5"/>
    <x v="1"/>
  </r>
  <r>
    <x v="0"/>
    <x v="1"/>
    <x v="1"/>
    <x v="1"/>
    <x v="0"/>
    <x v="6"/>
    <n v="1"/>
    <x v="6"/>
    <x v="1"/>
  </r>
  <r>
    <x v="0"/>
    <x v="1"/>
    <x v="1"/>
    <x v="1"/>
    <x v="0"/>
    <x v="7"/>
    <n v="0"/>
    <x v="7"/>
    <x v="1"/>
  </r>
  <r>
    <x v="0"/>
    <x v="1"/>
    <x v="1"/>
    <x v="1"/>
    <x v="1"/>
    <x v="8"/>
    <n v="1"/>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1"/>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0"/>
    <x v="1"/>
    <x v="0"/>
  </r>
  <r>
    <x v="0"/>
    <x v="1"/>
    <x v="1"/>
    <x v="2"/>
    <x v="0"/>
    <x v="2"/>
    <n v="1"/>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2"/>
    <x v="9"/>
    <x v="1"/>
  </r>
  <r>
    <x v="0"/>
    <x v="1"/>
    <x v="1"/>
    <x v="2"/>
    <x v="1"/>
    <x v="10"/>
    <n v="0"/>
    <x v="10"/>
    <x v="1"/>
  </r>
  <r>
    <x v="0"/>
    <x v="1"/>
    <x v="1"/>
    <x v="2"/>
    <x v="1"/>
    <x v="11"/>
    <n v="0"/>
    <x v="11"/>
    <x v="1"/>
  </r>
  <r>
    <x v="0"/>
    <x v="1"/>
    <x v="1"/>
    <x v="2"/>
    <x v="2"/>
    <x v="12"/>
    <n v="0"/>
    <x v="12"/>
    <x v="0"/>
  </r>
  <r>
    <x v="0"/>
    <x v="1"/>
    <x v="1"/>
    <x v="2"/>
    <x v="2"/>
    <x v="13"/>
    <n v="0"/>
    <x v="13"/>
    <x v="0"/>
  </r>
  <r>
    <x v="0"/>
    <x v="1"/>
    <x v="1"/>
    <x v="2"/>
    <x v="2"/>
    <x v="14"/>
    <n v="1"/>
    <x v="14"/>
    <x v="0"/>
  </r>
  <r>
    <x v="0"/>
    <x v="1"/>
    <x v="1"/>
    <x v="2"/>
    <x v="2"/>
    <x v="15"/>
    <n v="0"/>
    <x v="15"/>
    <x v="1"/>
  </r>
  <r>
    <x v="0"/>
    <x v="1"/>
    <x v="1"/>
    <x v="2"/>
    <x v="2"/>
    <x v="16"/>
    <n v="0"/>
    <x v="16"/>
    <x v="1"/>
  </r>
  <r>
    <x v="0"/>
    <x v="1"/>
    <x v="1"/>
    <x v="2"/>
    <x v="2"/>
    <x v="17"/>
    <n v="0"/>
    <x v="17"/>
    <x v="1"/>
  </r>
  <r>
    <x v="0"/>
    <x v="1"/>
    <x v="1"/>
    <x v="2"/>
    <x v="2"/>
    <x v="18"/>
    <n v="0"/>
    <x v="18"/>
    <x v="1"/>
  </r>
  <r>
    <x v="0"/>
    <x v="1"/>
    <x v="1"/>
    <x v="2"/>
    <x v="2"/>
    <x v="19"/>
    <n v="0"/>
    <x v="19"/>
    <x v="0"/>
  </r>
  <r>
    <x v="0"/>
    <x v="2"/>
    <x v="2"/>
    <x v="0"/>
    <x v="0"/>
    <x v="0"/>
    <n v="54"/>
    <x v="0"/>
    <x v="0"/>
  </r>
  <r>
    <x v="0"/>
    <x v="2"/>
    <x v="2"/>
    <x v="0"/>
    <x v="0"/>
    <x v="1"/>
    <n v="49"/>
    <x v="1"/>
    <x v="0"/>
  </r>
  <r>
    <x v="0"/>
    <x v="2"/>
    <x v="2"/>
    <x v="0"/>
    <x v="0"/>
    <x v="2"/>
    <n v="71"/>
    <x v="2"/>
    <x v="0"/>
  </r>
  <r>
    <x v="0"/>
    <x v="2"/>
    <x v="2"/>
    <x v="0"/>
    <x v="0"/>
    <x v="3"/>
    <n v="58"/>
    <x v="3"/>
    <x v="0"/>
  </r>
  <r>
    <x v="0"/>
    <x v="2"/>
    <x v="2"/>
    <x v="0"/>
    <x v="0"/>
    <x v="4"/>
    <n v="62"/>
    <x v="4"/>
    <x v="1"/>
  </r>
  <r>
    <x v="0"/>
    <x v="2"/>
    <x v="2"/>
    <x v="0"/>
    <x v="0"/>
    <x v="5"/>
    <n v="80"/>
    <x v="5"/>
    <x v="1"/>
  </r>
  <r>
    <x v="0"/>
    <x v="2"/>
    <x v="2"/>
    <x v="0"/>
    <x v="0"/>
    <x v="6"/>
    <n v="93"/>
    <x v="6"/>
    <x v="1"/>
  </r>
  <r>
    <x v="0"/>
    <x v="2"/>
    <x v="2"/>
    <x v="0"/>
    <x v="0"/>
    <x v="7"/>
    <n v="64"/>
    <x v="7"/>
    <x v="1"/>
  </r>
  <r>
    <x v="0"/>
    <x v="2"/>
    <x v="2"/>
    <x v="0"/>
    <x v="1"/>
    <x v="8"/>
    <n v="47"/>
    <x v="8"/>
    <x v="1"/>
  </r>
  <r>
    <x v="0"/>
    <x v="2"/>
    <x v="2"/>
    <x v="0"/>
    <x v="1"/>
    <x v="9"/>
    <n v="53"/>
    <x v="9"/>
    <x v="1"/>
  </r>
  <r>
    <x v="0"/>
    <x v="2"/>
    <x v="2"/>
    <x v="0"/>
    <x v="1"/>
    <x v="10"/>
    <n v="51"/>
    <x v="10"/>
    <x v="1"/>
  </r>
  <r>
    <x v="0"/>
    <x v="2"/>
    <x v="2"/>
    <x v="0"/>
    <x v="1"/>
    <x v="11"/>
    <n v="36"/>
    <x v="11"/>
    <x v="1"/>
  </r>
  <r>
    <x v="0"/>
    <x v="2"/>
    <x v="2"/>
    <x v="0"/>
    <x v="2"/>
    <x v="12"/>
    <n v="62"/>
    <x v="12"/>
    <x v="0"/>
  </r>
  <r>
    <x v="0"/>
    <x v="2"/>
    <x v="2"/>
    <x v="0"/>
    <x v="2"/>
    <x v="13"/>
    <n v="47"/>
    <x v="13"/>
    <x v="0"/>
  </r>
  <r>
    <x v="0"/>
    <x v="2"/>
    <x v="2"/>
    <x v="0"/>
    <x v="2"/>
    <x v="14"/>
    <n v="68"/>
    <x v="14"/>
    <x v="0"/>
  </r>
  <r>
    <x v="0"/>
    <x v="2"/>
    <x v="2"/>
    <x v="0"/>
    <x v="2"/>
    <x v="15"/>
    <n v="52"/>
    <x v="15"/>
    <x v="1"/>
  </r>
  <r>
    <x v="0"/>
    <x v="2"/>
    <x v="2"/>
    <x v="0"/>
    <x v="2"/>
    <x v="16"/>
    <n v="68"/>
    <x v="16"/>
    <x v="1"/>
  </r>
  <r>
    <x v="0"/>
    <x v="2"/>
    <x v="2"/>
    <x v="0"/>
    <x v="2"/>
    <x v="17"/>
    <n v="58"/>
    <x v="17"/>
    <x v="1"/>
  </r>
  <r>
    <x v="0"/>
    <x v="2"/>
    <x v="2"/>
    <x v="0"/>
    <x v="2"/>
    <x v="18"/>
    <n v="57"/>
    <x v="18"/>
    <x v="1"/>
  </r>
  <r>
    <x v="0"/>
    <x v="2"/>
    <x v="2"/>
    <x v="0"/>
    <x v="2"/>
    <x v="19"/>
    <n v="47"/>
    <x v="19"/>
    <x v="0"/>
  </r>
  <r>
    <x v="0"/>
    <x v="2"/>
    <x v="2"/>
    <x v="1"/>
    <x v="0"/>
    <x v="0"/>
    <n v="3"/>
    <x v="0"/>
    <x v="0"/>
  </r>
  <r>
    <x v="0"/>
    <x v="2"/>
    <x v="2"/>
    <x v="1"/>
    <x v="0"/>
    <x v="1"/>
    <n v="2"/>
    <x v="1"/>
    <x v="0"/>
  </r>
  <r>
    <x v="0"/>
    <x v="2"/>
    <x v="2"/>
    <x v="1"/>
    <x v="0"/>
    <x v="2"/>
    <n v="0"/>
    <x v="2"/>
    <x v="0"/>
  </r>
  <r>
    <x v="0"/>
    <x v="2"/>
    <x v="2"/>
    <x v="1"/>
    <x v="0"/>
    <x v="3"/>
    <n v="1"/>
    <x v="3"/>
    <x v="0"/>
  </r>
  <r>
    <x v="0"/>
    <x v="2"/>
    <x v="2"/>
    <x v="1"/>
    <x v="0"/>
    <x v="4"/>
    <n v="2"/>
    <x v="4"/>
    <x v="1"/>
  </r>
  <r>
    <x v="0"/>
    <x v="2"/>
    <x v="2"/>
    <x v="1"/>
    <x v="0"/>
    <x v="5"/>
    <n v="0"/>
    <x v="5"/>
    <x v="1"/>
  </r>
  <r>
    <x v="0"/>
    <x v="2"/>
    <x v="2"/>
    <x v="1"/>
    <x v="0"/>
    <x v="6"/>
    <n v="1"/>
    <x v="6"/>
    <x v="1"/>
  </r>
  <r>
    <x v="0"/>
    <x v="2"/>
    <x v="2"/>
    <x v="1"/>
    <x v="0"/>
    <x v="7"/>
    <n v="3"/>
    <x v="7"/>
    <x v="1"/>
  </r>
  <r>
    <x v="0"/>
    <x v="2"/>
    <x v="2"/>
    <x v="1"/>
    <x v="1"/>
    <x v="8"/>
    <n v="1"/>
    <x v="8"/>
    <x v="1"/>
  </r>
  <r>
    <x v="0"/>
    <x v="2"/>
    <x v="2"/>
    <x v="1"/>
    <x v="1"/>
    <x v="9"/>
    <n v="0"/>
    <x v="9"/>
    <x v="1"/>
  </r>
  <r>
    <x v="0"/>
    <x v="2"/>
    <x v="2"/>
    <x v="1"/>
    <x v="1"/>
    <x v="10"/>
    <n v="3"/>
    <x v="10"/>
    <x v="1"/>
  </r>
  <r>
    <x v="0"/>
    <x v="2"/>
    <x v="2"/>
    <x v="1"/>
    <x v="1"/>
    <x v="11"/>
    <n v="2"/>
    <x v="11"/>
    <x v="1"/>
  </r>
  <r>
    <x v="0"/>
    <x v="2"/>
    <x v="2"/>
    <x v="1"/>
    <x v="2"/>
    <x v="12"/>
    <n v="0"/>
    <x v="12"/>
    <x v="0"/>
  </r>
  <r>
    <x v="0"/>
    <x v="2"/>
    <x v="2"/>
    <x v="1"/>
    <x v="2"/>
    <x v="13"/>
    <n v="1"/>
    <x v="13"/>
    <x v="0"/>
  </r>
  <r>
    <x v="0"/>
    <x v="2"/>
    <x v="2"/>
    <x v="1"/>
    <x v="2"/>
    <x v="14"/>
    <n v="1"/>
    <x v="14"/>
    <x v="0"/>
  </r>
  <r>
    <x v="0"/>
    <x v="2"/>
    <x v="2"/>
    <x v="1"/>
    <x v="2"/>
    <x v="15"/>
    <n v="1"/>
    <x v="15"/>
    <x v="1"/>
  </r>
  <r>
    <x v="0"/>
    <x v="2"/>
    <x v="2"/>
    <x v="1"/>
    <x v="2"/>
    <x v="16"/>
    <n v="0"/>
    <x v="16"/>
    <x v="1"/>
  </r>
  <r>
    <x v="0"/>
    <x v="2"/>
    <x v="2"/>
    <x v="1"/>
    <x v="2"/>
    <x v="17"/>
    <n v="1"/>
    <x v="17"/>
    <x v="1"/>
  </r>
  <r>
    <x v="0"/>
    <x v="2"/>
    <x v="2"/>
    <x v="1"/>
    <x v="2"/>
    <x v="18"/>
    <n v="1"/>
    <x v="18"/>
    <x v="1"/>
  </r>
  <r>
    <x v="0"/>
    <x v="2"/>
    <x v="2"/>
    <x v="1"/>
    <x v="2"/>
    <x v="19"/>
    <n v="0"/>
    <x v="19"/>
    <x v="0"/>
  </r>
  <r>
    <x v="0"/>
    <x v="2"/>
    <x v="2"/>
    <x v="2"/>
    <x v="0"/>
    <x v="0"/>
    <n v="0"/>
    <x v="0"/>
    <x v="0"/>
  </r>
  <r>
    <x v="0"/>
    <x v="2"/>
    <x v="2"/>
    <x v="2"/>
    <x v="0"/>
    <x v="1"/>
    <n v="0"/>
    <x v="1"/>
    <x v="0"/>
  </r>
  <r>
    <x v="0"/>
    <x v="2"/>
    <x v="2"/>
    <x v="2"/>
    <x v="0"/>
    <x v="2"/>
    <n v="0"/>
    <x v="2"/>
    <x v="0"/>
  </r>
  <r>
    <x v="0"/>
    <x v="2"/>
    <x v="2"/>
    <x v="2"/>
    <x v="0"/>
    <x v="3"/>
    <n v="1"/>
    <x v="3"/>
    <x v="0"/>
  </r>
  <r>
    <x v="0"/>
    <x v="2"/>
    <x v="2"/>
    <x v="2"/>
    <x v="0"/>
    <x v="4"/>
    <n v="0"/>
    <x v="4"/>
    <x v="1"/>
  </r>
  <r>
    <x v="0"/>
    <x v="2"/>
    <x v="2"/>
    <x v="2"/>
    <x v="0"/>
    <x v="5"/>
    <n v="0"/>
    <x v="5"/>
    <x v="1"/>
  </r>
  <r>
    <x v="0"/>
    <x v="2"/>
    <x v="2"/>
    <x v="2"/>
    <x v="0"/>
    <x v="6"/>
    <n v="0"/>
    <x v="6"/>
    <x v="1"/>
  </r>
  <r>
    <x v="0"/>
    <x v="2"/>
    <x v="2"/>
    <x v="2"/>
    <x v="0"/>
    <x v="7"/>
    <n v="1"/>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1"/>
    <x v="15"/>
    <x v="1"/>
  </r>
  <r>
    <x v="0"/>
    <x v="2"/>
    <x v="2"/>
    <x v="2"/>
    <x v="2"/>
    <x v="16"/>
    <n v="0"/>
    <x v="16"/>
    <x v="1"/>
  </r>
  <r>
    <x v="0"/>
    <x v="2"/>
    <x v="2"/>
    <x v="2"/>
    <x v="2"/>
    <x v="17"/>
    <n v="0"/>
    <x v="17"/>
    <x v="1"/>
  </r>
  <r>
    <x v="0"/>
    <x v="2"/>
    <x v="2"/>
    <x v="2"/>
    <x v="2"/>
    <x v="18"/>
    <n v="3"/>
    <x v="18"/>
    <x v="1"/>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1"/>
    <x v="5"/>
    <x v="1"/>
  </r>
  <r>
    <x v="0"/>
    <x v="3"/>
    <x v="3"/>
    <x v="0"/>
    <x v="0"/>
    <x v="6"/>
    <n v="0"/>
    <x v="6"/>
    <x v="1"/>
  </r>
  <r>
    <x v="0"/>
    <x v="3"/>
    <x v="3"/>
    <x v="0"/>
    <x v="0"/>
    <x v="7"/>
    <n v="0"/>
    <x v="7"/>
    <x v="1"/>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0"/>
  </r>
  <r>
    <x v="0"/>
    <x v="3"/>
    <x v="3"/>
    <x v="0"/>
    <x v="2"/>
    <x v="14"/>
    <n v="0"/>
    <x v="14"/>
    <x v="0"/>
  </r>
  <r>
    <x v="0"/>
    <x v="3"/>
    <x v="3"/>
    <x v="0"/>
    <x v="2"/>
    <x v="15"/>
    <n v="0"/>
    <x v="15"/>
    <x v="1"/>
  </r>
  <r>
    <x v="0"/>
    <x v="3"/>
    <x v="3"/>
    <x v="0"/>
    <x v="2"/>
    <x v="16"/>
    <n v="1"/>
    <x v="16"/>
    <x v="1"/>
  </r>
  <r>
    <x v="0"/>
    <x v="3"/>
    <x v="3"/>
    <x v="0"/>
    <x v="2"/>
    <x v="17"/>
    <n v="0"/>
    <x v="17"/>
    <x v="1"/>
  </r>
  <r>
    <x v="0"/>
    <x v="3"/>
    <x v="3"/>
    <x v="0"/>
    <x v="2"/>
    <x v="18"/>
    <n v="2"/>
    <x v="18"/>
    <x v="1"/>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0"/>
  </r>
  <r>
    <x v="0"/>
    <x v="3"/>
    <x v="3"/>
    <x v="1"/>
    <x v="2"/>
    <x v="15"/>
    <n v="0"/>
    <x v="15"/>
    <x v="1"/>
  </r>
  <r>
    <x v="0"/>
    <x v="3"/>
    <x v="3"/>
    <x v="1"/>
    <x v="2"/>
    <x v="16"/>
    <n v="0"/>
    <x v="16"/>
    <x v="1"/>
  </r>
  <r>
    <x v="0"/>
    <x v="3"/>
    <x v="3"/>
    <x v="1"/>
    <x v="2"/>
    <x v="17"/>
    <n v="0"/>
    <x v="17"/>
    <x v="1"/>
  </r>
  <r>
    <x v="0"/>
    <x v="3"/>
    <x v="3"/>
    <x v="1"/>
    <x v="2"/>
    <x v="18"/>
    <n v="0"/>
    <x v="18"/>
    <x v="1"/>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0"/>
  </r>
  <r>
    <x v="0"/>
    <x v="3"/>
    <x v="3"/>
    <x v="2"/>
    <x v="2"/>
    <x v="15"/>
    <n v="0"/>
    <x v="15"/>
    <x v="1"/>
  </r>
  <r>
    <x v="0"/>
    <x v="3"/>
    <x v="3"/>
    <x v="2"/>
    <x v="2"/>
    <x v="16"/>
    <n v="0"/>
    <x v="16"/>
    <x v="1"/>
  </r>
  <r>
    <x v="0"/>
    <x v="3"/>
    <x v="3"/>
    <x v="2"/>
    <x v="2"/>
    <x v="17"/>
    <n v="0"/>
    <x v="17"/>
    <x v="1"/>
  </r>
  <r>
    <x v="0"/>
    <x v="3"/>
    <x v="3"/>
    <x v="2"/>
    <x v="2"/>
    <x v="18"/>
    <n v="0"/>
    <x v="18"/>
    <x v="1"/>
  </r>
  <r>
    <x v="0"/>
    <x v="3"/>
    <x v="3"/>
    <x v="2"/>
    <x v="2"/>
    <x v="19"/>
    <n v="0"/>
    <x v="19"/>
    <x v="0"/>
  </r>
  <r>
    <x v="1"/>
    <x v="4"/>
    <x v="1"/>
    <x v="0"/>
    <x v="0"/>
    <x v="0"/>
    <n v="0"/>
    <x v="0"/>
    <x v="0"/>
  </r>
  <r>
    <x v="1"/>
    <x v="4"/>
    <x v="1"/>
    <x v="0"/>
    <x v="0"/>
    <x v="1"/>
    <n v="0"/>
    <x v="1"/>
    <x v="0"/>
  </r>
  <r>
    <x v="1"/>
    <x v="4"/>
    <x v="1"/>
    <x v="0"/>
    <x v="0"/>
    <x v="2"/>
    <n v="0"/>
    <x v="2"/>
    <x v="0"/>
  </r>
  <r>
    <x v="1"/>
    <x v="4"/>
    <x v="1"/>
    <x v="0"/>
    <x v="0"/>
    <x v="3"/>
    <n v="0"/>
    <x v="3"/>
    <x v="0"/>
  </r>
  <r>
    <x v="1"/>
    <x v="4"/>
    <x v="1"/>
    <x v="0"/>
    <x v="0"/>
    <x v="4"/>
    <n v="0"/>
    <x v="4"/>
    <x v="1"/>
  </r>
  <r>
    <x v="1"/>
    <x v="4"/>
    <x v="1"/>
    <x v="0"/>
    <x v="0"/>
    <x v="5"/>
    <n v="1"/>
    <x v="5"/>
    <x v="1"/>
  </r>
  <r>
    <x v="1"/>
    <x v="4"/>
    <x v="1"/>
    <x v="0"/>
    <x v="0"/>
    <x v="6"/>
    <n v="2"/>
    <x v="6"/>
    <x v="1"/>
  </r>
  <r>
    <x v="1"/>
    <x v="4"/>
    <x v="1"/>
    <x v="0"/>
    <x v="0"/>
    <x v="7"/>
    <n v="1"/>
    <x v="7"/>
    <x v="1"/>
  </r>
  <r>
    <x v="1"/>
    <x v="4"/>
    <x v="1"/>
    <x v="0"/>
    <x v="1"/>
    <x v="8"/>
    <n v="2"/>
    <x v="8"/>
    <x v="1"/>
  </r>
  <r>
    <x v="1"/>
    <x v="4"/>
    <x v="1"/>
    <x v="0"/>
    <x v="1"/>
    <x v="9"/>
    <n v="0"/>
    <x v="9"/>
    <x v="1"/>
  </r>
  <r>
    <x v="1"/>
    <x v="4"/>
    <x v="1"/>
    <x v="0"/>
    <x v="1"/>
    <x v="10"/>
    <n v="0"/>
    <x v="10"/>
    <x v="1"/>
  </r>
  <r>
    <x v="1"/>
    <x v="4"/>
    <x v="1"/>
    <x v="0"/>
    <x v="1"/>
    <x v="11"/>
    <n v="0"/>
    <x v="11"/>
    <x v="1"/>
  </r>
  <r>
    <x v="1"/>
    <x v="4"/>
    <x v="1"/>
    <x v="0"/>
    <x v="2"/>
    <x v="12"/>
    <n v="0"/>
    <x v="12"/>
    <x v="0"/>
  </r>
  <r>
    <x v="1"/>
    <x v="4"/>
    <x v="1"/>
    <x v="0"/>
    <x v="2"/>
    <x v="13"/>
    <n v="0"/>
    <x v="13"/>
    <x v="0"/>
  </r>
  <r>
    <x v="1"/>
    <x v="4"/>
    <x v="1"/>
    <x v="0"/>
    <x v="2"/>
    <x v="14"/>
    <n v="1"/>
    <x v="14"/>
    <x v="0"/>
  </r>
  <r>
    <x v="1"/>
    <x v="4"/>
    <x v="1"/>
    <x v="0"/>
    <x v="2"/>
    <x v="15"/>
    <n v="0"/>
    <x v="15"/>
    <x v="1"/>
  </r>
  <r>
    <x v="1"/>
    <x v="4"/>
    <x v="1"/>
    <x v="0"/>
    <x v="2"/>
    <x v="16"/>
    <n v="0"/>
    <x v="16"/>
    <x v="1"/>
  </r>
  <r>
    <x v="1"/>
    <x v="4"/>
    <x v="1"/>
    <x v="0"/>
    <x v="2"/>
    <x v="17"/>
    <n v="0"/>
    <x v="17"/>
    <x v="1"/>
  </r>
  <r>
    <x v="1"/>
    <x v="4"/>
    <x v="1"/>
    <x v="0"/>
    <x v="2"/>
    <x v="18"/>
    <n v="0"/>
    <x v="18"/>
    <x v="1"/>
  </r>
  <r>
    <x v="1"/>
    <x v="4"/>
    <x v="1"/>
    <x v="0"/>
    <x v="2"/>
    <x v="19"/>
    <n v="0"/>
    <x v="19"/>
    <x v="0"/>
  </r>
  <r>
    <x v="1"/>
    <x v="4"/>
    <x v="1"/>
    <x v="1"/>
    <x v="0"/>
    <x v="0"/>
    <n v="0"/>
    <x v="0"/>
    <x v="0"/>
  </r>
  <r>
    <x v="1"/>
    <x v="4"/>
    <x v="1"/>
    <x v="1"/>
    <x v="0"/>
    <x v="1"/>
    <n v="0"/>
    <x v="1"/>
    <x v="0"/>
  </r>
  <r>
    <x v="1"/>
    <x v="4"/>
    <x v="1"/>
    <x v="1"/>
    <x v="0"/>
    <x v="2"/>
    <n v="0"/>
    <x v="2"/>
    <x v="0"/>
  </r>
  <r>
    <x v="1"/>
    <x v="4"/>
    <x v="1"/>
    <x v="1"/>
    <x v="0"/>
    <x v="3"/>
    <n v="0"/>
    <x v="3"/>
    <x v="0"/>
  </r>
  <r>
    <x v="1"/>
    <x v="4"/>
    <x v="1"/>
    <x v="1"/>
    <x v="0"/>
    <x v="4"/>
    <n v="0"/>
    <x v="4"/>
    <x v="1"/>
  </r>
  <r>
    <x v="1"/>
    <x v="4"/>
    <x v="1"/>
    <x v="1"/>
    <x v="0"/>
    <x v="5"/>
    <n v="0"/>
    <x v="5"/>
    <x v="1"/>
  </r>
  <r>
    <x v="1"/>
    <x v="4"/>
    <x v="1"/>
    <x v="1"/>
    <x v="0"/>
    <x v="6"/>
    <n v="0"/>
    <x v="6"/>
    <x v="1"/>
  </r>
  <r>
    <x v="1"/>
    <x v="4"/>
    <x v="1"/>
    <x v="1"/>
    <x v="0"/>
    <x v="7"/>
    <n v="0"/>
    <x v="7"/>
    <x v="1"/>
  </r>
  <r>
    <x v="1"/>
    <x v="4"/>
    <x v="1"/>
    <x v="1"/>
    <x v="1"/>
    <x v="8"/>
    <n v="0"/>
    <x v="8"/>
    <x v="1"/>
  </r>
  <r>
    <x v="1"/>
    <x v="4"/>
    <x v="1"/>
    <x v="1"/>
    <x v="1"/>
    <x v="9"/>
    <n v="0"/>
    <x v="9"/>
    <x v="1"/>
  </r>
  <r>
    <x v="1"/>
    <x v="4"/>
    <x v="1"/>
    <x v="1"/>
    <x v="1"/>
    <x v="10"/>
    <n v="1"/>
    <x v="10"/>
    <x v="1"/>
  </r>
  <r>
    <x v="1"/>
    <x v="4"/>
    <x v="1"/>
    <x v="1"/>
    <x v="1"/>
    <x v="11"/>
    <n v="0"/>
    <x v="11"/>
    <x v="1"/>
  </r>
  <r>
    <x v="1"/>
    <x v="4"/>
    <x v="1"/>
    <x v="1"/>
    <x v="2"/>
    <x v="12"/>
    <n v="0"/>
    <x v="12"/>
    <x v="0"/>
  </r>
  <r>
    <x v="1"/>
    <x v="4"/>
    <x v="1"/>
    <x v="1"/>
    <x v="2"/>
    <x v="13"/>
    <n v="0"/>
    <x v="13"/>
    <x v="0"/>
  </r>
  <r>
    <x v="1"/>
    <x v="4"/>
    <x v="1"/>
    <x v="1"/>
    <x v="2"/>
    <x v="14"/>
    <n v="0"/>
    <x v="14"/>
    <x v="0"/>
  </r>
  <r>
    <x v="1"/>
    <x v="4"/>
    <x v="1"/>
    <x v="1"/>
    <x v="2"/>
    <x v="15"/>
    <n v="0"/>
    <x v="15"/>
    <x v="1"/>
  </r>
  <r>
    <x v="1"/>
    <x v="4"/>
    <x v="1"/>
    <x v="1"/>
    <x v="2"/>
    <x v="16"/>
    <n v="0"/>
    <x v="16"/>
    <x v="1"/>
  </r>
  <r>
    <x v="1"/>
    <x v="4"/>
    <x v="1"/>
    <x v="1"/>
    <x v="2"/>
    <x v="17"/>
    <n v="0"/>
    <x v="17"/>
    <x v="1"/>
  </r>
  <r>
    <x v="1"/>
    <x v="4"/>
    <x v="1"/>
    <x v="1"/>
    <x v="2"/>
    <x v="18"/>
    <n v="0"/>
    <x v="18"/>
    <x v="1"/>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1"/>
    <x v="10"/>
    <x v="1"/>
  </r>
  <r>
    <x v="1"/>
    <x v="4"/>
    <x v="1"/>
    <x v="2"/>
    <x v="1"/>
    <x v="11"/>
    <n v="0"/>
    <x v="11"/>
    <x v="1"/>
  </r>
  <r>
    <x v="1"/>
    <x v="4"/>
    <x v="1"/>
    <x v="2"/>
    <x v="2"/>
    <x v="12"/>
    <n v="0"/>
    <x v="12"/>
    <x v="0"/>
  </r>
  <r>
    <x v="1"/>
    <x v="4"/>
    <x v="1"/>
    <x v="2"/>
    <x v="2"/>
    <x v="13"/>
    <n v="0"/>
    <x v="13"/>
    <x v="0"/>
  </r>
  <r>
    <x v="1"/>
    <x v="4"/>
    <x v="1"/>
    <x v="2"/>
    <x v="2"/>
    <x v="14"/>
    <n v="0"/>
    <x v="14"/>
    <x v="0"/>
  </r>
  <r>
    <x v="1"/>
    <x v="4"/>
    <x v="1"/>
    <x v="2"/>
    <x v="2"/>
    <x v="15"/>
    <n v="0"/>
    <x v="15"/>
    <x v="1"/>
  </r>
  <r>
    <x v="1"/>
    <x v="4"/>
    <x v="1"/>
    <x v="2"/>
    <x v="2"/>
    <x v="16"/>
    <n v="0"/>
    <x v="16"/>
    <x v="1"/>
  </r>
  <r>
    <x v="1"/>
    <x v="4"/>
    <x v="1"/>
    <x v="2"/>
    <x v="2"/>
    <x v="17"/>
    <n v="0"/>
    <x v="17"/>
    <x v="1"/>
  </r>
  <r>
    <x v="1"/>
    <x v="4"/>
    <x v="1"/>
    <x v="2"/>
    <x v="2"/>
    <x v="18"/>
    <n v="0"/>
    <x v="18"/>
    <x v="1"/>
  </r>
  <r>
    <x v="1"/>
    <x v="4"/>
    <x v="1"/>
    <x v="2"/>
    <x v="2"/>
    <x v="19"/>
    <n v="0"/>
    <x v="19"/>
    <x v="0"/>
  </r>
  <r>
    <x v="1"/>
    <x v="5"/>
    <x v="2"/>
    <x v="0"/>
    <x v="0"/>
    <x v="0"/>
    <n v="8"/>
    <x v="0"/>
    <x v="0"/>
  </r>
  <r>
    <x v="1"/>
    <x v="5"/>
    <x v="2"/>
    <x v="0"/>
    <x v="0"/>
    <x v="1"/>
    <n v="6"/>
    <x v="1"/>
    <x v="0"/>
  </r>
  <r>
    <x v="1"/>
    <x v="5"/>
    <x v="2"/>
    <x v="0"/>
    <x v="0"/>
    <x v="2"/>
    <n v="10"/>
    <x v="2"/>
    <x v="0"/>
  </r>
  <r>
    <x v="1"/>
    <x v="5"/>
    <x v="2"/>
    <x v="0"/>
    <x v="0"/>
    <x v="3"/>
    <n v="7"/>
    <x v="3"/>
    <x v="0"/>
  </r>
  <r>
    <x v="1"/>
    <x v="5"/>
    <x v="2"/>
    <x v="0"/>
    <x v="0"/>
    <x v="4"/>
    <n v="10"/>
    <x v="4"/>
    <x v="1"/>
  </r>
  <r>
    <x v="1"/>
    <x v="5"/>
    <x v="2"/>
    <x v="0"/>
    <x v="0"/>
    <x v="5"/>
    <n v="8"/>
    <x v="5"/>
    <x v="1"/>
  </r>
  <r>
    <x v="1"/>
    <x v="5"/>
    <x v="2"/>
    <x v="0"/>
    <x v="0"/>
    <x v="6"/>
    <n v="20"/>
    <x v="6"/>
    <x v="1"/>
  </r>
  <r>
    <x v="1"/>
    <x v="5"/>
    <x v="2"/>
    <x v="0"/>
    <x v="0"/>
    <x v="7"/>
    <n v="9"/>
    <x v="7"/>
    <x v="1"/>
  </r>
  <r>
    <x v="1"/>
    <x v="5"/>
    <x v="2"/>
    <x v="0"/>
    <x v="1"/>
    <x v="8"/>
    <n v="15"/>
    <x v="8"/>
    <x v="1"/>
  </r>
  <r>
    <x v="1"/>
    <x v="5"/>
    <x v="2"/>
    <x v="0"/>
    <x v="1"/>
    <x v="9"/>
    <n v="11"/>
    <x v="9"/>
    <x v="1"/>
  </r>
  <r>
    <x v="1"/>
    <x v="5"/>
    <x v="2"/>
    <x v="0"/>
    <x v="1"/>
    <x v="10"/>
    <n v="11"/>
    <x v="10"/>
    <x v="1"/>
  </r>
  <r>
    <x v="1"/>
    <x v="5"/>
    <x v="2"/>
    <x v="0"/>
    <x v="1"/>
    <x v="11"/>
    <n v="10"/>
    <x v="11"/>
    <x v="1"/>
  </r>
  <r>
    <x v="1"/>
    <x v="5"/>
    <x v="2"/>
    <x v="0"/>
    <x v="2"/>
    <x v="12"/>
    <n v="11"/>
    <x v="12"/>
    <x v="0"/>
  </r>
  <r>
    <x v="1"/>
    <x v="5"/>
    <x v="2"/>
    <x v="0"/>
    <x v="2"/>
    <x v="13"/>
    <n v="13"/>
    <x v="13"/>
    <x v="0"/>
  </r>
  <r>
    <x v="1"/>
    <x v="5"/>
    <x v="2"/>
    <x v="0"/>
    <x v="2"/>
    <x v="14"/>
    <n v="19"/>
    <x v="14"/>
    <x v="0"/>
  </r>
  <r>
    <x v="1"/>
    <x v="5"/>
    <x v="2"/>
    <x v="0"/>
    <x v="2"/>
    <x v="15"/>
    <n v="18"/>
    <x v="15"/>
    <x v="1"/>
  </r>
  <r>
    <x v="1"/>
    <x v="5"/>
    <x v="2"/>
    <x v="0"/>
    <x v="2"/>
    <x v="16"/>
    <n v="25"/>
    <x v="16"/>
    <x v="1"/>
  </r>
  <r>
    <x v="1"/>
    <x v="5"/>
    <x v="2"/>
    <x v="0"/>
    <x v="2"/>
    <x v="17"/>
    <n v="17"/>
    <x v="17"/>
    <x v="1"/>
  </r>
  <r>
    <x v="1"/>
    <x v="5"/>
    <x v="2"/>
    <x v="0"/>
    <x v="2"/>
    <x v="18"/>
    <n v="13"/>
    <x v="18"/>
    <x v="1"/>
  </r>
  <r>
    <x v="1"/>
    <x v="5"/>
    <x v="2"/>
    <x v="0"/>
    <x v="2"/>
    <x v="19"/>
    <n v="12"/>
    <x v="19"/>
    <x v="0"/>
  </r>
  <r>
    <x v="1"/>
    <x v="5"/>
    <x v="2"/>
    <x v="1"/>
    <x v="0"/>
    <x v="0"/>
    <n v="2"/>
    <x v="0"/>
    <x v="0"/>
  </r>
  <r>
    <x v="1"/>
    <x v="5"/>
    <x v="2"/>
    <x v="1"/>
    <x v="0"/>
    <x v="1"/>
    <n v="1"/>
    <x v="1"/>
    <x v="0"/>
  </r>
  <r>
    <x v="1"/>
    <x v="5"/>
    <x v="2"/>
    <x v="1"/>
    <x v="0"/>
    <x v="2"/>
    <n v="1"/>
    <x v="2"/>
    <x v="0"/>
  </r>
  <r>
    <x v="1"/>
    <x v="5"/>
    <x v="2"/>
    <x v="1"/>
    <x v="0"/>
    <x v="3"/>
    <n v="2"/>
    <x v="3"/>
    <x v="0"/>
  </r>
  <r>
    <x v="1"/>
    <x v="5"/>
    <x v="2"/>
    <x v="1"/>
    <x v="0"/>
    <x v="4"/>
    <n v="1"/>
    <x v="4"/>
    <x v="1"/>
  </r>
  <r>
    <x v="1"/>
    <x v="5"/>
    <x v="2"/>
    <x v="1"/>
    <x v="0"/>
    <x v="5"/>
    <n v="3"/>
    <x v="5"/>
    <x v="1"/>
  </r>
  <r>
    <x v="1"/>
    <x v="5"/>
    <x v="2"/>
    <x v="1"/>
    <x v="0"/>
    <x v="6"/>
    <n v="3"/>
    <x v="6"/>
    <x v="1"/>
  </r>
  <r>
    <x v="1"/>
    <x v="5"/>
    <x v="2"/>
    <x v="1"/>
    <x v="0"/>
    <x v="7"/>
    <n v="1"/>
    <x v="7"/>
    <x v="1"/>
  </r>
  <r>
    <x v="1"/>
    <x v="5"/>
    <x v="2"/>
    <x v="1"/>
    <x v="1"/>
    <x v="8"/>
    <n v="1"/>
    <x v="8"/>
    <x v="1"/>
  </r>
  <r>
    <x v="1"/>
    <x v="5"/>
    <x v="2"/>
    <x v="1"/>
    <x v="1"/>
    <x v="9"/>
    <n v="1"/>
    <x v="9"/>
    <x v="1"/>
  </r>
  <r>
    <x v="1"/>
    <x v="5"/>
    <x v="2"/>
    <x v="1"/>
    <x v="1"/>
    <x v="10"/>
    <n v="1"/>
    <x v="10"/>
    <x v="1"/>
  </r>
  <r>
    <x v="1"/>
    <x v="5"/>
    <x v="2"/>
    <x v="1"/>
    <x v="1"/>
    <x v="11"/>
    <n v="1"/>
    <x v="11"/>
    <x v="1"/>
  </r>
  <r>
    <x v="1"/>
    <x v="5"/>
    <x v="2"/>
    <x v="1"/>
    <x v="2"/>
    <x v="12"/>
    <n v="1"/>
    <x v="12"/>
    <x v="0"/>
  </r>
  <r>
    <x v="1"/>
    <x v="5"/>
    <x v="2"/>
    <x v="1"/>
    <x v="2"/>
    <x v="13"/>
    <n v="1"/>
    <x v="13"/>
    <x v="0"/>
  </r>
  <r>
    <x v="1"/>
    <x v="5"/>
    <x v="2"/>
    <x v="1"/>
    <x v="2"/>
    <x v="14"/>
    <n v="3"/>
    <x v="14"/>
    <x v="0"/>
  </r>
  <r>
    <x v="1"/>
    <x v="5"/>
    <x v="2"/>
    <x v="1"/>
    <x v="2"/>
    <x v="15"/>
    <n v="1"/>
    <x v="15"/>
    <x v="1"/>
  </r>
  <r>
    <x v="1"/>
    <x v="5"/>
    <x v="2"/>
    <x v="1"/>
    <x v="2"/>
    <x v="16"/>
    <n v="1"/>
    <x v="16"/>
    <x v="1"/>
  </r>
  <r>
    <x v="1"/>
    <x v="5"/>
    <x v="2"/>
    <x v="1"/>
    <x v="2"/>
    <x v="17"/>
    <n v="1"/>
    <x v="17"/>
    <x v="1"/>
  </r>
  <r>
    <x v="1"/>
    <x v="5"/>
    <x v="2"/>
    <x v="1"/>
    <x v="2"/>
    <x v="18"/>
    <n v="1"/>
    <x v="18"/>
    <x v="1"/>
  </r>
  <r>
    <x v="1"/>
    <x v="5"/>
    <x v="2"/>
    <x v="1"/>
    <x v="2"/>
    <x v="19"/>
    <n v="1"/>
    <x v="19"/>
    <x v="0"/>
  </r>
  <r>
    <x v="1"/>
    <x v="5"/>
    <x v="2"/>
    <x v="2"/>
    <x v="0"/>
    <x v="0"/>
    <n v="0"/>
    <x v="0"/>
    <x v="0"/>
  </r>
  <r>
    <x v="1"/>
    <x v="5"/>
    <x v="2"/>
    <x v="2"/>
    <x v="0"/>
    <x v="1"/>
    <n v="0"/>
    <x v="1"/>
    <x v="0"/>
  </r>
  <r>
    <x v="1"/>
    <x v="5"/>
    <x v="2"/>
    <x v="2"/>
    <x v="0"/>
    <x v="2"/>
    <n v="0"/>
    <x v="2"/>
    <x v="0"/>
  </r>
  <r>
    <x v="1"/>
    <x v="5"/>
    <x v="2"/>
    <x v="2"/>
    <x v="0"/>
    <x v="3"/>
    <n v="1"/>
    <x v="3"/>
    <x v="0"/>
  </r>
  <r>
    <x v="1"/>
    <x v="5"/>
    <x v="2"/>
    <x v="2"/>
    <x v="0"/>
    <x v="4"/>
    <n v="0"/>
    <x v="4"/>
    <x v="1"/>
  </r>
  <r>
    <x v="1"/>
    <x v="5"/>
    <x v="2"/>
    <x v="2"/>
    <x v="0"/>
    <x v="5"/>
    <n v="0"/>
    <x v="5"/>
    <x v="1"/>
  </r>
  <r>
    <x v="1"/>
    <x v="5"/>
    <x v="2"/>
    <x v="2"/>
    <x v="0"/>
    <x v="6"/>
    <n v="0"/>
    <x v="6"/>
    <x v="1"/>
  </r>
  <r>
    <x v="1"/>
    <x v="5"/>
    <x v="2"/>
    <x v="2"/>
    <x v="0"/>
    <x v="7"/>
    <n v="0"/>
    <x v="7"/>
    <x v="1"/>
  </r>
  <r>
    <x v="1"/>
    <x v="5"/>
    <x v="2"/>
    <x v="2"/>
    <x v="1"/>
    <x v="8"/>
    <n v="0"/>
    <x v="8"/>
    <x v="1"/>
  </r>
  <r>
    <x v="1"/>
    <x v="5"/>
    <x v="2"/>
    <x v="2"/>
    <x v="1"/>
    <x v="9"/>
    <n v="0"/>
    <x v="9"/>
    <x v="1"/>
  </r>
  <r>
    <x v="1"/>
    <x v="5"/>
    <x v="2"/>
    <x v="2"/>
    <x v="1"/>
    <x v="10"/>
    <n v="0"/>
    <x v="10"/>
    <x v="1"/>
  </r>
  <r>
    <x v="1"/>
    <x v="5"/>
    <x v="2"/>
    <x v="2"/>
    <x v="1"/>
    <x v="11"/>
    <n v="1"/>
    <x v="11"/>
    <x v="1"/>
  </r>
  <r>
    <x v="1"/>
    <x v="5"/>
    <x v="2"/>
    <x v="2"/>
    <x v="2"/>
    <x v="12"/>
    <n v="0"/>
    <x v="12"/>
    <x v="0"/>
  </r>
  <r>
    <x v="1"/>
    <x v="5"/>
    <x v="2"/>
    <x v="2"/>
    <x v="2"/>
    <x v="13"/>
    <n v="0"/>
    <x v="13"/>
    <x v="0"/>
  </r>
  <r>
    <x v="1"/>
    <x v="5"/>
    <x v="2"/>
    <x v="2"/>
    <x v="2"/>
    <x v="14"/>
    <n v="0"/>
    <x v="14"/>
    <x v="0"/>
  </r>
  <r>
    <x v="1"/>
    <x v="5"/>
    <x v="2"/>
    <x v="2"/>
    <x v="2"/>
    <x v="15"/>
    <n v="0"/>
    <x v="15"/>
    <x v="1"/>
  </r>
  <r>
    <x v="1"/>
    <x v="5"/>
    <x v="2"/>
    <x v="2"/>
    <x v="2"/>
    <x v="16"/>
    <n v="0"/>
    <x v="16"/>
    <x v="1"/>
  </r>
  <r>
    <x v="1"/>
    <x v="5"/>
    <x v="2"/>
    <x v="2"/>
    <x v="2"/>
    <x v="17"/>
    <n v="0"/>
    <x v="17"/>
    <x v="1"/>
  </r>
  <r>
    <x v="1"/>
    <x v="5"/>
    <x v="2"/>
    <x v="2"/>
    <x v="2"/>
    <x v="18"/>
    <n v="0"/>
    <x v="18"/>
    <x v="1"/>
  </r>
  <r>
    <x v="1"/>
    <x v="5"/>
    <x v="2"/>
    <x v="2"/>
    <x v="2"/>
    <x v="19"/>
    <n v="0"/>
    <x v="19"/>
    <x v="0"/>
  </r>
  <r>
    <x v="1"/>
    <x v="6"/>
    <x v="3"/>
    <x v="0"/>
    <x v="0"/>
    <x v="0"/>
    <n v="1"/>
    <x v="0"/>
    <x v="0"/>
  </r>
  <r>
    <x v="1"/>
    <x v="6"/>
    <x v="3"/>
    <x v="0"/>
    <x v="0"/>
    <x v="1"/>
    <n v="0"/>
    <x v="1"/>
    <x v="0"/>
  </r>
  <r>
    <x v="1"/>
    <x v="6"/>
    <x v="3"/>
    <x v="0"/>
    <x v="0"/>
    <x v="2"/>
    <n v="0"/>
    <x v="2"/>
    <x v="0"/>
  </r>
  <r>
    <x v="1"/>
    <x v="6"/>
    <x v="3"/>
    <x v="0"/>
    <x v="0"/>
    <x v="3"/>
    <n v="1"/>
    <x v="3"/>
    <x v="0"/>
  </r>
  <r>
    <x v="1"/>
    <x v="6"/>
    <x v="3"/>
    <x v="0"/>
    <x v="0"/>
    <x v="4"/>
    <n v="3"/>
    <x v="4"/>
    <x v="1"/>
  </r>
  <r>
    <x v="1"/>
    <x v="6"/>
    <x v="3"/>
    <x v="0"/>
    <x v="0"/>
    <x v="5"/>
    <n v="3"/>
    <x v="5"/>
    <x v="1"/>
  </r>
  <r>
    <x v="1"/>
    <x v="6"/>
    <x v="3"/>
    <x v="0"/>
    <x v="0"/>
    <x v="6"/>
    <n v="5"/>
    <x v="6"/>
    <x v="1"/>
  </r>
  <r>
    <x v="1"/>
    <x v="6"/>
    <x v="3"/>
    <x v="0"/>
    <x v="0"/>
    <x v="7"/>
    <n v="1"/>
    <x v="7"/>
    <x v="1"/>
  </r>
  <r>
    <x v="1"/>
    <x v="6"/>
    <x v="3"/>
    <x v="0"/>
    <x v="1"/>
    <x v="8"/>
    <n v="3"/>
    <x v="8"/>
    <x v="1"/>
  </r>
  <r>
    <x v="1"/>
    <x v="6"/>
    <x v="3"/>
    <x v="0"/>
    <x v="1"/>
    <x v="9"/>
    <n v="4"/>
    <x v="9"/>
    <x v="1"/>
  </r>
  <r>
    <x v="1"/>
    <x v="6"/>
    <x v="3"/>
    <x v="0"/>
    <x v="1"/>
    <x v="10"/>
    <n v="6"/>
    <x v="10"/>
    <x v="1"/>
  </r>
  <r>
    <x v="1"/>
    <x v="6"/>
    <x v="3"/>
    <x v="0"/>
    <x v="1"/>
    <x v="11"/>
    <n v="2"/>
    <x v="11"/>
    <x v="1"/>
  </r>
  <r>
    <x v="1"/>
    <x v="6"/>
    <x v="3"/>
    <x v="0"/>
    <x v="2"/>
    <x v="12"/>
    <n v="5"/>
    <x v="12"/>
    <x v="0"/>
  </r>
  <r>
    <x v="1"/>
    <x v="6"/>
    <x v="3"/>
    <x v="0"/>
    <x v="2"/>
    <x v="13"/>
    <n v="2"/>
    <x v="13"/>
    <x v="0"/>
  </r>
  <r>
    <x v="1"/>
    <x v="6"/>
    <x v="3"/>
    <x v="0"/>
    <x v="2"/>
    <x v="14"/>
    <n v="10"/>
    <x v="14"/>
    <x v="0"/>
  </r>
  <r>
    <x v="1"/>
    <x v="6"/>
    <x v="3"/>
    <x v="0"/>
    <x v="2"/>
    <x v="15"/>
    <n v="6"/>
    <x v="15"/>
    <x v="1"/>
  </r>
  <r>
    <x v="1"/>
    <x v="6"/>
    <x v="3"/>
    <x v="0"/>
    <x v="2"/>
    <x v="16"/>
    <n v="7"/>
    <x v="16"/>
    <x v="1"/>
  </r>
  <r>
    <x v="1"/>
    <x v="6"/>
    <x v="3"/>
    <x v="0"/>
    <x v="2"/>
    <x v="17"/>
    <n v="4"/>
    <x v="17"/>
    <x v="1"/>
  </r>
  <r>
    <x v="1"/>
    <x v="6"/>
    <x v="3"/>
    <x v="0"/>
    <x v="2"/>
    <x v="18"/>
    <n v="3"/>
    <x v="18"/>
    <x v="1"/>
  </r>
  <r>
    <x v="1"/>
    <x v="6"/>
    <x v="3"/>
    <x v="0"/>
    <x v="2"/>
    <x v="19"/>
    <n v="4"/>
    <x v="19"/>
    <x v="0"/>
  </r>
  <r>
    <x v="1"/>
    <x v="6"/>
    <x v="3"/>
    <x v="1"/>
    <x v="0"/>
    <x v="0"/>
    <n v="0"/>
    <x v="0"/>
    <x v="0"/>
  </r>
  <r>
    <x v="1"/>
    <x v="6"/>
    <x v="3"/>
    <x v="1"/>
    <x v="0"/>
    <x v="1"/>
    <n v="0"/>
    <x v="1"/>
    <x v="0"/>
  </r>
  <r>
    <x v="1"/>
    <x v="6"/>
    <x v="3"/>
    <x v="1"/>
    <x v="0"/>
    <x v="2"/>
    <n v="0"/>
    <x v="2"/>
    <x v="0"/>
  </r>
  <r>
    <x v="1"/>
    <x v="6"/>
    <x v="3"/>
    <x v="1"/>
    <x v="0"/>
    <x v="3"/>
    <n v="1"/>
    <x v="3"/>
    <x v="0"/>
  </r>
  <r>
    <x v="1"/>
    <x v="6"/>
    <x v="3"/>
    <x v="1"/>
    <x v="0"/>
    <x v="4"/>
    <n v="0"/>
    <x v="4"/>
    <x v="1"/>
  </r>
  <r>
    <x v="1"/>
    <x v="6"/>
    <x v="3"/>
    <x v="1"/>
    <x v="0"/>
    <x v="5"/>
    <n v="0"/>
    <x v="5"/>
    <x v="1"/>
  </r>
  <r>
    <x v="1"/>
    <x v="6"/>
    <x v="3"/>
    <x v="1"/>
    <x v="0"/>
    <x v="6"/>
    <n v="0"/>
    <x v="6"/>
    <x v="1"/>
  </r>
  <r>
    <x v="1"/>
    <x v="6"/>
    <x v="3"/>
    <x v="1"/>
    <x v="0"/>
    <x v="7"/>
    <n v="0"/>
    <x v="7"/>
    <x v="1"/>
  </r>
  <r>
    <x v="1"/>
    <x v="6"/>
    <x v="3"/>
    <x v="1"/>
    <x v="1"/>
    <x v="8"/>
    <n v="0"/>
    <x v="8"/>
    <x v="1"/>
  </r>
  <r>
    <x v="1"/>
    <x v="6"/>
    <x v="3"/>
    <x v="1"/>
    <x v="1"/>
    <x v="9"/>
    <n v="0"/>
    <x v="9"/>
    <x v="1"/>
  </r>
  <r>
    <x v="1"/>
    <x v="6"/>
    <x v="3"/>
    <x v="1"/>
    <x v="1"/>
    <x v="10"/>
    <n v="0"/>
    <x v="10"/>
    <x v="1"/>
  </r>
  <r>
    <x v="1"/>
    <x v="6"/>
    <x v="3"/>
    <x v="1"/>
    <x v="1"/>
    <x v="11"/>
    <n v="0"/>
    <x v="11"/>
    <x v="1"/>
  </r>
  <r>
    <x v="1"/>
    <x v="6"/>
    <x v="3"/>
    <x v="1"/>
    <x v="2"/>
    <x v="12"/>
    <n v="0"/>
    <x v="12"/>
    <x v="0"/>
  </r>
  <r>
    <x v="1"/>
    <x v="6"/>
    <x v="3"/>
    <x v="1"/>
    <x v="2"/>
    <x v="13"/>
    <n v="0"/>
    <x v="13"/>
    <x v="0"/>
  </r>
  <r>
    <x v="1"/>
    <x v="6"/>
    <x v="3"/>
    <x v="1"/>
    <x v="2"/>
    <x v="14"/>
    <n v="1"/>
    <x v="14"/>
    <x v="0"/>
  </r>
  <r>
    <x v="1"/>
    <x v="6"/>
    <x v="3"/>
    <x v="1"/>
    <x v="2"/>
    <x v="15"/>
    <n v="0"/>
    <x v="15"/>
    <x v="1"/>
  </r>
  <r>
    <x v="1"/>
    <x v="6"/>
    <x v="3"/>
    <x v="1"/>
    <x v="2"/>
    <x v="16"/>
    <n v="0"/>
    <x v="16"/>
    <x v="1"/>
  </r>
  <r>
    <x v="1"/>
    <x v="6"/>
    <x v="3"/>
    <x v="1"/>
    <x v="2"/>
    <x v="17"/>
    <n v="0"/>
    <x v="17"/>
    <x v="1"/>
  </r>
  <r>
    <x v="1"/>
    <x v="6"/>
    <x v="3"/>
    <x v="1"/>
    <x v="2"/>
    <x v="18"/>
    <n v="0"/>
    <x v="18"/>
    <x v="1"/>
  </r>
  <r>
    <x v="1"/>
    <x v="6"/>
    <x v="3"/>
    <x v="1"/>
    <x v="2"/>
    <x v="19"/>
    <n v="0"/>
    <x v="19"/>
    <x v="0"/>
  </r>
  <r>
    <x v="1"/>
    <x v="6"/>
    <x v="3"/>
    <x v="2"/>
    <x v="0"/>
    <x v="0"/>
    <n v="0"/>
    <x v="0"/>
    <x v="0"/>
  </r>
  <r>
    <x v="1"/>
    <x v="6"/>
    <x v="3"/>
    <x v="2"/>
    <x v="0"/>
    <x v="1"/>
    <n v="0"/>
    <x v="1"/>
    <x v="0"/>
  </r>
  <r>
    <x v="1"/>
    <x v="6"/>
    <x v="3"/>
    <x v="2"/>
    <x v="0"/>
    <x v="2"/>
    <n v="0"/>
    <x v="2"/>
    <x v="0"/>
  </r>
  <r>
    <x v="1"/>
    <x v="6"/>
    <x v="3"/>
    <x v="2"/>
    <x v="0"/>
    <x v="3"/>
    <n v="0"/>
    <x v="3"/>
    <x v="0"/>
  </r>
  <r>
    <x v="1"/>
    <x v="6"/>
    <x v="3"/>
    <x v="2"/>
    <x v="0"/>
    <x v="4"/>
    <n v="1"/>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0"/>
  </r>
  <r>
    <x v="1"/>
    <x v="6"/>
    <x v="3"/>
    <x v="2"/>
    <x v="2"/>
    <x v="15"/>
    <n v="0"/>
    <x v="15"/>
    <x v="1"/>
  </r>
  <r>
    <x v="1"/>
    <x v="6"/>
    <x v="3"/>
    <x v="2"/>
    <x v="2"/>
    <x v="16"/>
    <n v="0"/>
    <x v="16"/>
    <x v="1"/>
  </r>
  <r>
    <x v="1"/>
    <x v="6"/>
    <x v="3"/>
    <x v="2"/>
    <x v="2"/>
    <x v="17"/>
    <n v="0"/>
    <x v="17"/>
    <x v="1"/>
  </r>
  <r>
    <x v="1"/>
    <x v="6"/>
    <x v="3"/>
    <x v="2"/>
    <x v="2"/>
    <x v="18"/>
    <n v="0"/>
    <x v="18"/>
    <x v="1"/>
  </r>
  <r>
    <x v="1"/>
    <x v="6"/>
    <x v="3"/>
    <x v="2"/>
    <x v="2"/>
    <x v="19"/>
    <n v="0"/>
    <x v="19"/>
    <x v="0"/>
  </r>
  <r>
    <x v="1"/>
    <x v="3"/>
    <x v="0"/>
    <x v="0"/>
    <x v="0"/>
    <x v="0"/>
    <n v="0"/>
    <x v="0"/>
    <x v="0"/>
  </r>
  <r>
    <x v="1"/>
    <x v="3"/>
    <x v="0"/>
    <x v="0"/>
    <x v="0"/>
    <x v="1"/>
    <n v="0"/>
    <x v="1"/>
    <x v="0"/>
  </r>
  <r>
    <x v="1"/>
    <x v="3"/>
    <x v="0"/>
    <x v="0"/>
    <x v="0"/>
    <x v="2"/>
    <n v="0"/>
    <x v="2"/>
    <x v="0"/>
  </r>
  <r>
    <x v="1"/>
    <x v="3"/>
    <x v="0"/>
    <x v="0"/>
    <x v="0"/>
    <x v="3"/>
    <n v="0"/>
    <x v="3"/>
    <x v="0"/>
  </r>
  <r>
    <x v="1"/>
    <x v="3"/>
    <x v="0"/>
    <x v="0"/>
    <x v="0"/>
    <x v="4"/>
    <n v="0"/>
    <x v="4"/>
    <x v="1"/>
  </r>
  <r>
    <x v="1"/>
    <x v="3"/>
    <x v="0"/>
    <x v="0"/>
    <x v="0"/>
    <x v="5"/>
    <n v="0"/>
    <x v="5"/>
    <x v="1"/>
  </r>
  <r>
    <x v="1"/>
    <x v="3"/>
    <x v="0"/>
    <x v="0"/>
    <x v="0"/>
    <x v="6"/>
    <n v="0"/>
    <x v="6"/>
    <x v="1"/>
  </r>
  <r>
    <x v="1"/>
    <x v="3"/>
    <x v="0"/>
    <x v="0"/>
    <x v="0"/>
    <x v="7"/>
    <n v="0"/>
    <x v="7"/>
    <x v="1"/>
  </r>
  <r>
    <x v="1"/>
    <x v="3"/>
    <x v="0"/>
    <x v="0"/>
    <x v="1"/>
    <x v="8"/>
    <n v="0"/>
    <x v="8"/>
    <x v="1"/>
  </r>
  <r>
    <x v="1"/>
    <x v="3"/>
    <x v="0"/>
    <x v="0"/>
    <x v="1"/>
    <x v="9"/>
    <n v="0"/>
    <x v="9"/>
    <x v="1"/>
  </r>
  <r>
    <x v="1"/>
    <x v="3"/>
    <x v="0"/>
    <x v="0"/>
    <x v="1"/>
    <x v="10"/>
    <n v="0"/>
    <x v="10"/>
    <x v="1"/>
  </r>
  <r>
    <x v="1"/>
    <x v="3"/>
    <x v="0"/>
    <x v="0"/>
    <x v="1"/>
    <x v="11"/>
    <n v="1"/>
    <x v="11"/>
    <x v="1"/>
  </r>
  <r>
    <x v="1"/>
    <x v="3"/>
    <x v="0"/>
    <x v="0"/>
    <x v="2"/>
    <x v="12"/>
    <n v="0"/>
    <x v="12"/>
    <x v="0"/>
  </r>
  <r>
    <x v="1"/>
    <x v="3"/>
    <x v="0"/>
    <x v="0"/>
    <x v="2"/>
    <x v="13"/>
    <n v="0"/>
    <x v="13"/>
    <x v="0"/>
  </r>
  <r>
    <x v="1"/>
    <x v="3"/>
    <x v="0"/>
    <x v="0"/>
    <x v="2"/>
    <x v="14"/>
    <n v="0"/>
    <x v="14"/>
    <x v="0"/>
  </r>
  <r>
    <x v="1"/>
    <x v="3"/>
    <x v="0"/>
    <x v="0"/>
    <x v="2"/>
    <x v="15"/>
    <n v="0"/>
    <x v="15"/>
    <x v="1"/>
  </r>
  <r>
    <x v="1"/>
    <x v="3"/>
    <x v="0"/>
    <x v="0"/>
    <x v="2"/>
    <x v="16"/>
    <n v="0"/>
    <x v="16"/>
    <x v="1"/>
  </r>
  <r>
    <x v="1"/>
    <x v="3"/>
    <x v="0"/>
    <x v="0"/>
    <x v="2"/>
    <x v="17"/>
    <n v="0"/>
    <x v="17"/>
    <x v="1"/>
  </r>
  <r>
    <x v="1"/>
    <x v="3"/>
    <x v="0"/>
    <x v="0"/>
    <x v="2"/>
    <x v="18"/>
    <n v="0"/>
    <x v="18"/>
    <x v="1"/>
  </r>
  <r>
    <x v="1"/>
    <x v="3"/>
    <x v="0"/>
    <x v="0"/>
    <x v="2"/>
    <x v="19"/>
    <n v="0"/>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0"/>
  </r>
  <r>
    <x v="1"/>
    <x v="3"/>
    <x v="0"/>
    <x v="1"/>
    <x v="2"/>
    <x v="15"/>
    <n v="0"/>
    <x v="15"/>
    <x v="1"/>
  </r>
  <r>
    <x v="1"/>
    <x v="3"/>
    <x v="0"/>
    <x v="1"/>
    <x v="2"/>
    <x v="16"/>
    <n v="0"/>
    <x v="16"/>
    <x v="1"/>
  </r>
  <r>
    <x v="1"/>
    <x v="3"/>
    <x v="0"/>
    <x v="1"/>
    <x v="2"/>
    <x v="17"/>
    <n v="0"/>
    <x v="17"/>
    <x v="1"/>
  </r>
  <r>
    <x v="1"/>
    <x v="3"/>
    <x v="0"/>
    <x v="1"/>
    <x v="2"/>
    <x v="18"/>
    <n v="0"/>
    <x v="18"/>
    <x v="1"/>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0"/>
  </r>
  <r>
    <x v="1"/>
    <x v="3"/>
    <x v="0"/>
    <x v="2"/>
    <x v="2"/>
    <x v="15"/>
    <n v="0"/>
    <x v="15"/>
    <x v="1"/>
  </r>
  <r>
    <x v="1"/>
    <x v="3"/>
    <x v="0"/>
    <x v="2"/>
    <x v="2"/>
    <x v="16"/>
    <n v="0"/>
    <x v="16"/>
    <x v="1"/>
  </r>
  <r>
    <x v="1"/>
    <x v="3"/>
    <x v="0"/>
    <x v="2"/>
    <x v="2"/>
    <x v="17"/>
    <n v="0"/>
    <x v="17"/>
    <x v="1"/>
  </r>
  <r>
    <x v="1"/>
    <x v="3"/>
    <x v="0"/>
    <x v="2"/>
    <x v="2"/>
    <x v="18"/>
    <n v="0"/>
    <x v="18"/>
    <x v="1"/>
  </r>
  <r>
    <x v="1"/>
    <x v="3"/>
    <x v="0"/>
    <x v="2"/>
    <x v="2"/>
    <x v="19"/>
    <n v="0"/>
    <x v="19"/>
    <x v="0"/>
  </r>
  <r>
    <x v="2"/>
    <x v="7"/>
    <x v="2"/>
    <x v="0"/>
    <x v="0"/>
    <x v="0"/>
    <n v="14"/>
    <x v="0"/>
    <x v="0"/>
  </r>
  <r>
    <x v="2"/>
    <x v="7"/>
    <x v="2"/>
    <x v="0"/>
    <x v="0"/>
    <x v="1"/>
    <n v="12"/>
    <x v="1"/>
    <x v="0"/>
  </r>
  <r>
    <x v="2"/>
    <x v="7"/>
    <x v="2"/>
    <x v="0"/>
    <x v="0"/>
    <x v="2"/>
    <n v="27"/>
    <x v="2"/>
    <x v="0"/>
  </r>
  <r>
    <x v="2"/>
    <x v="7"/>
    <x v="2"/>
    <x v="0"/>
    <x v="0"/>
    <x v="3"/>
    <n v="23"/>
    <x v="3"/>
    <x v="0"/>
  </r>
  <r>
    <x v="2"/>
    <x v="7"/>
    <x v="2"/>
    <x v="0"/>
    <x v="0"/>
    <x v="4"/>
    <n v="20"/>
    <x v="4"/>
    <x v="1"/>
  </r>
  <r>
    <x v="2"/>
    <x v="7"/>
    <x v="2"/>
    <x v="0"/>
    <x v="0"/>
    <x v="5"/>
    <n v="16"/>
    <x v="5"/>
    <x v="1"/>
  </r>
  <r>
    <x v="2"/>
    <x v="7"/>
    <x v="2"/>
    <x v="0"/>
    <x v="0"/>
    <x v="6"/>
    <n v="25"/>
    <x v="6"/>
    <x v="1"/>
  </r>
  <r>
    <x v="2"/>
    <x v="7"/>
    <x v="2"/>
    <x v="0"/>
    <x v="0"/>
    <x v="7"/>
    <n v="18"/>
    <x v="7"/>
    <x v="1"/>
  </r>
  <r>
    <x v="2"/>
    <x v="7"/>
    <x v="2"/>
    <x v="0"/>
    <x v="1"/>
    <x v="8"/>
    <n v="28"/>
    <x v="8"/>
    <x v="1"/>
  </r>
  <r>
    <x v="2"/>
    <x v="7"/>
    <x v="2"/>
    <x v="0"/>
    <x v="1"/>
    <x v="9"/>
    <n v="21"/>
    <x v="9"/>
    <x v="1"/>
  </r>
  <r>
    <x v="2"/>
    <x v="7"/>
    <x v="2"/>
    <x v="0"/>
    <x v="1"/>
    <x v="10"/>
    <n v="21"/>
    <x v="10"/>
    <x v="1"/>
  </r>
  <r>
    <x v="2"/>
    <x v="7"/>
    <x v="2"/>
    <x v="0"/>
    <x v="1"/>
    <x v="11"/>
    <n v="20"/>
    <x v="11"/>
    <x v="1"/>
  </r>
  <r>
    <x v="2"/>
    <x v="7"/>
    <x v="2"/>
    <x v="0"/>
    <x v="2"/>
    <x v="12"/>
    <n v="20"/>
    <x v="12"/>
    <x v="0"/>
  </r>
  <r>
    <x v="2"/>
    <x v="7"/>
    <x v="2"/>
    <x v="0"/>
    <x v="2"/>
    <x v="13"/>
    <n v="22"/>
    <x v="13"/>
    <x v="0"/>
  </r>
  <r>
    <x v="2"/>
    <x v="7"/>
    <x v="2"/>
    <x v="0"/>
    <x v="2"/>
    <x v="14"/>
    <n v="23"/>
    <x v="14"/>
    <x v="0"/>
  </r>
  <r>
    <x v="2"/>
    <x v="7"/>
    <x v="2"/>
    <x v="0"/>
    <x v="2"/>
    <x v="15"/>
    <n v="26"/>
    <x v="15"/>
    <x v="1"/>
  </r>
  <r>
    <x v="2"/>
    <x v="7"/>
    <x v="2"/>
    <x v="0"/>
    <x v="2"/>
    <x v="16"/>
    <n v="33"/>
    <x v="16"/>
    <x v="1"/>
  </r>
  <r>
    <x v="2"/>
    <x v="7"/>
    <x v="2"/>
    <x v="0"/>
    <x v="2"/>
    <x v="17"/>
    <n v="17"/>
    <x v="17"/>
    <x v="1"/>
  </r>
  <r>
    <x v="2"/>
    <x v="7"/>
    <x v="2"/>
    <x v="0"/>
    <x v="2"/>
    <x v="18"/>
    <n v="39"/>
    <x v="18"/>
    <x v="1"/>
  </r>
  <r>
    <x v="2"/>
    <x v="7"/>
    <x v="2"/>
    <x v="0"/>
    <x v="2"/>
    <x v="19"/>
    <n v="21"/>
    <x v="19"/>
    <x v="0"/>
  </r>
  <r>
    <x v="2"/>
    <x v="7"/>
    <x v="2"/>
    <x v="1"/>
    <x v="0"/>
    <x v="0"/>
    <n v="0"/>
    <x v="0"/>
    <x v="0"/>
  </r>
  <r>
    <x v="2"/>
    <x v="7"/>
    <x v="2"/>
    <x v="1"/>
    <x v="0"/>
    <x v="1"/>
    <n v="0"/>
    <x v="1"/>
    <x v="0"/>
  </r>
  <r>
    <x v="2"/>
    <x v="7"/>
    <x v="2"/>
    <x v="1"/>
    <x v="0"/>
    <x v="2"/>
    <n v="1"/>
    <x v="2"/>
    <x v="0"/>
  </r>
  <r>
    <x v="2"/>
    <x v="7"/>
    <x v="2"/>
    <x v="1"/>
    <x v="0"/>
    <x v="3"/>
    <n v="0"/>
    <x v="3"/>
    <x v="0"/>
  </r>
  <r>
    <x v="2"/>
    <x v="7"/>
    <x v="2"/>
    <x v="1"/>
    <x v="0"/>
    <x v="4"/>
    <n v="0"/>
    <x v="4"/>
    <x v="1"/>
  </r>
  <r>
    <x v="2"/>
    <x v="7"/>
    <x v="2"/>
    <x v="1"/>
    <x v="0"/>
    <x v="5"/>
    <n v="2"/>
    <x v="5"/>
    <x v="1"/>
  </r>
  <r>
    <x v="2"/>
    <x v="7"/>
    <x v="2"/>
    <x v="1"/>
    <x v="0"/>
    <x v="6"/>
    <n v="0"/>
    <x v="6"/>
    <x v="1"/>
  </r>
  <r>
    <x v="2"/>
    <x v="7"/>
    <x v="2"/>
    <x v="1"/>
    <x v="0"/>
    <x v="7"/>
    <n v="0"/>
    <x v="7"/>
    <x v="1"/>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0"/>
  </r>
  <r>
    <x v="2"/>
    <x v="7"/>
    <x v="2"/>
    <x v="1"/>
    <x v="2"/>
    <x v="14"/>
    <n v="0"/>
    <x v="14"/>
    <x v="0"/>
  </r>
  <r>
    <x v="2"/>
    <x v="7"/>
    <x v="2"/>
    <x v="1"/>
    <x v="2"/>
    <x v="15"/>
    <n v="0"/>
    <x v="15"/>
    <x v="1"/>
  </r>
  <r>
    <x v="2"/>
    <x v="7"/>
    <x v="2"/>
    <x v="1"/>
    <x v="2"/>
    <x v="16"/>
    <n v="0"/>
    <x v="16"/>
    <x v="1"/>
  </r>
  <r>
    <x v="2"/>
    <x v="7"/>
    <x v="2"/>
    <x v="1"/>
    <x v="2"/>
    <x v="17"/>
    <n v="0"/>
    <x v="17"/>
    <x v="1"/>
  </r>
  <r>
    <x v="2"/>
    <x v="7"/>
    <x v="2"/>
    <x v="1"/>
    <x v="2"/>
    <x v="18"/>
    <n v="0"/>
    <x v="18"/>
    <x v="1"/>
  </r>
  <r>
    <x v="2"/>
    <x v="7"/>
    <x v="2"/>
    <x v="1"/>
    <x v="2"/>
    <x v="19"/>
    <n v="0"/>
    <x v="19"/>
    <x v="0"/>
  </r>
  <r>
    <x v="2"/>
    <x v="7"/>
    <x v="2"/>
    <x v="2"/>
    <x v="0"/>
    <x v="0"/>
    <n v="1"/>
    <x v="0"/>
    <x v="0"/>
  </r>
  <r>
    <x v="2"/>
    <x v="7"/>
    <x v="2"/>
    <x v="2"/>
    <x v="0"/>
    <x v="1"/>
    <n v="3"/>
    <x v="1"/>
    <x v="0"/>
  </r>
  <r>
    <x v="2"/>
    <x v="7"/>
    <x v="2"/>
    <x v="2"/>
    <x v="0"/>
    <x v="2"/>
    <n v="1"/>
    <x v="2"/>
    <x v="0"/>
  </r>
  <r>
    <x v="2"/>
    <x v="7"/>
    <x v="2"/>
    <x v="2"/>
    <x v="0"/>
    <x v="3"/>
    <n v="0"/>
    <x v="3"/>
    <x v="0"/>
  </r>
  <r>
    <x v="2"/>
    <x v="7"/>
    <x v="2"/>
    <x v="2"/>
    <x v="0"/>
    <x v="4"/>
    <n v="1"/>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1"/>
    <x v="14"/>
    <x v="0"/>
  </r>
  <r>
    <x v="2"/>
    <x v="7"/>
    <x v="2"/>
    <x v="2"/>
    <x v="2"/>
    <x v="15"/>
    <n v="0"/>
    <x v="15"/>
    <x v="1"/>
  </r>
  <r>
    <x v="2"/>
    <x v="7"/>
    <x v="2"/>
    <x v="2"/>
    <x v="2"/>
    <x v="16"/>
    <n v="0"/>
    <x v="16"/>
    <x v="1"/>
  </r>
  <r>
    <x v="2"/>
    <x v="7"/>
    <x v="2"/>
    <x v="2"/>
    <x v="2"/>
    <x v="17"/>
    <n v="0"/>
    <x v="17"/>
    <x v="1"/>
  </r>
  <r>
    <x v="2"/>
    <x v="7"/>
    <x v="2"/>
    <x v="2"/>
    <x v="2"/>
    <x v="18"/>
    <n v="2"/>
    <x v="18"/>
    <x v="1"/>
  </r>
  <r>
    <x v="2"/>
    <x v="7"/>
    <x v="2"/>
    <x v="2"/>
    <x v="2"/>
    <x v="19"/>
    <n v="0"/>
    <x v="19"/>
    <x v="0"/>
  </r>
  <r>
    <x v="2"/>
    <x v="8"/>
    <x v="3"/>
    <x v="0"/>
    <x v="0"/>
    <x v="0"/>
    <n v="4"/>
    <x v="0"/>
    <x v="0"/>
  </r>
  <r>
    <x v="2"/>
    <x v="8"/>
    <x v="3"/>
    <x v="0"/>
    <x v="0"/>
    <x v="1"/>
    <n v="8"/>
    <x v="1"/>
    <x v="0"/>
  </r>
  <r>
    <x v="2"/>
    <x v="8"/>
    <x v="3"/>
    <x v="0"/>
    <x v="0"/>
    <x v="2"/>
    <n v="13"/>
    <x v="2"/>
    <x v="0"/>
  </r>
  <r>
    <x v="2"/>
    <x v="8"/>
    <x v="3"/>
    <x v="0"/>
    <x v="0"/>
    <x v="3"/>
    <n v="7"/>
    <x v="3"/>
    <x v="0"/>
  </r>
  <r>
    <x v="2"/>
    <x v="8"/>
    <x v="3"/>
    <x v="0"/>
    <x v="0"/>
    <x v="4"/>
    <n v="18"/>
    <x v="4"/>
    <x v="1"/>
  </r>
  <r>
    <x v="2"/>
    <x v="8"/>
    <x v="3"/>
    <x v="0"/>
    <x v="0"/>
    <x v="5"/>
    <n v="33"/>
    <x v="5"/>
    <x v="1"/>
  </r>
  <r>
    <x v="2"/>
    <x v="8"/>
    <x v="3"/>
    <x v="0"/>
    <x v="0"/>
    <x v="6"/>
    <n v="21"/>
    <x v="6"/>
    <x v="1"/>
  </r>
  <r>
    <x v="2"/>
    <x v="8"/>
    <x v="3"/>
    <x v="0"/>
    <x v="0"/>
    <x v="7"/>
    <n v="10"/>
    <x v="7"/>
    <x v="1"/>
  </r>
  <r>
    <x v="2"/>
    <x v="8"/>
    <x v="3"/>
    <x v="0"/>
    <x v="1"/>
    <x v="8"/>
    <n v="10"/>
    <x v="8"/>
    <x v="1"/>
  </r>
  <r>
    <x v="2"/>
    <x v="8"/>
    <x v="3"/>
    <x v="0"/>
    <x v="1"/>
    <x v="9"/>
    <n v="4"/>
    <x v="9"/>
    <x v="1"/>
  </r>
  <r>
    <x v="2"/>
    <x v="8"/>
    <x v="3"/>
    <x v="0"/>
    <x v="1"/>
    <x v="10"/>
    <n v="4"/>
    <x v="10"/>
    <x v="1"/>
  </r>
  <r>
    <x v="2"/>
    <x v="8"/>
    <x v="3"/>
    <x v="0"/>
    <x v="1"/>
    <x v="11"/>
    <n v="7"/>
    <x v="11"/>
    <x v="1"/>
  </r>
  <r>
    <x v="2"/>
    <x v="8"/>
    <x v="3"/>
    <x v="0"/>
    <x v="2"/>
    <x v="12"/>
    <n v="14"/>
    <x v="12"/>
    <x v="0"/>
  </r>
  <r>
    <x v="2"/>
    <x v="8"/>
    <x v="3"/>
    <x v="0"/>
    <x v="2"/>
    <x v="13"/>
    <n v="11"/>
    <x v="13"/>
    <x v="0"/>
  </r>
  <r>
    <x v="2"/>
    <x v="8"/>
    <x v="3"/>
    <x v="0"/>
    <x v="2"/>
    <x v="14"/>
    <n v="17"/>
    <x v="14"/>
    <x v="0"/>
  </r>
  <r>
    <x v="2"/>
    <x v="8"/>
    <x v="3"/>
    <x v="0"/>
    <x v="2"/>
    <x v="15"/>
    <n v="20"/>
    <x v="15"/>
    <x v="1"/>
  </r>
  <r>
    <x v="2"/>
    <x v="8"/>
    <x v="3"/>
    <x v="0"/>
    <x v="2"/>
    <x v="16"/>
    <n v="12"/>
    <x v="16"/>
    <x v="1"/>
  </r>
  <r>
    <x v="2"/>
    <x v="8"/>
    <x v="3"/>
    <x v="0"/>
    <x v="2"/>
    <x v="17"/>
    <n v="10"/>
    <x v="17"/>
    <x v="1"/>
  </r>
  <r>
    <x v="2"/>
    <x v="8"/>
    <x v="3"/>
    <x v="0"/>
    <x v="2"/>
    <x v="18"/>
    <n v="9"/>
    <x v="18"/>
    <x v="1"/>
  </r>
  <r>
    <x v="2"/>
    <x v="8"/>
    <x v="3"/>
    <x v="0"/>
    <x v="2"/>
    <x v="19"/>
    <n v="8"/>
    <x v="19"/>
    <x v="0"/>
  </r>
  <r>
    <x v="2"/>
    <x v="8"/>
    <x v="3"/>
    <x v="1"/>
    <x v="0"/>
    <x v="0"/>
    <n v="0"/>
    <x v="0"/>
    <x v="0"/>
  </r>
  <r>
    <x v="2"/>
    <x v="8"/>
    <x v="3"/>
    <x v="1"/>
    <x v="0"/>
    <x v="1"/>
    <n v="1"/>
    <x v="1"/>
    <x v="0"/>
  </r>
  <r>
    <x v="2"/>
    <x v="8"/>
    <x v="3"/>
    <x v="1"/>
    <x v="0"/>
    <x v="2"/>
    <n v="0"/>
    <x v="2"/>
    <x v="0"/>
  </r>
  <r>
    <x v="2"/>
    <x v="8"/>
    <x v="3"/>
    <x v="1"/>
    <x v="0"/>
    <x v="3"/>
    <n v="0"/>
    <x v="3"/>
    <x v="0"/>
  </r>
  <r>
    <x v="2"/>
    <x v="8"/>
    <x v="3"/>
    <x v="1"/>
    <x v="0"/>
    <x v="4"/>
    <n v="0"/>
    <x v="4"/>
    <x v="1"/>
  </r>
  <r>
    <x v="2"/>
    <x v="8"/>
    <x v="3"/>
    <x v="1"/>
    <x v="0"/>
    <x v="5"/>
    <n v="0"/>
    <x v="5"/>
    <x v="1"/>
  </r>
  <r>
    <x v="2"/>
    <x v="8"/>
    <x v="3"/>
    <x v="1"/>
    <x v="0"/>
    <x v="6"/>
    <n v="0"/>
    <x v="6"/>
    <x v="1"/>
  </r>
  <r>
    <x v="2"/>
    <x v="8"/>
    <x v="3"/>
    <x v="1"/>
    <x v="0"/>
    <x v="7"/>
    <n v="0"/>
    <x v="7"/>
    <x v="1"/>
  </r>
  <r>
    <x v="2"/>
    <x v="8"/>
    <x v="3"/>
    <x v="1"/>
    <x v="1"/>
    <x v="8"/>
    <n v="0"/>
    <x v="8"/>
    <x v="1"/>
  </r>
  <r>
    <x v="2"/>
    <x v="8"/>
    <x v="3"/>
    <x v="1"/>
    <x v="1"/>
    <x v="9"/>
    <n v="0"/>
    <x v="9"/>
    <x v="1"/>
  </r>
  <r>
    <x v="2"/>
    <x v="8"/>
    <x v="3"/>
    <x v="1"/>
    <x v="1"/>
    <x v="10"/>
    <n v="1"/>
    <x v="10"/>
    <x v="1"/>
  </r>
  <r>
    <x v="2"/>
    <x v="8"/>
    <x v="3"/>
    <x v="1"/>
    <x v="1"/>
    <x v="11"/>
    <n v="0"/>
    <x v="11"/>
    <x v="1"/>
  </r>
  <r>
    <x v="2"/>
    <x v="8"/>
    <x v="3"/>
    <x v="1"/>
    <x v="2"/>
    <x v="12"/>
    <n v="0"/>
    <x v="12"/>
    <x v="0"/>
  </r>
  <r>
    <x v="2"/>
    <x v="8"/>
    <x v="3"/>
    <x v="1"/>
    <x v="2"/>
    <x v="13"/>
    <n v="0"/>
    <x v="13"/>
    <x v="0"/>
  </r>
  <r>
    <x v="2"/>
    <x v="8"/>
    <x v="3"/>
    <x v="1"/>
    <x v="2"/>
    <x v="14"/>
    <n v="1"/>
    <x v="14"/>
    <x v="0"/>
  </r>
  <r>
    <x v="2"/>
    <x v="8"/>
    <x v="3"/>
    <x v="1"/>
    <x v="2"/>
    <x v="15"/>
    <n v="0"/>
    <x v="15"/>
    <x v="1"/>
  </r>
  <r>
    <x v="2"/>
    <x v="8"/>
    <x v="3"/>
    <x v="1"/>
    <x v="2"/>
    <x v="16"/>
    <n v="0"/>
    <x v="16"/>
    <x v="1"/>
  </r>
  <r>
    <x v="2"/>
    <x v="8"/>
    <x v="3"/>
    <x v="1"/>
    <x v="2"/>
    <x v="17"/>
    <n v="0"/>
    <x v="17"/>
    <x v="1"/>
  </r>
  <r>
    <x v="2"/>
    <x v="8"/>
    <x v="3"/>
    <x v="1"/>
    <x v="2"/>
    <x v="18"/>
    <n v="1"/>
    <x v="18"/>
    <x v="1"/>
  </r>
  <r>
    <x v="2"/>
    <x v="8"/>
    <x v="3"/>
    <x v="1"/>
    <x v="2"/>
    <x v="19"/>
    <n v="0"/>
    <x v="19"/>
    <x v="0"/>
  </r>
  <r>
    <x v="2"/>
    <x v="8"/>
    <x v="3"/>
    <x v="2"/>
    <x v="0"/>
    <x v="0"/>
    <n v="0"/>
    <x v="0"/>
    <x v="0"/>
  </r>
  <r>
    <x v="2"/>
    <x v="8"/>
    <x v="3"/>
    <x v="2"/>
    <x v="0"/>
    <x v="1"/>
    <n v="0"/>
    <x v="1"/>
    <x v="0"/>
  </r>
  <r>
    <x v="2"/>
    <x v="8"/>
    <x v="3"/>
    <x v="2"/>
    <x v="0"/>
    <x v="2"/>
    <n v="0"/>
    <x v="2"/>
    <x v="0"/>
  </r>
  <r>
    <x v="2"/>
    <x v="8"/>
    <x v="3"/>
    <x v="2"/>
    <x v="0"/>
    <x v="3"/>
    <n v="1"/>
    <x v="3"/>
    <x v="0"/>
  </r>
  <r>
    <x v="2"/>
    <x v="8"/>
    <x v="3"/>
    <x v="2"/>
    <x v="0"/>
    <x v="4"/>
    <n v="1"/>
    <x v="4"/>
    <x v="1"/>
  </r>
  <r>
    <x v="2"/>
    <x v="8"/>
    <x v="3"/>
    <x v="2"/>
    <x v="0"/>
    <x v="5"/>
    <n v="1"/>
    <x v="5"/>
    <x v="1"/>
  </r>
  <r>
    <x v="2"/>
    <x v="8"/>
    <x v="3"/>
    <x v="2"/>
    <x v="0"/>
    <x v="6"/>
    <n v="0"/>
    <x v="6"/>
    <x v="1"/>
  </r>
  <r>
    <x v="2"/>
    <x v="8"/>
    <x v="3"/>
    <x v="2"/>
    <x v="0"/>
    <x v="7"/>
    <n v="1"/>
    <x v="7"/>
    <x v="1"/>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0"/>
  </r>
  <r>
    <x v="2"/>
    <x v="8"/>
    <x v="3"/>
    <x v="2"/>
    <x v="2"/>
    <x v="14"/>
    <n v="0"/>
    <x v="14"/>
    <x v="0"/>
  </r>
  <r>
    <x v="2"/>
    <x v="8"/>
    <x v="3"/>
    <x v="2"/>
    <x v="2"/>
    <x v="15"/>
    <n v="0"/>
    <x v="15"/>
    <x v="1"/>
  </r>
  <r>
    <x v="2"/>
    <x v="8"/>
    <x v="3"/>
    <x v="2"/>
    <x v="2"/>
    <x v="16"/>
    <n v="1"/>
    <x v="16"/>
    <x v="1"/>
  </r>
  <r>
    <x v="2"/>
    <x v="8"/>
    <x v="3"/>
    <x v="2"/>
    <x v="2"/>
    <x v="17"/>
    <n v="0"/>
    <x v="17"/>
    <x v="1"/>
  </r>
  <r>
    <x v="2"/>
    <x v="8"/>
    <x v="3"/>
    <x v="2"/>
    <x v="2"/>
    <x v="18"/>
    <n v="0"/>
    <x v="18"/>
    <x v="1"/>
  </r>
  <r>
    <x v="2"/>
    <x v="8"/>
    <x v="3"/>
    <x v="2"/>
    <x v="2"/>
    <x v="19"/>
    <n v="0"/>
    <x v="19"/>
    <x v="0"/>
  </r>
  <r>
    <x v="2"/>
    <x v="9"/>
    <x v="0"/>
    <x v="0"/>
    <x v="0"/>
    <x v="0"/>
    <n v="0"/>
    <x v="0"/>
    <x v="0"/>
  </r>
  <r>
    <x v="2"/>
    <x v="9"/>
    <x v="0"/>
    <x v="0"/>
    <x v="0"/>
    <x v="1"/>
    <n v="0"/>
    <x v="1"/>
    <x v="0"/>
  </r>
  <r>
    <x v="2"/>
    <x v="9"/>
    <x v="0"/>
    <x v="0"/>
    <x v="0"/>
    <x v="2"/>
    <n v="0"/>
    <x v="2"/>
    <x v="0"/>
  </r>
  <r>
    <x v="2"/>
    <x v="9"/>
    <x v="0"/>
    <x v="0"/>
    <x v="0"/>
    <x v="3"/>
    <n v="0"/>
    <x v="3"/>
    <x v="0"/>
  </r>
  <r>
    <x v="2"/>
    <x v="9"/>
    <x v="0"/>
    <x v="0"/>
    <x v="0"/>
    <x v="4"/>
    <n v="0"/>
    <x v="4"/>
    <x v="1"/>
  </r>
  <r>
    <x v="2"/>
    <x v="9"/>
    <x v="0"/>
    <x v="0"/>
    <x v="0"/>
    <x v="5"/>
    <n v="0"/>
    <x v="5"/>
    <x v="1"/>
  </r>
  <r>
    <x v="2"/>
    <x v="9"/>
    <x v="0"/>
    <x v="0"/>
    <x v="0"/>
    <x v="6"/>
    <n v="0"/>
    <x v="6"/>
    <x v="1"/>
  </r>
  <r>
    <x v="2"/>
    <x v="9"/>
    <x v="0"/>
    <x v="0"/>
    <x v="0"/>
    <x v="7"/>
    <n v="0"/>
    <x v="7"/>
    <x v="1"/>
  </r>
  <r>
    <x v="2"/>
    <x v="9"/>
    <x v="0"/>
    <x v="0"/>
    <x v="1"/>
    <x v="8"/>
    <n v="0"/>
    <x v="8"/>
    <x v="1"/>
  </r>
  <r>
    <x v="2"/>
    <x v="9"/>
    <x v="0"/>
    <x v="0"/>
    <x v="1"/>
    <x v="9"/>
    <n v="3"/>
    <x v="9"/>
    <x v="1"/>
  </r>
  <r>
    <x v="2"/>
    <x v="9"/>
    <x v="0"/>
    <x v="0"/>
    <x v="1"/>
    <x v="10"/>
    <n v="1"/>
    <x v="10"/>
    <x v="1"/>
  </r>
  <r>
    <x v="2"/>
    <x v="9"/>
    <x v="0"/>
    <x v="0"/>
    <x v="1"/>
    <x v="11"/>
    <n v="0"/>
    <x v="11"/>
    <x v="1"/>
  </r>
  <r>
    <x v="2"/>
    <x v="9"/>
    <x v="0"/>
    <x v="0"/>
    <x v="2"/>
    <x v="12"/>
    <n v="1"/>
    <x v="12"/>
    <x v="0"/>
  </r>
  <r>
    <x v="2"/>
    <x v="9"/>
    <x v="0"/>
    <x v="0"/>
    <x v="2"/>
    <x v="13"/>
    <n v="0"/>
    <x v="13"/>
    <x v="0"/>
  </r>
  <r>
    <x v="2"/>
    <x v="9"/>
    <x v="0"/>
    <x v="0"/>
    <x v="2"/>
    <x v="14"/>
    <n v="2"/>
    <x v="14"/>
    <x v="0"/>
  </r>
  <r>
    <x v="2"/>
    <x v="9"/>
    <x v="0"/>
    <x v="0"/>
    <x v="2"/>
    <x v="15"/>
    <n v="0"/>
    <x v="15"/>
    <x v="1"/>
  </r>
  <r>
    <x v="2"/>
    <x v="9"/>
    <x v="0"/>
    <x v="0"/>
    <x v="2"/>
    <x v="16"/>
    <n v="0"/>
    <x v="16"/>
    <x v="1"/>
  </r>
  <r>
    <x v="2"/>
    <x v="9"/>
    <x v="0"/>
    <x v="0"/>
    <x v="2"/>
    <x v="17"/>
    <n v="1"/>
    <x v="17"/>
    <x v="1"/>
  </r>
  <r>
    <x v="2"/>
    <x v="9"/>
    <x v="0"/>
    <x v="0"/>
    <x v="2"/>
    <x v="18"/>
    <n v="0"/>
    <x v="18"/>
    <x v="1"/>
  </r>
  <r>
    <x v="2"/>
    <x v="9"/>
    <x v="0"/>
    <x v="0"/>
    <x v="2"/>
    <x v="19"/>
    <n v="1"/>
    <x v="19"/>
    <x v="0"/>
  </r>
  <r>
    <x v="2"/>
    <x v="9"/>
    <x v="0"/>
    <x v="1"/>
    <x v="0"/>
    <x v="0"/>
    <n v="0"/>
    <x v="0"/>
    <x v="0"/>
  </r>
  <r>
    <x v="2"/>
    <x v="9"/>
    <x v="0"/>
    <x v="1"/>
    <x v="0"/>
    <x v="1"/>
    <n v="0"/>
    <x v="1"/>
    <x v="0"/>
  </r>
  <r>
    <x v="2"/>
    <x v="9"/>
    <x v="0"/>
    <x v="1"/>
    <x v="0"/>
    <x v="2"/>
    <n v="0"/>
    <x v="2"/>
    <x v="0"/>
  </r>
  <r>
    <x v="2"/>
    <x v="9"/>
    <x v="0"/>
    <x v="1"/>
    <x v="0"/>
    <x v="3"/>
    <n v="0"/>
    <x v="3"/>
    <x v="0"/>
  </r>
  <r>
    <x v="2"/>
    <x v="9"/>
    <x v="0"/>
    <x v="1"/>
    <x v="0"/>
    <x v="4"/>
    <n v="0"/>
    <x v="4"/>
    <x v="1"/>
  </r>
  <r>
    <x v="2"/>
    <x v="9"/>
    <x v="0"/>
    <x v="1"/>
    <x v="0"/>
    <x v="5"/>
    <n v="0"/>
    <x v="5"/>
    <x v="1"/>
  </r>
  <r>
    <x v="2"/>
    <x v="9"/>
    <x v="0"/>
    <x v="1"/>
    <x v="0"/>
    <x v="6"/>
    <n v="0"/>
    <x v="6"/>
    <x v="1"/>
  </r>
  <r>
    <x v="2"/>
    <x v="9"/>
    <x v="0"/>
    <x v="1"/>
    <x v="0"/>
    <x v="7"/>
    <n v="0"/>
    <x v="7"/>
    <x v="1"/>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0"/>
  </r>
  <r>
    <x v="2"/>
    <x v="9"/>
    <x v="0"/>
    <x v="1"/>
    <x v="2"/>
    <x v="15"/>
    <n v="0"/>
    <x v="15"/>
    <x v="1"/>
  </r>
  <r>
    <x v="2"/>
    <x v="9"/>
    <x v="0"/>
    <x v="1"/>
    <x v="2"/>
    <x v="16"/>
    <n v="0"/>
    <x v="16"/>
    <x v="1"/>
  </r>
  <r>
    <x v="2"/>
    <x v="9"/>
    <x v="0"/>
    <x v="1"/>
    <x v="2"/>
    <x v="17"/>
    <n v="0"/>
    <x v="17"/>
    <x v="1"/>
  </r>
  <r>
    <x v="2"/>
    <x v="9"/>
    <x v="0"/>
    <x v="1"/>
    <x v="2"/>
    <x v="18"/>
    <n v="0"/>
    <x v="18"/>
    <x v="1"/>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0"/>
  </r>
  <r>
    <x v="2"/>
    <x v="9"/>
    <x v="0"/>
    <x v="2"/>
    <x v="2"/>
    <x v="15"/>
    <n v="0"/>
    <x v="15"/>
    <x v="1"/>
  </r>
  <r>
    <x v="2"/>
    <x v="9"/>
    <x v="0"/>
    <x v="2"/>
    <x v="2"/>
    <x v="16"/>
    <n v="0"/>
    <x v="16"/>
    <x v="1"/>
  </r>
  <r>
    <x v="2"/>
    <x v="9"/>
    <x v="0"/>
    <x v="2"/>
    <x v="2"/>
    <x v="17"/>
    <n v="0"/>
    <x v="17"/>
    <x v="1"/>
  </r>
  <r>
    <x v="2"/>
    <x v="9"/>
    <x v="0"/>
    <x v="2"/>
    <x v="2"/>
    <x v="18"/>
    <n v="0"/>
    <x v="18"/>
    <x v="1"/>
  </r>
  <r>
    <x v="2"/>
    <x v="9"/>
    <x v="0"/>
    <x v="2"/>
    <x v="2"/>
    <x v="19"/>
    <n v="0"/>
    <x v="19"/>
    <x v="0"/>
  </r>
  <r>
    <x v="2"/>
    <x v="3"/>
    <x v="1"/>
    <x v="0"/>
    <x v="0"/>
    <x v="0"/>
    <n v="0"/>
    <x v="0"/>
    <x v="0"/>
  </r>
  <r>
    <x v="2"/>
    <x v="3"/>
    <x v="1"/>
    <x v="0"/>
    <x v="0"/>
    <x v="1"/>
    <n v="0"/>
    <x v="1"/>
    <x v="0"/>
  </r>
  <r>
    <x v="2"/>
    <x v="3"/>
    <x v="1"/>
    <x v="0"/>
    <x v="0"/>
    <x v="2"/>
    <n v="0"/>
    <x v="2"/>
    <x v="0"/>
  </r>
  <r>
    <x v="2"/>
    <x v="3"/>
    <x v="1"/>
    <x v="0"/>
    <x v="0"/>
    <x v="3"/>
    <n v="0"/>
    <x v="3"/>
    <x v="0"/>
  </r>
  <r>
    <x v="2"/>
    <x v="3"/>
    <x v="1"/>
    <x v="0"/>
    <x v="0"/>
    <x v="4"/>
    <n v="0"/>
    <x v="4"/>
    <x v="1"/>
  </r>
  <r>
    <x v="2"/>
    <x v="3"/>
    <x v="1"/>
    <x v="0"/>
    <x v="0"/>
    <x v="5"/>
    <n v="0"/>
    <x v="5"/>
    <x v="1"/>
  </r>
  <r>
    <x v="2"/>
    <x v="3"/>
    <x v="1"/>
    <x v="0"/>
    <x v="0"/>
    <x v="6"/>
    <n v="0"/>
    <x v="6"/>
    <x v="1"/>
  </r>
  <r>
    <x v="2"/>
    <x v="3"/>
    <x v="1"/>
    <x v="0"/>
    <x v="0"/>
    <x v="7"/>
    <n v="0"/>
    <x v="7"/>
    <x v="1"/>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0"/>
  </r>
  <r>
    <x v="2"/>
    <x v="3"/>
    <x v="1"/>
    <x v="0"/>
    <x v="2"/>
    <x v="14"/>
    <n v="0"/>
    <x v="14"/>
    <x v="0"/>
  </r>
  <r>
    <x v="2"/>
    <x v="3"/>
    <x v="1"/>
    <x v="0"/>
    <x v="2"/>
    <x v="15"/>
    <n v="0"/>
    <x v="15"/>
    <x v="1"/>
  </r>
  <r>
    <x v="2"/>
    <x v="3"/>
    <x v="1"/>
    <x v="0"/>
    <x v="2"/>
    <x v="16"/>
    <n v="0"/>
    <x v="16"/>
    <x v="1"/>
  </r>
  <r>
    <x v="2"/>
    <x v="3"/>
    <x v="1"/>
    <x v="0"/>
    <x v="2"/>
    <x v="17"/>
    <n v="0"/>
    <x v="17"/>
    <x v="1"/>
  </r>
  <r>
    <x v="2"/>
    <x v="3"/>
    <x v="1"/>
    <x v="0"/>
    <x v="2"/>
    <x v="18"/>
    <n v="0"/>
    <x v="18"/>
    <x v="1"/>
  </r>
  <r>
    <x v="2"/>
    <x v="3"/>
    <x v="1"/>
    <x v="0"/>
    <x v="2"/>
    <x v="19"/>
    <n v="0"/>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0"/>
  </r>
  <r>
    <x v="2"/>
    <x v="3"/>
    <x v="1"/>
    <x v="1"/>
    <x v="2"/>
    <x v="15"/>
    <n v="0"/>
    <x v="15"/>
    <x v="1"/>
  </r>
  <r>
    <x v="2"/>
    <x v="3"/>
    <x v="1"/>
    <x v="1"/>
    <x v="2"/>
    <x v="16"/>
    <n v="0"/>
    <x v="16"/>
    <x v="1"/>
  </r>
  <r>
    <x v="2"/>
    <x v="3"/>
    <x v="1"/>
    <x v="1"/>
    <x v="2"/>
    <x v="17"/>
    <n v="0"/>
    <x v="17"/>
    <x v="1"/>
  </r>
  <r>
    <x v="2"/>
    <x v="3"/>
    <x v="1"/>
    <x v="1"/>
    <x v="2"/>
    <x v="18"/>
    <n v="0"/>
    <x v="18"/>
    <x v="1"/>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0"/>
  </r>
  <r>
    <x v="2"/>
    <x v="3"/>
    <x v="1"/>
    <x v="2"/>
    <x v="2"/>
    <x v="15"/>
    <n v="0"/>
    <x v="15"/>
    <x v="1"/>
  </r>
  <r>
    <x v="2"/>
    <x v="3"/>
    <x v="1"/>
    <x v="2"/>
    <x v="2"/>
    <x v="16"/>
    <n v="0"/>
    <x v="16"/>
    <x v="1"/>
  </r>
  <r>
    <x v="2"/>
    <x v="3"/>
    <x v="1"/>
    <x v="2"/>
    <x v="2"/>
    <x v="17"/>
    <n v="0"/>
    <x v="17"/>
    <x v="1"/>
  </r>
  <r>
    <x v="2"/>
    <x v="3"/>
    <x v="1"/>
    <x v="2"/>
    <x v="2"/>
    <x v="18"/>
    <n v="0"/>
    <x v="18"/>
    <x v="1"/>
  </r>
  <r>
    <x v="2"/>
    <x v="3"/>
    <x v="1"/>
    <x v="2"/>
    <x v="2"/>
    <x v="19"/>
    <n v="0"/>
    <x v="19"/>
    <x v="0"/>
  </r>
  <r>
    <x v="3"/>
    <x v="10"/>
    <x v="3"/>
    <x v="0"/>
    <x v="0"/>
    <x v="0"/>
    <n v="14"/>
    <x v="0"/>
    <x v="0"/>
  </r>
  <r>
    <x v="3"/>
    <x v="10"/>
    <x v="3"/>
    <x v="0"/>
    <x v="0"/>
    <x v="1"/>
    <n v="27"/>
    <x v="1"/>
    <x v="0"/>
  </r>
  <r>
    <x v="3"/>
    <x v="10"/>
    <x v="3"/>
    <x v="0"/>
    <x v="0"/>
    <x v="2"/>
    <n v="20"/>
    <x v="2"/>
    <x v="0"/>
  </r>
  <r>
    <x v="3"/>
    <x v="10"/>
    <x v="3"/>
    <x v="0"/>
    <x v="0"/>
    <x v="3"/>
    <n v="29"/>
    <x v="3"/>
    <x v="0"/>
  </r>
  <r>
    <x v="3"/>
    <x v="10"/>
    <x v="3"/>
    <x v="0"/>
    <x v="0"/>
    <x v="4"/>
    <n v="35"/>
    <x v="4"/>
    <x v="1"/>
  </r>
  <r>
    <x v="3"/>
    <x v="10"/>
    <x v="3"/>
    <x v="0"/>
    <x v="0"/>
    <x v="5"/>
    <n v="49"/>
    <x v="5"/>
    <x v="1"/>
  </r>
  <r>
    <x v="3"/>
    <x v="10"/>
    <x v="3"/>
    <x v="0"/>
    <x v="0"/>
    <x v="6"/>
    <n v="46"/>
    <x v="6"/>
    <x v="1"/>
  </r>
  <r>
    <x v="3"/>
    <x v="10"/>
    <x v="3"/>
    <x v="0"/>
    <x v="0"/>
    <x v="7"/>
    <n v="42"/>
    <x v="7"/>
    <x v="1"/>
  </r>
  <r>
    <x v="3"/>
    <x v="10"/>
    <x v="3"/>
    <x v="0"/>
    <x v="1"/>
    <x v="8"/>
    <n v="53"/>
    <x v="8"/>
    <x v="1"/>
  </r>
  <r>
    <x v="3"/>
    <x v="10"/>
    <x v="3"/>
    <x v="0"/>
    <x v="1"/>
    <x v="9"/>
    <n v="68"/>
    <x v="9"/>
    <x v="1"/>
  </r>
  <r>
    <x v="3"/>
    <x v="10"/>
    <x v="3"/>
    <x v="0"/>
    <x v="1"/>
    <x v="10"/>
    <n v="51"/>
    <x v="10"/>
    <x v="1"/>
  </r>
  <r>
    <x v="3"/>
    <x v="10"/>
    <x v="3"/>
    <x v="0"/>
    <x v="1"/>
    <x v="11"/>
    <n v="52"/>
    <x v="11"/>
    <x v="1"/>
  </r>
  <r>
    <x v="3"/>
    <x v="10"/>
    <x v="3"/>
    <x v="0"/>
    <x v="2"/>
    <x v="12"/>
    <n v="97"/>
    <x v="12"/>
    <x v="0"/>
  </r>
  <r>
    <x v="3"/>
    <x v="10"/>
    <x v="3"/>
    <x v="0"/>
    <x v="2"/>
    <x v="13"/>
    <n v="112"/>
    <x v="13"/>
    <x v="0"/>
  </r>
  <r>
    <x v="3"/>
    <x v="10"/>
    <x v="3"/>
    <x v="0"/>
    <x v="2"/>
    <x v="14"/>
    <n v="97"/>
    <x v="14"/>
    <x v="0"/>
  </r>
  <r>
    <x v="3"/>
    <x v="10"/>
    <x v="3"/>
    <x v="0"/>
    <x v="2"/>
    <x v="15"/>
    <n v="118"/>
    <x v="15"/>
    <x v="1"/>
  </r>
  <r>
    <x v="3"/>
    <x v="10"/>
    <x v="3"/>
    <x v="0"/>
    <x v="2"/>
    <x v="16"/>
    <n v="115"/>
    <x v="16"/>
    <x v="1"/>
  </r>
  <r>
    <x v="3"/>
    <x v="10"/>
    <x v="3"/>
    <x v="0"/>
    <x v="2"/>
    <x v="17"/>
    <n v="113"/>
    <x v="17"/>
    <x v="1"/>
  </r>
  <r>
    <x v="3"/>
    <x v="10"/>
    <x v="3"/>
    <x v="0"/>
    <x v="2"/>
    <x v="18"/>
    <n v="115"/>
    <x v="18"/>
    <x v="1"/>
  </r>
  <r>
    <x v="3"/>
    <x v="10"/>
    <x v="3"/>
    <x v="0"/>
    <x v="2"/>
    <x v="19"/>
    <n v="104"/>
    <x v="19"/>
    <x v="0"/>
  </r>
  <r>
    <x v="3"/>
    <x v="10"/>
    <x v="3"/>
    <x v="1"/>
    <x v="0"/>
    <x v="0"/>
    <n v="2"/>
    <x v="0"/>
    <x v="0"/>
  </r>
  <r>
    <x v="3"/>
    <x v="10"/>
    <x v="3"/>
    <x v="1"/>
    <x v="0"/>
    <x v="1"/>
    <n v="0"/>
    <x v="1"/>
    <x v="0"/>
  </r>
  <r>
    <x v="3"/>
    <x v="10"/>
    <x v="3"/>
    <x v="1"/>
    <x v="0"/>
    <x v="2"/>
    <n v="1"/>
    <x v="2"/>
    <x v="0"/>
  </r>
  <r>
    <x v="3"/>
    <x v="10"/>
    <x v="3"/>
    <x v="1"/>
    <x v="0"/>
    <x v="3"/>
    <n v="2"/>
    <x v="3"/>
    <x v="0"/>
  </r>
  <r>
    <x v="3"/>
    <x v="10"/>
    <x v="3"/>
    <x v="1"/>
    <x v="0"/>
    <x v="4"/>
    <n v="0"/>
    <x v="4"/>
    <x v="1"/>
  </r>
  <r>
    <x v="3"/>
    <x v="10"/>
    <x v="3"/>
    <x v="1"/>
    <x v="0"/>
    <x v="5"/>
    <n v="1"/>
    <x v="5"/>
    <x v="1"/>
  </r>
  <r>
    <x v="3"/>
    <x v="10"/>
    <x v="3"/>
    <x v="1"/>
    <x v="0"/>
    <x v="6"/>
    <n v="1"/>
    <x v="6"/>
    <x v="1"/>
  </r>
  <r>
    <x v="3"/>
    <x v="10"/>
    <x v="3"/>
    <x v="1"/>
    <x v="0"/>
    <x v="7"/>
    <n v="2"/>
    <x v="7"/>
    <x v="1"/>
  </r>
  <r>
    <x v="3"/>
    <x v="10"/>
    <x v="3"/>
    <x v="1"/>
    <x v="1"/>
    <x v="8"/>
    <n v="1"/>
    <x v="8"/>
    <x v="1"/>
  </r>
  <r>
    <x v="3"/>
    <x v="10"/>
    <x v="3"/>
    <x v="1"/>
    <x v="1"/>
    <x v="9"/>
    <n v="2"/>
    <x v="9"/>
    <x v="1"/>
  </r>
  <r>
    <x v="3"/>
    <x v="10"/>
    <x v="3"/>
    <x v="1"/>
    <x v="1"/>
    <x v="10"/>
    <n v="2"/>
    <x v="10"/>
    <x v="1"/>
  </r>
  <r>
    <x v="3"/>
    <x v="10"/>
    <x v="3"/>
    <x v="1"/>
    <x v="1"/>
    <x v="11"/>
    <n v="2"/>
    <x v="11"/>
    <x v="1"/>
  </r>
  <r>
    <x v="3"/>
    <x v="10"/>
    <x v="3"/>
    <x v="1"/>
    <x v="2"/>
    <x v="12"/>
    <n v="0"/>
    <x v="12"/>
    <x v="0"/>
  </r>
  <r>
    <x v="3"/>
    <x v="10"/>
    <x v="3"/>
    <x v="1"/>
    <x v="2"/>
    <x v="13"/>
    <n v="2"/>
    <x v="13"/>
    <x v="0"/>
  </r>
  <r>
    <x v="3"/>
    <x v="10"/>
    <x v="3"/>
    <x v="1"/>
    <x v="2"/>
    <x v="14"/>
    <n v="1"/>
    <x v="14"/>
    <x v="0"/>
  </r>
  <r>
    <x v="3"/>
    <x v="10"/>
    <x v="3"/>
    <x v="1"/>
    <x v="2"/>
    <x v="15"/>
    <n v="2"/>
    <x v="15"/>
    <x v="1"/>
  </r>
  <r>
    <x v="3"/>
    <x v="10"/>
    <x v="3"/>
    <x v="1"/>
    <x v="2"/>
    <x v="16"/>
    <n v="1"/>
    <x v="16"/>
    <x v="1"/>
  </r>
  <r>
    <x v="3"/>
    <x v="10"/>
    <x v="3"/>
    <x v="1"/>
    <x v="2"/>
    <x v="17"/>
    <n v="2"/>
    <x v="17"/>
    <x v="1"/>
  </r>
  <r>
    <x v="3"/>
    <x v="10"/>
    <x v="3"/>
    <x v="1"/>
    <x v="2"/>
    <x v="18"/>
    <n v="0"/>
    <x v="18"/>
    <x v="1"/>
  </r>
  <r>
    <x v="3"/>
    <x v="10"/>
    <x v="3"/>
    <x v="1"/>
    <x v="2"/>
    <x v="19"/>
    <n v="1"/>
    <x v="19"/>
    <x v="0"/>
  </r>
  <r>
    <x v="3"/>
    <x v="10"/>
    <x v="3"/>
    <x v="2"/>
    <x v="0"/>
    <x v="0"/>
    <n v="0"/>
    <x v="0"/>
    <x v="0"/>
  </r>
  <r>
    <x v="3"/>
    <x v="10"/>
    <x v="3"/>
    <x v="2"/>
    <x v="0"/>
    <x v="1"/>
    <n v="1"/>
    <x v="1"/>
    <x v="0"/>
  </r>
  <r>
    <x v="3"/>
    <x v="10"/>
    <x v="3"/>
    <x v="2"/>
    <x v="0"/>
    <x v="2"/>
    <n v="0"/>
    <x v="2"/>
    <x v="0"/>
  </r>
  <r>
    <x v="3"/>
    <x v="10"/>
    <x v="3"/>
    <x v="2"/>
    <x v="0"/>
    <x v="3"/>
    <n v="0"/>
    <x v="3"/>
    <x v="0"/>
  </r>
  <r>
    <x v="3"/>
    <x v="10"/>
    <x v="3"/>
    <x v="2"/>
    <x v="0"/>
    <x v="4"/>
    <n v="0"/>
    <x v="4"/>
    <x v="1"/>
  </r>
  <r>
    <x v="3"/>
    <x v="10"/>
    <x v="3"/>
    <x v="2"/>
    <x v="0"/>
    <x v="5"/>
    <n v="1"/>
    <x v="5"/>
    <x v="1"/>
  </r>
  <r>
    <x v="3"/>
    <x v="10"/>
    <x v="3"/>
    <x v="2"/>
    <x v="0"/>
    <x v="6"/>
    <n v="1"/>
    <x v="6"/>
    <x v="1"/>
  </r>
  <r>
    <x v="3"/>
    <x v="10"/>
    <x v="3"/>
    <x v="2"/>
    <x v="0"/>
    <x v="7"/>
    <n v="1"/>
    <x v="7"/>
    <x v="1"/>
  </r>
  <r>
    <x v="3"/>
    <x v="10"/>
    <x v="3"/>
    <x v="2"/>
    <x v="1"/>
    <x v="8"/>
    <n v="1"/>
    <x v="8"/>
    <x v="1"/>
  </r>
  <r>
    <x v="3"/>
    <x v="10"/>
    <x v="3"/>
    <x v="2"/>
    <x v="1"/>
    <x v="9"/>
    <n v="0"/>
    <x v="9"/>
    <x v="1"/>
  </r>
  <r>
    <x v="3"/>
    <x v="10"/>
    <x v="3"/>
    <x v="2"/>
    <x v="1"/>
    <x v="10"/>
    <n v="0"/>
    <x v="10"/>
    <x v="1"/>
  </r>
  <r>
    <x v="3"/>
    <x v="10"/>
    <x v="3"/>
    <x v="2"/>
    <x v="1"/>
    <x v="11"/>
    <n v="2"/>
    <x v="11"/>
    <x v="1"/>
  </r>
  <r>
    <x v="3"/>
    <x v="10"/>
    <x v="3"/>
    <x v="2"/>
    <x v="2"/>
    <x v="12"/>
    <n v="0"/>
    <x v="12"/>
    <x v="0"/>
  </r>
  <r>
    <x v="3"/>
    <x v="10"/>
    <x v="3"/>
    <x v="2"/>
    <x v="2"/>
    <x v="13"/>
    <n v="1"/>
    <x v="13"/>
    <x v="0"/>
  </r>
  <r>
    <x v="3"/>
    <x v="10"/>
    <x v="3"/>
    <x v="2"/>
    <x v="2"/>
    <x v="14"/>
    <n v="0"/>
    <x v="14"/>
    <x v="0"/>
  </r>
  <r>
    <x v="3"/>
    <x v="10"/>
    <x v="3"/>
    <x v="2"/>
    <x v="2"/>
    <x v="15"/>
    <n v="1"/>
    <x v="15"/>
    <x v="1"/>
  </r>
  <r>
    <x v="3"/>
    <x v="10"/>
    <x v="3"/>
    <x v="2"/>
    <x v="2"/>
    <x v="16"/>
    <n v="4"/>
    <x v="16"/>
    <x v="1"/>
  </r>
  <r>
    <x v="3"/>
    <x v="10"/>
    <x v="3"/>
    <x v="2"/>
    <x v="2"/>
    <x v="17"/>
    <n v="0"/>
    <x v="17"/>
    <x v="1"/>
  </r>
  <r>
    <x v="3"/>
    <x v="10"/>
    <x v="3"/>
    <x v="2"/>
    <x v="2"/>
    <x v="18"/>
    <n v="3"/>
    <x v="18"/>
    <x v="1"/>
  </r>
  <r>
    <x v="3"/>
    <x v="10"/>
    <x v="3"/>
    <x v="2"/>
    <x v="2"/>
    <x v="19"/>
    <n v="3"/>
    <x v="19"/>
    <x v="0"/>
  </r>
  <r>
    <x v="3"/>
    <x v="11"/>
    <x v="0"/>
    <x v="0"/>
    <x v="0"/>
    <x v="0"/>
    <n v="5"/>
    <x v="0"/>
    <x v="0"/>
  </r>
  <r>
    <x v="3"/>
    <x v="11"/>
    <x v="0"/>
    <x v="0"/>
    <x v="0"/>
    <x v="1"/>
    <n v="6"/>
    <x v="1"/>
    <x v="0"/>
  </r>
  <r>
    <x v="3"/>
    <x v="11"/>
    <x v="0"/>
    <x v="0"/>
    <x v="0"/>
    <x v="2"/>
    <n v="4"/>
    <x v="2"/>
    <x v="0"/>
  </r>
  <r>
    <x v="3"/>
    <x v="11"/>
    <x v="0"/>
    <x v="0"/>
    <x v="0"/>
    <x v="3"/>
    <n v="5"/>
    <x v="3"/>
    <x v="0"/>
  </r>
  <r>
    <x v="3"/>
    <x v="11"/>
    <x v="0"/>
    <x v="0"/>
    <x v="0"/>
    <x v="4"/>
    <n v="5"/>
    <x v="4"/>
    <x v="1"/>
  </r>
  <r>
    <x v="3"/>
    <x v="11"/>
    <x v="0"/>
    <x v="0"/>
    <x v="0"/>
    <x v="5"/>
    <n v="8"/>
    <x v="5"/>
    <x v="1"/>
  </r>
  <r>
    <x v="3"/>
    <x v="11"/>
    <x v="0"/>
    <x v="0"/>
    <x v="0"/>
    <x v="6"/>
    <n v="14"/>
    <x v="6"/>
    <x v="1"/>
  </r>
  <r>
    <x v="3"/>
    <x v="11"/>
    <x v="0"/>
    <x v="0"/>
    <x v="0"/>
    <x v="7"/>
    <n v="16"/>
    <x v="7"/>
    <x v="1"/>
  </r>
  <r>
    <x v="3"/>
    <x v="11"/>
    <x v="0"/>
    <x v="0"/>
    <x v="1"/>
    <x v="8"/>
    <n v="17"/>
    <x v="8"/>
    <x v="1"/>
  </r>
  <r>
    <x v="3"/>
    <x v="11"/>
    <x v="0"/>
    <x v="0"/>
    <x v="1"/>
    <x v="9"/>
    <n v="17"/>
    <x v="9"/>
    <x v="1"/>
  </r>
  <r>
    <x v="3"/>
    <x v="11"/>
    <x v="0"/>
    <x v="0"/>
    <x v="1"/>
    <x v="10"/>
    <n v="26"/>
    <x v="10"/>
    <x v="1"/>
  </r>
  <r>
    <x v="3"/>
    <x v="11"/>
    <x v="0"/>
    <x v="0"/>
    <x v="1"/>
    <x v="11"/>
    <n v="20"/>
    <x v="11"/>
    <x v="1"/>
  </r>
  <r>
    <x v="3"/>
    <x v="11"/>
    <x v="0"/>
    <x v="0"/>
    <x v="2"/>
    <x v="12"/>
    <n v="25"/>
    <x v="12"/>
    <x v="0"/>
  </r>
  <r>
    <x v="3"/>
    <x v="11"/>
    <x v="0"/>
    <x v="0"/>
    <x v="2"/>
    <x v="13"/>
    <n v="29"/>
    <x v="13"/>
    <x v="0"/>
  </r>
  <r>
    <x v="3"/>
    <x v="11"/>
    <x v="0"/>
    <x v="0"/>
    <x v="2"/>
    <x v="14"/>
    <n v="35"/>
    <x v="14"/>
    <x v="0"/>
  </r>
  <r>
    <x v="3"/>
    <x v="11"/>
    <x v="0"/>
    <x v="0"/>
    <x v="2"/>
    <x v="15"/>
    <n v="25"/>
    <x v="15"/>
    <x v="1"/>
  </r>
  <r>
    <x v="3"/>
    <x v="11"/>
    <x v="0"/>
    <x v="0"/>
    <x v="2"/>
    <x v="16"/>
    <n v="34"/>
    <x v="16"/>
    <x v="1"/>
  </r>
  <r>
    <x v="3"/>
    <x v="11"/>
    <x v="0"/>
    <x v="0"/>
    <x v="2"/>
    <x v="17"/>
    <n v="23"/>
    <x v="17"/>
    <x v="1"/>
  </r>
  <r>
    <x v="3"/>
    <x v="11"/>
    <x v="0"/>
    <x v="0"/>
    <x v="2"/>
    <x v="18"/>
    <n v="32"/>
    <x v="18"/>
    <x v="1"/>
  </r>
  <r>
    <x v="3"/>
    <x v="11"/>
    <x v="0"/>
    <x v="0"/>
    <x v="2"/>
    <x v="19"/>
    <n v="30"/>
    <x v="19"/>
    <x v="0"/>
  </r>
  <r>
    <x v="3"/>
    <x v="11"/>
    <x v="0"/>
    <x v="1"/>
    <x v="0"/>
    <x v="0"/>
    <n v="1"/>
    <x v="0"/>
    <x v="0"/>
  </r>
  <r>
    <x v="3"/>
    <x v="11"/>
    <x v="0"/>
    <x v="1"/>
    <x v="0"/>
    <x v="1"/>
    <n v="1"/>
    <x v="1"/>
    <x v="0"/>
  </r>
  <r>
    <x v="3"/>
    <x v="11"/>
    <x v="0"/>
    <x v="1"/>
    <x v="0"/>
    <x v="2"/>
    <n v="1"/>
    <x v="2"/>
    <x v="0"/>
  </r>
  <r>
    <x v="3"/>
    <x v="11"/>
    <x v="0"/>
    <x v="1"/>
    <x v="0"/>
    <x v="3"/>
    <n v="2"/>
    <x v="3"/>
    <x v="0"/>
  </r>
  <r>
    <x v="3"/>
    <x v="11"/>
    <x v="0"/>
    <x v="1"/>
    <x v="0"/>
    <x v="4"/>
    <n v="0"/>
    <x v="4"/>
    <x v="1"/>
  </r>
  <r>
    <x v="3"/>
    <x v="11"/>
    <x v="0"/>
    <x v="1"/>
    <x v="0"/>
    <x v="5"/>
    <n v="2"/>
    <x v="5"/>
    <x v="1"/>
  </r>
  <r>
    <x v="3"/>
    <x v="11"/>
    <x v="0"/>
    <x v="1"/>
    <x v="0"/>
    <x v="6"/>
    <n v="0"/>
    <x v="6"/>
    <x v="1"/>
  </r>
  <r>
    <x v="3"/>
    <x v="11"/>
    <x v="0"/>
    <x v="1"/>
    <x v="0"/>
    <x v="7"/>
    <n v="1"/>
    <x v="7"/>
    <x v="1"/>
  </r>
  <r>
    <x v="3"/>
    <x v="11"/>
    <x v="0"/>
    <x v="1"/>
    <x v="1"/>
    <x v="8"/>
    <n v="1"/>
    <x v="8"/>
    <x v="1"/>
  </r>
  <r>
    <x v="3"/>
    <x v="11"/>
    <x v="0"/>
    <x v="1"/>
    <x v="1"/>
    <x v="9"/>
    <n v="2"/>
    <x v="9"/>
    <x v="1"/>
  </r>
  <r>
    <x v="3"/>
    <x v="11"/>
    <x v="0"/>
    <x v="1"/>
    <x v="1"/>
    <x v="10"/>
    <n v="1"/>
    <x v="10"/>
    <x v="1"/>
  </r>
  <r>
    <x v="3"/>
    <x v="11"/>
    <x v="0"/>
    <x v="1"/>
    <x v="1"/>
    <x v="11"/>
    <n v="2"/>
    <x v="11"/>
    <x v="1"/>
  </r>
  <r>
    <x v="3"/>
    <x v="11"/>
    <x v="0"/>
    <x v="1"/>
    <x v="2"/>
    <x v="12"/>
    <n v="2"/>
    <x v="12"/>
    <x v="0"/>
  </r>
  <r>
    <x v="3"/>
    <x v="11"/>
    <x v="0"/>
    <x v="1"/>
    <x v="2"/>
    <x v="13"/>
    <n v="1"/>
    <x v="13"/>
    <x v="0"/>
  </r>
  <r>
    <x v="3"/>
    <x v="11"/>
    <x v="0"/>
    <x v="1"/>
    <x v="2"/>
    <x v="14"/>
    <n v="1"/>
    <x v="14"/>
    <x v="0"/>
  </r>
  <r>
    <x v="3"/>
    <x v="11"/>
    <x v="0"/>
    <x v="1"/>
    <x v="2"/>
    <x v="15"/>
    <n v="2"/>
    <x v="15"/>
    <x v="1"/>
  </r>
  <r>
    <x v="3"/>
    <x v="11"/>
    <x v="0"/>
    <x v="1"/>
    <x v="2"/>
    <x v="16"/>
    <n v="1"/>
    <x v="16"/>
    <x v="1"/>
  </r>
  <r>
    <x v="3"/>
    <x v="11"/>
    <x v="0"/>
    <x v="1"/>
    <x v="2"/>
    <x v="17"/>
    <n v="2"/>
    <x v="17"/>
    <x v="1"/>
  </r>
  <r>
    <x v="3"/>
    <x v="11"/>
    <x v="0"/>
    <x v="1"/>
    <x v="2"/>
    <x v="18"/>
    <n v="1"/>
    <x v="18"/>
    <x v="1"/>
  </r>
  <r>
    <x v="3"/>
    <x v="11"/>
    <x v="0"/>
    <x v="1"/>
    <x v="2"/>
    <x v="19"/>
    <n v="2"/>
    <x v="19"/>
    <x v="0"/>
  </r>
  <r>
    <x v="3"/>
    <x v="11"/>
    <x v="0"/>
    <x v="2"/>
    <x v="0"/>
    <x v="0"/>
    <n v="1"/>
    <x v="0"/>
    <x v="0"/>
  </r>
  <r>
    <x v="3"/>
    <x v="11"/>
    <x v="0"/>
    <x v="2"/>
    <x v="0"/>
    <x v="1"/>
    <n v="0"/>
    <x v="1"/>
    <x v="0"/>
  </r>
  <r>
    <x v="3"/>
    <x v="11"/>
    <x v="0"/>
    <x v="2"/>
    <x v="0"/>
    <x v="2"/>
    <n v="0"/>
    <x v="2"/>
    <x v="0"/>
  </r>
  <r>
    <x v="3"/>
    <x v="11"/>
    <x v="0"/>
    <x v="2"/>
    <x v="0"/>
    <x v="3"/>
    <n v="0"/>
    <x v="3"/>
    <x v="0"/>
  </r>
  <r>
    <x v="3"/>
    <x v="11"/>
    <x v="0"/>
    <x v="2"/>
    <x v="0"/>
    <x v="4"/>
    <n v="1"/>
    <x v="4"/>
    <x v="1"/>
  </r>
  <r>
    <x v="3"/>
    <x v="11"/>
    <x v="0"/>
    <x v="2"/>
    <x v="0"/>
    <x v="5"/>
    <n v="1"/>
    <x v="5"/>
    <x v="1"/>
  </r>
  <r>
    <x v="3"/>
    <x v="11"/>
    <x v="0"/>
    <x v="2"/>
    <x v="0"/>
    <x v="6"/>
    <n v="0"/>
    <x v="6"/>
    <x v="1"/>
  </r>
  <r>
    <x v="3"/>
    <x v="11"/>
    <x v="0"/>
    <x v="2"/>
    <x v="0"/>
    <x v="7"/>
    <n v="1"/>
    <x v="7"/>
    <x v="1"/>
  </r>
  <r>
    <x v="3"/>
    <x v="11"/>
    <x v="0"/>
    <x v="2"/>
    <x v="1"/>
    <x v="8"/>
    <n v="0"/>
    <x v="8"/>
    <x v="1"/>
  </r>
  <r>
    <x v="3"/>
    <x v="11"/>
    <x v="0"/>
    <x v="2"/>
    <x v="1"/>
    <x v="9"/>
    <n v="1"/>
    <x v="9"/>
    <x v="1"/>
  </r>
  <r>
    <x v="3"/>
    <x v="11"/>
    <x v="0"/>
    <x v="2"/>
    <x v="1"/>
    <x v="10"/>
    <n v="0"/>
    <x v="10"/>
    <x v="1"/>
  </r>
  <r>
    <x v="3"/>
    <x v="11"/>
    <x v="0"/>
    <x v="2"/>
    <x v="1"/>
    <x v="11"/>
    <n v="0"/>
    <x v="11"/>
    <x v="1"/>
  </r>
  <r>
    <x v="3"/>
    <x v="11"/>
    <x v="0"/>
    <x v="2"/>
    <x v="2"/>
    <x v="12"/>
    <n v="0"/>
    <x v="12"/>
    <x v="0"/>
  </r>
  <r>
    <x v="3"/>
    <x v="11"/>
    <x v="0"/>
    <x v="2"/>
    <x v="2"/>
    <x v="13"/>
    <n v="0"/>
    <x v="13"/>
    <x v="0"/>
  </r>
  <r>
    <x v="3"/>
    <x v="11"/>
    <x v="0"/>
    <x v="2"/>
    <x v="2"/>
    <x v="14"/>
    <n v="0"/>
    <x v="14"/>
    <x v="0"/>
  </r>
  <r>
    <x v="3"/>
    <x v="11"/>
    <x v="0"/>
    <x v="2"/>
    <x v="2"/>
    <x v="15"/>
    <n v="1"/>
    <x v="15"/>
    <x v="1"/>
  </r>
  <r>
    <x v="3"/>
    <x v="11"/>
    <x v="0"/>
    <x v="2"/>
    <x v="2"/>
    <x v="16"/>
    <n v="1"/>
    <x v="16"/>
    <x v="1"/>
  </r>
  <r>
    <x v="3"/>
    <x v="11"/>
    <x v="0"/>
    <x v="2"/>
    <x v="2"/>
    <x v="17"/>
    <n v="1"/>
    <x v="17"/>
    <x v="1"/>
  </r>
  <r>
    <x v="3"/>
    <x v="11"/>
    <x v="0"/>
    <x v="2"/>
    <x v="2"/>
    <x v="18"/>
    <n v="0"/>
    <x v="18"/>
    <x v="1"/>
  </r>
  <r>
    <x v="3"/>
    <x v="11"/>
    <x v="0"/>
    <x v="2"/>
    <x v="2"/>
    <x v="19"/>
    <n v="1"/>
    <x v="19"/>
    <x v="0"/>
  </r>
  <r>
    <x v="3"/>
    <x v="12"/>
    <x v="1"/>
    <x v="0"/>
    <x v="0"/>
    <x v="0"/>
    <n v="3"/>
    <x v="0"/>
    <x v="0"/>
  </r>
  <r>
    <x v="3"/>
    <x v="12"/>
    <x v="1"/>
    <x v="0"/>
    <x v="0"/>
    <x v="1"/>
    <n v="7"/>
    <x v="1"/>
    <x v="0"/>
  </r>
  <r>
    <x v="3"/>
    <x v="12"/>
    <x v="1"/>
    <x v="0"/>
    <x v="0"/>
    <x v="2"/>
    <n v="8"/>
    <x v="2"/>
    <x v="0"/>
  </r>
  <r>
    <x v="3"/>
    <x v="12"/>
    <x v="1"/>
    <x v="0"/>
    <x v="0"/>
    <x v="3"/>
    <n v="12"/>
    <x v="3"/>
    <x v="0"/>
  </r>
  <r>
    <x v="3"/>
    <x v="12"/>
    <x v="1"/>
    <x v="0"/>
    <x v="0"/>
    <x v="4"/>
    <n v="8"/>
    <x v="4"/>
    <x v="1"/>
  </r>
  <r>
    <x v="3"/>
    <x v="12"/>
    <x v="1"/>
    <x v="0"/>
    <x v="0"/>
    <x v="5"/>
    <n v="19"/>
    <x v="5"/>
    <x v="1"/>
  </r>
  <r>
    <x v="3"/>
    <x v="12"/>
    <x v="1"/>
    <x v="0"/>
    <x v="0"/>
    <x v="6"/>
    <n v="23"/>
    <x v="6"/>
    <x v="1"/>
  </r>
  <r>
    <x v="3"/>
    <x v="12"/>
    <x v="1"/>
    <x v="0"/>
    <x v="0"/>
    <x v="7"/>
    <n v="19"/>
    <x v="7"/>
    <x v="1"/>
  </r>
  <r>
    <x v="3"/>
    <x v="12"/>
    <x v="1"/>
    <x v="0"/>
    <x v="1"/>
    <x v="8"/>
    <n v="15"/>
    <x v="8"/>
    <x v="1"/>
  </r>
  <r>
    <x v="3"/>
    <x v="12"/>
    <x v="1"/>
    <x v="0"/>
    <x v="1"/>
    <x v="9"/>
    <n v="15"/>
    <x v="9"/>
    <x v="1"/>
  </r>
  <r>
    <x v="3"/>
    <x v="12"/>
    <x v="1"/>
    <x v="0"/>
    <x v="1"/>
    <x v="10"/>
    <n v="18"/>
    <x v="10"/>
    <x v="1"/>
  </r>
  <r>
    <x v="3"/>
    <x v="12"/>
    <x v="1"/>
    <x v="0"/>
    <x v="1"/>
    <x v="11"/>
    <n v="19"/>
    <x v="11"/>
    <x v="1"/>
  </r>
  <r>
    <x v="3"/>
    <x v="12"/>
    <x v="1"/>
    <x v="0"/>
    <x v="2"/>
    <x v="12"/>
    <n v="22"/>
    <x v="12"/>
    <x v="0"/>
  </r>
  <r>
    <x v="3"/>
    <x v="12"/>
    <x v="1"/>
    <x v="0"/>
    <x v="2"/>
    <x v="13"/>
    <n v="18"/>
    <x v="13"/>
    <x v="0"/>
  </r>
  <r>
    <x v="3"/>
    <x v="12"/>
    <x v="1"/>
    <x v="0"/>
    <x v="2"/>
    <x v="14"/>
    <n v="22"/>
    <x v="14"/>
    <x v="0"/>
  </r>
  <r>
    <x v="3"/>
    <x v="12"/>
    <x v="1"/>
    <x v="0"/>
    <x v="2"/>
    <x v="15"/>
    <n v="20"/>
    <x v="15"/>
    <x v="1"/>
  </r>
  <r>
    <x v="3"/>
    <x v="12"/>
    <x v="1"/>
    <x v="0"/>
    <x v="2"/>
    <x v="16"/>
    <n v="25"/>
    <x v="16"/>
    <x v="1"/>
  </r>
  <r>
    <x v="3"/>
    <x v="12"/>
    <x v="1"/>
    <x v="0"/>
    <x v="2"/>
    <x v="17"/>
    <n v="31"/>
    <x v="17"/>
    <x v="1"/>
  </r>
  <r>
    <x v="3"/>
    <x v="12"/>
    <x v="1"/>
    <x v="0"/>
    <x v="2"/>
    <x v="18"/>
    <n v="32"/>
    <x v="18"/>
    <x v="1"/>
  </r>
  <r>
    <x v="3"/>
    <x v="12"/>
    <x v="1"/>
    <x v="0"/>
    <x v="2"/>
    <x v="19"/>
    <n v="29"/>
    <x v="19"/>
    <x v="0"/>
  </r>
  <r>
    <x v="3"/>
    <x v="12"/>
    <x v="1"/>
    <x v="1"/>
    <x v="0"/>
    <x v="0"/>
    <n v="0"/>
    <x v="0"/>
    <x v="0"/>
  </r>
  <r>
    <x v="3"/>
    <x v="12"/>
    <x v="1"/>
    <x v="1"/>
    <x v="0"/>
    <x v="1"/>
    <n v="0"/>
    <x v="1"/>
    <x v="0"/>
  </r>
  <r>
    <x v="3"/>
    <x v="12"/>
    <x v="1"/>
    <x v="1"/>
    <x v="0"/>
    <x v="2"/>
    <n v="0"/>
    <x v="2"/>
    <x v="0"/>
  </r>
  <r>
    <x v="3"/>
    <x v="12"/>
    <x v="1"/>
    <x v="1"/>
    <x v="0"/>
    <x v="3"/>
    <n v="1"/>
    <x v="3"/>
    <x v="0"/>
  </r>
  <r>
    <x v="3"/>
    <x v="12"/>
    <x v="1"/>
    <x v="1"/>
    <x v="0"/>
    <x v="4"/>
    <n v="0"/>
    <x v="4"/>
    <x v="1"/>
  </r>
  <r>
    <x v="3"/>
    <x v="12"/>
    <x v="1"/>
    <x v="1"/>
    <x v="0"/>
    <x v="5"/>
    <n v="0"/>
    <x v="5"/>
    <x v="1"/>
  </r>
  <r>
    <x v="3"/>
    <x v="12"/>
    <x v="1"/>
    <x v="1"/>
    <x v="0"/>
    <x v="6"/>
    <n v="0"/>
    <x v="6"/>
    <x v="1"/>
  </r>
  <r>
    <x v="3"/>
    <x v="12"/>
    <x v="1"/>
    <x v="1"/>
    <x v="0"/>
    <x v="7"/>
    <n v="0"/>
    <x v="7"/>
    <x v="1"/>
  </r>
  <r>
    <x v="3"/>
    <x v="12"/>
    <x v="1"/>
    <x v="1"/>
    <x v="1"/>
    <x v="8"/>
    <n v="0"/>
    <x v="8"/>
    <x v="1"/>
  </r>
  <r>
    <x v="3"/>
    <x v="12"/>
    <x v="1"/>
    <x v="1"/>
    <x v="1"/>
    <x v="9"/>
    <n v="0"/>
    <x v="9"/>
    <x v="1"/>
  </r>
  <r>
    <x v="3"/>
    <x v="12"/>
    <x v="1"/>
    <x v="1"/>
    <x v="1"/>
    <x v="10"/>
    <n v="0"/>
    <x v="10"/>
    <x v="1"/>
  </r>
  <r>
    <x v="3"/>
    <x v="12"/>
    <x v="1"/>
    <x v="1"/>
    <x v="1"/>
    <x v="11"/>
    <n v="0"/>
    <x v="11"/>
    <x v="1"/>
  </r>
  <r>
    <x v="3"/>
    <x v="12"/>
    <x v="1"/>
    <x v="1"/>
    <x v="2"/>
    <x v="12"/>
    <n v="1"/>
    <x v="12"/>
    <x v="0"/>
  </r>
  <r>
    <x v="3"/>
    <x v="12"/>
    <x v="1"/>
    <x v="1"/>
    <x v="2"/>
    <x v="13"/>
    <n v="0"/>
    <x v="13"/>
    <x v="0"/>
  </r>
  <r>
    <x v="3"/>
    <x v="12"/>
    <x v="1"/>
    <x v="1"/>
    <x v="2"/>
    <x v="14"/>
    <n v="0"/>
    <x v="14"/>
    <x v="0"/>
  </r>
  <r>
    <x v="3"/>
    <x v="12"/>
    <x v="1"/>
    <x v="1"/>
    <x v="2"/>
    <x v="15"/>
    <n v="1"/>
    <x v="15"/>
    <x v="1"/>
  </r>
  <r>
    <x v="3"/>
    <x v="12"/>
    <x v="1"/>
    <x v="1"/>
    <x v="2"/>
    <x v="16"/>
    <n v="1"/>
    <x v="16"/>
    <x v="1"/>
  </r>
  <r>
    <x v="3"/>
    <x v="12"/>
    <x v="1"/>
    <x v="1"/>
    <x v="2"/>
    <x v="17"/>
    <n v="0"/>
    <x v="17"/>
    <x v="1"/>
  </r>
  <r>
    <x v="3"/>
    <x v="12"/>
    <x v="1"/>
    <x v="1"/>
    <x v="2"/>
    <x v="18"/>
    <n v="0"/>
    <x v="18"/>
    <x v="1"/>
  </r>
  <r>
    <x v="3"/>
    <x v="12"/>
    <x v="1"/>
    <x v="1"/>
    <x v="2"/>
    <x v="19"/>
    <n v="1"/>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1"/>
    <x v="9"/>
    <x v="1"/>
  </r>
  <r>
    <x v="3"/>
    <x v="12"/>
    <x v="1"/>
    <x v="2"/>
    <x v="1"/>
    <x v="10"/>
    <n v="0"/>
    <x v="10"/>
    <x v="1"/>
  </r>
  <r>
    <x v="3"/>
    <x v="12"/>
    <x v="1"/>
    <x v="2"/>
    <x v="1"/>
    <x v="11"/>
    <n v="0"/>
    <x v="11"/>
    <x v="1"/>
  </r>
  <r>
    <x v="3"/>
    <x v="12"/>
    <x v="1"/>
    <x v="2"/>
    <x v="2"/>
    <x v="12"/>
    <n v="0"/>
    <x v="12"/>
    <x v="0"/>
  </r>
  <r>
    <x v="3"/>
    <x v="12"/>
    <x v="1"/>
    <x v="2"/>
    <x v="2"/>
    <x v="13"/>
    <n v="1"/>
    <x v="13"/>
    <x v="0"/>
  </r>
  <r>
    <x v="3"/>
    <x v="12"/>
    <x v="1"/>
    <x v="2"/>
    <x v="2"/>
    <x v="14"/>
    <n v="0"/>
    <x v="14"/>
    <x v="0"/>
  </r>
  <r>
    <x v="3"/>
    <x v="12"/>
    <x v="1"/>
    <x v="2"/>
    <x v="2"/>
    <x v="15"/>
    <n v="0"/>
    <x v="15"/>
    <x v="1"/>
  </r>
  <r>
    <x v="3"/>
    <x v="12"/>
    <x v="1"/>
    <x v="2"/>
    <x v="2"/>
    <x v="16"/>
    <n v="0"/>
    <x v="16"/>
    <x v="1"/>
  </r>
  <r>
    <x v="3"/>
    <x v="12"/>
    <x v="1"/>
    <x v="2"/>
    <x v="2"/>
    <x v="17"/>
    <n v="0"/>
    <x v="17"/>
    <x v="1"/>
  </r>
  <r>
    <x v="3"/>
    <x v="12"/>
    <x v="1"/>
    <x v="2"/>
    <x v="2"/>
    <x v="18"/>
    <n v="2"/>
    <x v="18"/>
    <x v="1"/>
  </r>
  <r>
    <x v="3"/>
    <x v="12"/>
    <x v="1"/>
    <x v="2"/>
    <x v="2"/>
    <x v="19"/>
    <n v="0"/>
    <x v="19"/>
    <x v="0"/>
  </r>
  <r>
    <x v="3"/>
    <x v="3"/>
    <x v="2"/>
    <x v="0"/>
    <x v="0"/>
    <x v="0"/>
    <n v="0"/>
    <x v="0"/>
    <x v="0"/>
  </r>
  <r>
    <x v="3"/>
    <x v="3"/>
    <x v="2"/>
    <x v="0"/>
    <x v="0"/>
    <x v="1"/>
    <n v="0"/>
    <x v="1"/>
    <x v="0"/>
  </r>
  <r>
    <x v="3"/>
    <x v="3"/>
    <x v="2"/>
    <x v="0"/>
    <x v="0"/>
    <x v="2"/>
    <n v="0"/>
    <x v="2"/>
    <x v="0"/>
  </r>
  <r>
    <x v="3"/>
    <x v="3"/>
    <x v="2"/>
    <x v="0"/>
    <x v="0"/>
    <x v="3"/>
    <n v="0"/>
    <x v="3"/>
    <x v="0"/>
  </r>
  <r>
    <x v="3"/>
    <x v="3"/>
    <x v="2"/>
    <x v="0"/>
    <x v="0"/>
    <x v="4"/>
    <n v="0"/>
    <x v="4"/>
    <x v="1"/>
  </r>
  <r>
    <x v="3"/>
    <x v="3"/>
    <x v="2"/>
    <x v="0"/>
    <x v="0"/>
    <x v="5"/>
    <n v="0"/>
    <x v="5"/>
    <x v="1"/>
  </r>
  <r>
    <x v="3"/>
    <x v="3"/>
    <x v="2"/>
    <x v="0"/>
    <x v="0"/>
    <x v="6"/>
    <n v="0"/>
    <x v="6"/>
    <x v="1"/>
  </r>
  <r>
    <x v="3"/>
    <x v="3"/>
    <x v="2"/>
    <x v="0"/>
    <x v="0"/>
    <x v="7"/>
    <n v="1"/>
    <x v="7"/>
    <x v="1"/>
  </r>
  <r>
    <x v="3"/>
    <x v="3"/>
    <x v="2"/>
    <x v="0"/>
    <x v="1"/>
    <x v="8"/>
    <n v="0"/>
    <x v="8"/>
    <x v="1"/>
  </r>
  <r>
    <x v="3"/>
    <x v="3"/>
    <x v="2"/>
    <x v="0"/>
    <x v="1"/>
    <x v="9"/>
    <n v="0"/>
    <x v="9"/>
    <x v="1"/>
  </r>
  <r>
    <x v="3"/>
    <x v="3"/>
    <x v="2"/>
    <x v="0"/>
    <x v="1"/>
    <x v="10"/>
    <n v="0"/>
    <x v="10"/>
    <x v="1"/>
  </r>
  <r>
    <x v="3"/>
    <x v="3"/>
    <x v="2"/>
    <x v="0"/>
    <x v="1"/>
    <x v="11"/>
    <n v="0"/>
    <x v="11"/>
    <x v="1"/>
  </r>
  <r>
    <x v="3"/>
    <x v="3"/>
    <x v="2"/>
    <x v="0"/>
    <x v="2"/>
    <x v="12"/>
    <n v="1"/>
    <x v="12"/>
    <x v="0"/>
  </r>
  <r>
    <x v="3"/>
    <x v="3"/>
    <x v="2"/>
    <x v="0"/>
    <x v="2"/>
    <x v="13"/>
    <n v="1"/>
    <x v="13"/>
    <x v="0"/>
  </r>
  <r>
    <x v="3"/>
    <x v="3"/>
    <x v="2"/>
    <x v="0"/>
    <x v="2"/>
    <x v="14"/>
    <n v="0"/>
    <x v="14"/>
    <x v="0"/>
  </r>
  <r>
    <x v="3"/>
    <x v="3"/>
    <x v="2"/>
    <x v="0"/>
    <x v="2"/>
    <x v="15"/>
    <n v="0"/>
    <x v="15"/>
    <x v="1"/>
  </r>
  <r>
    <x v="3"/>
    <x v="3"/>
    <x v="2"/>
    <x v="0"/>
    <x v="2"/>
    <x v="16"/>
    <n v="0"/>
    <x v="16"/>
    <x v="1"/>
  </r>
  <r>
    <x v="3"/>
    <x v="3"/>
    <x v="2"/>
    <x v="0"/>
    <x v="2"/>
    <x v="17"/>
    <n v="0"/>
    <x v="17"/>
    <x v="1"/>
  </r>
  <r>
    <x v="3"/>
    <x v="3"/>
    <x v="2"/>
    <x v="0"/>
    <x v="2"/>
    <x v="18"/>
    <n v="0"/>
    <x v="18"/>
    <x v="1"/>
  </r>
  <r>
    <x v="3"/>
    <x v="3"/>
    <x v="2"/>
    <x v="0"/>
    <x v="2"/>
    <x v="19"/>
    <n v="0"/>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0"/>
  </r>
  <r>
    <x v="3"/>
    <x v="3"/>
    <x v="2"/>
    <x v="1"/>
    <x v="2"/>
    <x v="15"/>
    <n v="0"/>
    <x v="15"/>
    <x v="1"/>
  </r>
  <r>
    <x v="3"/>
    <x v="3"/>
    <x v="2"/>
    <x v="1"/>
    <x v="2"/>
    <x v="16"/>
    <n v="0"/>
    <x v="16"/>
    <x v="1"/>
  </r>
  <r>
    <x v="3"/>
    <x v="3"/>
    <x v="2"/>
    <x v="1"/>
    <x v="2"/>
    <x v="17"/>
    <n v="0"/>
    <x v="17"/>
    <x v="1"/>
  </r>
  <r>
    <x v="3"/>
    <x v="3"/>
    <x v="2"/>
    <x v="1"/>
    <x v="2"/>
    <x v="18"/>
    <n v="0"/>
    <x v="18"/>
    <x v="1"/>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0"/>
  </r>
  <r>
    <x v="3"/>
    <x v="3"/>
    <x v="2"/>
    <x v="2"/>
    <x v="2"/>
    <x v="15"/>
    <n v="0"/>
    <x v="15"/>
    <x v="1"/>
  </r>
  <r>
    <x v="3"/>
    <x v="3"/>
    <x v="2"/>
    <x v="2"/>
    <x v="2"/>
    <x v="16"/>
    <n v="0"/>
    <x v="16"/>
    <x v="1"/>
  </r>
  <r>
    <x v="3"/>
    <x v="3"/>
    <x v="2"/>
    <x v="2"/>
    <x v="2"/>
    <x v="17"/>
    <n v="0"/>
    <x v="17"/>
    <x v="1"/>
  </r>
  <r>
    <x v="3"/>
    <x v="3"/>
    <x v="2"/>
    <x v="2"/>
    <x v="2"/>
    <x v="18"/>
    <n v="0"/>
    <x v="18"/>
    <x v="1"/>
  </r>
  <r>
    <x v="3"/>
    <x v="3"/>
    <x v="2"/>
    <x v="2"/>
    <x v="2"/>
    <x v="19"/>
    <n v="0"/>
    <x v="19"/>
    <x v="0"/>
  </r>
  <r>
    <x v="4"/>
    <x v="13"/>
    <x v="3"/>
    <x v="0"/>
    <x v="0"/>
    <x v="0"/>
    <n v="1"/>
    <x v="0"/>
    <x v="0"/>
  </r>
  <r>
    <x v="4"/>
    <x v="13"/>
    <x v="3"/>
    <x v="0"/>
    <x v="0"/>
    <x v="1"/>
    <n v="2"/>
    <x v="1"/>
    <x v="0"/>
  </r>
  <r>
    <x v="4"/>
    <x v="13"/>
    <x v="3"/>
    <x v="0"/>
    <x v="0"/>
    <x v="2"/>
    <n v="3"/>
    <x v="2"/>
    <x v="0"/>
  </r>
  <r>
    <x v="4"/>
    <x v="13"/>
    <x v="3"/>
    <x v="0"/>
    <x v="0"/>
    <x v="3"/>
    <n v="6"/>
    <x v="3"/>
    <x v="0"/>
  </r>
  <r>
    <x v="4"/>
    <x v="13"/>
    <x v="3"/>
    <x v="0"/>
    <x v="0"/>
    <x v="4"/>
    <n v="3"/>
    <x v="4"/>
    <x v="1"/>
  </r>
  <r>
    <x v="4"/>
    <x v="13"/>
    <x v="3"/>
    <x v="0"/>
    <x v="0"/>
    <x v="5"/>
    <n v="11"/>
    <x v="5"/>
    <x v="1"/>
  </r>
  <r>
    <x v="4"/>
    <x v="13"/>
    <x v="3"/>
    <x v="0"/>
    <x v="0"/>
    <x v="6"/>
    <n v="9"/>
    <x v="6"/>
    <x v="1"/>
  </r>
  <r>
    <x v="4"/>
    <x v="13"/>
    <x v="3"/>
    <x v="0"/>
    <x v="0"/>
    <x v="7"/>
    <n v="7"/>
    <x v="7"/>
    <x v="1"/>
  </r>
  <r>
    <x v="4"/>
    <x v="13"/>
    <x v="3"/>
    <x v="0"/>
    <x v="1"/>
    <x v="8"/>
    <n v="8"/>
    <x v="8"/>
    <x v="1"/>
  </r>
  <r>
    <x v="4"/>
    <x v="13"/>
    <x v="3"/>
    <x v="0"/>
    <x v="1"/>
    <x v="9"/>
    <n v="11"/>
    <x v="9"/>
    <x v="1"/>
  </r>
  <r>
    <x v="4"/>
    <x v="13"/>
    <x v="3"/>
    <x v="0"/>
    <x v="1"/>
    <x v="10"/>
    <n v="5"/>
    <x v="10"/>
    <x v="1"/>
  </r>
  <r>
    <x v="4"/>
    <x v="13"/>
    <x v="3"/>
    <x v="0"/>
    <x v="1"/>
    <x v="11"/>
    <n v="7"/>
    <x v="11"/>
    <x v="1"/>
  </r>
  <r>
    <x v="4"/>
    <x v="13"/>
    <x v="3"/>
    <x v="0"/>
    <x v="2"/>
    <x v="12"/>
    <n v="26"/>
    <x v="12"/>
    <x v="0"/>
  </r>
  <r>
    <x v="4"/>
    <x v="13"/>
    <x v="3"/>
    <x v="0"/>
    <x v="2"/>
    <x v="13"/>
    <n v="14"/>
    <x v="13"/>
    <x v="0"/>
  </r>
  <r>
    <x v="4"/>
    <x v="13"/>
    <x v="3"/>
    <x v="0"/>
    <x v="2"/>
    <x v="14"/>
    <n v="7"/>
    <x v="14"/>
    <x v="0"/>
  </r>
  <r>
    <x v="4"/>
    <x v="13"/>
    <x v="3"/>
    <x v="0"/>
    <x v="2"/>
    <x v="15"/>
    <n v="15"/>
    <x v="15"/>
    <x v="1"/>
  </r>
  <r>
    <x v="4"/>
    <x v="13"/>
    <x v="3"/>
    <x v="0"/>
    <x v="2"/>
    <x v="16"/>
    <n v="22"/>
    <x v="16"/>
    <x v="1"/>
  </r>
  <r>
    <x v="4"/>
    <x v="13"/>
    <x v="3"/>
    <x v="0"/>
    <x v="2"/>
    <x v="17"/>
    <n v="22"/>
    <x v="17"/>
    <x v="1"/>
  </r>
  <r>
    <x v="4"/>
    <x v="13"/>
    <x v="3"/>
    <x v="0"/>
    <x v="2"/>
    <x v="18"/>
    <n v="19"/>
    <x v="18"/>
    <x v="1"/>
  </r>
  <r>
    <x v="4"/>
    <x v="13"/>
    <x v="3"/>
    <x v="0"/>
    <x v="2"/>
    <x v="19"/>
    <n v="12"/>
    <x v="19"/>
    <x v="0"/>
  </r>
  <r>
    <x v="4"/>
    <x v="13"/>
    <x v="3"/>
    <x v="1"/>
    <x v="0"/>
    <x v="0"/>
    <n v="0"/>
    <x v="0"/>
    <x v="0"/>
  </r>
  <r>
    <x v="4"/>
    <x v="13"/>
    <x v="3"/>
    <x v="1"/>
    <x v="0"/>
    <x v="1"/>
    <n v="0"/>
    <x v="1"/>
    <x v="0"/>
  </r>
  <r>
    <x v="4"/>
    <x v="13"/>
    <x v="3"/>
    <x v="1"/>
    <x v="0"/>
    <x v="2"/>
    <n v="0"/>
    <x v="2"/>
    <x v="0"/>
  </r>
  <r>
    <x v="4"/>
    <x v="13"/>
    <x v="3"/>
    <x v="1"/>
    <x v="0"/>
    <x v="3"/>
    <n v="0"/>
    <x v="3"/>
    <x v="0"/>
  </r>
  <r>
    <x v="4"/>
    <x v="13"/>
    <x v="3"/>
    <x v="1"/>
    <x v="0"/>
    <x v="4"/>
    <n v="0"/>
    <x v="4"/>
    <x v="1"/>
  </r>
  <r>
    <x v="4"/>
    <x v="13"/>
    <x v="3"/>
    <x v="1"/>
    <x v="0"/>
    <x v="5"/>
    <n v="0"/>
    <x v="5"/>
    <x v="1"/>
  </r>
  <r>
    <x v="4"/>
    <x v="13"/>
    <x v="3"/>
    <x v="1"/>
    <x v="0"/>
    <x v="6"/>
    <n v="0"/>
    <x v="6"/>
    <x v="1"/>
  </r>
  <r>
    <x v="4"/>
    <x v="13"/>
    <x v="3"/>
    <x v="1"/>
    <x v="0"/>
    <x v="7"/>
    <n v="0"/>
    <x v="7"/>
    <x v="1"/>
  </r>
  <r>
    <x v="4"/>
    <x v="13"/>
    <x v="3"/>
    <x v="1"/>
    <x v="1"/>
    <x v="8"/>
    <n v="0"/>
    <x v="8"/>
    <x v="1"/>
  </r>
  <r>
    <x v="4"/>
    <x v="13"/>
    <x v="3"/>
    <x v="1"/>
    <x v="1"/>
    <x v="9"/>
    <n v="0"/>
    <x v="9"/>
    <x v="1"/>
  </r>
  <r>
    <x v="4"/>
    <x v="13"/>
    <x v="3"/>
    <x v="1"/>
    <x v="1"/>
    <x v="10"/>
    <n v="0"/>
    <x v="10"/>
    <x v="1"/>
  </r>
  <r>
    <x v="4"/>
    <x v="13"/>
    <x v="3"/>
    <x v="1"/>
    <x v="1"/>
    <x v="11"/>
    <n v="0"/>
    <x v="11"/>
    <x v="1"/>
  </r>
  <r>
    <x v="4"/>
    <x v="13"/>
    <x v="3"/>
    <x v="1"/>
    <x v="2"/>
    <x v="12"/>
    <n v="0"/>
    <x v="12"/>
    <x v="0"/>
  </r>
  <r>
    <x v="4"/>
    <x v="13"/>
    <x v="3"/>
    <x v="1"/>
    <x v="2"/>
    <x v="13"/>
    <n v="0"/>
    <x v="13"/>
    <x v="0"/>
  </r>
  <r>
    <x v="4"/>
    <x v="13"/>
    <x v="3"/>
    <x v="1"/>
    <x v="2"/>
    <x v="14"/>
    <n v="1"/>
    <x v="14"/>
    <x v="0"/>
  </r>
  <r>
    <x v="4"/>
    <x v="13"/>
    <x v="3"/>
    <x v="1"/>
    <x v="2"/>
    <x v="15"/>
    <n v="0"/>
    <x v="15"/>
    <x v="1"/>
  </r>
  <r>
    <x v="4"/>
    <x v="13"/>
    <x v="3"/>
    <x v="1"/>
    <x v="2"/>
    <x v="16"/>
    <n v="0"/>
    <x v="16"/>
    <x v="1"/>
  </r>
  <r>
    <x v="4"/>
    <x v="13"/>
    <x v="3"/>
    <x v="1"/>
    <x v="2"/>
    <x v="17"/>
    <n v="0"/>
    <x v="17"/>
    <x v="1"/>
  </r>
  <r>
    <x v="4"/>
    <x v="13"/>
    <x v="3"/>
    <x v="1"/>
    <x v="2"/>
    <x v="18"/>
    <n v="0"/>
    <x v="18"/>
    <x v="1"/>
  </r>
  <r>
    <x v="4"/>
    <x v="13"/>
    <x v="3"/>
    <x v="1"/>
    <x v="2"/>
    <x v="19"/>
    <n v="0"/>
    <x v="19"/>
    <x v="0"/>
  </r>
  <r>
    <x v="4"/>
    <x v="13"/>
    <x v="3"/>
    <x v="2"/>
    <x v="0"/>
    <x v="0"/>
    <n v="0"/>
    <x v="0"/>
    <x v="0"/>
  </r>
  <r>
    <x v="4"/>
    <x v="13"/>
    <x v="3"/>
    <x v="2"/>
    <x v="0"/>
    <x v="1"/>
    <n v="1"/>
    <x v="1"/>
    <x v="0"/>
  </r>
  <r>
    <x v="4"/>
    <x v="13"/>
    <x v="3"/>
    <x v="2"/>
    <x v="0"/>
    <x v="2"/>
    <n v="0"/>
    <x v="2"/>
    <x v="0"/>
  </r>
  <r>
    <x v="4"/>
    <x v="13"/>
    <x v="3"/>
    <x v="2"/>
    <x v="0"/>
    <x v="3"/>
    <n v="1"/>
    <x v="3"/>
    <x v="0"/>
  </r>
  <r>
    <x v="4"/>
    <x v="13"/>
    <x v="3"/>
    <x v="2"/>
    <x v="0"/>
    <x v="4"/>
    <n v="0"/>
    <x v="4"/>
    <x v="1"/>
  </r>
  <r>
    <x v="4"/>
    <x v="13"/>
    <x v="3"/>
    <x v="2"/>
    <x v="0"/>
    <x v="5"/>
    <n v="0"/>
    <x v="5"/>
    <x v="1"/>
  </r>
  <r>
    <x v="4"/>
    <x v="13"/>
    <x v="3"/>
    <x v="2"/>
    <x v="0"/>
    <x v="6"/>
    <n v="0"/>
    <x v="6"/>
    <x v="1"/>
  </r>
  <r>
    <x v="4"/>
    <x v="13"/>
    <x v="3"/>
    <x v="2"/>
    <x v="0"/>
    <x v="7"/>
    <n v="0"/>
    <x v="7"/>
    <x v="1"/>
  </r>
  <r>
    <x v="4"/>
    <x v="13"/>
    <x v="3"/>
    <x v="2"/>
    <x v="1"/>
    <x v="8"/>
    <n v="1"/>
    <x v="8"/>
    <x v="1"/>
  </r>
  <r>
    <x v="4"/>
    <x v="13"/>
    <x v="3"/>
    <x v="2"/>
    <x v="1"/>
    <x v="9"/>
    <n v="0"/>
    <x v="9"/>
    <x v="1"/>
  </r>
  <r>
    <x v="4"/>
    <x v="13"/>
    <x v="3"/>
    <x v="2"/>
    <x v="1"/>
    <x v="10"/>
    <n v="0"/>
    <x v="10"/>
    <x v="1"/>
  </r>
  <r>
    <x v="4"/>
    <x v="13"/>
    <x v="3"/>
    <x v="2"/>
    <x v="1"/>
    <x v="11"/>
    <n v="0"/>
    <x v="11"/>
    <x v="1"/>
  </r>
  <r>
    <x v="4"/>
    <x v="13"/>
    <x v="3"/>
    <x v="2"/>
    <x v="2"/>
    <x v="12"/>
    <n v="1"/>
    <x v="12"/>
    <x v="0"/>
  </r>
  <r>
    <x v="4"/>
    <x v="13"/>
    <x v="3"/>
    <x v="2"/>
    <x v="2"/>
    <x v="13"/>
    <n v="0"/>
    <x v="13"/>
    <x v="0"/>
  </r>
  <r>
    <x v="4"/>
    <x v="13"/>
    <x v="3"/>
    <x v="2"/>
    <x v="2"/>
    <x v="14"/>
    <n v="0"/>
    <x v="14"/>
    <x v="0"/>
  </r>
  <r>
    <x v="4"/>
    <x v="13"/>
    <x v="3"/>
    <x v="2"/>
    <x v="2"/>
    <x v="15"/>
    <n v="0"/>
    <x v="15"/>
    <x v="1"/>
  </r>
  <r>
    <x v="4"/>
    <x v="13"/>
    <x v="3"/>
    <x v="2"/>
    <x v="2"/>
    <x v="16"/>
    <n v="0"/>
    <x v="16"/>
    <x v="1"/>
  </r>
  <r>
    <x v="4"/>
    <x v="13"/>
    <x v="3"/>
    <x v="2"/>
    <x v="2"/>
    <x v="17"/>
    <n v="0"/>
    <x v="17"/>
    <x v="1"/>
  </r>
  <r>
    <x v="4"/>
    <x v="13"/>
    <x v="3"/>
    <x v="2"/>
    <x v="2"/>
    <x v="18"/>
    <n v="0"/>
    <x v="18"/>
    <x v="1"/>
  </r>
  <r>
    <x v="4"/>
    <x v="13"/>
    <x v="3"/>
    <x v="2"/>
    <x v="2"/>
    <x v="19"/>
    <n v="0"/>
    <x v="19"/>
    <x v="0"/>
  </r>
  <r>
    <x v="4"/>
    <x v="14"/>
    <x v="0"/>
    <x v="0"/>
    <x v="0"/>
    <x v="0"/>
    <n v="1"/>
    <x v="0"/>
    <x v="0"/>
  </r>
  <r>
    <x v="4"/>
    <x v="14"/>
    <x v="0"/>
    <x v="0"/>
    <x v="0"/>
    <x v="1"/>
    <n v="0"/>
    <x v="1"/>
    <x v="0"/>
  </r>
  <r>
    <x v="4"/>
    <x v="14"/>
    <x v="0"/>
    <x v="0"/>
    <x v="0"/>
    <x v="2"/>
    <n v="2"/>
    <x v="2"/>
    <x v="0"/>
  </r>
  <r>
    <x v="4"/>
    <x v="14"/>
    <x v="0"/>
    <x v="0"/>
    <x v="0"/>
    <x v="3"/>
    <n v="3"/>
    <x v="3"/>
    <x v="0"/>
  </r>
  <r>
    <x v="4"/>
    <x v="14"/>
    <x v="0"/>
    <x v="0"/>
    <x v="0"/>
    <x v="4"/>
    <n v="1"/>
    <x v="4"/>
    <x v="1"/>
  </r>
  <r>
    <x v="4"/>
    <x v="14"/>
    <x v="0"/>
    <x v="0"/>
    <x v="0"/>
    <x v="5"/>
    <n v="6"/>
    <x v="5"/>
    <x v="1"/>
  </r>
  <r>
    <x v="4"/>
    <x v="14"/>
    <x v="0"/>
    <x v="0"/>
    <x v="0"/>
    <x v="6"/>
    <n v="3"/>
    <x v="6"/>
    <x v="1"/>
  </r>
  <r>
    <x v="4"/>
    <x v="14"/>
    <x v="0"/>
    <x v="0"/>
    <x v="0"/>
    <x v="7"/>
    <n v="7"/>
    <x v="7"/>
    <x v="1"/>
  </r>
  <r>
    <x v="4"/>
    <x v="14"/>
    <x v="0"/>
    <x v="0"/>
    <x v="1"/>
    <x v="8"/>
    <n v="5"/>
    <x v="8"/>
    <x v="1"/>
  </r>
  <r>
    <x v="4"/>
    <x v="14"/>
    <x v="0"/>
    <x v="0"/>
    <x v="1"/>
    <x v="9"/>
    <n v="8"/>
    <x v="9"/>
    <x v="1"/>
  </r>
  <r>
    <x v="4"/>
    <x v="14"/>
    <x v="0"/>
    <x v="0"/>
    <x v="1"/>
    <x v="10"/>
    <n v="3"/>
    <x v="10"/>
    <x v="1"/>
  </r>
  <r>
    <x v="4"/>
    <x v="14"/>
    <x v="0"/>
    <x v="0"/>
    <x v="1"/>
    <x v="11"/>
    <n v="3"/>
    <x v="11"/>
    <x v="1"/>
  </r>
  <r>
    <x v="4"/>
    <x v="14"/>
    <x v="0"/>
    <x v="0"/>
    <x v="2"/>
    <x v="12"/>
    <n v="10"/>
    <x v="12"/>
    <x v="0"/>
  </r>
  <r>
    <x v="4"/>
    <x v="14"/>
    <x v="0"/>
    <x v="0"/>
    <x v="2"/>
    <x v="13"/>
    <n v="15"/>
    <x v="13"/>
    <x v="0"/>
  </r>
  <r>
    <x v="4"/>
    <x v="14"/>
    <x v="0"/>
    <x v="0"/>
    <x v="2"/>
    <x v="14"/>
    <n v="9"/>
    <x v="14"/>
    <x v="0"/>
  </r>
  <r>
    <x v="4"/>
    <x v="14"/>
    <x v="0"/>
    <x v="0"/>
    <x v="2"/>
    <x v="15"/>
    <n v="9"/>
    <x v="15"/>
    <x v="1"/>
  </r>
  <r>
    <x v="4"/>
    <x v="14"/>
    <x v="0"/>
    <x v="0"/>
    <x v="2"/>
    <x v="16"/>
    <n v="8"/>
    <x v="16"/>
    <x v="1"/>
  </r>
  <r>
    <x v="4"/>
    <x v="14"/>
    <x v="0"/>
    <x v="0"/>
    <x v="2"/>
    <x v="17"/>
    <n v="9"/>
    <x v="17"/>
    <x v="1"/>
  </r>
  <r>
    <x v="4"/>
    <x v="14"/>
    <x v="0"/>
    <x v="0"/>
    <x v="2"/>
    <x v="18"/>
    <n v="10"/>
    <x v="18"/>
    <x v="1"/>
  </r>
  <r>
    <x v="4"/>
    <x v="14"/>
    <x v="0"/>
    <x v="0"/>
    <x v="2"/>
    <x v="19"/>
    <n v="14"/>
    <x v="19"/>
    <x v="0"/>
  </r>
  <r>
    <x v="4"/>
    <x v="14"/>
    <x v="0"/>
    <x v="1"/>
    <x v="0"/>
    <x v="0"/>
    <n v="0"/>
    <x v="0"/>
    <x v="0"/>
  </r>
  <r>
    <x v="4"/>
    <x v="14"/>
    <x v="0"/>
    <x v="1"/>
    <x v="0"/>
    <x v="1"/>
    <n v="0"/>
    <x v="1"/>
    <x v="0"/>
  </r>
  <r>
    <x v="4"/>
    <x v="14"/>
    <x v="0"/>
    <x v="1"/>
    <x v="0"/>
    <x v="2"/>
    <n v="0"/>
    <x v="2"/>
    <x v="0"/>
  </r>
  <r>
    <x v="4"/>
    <x v="14"/>
    <x v="0"/>
    <x v="1"/>
    <x v="0"/>
    <x v="3"/>
    <n v="0"/>
    <x v="3"/>
    <x v="0"/>
  </r>
  <r>
    <x v="4"/>
    <x v="14"/>
    <x v="0"/>
    <x v="1"/>
    <x v="0"/>
    <x v="4"/>
    <n v="0"/>
    <x v="4"/>
    <x v="1"/>
  </r>
  <r>
    <x v="4"/>
    <x v="14"/>
    <x v="0"/>
    <x v="1"/>
    <x v="0"/>
    <x v="5"/>
    <n v="1"/>
    <x v="5"/>
    <x v="1"/>
  </r>
  <r>
    <x v="4"/>
    <x v="14"/>
    <x v="0"/>
    <x v="1"/>
    <x v="0"/>
    <x v="6"/>
    <n v="1"/>
    <x v="6"/>
    <x v="1"/>
  </r>
  <r>
    <x v="4"/>
    <x v="14"/>
    <x v="0"/>
    <x v="1"/>
    <x v="0"/>
    <x v="7"/>
    <n v="0"/>
    <x v="7"/>
    <x v="1"/>
  </r>
  <r>
    <x v="4"/>
    <x v="14"/>
    <x v="0"/>
    <x v="1"/>
    <x v="1"/>
    <x v="8"/>
    <n v="0"/>
    <x v="8"/>
    <x v="1"/>
  </r>
  <r>
    <x v="4"/>
    <x v="14"/>
    <x v="0"/>
    <x v="1"/>
    <x v="1"/>
    <x v="9"/>
    <n v="0"/>
    <x v="9"/>
    <x v="1"/>
  </r>
  <r>
    <x v="4"/>
    <x v="14"/>
    <x v="0"/>
    <x v="1"/>
    <x v="1"/>
    <x v="10"/>
    <n v="0"/>
    <x v="10"/>
    <x v="1"/>
  </r>
  <r>
    <x v="4"/>
    <x v="14"/>
    <x v="0"/>
    <x v="1"/>
    <x v="1"/>
    <x v="11"/>
    <n v="0"/>
    <x v="11"/>
    <x v="1"/>
  </r>
  <r>
    <x v="4"/>
    <x v="14"/>
    <x v="0"/>
    <x v="1"/>
    <x v="2"/>
    <x v="12"/>
    <n v="0"/>
    <x v="12"/>
    <x v="0"/>
  </r>
  <r>
    <x v="4"/>
    <x v="14"/>
    <x v="0"/>
    <x v="1"/>
    <x v="2"/>
    <x v="13"/>
    <n v="0"/>
    <x v="13"/>
    <x v="0"/>
  </r>
  <r>
    <x v="4"/>
    <x v="14"/>
    <x v="0"/>
    <x v="1"/>
    <x v="2"/>
    <x v="14"/>
    <n v="0"/>
    <x v="14"/>
    <x v="0"/>
  </r>
  <r>
    <x v="4"/>
    <x v="14"/>
    <x v="0"/>
    <x v="1"/>
    <x v="2"/>
    <x v="15"/>
    <n v="0"/>
    <x v="15"/>
    <x v="1"/>
  </r>
  <r>
    <x v="4"/>
    <x v="14"/>
    <x v="0"/>
    <x v="1"/>
    <x v="2"/>
    <x v="16"/>
    <n v="0"/>
    <x v="16"/>
    <x v="1"/>
  </r>
  <r>
    <x v="4"/>
    <x v="14"/>
    <x v="0"/>
    <x v="1"/>
    <x v="2"/>
    <x v="17"/>
    <n v="0"/>
    <x v="17"/>
    <x v="1"/>
  </r>
  <r>
    <x v="4"/>
    <x v="14"/>
    <x v="0"/>
    <x v="1"/>
    <x v="2"/>
    <x v="18"/>
    <n v="0"/>
    <x v="18"/>
    <x v="1"/>
  </r>
  <r>
    <x v="4"/>
    <x v="14"/>
    <x v="0"/>
    <x v="1"/>
    <x v="2"/>
    <x v="19"/>
    <n v="0"/>
    <x v="19"/>
    <x v="0"/>
  </r>
  <r>
    <x v="4"/>
    <x v="14"/>
    <x v="0"/>
    <x v="2"/>
    <x v="0"/>
    <x v="0"/>
    <n v="0"/>
    <x v="0"/>
    <x v="0"/>
  </r>
  <r>
    <x v="4"/>
    <x v="14"/>
    <x v="0"/>
    <x v="2"/>
    <x v="0"/>
    <x v="1"/>
    <n v="0"/>
    <x v="1"/>
    <x v="0"/>
  </r>
  <r>
    <x v="4"/>
    <x v="14"/>
    <x v="0"/>
    <x v="2"/>
    <x v="0"/>
    <x v="2"/>
    <n v="0"/>
    <x v="2"/>
    <x v="0"/>
  </r>
  <r>
    <x v="4"/>
    <x v="14"/>
    <x v="0"/>
    <x v="2"/>
    <x v="0"/>
    <x v="3"/>
    <n v="0"/>
    <x v="3"/>
    <x v="0"/>
  </r>
  <r>
    <x v="4"/>
    <x v="14"/>
    <x v="0"/>
    <x v="2"/>
    <x v="0"/>
    <x v="4"/>
    <n v="0"/>
    <x v="4"/>
    <x v="1"/>
  </r>
  <r>
    <x v="4"/>
    <x v="14"/>
    <x v="0"/>
    <x v="2"/>
    <x v="0"/>
    <x v="5"/>
    <n v="0"/>
    <x v="5"/>
    <x v="1"/>
  </r>
  <r>
    <x v="4"/>
    <x v="14"/>
    <x v="0"/>
    <x v="2"/>
    <x v="0"/>
    <x v="6"/>
    <n v="0"/>
    <x v="6"/>
    <x v="1"/>
  </r>
  <r>
    <x v="4"/>
    <x v="14"/>
    <x v="0"/>
    <x v="2"/>
    <x v="0"/>
    <x v="7"/>
    <n v="0"/>
    <x v="7"/>
    <x v="1"/>
  </r>
  <r>
    <x v="4"/>
    <x v="14"/>
    <x v="0"/>
    <x v="2"/>
    <x v="1"/>
    <x v="8"/>
    <n v="0"/>
    <x v="8"/>
    <x v="1"/>
  </r>
  <r>
    <x v="4"/>
    <x v="14"/>
    <x v="0"/>
    <x v="2"/>
    <x v="1"/>
    <x v="9"/>
    <n v="0"/>
    <x v="9"/>
    <x v="1"/>
  </r>
  <r>
    <x v="4"/>
    <x v="14"/>
    <x v="0"/>
    <x v="2"/>
    <x v="1"/>
    <x v="10"/>
    <n v="0"/>
    <x v="10"/>
    <x v="1"/>
  </r>
  <r>
    <x v="4"/>
    <x v="14"/>
    <x v="0"/>
    <x v="2"/>
    <x v="1"/>
    <x v="11"/>
    <n v="0"/>
    <x v="11"/>
    <x v="1"/>
  </r>
  <r>
    <x v="4"/>
    <x v="14"/>
    <x v="0"/>
    <x v="2"/>
    <x v="2"/>
    <x v="12"/>
    <n v="0"/>
    <x v="12"/>
    <x v="0"/>
  </r>
  <r>
    <x v="4"/>
    <x v="14"/>
    <x v="0"/>
    <x v="2"/>
    <x v="2"/>
    <x v="13"/>
    <n v="0"/>
    <x v="13"/>
    <x v="0"/>
  </r>
  <r>
    <x v="4"/>
    <x v="14"/>
    <x v="0"/>
    <x v="2"/>
    <x v="2"/>
    <x v="14"/>
    <n v="0"/>
    <x v="14"/>
    <x v="0"/>
  </r>
  <r>
    <x v="4"/>
    <x v="14"/>
    <x v="0"/>
    <x v="2"/>
    <x v="2"/>
    <x v="15"/>
    <n v="0"/>
    <x v="15"/>
    <x v="1"/>
  </r>
  <r>
    <x v="4"/>
    <x v="14"/>
    <x v="0"/>
    <x v="2"/>
    <x v="2"/>
    <x v="16"/>
    <n v="0"/>
    <x v="16"/>
    <x v="1"/>
  </r>
  <r>
    <x v="4"/>
    <x v="14"/>
    <x v="0"/>
    <x v="2"/>
    <x v="2"/>
    <x v="17"/>
    <n v="0"/>
    <x v="17"/>
    <x v="1"/>
  </r>
  <r>
    <x v="4"/>
    <x v="14"/>
    <x v="0"/>
    <x v="2"/>
    <x v="2"/>
    <x v="18"/>
    <n v="0"/>
    <x v="18"/>
    <x v="1"/>
  </r>
  <r>
    <x v="4"/>
    <x v="14"/>
    <x v="0"/>
    <x v="2"/>
    <x v="2"/>
    <x v="19"/>
    <n v="0"/>
    <x v="19"/>
    <x v="0"/>
  </r>
  <r>
    <x v="4"/>
    <x v="15"/>
    <x v="1"/>
    <x v="0"/>
    <x v="0"/>
    <x v="0"/>
    <n v="1"/>
    <x v="0"/>
    <x v="0"/>
  </r>
  <r>
    <x v="4"/>
    <x v="15"/>
    <x v="1"/>
    <x v="0"/>
    <x v="0"/>
    <x v="1"/>
    <n v="4"/>
    <x v="1"/>
    <x v="0"/>
  </r>
  <r>
    <x v="4"/>
    <x v="15"/>
    <x v="1"/>
    <x v="0"/>
    <x v="0"/>
    <x v="2"/>
    <n v="2"/>
    <x v="2"/>
    <x v="0"/>
  </r>
  <r>
    <x v="4"/>
    <x v="15"/>
    <x v="1"/>
    <x v="0"/>
    <x v="0"/>
    <x v="3"/>
    <n v="5"/>
    <x v="3"/>
    <x v="0"/>
  </r>
  <r>
    <x v="4"/>
    <x v="15"/>
    <x v="1"/>
    <x v="0"/>
    <x v="0"/>
    <x v="4"/>
    <n v="6"/>
    <x v="4"/>
    <x v="1"/>
  </r>
  <r>
    <x v="4"/>
    <x v="15"/>
    <x v="1"/>
    <x v="0"/>
    <x v="0"/>
    <x v="5"/>
    <n v="16"/>
    <x v="5"/>
    <x v="1"/>
  </r>
  <r>
    <x v="4"/>
    <x v="15"/>
    <x v="1"/>
    <x v="0"/>
    <x v="0"/>
    <x v="6"/>
    <n v="16"/>
    <x v="6"/>
    <x v="1"/>
  </r>
  <r>
    <x v="4"/>
    <x v="15"/>
    <x v="1"/>
    <x v="0"/>
    <x v="0"/>
    <x v="7"/>
    <n v="11"/>
    <x v="7"/>
    <x v="1"/>
  </r>
  <r>
    <x v="4"/>
    <x v="15"/>
    <x v="1"/>
    <x v="0"/>
    <x v="1"/>
    <x v="8"/>
    <n v="4"/>
    <x v="8"/>
    <x v="1"/>
  </r>
  <r>
    <x v="4"/>
    <x v="15"/>
    <x v="1"/>
    <x v="0"/>
    <x v="1"/>
    <x v="9"/>
    <n v="6"/>
    <x v="9"/>
    <x v="1"/>
  </r>
  <r>
    <x v="4"/>
    <x v="15"/>
    <x v="1"/>
    <x v="0"/>
    <x v="1"/>
    <x v="10"/>
    <n v="4"/>
    <x v="10"/>
    <x v="1"/>
  </r>
  <r>
    <x v="4"/>
    <x v="15"/>
    <x v="1"/>
    <x v="0"/>
    <x v="1"/>
    <x v="11"/>
    <n v="5"/>
    <x v="11"/>
    <x v="1"/>
  </r>
  <r>
    <x v="4"/>
    <x v="15"/>
    <x v="1"/>
    <x v="0"/>
    <x v="2"/>
    <x v="12"/>
    <n v="8"/>
    <x v="12"/>
    <x v="0"/>
  </r>
  <r>
    <x v="4"/>
    <x v="15"/>
    <x v="1"/>
    <x v="0"/>
    <x v="2"/>
    <x v="13"/>
    <n v="10"/>
    <x v="13"/>
    <x v="0"/>
  </r>
  <r>
    <x v="4"/>
    <x v="15"/>
    <x v="1"/>
    <x v="0"/>
    <x v="2"/>
    <x v="14"/>
    <n v="13"/>
    <x v="14"/>
    <x v="0"/>
  </r>
  <r>
    <x v="4"/>
    <x v="15"/>
    <x v="1"/>
    <x v="0"/>
    <x v="2"/>
    <x v="15"/>
    <n v="8"/>
    <x v="15"/>
    <x v="1"/>
  </r>
  <r>
    <x v="4"/>
    <x v="15"/>
    <x v="1"/>
    <x v="0"/>
    <x v="2"/>
    <x v="16"/>
    <n v="18"/>
    <x v="16"/>
    <x v="1"/>
  </r>
  <r>
    <x v="4"/>
    <x v="15"/>
    <x v="1"/>
    <x v="0"/>
    <x v="2"/>
    <x v="17"/>
    <n v="16"/>
    <x v="17"/>
    <x v="1"/>
  </r>
  <r>
    <x v="4"/>
    <x v="15"/>
    <x v="1"/>
    <x v="0"/>
    <x v="2"/>
    <x v="18"/>
    <n v="11"/>
    <x v="18"/>
    <x v="1"/>
  </r>
  <r>
    <x v="4"/>
    <x v="15"/>
    <x v="1"/>
    <x v="0"/>
    <x v="2"/>
    <x v="19"/>
    <n v="15"/>
    <x v="19"/>
    <x v="0"/>
  </r>
  <r>
    <x v="4"/>
    <x v="15"/>
    <x v="1"/>
    <x v="1"/>
    <x v="0"/>
    <x v="0"/>
    <n v="0"/>
    <x v="0"/>
    <x v="0"/>
  </r>
  <r>
    <x v="4"/>
    <x v="15"/>
    <x v="1"/>
    <x v="1"/>
    <x v="0"/>
    <x v="1"/>
    <n v="0"/>
    <x v="1"/>
    <x v="0"/>
  </r>
  <r>
    <x v="4"/>
    <x v="15"/>
    <x v="1"/>
    <x v="1"/>
    <x v="0"/>
    <x v="2"/>
    <n v="0"/>
    <x v="2"/>
    <x v="0"/>
  </r>
  <r>
    <x v="4"/>
    <x v="15"/>
    <x v="1"/>
    <x v="1"/>
    <x v="0"/>
    <x v="3"/>
    <n v="0"/>
    <x v="3"/>
    <x v="0"/>
  </r>
  <r>
    <x v="4"/>
    <x v="15"/>
    <x v="1"/>
    <x v="1"/>
    <x v="0"/>
    <x v="4"/>
    <n v="0"/>
    <x v="4"/>
    <x v="1"/>
  </r>
  <r>
    <x v="4"/>
    <x v="15"/>
    <x v="1"/>
    <x v="1"/>
    <x v="0"/>
    <x v="5"/>
    <n v="0"/>
    <x v="5"/>
    <x v="1"/>
  </r>
  <r>
    <x v="4"/>
    <x v="15"/>
    <x v="1"/>
    <x v="1"/>
    <x v="0"/>
    <x v="6"/>
    <n v="0"/>
    <x v="6"/>
    <x v="1"/>
  </r>
  <r>
    <x v="4"/>
    <x v="15"/>
    <x v="1"/>
    <x v="1"/>
    <x v="0"/>
    <x v="7"/>
    <n v="0"/>
    <x v="7"/>
    <x v="1"/>
  </r>
  <r>
    <x v="4"/>
    <x v="15"/>
    <x v="1"/>
    <x v="1"/>
    <x v="1"/>
    <x v="8"/>
    <n v="0"/>
    <x v="8"/>
    <x v="1"/>
  </r>
  <r>
    <x v="4"/>
    <x v="15"/>
    <x v="1"/>
    <x v="1"/>
    <x v="1"/>
    <x v="9"/>
    <n v="0"/>
    <x v="9"/>
    <x v="1"/>
  </r>
  <r>
    <x v="4"/>
    <x v="15"/>
    <x v="1"/>
    <x v="1"/>
    <x v="1"/>
    <x v="10"/>
    <n v="0"/>
    <x v="10"/>
    <x v="1"/>
  </r>
  <r>
    <x v="4"/>
    <x v="15"/>
    <x v="1"/>
    <x v="1"/>
    <x v="1"/>
    <x v="11"/>
    <n v="0"/>
    <x v="11"/>
    <x v="1"/>
  </r>
  <r>
    <x v="4"/>
    <x v="15"/>
    <x v="1"/>
    <x v="1"/>
    <x v="2"/>
    <x v="12"/>
    <n v="0"/>
    <x v="12"/>
    <x v="0"/>
  </r>
  <r>
    <x v="4"/>
    <x v="15"/>
    <x v="1"/>
    <x v="1"/>
    <x v="2"/>
    <x v="13"/>
    <n v="0"/>
    <x v="13"/>
    <x v="0"/>
  </r>
  <r>
    <x v="4"/>
    <x v="15"/>
    <x v="1"/>
    <x v="1"/>
    <x v="2"/>
    <x v="14"/>
    <n v="0"/>
    <x v="14"/>
    <x v="0"/>
  </r>
  <r>
    <x v="4"/>
    <x v="15"/>
    <x v="1"/>
    <x v="1"/>
    <x v="2"/>
    <x v="15"/>
    <n v="0"/>
    <x v="15"/>
    <x v="1"/>
  </r>
  <r>
    <x v="4"/>
    <x v="15"/>
    <x v="1"/>
    <x v="1"/>
    <x v="2"/>
    <x v="16"/>
    <n v="0"/>
    <x v="16"/>
    <x v="1"/>
  </r>
  <r>
    <x v="4"/>
    <x v="15"/>
    <x v="1"/>
    <x v="1"/>
    <x v="2"/>
    <x v="17"/>
    <n v="0"/>
    <x v="17"/>
    <x v="1"/>
  </r>
  <r>
    <x v="4"/>
    <x v="15"/>
    <x v="1"/>
    <x v="1"/>
    <x v="2"/>
    <x v="18"/>
    <n v="0"/>
    <x v="18"/>
    <x v="1"/>
  </r>
  <r>
    <x v="4"/>
    <x v="15"/>
    <x v="1"/>
    <x v="1"/>
    <x v="2"/>
    <x v="19"/>
    <n v="0"/>
    <x v="19"/>
    <x v="0"/>
  </r>
  <r>
    <x v="4"/>
    <x v="15"/>
    <x v="1"/>
    <x v="2"/>
    <x v="0"/>
    <x v="0"/>
    <n v="0"/>
    <x v="0"/>
    <x v="0"/>
  </r>
  <r>
    <x v="4"/>
    <x v="15"/>
    <x v="1"/>
    <x v="2"/>
    <x v="0"/>
    <x v="1"/>
    <n v="0"/>
    <x v="1"/>
    <x v="0"/>
  </r>
  <r>
    <x v="4"/>
    <x v="15"/>
    <x v="1"/>
    <x v="2"/>
    <x v="0"/>
    <x v="2"/>
    <n v="0"/>
    <x v="2"/>
    <x v="0"/>
  </r>
  <r>
    <x v="4"/>
    <x v="15"/>
    <x v="1"/>
    <x v="2"/>
    <x v="0"/>
    <x v="3"/>
    <n v="0"/>
    <x v="3"/>
    <x v="0"/>
  </r>
  <r>
    <x v="4"/>
    <x v="15"/>
    <x v="1"/>
    <x v="2"/>
    <x v="0"/>
    <x v="4"/>
    <n v="0"/>
    <x v="4"/>
    <x v="1"/>
  </r>
  <r>
    <x v="4"/>
    <x v="15"/>
    <x v="1"/>
    <x v="2"/>
    <x v="0"/>
    <x v="5"/>
    <n v="0"/>
    <x v="5"/>
    <x v="1"/>
  </r>
  <r>
    <x v="4"/>
    <x v="15"/>
    <x v="1"/>
    <x v="2"/>
    <x v="0"/>
    <x v="6"/>
    <n v="0"/>
    <x v="6"/>
    <x v="1"/>
  </r>
  <r>
    <x v="4"/>
    <x v="15"/>
    <x v="1"/>
    <x v="2"/>
    <x v="0"/>
    <x v="7"/>
    <n v="0"/>
    <x v="7"/>
    <x v="1"/>
  </r>
  <r>
    <x v="4"/>
    <x v="15"/>
    <x v="1"/>
    <x v="2"/>
    <x v="1"/>
    <x v="8"/>
    <n v="0"/>
    <x v="8"/>
    <x v="1"/>
  </r>
  <r>
    <x v="4"/>
    <x v="15"/>
    <x v="1"/>
    <x v="2"/>
    <x v="1"/>
    <x v="9"/>
    <n v="0"/>
    <x v="9"/>
    <x v="1"/>
  </r>
  <r>
    <x v="4"/>
    <x v="15"/>
    <x v="1"/>
    <x v="2"/>
    <x v="1"/>
    <x v="10"/>
    <n v="0"/>
    <x v="10"/>
    <x v="1"/>
  </r>
  <r>
    <x v="4"/>
    <x v="15"/>
    <x v="1"/>
    <x v="2"/>
    <x v="1"/>
    <x v="11"/>
    <n v="0"/>
    <x v="11"/>
    <x v="1"/>
  </r>
  <r>
    <x v="4"/>
    <x v="15"/>
    <x v="1"/>
    <x v="2"/>
    <x v="2"/>
    <x v="12"/>
    <n v="0"/>
    <x v="12"/>
    <x v="0"/>
  </r>
  <r>
    <x v="4"/>
    <x v="15"/>
    <x v="1"/>
    <x v="2"/>
    <x v="2"/>
    <x v="13"/>
    <n v="0"/>
    <x v="13"/>
    <x v="0"/>
  </r>
  <r>
    <x v="4"/>
    <x v="15"/>
    <x v="1"/>
    <x v="2"/>
    <x v="2"/>
    <x v="14"/>
    <n v="0"/>
    <x v="14"/>
    <x v="0"/>
  </r>
  <r>
    <x v="4"/>
    <x v="15"/>
    <x v="1"/>
    <x v="2"/>
    <x v="2"/>
    <x v="15"/>
    <n v="0"/>
    <x v="15"/>
    <x v="1"/>
  </r>
  <r>
    <x v="4"/>
    <x v="15"/>
    <x v="1"/>
    <x v="2"/>
    <x v="2"/>
    <x v="16"/>
    <n v="0"/>
    <x v="16"/>
    <x v="1"/>
  </r>
  <r>
    <x v="4"/>
    <x v="15"/>
    <x v="1"/>
    <x v="2"/>
    <x v="2"/>
    <x v="17"/>
    <n v="0"/>
    <x v="17"/>
    <x v="1"/>
  </r>
  <r>
    <x v="4"/>
    <x v="15"/>
    <x v="1"/>
    <x v="2"/>
    <x v="2"/>
    <x v="18"/>
    <n v="1"/>
    <x v="18"/>
    <x v="1"/>
  </r>
  <r>
    <x v="4"/>
    <x v="15"/>
    <x v="1"/>
    <x v="2"/>
    <x v="2"/>
    <x v="19"/>
    <n v="0"/>
    <x v="19"/>
    <x v="0"/>
  </r>
  <r>
    <x v="4"/>
    <x v="16"/>
    <x v="2"/>
    <x v="0"/>
    <x v="0"/>
    <x v="0"/>
    <n v="17"/>
    <x v="0"/>
    <x v="0"/>
  </r>
  <r>
    <x v="4"/>
    <x v="16"/>
    <x v="2"/>
    <x v="0"/>
    <x v="0"/>
    <x v="1"/>
    <n v="8"/>
    <x v="1"/>
    <x v="0"/>
  </r>
  <r>
    <x v="4"/>
    <x v="16"/>
    <x v="2"/>
    <x v="0"/>
    <x v="0"/>
    <x v="2"/>
    <n v="17"/>
    <x v="2"/>
    <x v="0"/>
  </r>
  <r>
    <x v="4"/>
    <x v="16"/>
    <x v="2"/>
    <x v="0"/>
    <x v="0"/>
    <x v="3"/>
    <n v="8"/>
    <x v="3"/>
    <x v="0"/>
  </r>
  <r>
    <x v="4"/>
    <x v="16"/>
    <x v="2"/>
    <x v="0"/>
    <x v="0"/>
    <x v="4"/>
    <n v="12"/>
    <x v="4"/>
    <x v="1"/>
  </r>
  <r>
    <x v="4"/>
    <x v="16"/>
    <x v="2"/>
    <x v="0"/>
    <x v="0"/>
    <x v="5"/>
    <n v="21"/>
    <x v="5"/>
    <x v="1"/>
  </r>
  <r>
    <x v="4"/>
    <x v="16"/>
    <x v="2"/>
    <x v="0"/>
    <x v="0"/>
    <x v="6"/>
    <n v="13"/>
    <x v="6"/>
    <x v="1"/>
  </r>
  <r>
    <x v="4"/>
    <x v="16"/>
    <x v="2"/>
    <x v="0"/>
    <x v="0"/>
    <x v="7"/>
    <n v="10"/>
    <x v="7"/>
    <x v="1"/>
  </r>
  <r>
    <x v="4"/>
    <x v="16"/>
    <x v="2"/>
    <x v="0"/>
    <x v="1"/>
    <x v="8"/>
    <n v="8"/>
    <x v="8"/>
    <x v="1"/>
  </r>
  <r>
    <x v="4"/>
    <x v="16"/>
    <x v="2"/>
    <x v="0"/>
    <x v="1"/>
    <x v="9"/>
    <n v="7"/>
    <x v="9"/>
    <x v="1"/>
  </r>
  <r>
    <x v="4"/>
    <x v="16"/>
    <x v="2"/>
    <x v="0"/>
    <x v="1"/>
    <x v="10"/>
    <n v="5"/>
    <x v="10"/>
    <x v="1"/>
  </r>
  <r>
    <x v="4"/>
    <x v="16"/>
    <x v="2"/>
    <x v="0"/>
    <x v="1"/>
    <x v="11"/>
    <n v="6"/>
    <x v="11"/>
    <x v="1"/>
  </r>
  <r>
    <x v="4"/>
    <x v="16"/>
    <x v="2"/>
    <x v="0"/>
    <x v="2"/>
    <x v="12"/>
    <n v="11"/>
    <x v="12"/>
    <x v="0"/>
  </r>
  <r>
    <x v="4"/>
    <x v="16"/>
    <x v="2"/>
    <x v="0"/>
    <x v="2"/>
    <x v="13"/>
    <n v="12"/>
    <x v="13"/>
    <x v="0"/>
  </r>
  <r>
    <x v="4"/>
    <x v="16"/>
    <x v="2"/>
    <x v="0"/>
    <x v="2"/>
    <x v="14"/>
    <n v="8"/>
    <x v="14"/>
    <x v="0"/>
  </r>
  <r>
    <x v="4"/>
    <x v="16"/>
    <x v="2"/>
    <x v="0"/>
    <x v="2"/>
    <x v="15"/>
    <n v="7"/>
    <x v="15"/>
    <x v="1"/>
  </r>
  <r>
    <x v="4"/>
    <x v="16"/>
    <x v="2"/>
    <x v="0"/>
    <x v="2"/>
    <x v="16"/>
    <n v="6"/>
    <x v="16"/>
    <x v="1"/>
  </r>
  <r>
    <x v="4"/>
    <x v="16"/>
    <x v="2"/>
    <x v="0"/>
    <x v="2"/>
    <x v="17"/>
    <n v="9"/>
    <x v="17"/>
    <x v="1"/>
  </r>
  <r>
    <x v="4"/>
    <x v="16"/>
    <x v="2"/>
    <x v="0"/>
    <x v="2"/>
    <x v="18"/>
    <n v="11"/>
    <x v="18"/>
    <x v="1"/>
  </r>
  <r>
    <x v="4"/>
    <x v="16"/>
    <x v="2"/>
    <x v="0"/>
    <x v="2"/>
    <x v="19"/>
    <n v="4"/>
    <x v="19"/>
    <x v="0"/>
  </r>
  <r>
    <x v="4"/>
    <x v="16"/>
    <x v="2"/>
    <x v="1"/>
    <x v="0"/>
    <x v="0"/>
    <n v="0"/>
    <x v="0"/>
    <x v="0"/>
  </r>
  <r>
    <x v="4"/>
    <x v="16"/>
    <x v="2"/>
    <x v="1"/>
    <x v="0"/>
    <x v="1"/>
    <n v="0"/>
    <x v="1"/>
    <x v="0"/>
  </r>
  <r>
    <x v="4"/>
    <x v="16"/>
    <x v="2"/>
    <x v="1"/>
    <x v="0"/>
    <x v="2"/>
    <n v="1"/>
    <x v="2"/>
    <x v="0"/>
  </r>
  <r>
    <x v="4"/>
    <x v="16"/>
    <x v="2"/>
    <x v="1"/>
    <x v="0"/>
    <x v="3"/>
    <n v="0"/>
    <x v="3"/>
    <x v="0"/>
  </r>
  <r>
    <x v="4"/>
    <x v="16"/>
    <x v="2"/>
    <x v="1"/>
    <x v="0"/>
    <x v="4"/>
    <n v="0"/>
    <x v="4"/>
    <x v="1"/>
  </r>
  <r>
    <x v="4"/>
    <x v="16"/>
    <x v="2"/>
    <x v="1"/>
    <x v="0"/>
    <x v="5"/>
    <n v="0"/>
    <x v="5"/>
    <x v="1"/>
  </r>
  <r>
    <x v="4"/>
    <x v="16"/>
    <x v="2"/>
    <x v="1"/>
    <x v="0"/>
    <x v="6"/>
    <n v="1"/>
    <x v="6"/>
    <x v="1"/>
  </r>
  <r>
    <x v="4"/>
    <x v="16"/>
    <x v="2"/>
    <x v="1"/>
    <x v="0"/>
    <x v="7"/>
    <n v="0"/>
    <x v="7"/>
    <x v="1"/>
  </r>
  <r>
    <x v="4"/>
    <x v="16"/>
    <x v="2"/>
    <x v="1"/>
    <x v="1"/>
    <x v="8"/>
    <n v="0"/>
    <x v="8"/>
    <x v="1"/>
  </r>
  <r>
    <x v="4"/>
    <x v="16"/>
    <x v="2"/>
    <x v="1"/>
    <x v="1"/>
    <x v="9"/>
    <n v="0"/>
    <x v="9"/>
    <x v="1"/>
  </r>
  <r>
    <x v="4"/>
    <x v="16"/>
    <x v="2"/>
    <x v="1"/>
    <x v="1"/>
    <x v="10"/>
    <n v="1"/>
    <x v="10"/>
    <x v="1"/>
  </r>
  <r>
    <x v="4"/>
    <x v="16"/>
    <x v="2"/>
    <x v="1"/>
    <x v="1"/>
    <x v="11"/>
    <n v="2"/>
    <x v="11"/>
    <x v="1"/>
  </r>
  <r>
    <x v="4"/>
    <x v="16"/>
    <x v="2"/>
    <x v="1"/>
    <x v="2"/>
    <x v="12"/>
    <n v="0"/>
    <x v="12"/>
    <x v="0"/>
  </r>
  <r>
    <x v="4"/>
    <x v="16"/>
    <x v="2"/>
    <x v="1"/>
    <x v="2"/>
    <x v="13"/>
    <n v="0"/>
    <x v="13"/>
    <x v="0"/>
  </r>
  <r>
    <x v="4"/>
    <x v="16"/>
    <x v="2"/>
    <x v="1"/>
    <x v="2"/>
    <x v="14"/>
    <n v="0"/>
    <x v="14"/>
    <x v="0"/>
  </r>
  <r>
    <x v="4"/>
    <x v="16"/>
    <x v="2"/>
    <x v="1"/>
    <x v="2"/>
    <x v="15"/>
    <n v="0"/>
    <x v="15"/>
    <x v="1"/>
  </r>
  <r>
    <x v="4"/>
    <x v="16"/>
    <x v="2"/>
    <x v="1"/>
    <x v="2"/>
    <x v="16"/>
    <n v="0"/>
    <x v="16"/>
    <x v="1"/>
  </r>
  <r>
    <x v="4"/>
    <x v="16"/>
    <x v="2"/>
    <x v="1"/>
    <x v="2"/>
    <x v="17"/>
    <n v="0"/>
    <x v="17"/>
    <x v="1"/>
  </r>
  <r>
    <x v="4"/>
    <x v="16"/>
    <x v="2"/>
    <x v="1"/>
    <x v="2"/>
    <x v="18"/>
    <n v="0"/>
    <x v="18"/>
    <x v="1"/>
  </r>
  <r>
    <x v="4"/>
    <x v="16"/>
    <x v="2"/>
    <x v="1"/>
    <x v="2"/>
    <x v="19"/>
    <n v="0"/>
    <x v="19"/>
    <x v="0"/>
  </r>
  <r>
    <x v="4"/>
    <x v="16"/>
    <x v="2"/>
    <x v="2"/>
    <x v="0"/>
    <x v="0"/>
    <n v="0"/>
    <x v="0"/>
    <x v="0"/>
  </r>
  <r>
    <x v="4"/>
    <x v="16"/>
    <x v="2"/>
    <x v="2"/>
    <x v="0"/>
    <x v="1"/>
    <n v="0"/>
    <x v="1"/>
    <x v="0"/>
  </r>
  <r>
    <x v="4"/>
    <x v="16"/>
    <x v="2"/>
    <x v="2"/>
    <x v="0"/>
    <x v="2"/>
    <n v="0"/>
    <x v="2"/>
    <x v="0"/>
  </r>
  <r>
    <x v="4"/>
    <x v="16"/>
    <x v="2"/>
    <x v="2"/>
    <x v="0"/>
    <x v="3"/>
    <n v="0"/>
    <x v="3"/>
    <x v="0"/>
  </r>
  <r>
    <x v="4"/>
    <x v="16"/>
    <x v="2"/>
    <x v="2"/>
    <x v="0"/>
    <x v="4"/>
    <n v="0"/>
    <x v="4"/>
    <x v="1"/>
  </r>
  <r>
    <x v="4"/>
    <x v="16"/>
    <x v="2"/>
    <x v="2"/>
    <x v="0"/>
    <x v="5"/>
    <n v="0"/>
    <x v="5"/>
    <x v="1"/>
  </r>
  <r>
    <x v="4"/>
    <x v="16"/>
    <x v="2"/>
    <x v="2"/>
    <x v="0"/>
    <x v="6"/>
    <n v="0"/>
    <x v="6"/>
    <x v="1"/>
  </r>
  <r>
    <x v="4"/>
    <x v="16"/>
    <x v="2"/>
    <x v="2"/>
    <x v="0"/>
    <x v="7"/>
    <n v="0"/>
    <x v="7"/>
    <x v="1"/>
  </r>
  <r>
    <x v="4"/>
    <x v="16"/>
    <x v="2"/>
    <x v="2"/>
    <x v="1"/>
    <x v="8"/>
    <n v="0"/>
    <x v="8"/>
    <x v="1"/>
  </r>
  <r>
    <x v="4"/>
    <x v="16"/>
    <x v="2"/>
    <x v="2"/>
    <x v="1"/>
    <x v="9"/>
    <n v="0"/>
    <x v="9"/>
    <x v="1"/>
  </r>
  <r>
    <x v="4"/>
    <x v="16"/>
    <x v="2"/>
    <x v="2"/>
    <x v="1"/>
    <x v="10"/>
    <n v="0"/>
    <x v="10"/>
    <x v="1"/>
  </r>
  <r>
    <x v="4"/>
    <x v="16"/>
    <x v="2"/>
    <x v="2"/>
    <x v="1"/>
    <x v="11"/>
    <n v="0"/>
    <x v="11"/>
    <x v="1"/>
  </r>
  <r>
    <x v="4"/>
    <x v="16"/>
    <x v="2"/>
    <x v="2"/>
    <x v="2"/>
    <x v="12"/>
    <n v="0"/>
    <x v="12"/>
    <x v="0"/>
  </r>
  <r>
    <x v="4"/>
    <x v="16"/>
    <x v="2"/>
    <x v="2"/>
    <x v="2"/>
    <x v="13"/>
    <n v="0"/>
    <x v="13"/>
    <x v="0"/>
  </r>
  <r>
    <x v="4"/>
    <x v="16"/>
    <x v="2"/>
    <x v="2"/>
    <x v="2"/>
    <x v="14"/>
    <n v="0"/>
    <x v="14"/>
    <x v="0"/>
  </r>
  <r>
    <x v="4"/>
    <x v="16"/>
    <x v="2"/>
    <x v="2"/>
    <x v="2"/>
    <x v="15"/>
    <n v="0"/>
    <x v="15"/>
    <x v="1"/>
  </r>
  <r>
    <x v="4"/>
    <x v="16"/>
    <x v="2"/>
    <x v="2"/>
    <x v="2"/>
    <x v="16"/>
    <n v="0"/>
    <x v="16"/>
    <x v="1"/>
  </r>
  <r>
    <x v="4"/>
    <x v="16"/>
    <x v="2"/>
    <x v="2"/>
    <x v="2"/>
    <x v="17"/>
    <n v="0"/>
    <x v="17"/>
    <x v="1"/>
  </r>
  <r>
    <x v="4"/>
    <x v="16"/>
    <x v="2"/>
    <x v="2"/>
    <x v="2"/>
    <x v="18"/>
    <n v="0"/>
    <x v="18"/>
    <x v="1"/>
  </r>
  <r>
    <x v="4"/>
    <x v="1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CJ36" firstHeaderRow="1" firstDataRow="4" firstDataCol="1"/>
  <pivotFields count="9">
    <pivotField axis="axisCol" showAll="0">
      <items count="9">
        <item m="1" x="7"/>
        <item m="1" x="5"/>
        <item m="1" x="6"/>
        <item x="0"/>
        <item x="1"/>
        <item x="2"/>
        <item x="3"/>
        <item x="4"/>
        <item t="default"/>
      </items>
    </pivotField>
    <pivotField axis="axisCol" showAll="0">
      <items count="26">
        <item m="1" x="20"/>
        <item m="1" x="17"/>
        <item m="1" x="18"/>
        <item m="1" x="21"/>
        <item m="1" x="22"/>
        <item m="1" x="19"/>
        <item m="1" x="24"/>
        <item m="1" x="23"/>
        <item x="0"/>
        <item x="1"/>
        <item x="2"/>
        <item x="3"/>
        <item x="4"/>
        <item x="5"/>
        <item x="6"/>
        <item x="7"/>
        <item x="8"/>
        <item x="9"/>
        <item x="10"/>
        <item x="11"/>
        <item x="12"/>
        <item x="13"/>
        <item x="14"/>
        <item x="15"/>
        <item x="1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86">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x v="7"/>
      <x v="21"/>
      <x v="4"/>
    </i>
    <i r="2">
      <x v="5"/>
    </i>
    <i r="2">
      <x v="6"/>
    </i>
    <i t="default" r="1">
      <x v="21"/>
    </i>
    <i r="1">
      <x v="22"/>
      <x v="4"/>
    </i>
    <i r="2">
      <x v="5"/>
    </i>
    <i r="2">
      <x v="6"/>
    </i>
    <i t="default" r="1">
      <x v="22"/>
    </i>
    <i r="1">
      <x v="23"/>
      <x v="4"/>
    </i>
    <i r="2">
      <x v="5"/>
    </i>
    <i r="2">
      <x v="6"/>
    </i>
    <i t="default" r="1">
      <x v="23"/>
    </i>
    <i r="1">
      <x v="24"/>
      <x v="4"/>
    </i>
    <i r="2">
      <x v="5"/>
    </i>
    <i r="2">
      <x v="6"/>
    </i>
    <i t="default" r="1">
      <x v="24"/>
    </i>
    <i t="default">
      <x v="7"/>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m="1" x="5"/>
        <item x="1"/>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5"/>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O34" firstHeaderRow="1" firstDataRow="2" firstDataCol="1"/>
  <pivotFields count="9">
    <pivotField axis="axisCol" showAll="0" sortType="ascending">
      <items count="9">
        <item m="1" x="7"/>
        <item m="1" x="5"/>
        <item m="1" x="6"/>
        <item x="0"/>
        <item x="4"/>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5">
    <i>
      <x v="3"/>
    </i>
    <i>
      <x v="4"/>
    </i>
    <i>
      <x v="5"/>
    </i>
    <i>
      <x v="6"/>
    </i>
    <i>
      <x v="7"/>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8">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7"/>
          </reference>
        </references>
      </pivotArea>
    </chartFormat>
    <chartFormat chart="13" format="26" series="1">
      <pivotArea type="data" outline="0" fieldPosition="0">
        <references count="2">
          <reference field="4294967294" count="1" selected="0">
            <x v="0"/>
          </reference>
          <reference field="0" count="1" selected="0">
            <x v="3"/>
          </reference>
        </references>
      </pivotArea>
    </chartFormat>
    <chartFormat chart="13" format="27" series="1">
      <pivotArea type="data" outline="0" fieldPosition="0">
        <references count="2">
          <reference field="4294967294" count="1" selected="0">
            <x v="0"/>
          </reference>
          <reference field="0" count="1" selected="0">
            <x v="4"/>
          </reference>
        </references>
      </pivotArea>
    </chartFormat>
    <chartFormat chart="13" format="28"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7" firstHeaderRow="1" firstDataRow="3" firstDataCol="1" rowPageCount="1" colPageCount="1"/>
  <pivotFields count="9">
    <pivotField axis="axisRow" showAll="0">
      <items count="9">
        <item m="1" x="7"/>
        <item m="1" x="5"/>
        <item m="1" x="6"/>
        <item x="0"/>
        <item x="1"/>
        <item x="2"/>
        <item x="3"/>
        <item x="4"/>
        <item t="default"/>
      </items>
    </pivotField>
    <pivotField axis="axisRow" showAll="0">
      <items count="26">
        <item m="1" x="20"/>
        <item m="1" x="17"/>
        <item m="1" x="18"/>
        <item m="1" x="21"/>
        <item m="1" x="22"/>
        <item m="1" x="19"/>
        <item m="1" x="24"/>
        <item m="1" x="23"/>
        <item x="0"/>
        <item x="1"/>
        <item x="2"/>
        <item x="3"/>
        <item x="4"/>
        <item x="5"/>
        <item x="6"/>
        <item x="7"/>
        <item x="8"/>
        <item x="9"/>
        <item x="10"/>
        <item x="11"/>
        <item x="12"/>
        <item x="13"/>
        <item x="14"/>
        <item x="15"/>
        <item x="1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6">
    <i>
      <x v="3"/>
    </i>
    <i r="1">
      <x v="8"/>
    </i>
    <i r="1">
      <x v="9"/>
    </i>
    <i r="1">
      <x v="10"/>
    </i>
    <i r="1">
      <x v="11"/>
    </i>
    <i>
      <x v="4"/>
    </i>
    <i r="1">
      <x v="11"/>
    </i>
    <i r="1">
      <x v="12"/>
    </i>
    <i r="1">
      <x v="13"/>
    </i>
    <i r="1">
      <x v="14"/>
    </i>
    <i>
      <x v="5"/>
    </i>
    <i r="1">
      <x v="11"/>
    </i>
    <i r="1">
      <x v="15"/>
    </i>
    <i r="1">
      <x v="16"/>
    </i>
    <i r="1">
      <x v="17"/>
    </i>
    <i>
      <x v="6"/>
    </i>
    <i r="1">
      <x v="11"/>
    </i>
    <i r="1">
      <x v="18"/>
    </i>
    <i r="1">
      <x v="19"/>
    </i>
    <i r="1">
      <x v="20"/>
    </i>
    <i>
      <x v="7"/>
    </i>
    <i r="1">
      <x v="21"/>
    </i>
    <i r="1">
      <x v="22"/>
    </i>
    <i r="1">
      <x v="23"/>
    </i>
    <i r="1">
      <x v="2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201" totalsRowShown="0">
  <autoFilter ref="A1:I120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C58" sqref="C5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3">
        <v>44614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99</v>
      </c>
      <c r="D22" t="s">
        <v>27</v>
      </c>
      <c r="E22" s="1" t="s">
        <v>95</v>
      </c>
    </row>
    <row r="23" spans="2:10" x14ac:dyDescent="0.25">
      <c r="B23" t="s">
        <v>21</v>
      </c>
      <c r="C23" s="1" t="s">
        <v>100</v>
      </c>
      <c r="D23" t="s">
        <v>27</v>
      </c>
      <c r="E23" s="1" t="s">
        <v>96</v>
      </c>
    </row>
    <row r="24" spans="2:10" x14ac:dyDescent="0.25">
      <c r="B24" t="s">
        <v>22</v>
      </c>
      <c r="C24" s="1" t="s">
        <v>101</v>
      </c>
      <c r="D24" t="s">
        <v>27</v>
      </c>
      <c r="E24" s="1" t="s">
        <v>97</v>
      </c>
    </row>
    <row r="25" spans="2:10" x14ac:dyDescent="0.25">
      <c r="B25" t="s">
        <v>23</v>
      </c>
      <c r="C25" s="1" t="s">
        <v>92</v>
      </c>
      <c r="D25" t="s">
        <v>27</v>
      </c>
      <c r="E25" s="1" t="s">
        <v>94</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102</v>
      </c>
      <c r="D33" t="s">
        <v>27</v>
      </c>
      <c r="E33" s="1" t="s">
        <v>96</v>
      </c>
    </row>
    <row r="34" spans="2:5" x14ac:dyDescent="0.25">
      <c r="B34" t="s">
        <v>21</v>
      </c>
      <c r="C34" s="1" t="s">
        <v>103</v>
      </c>
      <c r="D34" t="s">
        <v>27</v>
      </c>
      <c r="E34" s="1" t="s">
        <v>97</v>
      </c>
    </row>
    <row r="35" spans="2:5" x14ac:dyDescent="0.25">
      <c r="B35" t="s">
        <v>22</v>
      </c>
      <c r="C35" s="1" t="s">
        <v>104</v>
      </c>
      <c r="D35" t="s">
        <v>27</v>
      </c>
      <c r="E35" s="1" t="s">
        <v>94</v>
      </c>
    </row>
    <row r="36" spans="2:5" x14ac:dyDescent="0.25">
      <c r="B36" t="s">
        <v>23</v>
      </c>
      <c r="C36" s="1" t="s">
        <v>92</v>
      </c>
      <c r="D36" t="s">
        <v>27</v>
      </c>
      <c r="E36" s="1" t="s">
        <v>95</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105</v>
      </c>
      <c r="D44" t="s">
        <v>27</v>
      </c>
      <c r="E44" s="1" t="s">
        <v>97</v>
      </c>
    </row>
    <row r="45" spans="2:5" x14ac:dyDescent="0.25">
      <c r="B45" t="s">
        <v>21</v>
      </c>
      <c r="C45" s="1" t="s">
        <v>106</v>
      </c>
      <c r="D45" t="s">
        <v>27</v>
      </c>
      <c r="E45" s="1" t="s">
        <v>94</v>
      </c>
    </row>
    <row r="46" spans="2:5" x14ac:dyDescent="0.25">
      <c r="B46" t="s">
        <v>22</v>
      </c>
      <c r="C46" s="1" t="s">
        <v>107</v>
      </c>
      <c r="D46" t="s">
        <v>27</v>
      </c>
      <c r="E46" s="1" t="s">
        <v>95</v>
      </c>
    </row>
    <row r="47" spans="2:5" x14ac:dyDescent="0.25">
      <c r="B47" t="s">
        <v>23</v>
      </c>
      <c r="C47" s="1" t="s">
        <v>92</v>
      </c>
      <c r="D47" t="s">
        <v>27</v>
      </c>
      <c r="E47" s="1" t="s">
        <v>96</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108</v>
      </c>
      <c r="D55" t="s">
        <v>27</v>
      </c>
      <c r="E55" s="1" t="s">
        <v>94</v>
      </c>
    </row>
    <row r="56" spans="2:5" x14ac:dyDescent="0.25">
      <c r="B56" t="s">
        <v>21</v>
      </c>
      <c r="C56" s="1" t="s">
        <v>109</v>
      </c>
      <c r="D56" t="s">
        <v>27</v>
      </c>
      <c r="E56" s="1" t="s">
        <v>95</v>
      </c>
    </row>
    <row r="57" spans="2:5" x14ac:dyDescent="0.25">
      <c r="B57" t="s">
        <v>22</v>
      </c>
      <c r="C57" s="1" t="s">
        <v>110</v>
      </c>
      <c r="D57" t="s">
        <v>27</v>
      </c>
      <c r="E57" s="1" t="s">
        <v>96</v>
      </c>
    </row>
    <row r="58" spans="2:5" x14ac:dyDescent="0.25">
      <c r="B58" t="s">
        <v>23</v>
      </c>
      <c r="C58" s="1" t="s">
        <v>92</v>
      </c>
      <c r="D58" t="s">
        <v>27</v>
      </c>
      <c r="E58" s="1" t="s">
        <v>97</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t="s">
        <v>98</v>
      </c>
    </row>
    <row r="66" spans="2:5" x14ac:dyDescent="0.25">
      <c r="B66" t="s">
        <v>20</v>
      </c>
      <c r="C66" s="1" t="s">
        <v>111</v>
      </c>
      <c r="D66" t="s">
        <v>27</v>
      </c>
      <c r="E66" s="1" t="s">
        <v>94</v>
      </c>
    </row>
    <row r="67" spans="2:5" x14ac:dyDescent="0.25">
      <c r="B67" t="s">
        <v>21</v>
      </c>
      <c r="C67" s="1" t="s">
        <v>112</v>
      </c>
      <c r="D67" t="s">
        <v>27</v>
      </c>
      <c r="E67" s="1" t="s">
        <v>95</v>
      </c>
    </row>
    <row r="68" spans="2:5" x14ac:dyDescent="0.25">
      <c r="B68" t="s">
        <v>22</v>
      </c>
      <c r="C68" s="1" t="s">
        <v>113</v>
      </c>
      <c r="D68" t="s">
        <v>27</v>
      </c>
      <c r="E68" s="1" t="s">
        <v>96</v>
      </c>
    </row>
    <row r="69" spans="2:5" x14ac:dyDescent="0.25">
      <c r="B69" t="s">
        <v>23</v>
      </c>
      <c r="C69" s="1" t="s">
        <v>114</v>
      </c>
      <c r="D69" t="s">
        <v>27</v>
      </c>
      <c r="E69" s="1" t="s">
        <v>97</v>
      </c>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Hawke Street North</v>
      </c>
      <c r="C4" s="1" t="str">
        <f>Input!C31</f>
        <v>Seaview Street East</v>
      </c>
      <c r="D4" s="1" t="str">
        <f>Input!C42</f>
        <v>Owles Terrace South</v>
      </c>
      <c r="E4" s="1" t="str">
        <f>Input!C53</f>
        <v>Pages Road South-West</v>
      </c>
      <c r="F4" s="1" t="str">
        <f>Input!C64</f>
        <v>New Brighton Road North-West</v>
      </c>
      <c r="G4" s="1">
        <f>Input!C75</f>
        <v>0</v>
      </c>
      <c r="H4" s="1">
        <f>Input!C86</f>
        <v>0</v>
      </c>
    </row>
    <row r="6" spans="2:8" x14ac:dyDescent="0.25">
      <c r="B6" t="s">
        <v>18</v>
      </c>
    </row>
    <row r="8" spans="2:8" x14ac:dyDescent="0.25">
      <c r="B8" s="1" t="str">
        <f>Input!C22</f>
        <v>Left into Seaview Street East</v>
      </c>
      <c r="C8" s="1" t="str">
        <f>Input!C33</f>
        <v>Left into Owles Terrace South</v>
      </c>
      <c r="D8" s="1" t="str">
        <f>Input!C44</f>
        <v>Hard Left into Pages Road South-West</v>
      </c>
      <c r="E8" s="1" t="str">
        <f>Input!C55</f>
        <v>Bear Left into Hawke Street North</v>
      </c>
      <c r="F8" s="1" t="str">
        <f>Input!C66</f>
        <v>Hard Left into Hawke Street North</v>
      </c>
      <c r="G8" s="1">
        <f>Input!C77</f>
        <v>0</v>
      </c>
      <c r="H8" s="1">
        <f>Input!C88</f>
        <v>0</v>
      </c>
    </row>
    <row r="9" spans="2:8" x14ac:dyDescent="0.25">
      <c r="B9" s="1" t="str">
        <f>Input!C23</f>
        <v>Thru to Owles Terrace South</v>
      </c>
      <c r="C9" s="1" t="str">
        <f>Input!C34</f>
        <v>Bear Left into Pages Road South-West</v>
      </c>
      <c r="D9" s="1" t="str">
        <f>Input!C45</f>
        <v>Thru to Hawke Street North</v>
      </c>
      <c r="E9" s="1" t="str">
        <f>Input!C56</f>
        <v>Bear Right into Seaview Road East</v>
      </c>
      <c r="F9" s="1" t="str">
        <f>Input!C67</f>
        <v>Bear Left into Seaview Road East</v>
      </c>
      <c r="G9" s="1">
        <f>Input!C78</f>
        <v>0</v>
      </c>
      <c r="H9" s="1">
        <f>Input!C89</f>
        <v>0</v>
      </c>
    </row>
    <row r="10" spans="2:8" x14ac:dyDescent="0.25">
      <c r="B10" s="1" t="str">
        <f>Input!C24</f>
        <v>Bear Right into Pages Road South-West</v>
      </c>
      <c r="C10" s="1" t="str">
        <f>Input!C35</f>
        <v>Right into Hawke Street North</v>
      </c>
      <c r="D10" s="1" t="str">
        <f>Input!C46</f>
        <v>Right into Seaview Street East</v>
      </c>
      <c r="E10" s="1" t="str">
        <f>Input!C57</f>
        <v>Hard Right into Owles Terrace South</v>
      </c>
      <c r="F10" s="1" t="str">
        <f>Input!C68</f>
        <v>Bear Right into Owles Terrace South</v>
      </c>
      <c r="G10" s="1">
        <f>Input!C79</f>
        <v>0</v>
      </c>
      <c r="H10" s="1">
        <f>Input!C90</f>
        <v>0</v>
      </c>
    </row>
    <row r="11" spans="2:8" x14ac:dyDescent="0.25">
      <c r="B11" s="1" t="str">
        <f>Input!C25</f>
        <v>U-Turn</v>
      </c>
      <c r="C11" s="1" t="str">
        <f>Input!C36</f>
        <v>U-Turn</v>
      </c>
      <c r="D11" s="1" t="str">
        <f>Input!C47</f>
        <v>U-Turn</v>
      </c>
      <c r="E11" s="1" t="str">
        <f>Input!C58</f>
        <v>U-Turn</v>
      </c>
      <c r="F11" s="1" t="str">
        <f>Input!C69</f>
        <v>Right into Pages Road South-West</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Seaview Street East</v>
      </c>
      <c r="C18" s="1" t="str">
        <f>Input!E33</f>
        <v>Owles Terrace South</v>
      </c>
      <c r="D18" s="1" t="str">
        <f>Input!E44</f>
        <v>Pages Road South-West</v>
      </c>
      <c r="E18" s="1" t="str">
        <f>Input!E55</f>
        <v>Hawke Street North</v>
      </c>
      <c r="F18" s="1" t="str">
        <f>Input!E66</f>
        <v>Hawke Street North</v>
      </c>
      <c r="G18" s="1">
        <f>Input!E77</f>
        <v>0</v>
      </c>
      <c r="H18" s="1">
        <f>Input!E88</f>
        <v>0</v>
      </c>
    </row>
    <row r="19" spans="2:8" x14ac:dyDescent="0.25">
      <c r="B19" s="1" t="str">
        <f>Input!E23</f>
        <v>Owles Terrace South</v>
      </c>
      <c r="C19" s="1" t="str">
        <f>Input!E34</f>
        <v>Pages Road South-West</v>
      </c>
      <c r="D19" s="1" t="str">
        <f>Input!E45</f>
        <v>Hawke Street North</v>
      </c>
      <c r="E19" s="1" t="str">
        <f>Input!E56</f>
        <v>Seaview Street East</v>
      </c>
      <c r="F19" s="1" t="str">
        <f>Input!E67</f>
        <v>Seaview Street East</v>
      </c>
      <c r="G19" s="1">
        <f>Input!E78</f>
        <v>0</v>
      </c>
      <c r="H19" s="1">
        <f>Input!E89</f>
        <v>0</v>
      </c>
    </row>
    <row r="20" spans="2:8" x14ac:dyDescent="0.25">
      <c r="B20" s="1" t="str">
        <f>Input!E24</f>
        <v>Pages Road South-West</v>
      </c>
      <c r="C20" s="1" t="str">
        <f>Input!E35</f>
        <v>Hawke Street North</v>
      </c>
      <c r="D20" s="1" t="str">
        <f>Input!E46</f>
        <v>Seaview Street East</v>
      </c>
      <c r="E20" s="1" t="str">
        <f>Input!E57</f>
        <v>Owles Terrace South</v>
      </c>
      <c r="F20" s="1" t="str">
        <f>Input!E68</f>
        <v>Owles Terrace South</v>
      </c>
      <c r="G20" s="1">
        <f>Input!E79</f>
        <v>0</v>
      </c>
      <c r="H20" s="1">
        <f>Input!E90</f>
        <v>0</v>
      </c>
    </row>
    <row r="21" spans="2:8" x14ac:dyDescent="0.25">
      <c r="B21" s="1" t="str">
        <f>Input!E25</f>
        <v>Hawke Street North</v>
      </c>
      <c r="C21" s="1" t="str">
        <f>Input!E36</f>
        <v>Seaview Street East</v>
      </c>
      <c r="D21" s="1" t="str">
        <f>Input!E47</f>
        <v>Owles Terrace South</v>
      </c>
      <c r="E21" s="1" t="str">
        <f>Input!E58</f>
        <v>Pages Road South-West</v>
      </c>
      <c r="F21" s="1" t="str">
        <f>Input!E69</f>
        <v>Pages Road South-West</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J29"/>
  <sheetViews>
    <sheetView zoomScale="90" zoomScaleNormal="90" workbookViewId="0"/>
  </sheetViews>
  <sheetFormatPr defaultRowHeight="15" x14ac:dyDescent="0.25"/>
  <cols>
    <col min="1" max="1" width="13.7109375" customWidth="1"/>
    <col min="2" max="2" width="7.5703125" customWidth="1"/>
  </cols>
  <sheetData>
    <row r="1" spans="1:62" x14ac:dyDescent="0.25">
      <c r="A1" s="2" t="s">
        <v>115</v>
      </c>
    </row>
    <row r="4" spans="1:62" ht="15.75" thickBot="1" x14ac:dyDescent="0.3"/>
    <row r="5" spans="1:62" x14ac:dyDescent="0.25">
      <c r="C5" s="29" t="s">
        <v>94</v>
      </c>
      <c r="D5" s="16"/>
      <c r="E5" s="18"/>
      <c r="F5" s="26"/>
      <c r="G5" s="16"/>
      <c r="H5" s="18"/>
      <c r="I5" s="26"/>
      <c r="J5" s="16"/>
      <c r="K5" s="18"/>
      <c r="L5" s="26"/>
      <c r="M5" s="16"/>
      <c r="N5" s="18"/>
      <c r="O5" s="29" t="s">
        <v>95</v>
      </c>
      <c r="P5" s="16"/>
      <c r="Q5" s="18"/>
      <c r="R5" s="26"/>
      <c r="S5" s="16"/>
      <c r="T5" s="18"/>
      <c r="U5" s="26"/>
      <c r="V5" s="16"/>
      <c r="W5" s="18"/>
      <c r="X5" s="26"/>
      <c r="Y5" s="16"/>
      <c r="Z5" s="18"/>
      <c r="AA5" s="29" t="s">
        <v>96</v>
      </c>
      <c r="AB5" s="16"/>
      <c r="AC5" s="18"/>
      <c r="AD5" s="26"/>
      <c r="AE5" s="16"/>
      <c r="AF5" s="18"/>
      <c r="AG5" s="26"/>
      <c r="AH5" s="16"/>
      <c r="AI5" s="18"/>
      <c r="AJ5" s="26"/>
      <c r="AK5" s="16"/>
      <c r="AL5" s="18"/>
      <c r="AM5" s="29" t="s">
        <v>97</v>
      </c>
      <c r="AN5" s="16"/>
      <c r="AO5" s="18"/>
      <c r="AP5" s="26"/>
      <c r="AQ5" s="16"/>
      <c r="AR5" s="18"/>
      <c r="AS5" s="26"/>
      <c r="AT5" s="16"/>
      <c r="AU5" s="18"/>
      <c r="AV5" s="26"/>
      <c r="AW5" s="16"/>
      <c r="AX5" s="18"/>
      <c r="AY5" s="29" t="s">
        <v>98</v>
      </c>
      <c r="AZ5" s="16"/>
      <c r="BA5" s="18"/>
      <c r="BB5" s="26"/>
      <c r="BC5" s="16"/>
      <c r="BD5" s="18"/>
      <c r="BE5" s="26"/>
      <c r="BF5" s="16"/>
      <c r="BG5" s="18"/>
      <c r="BH5" s="26"/>
      <c r="BI5" s="16"/>
      <c r="BJ5" s="32"/>
    </row>
    <row r="6" spans="1:62" x14ac:dyDescent="0.25">
      <c r="C6" s="30" t="s">
        <v>99</v>
      </c>
      <c r="D6" s="17"/>
      <c r="E6" s="19"/>
      <c r="F6" s="27" t="s">
        <v>100</v>
      </c>
      <c r="G6" s="17"/>
      <c r="H6" s="19"/>
      <c r="I6" s="27" t="s">
        <v>101</v>
      </c>
      <c r="J6" s="17"/>
      <c r="K6" s="19"/>
      <c r="L6" s="27" t="s">
        <v>92</v>
      </c>
      <c r="M6" s="17"/>
      <c r="N6" s="19"/>
      <c r="O6" s="30" t="s">
        <v>102</v>
      </c>
      <c r="P6" s="17"/>
      <c r="Q6" s="19"/>
      <c r="R6" s="27" t="s">
        <v>103</v>
      </c>
      <c r="S6" s="17"/>
      <c r="T6" s="19"/>
      <c r="U6" s="27" t="s">
        <v>104</v>
      </c>
      <c r="V6" s="17"/>
      <c r="W6" s="19"/>
      <c r="X6" s="27" t="s">
        <v>92</v>
      </c>
      <c r="Y6" s="17"/>
      <c r="Z6" s="19"/>
      <c r="AA6" s="30" t="s">
        <v>105</v>
      </c>
      <c r="AB6" s="17"/>
      <c r="AC6" s="19"/>
      <c r="AD6" s="27" t="s">
        <v>106</v>
      </c>
      <c r="AE6" s="17"/>
      <c r="AF6" s="19"/>
      <c r="AG6" s="27" t="s">
        <v>107</v>
      </c>
      <c r="AH6" s="17"/>
      <c r="AI6" s="19"/>
      <c r="AJ6" s="27" t="s">
        <v>92</v>
      </c>
      <c r="AK6" s="17"/>
      <c r="AL6" s="19"/>
      <c r="AM6" s="30" t="s">
        <v>108</v>
      </c>
      <c r="AN6" s="17"/>
      <c r="AO6" s="19"/>
      <c r="AP6" s="27" t="s">
        <v>109</v>
      </c>
      <c r="AQ6" s="17"/>
      <c r="AR6" s="19"/>
      <c r="AS6" s="27" t="s">
        <v>110</v>
      </c>
      <c r="AT6" s="17"/>
      <c r="AU6" s="19"/>
      <c r="AV6" s="27" t="s">
        <v>92</v>
      </c>
      <c r="AW6" s="17"/>
      <c r="AX6" s="19"/>
      <c r="AY6" s="30" t="s">
        <v>111</v>
      </c>
      <c r="AZ6" s="17"/>
      <c r="BA6" s="19"/>
      <c r="BB6" s="27" t="s">
        <v>112</v>
      </c>
      <c r="BC6" s="17"/>
      <c r="BD6" s="19"/>
      <c r="BE6" s="27" t="s">
        <v>113</v>
      </c>
      <c r="BF6" s="17"/>
      <c r="BG6" s="19"/>
      <c r="BH6" s="27" t="s">
        <v>114</v>
      </c>
      <c r="BI6" s="17"/>
      <c r="BJ6" s="33"/>
    </row>
    <row r="7" spans="1:62"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5" t="s">
        <v>79</v>
      </c>
      <c r="Y7" s="43" t="s">
        <v>89</v>
      </c>
      <c r="Z7" s="44" t="s">
        <v>90</v>
      </c>
      <c r="AA7" s="42" t="s">
        <v>79</v>
      </c>
      <c r="AB7" s="43" t="s">
        <v>89</v>
      </c>
      <c r="AC7" s="44" t="s">
        <v>90</v>
      </c>
      <c r="AD7" s="45" t="s">
        <v>79</v>
      </c>
      <c r="AE7" s="43" t="s">
        <v>89</v>
      </c>
      <c r="AF7" s="44" t="s">
        <v>90</v>
      </c>
      <c r="AG7" s="45" t="s">
        <v>79</v>
      </c>
      <c r="AH7" s="43" t="s">
        <v>89</v>
      </c>
      <c r="AI7" s="44" t="s">
        <v>90</v>
      </c>
      <c r="AJ7" s="45" t="s">
        <v>79</v>
      </c>
      <c r="AK7" s="43" t="s">
        <v>89</v>
      </c>
      <c r="AL7" s="44" t="s">
        <v>90</v>
      </c>
      <c r="AM7" s="42" t="s">
        <v>79</v>
      </c>
      <c r="AN7" s="43" t="s">
        <v>89</v>
      </c>
      <c r="AO7" s="44" t="s">
        <v>90</v>
      </c>
      <c r="AP7" s="45" t="s">
        <v>79</v>
      </c>
      <c r="AQ7" s="43" t="s">
        <v>89</v>
      </c>
      <c r="AR7" s="44" t="s">
        <v>90</v>
      </c>
      <c r="AS7" s="45" t="s">
        <v>79</v>
      </c>
      <c r="AT7" s="43" t="s">
        <v>89</v>
      </c>
      <c r="AU7" s="44" t="s">
        <v>90</v>
      </c>
      <c r="AV7" s="45" t="s">
        <v>79</v>
      </c>
      <c r="AW7" s="43" t="s">
        <v>89</v>
      </c>
      <c r="AX7" s="44" t="s">
        <v>90</v>
      </c>
      <c r="AY7" s="42" t="s">
        <v>79</v>
      </c>
      <c r="AZ7" s="43" t="s">
        <v>89</v>
      </c>
      <c r="BA7" s="44" t="s">
        <v>90</v>
      </c>
      <c r="BB7" s="45" t="s">
        <v>79</v>
      </c>
      <c r="BC7" s="43" t="s">
        <v>89</v>
      </c>
      <c r="BD7" s="44" t="s">
        <v>90</v>
      </c>
      <c r="BE7" s="45" t="s">
        <v>79</v>
      </c>
      <c r="BF7" s="43" t="s">
        <v>89</v>
      </c>
      <c r="BG7" s="44" t="s">
        <v>90</v>
      </c>
      <c r="BH7" s="45" t="s">
        <v>79</v>
      </c>
      <c r="BI7" s="43" t="s">
        <v>89</v>
      </c>
      <c r="BJ7" s="46" t="s">
        <v>90</v>
      </c>
    </row>
    <row r="8" spans="1:62" x14ac:dyDescent="0.25">
      <c r="A8" s="2" t="s">
        <v>43</v>
      </c>
      <c r="B8" s="7">
        <v>0.29166666666666669</v>
      </c>
      <c r="C8" s="31">
        <v>0</v>
      </c>
      <c r="D8">
        <v>0</v>
      </c>
      <c r="E8">
        <v>0</v>
      </c>
      <c r="F8" s="28">
        <v>0</v>
      </c>
      <c r="G8">
        <v>0</v>
      </c>
      <c r="H8">
        <v>0</v>
      </c>
      <c r="I8" s="28">
        <v>54</v>
      </c>
      <c r="J8">
        <v>3</v>
      </c>
      <c r="K8">
        <v>0</v>
      </c>
      <c r="L8" s="28">
        <v>0</v>
      </c>
      <c r="M8">
        <v>0</v>
      </c>
      <c r="N8">
        <v>0</v>
      </c>
      <c r="O8" s="31">
        <v>0</v>
      </c>
      <c r="P8">
        <v>0</v>
      </c>
      <c r="Q8">
        <v>0</v>
      </c>
      <c r="R8" s="28">
        <v>8</v>
      </c>
      <c r="S8">
        <v>2</v>
      </c>
      <c r="T8">
        <v>0</v>
      </c>
      <c r="U8" s="28">
        <v>1</v>
      </c>
      <c r="V8">
        <v>0</v>
      </c>
      <c r="W8">
        <v>0</v>
      </c>
      <c r="X8" s="28">
        <v>0</v>
      </c>
      <c r="Y8">
        <v>0</v>
      </c>
      <c r="Z8">
        <v>0</v>
      </c>
      <c r="AA8" s="31">
        <v>14</v>
      </c>
      <c r="AB8">
        <v>0</v>
      </c>
      <c r="AC8">
        <v>1</v>
      </c>
      <c r="AD8" s="28">
        <v>4</v>
      </c>
      <c r="AE8">
        <v>0</v>
      </c>
      <c r="AF8">
        <v>0</v>
      </c>
      <c r="AG8" s="28">
        <v>0</v>
      </c>
      <c r="AH8">
        <v>0</v>
      </c>
      <c r="AI8">
        <v>0</v>
      </c>
      <c r="AJ8" s="28">
        <v>0</v>
      </c>
      <c r="AK8">
        <v>0</v>
      </c>
      <c r="AL8">
        <v>0</v>
      </c>
      <c r="AM8" s="31">
        <v>14</v>
      </c>
      <c r="AN8">
        <v>2</v>
      </c>
      <c r="AO8">
        <v>0</v>
      </c>
      <c r="AP8" s="28">
        <v>5</v>
      </c>
      <c r="AQ8">
        <v>1</v>
      </c>
      <c r="AR8">
        <v>1</v>
      </c>
      <c r="AS8" s="28">
        <v>3</v>
      </c>
      <c r="AT8">
        <v>0</v>
      </c>
      <c r="AU8">
        <v>0</v>
      </c>
      <c r="AV8" s="28">
        <v>0</v>
      </c>
      <c r="AW8">
        <v>0</v>
      </c>
      <c r="AX8">
        <v>0</v>
      </c>
      <c r="AY8" s="31">
        <v>1</v>
      </c>
      <c r="AZ8">
        <v>0</v>
      </c>
      <c r="BA8">
        <v>0</v>
      </c>
      <c r="BB8" s="28">
        <v>1</v>
      </c>
      <c r="BC8">
        <v>0</v>
      </c>
      <c r="BD8">
        <v>0</v>
      </c>
      <c r="BE8" s="28">
        <v>1</v>
      </c>
      <c r="BF8">
        <v>0</v>
      </c>
      <c r="BG8">
        <v>0</v>
      </c>
      <c r="BH8" s="28">
        <v>17</v>
      </c>
      <c r="BI8">
        <v>0</v>
      </c>
      <c r="BJ8" s="34">
        <v>0</v>
      </c>
    </row>
    <row r="9" spans="1:62" x14ac:dyDescent="0.25">
      <c r="A9" s="2" t="s">
        <v>43</v>
      </c>
      <c r="B9" s="7">
        <v>0.30208333333333331</v>
      </c>
      <c r="C9" s="31">
        <v>1</v>
      </c>
      <c r="D9">
        <v>0</v>
      </c>
      <c r="E9">
        <v>0</v>
      </c>
      <c r="F9" s="28">
        <v>7</v>
      </c>
      <c r="G9">
        <v>0</v>
      </c>
      <c r="H9">
        <v>0</v>
      </c>
      <c r="I9" s="28">
        <v>49</v>
      </c>
      <c r="J9">
        <v>2</v>
      </c>
      <c r="K9">
        <v>0</v>
      </c>
      <c r="L9" s="28">
        <v>0</v>
      </c>
      <c r="M9">
        <v>0</v>
      </c>
      <c r="N9">
        <v>0</v>
      </c>
      <c r="O9" s="31">
        <v>0</v>
      </c>
      <c r="P9">
        <v>0</v>
      </c>
      <c r="Q9">
        <v>0</v>
      </c>
      <c r="R9" s="28">
        <v>6</v>
      </c>
      <c r="S9">
        <v>1</v>
      </c>
      <c r="T9">
        <v>0</v>
      </c>
      <c r="U9" s="28">
        <v>0</v>
      </c>
      <c r="V9">
        <v>0</v>
      </c>
      <c r="W9">
        <v>0</v>
      </c>
      <c r="X9" s="28">
        <v>0</v>
      </c>
      <c r="Y9">
        <v>0</v>
      </c>
      <c r="Z9">
        <v>0</v>
      </c>
      <c r="AA9" s="31">
        <v>12</v>
      </c>
      <c r="AB9">
        <v>0</v>
      </c>
      <c r="AC9">
        <v>3</v>
      </c>
      <c r="AD9" s="28">
        <v>8</v>
      </c>
      <c r="AE9">
        <v>1</v>
      </c>
      <c r="AF9">
        <v>0</v>
      </c>
      <c r="AG9" s="28">
        <v>0</v>
      </c>
      <c r="AH9">
        <v>0</v>
      </c>
      <c r="AI9">
        <v>0</v>
      </c>
      <c r="AJ9" s="28">
        <v>0</v>
      </c>
      <c r="AK9">
        <v>0</v>
      </c>
      <c r="AL9">
        <v>0</v>
      </c>
      <c r="AM9" s="31">
        <v>27</v>
      </c>
      <c r="AN9">
        <v>0</v>
      </c>
      <c r="AO9">
        <v>1</v>
      </c>
      <c r="AP9" s="28">
        <v>6</v>
      </c>
      <c r="AQ9">
        <v>1</v>
      </c>
      <c r="AR9">
        <v>0</v>
      </c>
      <c r="AS9" s="28">
        <v>7</v>
      </c>
      <c r="AT9">
        <v>0</v>
      </c>
      <c r="AU9">
        <v>0</v>
      </c>
      <c r="AV9" s="28">
        <v>0</v>
      </c>
      <c r="AW9">
        <v>0</v>
      </c>
      <c r="AX9">
        <v>0</v>
      </c>
      <c r="AY9" s="31">
        <v>2</v>
      </c>
      <c r="AZ9">
        <v>0</v>
      </c>
      <c r="BA9">
        <v>1</v>
      </c>
      <c r="BB9" s="28">
        <v>0</v>
      </c>
      <c r="BC9">
        <v>0</v>
      </c>
      <c r="BD9">
        <v>0</v>
      </c>
      <c r="BE9" s="28">
        <v>4</v>
      </c>
      <c r="BF9">
        <v>0</v>
      </c>
      <c r="BG9">
        <v>0</v>
      </c>
      <c r="BH9" s="28">
        <v>8</v>
      </c>
      <c r="BI9">
        <v>0</v>
      </c>
      <c r="BJ9" s="34">
        <v>0</v>
      </c>
    </row>
    <row r="10" spans="1:62" x14ac:dyDescent="0.25">
      <c r="A10" s="2" t="s">
        <v>43</v>
      </c>
      <c r="B10" s="7">
        <v>0.3125</v>
      </c>
      <c r="C10" s="31">
        <v>1</v>
      </c>
      <c r="D10">
        <v>0</v>
      </c>
      <c r="E10">
        <v>0</v>
      </c>
      <c r="F10" s="28">
        <v>3</v>
      </c>
      <c r="G10">
        <v>0</v>
      </c>
      <c r="H10">
        <v>1</v>
      </c>
      <c r="I10" s="28">
        <v>71</v>
      </c>
      <c r="J10">
        <v>0</v>
      </c>
      <c r="K10">
        <v>0</v>
      </c>
      <c r="L10" s="28">
        <v>0</v>
      </c>
      <c r="M10">
        <v>0</v>
      </c>
      <c r="N10">
        <v>0</v>
      </c>
      <c r="O10" s="31">
        <v>0</v>
      </c>
      <c r="P10">
        <v>0</v>
      </c>
      <c r="Q10">
        <v>0</v>
      </c>
      <c r="R10" s="28">
        <v>10</v>
      </c>
      <c r="S10">
        <v>1</v>
      </c>
      <c r="T10">
        <v>0</v>
      </c>
      <c r="U10" s="28">
        <v>0</v>
      </c>
      <c r="V10">
        <v>0</v>
      </c>
      <c r="W10">
        <v>0</v>
      </c>
      <c r="X10" s="28">
        <v>0</v>
      </c>
      <c r="Y10">
        <v>0</v>
      </c>
      <c r="Z10">
        <v>0</v>
      </c>
      <c r="AA10" s="31">
        <v>27</v>
      </c>
      <c r="AB10">
        <v>1</v>
      </c>
      <c r="AC10">
        <v>1</v>
      </c>
      <c r="AD10" s="28">
        <v>13</v>
      </c>
      <c r="AE10">
        <v>0</v>
      </c>
      <c r="AF10">
        <v>0</v>
      </c>
      <c r="AG10" s="28">
        <v>0</v>
      </c>
      <c r="AH10">
        <v>0</v>
      </c>
      <c r="AI10">
        <v>0</v>
      </c>
      <c r="AJ10" s="28">
        <v>0</v>
      </c>
      <c r="AK10">
        <v>0</v>
      </c>
      <c r="AL10">
        <v>0</v>
      </c>
      <c r="AM10" s="31">
        <v>20</v>
      </c>
      <c r="AN10">
        <v>1</v>
      </c>
      <c r="AO10">
        <v>0</v>
      </c>
      <c r="AP10" s="28">
        <v>4</v>
      </c>
      <c r="AQ10">
        <v>1</v>
      </c>
      <c r="AR10">
        <v>0</v>
      </c>
      <c r="AS10" s="28">
        <v>8</v>
      </c>
      <c r="AT10">
        <v>0</v>
      </c>
      <c r="AU10">
        <v>0</v>
      </c>
      <c r="AV10" s="28">
        <v>0</v>
      </c>
      <c r="AW10">
        <v>0</v>
      </c>
      <c r="AX10">
        <v>0</v>
      </c>
      <c r="AY10" s="31">
        <v>3</v>
      </c>
      <c r="AZ10">
        <v>0</v>
      </c>
      <c r="BA10">
        <v>0</v>
      </c>
      <c r="BB10" s="28">
        <v>2</v>
      </c>
      <c r="BC10">
        <v>0</v>
      </c>
      <c r="BD10">
        <v>0</v>
      </c>
      <c r="BE10" s="28">
        <v>2</v>
      </c>
      <c r="BF10">
        <v>0</v>
      </c>
      <c r="BG10">
        <v>0</v>
      </c>
      <c r="BH10" s="28">
        <v>17</v>
      </c>
      <c r="BI10">
        <v>1</v>
      </c>
      <c r="BJ10" s="34">
        <v>0</v>
      </c>
    </row>
    <row r="11" spans="1:62" x14ac:dyDescent="0.25">
      <c r="A11" s="2" t="s">
        <v>43</v>
      </c>
      <c r="B11" s="7">
        <v>0.32291666666666669</v>
      </c>
      <c r="C11" s="31">
        <v>3</v>
      </c>
      <c r="D11">
        <v>0</v>
      </c>
      <c r="E11">
        <v>0</v>
      </c>
      <c r="F11" s="28">
        <v>2</v>
      </c>
      <c r="G11">
        <v>0</v>
      </c>
      <c r="H11">
        <v>0</v>
      </c>
      <c r="I11" s="28">
        <v>58</v>
      </c>
      <c r="J11">
        <v>1</v>
      </c>
      <c r="K11">
        <v>1</v>
      </c>
      <c r="L11" s="28">
        <v>0</v>
      </c>
      <c r="M11">
        <v>0</v>
      </c>
      <c r="N11">
        <v>0</v>
      </c>
      <c r="O11" s="31">
        <v>0</v>
      </c>
      <c r="P11">
        <v>0</v>
      </c>
      <c r="Q11">
        <v>0</v>
      </c>
      <c r="R11" s="28">
        <v>7</v>
      </c>
      <c r="S11">
        <v>2</v>
      </c>
      <c r="T11">
        <v>1</v>
      </c>
      <c r="U11" s="28">
        <v>1</v>
      </c>
      <c r="V11">
        <v>1</v>
      </c>
      <c r="W11">
        <v>0</v>
      </c>
      <c r="X11" s="28">
        <v>0</v>
      </c>
      <c r="Y11">
        <v>0</v>
      </c>
      <c r="Z11">
        <v>0</v>
      </c>
      <c r="AA11" s="31">
        <v>23</v>
      </c>
      <c r="AB11">
        <v>0</v>
      </c>
      <c r="AC11">
        <v>0</v>
      </c>
      <c r="AD11" s="28">
        <v>7</v>
      </c>
      <c r="AE11">
        <v>0</v>
      </c>
      <c r="AF11">
        <v>1</v>
      </c>
      <c r="AG11" s="28">
        <v>0</v>
      </c>
      <c r="AH11">
        <v>0</v>
      </c>
      <c r="AI11">
        <v>0</v>
      </c>
      <c r="AJ11" s="28">
        <v>0</v>
      </c>
      <c r="AK11">
        <v>0</v>
      </c>
      <c r="AL11">
        <v>0</v>
      </c>
      <c r="AM11" s="31">
        <v>29</v>
      </c>
      <c r="AN11">
        <v>2</v>
      </c>
      <c r="AO11">
        <v>0</v>
      </c>
      <c r="AP11" s="28">
        <v>5</v>
      </c>
      <c r="AQ11">
        <v>2</v>
      </c>
      <c r="AR11">
        <v>0</v>
      </c>
      <c r="AS11" s="28">
        <v>12</v>
      </c>
      <c r="AT11">
        <v>1</v>
      </c>
      <c r="AU11">
        <v>0</v>
      </c>
      <c r="AV11" s="28">
        <v>0</v>
      </c>
      <c r="AW11">
        <v>0</v>
      </c>
      <c r="AX11">
        <v>0</v>
      </c>
      <c r="AY11" s="31">
        <v>6</v>
      </c>
      <c r="AZ11">
        <v>0</v>
      </c>
      <c r="BA11">
        <v>1</v>
      </c>
      <c r="BB11" s="28">
        <v>3</v>
      </c>
      <c r="BC11">
        <v>0</v>
      </c>
      <c r="BD11">
        <v>0</v>
      </c>
      <c r="BE11" s="28">
        <v>5</v>
      </c>
      <c r="BF11">
        <v>0</v>
      </c>
      <c r="BG11">
        <v>0</v>
      </c>
      <c r="BH11" s="28">
        <v>8</v>
      </c>
      <c r="BI11">
        <v>0</v>
      </c>
      <c r="BJ11" s="34">
        <v>0</v>
      </c>
    </row>
    <row r="12" spans="1:62" x14ac:dyDescent="0.25">
      <c r="A12" s="2" t="s">
        <v>43</v>
      </c>
      <c r="B12" s="7">
        <v>0.33333333333333331</v>
      </c>
      <c r="C12" s="31">
        <v>0</v>
      </c>
      <c r="D12">
        <v>0</v>
      </c>
      <c r="E12">
        <v>0</v>
      </c>
      <c r="F12" s="28">
        <v>7</v>
      </c>
      <c r="G12">
        <v>0</v>
      </c>
      <c r="H12">
        <v>0</v>
      </c>
      <c r="I12" s="28">
        <v>62</v>
      </c>
      <c r="J12">
        <v>2</v>
      </c>
      <c r="K12">
        <v>0</v>
      </c>
      <c r="L12" s="28">
        <v>0</v>
      </c>
      <c r="M12">
        <v>0</v>
      </c>
      <c r="N12">
        <v>0</v>
      </c>
      <c r="O12" s="31">
        <v>0</v>
      </c>
      <c r="P12">
        <v>0</v>
      </c>
      <c r="Q12">
        <v>0</v>
      </c>
      <c r="R12" s="28">
        <v>10</v>
      </c>
      <c r="S12">
        <v>1</v>
      </c>
      <c r="T12">
        <v>0</v>
      </c>
      <c r="U12" s="28">
        <v>3</v>
      </c>
      <c r="V12">
        <v>0</v>
      </c>
      <c r="W12">
        <v>1</v>
      </c>
      <c r="X12" s="28">
        <v>0</v>
      </c>
      <c r="Y12">
        <v>0</v>
      </c>
      <c r="Z12">
        <v>0</v>
      </c>
      <c r="AA12" s="31">
        <v>20</v>
      </c>
      <c r="AB12">
        <v>0</v>
      </c>
      <c r="AC12">
        <v>1</v>
      </c>
      <c r="AD12" s="28">
        <v>18</v>
      </c>
      <c r="AE12">
        <v>0</v>
      </c>
      <c r="AF12">
        <v>1</v>
      </c>
      <c r="AG12" s="28">
        <v>0</v>
      </c>
      <c r="AH12">
        <v>0</v>
      </c>
      <c r="AI12">
        <v>0</v>
      </c>
      <c r="AJ12" s="28">
        <v>0</v>
      </c>
      <c r="AK12">
        <v>0</v>
      </c>
      <c r="AL12">
        <v>0</v>
      </c>
      <c r="AM12" s="31">
        <v>35</v>
      </c>
      <c r="AN12">
        <v>0</v>
      </c>
      <c r="AO12">
        <v>0</v>
      </c>
      <c r="AP12" s="28">
        <v>5</v>
      </c>
      <c r="AQ12">
        <v>0</v>
      </c>
      <c r="AR12">
        <v>1</v>
      </c>
      <c r="AS12" s="28">
        <v>8</v>
      </c>
      <c r="AT12">
        <v>0</v>
      </c>
      <c r="AU12">
        <v>0</v>
      </c>
      <c r="AV12" s="28">
        <v>0</v>
      </c>
      <c r="AW12">
        <v>0</v>
      </c>
      <c r="AX12">
        <v>0</v>
      </c>
      <c r="AY12" s="31">
        <v>3</v>
      </c>
      <c r="AZ12">
        <v>0</v>
      </c>
      <c r="BA12">
        <v>0</v>
      </c>
      <c r="BB12" s="28">
        <v>1</v>
      </c>
      <c r="BC12">
        <v>0</v>
      </c>
      <c r="BD12">
        <v>0</v>
      </c>
      <c r="BE12" s="28">
        <v>6</v>
      </c>
      <c r="BF12">
        <v>0</v>
      </c>
      <c r="BG12">
        <v>0</v>
      </c>
      <c r="BH12" s="28">
        <v>12</v>
      </c>
      <c r="BI12">
        <v>0</v>
      </c>
      <c r="BJ12" s="34">
        <v>0</v>
      </c>
    </row>
    <row r="13" spans="1:62" x14ac:dyDescent="0.25">
      <c r="A13" s="2" t="s">
        <v>43</v>
      </c>
      <c r="B13" s="7">
        <v>0.34375</v>
      </c>
      <c r="C13" s="31">
        <v>0</v>
      </c>
      <c r="D13">
        <v>0</v>
      </c>
      <c r="E13">
        <v>0</v>
      </c>
      <c r="F13" s="28">
        <v>13</v>
      </c>
      <c r="G13">
        <v>1</v>
      </c>
      <c r="H13">
        <v>0</v>
      </c>
      <c r="I13" s="28">
        <v>80</v>
      </c>
      <c r="J13">
        <v>0</v>
      </c>
      <c r="K13">
        <v>0</v>
      </c>
      <c r="L13" s="28">
        <v>1</v>
      </c>
      <c r="M13">
        <v>0</v>
      </c>
      <c r="N13">
        <v>0</v>
      </c>
      <c r="O13" s="31">
        <v>1</v>
      </c>
      <c r="P13">
        <v>0</v>
      </c>
      <c r="Q13">
        <v>0</v>
      </c>
      <c r="R13" s="28">
        <v>8</v>
      </c>
      <c r="S13">
        <v>3</v>
      </c>
      <c r="T13">
        <v>0</v>
      </c>
      <c r="U13" s="28">
        <v>3</v>
      </c>
      <c r="V13">
        <v>0</v>
      </c>
      <c r="W13">
        <v>0</v>
      </c>
      <c r="X13" s="28">
        <v>0</v>
      </c>
      <c r="Y13">
        <v>0</v>
      </c>
      <c r="Z13">
        <v>0</v>
      </c>
      <c r="AA13" s="31">
        <v>16</v>
      </c>
      <c r="AB13">
        <v>2</v>
      </c>
      <c r="AC13">
        <v>0</v>
      </c>
      <c r="AD13" s="28">
        <v>33</v>
      </c>
      <c r="AE13">
        <v>0</v>
      </c>
      <c r="AF13">
        <v>1</v>
      </c>
      <c r="AG13" s="28">
        <v>0</v>
      </c>
      <c r="AH13">
        <v>0</v>
      </c>
      <c r="AI13">
        <v>0</v>
      </c>
      <c r="AJ13" s="28">
        <v>0</v>
      </c>
      <c r="AK13">
        <v>0</v>
      </c>
      <c r="AL13">
        <v>0</v>
      </c>
      <c r="AM13" s="31">
        <v>49</v>
      </c>
      <c r="AN13">
        <v>1</v>
      </c>
      <c r="AO13">
        <v>1</v>
      </c>
      <c r="AP13" s="28">
        <v>8</v>
      </c>
      <c r="AQ13">
        <v>2</v>
      </c>
      <c r="AR13">
        <v>1</v>
      </c>
      <c r="AS13" s="28">
        <v>19</v>
      </c>
      <c r="AT13">
        <v>0</v>
      </c>
      <c r="AU13">
        <v>0</v>
      </c>
      <c r="AV13" s="28">
        <v>0</v>
      </c>
      <c r="AW13">
        <v>0</v>
      </c>
      <c r="AX13">
        <v>0</v>
      </c>
      <c r="AY13" s="31">
        <v>11</v>
      </c>
      <c r="AZ13">
        <v>0</v>
      </c>
      <c r="BA13">
        <v>0</v>
      </c>
      <c r="BB13" s="28">
        <v>6</v>
      </c>
      <c r="BC13">
        <v>1</v>
      </c>
      <c r="BD13">
        <v>0</v>
      </c>
      <c r="BE13" s="28">
        <v>16</v>
      </c>
      <c r="BF13">
        <v>0</v>
      </c>
      <c r="BG13">
        <v>0</v>
      </c>
      <c r="BH13" s="28">
        <v>21</v>
      </c>
      <c r="BI13">
        <v>0</v>
      </c>
      <c r="BJ13" s="34">
        <v>0</v>
      </c>
    </row>
    <row r="14" spans="1:62" x14ac:dyDescent="0.25">
      <c r="A14" s="2" t="s">
        <v>43</v>
      </c>
      <c r="B14" s="7">
        <v>0.35416666666666669</v>
      </c>
      <c r="C14" s="31">
        <v>0</v>
      </c>
      <c r="D14">
        <v>0</v>
      </c>
      <c r="E14">
        <v>0</v>
      </c>
      <c r="F14" s="28">
        <v>19</v>
      </c>
      <c r="G14">
        <v>1</v>
      </c>
      <c r="H14">
        <v>0</v>
      </c>
      <c r="I14" s="28">
        <v>93</v>
      </c>
      <c r="J14">
        <v>1</v>
      </c>
      <c r="K14">
        <v>0</v>
      </c>
      <c r="L14" s="28">
        <v>0</v>
      </c>
      <c r="M14">
        <v>0</v>
      </c>
      <c r="N14">
        <v>0</v>
      </c>
      <c r="O14" s="31">
        <v>2</v>
      </c>
      <c r="P14">
        <v>0</v>
      </c>
      <c r="Q14">
        <v>0</v>
      </c>
      <c r="R14" s="28">
        <v>20</v>
      </c>
      <c r="S14">
        <v>3</v>
      </c>
      <c r="T14">
        <v>0</v>
      </c>
      <c r="U14" s="28">
        <v>5</v>
      </c>
      <c r="V14">
        <v>0</v>
      </c>
      <c r="W14">
        <v>0</v>
      </c>
      <c r="X14" s="28">
        <v>0</v>
      </c>
      <c r="Y14">
        <v>0</v>
      </c>
      <c r="Z14">
        <v>0</v>
      </c>
      <c r="AA14" s="31">
        <v>25</v>
      </c>
      <c r="AB14">
        <v>0</v>
      </c>
      <c r="AC14">
        <v>0</v>
      </c>
      <c r="AD14" s="28">
        <v>21</v>
      </c>
      <c r="AE14">
        <v>0</v>
      </c>
      <c r="AF14">
        <v>0</v>
      </c>
      <c r="AG14" s="28">
        <v>0</v>
      </c>
      <c r="AH14">
        <v>0</v>
      </c>
      <c r="AI14">
        <v>0</v>
      </c>
      <c r="AJ14" s="28">
        <v>0</v>
      </c>
      <c r="AK14">
        <v>0</v>
      </c>
      <c r="AL14">
        <v>0</v>
      </c>
      <c r="AM14" s="31">
        <v>46</v>
      </c>
      <c r="AN14">
        <v>1</v>
      </c>
      <c r="AO14">
        <v>1</v>
      </c>
      <c r="AP14" s="28">
        <v>14</v>
      </c>
      <c r="AQ14">
        <v>0</v>
      </c>
      <c r="AR14">
        <v>0</v>
      </c>
      <c r="AS14" s="28">
        <v>23</v>
      </c>
      <c r="AT14">
        <v>0</v>
      </c>
      <c r="AU14">
        <v>0</v>
      </c>
      <c r="AV14" s="28">
        <v>0</v>
      </c>
      <c r="AW14">
        <v>0</v>
      </c>
      <c r="AX14">
        <v>0</v>
      </c>
      <c r="AY14" s="31">
        <v>9</v>
      </c>
      <c r="AZ14">
        <v>0</v>
      </c>
      <c r="BA14">
        <v>0</v>
      </c>
      <c r="BB14" s="28">
        <v>3</v>
      </c>
      <c r="BC14">
        <v>1</v>
      </c>
      <c r="BD14">
        <v>0</v>
      </c>
      <c r="BE14" s="28">
        <v>16</v>
      </c>
      <c r="BF14">
        <v>0</v>
      </c>
      <c r="BG14">
        <v>0</v>
      </c>
      <c r="BH14" s="28">
        <v>13</v>
      </c>
      <c r="BI14">
        <v>1</v>
      </c>
      <c r="BJ14" s="34">
        <v>0</v>
      </c>
    </row>
    <row r="15" spans="1:62" ht="15.75" thickBot="1" x14ac:dyDescent="0.3">
      <c r="A15" s="2" t="s">
        <v>43</v>
      </c>
      <c r="B15" s="7">
        <v>0.36458333333333331</v>
      </c>
      <c r="C15" s="31">
        <v>1</v>
      </c>
      <c r="D15">
        <v>0</v>
      </c>
      <c r="E15">
        <v>0</v>
      </c>
      <c r="F15" s="28">
        <v>8</v>
      </c>
      <c r="G15">
        <v>0</v>
      </c>
      <c r="H15">
        <v>0</v>
      </c>
      <c r="I15" s="28">
        <v>64</v>
      </c>
      <c r="J15">
        <v>3</v>
      </c>
      <c r="K15">
        <v>1</v>
      </c>
      <c r="L15" s="28">
        <v>0</v>
      </c>
      <c r="M15">
        <v>0</v>
      </c>
      <c r="N15">
        <v>0</v>
      </c>
      <c r="O15" s="31">
        <v>1</v>
      </c>
      <c r="P15">
        <v>0</v>
      </c>
      <c r="Q15">
        <v>0</v>
      </c>
      <c r="R15" s="28">
        <v>9</v>
      </c>
      <c r="S15">
        <v>1</v>
      </c>
      <c r="T15">
        <v>0</v>
      </c>
      <c r="U15" s="28">
        <v>1</v>
      </c>
      <c r="V15">
        <v>0</v>
      </c>
      <c r="W15">
        <v>0</v>
      </c>
      <c r="X15" s="28">
        <v>0</v>
      </c>
      <c r="Y15">
        <v>0</v>
      </c>
      <c r="Z15">
        <v>0</v>
      </c>
      <c r="AA15" s="31">
        <v>18</v>
      </c>
      <c r="AB15">
        <v>0</v>
      </c>
      <c r="AC15">
        <v>0</v>
      </c>
      <c r="AD15" s="28">
        <v>10</v>
      </c>
      <c r="AE15">
        <v>0</v>
      </c>
      <c r="AF15">
        <v>1</v>
      </c>
      <c r="AG15" s="28">
        <v>0</v>
      </c>
      <c r="AH15">
        <v>0</v>
      </c>
      <c r="AI15">
        <v>0</v>
      </c>
      <c r="AJ15" s="28">
        <v>0</v>
      </c>
      <c r="AK15">
        <v>0</v>
      </c>
      <c r="AL15">
        <v>0</v>
      </c>
      <c r="AM15" s="31">
        <v>42</v>
      </c>
      <c r="AN15">
        <v>2</v>
      </c>
      <c r="AO15">
        <v>1</v>
      </c>
      <c r="AP15" s="28">
        <v>16</v>
      </c>
      <c r="AQ15">
        <v>1</v>
      </c>
      <c r="AR15">
        <v>1</v>
      </c>
      <c r="AS15" s="28">
        <v>19</v>
      </c>
      <c r="AT15">
        <v>0</v>
      </c>
      <c r="AU15">
        <v>0</v>
      </c>
      <c r="AV15" s="28">
        <v>1</v>
      </c>
      <c r="AW15">
        <v>0</v>
      </c>
      <c r="AX15">
        <v>0</v>
      </c>
      <c r="AY15" s="31">
        <v>7</v>
      </c>
      <c r="AZ15">
        <v>0</v>
      </c>
      <c r="BA15">
        <v>0</v>
      </c>
      <c r="BB15" s="28">
        <v>7</v>
      </c>
      <c r="BC15">
        <v>0</v>
      </c>
      <c r="BD15">
        <v>0</v>
      </c>
      <c r="BE15" s="28">
        <v>11</v>
      </c>
      <c r="BF15">
        <v>0</v>
      </c>
      <c r="BG15">
        <v>0</v>
      </c>
      <c r="BH15" s="28">
        <v>10</v>
      </c>
      <c r="BI15">
        <v>0</v>
      </c>
      <c r="BJ15" s="34">
        <v>0</v>
      </c>
    </row>
    <row r="16" spans="1:62"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20"/>
      <c r="AY16" s="35"/>
      <c r="AZ16" s="20"/>
      <c r="BA16" s="20"/>
      <c r="BB16" s="36"/>
      <c r="BC16" s="20"/>
      <c r="BD16" s="20"/>
      <c r="BE16" s="36"/>
      <c r="BF16" s="20"/>
      <c r="BG16" s="20"/>
      <c r="BH16" s="36"/>
      <c r="BI16" s="20"/>
      <c r="BJ16" s="37"/>
    </row>
    <row r="17" spans="1:62" x14ac:dyDescent="0.25">
      <c r="A17" s="2" t="s">
        <v>91</v>
      </c>
      <c r="B17" s="7">
        <v>0.54166666666666663</v>
      </c>
      <c r="C17" s="31">
        <v>0</v>
      </c>
      <c r="D17">
        <v>0</v>
      </c>
      <c r="E17">
        <v>0</v>
      </c>
      <c r="F17" s="28">
        <v>5</v>
      </c>
      <c r="G17">
        <v>1</v>
      </c>
      <c r="H17">
        <v>0</v>
      </c>
      <c r="I17" s="28">
        <v>47</v>
      </c>
      <c r="J17">
        <v>1</v>
      </c>
      <c r="K17">
        <v>0</v>
      </c>
      <c r="L17" s="28">
        <v>0</v>
      </c>
      <c r="M17">
        <v>0</v>
      </c>
      <c r="N17">
        <v>0</v>
      </c>
      <c r="O17" s="31">
        <v>2</v>
      </c>
      <c r="P17">
        <v>0</v>
      </c>
      <c r="Q17">
        <v>0</v>
      </c>
      <c r="R17" s="28">
        <v>15</v>
      </c>
      <c r="S17">
        <v>1</v>
      </c>
      <c r="T17">
        <v>0</v>
      </c>
      <c r="U17" s="28">
        <v>3</v>
      </c>
      <c r="V17">
        <v>0</v>
      </c>
      <c r="W17">
        <v>0</v>
      </c>
      <c r="X17" s="28">
        <v>0</v>
      </c>
      <c r="Y17">
        <v>0</v>
      </c>
      <c r="Z17">
        <v>0</v>
      </c>
      <c r="AA17" s="31">
        <v>28</v>
      </c>
      <c r="AB17">
        <v>0</v>
      </c>
      <c r="AC17">
        <v>0</v>
      </c>
      <c r="AD17" s="28">
        <v>10</v>
      </c>
      <c r="AE17">
        <v>0</v>
      </c>
      <c r="AF17">
        <v>0</v>
      </c>
      <c r="AG17" s="28">
        <v>0</v>
      </c>
      <c r="AH17">
        <v>0</v>
      </c>
      <c r="AI17">
        <v>0</v>
      </c>
      <c r="AJ17" s="28">
        <v>0</v>
      </c>
      <c r="AK17">
        <v>0</v>
      </c>
      <c r="AL17">
        <v>0</v>
      </c>
      <c r="AM17" s="31">
        <v>53</v>
      </c>
      <c r="AN17">
        <v>1</v>
      </c>
      <c r="AO17">
        <v>1</v>
      </c>
      <c r="AP17" s="28">
        <v>17</v>
      </c>
      <c r="AQ17">
        <v>1</v>
      </c>
      <c r="AR17">
        <v>0</v>
      </c>
      <c r="AS17" s="28">
        <v>15</v>
      </c>
      <c r="AT17">
        <v>0</v>
      </c>
      <c r="AU17">
        <v>0</v>
      </c>
      <c r="AV17" s="28">
        <v>0</v>
      </c>
      <c r="AW17">
        <v>0</v>
      </c>
      <c r="AX17">
        <v>0</v>
      </c>
      <c r="AY17" s="31">
        <v>8</v>
      </c>
      <c r="AZ17">
        <v>0</v>
      </c>
      <c r="BA17">
        <v>1</v>
      </c>
      <c r="BB17" s="28">
        <v>5</v>
      </c>
      <c r="BC17">
        <v>0</v>
      </c>
      <c r="BD17">
        <v>0</v>
      </c>
      <c r="BE17" s="28">
        <v>4</v>
      </c>
      <c r="BF17">
        <v>0</v>
      </c>
      <c r="BG17">
        <v>0</v>
      </c>
      <c r="BH17" s="28">
        <v>8</v>
      </c>
      <c r="BI17">
        <v>0</v>
      </c>
      <c r="BJ17" s="34">
        <v>0</v>
      </c>
    </row>
    <row r="18" spans="1:62" x14ac:dyDescent="0.25">
      <c r="A18" s="2" t="s">
        <v>91</v>
      </c>
      <c r="B18" s="7">
        <v>0.55208333333333337</v>
      </c>
      <c r="C18" s="31">
        <v>3</v>
      </c>
      <c r="D18">
        <v>0</v>
      </c>
      <c r="E18">
        <v>0</v>
      </c>
      <c r="F18" s="28">
        <v>2</v>
      </c>
      <c r="G18">
        <v>0</v>
      </c>
      <c r="H18">
        <v>2</v>
      </c>
      <c r="I18" s="28">
        <v>53</v>
      </c>
      <c r="J18">
        <v>0</v>
      </c>
      <c r="K18">
        <v>0</v>
      </c>
      <c r="L18" s="28">
        <v>0</v>
      </c>
      <c r="M18">
        <v>0</v>
      </c>
      <c r="N18">
        <v>0</v>
      </c>
      <c r="O18" s="31">
        <v>0</v>
      </c>
      <c r="P18">
        <v>0</v>
      </c>
      <c r="Q18">
        <v>0</v>
      </c>
      <c r="R18" s="28">
        <v>11</v>
      </c>
      <c r="S18">
        <v>1</v>
      </c>
      <c r="T18">
        <v>0</v>
      </c>
      <c r="U18" s="28">
        <v>4</v>
      </c>
      <c r="V18">
        <v>0</v>
      </c>
      <c r="W18">
        <v>0</v>
      </c>
      <c r="X18" s="28">
        <v>0</v>
      </c>
      <c r="Y18">
        <v>0</v>
      </c>
      <c r="Z18">
        <v>0</v>
      </c>
      <c r="AA18" s="31">
        <v>21</v>
      </c>
      <c r="AB18">
        <v>0</v>
      </c>
      <c r="AC18">
        <v>0</v>
      </c>
      <c r="AD18" s="28">
        <v>4</v>
      </c>
      <c r="AE18">
        <v>0</v>
      </c>
      <c r="AF18">
        <v>0</v>
      </c>
      <c r="AG18" s="28">
        <v>3</v>
      </c>
      <c r="AH18">
        <v>0</v>
      </c>
      <c r="AI18">
        <v>0</v>
      </c>
      <c r="AJ18" s="28">
        <v>0</v>
      </c>
      <c r="AK18">
        <v>0</v>
      </c>
      <c r="AL18">
        <v>0</v>
      </c>
      <c r="AM18" s="31">
        <v>68</v>
      </c>
      <c r="AN18">
        <v>2</v>
      </c>
      <c r="AO18">
        <v>0</v>
      </c>
      <c r="AP18" s="28">
        <v>17</v>
      </c>
      <c r="AQ18">
        <v>2</v>
      </c>
      <c r="AR18">
        <v>1</v>
      </c>
      <c r="AS18" s="28">
        <v>15</v>
      </c>
      <c r="AT18">
        <v>0</v>
      </c>
      <c r="AU18">
        <v>1</v>
      </c>
      <c r="AV18" s="28">
        <v>0</v>
      </c>
      <c r="AW18">
        <v>0</v>
      </c>
      <c r="AX18">
        <v>0</v>
      </c>
      <c r="AY18" s="31">
        <v>11</v>
      </c>
      <c r="AZ18">
        <v>0</v>
      </c>
      <c r="BA18">
        <v>0</v>
      </c>
      <c r="BB18" s="28">
        <v>8</v>
      </c>
      <c r="BC18">
        <v>0</v>
      </c>
      <c r="BD18">
        <v>0</v>
      </c>
      <c r="BE18" s="28">
        <v>6</v>
      </c>
      <c r="BF18">
        <v>0</v>
      </c>
      <c r="BG18">
        <v>0</v>
      </c>
      <c r="BH18" s="28">
        <v>7</v>
      </c>
      <c r="BI18">
        <v>0</v>
      </c>
      <c r="BJ18" s="34">
        <v>0</v>
      </c>
    </row>
    <row r="19" spans="1:62" x14ac:dyDescent="0.25">
      <c r="A19" s="2" t="s">
        <v>91</v>
      </c>
      <c r="B19" s="7">
        <v>0.5625</v>
      </c>
      <c r="C19" s="31">
        <v>0</v>
      </c>
      <c r="D19">
        <v>0</v>
      </c>
      <c r="E19">
        <v>0</v>
      </c>
      <c r="F19" s="28">
        <v>5</v>
      </c>
      <c r="G19">
        <v>0</v>
      </c>
      <c r="H19">
        <v>0</v>
      </c>
      <c r="I19" s="28">
        <v>51</v>
      </c>
      <c r="J19">
        <v>3</v>
      </c>
      <c r="K19">
        <v>0</v>
      </c>
      <c r="L19" s="28">
        <v>0</v>
      </c>
      <c r="M19">
        <v>0</v>
      </c>
      <c r="N19">
        <v>0</v>
      </c>
      <c r="O19" s="31">
        <v>0</v>
      </c>
      <c r="P19">
        <v>1</v>
      </c>
      <c r="Q19">
        <v>1</v>
      </c>
      <c r="R19" s="28">
        <v>11</v>
      </c>
      <c r="S19">
        <v>1</v>
      </c>
      <c r="T19">
        <v>0</v>
      </c>
      <c r="U19" s="28">
        <v>6</v>
      </c>
      <c r="V19">
        <v>0</v>
      </c>
      <c r="W19">
        <v>0</v>
      </c>
      <c r="X19" s="28">
        <v>0</v>
      </c>
      <c r="Y19">
        <v>0</v>
      </c>
      <c r="Z19">
        <v>0</v>
      </c>
      <c r="AA19" s="31">
        <v>21</v>
      </c>
      <c r="AB19">
        <v>0</v>
      </c>
      <c r="AC19">
        <v>0</v>
      </c>
      <c r="AD19" s="28">
        <v>4</v>
      </c>
      <c r="AE19">
        <v>1</v>
      </c>
      <c r="AF19">
        <v>0</v>
      </c>
      <c r="AG19" s="28">
        <v>1</v>
      </c>
      <c r="AH19">
        <v>0</v>
      </c>
      <c r="AI19">
        <v>0</v>
      </c>
      <c r="AJ19" s="28">
        <v>0</v>
      </c>
      <c r="AK19">
        <v>0</v>
      </c>
      <c r="AL19">
        <v>0</v>
      </c>
      <c r="AM19" s="31">
        <v>51</v>
      </c>
      <c r="AN19">
        <v>2</v>
      </c>
      <c r="AO19">
        <v>0</v>
      </c>
      <c r="AP19" s="28">
        <v>26</v>
      </c>
      <c r="AQ19">
        <v>1</v>
      </c>
      <c r="AR19">
        <v>0</v>
      </c>
      <c r="AS19" s="28">
        <v>18</v>
      </c>
      <c r="AT19">
        <v>0</v>
      </c>
      <c r="AU19">
        <v>0</v>
      </c>
      <c r="AV19" s="28">
        <v>0</v>
      </c>
      <c r="AW19">
        <v>0</v>
      </c>
      <c r="AX19">
        <v>0</v>
      </c>
      <c r="AY19" s="31">
        <v>5</v>
      </c>
      <c r="AZ19">
        <v>0</v>
      </c>
      <c r="BA19">
        <v>0</v>
      </c>
      <c r="BB19" s="28">
        <v>3</v>
      </c>
      <c r="BC19">
        <v>0</v>
      </c>
      <c r="BD19">
        <v>0</v>
      </c>
      <c r="BE19" s="28">
        <v>4</v>
      </c>
      <c r="BF19">
        <v>0</v>
      </c>
      <c r="BG19">
        <v>0</v>
      </c>
      <c r="BH19" s="28">
        <v>5</v>
      </c>
      <c r="BI19">
        <v>1</v>
      </c>
      <c r="BJ19" s="34">
        <v>0</v>
      </c>
    </row>
    <row r="20" spans="1:62" ht="15.75" thickBot="1" x14ac:dyDescent="0.3">
      <c r="A20" s="2" t="s">
        <v>91</v>
      </c>
      <c r="B20" s="7">
        <v>0.57291666666666663</v>
      </c>
      <c r="C20" s="31">
        <v>0</v>
      </c>
      <c r="D20">
        <v>0</v>
      </c>
      <c r="E20">
        <v>0</v>
      </c>
      <c r="F20" s="28">
        <v>8</v>
      </c>
      <c r="G20">
        <v>0</v>
      </c>
      <c r="H20">
        <v>0</v>
      </c>
      <c r="I20" s="28">
        <v>36</v>
      </c>
      <c r="J20">
        <v>2</v>
      </c>
      <c r="K20">
        <v>0</v>
      </c>
      <c r="L20" s="28">
        <v>0</v>
      </c>
      <c r="M20">
        <v>0</v>
      </c>
      <c r="N20">
        <v>0</v>
      </c>
      <c r="O20" s="31">
        <v>0</v>
      </c>
      <c r="P20">
        <v>0</v>
      </c>
      <c r="Q20">
        <v>0</v>
      </c>
      <c r="R20" s="28">
        <v>10</v>
      </c>
      <c r="S20">
        <v>1</v>
      </c>
      <c r="T20">
        <v>1</v>
      </c>
      <c r="U20" s="28">
        <v>2</v>
      </c>
      <c r="V20">
        <v>0</v>
      </c>
      <c r="W20">
        <v>0</v>
      </c>
      <c r="X20" s="28">
        <v>1</v>
      </c>
      <c r="Y20">
        <v>0</v>
      </c>
      <c r="Z20">
        <v>0</v>
      </c>
      <c r="AA20" s="31">
        <v>20</v>
      </c>
      <c r="AB20">
        <v>0</v>
      </c>
      <c r="AC20">
        <v>0</v>
      </c>
      <c r="AD20" s="28">
        <v>7</v>
      </c>
      <c r="AE20">
        <v>0</v>
      </c>
      <c r="AF20">
        <v>0</v>
      </c>
      <c r="AG20" s="28">
        <v>0</v>
      </c>
      <c r="AH20">
        <v>0</v>
      </c>
      <c r="AI20">
        <v>0</v>
      </c>
      <c r="AJ20" s="28">
        <v>0</v>
      </c>
      <c r="AK20">
        <v>0</v>
      </c>
      <c r="AL20">
        <v>0</v>
      </c>
      <c r="AM20" s="31">
        <v>52</v>
      </c>
      <c r="AN20">
        <v>2</v>
      </c>
      <c r="AO20">
        <v>2</v>
      </c>
      <c r="AP20" s="28">
        <v>20</v>
      </c>
      <c r="AQ20">
        <v>2</v>
      </c>
      <c r="AR20">
        <v>0</v>
      </c>
      <c r="AS20" s="28">
        <v>19</v>
      </c>
      <c r="AT20">
        <v>0</v>
      </c>
      <c r="AU20">
        <v>0</v>
      </c>
      <c r="AV20" s="28">
        <v>0</v>
      </c>
      <c r="AW20">
        <v>0</v>
      </c>
      <c r="AX20">
        <v>0</v>
      </c>
      <c r="AY20" s="31">
        <v>7</v>
      </c>
      <c r="AZ20">
        <v>0</v>
      </c>
      <c r="BA20">
        <v>0</v>
      </c>
      <c r="BB20" s="28">
        <v>3</v>
      </c>
      <c r="BC20">
        <v>0</v>
      </c>
      <c r="BD20">
        <v>0</v>
      </c>
      <c r="BE20" s="28">
        <v>5</v>
      </c>
      <c r="BF20">
        <v>0</v>
      </c>
      <c r="BG20">
        <v>0</v>
      </c>
      <c r="BH20" s="28">
        <v>6</v>
      </c>
      <c r="BI20">
        <v>2</v>
      </c>
      <c r="BJ20" s="34">
        <v>0</v>
      </c>
    </row>
    <row r="21" spans="1:62"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20"/>
      <c r="AY21" s="35"/>
      <c r="AZ21" s="20"/>
      <c r="BA21" s="20"/>
      <c r="BB21" s="36"/>
      <c r="BC21" s="20"/>
      <c r="BD21" s="20"/>
      <c r="BE21" s="36"/>
      <c r="BF21" s="20"/>
      <c r="BG21" s="20"/>
      <c r="BH21" s="36"/>
      <c r="BI21" s="20"/>
      <c r="BJ21" s="37"/>
    </row>
    <row r="22" spans="1:62" x14ac:dyDescent="0.25">
      <c r="A22" s="2" t="s">
        <v>44</v>
      </c>
      <c r="B22" s="7">
        <v>0.66666666666666663</v>
      </c>
      <c r="C22" s="31">
        <v>0</v>
      </c>
      <c r="D22">
        <v>0</v>
      </c>
      <c r="E22">
        <v>0</v>
      </c>
      <c r="F22" s="28">
        <v>11</v>
      </c>
      <c r="G22">
        <v>0</v>
      </c>
      <c r="H22">
        <v>0</v>
      </c>
      <c r="I22" s="28">
        <v>62</v>
      </c>
      <c r="J22">
        <v>0</v>
      </c>
      <c r="K22">
        <v>0</v>
      </c>
      <c r="L22" s="28">
        <v>0</v>
      </c>
      <c r="M22">
        <v>0</v>
      </c>
      <c r="N22">
        <v>0</v>
      </c>
      <c r="O22" s="31">
        <v>0</v>
      </c>
      <c r="P22">
        <v>0</v>
      </c>
      <c r="Q22">
        <v>0</v>
      </c>
      <c r="R22" s="28">
        <v>11</v>
      </c>
      <c r="S22">
        <v>1</v>
      </c>
      <c r="T22">
        <v>0</v>
      </c>
      <c r="U22" s="28">
        <v>5</v>
      </c>
      <c r="V22">
        <v>0</v>
      </c>
      <c r="W22">
        <v>0</v>
      </c>
      <c r="X22" s="28">
        <v>0</v>
      </c>
      <c r="Y22">
        <v>0</v>
      </c>
      <c r="Z22">
        <v>0</v>
      </c>
      <c r="AA22" s="31">
        <v>20</v>
      </c>
      <c r="AB22">
        <v>0</v>
      </c>
      <c r="AC22">
        <v>0</v>
      </c>
      <c r="AD22" s="28">
        <v>14</v>
      </c>
      <c r="AE22">
        <v>0</v>
      </c>
      <c r="AF22">
        <v>0</v>
      </c>
      <c r="AG22" s="28">
        <v>1</v>
      </c>
      <c r="AH22">
        <v>0</v>
      </c>
      <c r="AI22">
        <v>0</v>
      </c>
      <c r="AJ22" s="28">
        <v>0</v>
      </c>
      <c r="AK22">
        <v>0</v>
      </c>
      <c r="AL22">
        <v>0</v>
      </c>
      <c r="AM22" s="31">
        <v>97</v>
      </c>
      <c r="AN22">
        <v>0</v>
      </c>
      <c r="AO22">
        <v>0</v>
      </c>
      <c r="AP22" s="28">
        <v>25</v>
      </c>
      <c r="AQ22">
        <v>2</v>
      </c>
      <c r="AR22">
        <v>0</v>
      </c>
      <c r="AS22" s="28">
        <v>22</v>
      </c>
      <c r="AT22">
        <v>1</v>
      </c>
      <c r="AU22">
        <v>0</v>
      </c>
      <c r="AV22" s="28">
        <v>1</v>
      </c>
      <c r="AW22">
        <v>0</v>
      </c>
      <c r="AX22">
        <v>0</v>
      </c>
      <c r="AY22" s="31">
        <v>26</v>
      </c>
      <c r="AZ22">
        <v>0</v>
      </c>
      <c r="BA22">
        <v>1</v>
      </c>
      <c r="BB22" s="28">
        <v>10</v>
      </c>
      <c r="BC22">
        <v>0</v>
      </c>
      <c r="BD22">
        <v>0</v>
      </c>
      <c r="BE22" s="28">
        <v>8</v>
      </c>
      <c r="BF22">
        <v>0</v>
      </c>
      <c r="BG22">
        <v>0</v>
      </c>
      <c r="BH22" s="28">
        <v>11</v>
      </c>
      <c r="BI22">
        <v>0</v>
      </c>
      <c r="BJ22" s="34">
        <v>0</v>
      </c>
    </row>
    <row r="23" spans="1:62" x14ac:dyDescent="0.25">
      <c r="A23" s="2" t="s">
        <v>44</v>
      </c>
      <c r="B23" s="7">
        <v>0.67708333333333337</v>
      </c>
      <c r="C23" s="31">
        <v>0</v>
      </c>
      <c r="D23">
        <v>0</v>
      </c>
      <c r="E23">
        <v>0</v>
      </c>
      <c r="F23" s="28">
        <v>15</v>
      </c>
      <c r="G23">
        <v>0</v>
      </c>
      <c r="H23">
        <v>0</v>
      </c>
      <c r="I23" s="28">
        <v>47</v>
      </c>
      <c r="J23">
        <v>1</v>
      </c>
      <c r="K23">
        <v>0</v>
      </c>
      <c r="L23" s="28">
        <v>0</v>
      </c>
      <c r="M23">
        <v>0</v>
      </c>
      <c r="N23">
        <v>0</v>
      </c>
      <c r="O23" s="31">
        <v>0</v>
      </c>
      <c r="P23">
        <v>0</v>
      </c>
      <c r="Q23">
        <v>0</v>
      </c>
      <c r="R23" s="28">
        <v>13</v>
      </c>
      <c r="S23">
        <v>1</v>
      </c>
      <c r="T23">
        <v>0</v>
      </c>
      <c r="U23" s="28">
        <v>2</v>
      </c>
      <c r="V23">
        <v>0</v>
      </c>
      <c r="W23">
        <v>0</v>
      </c>
      <c r="X23" s="28">
        <v>0</v>
      </c>
      <c r="Y23">
        <v>0</v>
      </c>
      <c r="Z23">
        <v>0</v>
      </c>
      <c r="AA23" s="31">
        <v>22</v>
      </c>
      <c r="AB23">
        <v>0</v>
      </c>
      <c r="AC23">
        <v>0</v>
      </c>
      <c r="AD23" s="28">
        <v>11</v>
      </c>
      <c r="AE23">
        <v>0</v>
      </c>
      <c r="AF23">
        <v>0</v>
      </c>
      <c r="AG23" s="28">
        <v>0</v>
      </c>
      <c r="AH23">
        <v>0</v>
      </c>
      <c r="AI23">
        <v>0</v>
      </c>
      <c r="AJ23" s="28">
        <v>0</v>
      </c>
      <c r="AK23">
        <v>0</v>
      </c>
      <c r="AL23">
        <v>0</v>
      </c>
      <c r="AM23" s="31">
        <v>112</v>
      </c>
      <c r="AN23">
        <v>2</v>
      </c>
      <c r="AO23">
        <v>1</v>
      </c>
      <c r="AP23" s="28">
        <v>29</v>
      </c>
      <c r="AQ23">
        <v>1</v>
      </c>
      <c r="AR23">
        <v>0</v>
      </c>
      <c r="AS23" s="28">
        <v>18</v>
      </c>
      <c r="AT23">
        <v>0</v>
      </c>
      <c r="AU23">
        <v>1</v>
      </c>
      <c r="AV23" s="28">
        <v>1</v>
      </c>
      <c r="AW23">
        <v>0</v>
      </c>
      <c r="AX23">
        <v>0</v>
      </c>
      <c r="AY23" s="31">
        <v>14</v>
      </c>
      <c r="AZ23">
        <v>0</v>
      </c>
      <c r="BA23">
        <v>0</v>
      </c>
      <c r="BB23" s="28">
        <v>15</v>
      </c>
      <c r="BC23">
        <v>0</v>
      </c>
      <c r="BD23">
        <v>0</v>
      </c>
      <c r="BE23" s="28">
        <v>10</v>
      </c>
      <c r="BF23">
        <v>0</v>
      </c>
      <c r="BG23">
        <v>0</v>
      </c>
      <c r="BH23" s="28">
        <v>12</v>
      </c>
      <c r="BI23">
        <v>0</v>
      </c>
      <c r="BJ23" s="34">
        <v>0</v>
      </c>
    </row>
    <row r="24" spans="1:62" x14ac:dyDescent="0.25">
      <c r="A24" s="2" t="s">
        <v>44</v>
      </c>
      <c r="B24" s="7">
        <v>0.6875</v>
      </c>
      <c r="C24" s="31">
        <v>6</v>
      </c>
      <c r="D24">
        <v>0</v>
      </c>
      <c r="E24">
        <v>0</v>
      </c>
      <c r="F24" s="28">
        <v>8</v>
      </c>
      <c r="G24">
        <v>1</v>
      </c>
      <c r="H24">
        <v>1</v>
      </c>
      <c r="I24" s="28">
        <v>68</v>
      </c>
      <c r="J24">
        <v>1</v>
      </c>
      <c r="K24">
        <v>0</v>
      </c>
      <c r="L24" s="28">
        <v>0</v>
      </c>
      <c r="M24">
        <v>0</v>
      </c>
      <c r="N24">
        <v>0</v>
      </c>
      <c r="O24" s="31">
        <v>1</v>
      </c>
      <c r="P24">
        <v>0</v>
      </c>
      <c r="Q24">
        <v>0</v>
      </c>
      <c r="R24" s="28">
        <v>19</v>
      </c>
      <c r="S24">
        <v>3</v>
      </c>
      <c r="T24">
        <v>0</v>
      </c>
      <c r="U24" s="28">
        <v>10</v>
      </c>
      <c r="V24">
        <v>1</v>
      </c>
      <c r="W24">
        <v>0</v>
      </c>
      <c r="X24" s="28">
        <v>0</v>
      </c>
      <c r="Y24">
        <v>0</v>
      </c>
      <c r="Z24">
        <v>0</v>
      </c>
      <c r="AA24" s="31">
        <v>23</v>
      </c>
      <c r="AB24">
        <v>0</v>
      </c>
      <c r="AC24">
        <v>1</v>
      </c>
      <c r="AD24" s="28">
        <v>17</v>
      </c>
      <c r="AE24">
        <v>1</v>
      </c>
      <c r="AF24">
        <v>0</v>
      </c>
      <c r="AG24" s="28">
        <v>2</v>
      </c>
      <c r="AH24">
        <v>0</v>
      </c>
      <c r="AI24">
        <v>0</v>
      </c>
      <c r="AJ24" s="28">
        <v>0</v>
      </c>
      <c r="AK24">
        <v>0</v>
      </c>
      <c r="AL24">
        <v>0</v>
      </c>
      <c r="AM24" s="31">
        <v>97</v>
      </c>
      <c r="AN24">
        <v>1</v>
      </c>
      <c r="AO24">
        <v>0</v>
      </c>
      <c r="AP24" s="28">
        <v>35</v>
      </c>
      <c r="AQ24">
        <v>1</v>
      </c>
      <c r="AR24">
        <v>0</v>
      </c>
      <c r="AS24" s="28">
        <v>22</v>
      </c>
      <c r="AT24">
        <v>0</v>
      </c>
      <c r="AU24">
        <v>0</v>
      </c>
      <c r="AV24" s="28">
        <v>0</v>
      </c>
      <c r="AW24">
        <v>0</v>
      </c>
      <c r="AX24">
        <v>0</v>
      </c>
      <c r="AY24" s="31">
        <v>7</v>
      </c>
      <c r="AZ24">
        <v>1</v>
      </c>
      <c r="BA24">
        <v>0</v>
      </c>
      <c r="BB24" s="28">
        <v>9</v>
      </c>
      <c r="BC24">
        <v>0</v>
      </c>
      <c r="BD24">
        <v>0</v>
      </c>
      <c r="BE24" s="28">
        <v>13</v>
      </c>
      <c r="BF24">
        <v>0</v>
      </c>
      <c r="BG24">
        <v>0</v>
      </c>
      <c r="BH24" s="28">
        <v>8</v>
      </c>
      <c r="BI24">
        <v>0</v>
      </c>
      <c r="BJ24" s="34">
        <v>0</v>
      </c>
    </row>
    <row r="25" spans="1:62" x14ac:dyDescent="0.25">
      <c r="A25" s="2" t="s">
        <v>44</v>
      </c>
      <c r="B25" s="7">
        <v>0.69791666666666663</v>
      </c>
      <c r="C25" s="31">
        <v>2</v>
      </c>
      <c r="D25">
        <v>0</v>
      </c>
      <c r="E25">
        <v>0</v>
      </c>
      <c r="F25" s="28">
        <v>13</v>
      </c>
      <c r="G25">
        <v>0</v>
      </c>
      <c r="H25">
        <v>0</v>
      </c>
      <c r="I25" s="28">
        <v>52</v>
      </c>
      <c r="J25">
        <v>1</v>
      </c>
      <c r="K25">
        <v>1</v>
      </c>
      <c r="L25" s="28">
        <v>0</v>
      </c>
      <c r="M25">
        <v>0</v>
      </c>
      <c r="N25">
        <v>0</v>
      </c>
      <c r="O25" s="31">
        <v>0</v>
      </c>
      <c r="P25">
        <v>0</v>
      </c>
      <c r="Q25">
        <v>0</v>
      </c>
      <c r="R25" s="28">
        <v>18</v>
      </c>
      <c r="S25">
        <v>1</v>
      </c>
      <c r="T25">
        <v>0</v>
      </c>
      <c r="U25" s="28">
        <v>6</v>
      </c>
      <c r="V25">
        <v>0</v>
      </c>
      <c r="W25">
        <v>0</v>
      </c>
      <c r="X25" s="28">
        <v>0</v>
      </c>
      <c r="Y25">
        <v>0</v>
      </c>
      <c r="Z25">
        <v>0</v>
      </c>
      <c r="AA25" s="31">
        <v>26</v>
      </c>
      <c r="AB25">
        <v>0</v>
      </c>
      <c r="AC25">
        <v>0</v>
      </c>
      <c r="AD25" s="28">
        <v>20</v>
      </c>
      <c r="AE25">
        <v>0</v>
      </c>
      <c r="AF25">
        <v>0</v>
      </c>
      <c r="AG25" s="28">
        <v>0</v>
      </c>
      <c r="AH25">
        <v>0</v>
      </c>
      <c r="AI25">
        <v>0</v>
      </c>
      <c r="AJ25" s="28">
        <v>0</v>
      </c>
      <c r="AK25">
        <v>0</v>
      </c>
      <c r="AL25">
        <v>0</v>
      </c>
      <c r="AM25" s="31">
        <v>118</v>
      </c>
      <c r="AN25">
        <v>2</v>
      </c>
      <c r="AO25">
        <v>1</v>
      </c>
      <c r="AP25" s="28">
        <v>25</v>
      </c>
      <c r="AQ25">
        <v>2</v>
      </c>
      <c r="AR25">
        <v>1</v>
      </c>
      <c r="AS25" s="28">
        <v>20</v>
      </c>
      <c r="AT25">
        <v>1</v>
      </c>
      <c r="AU25">
        <v>0</v>
      </c>
      <c r="AV25" s="28">
        <v>0</v>
      </c>
      <c r="AW25">
        <v>0</v>
      </c>
      <c r="AX25">
        <v>0</v>
      </c>
      <c r="AY25" s="31">
        <v>15</v>
      </c>
      <c r="AZ25">
        <v>0</v>
      </c>
      <c r="BA25">
        <v>0</v>
      </c>
      <c r="BB25" s="28">
        <v>9</v>
      </c>
      <c r="BC25">
        <v>0</v>
      </c>
      <c r="BD25">
        <v>0</v>
      </c>
      <c r="BE25" s="28">
        <v>8</v>
      </c>
      <c r="BF25">
        <v>0</v>
      </c>
      <c r="BG25">
        <v>0</v>
      </c>
      <c r="BH25" s="28">
        <v>7</v>
      </c>
      <c r="BI25">
        <v>0</v>
      </c>
      <c r="BJ25" s="34">
        <v>0</v>
      </c>
    </row>
    <row r="26" spans="1:62" x14ac:dyDescent="0.25">
      <c r="A26" s="2" t="s">
        <v>44</v>
      </c>
      <c r="B26" s="7">
        <v>0.70833333333333337</v>
      </c>
      <c r="C26" s="31">
        <v>4</v>
      </c>
      <c r="D26">
        <v>0</v>
      </c>
      <c r="E26">
        <v>0</v>
      </c>
      <c r="F26" s="28">
        <v>8</v>
      </c>
      <c r="G26">
        <v>0</v>
      </c>
      <c r="H26">
        <v>0</v>
      </c>
      <c r="I26" s="28">
        <v>68</v>
      </c>
      <c r="J26">
        <v>0</v>
      </c>
      <c r="K26">
        <v>0</v>
      </c>
      <c r="L26" s="28">
        <v>1</v>
      </c>
      <c r="M26">
        <v>0</v>
      </c>
      <c r="N26">
        <v>0</v>
      </c>
      <c r="O26" s="31">
        <v>0</v>
      </c>
      <c r="P26">
        <v>0</v>
      </c>
      <c r="Q26">
        <v>0</v>
      </c>
      <c r="R26" s="28">
        <v>25</v>
      </c>
      <c r="S26">
        <v>1</v>
      </c>
      <c r="T26">
        <v>0</v>
      </c>
      <c r="U26" s="28">
        <v>7</v>
      </c>
      <c r="V26">
        <v>0</v>
      </c>
      <c r="W26">
        <v>0</v>
      </c>
      <c r="X26" s="28">
        <v>0</v>
      </c>
      <c r="Y26">
        <v>0</v>
      </c>
      <c r="Z26">
        <v>0</v>
      </c>
      <c r="AA26" s="31">
        <v>33</v>
      </c>
      <c r="AB26">
        <v>0</v>
      </c>
      <c r="AC26">
        <v>0</v>
      </c>
      <c r="AD26" s="28">
        <v>12</v>
      </c>
      <c r="AE26">
        <v>0</v>
      </c>
      <c r="AF26">
        <v>1</v>
      </c>
      <c r="AG26" s="28">
        <v>0</v>
      </c>
      <c r="AH26">
        <v>0</v>
      </c>
      <c r="AI26">
        <v>0</v>
      </c>
      <c r="AJ26" s="28">
        <v>0</v>
      </c>
      <c r="AK26">
        <v>0</v>
      </c>
      <c r="AL26">
        <v>0</v>
      </c>
      <c r="AM26" s="31">
        <v>115</v>
      </c>
      <c r="AN26">
        <v>1</v>
      </c>
      <c r="AO26">
        <v>4</v>
      </c>
      <c r="AP26" s="28">
        <v>34</v>
      </c>
      <c r="AQ26">
        <v>1</v>
      </c>
      <c r="AR26">
        <v>1</v>
      </c>
      <c r="AS26" s="28">
        <v>25</v>
      </c>
      <c r="AT26">
        <v>1</v>
      </c>
      <c r="AU26">
        <v>0</v>
      </c>
      <c r="AV26" s="28">
        <v>0</v>
      </c>
      <c r="AW26">
        <v>0</v>
      </c>
      <c r="AX26">
        <v>0</v>
      </c>
      <c r="AY26" s="31">
        <v>22</v>
      </c>
      <c r="AZ26">
        <v>0</v>
      </c>
      <c r="BA26">
        <v>0</v>
      </c>
      <c r="BB26" s="28">
        <v>8</v>
      </c>
      <c r="BC26">
        <v>0</v>
      </c>
      <c r="BD26">
        <v>0</v>
      </c>
      <c r="BE26" s="28">
        <v>18</v>
      </c>
      <c r="BF26">
        <v>0</v>
      </c>
      <c r="BG26">
        <v>0</v>
      </c>
      <c r="BH26" s="28">
        <v>6</v>
      </c>
      <c r="BI26">
        <v>0</v>
      </c>
      <c r="BJ26" s="34">
        <v>0</v>
      </c>
    </row>
    <row r="27" spans="1:62" x14ac:dyDescent="0.25">
      <c r="A27" s="2" t="s">
        <v>44</v>
      </c>
      <c r="B27" s="7">
        <v>0.71875</v>
      </c>
      <c r="C27" s="31">
        <v>1</v>
      </c>
      <c r="D27">
        <v>0</v>
      </c>
      <c r="E27">
        <v>0</v>
      </c>
      <c r="F27" s="28">
        <v>12</v>
      </c>
      <c r="G27">
        <v>0</v>
      </c>
      <c r="H27">
        <v>0</v>
      </c>
      <c r="I27" s="28">
        <v>58</v>
      </c>
      <c r="J27">
        <v>1</v>
      </c>
      <c r="K27">
        <v>0</v>
      </c>
      <c r="L27" s="28">
        <v>0</v>
      </c>
      <c r="M27">
        <v>0</v>
      </c>
      <c r="N27">
        <v>0</v>
      </c>
      <c r="O27" s="31">
        <v>0</v>
      </c>
      <c r="P27">
        <v>0</v>
      </c>
      <c r="Q27">
        <v>0</v>
      </c>
      <c r="R27" s="28">
        <v>17</v>
      </c>
      <c r="S27">
        <v>1</v>
      </c>
      <c r="T27">
        <v>0</v>
      </c>
      <c r="U27" s="28">
        <v>4</v>
      </c>
      <c r="V27">
        <v>0</v>
      </c>
      <c r="W27">
        <v>0</v>
      </c>
      <c r="X27" s="28">
        <v>0</v>
      </c>
      <c r="Y27">
        <v>0</v>
      </c>
      <c r="Z27">
        <v>0</v>
      </c>
      <c r="AA27" s="31">
        <v>17</v>
      </c>
      <c r="AB27">
        <v>0</v>
      </c>
      <c r="AC27">
        <v>0</v>
      </c>
      <c r="AD27" s="28">
        <v>10</v>
      </c>
      <c r="AE27">
        <v>0</v>
      </c>
      <c r="AF27">
        <v>0</v>
      </c>
      <c r="AG27" s="28">
        <v>1</v>
      </c>
      <c r="AH27">
        <v>0</v>
      </c>
      <c r="AI27">
        <v>0</v>
      </c>
      <c r="AJ27" s="28">
        <v>0</v>
      </c>
      <c r="AK27">
        <v>0</v>
      </c>
      <c r="AL27">
        <v>0</v>
      </c>
      <c r="AM27" s="31">
        <v>113</v>
      </c>
      <c r="AN27">
        <v>2</v>
      </c>
      <c r="AO27">
        <v>0</v>
      </c>
      <c r="AP27" s="28">
        <v>23</v>
      </c>
      <c r="AQ27">
        <v>2</v>
      </c>
      <c r="AR27">
        <v>1</v>
      </c>
      <c r="AS27" s="28">
        <v>31</v>
      </c>
      <c r="AT27">
        <v>0</v>
      </c>
      <c r="AU27">
        <v>0</v>
      </c>
      <c r="AV27" s="28">
        <v>0</v>
      </c>
      <c r="AW27">
        <v>0</v>
      </c>
      <c r="AX27">
        <v>0</v>
      </c>
      <c r="AY27" s="31">
        <v>22</v>
      </c>
      <c r="AZ27">
        <v>0</v>
      </c>
      <c r="BA27">
        <v>0</v>
      </c>
      <c r="BB27" s="28">
        <v>9</v>
      </c>
      <c r="BC27">
        <v>0</v>
      </c>
      <c r="BD27">
        <v>0</v>
      </c>
      <c r="BE27" s="28">
        <v>16</v>
      </c>
      <c r="BF27">
        <v>0</v>
      </c>
      <c r="BG27">
        <v>0</v>
      </c>
      <c r="BH27" s="28">
        <v>9</v>
      </c>
      <c r="BI27">
        <v>0</v>
      </c>
      <c r="BJ27" s="34">
        <v>0</v>
      </c>
    </row>
    <row r="28" spans="1:62" x14ac:dyDescent="0.25">
      <c r="A28" s="2" t="s">
        <v>44</v>
      </c>
      <c r="B28" s="7">
        <v>0.72916666666666663</v>
      </c>
      <c r="C28" s="31">
        <v>6</v>
      </c>
      <c r="D28">
        <v>0</v>
      </c>
      <c r="E28">
        <v>0</v>
      </c>
      <c r="F28" s="28">
        <v>12</v>
      </c>
      <c r="G28">
        <v>0</v>
      </c>
      <c r="H28">
        <v>0</v>
      </c>
      <c r="I28" s="28">
        <v>57</v>
      </c>
      <c r="J28">
        <v>1</v>
      </c>
      <c r="K28">
        <v>3</v>
      </c>
      <c r="L28" s="28">
        <v>2</v>
      </c>
      <c r="M28">
        <v>0</v>
      </c>
      <c r="N28">
        <v>0</v>
      </c>
      <c r="O28" s="31">
        <v>0</v>
      </c>
      <c r="P28">
        <v>0</v>
      </c>
      <c r="Q28">
        <v>0</v>
      </c>
      <c r="R28" s="28">
        <v>13</v>
      </c>
      <c r="S28">
        <v>1</v>
      </c>
      <c r="T28">
        <v>0</v>
      </c>
      <c r="U28" s="28">
        <v>3</v>
      </c>
      <c r="V28">
        <v>0</v>
      </c>
      <c r="W28">
        <v>0</v>
      </c>
      <c r="X28" s="28">
        <v>0</v>
      </c>
      <c r="Y28">
        <v>0</v>
      </c>
      <c r="Z28">
        <v>0</v>
      </c>
      <c r="AA28" s="31">
        <v>39</v>
      </c>
      <c r="AB28">
        <v>0</v>
      </c>
      <c r="AC28">
        <v>2</v>
      </c>
      <c r="AD28" s="28">
        <v>9</v>
      </c>
      <c r="AE28">
        <v>1</v>
      </c>
      <c r="AF28">
        <v>0</v>
      </c>
      <c r="AG28" s="28">
        <v>0</v>
      </c>
      <c r="AH28">
        <v>0</v>
      </c>
      <c r="AI28">
        <v>0</v>
      </c>
      <c r="AJ28" s="28">
        <v>0</v>
      </c>
      <c r="AK28">
        <v>0</v>
      </c>
      <c r="AL28">
        <v>0</v>
      </c>
      <c r="AM28" s="31">
        <v>115</v>
      </c>
      <c r="AN28">
        <v>0</v>
      </c>
      <c r="AO28">
        <v>3</v>
      </c>
      <c r="AP28" s="28">
        <v>32</v>
      </c>
      <c r="AQ28">
        <v>1</v>
      </c>
      <c r="AR28">
        <v>0</v>
      </c>
      <c r="AS28" s="28">
        <v>32</v>
      </c>
      <c r="AT28">
        <v>0</v>
      </c>
      <c r="AU28">
        <v>2</v>
      </c>
      <c r="AV28" s="28">
        <v>0</v>
      </c>
      <c r="AW28">
        <v>0</v>
      </c>
      <c r="AX28">
        <v>0</v>
      </c>
      <c r="AY28" s="31">
        <v>19</v>
      </c>
      <c r="AZ28">
        <v>0</v>
      </c>
      <c r="BA28">
        <v>0</v>
      </c>
      <c r="BB28" s="28">
        <v>10</v>
      </c>
      <c r="BC28">
        <v>0</v>
      </c>
      <c r="BD28">
        <v>0</v>
      </c>
      <c r="BE28" s="28">
        <v>11</v>
      </c>
      <c r="BF28">
        <v>0</v>
      </c>
      <c r="BG28">
        <v>1</v>
      </c>
      <c r="BH28" s="28">
        <v>11</v>
      </c>
      <c r="BI28">
        <v>0</v>
      </c>
      <c r="BJ28" s="34">
        <v>0</v>
      </c>
    </row>
    <row r="29" spans="1:62" ht="15.75" thickBot="1" x14ac:dyDescent="0.3">
      <c r="A29" s="21" t="s">
        <v>44</v>
      </c>
      <c r="B29" s="48">
        <v>0.73958333333333337</v>
      </c>
      <c r="C29" s="39">
        <v>2</v>
      </c>
      <c r="D29" s="38">
        <v>0</v>
      </c>
      <c r="E29" s="38">
        <v>0</v>
      </c>
      <c r="F29" s="40">
        <v>12</v>
      </c>
      <c r="G29" s="38">
        <v>0</v>
      </c>
      <c r="H29" s="38">
        <v>0</v>
      </c>
      <c r="I29" s="40">
        <v>47</v>
      </c>
      <c r="J29" s="38">
        <v>0</v>
      </c>
      <c r="K29" s="38">
        <v>0</v>
      </c>
      <c r="L29" s="40">
        <v>0</v>
      </c>
      <c r="M29" s="38">
        <v>0</v>
      </c>
      <c r="N29" s="38">
        <v>0</v>
      </c>
      <c r="O29" s="39">
        <v>0</v>
      </c>
      <c r="P29" s="38">
        <v>0</v>
      </c>
      <c r="Q29" s="38">
        <v>0</v>
      </c>
      <c r="R29" s="40">
        <v>12</v>
      </c>
      <c r="S29" s="38">
        <v>1</v>
      </c>
      <c r="T29" s="38">
        <v>0</v>
      </c>
      <c r="U29" s="40">
        <v>4</v>
      </c>
      <c r="V29" s="38">
        <v>0</v>
      </c>
      <c r="W29" s="38">
        <v>0</v>
      </c>
      <c r="X29" s="40">
        <v>0</v>
      </c>
      <c r="Y29" s="38">
        <v>0</v>
      </c>
      <c r="Z29" s="38">
        <v>0</v>
      </c>
      <c r="AA29" s="39">
        <v>21</v>
      </c>
      <c r="AB29" s="38">
        <v>0</v>
      </c>
      <c r="AC29" s="38">
        <v>0</v>
      </c>
      <c r="AD29" s="40">
        <v>8</v>
      </c>
      <c r="AE29" s="38">
        <v>0</v>
      </c>
      <c r="AF29" s="38">
        <v>0</v>
      </c>
      <c r="AG29" s="40">
        <v>1</v>
      </c>
      <c r="AH29" s="38">
        <v>0</v>
      </c>
      <c r="AI29" s="38">
        <v>0</v>
      </c>
      <c r="AJ29" s="40">
        <v>0</v>
      </c>
      <c r="AK29" s="38">
        <v>0</v>
      </c>
      <c r="AL29" s="38">
        <v>0</v>
      </c>
      <c r="AM29" s="39">
        <v>104</v>
      </c>
      <c r="AN29" s="38">
        <v>1</v>
      </c>
      <c r="AO29" s="38">
        <v>3</v>
      </c>
      <c r="AP29" s="40">
        <v>30</v>
      </c>
      <c r="AQ29" s="38">
        <v>2</v>
      </c>
      <c r="AR29" s="38">
        <v>1</v>
      </c>
      <c r="AS29" s="40">
        <v>29</v>
      </c>
      <c r="AT29" s="38">
        <v>1</v>
      </c>
      <c r="AU29" s="38">
        <v>0</v>
      </c>
      <c r="AV29" s="40">
        <v>0</v>
      </c>
      <c r="AW29" s="38">
        <v>0</v>
      </c>
      <c r="AX29" s="38">
        <v>0</v>
      </c>
      <c r="AY29" s="39">
        <v>12</v>
      </c>
      <c r="AZ29" s="38">
        <v>0</v>
      </c>
      <c r="BA29" s="38">
        <v>0</v>
      </c>
      <c r="BB29" s="40">
        <v>14</v>
      </c>
      <c r="BC29" s="38">
        <v>0</v>
      </c>
      <c r="BD29" s="38">
        <v>0</v>
      </c>
      <c r="BE29" s="40">
        <v>15</v>
      </c>
      <c r="BF29" s="38">
        <v>0</v>
      </c>
      <c r="BG29" s="38">
        <v>0</v>
      </c>
      <c r="BH29" s="40">
        <v>4</v>
      </c>
      <c r="BI29" s="38">
        <v>0</v>
      </c>
      <c r="BJ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20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99</v>
      </c>
      <c r="C2" t="s">
        <v>95</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94</v>
      </c>
      <c r="B3" t="s">
        <v>99</v>
      </c>
      <c r="C3" t="s">
        <v>95</v>
      </c>
      <c r="D3" t="s">
        <v>79</v>
      </c>
      <c r="E3" t="s">
        <v>43</v>
      </c>
      <c r="F3" s="6">
        <v>0.30208333333333331</v>
      </c>
      <c r="G3">
        <v>1</v>
      </c>
      <c r="H3" s="6">
        <f>FLOOR(tblPivotData[[#This Row],[Time]],Summary!$B$6/1440)</f>
        <v>0.30208333333333331</v>
      </c>
      <c r="I3" s="49">
        <f>INDEX(PeakCalc!$L$10:$L$303,MATCH(tblPivotData[[#This Row],[Time]],PeakCalc!$G$10:$G$303,0))</f>
        <v>0</v>
      </c>
    </row>
    <row r="4" spans="1:9" x14ac:dyDescent="0.25">
      <c r="A4" t="s">
        <v>94</v>
      </c>
      <c r="B4" t="s">
        <v>99</v>
      </c>
      <c r="C4" t="s">
        <v>95</v>
      </c>
      <c r="D4" t="s">
        <v>79</v>
      </c>
      <c r="E4" t="s">
        <v>43</v>
      </c>
      <c r="F4" s="6">
        <v>0.3125</v>
      </c>
      <c r="G4">
        <v>1</v>
      </c>
      <c r="H4" s="6">
        <f>FLOOR(tblPivotData[[#This Row],[Time]],Summary!$B$6/1440)</f>
        <v>0.3125</v>
      </c>
      <c r="I4" s="49">
        <f>INDEX(PeakCalc!$L$10:$L$303,MATCH(tblPivotData[[#This Row],[Time]],PeakCalc!$G$10:$G$303,0))</f>
        <v>0</v>
      </c>
    </row>
    <row r="5" spans="1:9" x14ac:dyDescent="0.25">
      <c r="A5" t="s">
        <v>94</v>
      </c>
      <c r="B5" t="s">
        <v>99</v>
      </c>
      <c r="C5" t="s">
        <v>95</v>
      </c>
      <c r="D5" t="s">
        <v>79</v>
      </c>
      <c r="E5" t="s">
        <v>43</v>
      </c>
      <c r="F5" s="6">
        <v>0.32291666666666669</v>
      </c>
      <c r="G5">
        <v>3</v>
      </c>
      <c r="H5" s="6">
        <f>FLOOR(tblPivotData[[#This Row],[Time]],Summary!$B$6/1440)</f>
        <v>0.32291666666666663</v>
      </c>
      <c r="I5" s="49">
        <f>INDEX(PeakCalc!$L$10:$L$303,MATCH(tblPivotData[[#This Row],[Time]],PeakCalc!$G$10:$G$303,0))</f>
        <v>0</v>
      </c>
    </row>
    <row r="6" spans="1:9" x14ac:dyDescent="0.25">
      <c r="A6" t="s">
        <v>94</v>
      </c>
      <c r="B6" t="s">
        <v>99</v>
      </c>
      <c r="C6" t="s">
        <v>95</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94</v>
      </c>
      <c r="B7" t="s">
        <v>99</v>
      </c>
      <c r="C7" t="s">
        <v>95</v>
      </c>
      <c r="D7" t="s">
        <v>79</v>
      </c>
      <c r="E7" t="s">
        <v>43</v>
      </c>
      <c r="F7" s="6">
        <v>0.34375</v>
      </c>
      <c r="G7">
        <v>0</v>
      </c>
      <c r="H7" s="6">
        <f>FLOOR(tblPivotData[[#This Row],[Time]],Summary!$B$6/1440)</f>
        <v>0.34375</v>
      </c>
      <c r="I7" s="49">
        <f>INDEX(PeakCalc!$L$10:$L$303,MATCH(tblPivotData[[#This Row],[Time]],PeakCalc!$G$10:$G$303,0))</f>
        <v>1</v>
      </c>
    </row>
    <row r="8" spans="1:9" x14ac:dyDescent="0.25">
      <c r="A8" t="s">
        <v>94</v>
      </c>
      <c r="B8" t="s">
        <v>99</v>
      </c>
      <c r="C8" t="s">
        <v>95</v>
      </c>
      <c r="D8" t="s">
        <v>79</v>
      </c>
      <c r="E8" t="s">
        <v>43</v>
      </c>
      <c r="F8" s="6">
        <v>0.35416666666666669</v>
      </c>
      <c r="G8">
        <v>0</v>
      </c>
      <c r="H8" s="6">
        <f>FLOOR(tblPivotData[[#This Row],[Time]],Summary!$B$6/1440)</f>
        <v>0.35416666666666663</v>
      </c>
      <c r="I8" s="49">
        <f>INDEX(PeakCalc!$L$10:$L$303,MATCH(tblPivotData[[#This Row],[Time]],PeakCalc!$G$10:$G$303,0))</f>
        <v>1</v>
      </c>
    </row>
    <row r="9" spans="1:9" x14ac:dyDescent="0.25">
      <c r="A9" t="s">
        <v>94</v>
      </c>
      <c r="B9" t="s">
        <v>99</v>
      </c>
      <c r="C9" t="s">
        <v>95</v>
      </c>
      <c r="D9" t="s">
        <v>79</v>
      </c>
      <c r="E9" t="s">
        <v>43</v>
      </c>
      <c r="F9" s="6">
        <v>0.36458333333333331</v>
      </c>
      <c r="G9">
        <v>1</v>
      </c>
      <c r="H9" s="6">
        <f>FLOOR(tblPivotData[[#This Row],[Time]],Summary!$B$6/1440)</f>
        <v>0.36458333333333331</v>
      </c>
      <c r="I9" s="49">
        <f>INDEX(PeakCalc!$L$10:$L$303,MATCH(tblPivotData[[#This Row],[Time]],PeakCalc!$G$10:$G$303,0))</f>
        <v>1</v>
      </c>
    </row>
    <row r="10" spans="1:9" x14ac:dyDescent="0.25">
      <c r="A10" t="s">
        <v>94</v>
      </c>
      <c r="B10" t="s">
        <v>99</v>
      </c>
      <c r="C10" t="s">
        <v>95</v>
      </c>
      <c r="D10" t="s">
        <v>79</v>
      </c>
      <c r="E10" t="s">
        <v>91</v>
      </c>
      <c r="F10" s="6">
        <v>0.54166666666666663</v>
      </c>
      <c r="G10">
        <v>0</v>
      </c>
      <c r="H10" s="6">
        <f>FLOOR(tblPivotData[[#This Row],[Time]],Summary!$B$6/1440)</f>
        <v>0.54166666666666663</v>
      </c>
      <c r="I10" s="49">
        <f>INDEX(PeakCalc!$L$10:$L$303,MATCH(tblPivotData[[#This Row],[Time]],PeakCalc!$G$10:$G$303,0))</f>
        <v>1</v>
      </c>
    </row>
    <row r="11" spans="1:9" x14ac:dyDescent="0.25">
      <c r="A11" t="s">
        <v>94</v>
      </c>
      <c r="B11" t="s">
        <v>99</v>
      </c>
      <c r="C11" t="s">
        <v>95</v>
      </c>
      <c r="D11" t="s">
        <v>79</v>
      </c>
      <c r="E11" t="s">
        <v>91</v>
      </c>
      <c r="F11" s="6">
        <v>0.55208333333333337</v>
      </c>
      <c r="G11">
        <v>3</v>
      </c>
      <c r="H11" s="6">
        <f>FLOOR(tblPivotData[[#This Row],[Time]],Summary!$B$6/1440)</f>
        <v>0.55208333333333326</v>
      </c>
      <c r="I11" s="49">
        <f>INDEX(PeakCalc!$L$10:$L$303,MATCH(tblPivotData[[#This Row],[Time]],PeakCalc!$G$10:$G$303,0))</f>
        <v>1</v>
      </c>
    </row>
    <row r="12" spans="1:9" x14ac:dyDescent="0.25">
      <c r="A12" t="s">
        <v>94</v>
      </c>
      <c r="B12" t="s">
        <v>99</v>
      </c>
      <c r="C12" t="s">
        <v>95</v>
      </c>
      <c r="D12" t="s">
        <v>79</v>
      </c>
      <c r="E12" t="s">
        <v>91</v>
      </c>
      <c r="F12" s="6">
        <v>0.5625</v>
      </c>
      <c r="G12">
        <v>0</v>
      </c>
      <c r="H12" s="6">
        <f>FLOOR(tblPivotData[[#This Row],[Time]],Summary!$B$6/1440)</f>
        <v>0.5625</v>
      </c>
      <c r="I12" s="49">
        <f>INDEX(PeakCalc!$L$10:$L$303,MATCH(tblPivotData[[#This Row],[Time]],PeakCalc!$G$10:$G$303,0))</f>
        <v>1</v>
      </c>
    </row>
    <row r="13" spans="1:9" x14ac:dyDescent="0.25">
      <c r="A13" t="s">
        <v>94</v>
      </c>
      <c r="B13" t="s">
        <v>99</v>
      </c>
      <c r="C13" t="s">
        <v>95</v>
      </c>
      <c r="D13" t="s">
        <v>79</v>
      </c>
      <c r="E13" t="s">
        <v>91</v>
      </c>
      <c r="F13" s="6">
        <v>0.57291666666666663</v>
      </c>
      <c r="G13">
        <v>0</v>
      </c>
      <c r="H13" s="6">
        <f>FLOOR(tblPivotData[[#This Row],[Time]],Summary!$B$6/1440)</f>
        <v>0.57291666666666663</v>
      </c>
      <c r="I13" s="49">
        <f>INDEX(PeakCalc!$L$10:$L$303,MATCH(tblPivotData[[#This Row],[Time]],PeakCalc!$G$10:$G$303,0))</f>
        <v>1</v>
      </c>
    </row>
    <row r="14" spans="1:9" x14ac:dyDescent="0.25">
      <c r="A14" t="s">
        <v>94</v>
      </c>
      <c r="B14" t="s">
        <v>99</v>
      </c>
      <c r="C14" t="s">
        <v>95</v>
      </c>
      <c r="D14" t="s">
        <v>79</v>
      </c>
      <c r="E14" t="s">
        <v>44</v>
      </c>
      <c r="F14" s="6">
        <v>0.66666666666666663</v>
      </c>
      <c r="G14">
        <v>0</v>
      </c>
      <c r="H14" s="6">
        <f>FLOOR(tblPivotData[[#This Row],[Time]],Summary!$B$6/1440)</f>
        <v>0.66666666666666663</v>
      </c>
      <c r="I14" s="49">
        <f>INDEX(PeakCalc!$L$10:$L$303,MATCH(tblPivotData[[#This Row],[Time]],PeakCalc!$G$10:$G$303,0))</f>
        <v>0</v>
      </c>
    </row>
    <row r="15" spans="1:9" x14ac:dyDescent="0.25">
      <c r="A15" t="s">
        <v>94</v>
      </c>
      <c r="B15" t="s">
        <v>99</v>
      </c>
      <c r="C15" t="s">
        <v>95</v>
      </c>
      <c r="D15" t="s">
        <v>79</v>
      </c>
      <c r="E15" t="s">
        <v>44</v>
      </c>
      <c r="F15" s="6">
        <v>0.67708333333333337</v>
      </c>
      <c r="G15">
        <v>0</v>
      </c>
      <c r="H15" s="6">
        <f>FLOOR(tblPivotData[[#This Row],[Time]],Summary!$B$6/1440)</f>
        <v>0.67708333333333326</v>
      </c>
      <c r="I15" s="49">
        <f>INDEX(PeakCalc!$L$10:$L$303,MATCH(tblPivotData[[#This Row],[Time]],PeakCalc!$G$10:$G$303,0))</f>
        <v>0</v>
      </c>
    </row>
    <row r="16" spans="1:9" x14ac:dyDescent="0.25">
      <c r="A16" t="s">
        <v>94</v>
      </c>
      <c r="B16" t="s">
        <v>99</v>
      </c>
      <c r="C16" t="s">
        <v>95</v>
      </c>
      <c r="D16" t="s">
        <v>79</v>
      </c>
      <c r="E16" t="s">
        <v>44</v>
      </c>
      <c r="F16" s="6">
        <v>0.6875</v>
      </c>
      <c r="G16">
        <v>6</v>
      </c>
      <c r="H16" s="6">
        <f>FLOOR(tblPivotData[[#This Row],[Time]],Summary!$B$6/1440)</f>
        <v>0.6875</v>
      </c>
      <c r="I16" s="49">
        <f>INDEX(PeakCalc!$L$10:$L$303,MATCH(tblPivotData[[#This Row],[Time]],PeakCalc!$G$10:$G$303,0))</f>
        <v>0</v>
      </c>
    </row>
    <row r="17" spans="1:9" x14ac:dyDescent="0.25">
      <c r="A17" t="s">
        <v>94</v>
      </c>
      <c r="B17" t="s">
        <v>99</v>
      </c>
      <c r="C17" t="s">
        <v>95</v>
      </c>
      <c r="D17" t="s">
        <v>79</v>
      </c>
      <c r="E17" t="s">
        <v>44</v>
      </c>
      <c r="F17" s="6">
        <v>0.69791666666666663</v>
      </c>
      <c r="G17">
        <v>2</v>
      </c>
      <c r="H17" s="6">
        <f>FLOOR(tblPivotData[[#This Row],[Time]],Summary!$B$6/1440)</f>
        <v>0.69791666666666663</v>
      </c>
      <c r="I17" s="49">
        <f>INDEX(PeakCalc!$L$10:$L$303,MATCH(tblPivotData[[#This Row],[Time]],PeakCalc!$G$10:$G$303,0))</f>
        <v>1</v>
      </c>
    </row>
    <row r="18" spans="1:9" x14ac:dyDescent="0.25">
      <c r="A18" t="s">
        <v>94</v>
      </c>
      <c r="B18" t="s">
        <v>99</v>
      </c>
      <c r="C18" t="s">
        <v>95</v>
      </c>
      <c r="D18" t="s">
        <v>79</v>
      </c>
      <c r="E18" t="s">
        <v>44</v>
      </c>
      <c r="F18" s="6">
        <v>0.70833333333333337</v>
      </c>
      <c r="G18">
        <v>4</v>
      </c>
      <c r="H18" s="6">
        <f>FLOOR(tblPivotData[[#This Row],[Time]],Summary!$B$6/1440)</f>
        <v>0.70833333333333326</v>
      </c>
      <c r="I18" s="49">
        <f>INDEX(PeakCalc!$L$10:$L$303,MATCH(tblPivotData[[#This Row],[Time]],PeakCalc!$G$10:$G$303,0))</f>
        <v>1</v>
      </c>
    </row>
    <row r="19" spans="1:9" x14ac:dyDescent="0.25">
      <c r="A19" t="s">
        <v>94</v>
      </c>
      <c r="B19" t="s">
        <v>99</v>
      </c>
      <c r="C19" t="s">
        <v>95</v>
      </c>
      <c r="D19" t="s">
        <v>79</v>
      </c>
      <c r="E19" t="s">
        <v>44</v>
      </c>
      <c r="F19" s="6">
        <v>0.71875</v>
      </c>
      <c r="G19">
        <v>1</v>
      </c>
      <c r="H19" s="6">
        <f>FLOOR(tblPivotData[[#This Row],[Time]],Summary!$B$6/1440)</f>
        <v>0.71875</v>
      </c>
      <c r="I19" s="49">
        <f>INDEX(PeakCalc!$L$10:$L$303,MATCH(tblPivotData[[#This Row],[Time]],PeakCalc!$G$10:$G$303,0))</f>
        <v>1</v>
      </c>
    </row>
    <row r="20" spans="1:9" x14ac:dyDescent="0.25">
      <c r="A20" t="s">
        <v>94</v>
      </c>
      <c r="B20" t="s">
        <v>99</v>
      </c>
      <c r="C20" t="s">
        <v>95</v>
      </c>
      <c r="D20" t="s">
        <v>79</v>
      </c>
      <c r="E20" t="s">
        <v>44</v>
      </c>
      <c r="F20" s="6">
        <v>0.72916666666666663</v>
      </c>
      <c r="G20">
        <v>6</v>
      </c>
      <c r="H20" s="6">
        <f>FLOOR(tblPivotData[[#This Row],[Time]],Summary!$B$6/1440)</f>
        <v>0.72916666666666663</v>
      </c>
      <c r="I20" s="49">
        <f>INDEX(PeakCalc!$L$10:$L$303,MATCH(tblPivotData[[#This Row],[Time]],PeakCalc!$G$10:$G$303,0))</f>
        <v>1</v>
      </c>
    </row>
    <row r="21" spans="1:9" x14ac:dyDescent="0.25">
      <c r="A21" t="s">
        <v>94</v>
      </c>
      <c r="B21" t="s">
        <v>99</v>
      </c>
      <c r="C21" t="s">
        <v>95</v>
      </c>
      <c r="D21" t="s">
        <v>79</v>
      </c>
      <c r="E21" t="s">
        <v>44</v>
      </c>
      <c r="F21" s="6">
        <v>0.73958333333333337</v>
      </c>
      <c r="G21">
        <v>2</v>
      </c>
      <c r="H21" s="6">
        <f>FLOOR(tblPivotData[[#This Row],[Time]],Summary!$B$6/1440)</f>
        <v>0.73958333333333326</v>
      </c>
      <c r="I21" s="49">
        <f>INDEX(PeakCalc!$L$10:$L$303,MATCH(tblPivotData[[#This Row],[Time]],PeakCalc!$G$10:$G$303,0))</f>
        <v>0</v>
      </c>
    </row>
    <row r="22" spans="1:9" x14ac:dyDescent="0.25">
      <c r="A22" t="s">
        <v>94</v>
      </c>
      <c r="B22" t="s">
        <v>99</v>
      </c>
      <c r="C22" t="s">
        <v>95</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94</v>
      </c>
      <c r="B23" t="s">
        <v>99</v>
      </c>
      <c r="C23" t="s">
        <v>95</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94</v>
      </c>
      <c r="B24" t="s">
        <v>99</v>
      </c>
      <c r="C24" t="s">
        <v>95</v>
      </c>
      <c r="D24" t="s">
        <v>89</v>
      </c>
      <c r="E24" t="s">
        <v>43</v>
      </c>
      <c r="F24" s="6">
        <v>0.3125</v>
      </c>
      <c r="G24">
        <v>0</v>
      </c>
      <c r="H24" s="6">
        <f>FLOOR(tblPivotData[[#This Row],[Time]],Summary!$B$6/1440)</f>
        <v>0.3125</v>
      </c>
      <c r="I24" s="49">
        <f>INDEX(PeakCalc!$L$10:$L$303,MATCH(tblPivotData[[#This Row],[Time]],PeakCalc!$G$10:$G$303,0))</f>
        <v>0</v>
      </c>
    </row>
    <row r="25" spans="1:9" x14ac:dyDescent="0.25">
      <c r="A25" t="s">
        <v>94</v>
      </c>
      <c r="B25" t="s">
        <v>99</v>
      </c>
      <c r="C25" t="s">
        <v>95</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94</v>
      </c>
      <c r="B26" t="s">
        <v>99</v>
      </c>
      <c r="C26" t="s">
        <v>95</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94</v>
      </c>
      <c r="B27" t="s">
        <v>99</v>
      </c>
      <c r="C27" t="s">
        <v>95</v>
      </c>
      <c r="D27" t="s">
        <v>89</v>
      </c>
      <c r="E27" t="s">
        <v>43</v>
      </c>
      <c r="F27" s="6">
        <v>0.34375</v>
      </c>
      <c r="G27">
        <v>0</v>
      </c>
      <c r="H27" s="6">
        <f>FLOOR(tblPivotData[[#This Row],[Time]],Summary!$B$6/1440)</f>
        <v>0.34375</v>
      </c>
      <c r="I27" s="49">
        <f>INDEX(PeakCalc!$L$10:$L$303,MATCH(tblPivotData[[#This Row],[Time]],PeakCalc!$G$10:$G$303,0))</f>
        <v>1</v>
      </c>
    </row>
    <row r="28" spans="1:9" x14ac:dyDescent="0.25">
      <c r="A28" t="s">
        <v>94</v>
      </c>
      <c r="B28" t="s">
        <v>99</v>
      </c>
      <c r="C28" t="s">
        <v>95</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94</v>
      </c>
      <c r="B29" t="s">
        <v>99</v>
      </c>
      <c r="C29" t="s">
        <v>95</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94</v>
      </c>
      <c r="B30" t="s">
        <v>99</v>
      </c>
      <c r="C30" t="s">
        <v>95</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94</v>
      </c>
      <c r="B31" t="s">
        <v>99</v>
      </c>
      <c r="C31" t="s">
        <v>95</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94</v>
      </c>
      <c r="B32" t="s">
        <v>99</v>
      </c>
      <c r="C32" t="s">
        <v>95</v>
      </c>
      <c r="D32" t="s">
        <v>89</v>
      </c>
      <c r="E32" t="s">
        <v>91</v>
      </c>
      <c r="F32" s="6">
        <v>0.5625</v>
      </c>
      <c r="G32">
        <v>0</v>
      </c>
      <c r="H32" s="6">
        <f>FLOOR(tblPivotData[[#This Row],[Time]],Summary!$B$6/1440)</f>
        <v>0.5625</v>
      </c>
      <c r="I32" s="49">
        <f>INDEX(PeakCalc!$L$10:$L$303,MATCH(tblPivotData[[#This Row],[Time]],PeakCalc!$G$10:$G$303,0))</f>
        <v>1</v>
      </c>
    </row>
    <row r="33" spans="1:9" x14ac:dyDescent="0.25">
      <c r="A33" t="s">
        <v>94</v>
      </c>
      <c r="B33" t="s">
        <v>99</v>
      </c>
      <c r="C33" t="s">
        <v>95</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94</v>
      </c>
      <c r="B34" t="s">
        <v>99</v>
      </c>
      <c r="C34" t="s">
        <v>95</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94</v>
      </c>
      <c r="B35" t="s">
        <v>99</v>
      </c>
      <c r="C35" t="s">
        <v>95</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94</v>
      </c>
      <c r="B36" t="s">
        <v>99</v>
      </c>
      <c r="C36" t="s">
        <v>95</v>
      </c>
      <c r="D36" t="s">
        <v>89</v>
      </c>
      <c r="E36" t="s">
        <v>44</v>
      </c>
      <c r="F36" s="6">
        <v>0.6875</v>
      </c>
      <c r="G36">
        <v>0</v>
      </c>
      <c r="H36" s="6">
        <f>FLOOR(tblPivotData[[#This Row],[Time]],Summary!$B$6/1440)</f>
        <v>0.6875</v>
      </c>
      <c r="I36" s="49">
        <f>INDEX(PeakCalc!$L$10:$L$303,MATCH(tblPivotData[[#This Row],[Time]],PeakCalc!$G$10:$G$303,0))</f>
        <v>0</v>
      </c>
    </row>
    <row r="37" spans="1:9" x14ac:dyDescent="0.25">
      <c r="A37" t="s">
        <v>94</v>
      </c>
      <c r="B37" t="s">
        <v>99</v>
      </c>
      <c r="C37" t="s">
        <v>95</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94</v>
      </c>
      <c r="B38" t="s">
        <v>99</v>
      </c>
      <c r="C38" t="s">
        <v>95</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94</v>
      </c>
      <c r="B39" t="s">
        <v>99</v>
      </c>
      <c r="C39" t="s">
        <v>95</v>
      </c>
      <c r="D39" t="s">
        <v>89</v>
      </c>
      <c r="E39" t="s">
        <v>44</v>
      </c>
      <c r="F39" s="6">
        <v>0.71875</v>
      </c>
      <c r="G39">
        <v>0</v>
      </c>
      <c r="H39" s="6">
        <f>FLOOR(tblPivotData[[#This Row],[Time]],Summary!$B$6/1440)</f>
        <v>0.71875</v>
      </c>
      <c r="I39" s="49">
        <f>INDEX(PeakCalc!$L$10:$L$303,MATCH(tblPivotData[[#This Row],[Time]],PeakCalc!$G$10:$G$303,0))</f>
        <v>1</v>
      </c>
    </row>
    <row r="40" spans="1:9" x14ac:dyDescent="0.25">
      <c r="A40" t="s">
        <v>94</v>
      </c>
      <c r="B40" t="s">
        <v>99</v>
      </c>
      <c r="C40" t="s">
        <v>95</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94</v>
      </c>
      <c r="B41" t="s">
        <v>99</v>
      </c>
      <c r="C41" t="s">
        <v>95</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94</v>
      </c>
      <c r="B42" t="s">
        <v>99</v>
      </c>
      <c r="C42" t="s">
        <v>95</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94</v>
      </c>
      <c r="B43" t="s">
        <v>99</v>
      </c>
      <c r="C43" t="s">
        <v>95</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94</v>
      </c>
      <c r="B44" t="s">
        <v>99</v>
      </c>
      <c r="C44" t="s">
        <v>95</v>
      </c>
      <c r="D44" t="s">
        <v>90</v>
      </c>
      <c r="E44" t="s">
        <v>43</v>
      </c>
      <c r="F44" s="6">
        <v>0.3125</v>
      </c>
      <c r="G44">
        <v>0</v>
      </c>
      <c r="H44" s="6">
        <f>FLOOR(tblPivotData[[#This Row],[Time]],Summary!$B$6/1440)</f>
        <v>0.3125</v>
      </c>
      <c r="I44" s="49">
        <f>INDEX(PeakCalc!$L$10:$L$303,MATCH(tblPivotData[[#This Row],[Time]],PeakCalc!$G$10:$G$303,0))</f>
        <v>0</v>
      </c>
    </row>
    <row r="45" spans="1:9" x14ac:dyDescent="0.25">
      <c r="A45" t="s">
        <v>94</v>
      </c>
      <c r="B45" t="s">
        <v>99</v>
      </c>
      <c r="C45" t="s">
        <v>95</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94</v>
      </c>
      <c r="B46" t="s">
        <v>99</v>
      </c>
      <c r="C46" t="s">
        <v>95</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94</v>
      </c>
      <c r="B47" t="s">
        <v>99</v>
      </c>
      <c r="C47" t="s">
        <v>95</v>
      </c>
      <c r="D47" t="s">
        <v>90</v>
      </c>
      <c r="E47" t="s">
        <v>43</v>
      </c>
      <c r="F47" s="6">
        <v>0.34375</v>
      </c>
      <c r="G47">
        <v>0</v>
      </c>
      <c r="H47" s="6">
        <f>FLOOR(tblPivotData[[#This Row],[Time]],Summary!$B$6/1440)</f>
        <v>0.34375</v>
      </c>
      <c r="I47" s="49">
        <f>INDEX(PeakCalc!$L$10:$L$303,MATCH(tblPivotData[[#This Row],[Time]],PeakCalc!$G$10:$G$303,0))</f>
        <v>1</v>
      </c>
    </row>
    <row r="48" spans="1:9" x14ac:dyDescent="0.25">
      <c r="A48" t="s">
        <v>94</v>
      </c>
      <c r="B48" t="s">
        <v>99</v>
      </c>
      <c r="C48" t="s">
        <v>95</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94</v>
      </c>
      <c r="B49" t="s">
        <v>99</v>
      </c>
      <c r="C49" t="s">
        <v>95</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94</v>
      </c>
      <c r="B50" t="s">
        <v>99</v>
      </c>
      <c r="C50" t="s">
        <v>95</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94</v>
      </c>
      <c r="B51" t="s">
        <v>99</v>
      </c>
      <c r="C51" t="s">
        <v>95</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94</v>
      </c>
      <c r="B52" t="s">
        <v>99</v>
      </c>
      <c r="C52" t="s">
        <v>95</v>
      </c>
      <c r="D52" t="s">
        <v>90</v>
      </c>
      <c r="E52" t="s">
        <v>91</v>
      </c>
      <c r="F52" s="6">
        <v>0.5625</v>
      </c>
      <c r="G52">
        <v>0</v>
      </c>
      <c r="H52" s="6">
        <f>FLOOR(tblPivotData[[#This Row],[Time]],Summary!$B$6/1440)</f>
        <v>0.5625</v>
      </c>
      <c r="I52" s="49">
        <f>INDEX(PeakCalc!$L$10:$L$303,MATCH(tblPivotData[[#This Row],[Time]],PeakCalc!$G$10:$G$303,0))</f>
        <v>1</v>
      </c>
    </row>
    <row r="53" spans="1:9" x14ac:dyDescent="0.25">
      <c r="A53" t="s">
        <v>94</v>
      </c>
      <c r="B53" t="s">
        <v>99</v>
      </c>
      <c r="C53" t="s">
        <v>95</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94</v>
      </c>
      <c r="B54" t="s">
        <v>99</v>
      </c>
      <c r="C54" t="s">
        <v>95</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94</v>
      </c>
      <c r="B55" t="s">
        <v>99</v>
      </c>
      <c r="C55" t="s">
        <v>95</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94</v>
      </c>
      <c r="B56" t="s">
        <v>99</v>
      </c>
      <c r="C56" t="s">
        <v>95</v>
      </c>
      <c r="D56" t="s">
        <v>90</v>
      </c>
      <c r="E56" t="s">
        <v>44</v>
      </c>
      <c r="F56" s="6">
        <v>0.6875</v>
      </c>
      <c r="G56">
        <v>0</v>
      </c>
      <c r="H56" s="6">
        <f>FLOOR(tblPivotData[[#This Row],[Time]],Summary!$B$6/1440)</f>
        <v>0.6875</v>
      </c>
      <c r="I56" s="49">
        <f>INDEX(PeakCalc!$L$10:$L$303,MATCH(tblPivotData[[#This Row],[Time]],PeakCalc!$G$10:$G$303,0))</f>
        <v>0</v>
      </c>
    </row>
    <row r="57" spans="1:9" x14ac:dyDescent="0.25">
      <c r="A57" t="s">
        <v>94</v>
      </c>
      <c r="B57" t="s">
        <v>99</v>
      </c>
      <c r="C57" t="s">
        <v>95</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94</v>
      </c>
      <c r="B58" t="s">
        <v>99</v>
      </c>
      <c r="C58" t="s">
        <v>95</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94</v>
      </c>
      <c r="B59" t="s">
        <v>99</v>
      </c>
      <c r="C59" t="s">
        <v>95</v>
      </c>
      <c r="D59" t="s">
        <v>90</v>
      </c>
      <c r="E59" t="s">
        <v>44</v>
      </c>
      <c r="F59" s="6">
        <v>0.71875</v>
      </c>
      <c r="G59">
        <v>0</v>
      </c>
      <c r="H59" s="6">
        <f>FLOOR(tblPivotData[[#This Row],[Time]],Summary!$B$6/1440)</f>
        <v>0.71875</v>
      </c>
      <c r="I59" s="49">
        <f>INDEX(PeakCalc!$L$10:$L$303,MATCH(tblPivotData[[#This Row],[Time]],PeakCalc!$G$10:$G$303,0))</f>
        <v>1</v>
      </c>
    </row>
    <row r="60" spans="1:9" x14ac:dyDescent="0.25">
      <c r="A60" t="s">
        <v>94</v>
      </c>
      <c r="B60" t="s">
        <v>99</v>
      </c>
      <c r="C60" t="s">
        <v>95</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94</v>
      </c>
      <c r="B61" t="s">
        <v>99</v>
      </c>
      <c r="C61" t="s">
        <v>95</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94</v>
      </c>
      <c r="B62" t="s">
        <v>100</v>
      </c>
      <c r="C62" t="s">
        <v>96</v>
      </c>
      <c r="D62" t="s">
        <v>79</v>
      </c>
      <c r="E62" t="s">
        <v>43</v>
      </c>
      <c r="F62" s="6">
        <v>0.29166666666666669</v>
      </c>
      <c r="G62">
        <v>0</v>
      </c>
      <c r="H62" s="6">
        <f>FLOOR(tblPivotData[[#This Row],[Time]],Summary!$B$6/1440)</f>
        <v>0.29166666666666663</v>
      </c>
      <c r="I62" s="49">
        <f>INDEX(PeakCalc!$L$10:$L$303,MATCH(tblPivotData[[#This Row],[Time]],PeakCalc!$G$10:$G$303,0))</f>
        <v>0</v>
      </c>
    </row>
    <row r="63" spans="1:9" x14ac:dyDescent="0.25">
      <c r="A63" t="s">
        <v>94</v>
      </c>
      <c r="B63" t="s">
        <v>100</v>
      </c>
      <c r="C63" t="s">
        <v>96</v>
      </c>
      <c r="D63" t="s">
        <v>79</v>
      </c>
      <c r="E63" t="s">
        <v>43</v>
      </c>
      <c r="F63" s="6">
        <v>0.30208333333333331</v>
      </c>
      <c r="G63">
        <v>7</v>
      </c>
      <c r="H63" s="6">
        <f>FLOOR(tblPivotData[[#This Row],[Time]],Summary!$B$6/1440)</f>
        <v>0.30208333333333331</v>
      </c>
      <c r="I63" s="49">
        <f>INDEX(PeakCalc!$L$10:$L$303,MATCH(tblPivotData[[#This Row],[Time]],PeakCalc!$G$10:$G$303,0))</f>
        <v>0</v>
      </c>
    </row>
    <row r="64" spans="1:9" x14ac:dyDescent="0.25">
      <c r="A64" t="s">
        <v>94</v>
      </c>
      <c r="B64" t="s">
        <v>100</v>
      </c>
      <c r="C64" t="s">
        <v>96</v>
      </c>
      <c r="D64" t="s">
        <v>79</v>
      </c>
      <c r="E64" t="s">
        <v>43</v>
      </c>
      <c r="F64" s="6">
        <v>0.3125</v>
      </c>
      <c r="G64">
        <v>3</v>
      </c>
      <c r="H64" s="6">
        <f>FLOOR(tblPivotData[[#This Row],[Time]],Summary!$B$6/1440)</f>
        <v>0.3125</v>
      </c>
      <c r="I64" s="49">
        <f>INDEX(PeakCalc!$L$10:$L$303,MATCH(tblPivotData[[#This Row],[Time]],PeakCalc!$G$10:$G$303,0))</f>
        <v>0</v>
      </c>
    </row>
    <row r="65" spans="1:9" x14ac:dyDescent="0.25">
      <c r="A65" t="s">
        <v>94</v>
      </c>
      <c r="B65" t="s">
        <v>100</v>
      </c>
      <c r="C65" t="s">
        <v>96</v>
      </c>
      <c r="D65" t="s">
        <v>79</v>
      </c>
      <c r="E65" t="s">
        <v>43</v>
      </c>
      <c r="F65" s="6">
        <v>0.32291666666666669</v>
      </c>
      <c r="G65">
        <v>2</v>
      </c>
      <c r="H65" s="6">
        <f>FLOOR(tblPivotData[[#This Row],[Time]],Summary!$B$6/1440)</f>
        <v>0.32291666666666663</v>
      </c>
      <c r="I65" s="49">
        <f>INDEX(PeakCalc!$L$10:$L$303,MATCH(tblPivotData[[#This Row],[Time]],PeakCalc!$G$10:$G$303,0))</f>
        <v>0</v>
      </c>
    </row>
    <row r="66" spans="1:9" x14ac:dyDescent="0.25">
      <c r="A66" t="s">
        <v>94</v>
      </c>
      <c r="B66" t="s">
        <v>100</v>
      </c>
      <c r="C66" t="s">
        <v>96</v>
      </c>
      <c r="D66" t="s">
        <v>79</v>
      </c>
      <c r="E66" t="s">
        <v>43</v>
      </c>
      <c r="F66" s="6">
        <v>0.33333333333333331</v>
      </c>
      <c r="G66">
        <v>7</v>
      </c>
      <c r="H66" s="6">
        <f>FLOOR(tblPivotData[[#This Row],[Time]],Summary!$B$6/1440)</f>
        <v>0.33333333333333331</v>
      </c>
      <c r="I66" s="49">
        <f>INDEX(PeakCalc!$L$10:$L$303,MATCH(tblPivotData[[#This Row],[Time]],PeakCalc!$G$10:$G$303,0))</f>
        <v>1</v>
      </c>
    </row>
    <row r="67" spans="1:9" x14ac:dyDescent="0.25">
      <c r="A67" t="s">
        <v>94</v>
      </c>
      <c r="B67" t="s">
        <v>100</v>
      </c>
      <c r="C67" t="s">
        <v>96</v>
      </c>
      <c r="D67" t="s">
        <v>79</v>
      </c>
      <c r="E67" t="s">
        <v>43</v>
      </c>
      <c r="F67" s="6">
        <v>0.34375</v>
      </c>
      <c r="G67">
        <v>13</v>
      </c>
      <c r="H67" s="6">
        <f>FLOOR(tblPivotData[[#This Row],[Time]],Summary!$B$6/1440)</f>
        <v>0.34375</v>
      </c>
      <c r="I67" s="49">
        <f>INDEX(PeakCalc!$L$10:$L$303,MATCH(tblPivotData[[#This Row],[Time]],PeakCalc!$G$10:$G$303,0))</f>
        <v>1</v>
      </c>
    </row>
    <row r="68" spans="1:9" x14ac:dyDescent="0.25">
      <c r="A68" t="s">
        <v>94</v>
      </c>
      <c r="B68" t="s">
        <v>100</v>
      </c>
      <c r="C68" t="s">
        <v>96</v>
      </c>
      <c r="D68" t="s">
        <v>79</v>
      </c>
      <c r="E68" t="s">
        <v>43</v>
      </c>
      <c r="F68" s="6">
        <v>0.35416666666666669</v>
      </c>
      <c r="G68">
        <v>19</v>
      </c>
      <c r="H68" s="6">
        <f>FLOOR(tblPivotData[[#This Row],[Time]],Summary!$B$6/1440)</f>
        <v>0.35416666666666663</v>
      </c>
      <c r="I68" s="49">
        <f>INDEX(PeakCalc!$L$10:$L$303,MATCH(tblPivotData[[#This Row],[Time]],PeakCalc!$G$10:$G$303,0))</f>
        <v>1</v>
      </c>
    </row>
    <row r="69" spans="1:9" x14ac:dyDescent="0.25">
      <c r="A69" t="s">
        <v>94</v>
      </c>
      <c r="B69" t="s">
        <v>100</v>
      </c>
      <c r="C69" t="s">
        <v>96</v>
      </c>
      <c r="D69" t="s">
        <v>79</v>
      </c>
      <c r="E69" t="s">
        <v>43</v>
      </c>
      <c r="F69" s="6">
        <v>0.36458333333333331</v>
      </c>
      <c r="G69">
        <v>8</v>
      </c>
      <c r="H69" s="6">
        <f>FLOOR(tblPivotData[[#This Row],[Time]],Summary!$B$6/1440)</f>
        <v>0.36458333333333331</v>
      </c>
      <c r="I69" s="49">
        <f>INDEX(PeakCalc!$L$10:$L$303,MATCH(tblPivotData[[#This Row],[Time]],PeakCalc!$G$10:$G$303,0))</f>
        <v>1</v>
      </c>
    </row>
    <row r="70" spans="1:9" x14ac:dyDescent="0.25">
      <c r="A70" t="s">
        <v>94</v>
      </c>
      <c r="B70" t="s">
        <v>100</v>
      </c>
      <c r="C70" t="s">
        <v>96</v>
      </c>
      <c r="D70" t="s">
        <v>79</v>
      </c>
      <c r="E70" t="s">
        <v>91</v>
      </c>
      <c r="F70" s="6">
        <v>0.54166666666666663</v>
      </c>
      <c r="G70">
        <v>5</v>
      </c>
      <c r="H70" s="6">
        <f>FLOOR(tblPivotData[[#This Row],[Time]],Summary!$B$6/1440)</f>
        <v>0.54166666666666663</v>
      </c>
      <c r="I70" s="49">
        <f>INDEX(PeakCalc!$L$10:$L$303,MATCH(tblPivotData[[#This Row],[Time]],PeakCalc!$G$10:$G$303,0))</f>
        <v>1</v>
      </c>
    </row>
    <row r="71" spans="1:9" x14ac:dyDescent="0.25">
      <c r="A71" t="s">
        <v>94</v>
      </c>
      <c r="B71" t="s">
        <v>100</v>
      </c>
      <c r="C71" t="s">
        <v>96</v>
      </c>
      <c r="D71" t="s">
        <v>79</v>
      </c>
      <c r="E71" t="s">
        <v>91</v>
      </c>
      <c r="F71" s="6">
        <v>0.55208333333333337</v>
      </c>
      <c r="G71">
        <v>2</v>
      </c>
      <c r="H71" s="6">
        <f>FLOOR(tblPivotData[[#This Row],[Time]],Summary!$B$6/1440)</f>
        <v>0.55208333333333326</v>
      </c>
      <c r="I71" s="49">
        <f>INDEX(PeakCalc!$L$10:$L$303,MATCH(tblPivotData[[#This Row],[Time]],PeakCalc!$G$10:$G$303,0))</f>
        <v>1</v>
      </c>
    </row>
    <row r="72" spans="1:9" x14ac:dyDescent="0.25">
      <c r="A72" t="s">
        <v>94</v>
      </c>
      <c r="B72" t="s">
        <v>100</v>
      </c>
      <c r="C72" t="s">
        <v>96</v>
      </c>
      <c r="D72" t="s">
        <v>79</v>
      </c>
      <c r="E72" t="s">
        <v>91</v>
      </c>
      <c r="F72" s="6">
        <v>0.5625</v>
      </c>
      <c r="G72">
        <v>5</v>
      </c>
      <c r="H72" s="6">
        <f>FLOOR(tblPivotData[[#This Row],[Time]],Summary!$B$6/1440)</f>
        <v>0.5625</v>
      </c>
      <c r="I72" s="49">
        <f>INDEX(PeakCalc!$L$10:$L$303,MATCH(tblPivotData[[#This Row],[Time]],PeakCalc!$G$10:$G$303,0))</f>
        <v>1</v>
      </c>
    </row>
    <row r="73" spans="1:9" x14ac:dyDescent="0.25">
      <c r="A73" t="s">
        <v>94</v>
      </c>
      <c r="B73" t="s">
        <v>100</v>
      </c>
      <c r="C73" t="s">
        <v>96</v>
      </c>
      <c r="D73" t="s">
        <v>79</v>
      </c>
      <c r="E73" t="s">
        <v>91</v>
      </c>
      <c r="F73" s="6">
        <v>0.57291666666666663</v>
      </c>
      <c r="G73">
        <v>8</v>
      </c>
      <c r="H73" s="6">
        <f>FLOOR(tblPivotData[[#This Row],[Time]],Summary!$B$6/1440)</f>
        <v>0.57291666666666663</v>
      </c>
      <c r="I73" s="49">
        <f>INDEX(PeakCalc!$L$10:$L$303,MATCH(tblPivotData[[#This Row],[Time]],PeakCalc!$G$10:$G$303,0))</f>
        <v>1</v>
      </c>
    </row>
    <row r="74" spans="1:9" x14ac:dyDescent="0.25">
      <c r="A74" t="s">
        <v>94</v>
      </c>
      <c r="B74" t="s">
        <v>100</v>
      </c>
      <c r="C74" t="s">
        <v>96</v>
      </c>
      <c r="D74" t="s">
        <v>79</v>
      </c>
      <c r="E74" t="s">
        <v>44</v>
      </c>
      <c r="F74" s="6">
        <v>0.66666666666666663</v>
      </c>
      <c r="G74">
        <v>11</v>
      </c>
      <c r="H74" s="6">
        <f>FLOOR(tblPivotData[[#This Row],[Time]],Summary!$B$6/1440)</f>
        <v>0.66666666666666663</v>
      </c>
      <c r="I74" s="49">
        <f>INDEX(PeakCalc!$L$10:$L$303,MATCH(tblPivotData[[#This Row],[Time]],PeakCalc!$G$10:$G$303,0))</f>
        <v>0</v>
      </c>
    </row>
    <row r="75" spans="1:9" x14ac:dyDescent="0.25">
      <c r="A75" t="s">
        <v>94</v>
      </c>
      <c r="B75" t="s">
        <v>100</v>
      </c>
      <c r="C75" t="s">
        <v>96</v>
      </c>
      <c r="D75" t="s">
        <v>79</v>
      </c>
      <c r="E75" t="s">
        <v>44</v>
      </c>
      <c r="F75" s="6">
        <v>0.67708333333333337</v>
      </c>
      <c r="G75">
        <v>15</v>
      </c>
      <c r="H75" s="6">
        <f>FLOOR(tblPivotData[[#This Row],[Time]],Summary!$B$6/1440)</f>
        <v>0.67708333333333326</v>
      </c>
      <c r="I75" s="49">
        <f>INDEX(PeakCalc!$L$10:$L$303,MATCH(tblPivotData[[#This Row],[Time]],PeakCalc!$G$10:$G$303,0))</f>
        <v>0</v>
      </c>
    </row>
    <row r="76" spans="1:9" x14ac:dyDescent="0.25">
      <c r="A76" t="s">
        <v>94</v>
      </c>
      <c r="B76" t="s">
        <v>100</v>
      </c>
      <c r="C76" t="s">
        <v>96</v>
      </c>
      <c r="D76" t="s">
        <v>79</v>
      </c>
      <c r="E76" t="s">
        <v>44</v>
      </c>
      <c r="F76" s="6">
        <v>0.6875</v>
      </c>
      <c r="G76">
        <v>8</v>
      </c>
      <c r="H76" s="6">
        <f>FLOOR(tblPivotData[[#This Row],[Time]],Summary!$B$6/1440)</f>
        <v>0.6875</v>
      </c>
      <c r="I76" s="49">
        <f>INDEX(PeakCalc!$L$10:$L$303,MATCH(tblPivotData[[#This Row],[Time]],PeakCalc!$G$10:$G$303,0))</f>
        <v>0</v>
      </c>
    </row>
    <row r="77" spans="1:9" x14ac:dyDescent="0.25">
      <c r="A77" t="s">
        <v>94</v>
      </c>
      <c r="B77" t="s">
        <v>100</v>
      </c>
      <c r="C77" t="s">
        <v>96</v>
      </c>
      <c r="D77" t="s">
        <v>79</v>
      </c>
      <c r="E77" t="s">
        <v>44</v>
      </c>
      <c r="F77" s="6">
        <v>0.69791666666666663</v>
      </c>
      <c r="G77">
        <v>13</v>
      </c>
      <c r="H77" s="6">
        <f>FLOOR(tblPivotData[[#This Row],[Time]],Summary!$B$6/1440)</f>
        <v>0.69791666666666663</v>
      </c>
      <c r="I77" s="49">
        <f>INDEX(PeakCalc!$L$10:$L$303,MATCH(tblPivotData[[#This Row],[Time]],PeakCalc!$G$10:$G$303,0))</f>
        <v>1</v>
      </c>
    </row>
    <row r="78" spans="1:9" x14ac:dyDescent="0.25">
      <c r="A78" t="s">
        <v>94</v>
      </c>
      <c r="B78" t="s">
        <v>100</v>
      </c>
      <c r="C78" t="s">
        <v>96</v>
      </c>
      <c r="D78" t="s">
        <v>79</v>
      </c>
      <c r="E78" t="s">
        <v>44</v>
      </c>
      <c r="F78" s="6">
        <v>0.70833333333333337</v>
      </c>
      <c r="G78">
        <v>8</v>
      </c>
      <c r="H78" s="6">
        <f>FLOOR(tblPivotData[[#This Row],[Time]],Summary!$B$6/1440)</f>
        <v>0.70833333333333326</v>
      </c>
      <c r="I78" s="49">
        <f>INDEX(PeakCalc!$L$10:$L$303,MATCH(tblPivotData[[#This Row],[Time]],PeakCalc!$G$10:$G$303,0))</f>
        <v>1</v>
      </c>
    </row>
    <row r="79" spans="1:9" x14ac:dyDescent="0.25">
      <c r="A79" t="s">
        <v>94</v>
      </c>
      <c r="B79" t="s">
        <v>100</v>
      </c>
      <c r="C79" t="s">
        <v>96</v>
      </c>
      <c r="D79" t="s">
        <v>79</v>
      </c>
      <c r="E79" t="s">
        <v>44</v>
      </c>
      <c r="F79" s="6">
        <v>0.71875</v>
      </c>
      <c r="G79">
        <v>12</v>
      </c>
      <c r="H79" s="6">
        <f>FLOOR(tblPivotData[[#This Row],[Time]],Summary!$B$6/1440)</f>
        <v>0.71875</v>
      </c>
      <c r="I79" s="49">
        <f>INDEX(PeakCalc!$L$10:$L$303,MATCH(tblPivotData[[#This Row],[Time]],PeakCalc!$G$10:$G$303,0))</f>
        <v>1</v>
      </c>
    </row>
    <row r="80" spans="1:9" x14ac:dyDescent="0.25">
      <c r="A80" t="s">
        <v>94</v>
      </c>
      <c r="B80" t="s">
        <v>100</v>
      </c>
      <c r="C80" t="s">
        <v>96</v>
      </c>
      <c r="D80" t="s">
        <v>79</v>
      </c>
      <c r="E80" t="s">
        <v>44</v>
      </c>
      <c r="F80" s="6">
        <v>0.72916666666666663</v>
      </c>
      <c r="G80">
        <v>12</v>
      </c>
      <c r="H80" s="6">
        <f>FLOOR(tblPivotData[[#This Row],[Time]],Summary!$B$6/1440)</f>
        <v>0.72916666666666663</v>
      </c>
      <c r="I80" s="49">
        <f>INDEX(PeakCalc!$L$10:$L$303,MATCH(tblPivotData[[#This Row],[Time]],PeakCalc!$G$10:$G$303,0))</f>
        <v>1</v>
      </c>
    </row>
    <row r="81" spans="1:9" x14ac:dyDescent="0.25">
      <c r="A81" t="s">
        <v>94</v>
      </c>
      <c r="B81" t="s">
        <v>100</v>
      </c>
      <c r="C81" t="s">
        <v>96</v>
      </c>
      <c r="D81" t="s">
        <v>79</v>
      </c>
      <c r="E81" t="s">
        <v>44</v>
      </c>
      <c r="F81" s="6">
        <v>0.73958333333333337</v>
      </c>
      <c r="G81">
        <v>12</v>
      </c>
      <c r="H81" s="6">
        <f>FLOOR(tblPivotData[[#This Row],[Time]],Summary!$B$6/1440)</f>
        <v>0.73958333333333326</v>
      </c>
      <c r="I81" s="49">
        <f>INDEX(PeakCalc!$L$10:$L$303,MATCH(tblPivotData[[#This Row],[Time]],PeakCalc!$G$10:$G$303,0))</f>
        <v>0</v>
      </c>
    </row>
    <row r="82" spans="1:9" x14ac:dyDescent="0.25">
      <c r="A82" t="s">
        <v>94</v>
      </c>
      <c r="B82" t="s">
        <v>100</v>
      </c>
      <c r="C82" t="s">
        <v>96</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94</v>
      </c>
      <c r="B83" t="s">
        <v>100</v>
      </c>
      <c r="C83" t="s">
        <v>96</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94</v>
      </c>
      <c r="B84" t="s">
        <v>100</v>
      </c>
      <c r="C84" t="s">
        <v>96</v>
      </c>
      <c r="D84" t="s">
        <v>89</v>
      </c>
      <c r="E84" t="s">
        <v>43</v>
      </c>
      <c r="F84" s="6">
        <v>0.3125</v>
      </c>
      <c r="G84">
        <v>0</v>
      </c>
      <c r="H84" s="6">
        <f>FLOOR(tblPivotData[[#This Row],[Time]],Summary!$B$6/1440)</f>
        <v>0.3125</v>
      </c>
      <c r="I84" s="49">
        <f>INDEX(PeakCalc!$L$10:$L$303,MATCH(tblPivotData[[#This Row],[Time]],PeakCalc!$G$10:$G$303,0))</f>
        <v>0</v>
      </c>
    </row>
    <row r="85" spans="1:9" x14ac:dyDescent="0.25">
      <c r="A85" t="s">
        <v>94</v>
      </c>
      <c r="B85" t="s">
        <v>100</v>
      </c>
      <c r="C85" t="s">
        <v>96</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94</v>
      </c>
      <c r="B86" t="s">
        <v>100</v>
      </c>
      <c r="C86" t="s">
        <v>96</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94</v>
      </c>
      <c r="B87" t="s">
        <v>100</v>
      </c>
      <c r="C87" t="s">
        <v>96</v>
      </c>
      <c r="D87" t="s">
        <v>89</v>
      </c>
      <c r="E87" t="s">
        <v>43</v>
      </c>
      <c r="F87" s="6">
        <v>0.34375</v>
      </c>
      <c r="G87">
        <v>1</v>
      </c>
      <c r="H87" s="6">
        <f>FLOOR(tblPivotData[[#This Row],[Time]],Summary!$B$6/1440)</f>
        <v>0.34375</v>
      </c>
      <c r="I87" s="49">
        <f>INDEX(PeakCalc!$L$10:$L$303,MATCH(tblPivotData[[#This Row],[Time]],PeakCalc!$G$10:$G$303,0))</f>
        <v>1</v>
      </c>
    </row>
    <row r="88" spans="1:9" x14ac:dyDescent="0.25">
      <c r="A88" t="s">
        <v>94</v>
      </c>
      <c r="B88" t="s">
        <v>100</v>
      </c>
      <c r="C88" t="s">
        <v>96</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94</v>
      </c>
      <c r="B89" t="s">
        <v>100</v>
      </c>
      <c r="C89" t="s">
        <v>96</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94</v>
      </c>
      <c r="B90" t="s">
        <v>100</v>
      </c>
      <c r="C90" t="s">
        <v>96</v>
      </c>
      <c r="D90" t="s">
        <v>89</v>
      </c>
      <c r="E90" t="s">
        <v>91</v>
      </c>
      <c r="F90" s="6">
        <v>0.54166666666666663</v>
      </c>
      <c r="G90">
        <v>1</v>
      </c>
      <c r="H90" s="6">
        <f>FLOOR(tblPivotData[[#This Row],[Time]],Summary!$B$6/1440)</f>
        <v>0.54166666666666663</v>
      </c>
      <c r="I90" s="49">
        <f>INDEX(PeakCalc!$L$10:$L$303,MATCH(tblPivotData[[#This Row],[Time]],PeakCalc!$G$10:$G$303,0))</f>
        <v>1</v>
      </c>
    </row>
    <row r="91" spans="1:9" x14ac:dyDescent="0.25">
      <c r="A91" t="s">
        <v>94</v>
      </c>
      <c r="B91" t="s">
        <v>100</v>
      </c>
      <c r="C91" t="s">
        <v>96</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94</v>
      </c>
      <c r="B92" t="s">
        <v>100</v>
      </c>
      <c r="C92" t="s">
        <v>96</v>
      </c>
      <c r="D92" t="s">
        <v>89</v>
      </c>
      <c r="E92" t="s">
        <v>91</v>
      </c>
      <c r="F92" s="6">
        <v>0.5625</v>
      </c>
      <c r="G92">
        <v>0</v>
      </c>
      <c r="H92" s="6">
        <f>FLOOR(tblPivotData[[#This Row],[Time]],Summary!$B$6/1440)</f>
        <v>0.5625</v>
      </c>
      <c r="I92" s="49">
        <f>INDEX(PeakCalc!$L$10:$L$303,MATCH(tblPivotData[[#This Row],[Time]],PeakCalc!$G$10:$G$303,0))</f>
        <v>1</v>
      </c>
    </row>
    <row r="93" spans="1:9" x14ac:dyDescent="0.25">
      <c r="A93" t="s">
        <v>94</v>
      </c>
      <c r="B93" t="s">
        <v>100</v>
      </c>
      <c r="C93" t="s">
        <v>96</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94</v>
      </c>
      <c r="B94" t="s">
        <v>100</v>
      </c>
      <c r="C94" t="s">
        <v>96</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94</v>
      </c>
      <c r="B95" t="s">
        <v>100</v>
      </c>
      <c r="C95" t="s">
        <v>96</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94</v>
      </c>
      <c r="B96" t="s">
        <v>100</v>
      </c>
      <c r="C96" t="s">
        <v>96</v>
      </c>
      <c r="D96" t="s">
        <v>89</v>
      </c>
      <c r="E96" t="s">
        <v>44</v>
      </c>
      <c r="F96" s="6">
        <v>0.6875</v>
      </c>
      <c r="G96">
        <v>1</v>
      </c>
      <c r="H96" s="6">
        <f>FLOOR(tblPivotData[[#This Row],[Time]],Summary!$B$6/1440)</f>
        <v>0.6875</v>
      </c>
      <c r="I96" s="49">
        <f>INDEX(PeakCalc!$L$10:$L$303,MATCH(tblPivotData[[#This Row],[Time]],PeakCalc!$G$10:$G$303,0))</f>
        <v>0</v>
      </c>
    </row>
    <row r="97" spans="1:9" x14ac:dyDescent="0.25">
      <c r="A97" t="s">
        <v>94</v>
      </c>
      <c r="B97" t="s">
        <v>100</v>
      </c>
      <c r="C97" t="s">
        <v>96</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94</v>
      </c>
      <c r="B98" t="s">
        <v>100</v>
      </c>
      <c r="C98" t="s">
        <v>96</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94</v>
      </c>
      <c r="B99" t="s">
        <v>100</v>
      </c>
      <c r="C99" t="s">
        <v>96</v>
      </c>
      <c r="D99" t="s">
        <v>89</v>
      </c>
      <c r="E99" t="s">
        <v>44</v>
      </c>
      <c r="F99" s="6">
        <v>0.71875</v>
      </c>
      <c r="G99">
        <v>0</v>
      </c>
      <c r="H99" s="6">
        <f>FLOOR(tblPivotData[[#This Row],[Time]],Summary!$B$6/1440)</f>
        <v>0.71875</v>
      </c>
      <c r="I99" s="49">
        <f>INDEX(PeakCalc!$L$10:$L$303,MATCH(tblPivotData[[#This Row],[Time]],PeakCalc!$G$10:$G$303,0))</f>
        <v>1</v>
      </c>
    </row>
    <row r="100" spans="1:9" x14ac:dyDescent="0.25">
      <c r="A100" t="s">
        <v>94</v>
      </c>
      <c r="B100" t="s">
        <v>100</v>
      </c>
      <c r="C100" t="s">
        <v>96</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94</v>
      </c>
      <c r="B101" t="s">
        <v>100</v>
      </c>
      <c r="C101" t="s">
        <v>96</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94</v>
      </c>
      <c r="B102" t="s">
        <v>100</v>
      </c>
      <c r="C102" t="s">
        <v>96</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94</v>
      </c>
      <c r="B103" t="s">
        <v>100</v>
      </c>
      <c r="C103" t="s">
        <v>96</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94</v>
      </c>
      <c r="B104" t="s">
        <v>100</v>
      </c>
      <c r="C104" t="s">
        <v>96</v>
      </c>
      <c r="D104" t="s">
        <v>90</v>
      </c>
      <c r="E104" t="s">
        <v>43</v>
      </c>
      <c r="F104" s="6">
        <v>0.3125</v>
      </c>
      <c r="G104">
        <v>1</v>
      </c>
      <c r="H104" s="6">
        <f>FLOOR(tblPivotData[[#This Row],[Time]],Summary!$B$6/1440)</f>
        <v>0.3125</v>
      </c>
      <c r="I104" s="49">
        <f>INDEX(PeakCalc!$L$10:$L$303,MATCH(tblPivotData[[#This Row],[Time]],PeakCalc!$G$10:$G$303,0))</f>
        <v>0</v>
      </c>
    </row>
    <row r="105" spans="1:9" x14ac:dyDescent="0.25">
      <c r="A105" t="s">
        <v>94</v>
      </c>
      <c r="B105" t="s">
        <v>100</v>
      </c>
      <c r="C105" t="s">
        <v>96</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94</v>
      </c>
      <c r="B106" t="s">
        <v>100</v>
      </c>
      <c r="C106" t="s">
        <v>96</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94</v>
      </c>
      <c r="B107" t="s">
        <v>100</v>
      </c>
      <c r="C107" t="s">
        <v>96</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94</v>
      </c>
      <c r="B108" t="s">
        <v>100</v>
      </c>
      <c r="C108" t="s">
        <v>96</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94</v>
      </c>
      <c r="B109" t="s">
        <v>100</v>
      </c>
      <c r="C109" t="s">
        <v>96</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94</v>
      </c>
      <c r="B110" t="s">
        <v>100</v>
      </c>
      <c r="C110" t="s">
        <v>96</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94</v>
      </c>
      <c r="B111" t="s">
        <v>100</v>
      </c>
      <c r="C111" t="s">
        <v>96</v>
      </c>
      <c r="D111" t="s">
        <v>90</v>
      </c>
      <c r="E111" t="s">
        <v>91</v>
      </c>
      <c r="F111" s="6">
        <v>0.55208333333333337</v>
      </c>
      <c r="G111">
        <v>2</v>
      </c>
      <c r="H111" s="6">
        <f>FLOOR(tblPivotData[[#This Row],[Time]],Summary!$B$6/1440)</f>
        <v>0.55208333333333326</v>
      </c>
      <c r="I111" s="49">
        <f>INDEX(PeakCalc!$L$10:$L$303,MATCH(tblPivotData[[#This Row],[Time]],PeakCalc!$G$10:$G$303,0))</f>
        <v>1</v>
      </c>
    </row>
    <row r="112" spans="1:9" x14ac:dyDescent="0.25">
      <c r="A112" t="s">
        <v>94</v>
      </c>
      <c r="B112" t="s">
        <v>100</v>
      </c>
      <c r="C112" t="s">
        <v>96</v>
      </c>
      <c r="D112" t="s">
        <v>90</v>
      </c>
      <c r="E112" t="s">
        <v>91</v>
      </c>
      <c r="F112" s="6">
        <v>0.5625</v>
      </c>
      <c r="G112">
        <v>0</v>
      </c>
      <c r="H112" s="6">
        <f>FLOOR(tblPivotData[[#This Row],[Time]],Summary!$B$6/1440)</f>
        <v>0.5625</v>
      </c>
      <c r="I112" s="49">
        <f>INDEX(PeakCalc!$L$10:$L$303,MATCH(tblPivotData[[#This Row],[Time]],PeakCalc!$G$10:$G$303,0))</f>
        <v>1</v>
      </c>
    </row>
    <row r="113" spans="1:9" x14ac:dyDescent="0.25">
      <c r="A113" t="s">
        <v>94</v>
      </c>
      <c r="B113" t="s">
        <v>100</v>
      </c>
      <c r="C113" t="s">
        <v>96</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94</v>
      </c>
      <c r="B114" t="s">
        <v>100</v>
      </c>
      <c r="C114" t="s">
        <v>96</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94</v>
      </c>
      <c r="B115" t="s">
        <v>100</v>
      </c>
      <c r="C115" t="s">
        <v>96</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94</v>
      </c>
      <c r="B116" t="s">
        <v>100</v>
      </c>
      <c r="C116" t="s">
        <v>96</v>
      </c>
      <c r="D116" t="s">
        <v>90</v>
      </c>
      <c r="E116" t="s">
        <v>44</v>
      </c>
      <c r="F116" s="6">
        <v>0.6875</v>
      </c>
      <c r="G116">
        <v>1</v>
      </c>
      <c r="H116" s="6">
        <f>FLOOR(tblPivotData[[#This Row],[Time]],Summary!$B$6/1440)</f>
        <v>0.6875</v>
      </c>
      <c r="I116" s="49">
        <f>INDEX(PeakCalc!$L$10:$L$303,MATCH(tblPivotData[[#This Row],[Time]],PeakCalc!$G$10:$G$303,0))</f>
        <v>0</v>
      </c>
    </row>
    <row r="117" spans="1:9" x14ac:dyDescent="0.25">
      <c r="A117" t="s">
        <v>94</v>
      </c>
      <c r="B117" t="s">
        <v>100</v>
      </c>
      <c r="C117" t="s">
        <v>96</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94</v>
      </c>
      <c r="B118" t="s">
        <v>100</v>
      </c>
      <c r="C118" t="s">
        <v>96</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94</v>
      </c>
      <c r="B119" t="s">
        <v>100</v>
      </c>
      <c r="C119" t="s">
        <v>96</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94</v>
      </c>
      <c r="B120" t="s">
        <v>100</v>
      </c>
      <c r="C120" t="s">
        <v>96</v>
      </c>
      <c r="D120" t="s">
        <v>90</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94</v>
      </c>
      <c r="B121" t="s">
        <v>100</v>
      </c>
      <c r="C121" t="s">
        <v>96</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101</v>
      </c>
      <c r="C122" t="s">
        <v>97</v>
      </c>
      <c r="D122" t="s">
        <v>79</v>
      </c>
      <c r="E122" t="s">
        <v>43</v>
      </c>
      <c r="F122" s="6">
        <v>0.29166666666666669</v>
      </c>
      <c r="G122">
        <v>54</v>
      </c>
      <c r="H122" s="6">
        <f>FLOOR(tblPivotData[[#This Row],[Time]],Summary!$B$6/1440)</f>
        <v>0.29166666666666663</v>
      </c>
      <c r="I122" s="49">
        <f>INDEX(PeakCalc!$L$10:$L$303,MATCH(tblPivotData[[#This Row],[Time]],PeakCalc!$G$10:$G$303,0))</f>
        <v>0</v>
      </c>
    </row>
    <row r="123" spans="1:9" x14ac:dyDescent="0.25">
      <c r="A123" t="s">
        <v>94</v>
      </c>
      <c r="B123" t="s">
        <v>101</v>
      </c>
      <c r="C123" t="s">
        <v>97</v>
      </c>
      <c r="D123" t="s">
        <v>79</v>
      </c>
      <c r="E123" t="s">
        <v>43</v>
      </c>
      <c r="F123" s="6">
        <v>0.30208333333333331</v>
      </c>
      <c r="G123">
        <v>49</v>
      </c>
      <c r="H123" s="6">
        <f>FLOOR(tblPivotData[[#This Row],[Time]],Summary!$B$6/1440)</f>
        <v>0.30208333333333331</v>
      </c>
      <c r="I123" s="49">
        <f>INDEX(PeakCalc!$L$10:$L$303,MATCH(tblPivotData[[#This Row],[Time]],PeakCalc!$G$10:$G$303,0))</f>
        <v>0</v>
      </c>
    </row>
    <row r="124" spans="1:9" x14ac:dyDescent="0.25">
      <c r="A124" t="s">
        <v>94</v>
      </c>
      <c r="B124" t="s">
        <v>101</v>
      </c>
      <c r="C124" t="s">
        <v>97</v>
      </c>
      <c r="D124" t="s">
        <v>79</v>
      </c>
      <c r="E124" t="s">
        <v>43</v>
      </c>
      <c r="F124" s="6">
        <v>0.3125</v>
      </c>
      <c r="G124">
        <v>71</v>
      </c>
      <c r="H124" s="6">
        <f>FLOOR(tblPivotData[[#This Row],[Time]],Summary!$B$6/1440)</f>
        <v>0.3125</v>
      </c>
      <c r="I124" s="49">
        <f>INDEX(PeakCalc!$L$10:$L$303,MATCH(tblPivotData[[#This Row],[Time]],PeakCalc!$G$10:$G$303,0))</f>
        <v>0</v>
      </c>
    </row>
    <row r="125" spans="1:9" x14ac:dyDescent="0.25">
      <c r="A125" t="s">
        <v>94</v>
      </c>
      <c r="B125" t="s">
        <v>101</v>
      </c>
      <c r="C125" t="s">
        <v>97</v>
      </c>
      <c r="D125" t="s">
        <v>79</v>
      </c>
      <c r="E125" t="s">
        <v>43</v>
      </c>
      <c r="F125" s="6">
        <v>0.32291666666666669</v>
      </c>
      <c r="G125">
        <v>58</v>
      </c>
      <c r="H125" s="6">
        <f>FLOOR(tblPivotData[[#This Row],[Time]],Summary!$B$6/1440)</f>
        <v>0.32291666666666663</v>
      </c>
      <c r="I125" s="49">
        <f>INDEX(PeakCalc!$L$10:$L$303,MATCH(tblPivotData[[#This Row],[Time]],PeakCalc!$G$10:$G$303,0))</f>
        <v>0</v>
      </c>
    </row>
    <row r="126" spans="1:9" x14ac:dyDescent="0.25">
      <c r="A126" t="s">
        <v>94</v>
      </c>
      <c r="B126" t="s">
        <v>101</v>
      </c>
      <c r="C126" t="s">
        <v>97</v>
      </c>
      <c r="D126" t="s">
        <v>79</v>
      </c>
      <c r="E126" t="s">
        <v>43</v>
      </c>
      <c r="F126" s="6">
        <v>0.33333333333333331</v>
      </c>
      <c r="G126">
        <v>62</v>
      </c>
      <c r="H126" s="6">
        <f>FLOOR(tblPivotData[[#This Row],[Time]],Summary!$B$6/1440)</f>
        <v>0.33333333333333331</v>
      </c>
      <c r="I126" s="49">
        <f>INDEX(PeakCalc!$L$10:$L$303,MATCH(tblPivotData[[#This Row],[Time]],PeakCalc!$G$10:$G$303,0))</f>
        <v>1</v>
      </c>
    </row>
    <row r="127" spans="1:9" x14ac:dyDescent="0.25">
      <c r="A127" t="s">
        <v>94</v>
      </c>
      <c r="B127" t="s">
        <v>101</v>
      </c>
      <c r="C127" t="s">
        <v>97</v>
      </c>
      <c r="D127" t="s">
        <v>79</v>
      </c>
      <c r="E127" t="s">
        <v>43</v>
      </c>
      <c r="F127" s="6">
        <v>0.34375</v>
      </c>
      <c r="G127">
        <v>80</v>
      </c>
      <c r="H127" s="6">
        <f>FLOOR(tblPivotData[[#This Row],[Time]],Summary!$B$6/1440)</f>
        <v>0.34375</v>
      </c>
      <c r="I127" s="49">
        <f>INDEX(PeakCalc!$L$10:$L$303,MATCH(tblPivotData[[#This Row],[Time]],PeakCalc!$G$10:$G$303,0))</f>
        <v>1</v>
      </c>
    </row>
    <row r="128" spans="1:9" x14ac:dyDescent="0.25">
      <c r="A128" t="s">
        <v>94</v>
      </c>
      <c r="B128" t="s">
        <v>101</v>
      </c>
      <c r="C128" t="s">
        <v>97</v>
      </c>
      <c r="D128" t="s">
        <v>79</v>
      </c>
      <c r="E128" t="s">
        <v>43</v>
      </c>
      <c r="F128" s="6">
        <v>0.35416666666666669</v>
      </c>
      <c r="G128">
        <v>93</v>
      </c>
      <c r="H128" s="6">
        <f>FLOOR(tblPivotData[[#This Row],[Time]],Summary!$B$6/1440)</f>
        <v>0.35416666666666663</v>
      </c>
      <c r="I128" s="49">
        <f>INDEX(PeakCalc!$L$10:$L$303,MATCH(tblPivotData[[#This Row],[Time]],PeakCalc!$G$10:$G$303,0))</f>
        <v>1</v>
      </c>
    </row>
    <row r="129" spans="1:9" x14ac:dyDescent="0.25">
      <c r="A129" t="s">
        <v>94</v>
      </c>
      <c r="B129" t="s">
        <v>101</v>
      </c>
      <c r="C129" t="s">
        <v>97</v>
      </c>
      <c r="D129" t="s">
        <v>79</v>
      </c>
      <c r="E129" t="s">
        <v>43</v>
      </c>
      <c r="F129" s="6">
        <v>0.36458333333333331</v>
      </c>
      <c r="G129">
        <v>64</v>
      </c>
      <c r="H129" s="6">
        <f>FLOOR(tblPivotData[[#This Row],[Time]],Summary!$B$6/1440)</f>
        <v>0.36458333333333331</v>
      </c>
      <c r="I129" s="49">
        <f>INDEX(PeakCalc!$L$10:$L$303,MATCH(tblPivotData[[#This Row],[Time]],PeakCalc!$G$10:$G$303,0))</f>
        <v>1</v>
      </c>
    </row>
    <row r="130" spans="1:9" x14ac:dyDescent="0.25">
      <c r="A130" t="s">
        <v>94</v>
      </c>
      <c r="B130" t="s">
        <v>101</v>
      </c>
      <c r="C130" t="s">
        <v>97</v>
      </c>
      <c r="D130" t="s">
        <v>79</v>
      </c>
      <c r="E130" t="s">
        <v>91</v>
      </c>
      <c r="F130" s="6">
        <v>0.54166666666666663</v>
      </c>
      <c r="G130">
        <v>47</v>
      </c>
      <c r="H130" s="6">
        <f>FLOOR(tblPivotData[[#This Row],[Time]],Summary!$B$6/1440)</f>
        <v>0.54166666666666663</v>
      </c>
      <c r="I130" s="49">
        <f>INDEX(PeakCalc!$L$10:$L$303,MATCH(tblPivotData[[#This Row],[Time]],PeakCalc!$G$10:$G$303,0))</f>
        <v>1</v>
      </c>
    </row>
    <row r="131" spans="1:9" x14ac:dyDescent="0.25">
      <c r="A131" t="s">
        <v>94</v>
      </c>
      <c r="B131" t="s">
        <v>101</v>
      </c>
      <c r="C131" t="s">
        <v>97</v>
      </c>
      <c r="D131" t="s">
        <v>79</v>
      </c>
      <c r="E131" t="s">
        <v>91</v>
      </c>
      <c r="F131" s="6">
        <v>0.55208333333333337</v>
      </c>
      <c r="G131">
        <v>53</v>
      </c>
      <c r="H131" s="6">
        <f>FLOOR(tblPivotData[[#This Row],[Time]],Summary!$B$6/1440)</f>
        <v>0.55208333333333326</v>
      </c>
      <c r="I131" s="49">
        <f>INDEX(PeakCalc!$L$10:$L$303,MATCH(tblPivotData[[#This Row],[Time]],PeakCalc!$G$10:$G$303,0))</f>
        <v>1</v>
      </c>
    </row>
    <row r="132" spans="1:9" x14ac:dyDescent="0.25">
      <c r="A132" t="s">
        <v>94</v>
      </c>
      <c r="B132" t="s">
        <v>101</v>
      </c>
      <c r="C132" t="s">
        <v>97</v>
      </c>
      <c r="D132" t="s">
        <v>79</v>
      </c>
      <c r="E132" t="s">
        <v>91</v>
      </c>
      <c r="F132" s="6">
        <v>0.5625</v>
      </c>
      <c r="G132">
        <v>51</v>
      </c>
      <c r="H132" s="6">
        <f>FLOOR(tblPivotData[[#This Row],[Time]],Summary!$B$6/1440)</f>
        <v>0.5625</v>
      </c>
      <c r="I132" s="49">
        <f>INDEX(PeakCalc!$L$10:$L$303,MATCH(tblPivotData[[#This Row],[Time]],PeakCalc!$G$10:$G$303,0))</f>
        <v>1</v>
      </c>
    </row>
    <row r="133" spans="1:9" x14ac:dyDescent="0.25">
      <c r="A133" t="s">
        <v>94</v>
      </c>
      <c r="B133" t="s">
        <v>101</v>
      </c>
      <c r="C133" t="s">
        <v>97</v>
      </c>
      <c r="D133" t="s">
        <v>79</v>
      </c>
      <c r="E133" t="s">
        <v>91</v>
      </c>
      <c r="F133" s="6">
        <v>0.57291666666666663</v>
      </c>
      <c r="G133">
        <v>36</v>
      </c>
      <c r="H133" s="6">
        <f>FLOOR(tblPivotData[[#This Row],[Time]],Summary!$B$6/1440)</f>
        <v>0.57291666666666663</v>
      </c>
      <c r="I133" s="49">
        <f>INDEX(PeakCalc!$L$10:$L$303,MATCH(tblPivotData[[#This Row],[Time]],PeakCalc!$G$10:$G$303,0))</f>
        <v>1</v>
      </c>
    </row>
    <row r="134" spans="1:9" x14ac:dyDescent="0.25">
      <c r="A134" t="s">
        <v>94</v>
      </c>
      <c r="B134" t="s">
        <v>101</v>
      </c>
      <c r="C134" t="s">
        <v>97</v>
      </c>
      <c r="D134" t="s">
        <v>79</v>
      </c>
      <c r="E134" t="s">
        <v>44</v>
      </c>
      <c r="F134" s="6">
        <v>0.66666666666666663</v>
      </c>
      <c r="G134">
        <v>62</v>
      </c>
      <c r="H134" s="6">
        <f>FLOOR(tblPivotData[[#This Row],[Time]],Summary!$B$6/1440)</f>
        <v>0.66666666666666663</v>
      </c>
      <c r="I134" s="49">
        <f>INDEX(PeakCalc!$L$10:$L$303,MATCH(tblPivotData[[#This Row],[Time]],PeakCalc!$G$10:$G$303,0))</f>
        <v>0</v>
      </c>
    </row>
    <row r="135" spans="1:9" x14ac:dyDescent="0.25">
      <c r="A135" t="s">
        <v>94</v>
      </c>
      <c r="B135" t="s">
        <v>101</v>
      </c>
      <c r="C135" t="s">
        <v>97</v>
      </c>
      <c r="D135" t="s">
        <v>79</v>
      </c>
      <c r="E135" t="s">
        <v>44</v>
      </c>
      <c r="F135" s="6">
        <v>0.67708333333333337</v>
      </c>
      <c r="G135">
        <v>47</v>
      </c>
      <c r="H135" s="6">
        <f>FLOOR(tblPivotData[[#This Row],[Time]],Summary!$B$6/1440)</f>
        <v>0.67708333333333326</v>
      </c>
      <c r="I135" s="49">
        <f>INDEX(PeakCalc!$L$10:$L$303,MATCH(tblPivotData[[#This Row],[Time]],PeakCalc!$G$10:$G$303,0))</f>
        <v>0</v>
      </c>
    </row>
    <row r="136" spans="1:9" x14ac:dyDescent="0.25">
      <c r="A136" t="s">
        <v>94</v>
      </c>
      <c r="B136" t="s">
        <v>101</v>
      </c>
      <c r="C136" t="s">
        <v>97</v>
      </c>
      <c r="D136" t="s">
        <v>79</v>
      </c>
      <c r="E136" t="s">
        <v>44</v>
      </c>
      <c r="F136" s="6">
        <v>0.6875</v>
      </c>
      <c r="G136">
        <v>68</v>
      </c>
      <c r="H136" s="6">
        <f>FLOOR(tblPivotData[[#This Row],[Time]],Summary!$B$6/1440)</f>
        <v>0.6875</v>
      </c>
      <c r="I136" s="49">
        <f>INDEX(PeakCalc!$L$10:$L$303,MATCH(tblPivotData[[#This Row],[Time]],PeakCalc!$G$10:$G$303,0))</f>
        <v>0</v>
      </c>
    </row>
    <row r="137" spans="1:9" x14ac:dyDescent="0.25">
      <c r="A137" t="s">
        <v>94</v>
      </c>
      <c r="B137" t="s">
        <v>101</v>
      </c>
      <c r="C137" t="s">
        <v>97</v>
      </c>
      <c r="D137" t="s">
        <v>79</v>
      </c>
      <c r="E137" t="s">
        <v>44</v>
      </c>
      <c r="F137" s="6">
        <v>0.69791666666666663</v>
      </c>
      <c r="G137">
        <v>52</v>
      </c>
      <c r="H137" s="6">
        <f>FLOOR(tblPivotData[[#This Row],[Time]],Summary!$B$6/1440)</f>
        <v>0.69791666666666663</v>
      </c>
      <c r="I137" s="49">
        <f>INDEX(PeakCalc!$L$10:$L$303,MATCH(tblPivotData[[#This Row],[Time]],PeakCalc!$G$10:$G$303,0))</f>
        <v>1</v>
      </c>
    </row>
    <row r="138" spans="1:9" x14ac:dyDescent="0.25">
      <c r="A138" t="s">
        <v>94</v>
      </c>
      <c r="B138" t="s">
        <v>101</v>
      </c>
      <c r="C138" t="s">
        <v>97</v>
      </c>
      <c r="D138" t="s">
        <v>79</v>
      </c>
      <c r="E138" t="s">
        <v>44</v>
      </c>
      <c r="F138" s="6">
        <v>0.70833333333333337</v>
      </c>
      <c r="G138">
        <v>68</v>
      </c>
      <c r="H138" s="6">
        <f>FLOOR(tblPivotData[[#This Row],[Time]],Summary!$B$6/1440)</f>
        <v>0.70833333333333326</v>
      </c>
      <c r="I138" s="49">
        <f>INDEX(PeakCalc!$L$10:$L$303,MATCH(tblPivotData[[#This Row],[Time]],PeakCalc!$G$10:$G$303,0))</f>
        <v>1</v>
      </c>
    </row>
    <row r="139" spans="1:9" x14ac:dyDescent="0.25">
      <c r="A139" t="s">
        <v>94</v>
      </c>
      <c r="B139" t="s">
        <v>101</v>
      </c>
      <c r="C139" t="s">
        <v>97</v>
      </c>
      <c r="D139" t="s">
        <v>79</v>
      </c>
      <c r="E139" t="s">
        <v>44</v>
      </c>
      <c r="F139" s="6">
        <v>0.71875</v>
      </c>
      <c r="G139">
        <v>58</v>
      </c>
      <c r="H139" s="6">
        <f>FLOOR(tblPivotData[[#This Row],[Time]],Summary!$B$6/1440)</f>
        <v>0.71875</v>
      </c>
      <c r="I139" s="49">
        <f>INDEX(PeakCalc!$L$10:$L$303,MATCH(tblPivotData[[#This Row],[Time]],PeakCalc!$G$10:$G$303,0))</f>
        <v>1</v>
      </c>
    </row>
    <row r="140" spans="1:9" x14ac:dyDescent="0.25">
      <c r="A140" t="s">
        <v>94</v>
      </c>
      <c r="B140" t="s">
        <v>101</v>
      </c>
      <c r="C140" t="s">
        <v>97</v>
      </c>
      <c r="D140" t="s">
        <v>79</v>
      </c>
      <c r="E140" t="s">
        <v>44</v>
      </c>
      <c r="F140" s="6">
        <v>0.72916666666666663</v>
      </c>
      <c r="G140">
        <v>57</v>
      </c>
      <c r="H140" s="6">
        <f>FLOOR(tblPivotData[[#This Row],[Time]],Summary!$B$6/1440)</f>
        <v>0.72916666666666663</v>
      </c>
      <c r="I140" s="49">
        <f>INDEX(PeakCalc!$L$10:$L$303,MATCH(tblPivotData[[#This Row],[Time]],PeakCalc!$G$10:$G$303,0))</f>
        <v>1</v>
      </c>
    </row>
    <row r="141" spans="1:9" x14ac:dyDescent="0.25">
      <c r="A141" t="s">
        <v>94</v>
      </c>
      <c r="B141" t="s">
        <v>101</v>
      </c>
      <c r="C141" t="s">
        <v>97</v>
      </c>
      <c r="D141" t="s">
        <v>79</v>
      </c>
      <c r="E141" t="s">
        <v>44</v>
      </c>
      <c r="F141" s="6">
        <v>0.73958333333333337</v>
      </c>
      <c r="G141">
        <v>47</v>
      </c>
      <c r="H141" s="6">
        <f>FLOOR(tblPivotData[[#This Row],[Time]],Summary!$B$6/1440)</f>
        <v>0.73958333333333326</v>
      </c>
      <c r="I141" s="49">
        <f>INDEX(PeakCalc!$L$10:$L$303,MATCH(tblPivotData[[#This Row],[Time]],PeakCalc!$G$10:$G$303,0))</f>
        <v>0</v>
      </c>
    </row>
    <row r="142" spans="1:9" x14ac:dyDescent="0.25">
      <c r="A142" t="s">
        <v>94</v>
      </c>
      <c r="B142" t="s">
        <v>101</v>
      </c>
      <c r="C142" t="s">
        <v>97</v>
      </c>
      <c r="D142" t="s">
        <v>89</v>
      </c>
      <c r="E142" t="s">
        <v>43</v>
      </c>
      <c r="F142" s="6">
        <v>0.29166666666666669</v>
      </c>
      <c r="G142">
        <v>3</v>
      </c>
      <c r="H142" s="6">
        <f>FLOOR(tblPivotData[[#This Row],[Time]],Summary!$B$6/1440)</f>
        <v>0.29166666666666663</v>
      </c>
      <c r="I142" s="49">
        <f>INDEX(PeakCalc!$L$10:$L$303,MATCH(tblPivotData[[#This Row],[Time]],PeakCalc!$G$10:$G$303,0))</f>
        <v>0</v>
      </c>
    </row>
    <row r="143" spans="1:9" x14ac:dyDescent="0.25">
      <c r="A143" t="s">
        <v>94</v>
      </c>
      <c r="B143" t="s">
        <v>101</v>
      </c>
      <c r="C143" t="s">
        <v>97</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94</v>
      </c>
      <c r="B144" t="s">
        <v>101</v>
      </c>
      <c r="C144" t="s">
        <v>97</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101</v>
      </c>
      <c r="C145" t="s">
        <v>97</v>
      </c>
      <c r="D145" t="s">
        <v>89</v>
      </c>
      <c r="E145" t="s">
        <v>43</v>
      </c>
      <c r="F145" s="6">
        <v>0.32291666666666669</v>
      </c>
      <c r="G145">
        <v>1</v>
      </c>
      <c r="H145" s="6">
        <f>FLOOR(tblPivotData[[#This Row],[Time]],Summary!$B$6/1440)</f>
        <v>0.32291666666666663</v>
      </c>
      <c r="I145" s="49">
        <f>INDEX(PeakCalc!$L$10:$L$303,MATCH(tblPivotData[[#This Row],[Time]],PeakCalc!$G$10:$G$303,0))</f>
        <v>0</v>
      </c>
    </row>
    <row r="146" spans="1:9" x14ac:dyDescent="0.25">
      <c r="A146" t="s">
        <v>94</v>
      </c>
      <c r="B146" t="s">
        <v>101</v>
      </c>
      <c r="C146" t="s">
        <v>97</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94</v>
      </c>
      <c r="B147" t="s">
        <v>101</v>
      </c>
      <c r="C147" t="s">
        <v>97</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101</v>
      </c>
      <c r="C148" t="s">
        <v>97</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94</v>
      </c>
      <c r="B149" t="s">
        <v>101</v>
      </c>
      <c r="C149" t="s">
        <v>97</v>
      </c>
      <c r="D149" t="s">
        <v>89</v>
      </c>
      <c r="E149" t="s">
        <v>43</v>
      </c>
      <c r="F149" s="6">
        <v>0.36458333333333331</v>
      </c>
      <c r="G149">
        <v>3</v>
      </c>
      <c r="H149" s="6">
        <f>FLOOR(tblPivotData[[#This Row],[Time]],Summary!$B$6/1440)</f>
        <v>0.36458333333333331</v>
      </c>
      <c r="I149" s="49">
        <f>INDEX(PeakCalc!$L$10:$L$303,MATCH(tblPivotData[[#This Row],[Time]],PeakCalc!$G$10:$G$303,0))</f>
        <v>1</v>
      </c>
    </row>
    <row r="150" spans="1:9" x14ac:dyDescent="0.25">
      <c r="A150" t="s">
        <v>94</v>
      </c>
      <c r="B150" t="s">
        <v>101</v>
      </c>
      <c r="C150" t="s">
        <v>97</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94</v>
      </c>
      <c r="B151" t="s">
        <v>101</v>
      </c>
      <c r="C151" t="s">
        <v>97</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101</v>
      </c>
      <c r="C152" t="s">
        <v>97</v>
      </c>
      <c r="D152" t="s">
        <v>89</v>
      </c>
      <c r="E152" t="s">
        <v>91</v>
      </c>
      <c r="F152" s="6">
        <v>0.5625</v>
      </c>
      <c r="G152">
        <v>3</v>
      </c>
      <c r="H152" s="6">
        <f>FLOOR(tblPivotData[[#This Row],[Time]],Summary!$B$6/1440)</f>
        <v>0.5625</v>
      </c>
      <c r="I152" s="49">
        <f>INDEX(PeakCalc!$L$10:$L$303,MATCH(tblPivotData[[#This Row],[Time]],PeakCalc!$G$10:$G$303,0))</f>
        <v>1</v>
      </c>
    </row>
    <row r="153" spans="1:9" x14ac:dyDescent="0.25">
      <c r="A153" t="s">
        <v>94</v>
      </c>
      <c r="B153" t="s">
        <v>101</v>
      </c>
      <c r="C153" t="s">
        <v>97</v>
      </c>
      <c r="D153" t="s">
        <v>89</v>
      </c>
      <c r="E153" t="s">
        <v>91</v>
      </c>
      <c r="F153" s="6">
        <v>0.57291666666666663</v>
      </c>
      <c r="G153">
        <v>2</v>
      </c>
      <c r="H153" s="6">
        <f>FLOOR(tblPivotData[[#This Row],[Time]],Summary!$B$6/1440)</f>
        <v>0.57291666666666663</v>
      </c>
      <c r="I153" s="49">
        <f>INDEX(PeakCalc!$L$10:$L$303,MATCH(tblPivotData[[#This Row],[Time]],PeakCalc!$G$10:$G$303,0))</f>
        <v>1</v>
      </c>
    </row>
    <row r="154" spans="1:9" x14ac:dyDescent="0.25">
      <c r="A154" t="s">
        <v>94</v>
      </c>
      <c r="B154" t="s">
        <v>101</v>
      </c>
      <c r="C154" t="s">
        <v>97</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101</v>
      </c>
      <c r="C155" t="s">
        <v>97</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94</v>
      </c>
      <c r="B156" t="s">
        <v>101</v>
      </c>
      <c r="C156" t="s">
        <v>97</v>
      </c>
      <c r="D156" t="s">
        <v>89</v>
      </c>
      <c r="E156" t="s">
        <v>44</v>
      </c>
      <c r="F156" s="6">
        <v>0.6875</v>
      </c>
      <c r="G156">
        <v>1</v>
      </c>
      <c r="H156" s="6">
        <f>FLOOR(tblPivotData[[#This Row],[Time]],Summary!$B$6/1440)</f>
        <v>0.6875</v>
      </c>
      <c r="I156" s="49">
        <f>INDEX(PeakCalc!$L$10:$L$303,MATCH(tblPivotData[[#This Row],[Time]],PeakCalc!$G$10:$G$303,0))</f>
        <v>0</v>
      </c>
    </row>
    <row r="157" spans="1:9" x14ac:dyDescent="0.25">
      <c r="A157" t="s">
        <v>94</v>
      </c>
      <c r="B157" t="s">
        <v>101</v>
      </c>
      <c r="C157" t="s">
        <v>97</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94</v>
      </c>
      <c r="B158" t="s">
        <v>101</v>
      </c>
      <c r="C158" t="s">
        <v>97</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101</v>
      </c>
      <c r="C159" t="s">
        <v>97</v>
      </c>
      <c r="D159" t="s">
        <v>89</v>
      </c>
      <c r="E159" t="s">
        <v>44</v>
      </c>
      <c r="F159" s="6">
        <v>0.71875</v>
      </c>
      <c r="G159">
        <v>1</v>
      </c>
      <c r="H159" s="6">
        <f>FLOOR(tblPivotData[[#This Row],[Time]],Summary!$B$6/1440)</f>
        <v>0.71875</v>
      </c>
      <c r="I159" s="49">
        <f>INDEX(PeakCalc!$L$10:$L$303,MATCH(tblPivotData[[#This Row],[Time]],PeakCalc!$G$10:$G$303,0))</f>
        <v>1</v>
      </c>
    </row>
    <row r="160" spans="1:9" x14ac:dyDescent="0.25">
      <c r="A160" t="s">
        <v>94</v>
      </c>
      <c r="B160" t="s">
        <v>101</v>
      </c>
      <c r="C160" t="s">
        <v>97</v>
      </c>
      <c r="D160" t="s">
        <v>89</v>
      </c>
      <c r="E160" t="s">
        <v>44</v>
      </c>
      <c r="F160" s="6">
        <v>0.72916666666666663</v>
      </c>
      <c r="G160">
        <v>1</v>
      </c>
      <c r="H160" s="6">
        <f>FLOOR(tblPivotData[[#This Row],[Time]],Summary!$B$6/1440)</f>
        <v>0.72916666666666663</v>
      </c>
      <c r="I160" s="49">
        <f>INDEX(PeakCalc!$L$10:$L$303,MATCH(tblPivotData[[#This Row],[Time]],PeakCalc!$G$10:$G$303,0))</f>
        <v>1</v>
      </c>
    </row>
    <row r="161" spans="1:9" x14ac:dyDescent="0.25">
      <c r="A161" t="s">
        <v>94</v>
      </c>
      <c r="B161" t="s">
        <v>101</v>
      </c>
      <c r="C161" t="s">
        <v>97</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101</v>
      </c>
      <c r="C162" t="s">
        <v>97</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101</v>
      </c>
      <c r="C163" t="s">
        <v>97</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101</v>
      </c>
      <c r="C164" t="s">
        <v>97</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101</v>
      </c>
      <c r="C165" t="s">
        <v>97</v>
      </c>
      <c r="D165" t="s">
        <v>90</v>
      </c>
      <c r="E165" t="s">
        <v>43</v>
      </c>
      <c r="F165" s="6">
        <v>0.32291666666666669</v>
      </c>
      <c r="G165">
        <v>1</v>
      </c>
      <c r="H165" s="6">
        <f>FLOOR(tblPivotData[[#This Row],[Time]],Summary!$B$6/1440)</f>
        <v>0.32291666666666663</v>
      </c>
      <c r="I165" s="49">
        <f>INDEX(PeakCalc!$L$10:$L$303,MATCH(tblPivotData[[#This Row],[Time]],PeakCalc!$G$10:$G$303,0))</f>
        <v>0</v>
      </c>
    </row>
    <row r="166" spans="1:9" x14ac:dyDescent="0.25">
      <c r="A166" t="s">
        <v>94</v>
      </c>
      <c r="B166" t="s">
        <v>101</v>
      </c>
      <c r="C166" t="s">
        <v>97</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101</v>
      </c>
      <c r="C167" t="s">
        <v>97</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101</v>
      </c>
      <c r="C168" t="s">
        <v>97</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101</v>
      </c>
      <c r="C169" t="s">
        <v>97</v>
      </c>
      <c r="D169" t="s">
        <v>90</v>
      </c>
      <c r="E169" t="s">
        <v>43</v>
      </c>
      <c r="F169" s="6">
        <v>0.36458333333333331</v>
      </c>
      <c r="G169">
        <v>1</v>
      </c>
      <c r="H169" s="6">
        <f>FLOOR(tblPivotData[[#This Row],[Time]],Summary!$B$6/1440)</f>
        <v>0.36458333333333331</v>
      </c>
      <c r="I169" s="49">
        <f>INDEX(PeakCalc!$L$10:$L$303,MATCH(tblPivotData[[#This Row],[Time]],PeakCalc!$G$10:$G$303,0))</f>
        <v>1</v>
      </c>
    </row>
    <row r="170" spans="1:9" x14ac:dyDescent="0.25">
      <c r="A170" t="s">
        <v>94</v>
      </c>
      <c r="B170" t="s">
        <v>101</v>
      </c>
      <c r="C170" t="s">
        <v>97</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101</v>
      </c>
      <c r="C171" t="s">
        <v>97</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101</v>
      </c>
      <c r="C172" t="s">
        <v>97</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101</v>
      </c>
      <c r="C173" t="s">
        <v>97</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101</v>
      </c>
      <c r="C174" t="s">
        <v>97</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101</v>
      </c>
      <c r="C175" t="s">
        <v>97</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101</v>
      </c>
      <c r="C176" t="s">
        <v>97</v>
      </c>
      <c r="D176" t="s">
        <v>90</v>
      </c>
      <c r="E176" t="s">
        <v>44</v>
      </c>
      <c r="F176" s="6">
        <v>0.6875</v>
      </c>
      <c r="G176">
        <v>0</v>
      </c>
      <c r="H176" s="6">
        <f>FLOOR(tblPivotData[[#This Row],[Time]],Summary!$B$6/1440)</f>
        <v>0.6875</v>
      </c>
      <c r="I176" s="49">
        <f>INDEX(PeakCalc!$L$10:$L$303,MATCH(tblPivotData[[#This Row],[Time]],PeakCalc!$G$10:$G$303,0))</f>
        <v>0</v>
      </c>
    </row>
    <row r="177" spans="1:9" x14ac:dyDescent="0.25">
      <c r="A177" t="s">
        <v>94</v>
      </c>
      <c r="B177" t="s">
        <v>101</v>
      </c>
      <c r="C177" t="s">
        <v>97</v>
      </c>
      <c r="D177" t="s">
        <v>90</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94</v>
      </c>
      <c r="B178" t="s">
        <v>101</v>
      </c>
      <c r="C178" t="s">
        <v>97</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101</v>
      </c>
      <c r="C179" t="s">
        <v>97</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101</v>
      </c>
      <c r="C180" t="s">
        <v>97</v>
      </c>
      <c r="D180" t="s">
        <v>90</v>
      </c>
      <c r="E180" t="s">
        <v>44</v>
      </c>
      <c r="F180" s="6">
        <v>0.72916666666666663</v>
      </c>
      <c r="G180">
        <v>3</v>
      </c>
      <c r="H180" s="6">
        <f>FLOOR(tblPivotData[[#This Row],[Time]],Summary!$B$6/1440)</f>
        <v>0.72916666666666663</v>
      </c>
      <c r="I180" s="49">
        <f>INDEX(PeakCalc!$L$10:$L$303,MATCH(tblPivotData[[#This Row],[Time]],PeakCalc!$G$10:$G$303,0))</f>
        <v>1</v>
      </c>
    </row>
    <row r="181" spans="1:9" x14ac:dyDescent="0.25">
      <c r="A181" t="s">
        <v>94</v>
      </c>
      <c r="B181" t="s">
        <v>101</v>
      </c>
      <c r="C181" t="s">
        <v>97</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92</v>
      </c>
      <c r="C182" t="s">
        <v>94</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92</v>
      </c>
      <c r="C183" t="s">
        <v>94</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92</v>
      </c>
      <c r="C184" t="s">
        <v>94</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92</v>
      </c>
      <c r="C185" t="s">
        <v>94</v>
      </c>
      <c r="D185" t="s">
        <v>79</v>
      </c>
      <c r="E185" t="s">
        <v>43</v>
      </c>
      <c r="F185" s="6">
        <v>0.32291666666666669</v>
      </c>
      <c r="G185">
        <v>0</v>
      </c>
      <c r="H185" s="6">
        <f>FLOOR(tblPivotData[[#This Row],[Time]],Summary!$B$6/1440)</f>
        <v>0.32291666666666663</v>
      </c>
      <c r="I185" s="49">
        <f>INDEX(PeakCalc!$L$10:$L$303,MATCH(tblPivotData[[#This Row],[Time]],PeakCalc!$G$10:$G$303,0))</f>
        <v>0</v>
      </c>
    </row>
    <row r="186" spans="1:9" x14ac:dyDescent="0.25">
      <c r="A186" t="s">
        <v>94</v>
      </c>
      <c r="B186" t="s">
        <v>92</v>
      </c>
      <c r="C186" t="s">
        <v>94</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92</v>
      </c>
      <c r="C187" t="s">
        <v>94</v>
      </c>
      <c r="D187" t="s">
        <v>79</v>
      </c>
      <c r="E187" t="s">
        <v>43</v>
      </c>
      <c r="F187" s="6">
        <v>0.34375</v>
      </c>
      <c r="G187">
        <v>1</v>
      </c>
      <c r="H187" s="6">
        <f>FLOOR(tblPivotData[[#This Row],[Time]],Summary!$B$6/1440)</f>
        <v>0.34375</v>
      </c>
      <c r="I187" s="49">
        <f>INDEX(PeakCalc!$L$10:$L$303,MATCH(tblPivotData[[#This Row],[Time]],PeakCalc!$G$10:$G$303,0))</f>
        <v>1</v>
      </c>
    </row>
    <row r="188" spans="1:9" x14ac:dyDescent="0.25">
      <c r="A188" t="s">
        <v>94</v>
      </c>
      <c r="B188" t="s">
        <v>92</v>
      </c>
      <c r="C188" t="s">
        <v>94</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94</v>
      </c>
      <c r="B189" t="s">
        <v>92</v>
      </c>
      <c r="C189" t="s">
        <v>94</v>
      </c>
      <c r="D189" t="s">
        <v>79</v>
      </c>
      <c r="E189" t="s">
        <v>43</v>
      </c>
      <c r="F189" s="6">
        <v>0.36458333333333331</v>
      </c>
      <c r="G189">
        <v>0</v>
      </c>
      <c r="H189" s="6">
        <f>FLOOR(tblPivotData[[#This Row],[Time]],Summary!$B$6/1440)</f>
        <v>0.36458333333333331</v>
      </c>
      <c r="I189" s="49">
        <f>INDEX(PeakCalc!$L$10:$L$303,MATCH(tblPivotData[[#This Row],[Time]],PeakCalc!$G$10:$G$303,0))</f>
        <v>1</v>
      </c>
    </row>
    <row r="190" spans="1:9" x14ac:dyDescent="0.25">
      <c r="A190" t="s">
        <v>94</v>
      </c>
      <c r="B190" t="s">
        <v>92</v>
      </c>
      <c r="C190" t="s">
        <v>94</v>
      </c>
      <c r="D190" t="s">
        <v>79</v>
      </c>
      <c r="E190" t="s">
        <v>91</v>
      </c>
      <c r="F190" s="6">
        <v>0.54166666666666663</v>
      </c>
      <c r="G190">
        <v>0</v>
      </c>
      <c r="H190" s="6">
        <f>FLOOR(tblPivotData[[#This Row],[Time]],Summary!$B$6/1440)</f>
        <v>0.54166666666666663</v>
      </c>
      <c r="I190" s="49">
        <f>INDEX(PeakCalc!$L$10:$L$303,MATCH(tblPivotData[[#This Row],[Time]],PeakCalc!$G$10:$G$303,0))</f>
        <v>1</v>
      </c>
    </row>
    <row r="191" spans="1:9" x14ac:dyDescent="0.25">
      <c r="A191" t="s">
        <v>94</v>
      </c>
      <c r="B191" t="s">
        <v>92</v>
      </c>
      <c r="C191" t="s">
        <v>94</v>
      </c>
      <c r="D191" t="s">
        <v>79</v>
      </c>
      <c r="E191" t="s">
        <v>91</v>
      </c>
      <c r="F191" s="6">
        <v>0.55208333333333337</v>
      </c>
      <c r="G191">
        <v>0</v>
      </c>
      <c r="H191" s="6">
        <f>FLOOR(tblPivotData[[#This Row],[Time]],Summary!$B$6/1440)</f>
        <v>0.55208333333333326</v>
      </c>
      <c r="I191" s="49">
        <f>INDEX(PeakCalc!$L$10:$L$303,MATCH(tblPivotData[[#This Row],[Time]],PeakCalc!$G$10:$G$303,0))</f>
        <v>1</v>
      </c>
    </row>
    <row r="192" spans="1:9" x14ac:dyDescent="0.25">
      <c r="A192" t="s">
        <v>94</v>
      </c>
      <c r="B192" t="s">
        <v>92</v>
      </c>
      <c r="C192" t="s">
        <v>94</v>
      </c>
      <c r="D192" t="s">
        <v>79</v>
      </c>
      <c r="E192" t="s">
        <v>91</v>
      </c>
      <c r="F192" s="6">
        <v>0.5625</v>
      </c>
      <c r="G192">
        <v>0</v>
      </c>
      <c r="H192" s="6">
        <f>FLOOR(tblPivotData[[#This Row],[Time]],Summary!$B$6/1440)</f>
        <v>0.5625</v>
      </c>
      <c r="I192" s="49">
        <f>INDEX(PeakCalc!$L$10:$L$303,MATCH(tblPivotData[[#This Row],[Time]],PeakCalc!$G$10:$G$303,0))</f>
        <v>1</v>
      </c>
    </row>
    <row r="193" spans="1:9" x14ac:dyDescent="0.25">
      <c r="A193" t="s">
        <v>94</v>
      </c>
      <c r="B193" t="s">
        <v>92</v>
      </c>
      <c r="C193" t="s">
        <v>94</v>
      </c>
      <c r="D193" t="s">
        <v>79</v>
      </c>
      <c r="E193" t="s">
        <v>91</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92</v>
      </c>
      <c r="C194" t="s">
        <v>94</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94</v>
      </c>
      <c r="B195" t="s">
        <v>92</v>
      </c>
      <c r="C195" t="s">
        <v>94</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94</v>
      </c>
      <c r="B196" t="s">
        <v>92</v>
      </c>
      <c r="C196" t="s">
        <v>94</v>
      </c>
      <c r="D196" t="s">
        <v>79</v>
      </c>
      <c r="E196" t="s">
        <v>44</v>
      </c>
      <c r="F196" s="6">
        <v>0.6875</v>
      </c>
      <c r="G196">
        <v>0</v>
      </c>
      <c r="H196" s="6">
        <f>FLOOR(tblPivotData[[#This Row],[Time]],Summary!$B$6/1440)</f>
        <v>0.6875</v>
      </c>
      <c r="I196" s="49">
        <f>INDEX(PeakCalc!$L$10:$L$303,MATCH(tblPivotData[[#This Row],[Time]],PeakCalc!$G$10:$G$303,0))</f>
        <v>0</v>
      </c>
    </row>
    <row r="197" spans="1:9" x14ac:dyDescent="0.25">
      <c r="A197" t="s">
        <v>94</v>
      </c>
      <c r="B197" t="s">
        <v>92</v>
      </c>
      <c r="C197" t="s">
        <v>94</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92</v>
      </c>
      <c r="C198" t="s">
        <v>94</v>
      </c>
      <c r="D198" t="s">
        <v>79</v>
      </c>
      <c r="E198" t="s">
        <v>44</v>
      </c>
      <c r="F198" s="6">
        <v>0.70833333333333337</v>
      </c>
      <c r="G198">
        <v>1</v>
      </c>
      <c r="H198" s="6">
        <f>FLOOR(tblPivotData[[#This Row],[Time]],Summary!$B$6/1440)</f>
        <v>0.70833333333333326</v>
      </c>
      <c r="I198" s="49">
        <f>INDEX(PeakCalc!$L$10:$L$303,MATCH(tblPivotData[[#This Row],[Time]],PeakCalc!$G$10:$G$303,0))</f>
        <v>1</v>
      </c>
    </row>
    <row r="199" spans="1:9" x14ac:dyDescent="0.25">
      <c r="A199" t="s">
        <v>94</v>
      </c>
      <c r="B199" t="s">
        <v>92</v>
      </c>
      <c r="C199" t="s">
        <v>94</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94</v>
      </c>
      <c r="B200" t="s">
        <v>92</v>
      </c>
      <c r="C200" t="s">
        <v>94</v>
      </c>
      <c r="D200" t="s">
        <v>79</v>
      </c>
      <c r="E200" t="s">
        <v>44</v>
      </c>
      <c r="F200" s="6">
        <v>0.72916666666666663</v>
      </c>
      <c r="G200">
        <v>2</v>
      </c>
      <c r="H200" s="6">
        <f>FLOOR(tblPivotData[[#This Row],[Time]],Summary!$B$6/1440)</f>
        <v>0.72916666666666663</v>
      </c>
      <c r="I200" s="49">
        <f>INDEX(PeakCalc!$L$10:$L$303,MATCH(tblPivotData[[#This Row],[Time]],PeakCalc!$G$10:$G$303,0))</f>
        <v>1</v>
      </c>
    </row>
    <row r="201" spans="1:9" x14ac:dyDescent="0.25">
      <c r="A201" t="s">
        <v>94</v>
      </c>
      <c r="B201" t="s">
        <v>92</v>
      </c>
      <c r="C201" t="s">
        <v>94</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92</v>
      </c>
      <c r="C202" t="s">
        <v>94</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92</v>
      </c>
      <c r="C203" t="s">
        <v>94</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92</v>
      </c>
      <c r="C204" t="s">
        <v>94</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92</v>
      </c>
      <c r="C205" t="s">
        <v>94</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92</v>
      </c>
      <c r="C206" t="s">
        <v>94</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92</v>
      </c>
      <c r="C207" t="s">
        <v>94</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92</v>
      </c>
      <c r="C208" t="s">
        <v>94</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92</v>
      </c>
      <c r="C209" t="s">
        <v>94</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92</v>
      </c>
      <c r="C210" t="s">
        <v>94</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92</v>
      </c>
      <c r="C211" t="s">
        <v>94</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92</v>
      </c>
      <c r="C212" t="s">
        <v>94</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92</v>
      </c>
      <c r="C213" t="s">
        <v>94</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92</v>
      </c>
      <c r="C214" t="s">
        <v>94</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92</v>
      </c>
      <c r="C215" t="s">
        <v>94</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92</v>
      </c>
      <c r="C216" t="s">
        <v>94</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92</v>
      </c>
      <c r="C217" t="s">
        <v>94</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92</v>
      </c>
      <c r="C218" t="s">
        <v>94</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92</v>
      </c>
      <c r="C219" t="s">
        <v>94</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92</v>
      </c>
      <c r="C220" t="s">
        <v>94</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92</v>
      </c>
      <c r="C221" t="s">
        <v>94</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92</v>
      </c>
      <c r="C222" t="s">
        <v>94</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92</v>
      </c>
      <c r="C223" t="s">
        <v>94</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92</v>
      </c>
      <c r="C224" t="s">
        <v>94</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92</v>
      </c>
      <c r="C225" t="s">
        <v>94</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92</v>
      </c>
      <c r="C226" t="s">
        <v>94</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92</v>
      </c>
      <c r="C227" t="s">
        <v>94</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92</v>
      </c>
      <c r="C228" t="s">
        <v>94</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92</v>
      </c>
      <c r="C229" t="s">
        <v>94</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92</v>
      </c>
      <c r="C230" t="s">
        <v>94</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92</v>
      </c>
      <c r="C231" t="s">
        <v>94</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92</v>
      </c>
      <c r="C232" t="s">
        <v>94</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92</v>
      </c>
      <c r="C233" t="s">
        <v>94</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92</v>
      </c>
      <c r="C234" t="s">
        <v>94</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92</v>
      </c>
      <c r="C235" t="s">
        <v>94</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92</v>
      </c>
      <c r="C236" t="s">
        <v>94</v>
      </c>
      <c r="D236" t="s">
        <v>90</v>
      </c>
      <c r="E236" t="s">
        <v>44</v>
      </c>
      <c r="F236" s="6">
        <v>0.6875</v>
      </c>
      <c r="G236">
        <v>0</v>
      </c>
      <c r="H236" s="6">
        <f>FLOOR(tblPivotData[[#This Row],[Time]],Summary!$B$6/1440)</f>
        <v>0.6875</v>
      </c>
      <c r="I236" s="49">
        <f>INDEX(PeakCalc!$L$10:$L$303,MATCH(tblPivotData[[#This Row],[Time]],PeakCalc!$G$10:$G$303,0))</f>
        <v>0</v>
      </c>
    </row>
    <row r="237" spans="1:9" x14ac:dyDescent="0.25">
      <c r="A237" t="s">
        <v>94</v>
      </c>
      <c r="B237" t="s">
        <v>92</v>
      </c>
      <c r="C237" t="s">
        <v>94</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92</v>
      </c>
      <c r="C238" t="s">
        <v>94</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92</v>
      </c>
      <c r="C239" t="s">
        <v>94</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92</v>
      </c>
      <c r="C240" t="s">
        <v>94</v>
      </c>
      <c r="D240" t="s">
        <v>90</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92</v>
      </c>
      <c r="C241" t="s">
        <v>94</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102</v>
      </c>
      <c r="C242" t="s">
        <v>96</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95</v>
      </c>
      <c r="B243" t="s">
        <v>102</v>
      </c>
      <c r="C243" t="s">
        <v>96</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95</v>
      </c>
      <c r="B244" t="s">
        <v>102</v>
      </c>
      <c r="C244" t="s">
        <v>96</v>
      </c>
      <c r="D244" t="s">
        <v>79</v>
      </c>
      <c r="E244" t="s">
        <v>43</v>
      </c>
      <c r="F244" s="6">
        <v>0.3125</v>
      </c>
      <c r="G244">
        <v>0</v>
      </c>
      <c r="H244" s="6">
        <f>FLOOR(tblPivotData[[#This Row],[Time]],Summary!$B$6/1440)</f>
        <v>0.3125</v>
      </c>
      <c r="I244" s="49">
        <f>INDEX(PeakCalc!$L$10:$L$303,MATCH(tblPivotData[[#This Row],[Time]],PeakCalc!$G$10:$G$303,0))</f>
        <v>0</v>
      </c>
    </row>
    <row r="245" spans="1:9" x14ac:dyDescent="0.25">
      <c r="A245" t="s">
        <v>95</v>
      </c>
      <c r="B245" t="s">
        <v>102</v>
      </c>
      <c r="C245" t="s">
        <v>96</v>
      </c>
      <c r="D245" t="s">
        <v>79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95</v>
      </c>
      <c r="B246" t="s">
        <v>102</v>
      </c>
      <c r="C246" t="s">
        <v>96</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95</v>
      </c>
      <c r="B247" t="s">
        <v>102</v>
      </c>
      <c r="C247" t="s">
        <v>96</v>
      </c>
      <c r="D247" t="s">
        <v>79</v>
      </c>
      <c r="E247" t="s">
        <v>43</v>
      </c>
      <c r="F247" s="6">
        <v>0.34375</v>
      </c>
      <c r="G247">
        <v>1</v>
      </c>
      <c r="H247" s="6">
        <f>FLOOR(tblPivotData[[#This Row],[Time]],Summary!$B$6/1440)</f>
        <v>0.34375</v>
      </c>
      <c r="I247" s="49">
        <f>INDEX(PeakCalc!$L$10:$L$303,MATCH(tblPivotData[[#This Row],[Time]],PeakCalc!$G$10:$G$303,0))</f>
        <v>1</v>
      </c>
    </row>
    <row r="248" spans="1:9" x14ac:dyDescent="0.25">
      <c r="A248" t="s">
        <v>95</v>
      </c>
      <c r="B248" t="s">
        <v>102</v>
      </c>
      <c r="C248" t="s">
        <v>96</v>
      </c>
      <c r="D248" t="s">
        <v>79</v>
      </c>
      <c r="E248" t="s">
        <v>43</v>
      </c>
      <c r="F248" s="6">
        <v>0.35416666666666669</v>
      </c>
      <c r="G248">
        <v>2</v>
      </c>
      <c r="H248" s="6">
        <f>FLOOR(tblPivotData[[#This Row],[Time]],Summary!$B$6/1440)</f>
        <v>0.35416666666666663</v>
      </c>
      <c r="I248" s="49">
        <f>INDEX(PeakCalc!$L$10:$L$303,MATCH(tblPivotData[[#This Row],[Time]],PeakCalc!$G$10:$G$303,0))</f>
        <v>1</v>
      </c>
    </row>
    <row r="249" spans="1:9" x14ac:dyDescent="0.25">
      <c r="A249" t="s">
        <v>95</v>
      </c>
      <c r="B249" t="s">
        <v>102</v>
      </c>
      <c r="C249" t="s">
        <v>96</v>
      </c>
      <c r="D249" t="s">
        <v>79</v>
      </c>
      <c r="E249" t="s">
        <v>43</v>
      </c>
      <c r="F249" s="6">
        <v>0.36458333333333331</v>
      </c>
      <c r="G249">
        <v>1</v>
      </c>
      <c r="H249" s="6">
        <f>FLOOR(tblPivotData[[#This Row],[Time]],Summary!$B$6/1440)</f>
        <v>0.36458333333333331</v>
      </c>
      <c r="I249" s="49">
        <f>INDEX(PeakCalc!$L$10:$L$303,MATCH(tblPivotData[[#This Row],[Time]],PeakCalc!$G$10:$G$303,0))</f>
        <v>1</v>
      </c>
    </row>
    <row r="250" spans="1:9" x14ac:dyDescent="0.25">
      <c r="A250" t="s">
        <v>95</v>
      </c>
      <c r="B250" t="s">
        <v>102</v>
      </c>
      <c r="C250" t="s">
        <v>96</v>
      </c>
      <c r="D250" t="s">
        <v>79</v>
      </c>
      <c r="E250" t="s">
        <v>91</v>
      </c>
      <c r="F250" s="6">
        <v>0.54166666666666663</v>
      </c>
      <c r="G250">
        <v>2</v>
      </c>
      <c r="H250" s="6">
        <f>FLOOR(tblPivotData[[#This Row],[Time]],Summary!$B$6/1440)</f>
        <v>0.54166666666666663</v>
      </c>
      <c r="I250" s="49">
        <f>INDEX(PeakCalc!$L$10:$L$303,MATCH(tblPivotData[[#This Row],[Time]],PeakCalc!$G$10:$G$303,0))</f>
        <v>1</v>
      </c>
    </row>
    <row r="251" spans="1:9" x14ac:dyDescent="0.25">
      <c r="A251" t="s">
        <v>95</v>
      </c>
      <c r="B251" t="s">
        <v>102</v>
      </c>
      <c r="C251" t="s">
        <v>96</v>
      </c>
      <c r="D251" t="s">
        <v>79</v>
      </c>
      <c r="E251" t="s">
        <v>91</v>
      </c>
      <c r="F251" s="6">
        <v>0.55208333333333337</v>
      </c>
      <c r="G251">
        <v>0</v>
      </c>
      <c r="H251" s="6">
        <f>FLOOR(tblPivotData[[#This Row],[Time]],Summary!$B$6/1440)</f>
        <v>0.55208333333333326</v>
      </c>
      <c r="I251" s="49">
        <f>INDEX(PeakCalc!$L$10:$L$303,MATCH(tblPivotData[[#This Row],[Time]],PeakCalc!$G$10:$G$303,0))</f>
        <v>1</v>
      </c>
    </row>
    <row r="252" spans="1:9" x14ac:dyDescent="0.25">
      <c r="A252" t="s">
        <v>95</v>
      </c>
      <c r="B252" t="s">
        <v>102</v>
      </c>
      <c r="C252" t="s">
        <v>96</v>
      </c>
      <c r="D252" t="s">
        <v>79</v>
      </c>
      <c r="E252" t="s">
        <v>91</v>
      </c>
      <c r="F252" s="6">
        <v>0.5625</v>
      </c>
      <c r="G252">
        <v>0</v>
      </c>
      <c r="H252" s="6">
        <f>FLOOR(tblPivotData[[#This Row],[Time]],Summary!$B$6/1440)</f>
        <v>0.5625</v>
      </c>
      <c r="I252" s="49">
        <f>INDEX(PeakCalc!$L$10:$L$303,MATCH(tblPivotData[[#This Row],[Time]],PeakCalc!$G$10:$G$303,0))</f>
        <v>1</v>
      </c>
    </row>
    <row r="253" spans="1:9" x14ac:dyDescent="0.25">
      <c r="A253" t="s">
        <v>95</v>
      </c>
      <c r="B253" t="s">
        <v>102</v>
      </c>
      <c r="C253" t="s">
        <v>96</v>
      </c>
      <c r="D253" t="s">
        <v>79</v>
      </c>
      <c r="E253" t="s">
        <v>91</v>
      </c>
      <c r="F253" s="6">
        <v>0.57291666666666663</v>
      </c>
      <c r="G253">
        <v>0</v>
      </c>
      <c r="H253" s="6">
        <f>FLOOR(tblPivotData[[#This Row],[Time]],Summary!$B$6/1440)</f>
        <v>0.57291666666666663</v>
      </c>
      <c r="I253" s="49">
        <f>INDEX(PeakCalc!$L$10:$L$303,MATCH(tblPivotData[[#This Row],[Time]],PeakCalc!$G$10:$G$303,0))</f>
        <v>1</v>
      </c>
    </row>
    <row r="254" spans="1:9" x14ac:dyDescent="0.25">
      <c r="A254" t="s">
        <v>95</v>
      </c>
      <c r="B254" t="s">
        <v>102</v>
      </c>
      <c r="C254" t="s">
        <v>96</v>
      </c>
      <c r="D254" t="s">
        <v>79</v>
      </c>
      <c r="E254" t="s">
        <v>44</v>
      </c>
      <c r="F254" s="6">
        <v>0.66666666666666663</v>
      </c>
      <c r="G254">
        <v>0</v>
      </c>
      <c r="H254" s="6">
        <f>FLOOR(tblPivotData[[#This Row],[Time]],Summary!$B$6/1440)</f>
        <v>0.66666666666666663</v>
      </c>
      <c r="I254" s="49">
        <f>INDEX(PeakCalc!$L$10:$L$303,MATCH(tblPivotData[[#This Row],[Time]],PeakCalc!$G$10:$G$303,0))</f>
        <v>0</v>
      </c>
    </row>
    <row r="255" spans="1:9" x14ac:dyDescent="0.25">
      <c r="A255" t="s">
        <v>95</v>
      </c>
      <c r="B255" t="s">
        <v>102</v>
      </c>
      <c r="C255" t="s">
        <v>96</v>
      </c>
      <c r="D255" t="s">
        <v>79</v>
      </c>
      <c r="E255" t="s">
        <v>44</v>
      </c>
      <c r="F255" s="6">
        <v>0.67708333333333337</v>
      </c>
      <c r="G255">
        <v>0</v>
      </c>
      <c r="H255" s="6">
        <f>FLOOR(tblPivotData[[#This Row],[Time]],Summary!$B$6/1440)</f>
        <v>0.67708333333333326</v>
      </c>
      <c r="I255" s="49">
        <f>INDEX(PeakCalc!$L$10:$L$303,MATCH(tblPivotData[[#This Row],[Time]],PeakCalc!$G$10:$G$303,0))</f>
        <v>0</v>
      </c>
    </row>
    <row r="256" spans="1:9" x14ac:dyDescent="0.25">
      <c r="A256" t="s">
        <v>95</v>
      </c>
      <c r="B256" t="s">
        <v>102</v>
      </c>
      <c r="C256" t="s">
        <v>96</v>
      </c>
      <c r="D256" t="s">
        <v>79</v>
      </c>
      <c r="E256" t="s">
        <v>44</v>
      </c>
      <c r="F256" s="6">
        <v>0.6875</v>
      </c>
      <c r="G256">
        <v>1</v>
      </c>
      <c r="H256" s="6">
        <f>FLOOR(tblPivotData[[#This Row],[Time]],Summary!$B$6/1440)</f>
        <v>0.6875</v>
      </c>
      <c r="I256" s="49">
        <f>INDEX(PeakCalc!$L$10:$L$303,MATCH(tblPivotData[[#This Row],[Time]],PeakCalc!$G$10:$G$303,0))</f>
        <v>0</v>
      </c>
    </row>
    <row r="257" spans="1:9" x14ac:dyDescent="0.25">
      <c r="A257" t="s">
        <v>95</v>
      </c>
      <c r="B257" t="s">
        <v>102</v>
      </c>
      <c r="C257" t="s">
        <v>96</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95</v>
      </c>
      <c r="B258" t="s">
        <v>102</v>
      </c>
      <c r="C258" t="s">
        <v>96</v>
      </c>
      <c r="D258" t="s">
        <v>79</v>
      </c>
      <c r="E258" t="s">
        <v>44</v>
      </c>
      <c r="F258" s="6">
        <v>0.70833333333333337</v>
      </c>
      <c r="G258">
        <v>0</v>
      </c>
      <c r="H258" s="6">
        <f>FLOOR(tblPivotData[[#This Row],[Time]],Summary!$B$6/1440)</f>
        <v>0.70833333333333326</v>
      </c>
      <c r="I258" s="49">
        <f>INDEX(PeakCalc!$L$10:$L$303,MATCH(tblPivotData[[#This Row],[Time]],PeakCalc!$G$10:$G$303,0))</f>
        <v>1</v>
      </c>
    </row>
    <row r="259" spans="1:9" x14ac:dyDescent="0.25">
      <c r="A259" t="s">
        <v>95</v>
      </c>
      <c r="B259" t="s">
        <v>102</v>
      </c>
      <c r="C259" t="s">
        <v>96</v>
      </c>
      <c r="D259" t="s">
        <v>79</v>
      </c>
      <c r="E259" t="s">
        <v>44</v>
      </c>
      <c r="F259" s="6">
        <v>0.71875</v>
      </c>
      <c r="G259">
        <v>0</v>
      </c>
      <c r="H259" s="6">
        <f>FLOOR(tblPivotData[[#This Row],[Time]],Summary!$B$6/1440)</f>
        <v>0.71875</v>
      </c>
      <c r="I259" s="49">
        <f>INDEX(PeakCalc!$L$10:$L$303,MATCH(tblPivotData[[#This Row],[Time]],PeakCalc!$G$10:$G$303,0))</f>
        <v>1</v>
      </c>
    </row>
    <row r="260" spans="1:9" x14ac:dyDescent="0.25">
      <c r="A260" t="s">
        <v>95</v>
      </c>
      <c r="B260" t="s">
        <v>102</v>
      </c>
      <c r="C260" t="s">
        <v>96</v>
      </c>
      <c r="D260" t="s">
        <v>79</v>
      </c>
      <c r="E260" t="s">
        <v>44</v>
      </c>
      <c r="F260" s="6">
        <v>0.72916666666666663</v>
      </c>
      <c r="G260">
        <v>0</v>
      </c>
      <c r="H260" s="6">
        <f>FLOOR(tblPivotData[[#This Row],[Time]],Summary!$B$6/1440)</f>
        <v>0.72916666666666663</v>
      </c>
      <c r="I260" s="49">
        <f>INDEX(PeakCalc!$L$10:$L$303,MATCH(tblPivotData[[#This Row],[Time]],PeakCalc!$G$10:$G$303,0))</f>
        <v>1</v>
      </c>
    </row>
    <row r="261" spans="1:9" x14ac:dyDescent="0.25">
      <c r="A261" t="s">
        <v>95</v>
      </c>
      <c r="B261" t="s">
        <v>102</v>
      </c>
      <c r="C261" t="s">
        <v>96</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95</v>
      </c>
      <c r="B262" t="s">
        <v>102</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102</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102</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102</v>
      </c>
      <c r="C265" t="s">
        <v>96</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95</v>
      </c>
      <c r="B266" t="s">
        <v>102</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102</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102</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102</v>
      </c>
      <c r="C269" t="s">
        <v>96</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95</v>
      </c>
      <c r="B270" t="s">
        <v>102</v>
      </c>
      <c r="C270" t="s">
        <v>96</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102</v>
      </c>
      <c r="C271" t="s">
        <v>96</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102</v>
      </c>
      <c r="C272" t="s">
        <v>96</v>
      </c>
      <c r="D272" t="s">
        <v>89</v>
      </c>
      <c r="E272" t="s">
        <v>91</v>
      </c>
      <c r="F272" s="6">
        <v>0.5625</v>
      </c>
      <c r="G272">
        <v>1</v>
      </c>
      <c r="H272" s="6">
        <f>FLOOR(tblPivotData[[#This Row],[Time]],Summary!$B$6/1440)</f>
        <v>0.5625</v>
      </c>
      <c r="I272" s="49">
        <f>INDEX(PeakCalc!$L$10:$L$303,MATCH(tblPivotData[[#This Row],[Time]],PeakCalc!$G$10:$G$303,0))</f>
        <v>1</v>
      </c>
    </row>
    <row r="273" spans="1:9" x14ac:dyDescent="0.25">
      <c r="A273" t="s">
        <v>95</v>
      </c>
      <c r="B273" t="s">
        <v>102</v>
      </c>
      <c r="C273" t="s">
        <v>96</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102</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102</v>
      </c>
      <c r="C275" t="s">
        <v>96</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102</v>
      </c>
      <c r="C276" t="s">
        <v>96</v>
      </c>
      <c r="D276" t="s">
        <v>89</v>
      </c>
      <c r="E276" t="s">
        <v>44</v>
      </c>
      <c r="F276" s="6">
        <v>0.6875</v>
      </c>
      <c r="G276">
        <v>0</v>
      </c>
      <c r="H276" s="6">
        <f>FLOOR(tblPivotData[[#This Row],[Time]],Summary!$B$6/1440)</f>
        <v>0.6875</v>
      </c>
      <c r="I276" s="49">
        <f>INDEX(PeakCalc!$L$10:$L$303,MATCH(tblPivotData[[#This Row],[Time]],PeakCalc!$G$10:$G$303,0))</f>
        <v>0</v>
      </c>
    </row>
    <row r="277" spans="1:9" x14ac:dyDescent="0.25">
      <c r="A277" t="s">
        <v>95</v>
      </c>
      <c r="B277" t="s">
        <v>102</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102</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102</v>
      </c>
      <c r="C279" t="s">
        <v>96</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95</v>
      </c>
      <c r="B280" t="s">
        <v>102</v>
      </c>
      <c r="C280" t="s">
        <v>96</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95</v>
      </c>
      <c r="B281" t="s">
        <v>102</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102</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102</v>
      </c>
      <c r="C283" t="s">
        <v>96</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102</v>
      </c>
      <c r="C284" t="s">
        <v>96</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102</v>
      </c>
      <c r="C285" t="s">
        <v>96</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102</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102</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102</v>
      </c>
      <c r="C288" t="s">
        <v>96</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102</v>
      </c>
      <c r="C289" t="s">
        <v>96</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102</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102</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102</v>
      </c>
      <c r="C292" t="s">
        <v>96</v>
      </c>
      <c r="D292" t="s">
        <v>90</v>
      </c>
      <c r="E292" t="s">
        <v>91</v>
      </c>
      <c r="F292" s="6">
        <v>0.5625</v>
      </c>
      <c r="G292">
        <v>1</v>
      </c>
      <c r="H292" s="6">
        <f>FLOOR(tblPivotData[[#This Row],[Time]],Summary!$B$6/1440)</f>
        <v>0.5625</v>
      </c>
      <c r="I292" s="49">
        <f>INDEX(PeakCalc!$L$10:$L$303,MATCH(tblPivotData[[#This Row],[Time]],PeakCalc!$G$10:$G$303,0))</f>
        <v>1</v>
      </c>
    </row>
    <row r="293" spans="1:9" x14ac:dyDescent="0.25">
      <c r="A293" t="s">
        <v>95</v>
      </c>
      <c r="B293" t="s">
        <v>102</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102</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102</v>
      </c>
      <c r="C295" t="s">
        <v>96</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102</v>
      </c>
      <c r="C296" t="s">
        <v>96</v>
      </c>
      <c r="D296" t="s">
        <v>90</v>
      </c>
      <c r="E296" t="s">
        <v>44</v>
      </c>
      <c r="F296" s="6">
        <v>0.6875</v>
      </c>
      <c r="G296">
        <v>0</v>
      </c>
      <c r="H296" s="6">
        <f>FLOOR(tblPivotData[[#This Row],[Time]],Summary!$B$6/1440)</f>
        <v>0.6875</v>
      </c>
      <c r="I296" s="49">
        <f>INDEX(PeakCalc!$L$10:$L$303,MATCH(tblPivotData[[#This Row],[Time]],PeakCalc!$G$10:$G$303,0))</f>
        <v>0</v>
      </c>
    </row>
    <row r="297" spans="1:9" x14ac:dyDescent="0.25">
      <c r="A297" t="s">
        <v>95</v>
      </c>
      <c r="B297" t="s">
        <v>102</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102</v>
      </c>
      <c r="C298" t="s">
        <v>96</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102</v>
      </c>
      <c r="C299" t="s">
        <v>96</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102</v>
      </c>
      <c r="C300" t="s">
        <v>96</v>
      </c>
      <c r="D300" t="s">
        <v>90</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95</v>
      </c>
      <c r="B301" t="s">
        <v>102</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103</v>
      </c>
      <c r="C302" t="s">
        <v>97</v>
      </c>
      <c r="D302" t="s">
        <v>79</v>
      </c>
      <c r="E302" t="s">
        <v>43</v>
      </c>
      <c r="F302" s="6">
        <v>0.29166666666666669</v>
      </c>
      <c r="G302">
        <v>8</v>
      </c>
      <c r="H302" s="6">
        <f>FLOOR(tblPivotData[[#This Row],[Time]],Summary!$B$6/1440)</f>
        <v>0.29166666666666663</v>
      </c>
      <c r="I302" s="49">
        <f>INDEX(PeakCalc!$L$10:$L$303,MATCH(tblPivotData[[#This Row],[Time]],PeakCalc!$G$10:$G$303,0))</f>
        <v>0</v>
      </c>
    </row>
    <row r="303" spans="1:9" x14ac:dyDescent="0.25">
      <c r="A303" t="s">
        <v>95</v>
      </c>
      <c r="B303" t="s">
        <v>103</v>
      </c>
      <c r="C303" t="s">
        <v>97</v>
      </c>
      <c r="D303" t="s">
        <v>79</v>
      </c>
      <c r="E303" t="s">
        <v>43</v>
      </c>
      <c r="F303" s="6">
        <v>0.30208333333333331</v>
      </c>
      <c r="G303">
        <v>6</v>
      </c>
      <c r="H303" s="6">
        <f>FLOOR(tblPivotData[[#This Row],[Time]],Summary!$B$6/1440)</f>
        <v>0.30208333333333331</v>
      </c>
      <c r="I303" s="49">
        <f>INDEX(PeakCalc!$L$10:$L$303,MATCH(tblPivotData[[#This Row],[Time]],PeakCalc!$G$10:$G$303,0))</f>
        <v>0</v>
      </c>
    </row>
    <row r="304" spans="1:9" x14ac:dyDescent="0.25">
      <c r="A304" t="s">
        <v>95</v>
      </c>
      <c r="B304" t="s">
        <v>103</v>
      </c>
      <c r="C304" t="s">
        <v>97</v>
      </c>
      <c r="D304" t="s">
        <v>79</v>
      </c>
      <c r="E304" t="s">
        <v>43</v>
      </c>
      <c r="F304" s="6">
        <v>0.3125</v>
      </c>
      <c r="G304">
        <v>10</v>
      </c>
      <c r="H304" s="6">
        <f>FLOOR(tblPivotData[[#This Row],[Time]],Summary!$B$6/1440)</f>
        <v>0.3125</v>
      </c>
      <c r="I304" s="49">
        <f>INDEX(PeakCalc!$L$10:$L$303,MATCH(tblPivotData[[#This Row],[Time]],PeakCalc!$G$10:$G$303,0))</f>
        <v>0</v>
      </c>
    </row>
    <row r="305" spans="1:9" x14ac:dyDescent="0.25">
      <c r="A305" t="s">
        <v>95</v>
      </c>
      <c r="B305" t="s">
        <v>103</v>
      </c>
      <c r="C305" t="s">
        <v>97</v>
      </c>
      <c r="D305" t="s">
        <v>79</v>
      </c>
      <c r="E305" t="s">
        <v>43</v>
      </c>
      <c r="F305" s="6">
        <v>0.32291666666666669</v>
      </c>
      <c r="G305">
        <v>7</v>
      </c>
      <c r="H305" s="6">
        <f>FLOOR(tblPivotData[[#This Row],[Time]],Summary!$B$6/1440)</f>
        <v>0.32291666666666663</v>
      </c>
      <c r="I305" s="49">
        <f>INDEX(PeakCalc!$L$10:$L$303,MATCH(tblPivotData[[#This Row],[Time]],PeakCalc!$G$10:$G$303,0))</f>
        <v>0</v>
      </c>
    </row>
    <row r="306" spans="1:9" x14ac:dyDescent="0.25">
      <c r="A306" t="s">
        <v>95</v>
      </c>
      <c r="B306" t="s">
        <v>103</v>
      </c>
      <c r="C306" t="s">
        <v>97</v>
      </c>
      <c r="D306" t="s">
        <v>79</v>
      </c>
      <c r="E306" t="s">
        <v>43</v>
      </c>
      <c r="F306" s="6">
        <v>0.33333333333333331</v>
      </c>
      <c r="G306">
        <v>10</v>
      </c>
      <c r="H306" s="6">
        <f>FLOOR(tblPivotData[[#This Row],[Time]],Summary!$B$6/1440)</f>
        <v>0.33333333333333331</v>
      </c>
      <c r="I306" s="49">
        <f>INDEX(PeakCalc!$L$10:$L$303,MATCH(tblPivotData[[#This Row],[Time]],PeakCalc!$G$10:$G$303,0))</f>
        <v>1</v>
      </c>
    </row>
    <row r="307" spans="1:9" x14ac:dyDescent="0.25">
      <c r="A307" t="s">
        <v>95</v>
      </c>
      <c r="B307" t="s">
        <v>103</v>
      </c>
      <c r="C307" t="s">
        <v>97</v>
      </c>
      <c r="D307" t="s">
        <v>79</v>
      </c>
      <c r="E307" t="s">
        <v>43</v>
      </c>
      <c r="F307" s="6">
        <v>0.34375</v>
      </c>
      <c r="G307">
        <v>8</v>
      </c>
      <c r="H307" s="6">
        <f>FLOOR(tblPivotData[[#This Row],[Time]],Summary!$B$6/1440)</f>
        <v>0.34375</v>
      </c>
      <c r="I307" s="49">
        <f>INDEX(PeakCalc!$L$10:$L$303,MATCH(tblPivotData[[#This Row],[Time]],PeakCalc!$G$10:$G$303,0))</f>
        <v>1</v>
      </c>
    </row>
    <row r="308" spans="1:9" x14ac:dyDescent="0.25">
      <c r="A308" t="s">
        <v>95</v>
      </c>
      <c r="B308" t="s">
        <v>103</v>
      </c>
      <c r="C308" t="s">
        <v>97</v>
      </c>
      <c r="D308" t="s">
        <v>79</v>
      </c>
      <c r="E308" t="s">
        <v>43</v>
      </c>
      <c r="F308" s="6">
        <v>0.35416666666666669</v>
      </c>
      <c r="G308">
        <v>20</v>
      </c>
      <c r="H308" s="6">
        <f>FLOOR(tblPivotData[[#This Row],[Time]],Summary!$B$6/1440)</f>
        <v>0.35416666666666663</v>
      </c>
      <c r="I308" s="49">
        <f>INDEX(PeakCalc!$L$10:$L$303,MATCH(tblPivotData[[#This Row],[Time]],PeakCalc!$G$10:$G$303,0))</f>
        <v>1</v>
      </c>
    </row>
    <row r="309" spans="1:9" x14ac:dyDescent="0.25">
      <c r="A309" t="s">
        <v>95</v>
      </c>
      <c r="B309" t="s">
        <v>103</v>
      </c>
      <c r="C309" t="s">
        <v>97</v>
      </c>
      <c r="D309" t="s">
        <v>79</v>
      </c>
      <c r="E309" t="s">
        <v>43</v>
      </c>
      <c r="F309" s="6">
        <v>0.36458333333333331</v>
      </c>
      <c r="G309">
        <v>9</v>
      </c>
      <c r="H309" s="6">
        <f>FLOOR(tblPivotData[[#This Row],[Time]],Summary!$B$6/1440)</f>
        <v>0.36458333333333331</v>
      </c>
      <c r="I309" s="49">
        <f>INDEX(PeakCalc!$L$10:$L$303,MATCH(tblPivotData[[#This Row],[Time]],PeakCalc!$G$10:$G$303,0))</f>
        <v>1</v>
      </c>
    </row>
    <row r="310" spans="1:9" x14ac:dyDescent="0.25">
      <c r="A310" t="s">
        <v>95</v>
      </c>
      <c r="B310" t="s">
        <v>103</v>
      </c>
      <c r="C310" t="s">
        <v>97</v>
      </c>
      <c r="D310" t="s">
        <v>79</v>
      </c>
      <c r="E310" t="s">
        <v>91</v>
      </c>
      <c r="F310" s="6">
        <v>0.54166666666666663</v>
      </c>
      <c r="G310">
        <v>15</v>
      </c>
      <c r="H310" s="6">
        <f>FLOOR(tblPivotData[[#This Row],[Time]],Summary!$B$6/1440)</f>
        <v>0.54166666666666663</v>
      </c>
      <c r="I310" s="49">
        <f>INDEX(PeakCalc!$L$10:$L$303,MATCH(tblPivotData[[#This Row],[Time]],PeakCalc!$G$10:$G$303,0))</f>
        <v>1</v>
      </c>
    </row>
    <row r="311" spans="1:9" x14ac:dyDescent="0.25">
      <c r="A311" t="s">
        <v>95</v>
      </c>
      <c r="B311" t="s">
        <v>103</v>
      </c>
      <c r="C311" t="s">
        <v>97</v>
      </c>
      <c r="D311" t="s">
        <v>79</v>
      </c>
      <c r="E311" t="s">
        <v>91</v>
      </c>
      <c r="F311" s="6">
        <v>0.55208333333333337</v>
      </c>
      <c r="G311">
        <v>11</v>
      </c>
      <c r="H311" s="6">
        <f>FLOOR(tblPivotData[[#This Row],[Time]],Summary!$B$6/1440)</f>
        <v>0.55208333333333326</v>
      </c>
      <c r="I311" s="49">
        <f>INDEX(PeakCalc!$L$10:$L$303,MATCH(tblPivotData[[#This Row],[Time]],PeakCalc!$G$10:$G$303,0))</f>
        <v>1</v>
      </c>
    </row>
    <row r="312" spans="1:9" x14ac:dyDescent="0.25">
      <c r="A312" t="s">
        <v>95</v>
      </c>
      <c r="B312" t="s">
        <v>103</v>
      </c>
      <c r="C312" t="s">
        <v>97</v>
      </c>
      <c r="D312" t="s">
        <v>79</v>
      </c>
      <c r="E312" t="s">
        <v>91</v>
      </c>
      <c r="F312" s="6">
        <v>0.5625</v>
      </c>
      <c r="G312">
        <v>11</v>
      </c>
      <c r="H312" s="6">
        <f>FLOOR(tblPivotData[[#This Row],[Time]],Summary!$B$6/1440)</f>
        <v>0.5625</v>
      </c>
      <c r="I312" s="49">
        <f>INDEX(PeakCalc!$L$10:$L$303,MATCH(tblPivotData[[#This Row],[Time]],PeakCalc!$G$10:$G$303,0))</f>
        <v>1</v>
      </c>
    </row>
    <row r="313" spans="1:9" x14ac:dyDescent="0.25">
      <c r="A313" t="s">
        <v>95</v>
      </c>
      <c r="B313" t="s">
        <v>103</v>
      </c>
      <c r="C313" t="s">
        <v>97</v>
      </c>
      <c r="D313" t="s">
        <v>79</v>
      </c>
      <c r="E313" t="s">
        <v>91</v>
      </c>
      <c r="F313" s="6">
        <v>0.57291666666666663</v>
      </c>
      <c r="G313">
        <v>10</v>
      </c>
      <c r="H313" s="6">
        <f>FLOOR(tblPivotData[[#This Row],[Time]],Summary!$B$6/1440)</f>
        <v>0.57291666666666663</v>
      </c>
      <c r="I313" s="49">
        <f>INDEX(PeakCalc!$L$10:$L$303,MATCH(tblPivotData[[#This Row],[Time]],PeakCalc!$G$10:$G$303,0))</f>
        <v>1</v>
      </c>
    </row>
    <row r="314" spans="1:9" x14ac:dyDescent="0.25">
      <c r="A314" t="s">
        <v>95</v>
      </c>
      <c r="B314" t="s">
        <v>103</v>
      </c>
      <c r="C314" t="s">
        <v>97</v>
      </c>
      <c r="D314" t="s">
        <v>79</v>
      </c>
      <c r="E314" t="s">
        <v>44</v>
      </c>
      <c r="F314" s="6">
        <v>0.66666666666666663</v>
      </c>
      <c r="G314">
        <v>11</v>
      </c>
      <c r="H314" s="6">
        <f>FLOOR(tblPivotData[[#This Row],[Time]],Summary!$B$6/1440)</f>
        <v>0.66666666666666663</v>
      </c>
      <c r="I314" s="49">
        <f>INDEX(PeakCalc!$L$10:$L$303,MATCH(tblPivotData[[#This Row],[Time]],PeakCalc!$G$10:$G$303,0))</f>
        <v>0</v>
      </c>
    </row>
    <row r="315" spans="1:9" x14ac:dyDescent="0.25">
      <c r="A315" t="s">
        <v>95</v>
      </c>
      <c r="B315" t="s">
        <v>103</v>
      </c>
      <c r="C315" t="s">
        <v>97</v>
      </c>
      <c r="D315" t="s">
        <v>79</v>
      </c>
      <c r="E315" t="s">
        <v>44</v>
      </c>
      <c r="F315" s="6">
        <v>0.67708333333333337</v>
      </c>
      <c r="G315">
        <v>13</v>
      </c>
      <c r="H315" s="6">
        <f>FLOOR(tblPivotData[[#This Row],[Time]],Summary!$B$6/1440)</f>
        <v>0.67708333333333326</v>
      </c>
      <c r="I315" s="49">
        <f>INDEX(PeakCalc!$L$10:$L$303,MATCH(tblPivotData[[#This Row],[Time]],PeakCalc!$G$10:$G$303,0))</f>
        <v>0</v>
      </c>
    </row>
    <row r="316" spans="1:9" x14ac:dyDescent="0.25">
      <c r="A316" t="s">
        <v>95</v>
      </c>
      <c r="B316" t="s">
        <v>103</v>
      </c>
      <c r="C316" t="s">
        <v>97</v>
      </c>
      <c r="D316" t="s">
        <v>79</v>
      </c>
      <c r="E316" t="s">
        <v>44</v>
      </c>
      <c r="F316" s="6">
        <v>0.6875</v>
      </c>
      <c r="G316">
        <v>19</v>
      </c>
      <c r="H316" s="6">
        <f>FLOOR(tblPivotData[[#This Row],[Time]],Summary!$B$6/1440)</f>
        <v>0.6875</v>
      </c>
      <c r="I316" s="49">
        <f>INDEX(PeakCalc!$L$10:$L$303,MATCH(tblPivotData[[#This Row],[Time]],PeakCalc!$G$10:$G$303,0))</f>
        <v>0</v>
      </c>
    </row>
    <row r="317" spans="1:9" x14ac:dyDescent="0.25">
      <c r="A317" t="s">
        <v>95</v>
      </c>
      <c r="B317" t="s">
        <v>103</v>
      </c>
      <c r="C317" t="s">
        <v>97</v>
      </c>
      <c r="D317" t="s">
        <v>79</v>
      </c>
      <c r="E317" t="s">
        <v>44</v>
      </c>
      <c r="F317" s="6">
        <v>0.69791666666666663</v>
      </c>
      <c r="G317">
        <v>18</v>
      </c>
      <c r="H317" s="6">
        <f>FLOOR(tblPivotData[[#This Row],[Time]],Summary!$B$6/1440)</f>
        <v>0.69791666666666663</v>
      </c>
      <c r="I317" s="49">
        <f>INDEX(PeakCalc!$L$10:$L$303,MATCH(tblPivotData[[#This Row],[Time]],PeakCalc!$G$10:$G$303,0))</f>
        <v>1</v>
      </c>
    </row>
    <row r="318" spans="1:9" x14ac:dyDescent="0.25">
      <c r="A318" t="s">
        <v>95</v>
      </c>
      <c r="B318" t="s">
        <v>103</v>
      </c>
      <c r="C318" t="s">
        <v>97</v>
      </c>
      <c r="D318" t="s">
        <v>79</v>
      </c>
      <c r="E318" t="s">
        <v>44</v>
      </c>
      <c r="F318" s="6">
        <v>0.70833333333333337</v>
      </c>
      <c r="G318">
        <v>25</v>
      </c>
      <c r="H318" s="6">
        <f>FLOOR(tblPivotData[[#This Row],[Time]],Summary!$B$6/1440)</f>
        <v>0.70833333333333326</v>
      </c>
      <c r="I318" s="49">
        <f>INDEX(PeakCalc!$L$10:$L$303,MATCH(tblPivotData[[#This Row],[Time]],PeakCalc!$G$10:$G$303,0))</f>
        <v>1</v>
      </c>
    </row>
    <row r="319" spans="1:9" x14ac:dyDescent="0.25">
      <c r="A319" t="s">
        <v>95</v>
      </c>
      <c r="B319" t="s">
        <v>103</v>
      </c>
      <c r="C319" t="s">
        <v>97</v>
      </c>
      <c r="D319" t="s">
        <v>79</v>
      </c>
      <c r="E319" t="s">
        <v>44</v>
      </c>
      <c r="F319" s="6">
        <v>0.71875</v>
      </c>
      <c r="G319">
        <v>17</v>
      </c>
      <c r="H319" s="6">
        <f>FLOOR(tblPivotData[[#This Row],[Time]],Summary!$B$6/1440)</f>
        <v>0.71875</v>
      </c>
      <c r="I319" s="49">
        <f>INDEX(PeakCalc!$L$10:$L$303,MATCH(tblPivotData[[#This Row],[Time]],PeakCalc!$G$10:$G$303,0))</f>
        <v>1</v>
      </c>
    </row>
    <row r="320" spans="1:9" x14ac:dyDescent="0.25">
      <c r="A320" t="s">
        <v>95</v>
      </c>
      <c r="B320" t="s">
        <v>103</v>
      </c>
      <c r="C320" t="s">
        <v>97</v>
      </c>
      <c r="D320" t="s">
        <v>79</v>
      </c>
      <c r="E320" t="s">
        <v>44</v>
      </c>
      <c r="F320" s="6">
        <v>0.72916666666666663</v>
      </c>
      <c r="G320">
        <v>13</v>
      </c>
      <c r="H320" s="6">
        <f>FLOOR(tblPivotData[[#This Row],[Time]],Summary!$B$6/1440)</f>
        <v>0.72916666666666663</v>
      </c>
      <c r="I320" s="49">
        <f>INDEX(PeakCalc!$L$10:$L$303,MATCH(tblPivotData[[#This Row],[Time]],PeakCalc!$G$10:$G$303,0))</f>
        <v>1</v>
      </c>
    </row>
    <row r="321" spans="1:9" x14ac:dyDescent="0.25">
      <c r="A321" t="s">
        <v>95</v>
      </c>
      <c r="B321" t="s">
        <v>103</v>
      </c>
      <c r="C321" t="s">
        <v>97</v>
      </c>
      <c r="D321" t="s">
        <v>79</v>
      </c>
      <c r="E321" t="s">
        <v>44</v>
      </c>
      <c r="F321" s="6">
        <v>0.73958333333333337</v>
      </c>
      <c r="G321">
        <v>12</v>
      </c>
      <c r="H321" s="6">
        <f>FLOOR(tblPivotData[[#This Row],[Time]],Summary!$B$6/1440)</f>
        <v>0.73958333333333326</v>
      </c>
      <c r="I321" s="49">
        <f>INDEX(PeakCalc!$L$10:$L$303,MATCH(tblPivotData[[#This Row],[Time]],PeakCalc!$G$10:$G$303,0))</f>
        <v>0</v>
      </c>
    </row>
    <row r="322" spans="1:9" x14ac:dyDescent="0.25">
      <c r="A322" t="s">
        <v>95</v>
      </c>
      <c r="B322" t="s">
        <v>103</v>
      </c>
      <c r="C322" t="s">
        <v>97</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95</v>
      </c>
      <c r="B323" t="s">
        <v>103</v>
      </c>
      <c r="C323" t="s">
        <v>97</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95</v>
      </c>
      <c r="B324" t="s">
        <v>103</v>
      </c>
      <c r="C324" t="s">
        <v>97</v>
      </c>
      <c r="D324" t="s">
        <v>89</v>
      </c>
      <c r="E324" t="s">
        <v>43</v>
      </c>
      <c r="F324" s="6">
        <v>0.3125</v>
      </c>
      <c r="G324">
        <v>1</v>
      </c>
      <c r="H324" s="6">
        <f>FLOOR(tblPivotData[[#This Row],[Time]],Summary!$B$6/1440)</f>
        <v>0.3125</v>
      </c>
      <c r="I324" s="49">
        <f>INDEX(PeakCalc!$L$10:$L$303,MATCH(tblPivotData[[#This Row],[Time]],PeakCalc!$G$10:$G$303,0))</f>
        <v>0</v>
      </c>
    </row>
    <row r="325" spans="1:9" x14ac:dyDescent="0.25">
      <c r="A325" t="s">
        <v>95</v>
      </c>
      <c r="B325" t="s">
        <v>103</v>
      </c>
      <c r="C325" t="s">
        <v>97</v>
      </c>
      <c r="D325" t="s">
        <v>89</v>
      </c>
      <c r="E325" t="s">
        <v>43</v>
      </c>
      <c r="F325" s="6">
        <v>0.32291666666666669</v>
      </c>
      <c r="G325">
        <v>2</v>
      </c>
      <c r="H325" s="6">
        <f>FLOOR(tblPivotData[[#This Row],[Time]],Summary!$B$6/1440)</f>
        <v>0.32291666666666663</v>
      </c>
      <c r="I325" s="49">
        <f>INDEX(PeakCalc!$L$10:$L$303,MATCH(tblPivotData[[#This Row],[Time]],PeakCalc!$G$10:$G$303,0))</f>
        <v>0</v>
      </c>
    </row>
    <row r="326" spans="1:9" x14ac:dyDescent="0.25">
      <c r="A326" t="s">
        <v>95</v>
      </c>
      <c r="B326" t="s">
        <v>103</v>
      </c>
      <c r="C326" t="s">
        <v>97</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95</v>
      </c>
      <c r="B327" t="s">
        <v>103</v>
      </c>
      <c r="C327" t="s">
        <v>97</v>
      </c>
      <c r="D327" t="s">
        <v>89</v>
      </c>
      <c r="E327" t="s">
        <v>43</v>
      </c>
      <c r="F327" s="6">
        <v>0.34375</v>
      </c>
      <c r="G327">
        <v>3</v>
      </c>
      <c r="H327" s="6">
        <f>FLOOR(tblPivotData[[#This Row],[Time]],Summary!$B$6/1440)</f>
        <v>0.34375</v>
      </c>
      <c r="I327" s="49">
        <f>INDEX(PeakCalc!$L$10:$L$303,MATCH(tblPivotData[[#This Row],[Time]],PeakCalc!$G$10:$G$303,0))</f>
        <v>1</v>
      </c>
    </row>
    <row r="328" spans="1:9" x14ac:dyDescent="0.25">
      <c r="A328" t="s">
        <v>95</v>
      </c>
      <c r="B328" t="s">
        <v>103</v>
      </c>
      <c r="C328" t="s">
        <v>97</v>
      </c>
      <c r="D328" t="s">
        <v>89</v>
      </c>
      <c r="E328" t="s">
        <v>43</v>
      </c>
      <c r="F328" s="6">
        <v>0.35416666666666669</v>
      </c>
      <c r="G328">
        <v>3</v>
      </c>
      <c r="H328" s="6">
        <f>FLOOR(tblPivotData[[#This Row],[Time]],Summary!$B$6/1440)</f>
        <v>0.35416666666666663</v>
      </c>
      <c r="I328" s="49">
        <f>INDEX(PeakCalc!$L$10:$L$303,MATCH(tblPivotData[[#This Row],[Time]],PeakCalc!$G$10:$G$303,0))</f>
        <v>1</v>
      </c>
    </row>
    <row r="329" spans="1:9" x14ac:dyDescent="0.25">
      <c r="A329" t="s">
        <v>95</v>
      </c>
      <c r="B329" t="s">
        <v>103</v>
      </c>
      <c r="C329" t="s">
        <v>97</v>
      </c>
      <c r="D329" t="s">
        <v>89</v>
      </c>
      <c r="E329" t="s">
        <v>43</v>
      </c>
      <c r="F329" s="6">
        <v>0.36458333333333331</v>
      </c>
      <c r="G329">
        <v>1</v>
      </c>
      <c r="H329" s="6">
        <f>FLOOR(tblPivotData[[#This Row],[Time]],Summary!$B$6/1440)</f>
        <v>0.36458333333333331</v>
      </c>
      <c r="I329" s="49">
        <f>INDEX(PeakCalc!$L$10:$L$303,MATCH(tblPivotData[[#This Row],[Time]],PeakCalc!$G$10:$G$303,0))</f>
        <v>1</v>
      </c>
    </row>
    <row r="330" spans="1:9" x14ac:dyDescent="0.25">
      <c r="A330" t="s">
        <v>95</v>
      </c>
      <c r="B330" t="s">
        <v>103</v>
      </c>
      <c r="C330" t="s">
        <v>97</v>
      </c>
      <c r="D330" t="s">
        <v>89</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95</v>
      </c>
      <c r="B331" t="s">
        <v>103</v>
      </c>
      <c r="C331" t="s">
        <v>97</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95</v>
      </c>
      <c r="B332" t="s">
        <v>103</v>
      </c>
      <c r="C332" t="s">
        <v>97</v>
      </c>
      <c r="D332" t="s">
        <v>89</v>
      </c>
      <c r="E332" t="s">
        <v>91</v>
      </c>
      <c r="F332" s="6">
        <v>0.5625</v>
      </c>
      <c r="G332">
        <v>1</v>
      </c>
      <c r="H332" s="6">
        <f>FLOOR(tblPivotData[[#This Row],[Time]],Summary!$B$6/1440)</f>
        <v>0.5625</v>
      </c>
      <c r="I332" s="49">
        <f>INDEX(PeakCalc!$L$10:$L$303,MATCH(tblPivotData[[#This Row],[Time]],PeakCalc!$G$10:$G$303,0))</f>
        <v>1</v>
      </c>
    </row>
    <row r="333" spans="1:9" x14ac:dyDescent="0.25">
      <c r="A333" t="s">
        <v>95</v>
      </c>
      <c r="B333" t="s">
        <v>103</v>
      </c>
      <c r="C333" t="s">
        <v>97</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95</v>
      </c>
      <c r="B334" t="s">
        <v>103</v>
      </c>
      <c r="C334" t="s">
        <v>97</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95</v>
      </c>
      <c r="B335" t="s">
        <v>103</v>
      </c>
      <c r="C335" t="s">
        <v>97</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95</v>
      </c>
      <c r="B336" t="s">
        <v>103</v>
      </c>
      <c r="C336" t="s">
        <v>97</v>
      </c>
      <c r="D336" t="s">
        <v>89</v>
      </c>
      <c r="E336" t="s">
        <v>44</v>
      </c>
      <c r="F336" s="6">
        <v>0.6875</v>
      </c>
      <c r="G336">
        <v>3</v>
      </c>
      <c r="H336" s="6">
        <f>FLOOR(tblPivotData[[#This Row],[Time]],Summary!$B$6/1440)</f>
        <v>0.6875</v>
      </c>
      <c r="I336" s="49">
        <f>INDEX(PeakCalc!$L$10:$L$303,MATCH(tblPivotData[[#This Row],[Time]],PeakCalc!$G$10:$G$303,0))</f>
        <v>0</v>
      </c>
    </row>
    <row r="337" spans="1:9" x14ac:dyDescent="0.25">
      <c r="A337" t="s">
        <v>95</v>
      </c>
      <c r="B337" t="s">
        <v>103</v>
      </c>
      <c r="C337" t="s">
        <v>97</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103</v>
      </c>
      <c r="C338" t="s">
        <v>97</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95</v>
      </c>
      <c r="B339" t="s">
        <v>103</v>
      </c>
      <c r="C339" t="s">
        <v>97</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95</v>
      </c>
      <c r="B340" t="s">
        <v>103</v>
      </c>
      <c r="C340" t="s">
        <v>97</v>
      </c>
      <c r="D340" t="s">
        <v>89</v>
      </c>
      <c r="E340" t="s">
        <v>44</v>
      </c>
      <c r="F340" s="6">
        <v>0.72916666666666663</v>
      </c>
      <c r="G340">
        <v>1</v>
      </c>
      <c r="H340" s="6">
        <f>FLOOR(tblPivotData[[#This Row],[Time]],Summary!$B$6/1440)</f>
        <v>0.72916666666666663</v>
      </c>
      <c r="I340" s="49">
        <f>INDEX(PeakCalc!$L$10:$L$303,MATCH(tblPivotData[[#This Row],[Time]],PeakCalc!$G$10:$G$303,0))</f>
        <v>1</v>
      </c>
    </row>
    <row r="341" spans="1:9" x14ac:dyDescent="0.25">
      <c r="A341" t="s">
        <v>95</v>
      </c>
      <c r="B341" t="s">
        <v>103</v>
      </c>
      <c r="C341" t="s">
        <v>97</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95</v>
      </c>
      <c r="B342" t="s">
        <v>103</v>
      </c>
      <c r="C342" t="s">
        <v>97</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103</v>
      </c>
      <c r="C343" t="s">
        <v>97</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103</v>
      </c>
      <c r="C344" t="s">
        <v>97</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103</v>
      </c>
      <c r="C345" t="s">
        <v>97</v>
      </c>
      <c r="D345" t="s">
        <v>90</v>
      </c>
      <c r="E345" t="s">
        <v>43</v>
      </c>
      <c r="F345" s="6">
        <v>0.32291666666666669</v>
      </c>
      <c r="G345">
        <v>1</v>
      </c>
      <c r="H345" s="6">
        <f>FLOOR(tblPivotData[[#This Row],[Time]],Summary!$B$6/1440)</f>
        <v>0.32291666666666663</v>
      </c>
      <c r="I345" s="49">
        <f>INDEX(PeakCalc!$L$10:$L$303,MATCH(tblPivotData[[#This Row],[Time]],PeakCalc!$G$10:$G$303,0))</f>
        <v>0</v>
      </c>
    </row>
    <row r="346" spans="1:9" x14ac:dyDescent="0.25">
      <c r="A346" t="s">
        <v>95</v>
      </c>
      <c r="B346" t="s">
        <v>103</v>
      </c>
      <c r="C346" t="s">
        <v>97</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103</v>
      </c>
      <c r="C347" t="s">
        <v>97</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103</v>
      </c>
      <c r="C348" t="s">
        <v>97</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103</v>
      </c>
      <c r="C349" t="s">
        <v>97</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95</v>
      </c>
      <c r="B350" t="s">
        <v>103</v>
      </c>
      <c r="C350" t="s">
        <v>97</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103</v>
      </c>
      <c r="C351" t="s">
        <v>97</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103</v>
      </c>
      <c r="C352" t="s">
        <v>97</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103</v>
      </c>
      <c r="C353" t="s">
        <v>97</v>
      </c>
      <c r="D353" t="s">
        <v>90</v>
      </c>
      <c r="E353" t="s">
        <v>91</v>
      </c>
      <c r="F353" s="6">
        <v>0.57291666666666663</v>
      </c>
      <c r="G353">
        <v>1</v>
      </c>
      <c r="H353" s="6">
        <f>FLOOR(tblPivotData[[#This Row],[Time]],Summary!$B$6/1440)</f>
        <v>0.57291666666666663</v>
      </c>
      <c r="I353" s="49">
        <f>INDEX(PeakCalc!$L$10:$L$303,MATCH(tblPivotData[[#This Row],[Time]],PeakCalc!$G$10:$G$303,0))</f>
        <v>1</v>
      </c>
    </row>
    <row r="354" spans="1:9" x14ac:dyDescent="0.25">
      <c r="A354" t="s">
        <v>95</v>
      </c>
      <c r="B354" t="s">
        <v>103</v>
      </c>
      <c r="C354" t="s">
        <v>97</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103</v>
      </c>
      <c r="C355" t="s">
        <v>97</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103</v>
      </c>
      <c r="C356" t="s">
        <v>97</v>
      </c>
      <c r="D356" t="s">
        <v>90</v>
      </c>
      <c r="E356" t="s">
        <v>44</v>
      </c>
      <c r="F356" s="6">
        <v>0.6875</v>
      </c>
      <c r="G356">
        <v>0</v>
      </c>
      <c r="H356" s="6">
        <f>FLOOR(tblPivotData[[#This Row],[Time]],Summary!$B$6/1440)</f>
        <v>0.6875</v>
      </c>
      <c r="I356" s="49">
        <f>INDEX(PeakCalc!$L$10:$L$303,MATCH(tblPivotData[[#This Row],[Time]],PeakCalc!$G$10:$G$303,0))</f>
        <v>0</v>
      </c>
    </row>
    <row r="357" spans="1:9" x14ac:dyDescent="0.25">
      <c r="A357" t="s">
        <v>95</v>
      </c>
      <c r="B357" t="s">
        <v>103</v>
      </c>
      <c r="C357" t="s">
        <v>97</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103</v>
      </c>
      <c r="C358" t="s">
        <v>97</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103</v>
      </c>
      <c r="C359" t="s">
        <v>97</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103</v>
      </c>
      <c r="C360" t="s">
        <v>97</v>
      </c>
      <c r="D360" t="s">
        <v>90</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95</v>
      </c>
      <c r="B361" t="s">
        <v>103</v>
      </c>
      <c r="C361" t="s">
        <v>97</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104</v>
      </c>
      <c r="C362" t="s">
        <v>94</v>
      </c>
      <c r="D362" t="s">
        <v>79</v>
      </c>
      <c r="E362" t="s">
        <v>43</v>
      </c>
      <c r="F362" s="6">
        <v>0.29166666666666669</v>
      </c>
      <c r="G362">
        <v>1</v>
      </c>
      <c r="H362" s="6">
        <f>FLOOR(tblPivotData[[#This Row],[Time]],Summary!$B$6/1440)</f>
        <v>0.29166666666666663</v>
      </c>
      <c r="I362" s="49">
        <f>INDEX(PeakCalc!$L$10:$L$303,MATCH(tblPivotData[[#This Row],[Time]],PeakCalc!$G$10:$G$303,0))</f>
        <v>0</v>
      </c>
    </row>
    <row r="363" spans="1:9" x14ac:dyDescent="0.25">
      <c r="A363" t="s">
        <v>95</v>
      </c>
      <c r="B363" t="s">
        <v>104</v>
      </c>
      <c r="C363" t="s">
        <v>94</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95</v>
      </c>
      <c r="B364" t="s">
        <v>104</v>
      </c>
      <c r="C364" t="s">
        <v>94</v>
      </c>
      <c r="D364" t="s">
        <v>79</v>
      </c>
      <c r="E364" t="s">
        <v>43</v>
      </c>
      <c r="F364" s="6">
        <v>0.3125</v>
      </c>
      <c r="G364">
        <v>0</v>
      </c>
      <c r="H364" s="6">
        <f>FLOOR(tblPivotData[[#This Row],[Time]],Summary!$B$6/1440)</f>
        <v>0.3125</v>
      </c>
      <c r="I364" s="49">
        <f>INDEX(PeakCalc!$L$10:$L$303,MATCH(tblPivotData[[#This Row],[Time]],PeakCalc!$G$10:$G$303,0))</f>
        <v>0</v>
      </c>
    </row>
    <row r="365" spans="1:9" x14ac:dyDescent="0.25">
      <c r="A365" t="s">
        <v>95</v>
      </c>
      <c r="B365" t="s">
        <v>104</v>
      </c>
      <c r="C365" t="s">
        <v>94</v>
      </c>
      <c r="D365" t="s">
        <v>79</v>
      </c>
      <c r="E365" t="s">
        <v>43</v>
      </c>
      <c r="F365" s="6">
        <v>0.32291666666666669</v>
      </c>
      <c r="G365">
        <v>1</v>
      </c>
      <c r="H365" s="6">
        <f>FLOOR(tblPivotData[[#This Row],[Time]],Summary!$B$6/1440)</f>
        <v>0.32291666666666663</v>
      </c>
      <c r="I365" s="49">
        <f>INDEX(PeakCalc!$L$10:$L$303,MATCH(tblPivotData[[#This Row],[Time]],PeakCalc!$G$10:$G$303,0))</f>
        <v>0</v>
      </c>
    </row>
    <row r="366" spans="1:9" x14ac:dyDescent="0.25">
      <c r="A366" t="s">
        <v>95</v>
      </c>
      <c r="B366" t="s">
        <v>104</v>
      </c>
      <c r="C366" t="s">
        <v>94</v>
      </c>
      <c r="D366" t="s">
        <v>79</v>
      </c>
      <c r="E366" t="s">
        <v>43</v>
      </c>
      <c r="F366" s="6">
        <v>0.33333333333333331</v>
      </c>
      <c r="G366">
        <v>3</v>
      </c>
      <c r="H366" s="6">
        <f>FLOOR(tblPivotData[[#This Row],[Time]],Summary!$B$6/1440)</f>
        <v>0.33333333333333331</v>
      </c>
      <c r="I366" s="49">
        <f>INDEX(PeakCalc!$L$10:$L$303,MATCH(tblPivotData[[#This Row],[Time]],PeakCalc!$G$10:$G$303,0))</f>
        <v>1</v>
      </c>
    </row>
    <row r="367" spans="1:9" x14ac:dyDescent="0.25">
      <c r="A367" t="s">
        <v>95</v>
      </c>
      <c r="B367" t="s">
        <v>104</v>
      </c>
      <c r="C367" t="s">
        <v>94</v>
      </c>
      <c r="D367" t="s">
        <v>79</v>
      </c>
      <c r="E367" t="s">
        <v>43</v>
      </c>
      <c r="F367" s="6">
        <v>0.34375</v>
      </c>
      <c r="G367">
        <v>3</v>
      </c>
      <c r="H367" s="6">
        <f>FLOOR(tblPivotData[[#This Row],[Time]],Summary!$B$6/1440)</f>
        <v>0.34375</v>
      </c>
      <c r="I367" s="49">
        <f>INDEX(PeakCalc!$L$10:$L$303,MATCH(tblPivotData[[#This Row],[Time]],PeakCalc!$G$10:$G$303,0))</f>
        <v>1</v>
      </c>
    </row>
    <row r="368" spans="1:9" x14ac:dyDescent="0.25">
      <c r="A368" t="s">
        <v>95</v>
      </c>
      <c r="B368" t="s">
        <v>104</v>
      </c>
      <c r="C368" t="s">
        <v>94</v>
      </c>
      <c r="D368" t="s">
        <v>79</v>
      </c>
      <c r="E368" t="s">
        <v>43</v>
      </c>
      <c r="F368" s="6">
        <v>0.35416666666666669</v>
      </c>
      <c r="G368">
        <v>5</v>
      </c>
      <c r="H368" s="6">
        <f>FLOOR(tblPivotData[[#This Row],[Time]],Summary!$B$6/1440)</f>
        <v>0.35416666666666663</v>
      </c>
      <c r="I368" s="49">
        <f>INDEX(PeakCalc!$L$10:$L$303,MATCH(tblPivotData[[#This Row],[Time]],PeakCalc!$G$10:$G$303,0))</f>
        <v>1</v>
      </c>
    </row>
    <row r="369" spans="1:9" x14ac:dyDescent="0.25">
      <c r="A369" t="s">
        <v>95</v>
      </c>
      <c r="B369" t="s">
        <v>104</v>
      </c>
      <c r="C369" t="s">
        <v>94</v>
      </c>
      <c r="D369" t="s">
        <v>79</v>
      </c>
      <c r="E369" t="s">
        <v>43</v>
      </c>
      <c r="F369" s="6">
        <v>0.36458333333333331</v>
      </c>
      <c r="G369">
        <v>1</v>
      </c>
      <c r="H369" s="6">
        <f>FLOOR(tblPivotData[[#This Row],[Time]],Summary!$B$6/1440)</f>
        <v>0.36458333333333331</v>
      </c>
      <c r="I369" s="49">
        <f>INDEX(PeakCalc!$L$10:$L$303,MATCH(tblPivotData[[#This Row],[Time]],PeakCalc!$G$10:$G$303,0))</f>
        <v>1</v>
      </c>
    </row>
    <row r="370" spans="1:9" x14ac:dyDescent="0.25">
      <c r="A370" t="s">
        <v>95</v>
      </c>
      <c r="B370" t="s">
        <v>104</v>
      </c>
      <c r="C370" t="s">
        <v>94</v>
      </c>
      <c r="D370" t="s">
        <v>79</v>
      </c>
      <c r="E370" t="s">
        <v>91</v>
      </c>
      <c r="F370" s="6">
        <v>0.54166666666666663</v>
      </c>
      <c r="G370">
        <v>3</v>
      </c>
      <c r="H370" s="6">
        <f>FLOOR(tblPivotData[[#This Row],[Time]],Summary!$B$6/1440)</f>
        <v>0.54166666666666663</v>
      </c>
      <c r="I370" s="49">
        <f>INDEX(PeakCalc!$L$10:$L$303,MATCH(tblPivotData[[#This Row],[Time]],PeakCalc!$G$10:$G$303,0))</f>
        <v>1</v>
      </c>
    </row>
    <row r="371" spans="1:9" x14ac:dyDescent="0.25">
      <c r="A371" t="s">
        <v>95</v>
      </c>
      <c r="B371" t="s">
        <v>104</v>
      </c>
      <c r="C371" t="s">
        <v>94</v>
      </c>
      <c r="D371" t="s">
        <v>79</v>
      </c>
      <c r="E371" t="s">
        <v>91</v>
      </c>
      <c r="F371" s="6">
        <v>0.55208333333333337</v>
      </c>
      <c r="G371">
        <v>4</v>
      </c>
      <c r="H371" s="6">
        <f>FLOOR(tblPivotData[[#This Row],[Time]],Summary!$B$6/1440)</f>
        <v>0.55208333333333326</v>
      </c>
      <c r="I371" s="49">
        <f>INDEX(PeakCalc!$L$10:$L$303,MATCH(tblPivotData[[#This Row],[Time]],PeakCalc!$G$10:$G$303,0))</f>
        <v>1</v>
      </c>
    </row>
    <row r="372" spans="1:9" x14ac:dyDescent="0.25">
      <c r="A372" t="s">
        <v>95</v>
      </c>
      <c r="B372" t="s">
        <v>104</v>
      </c>
      <c r="C372" t="s">
        <v>94</v>
      </c>
      <c r="D372" t="s">
        <v>79</v>
      </c>
      <c r="E372" t="s">
        <v>91</v>
      </c>
      <c r="F372" s="6">
        <v>0.5625</v>
      </c>
      <c r="G372">
        <v>6</v>
      </c>
      <c r="H372" s="6">
        <f>FLOOR(tblPivotData[[#This Row],[Time]],Summary!$B$6/1440)</f>
        <v>0.5625</v>
      </c>
      <c r="I372" s="49">
        <f>INDEX(PeakCalc!$L$10:$L$303,MATCH(tblPivotData[[#This Row],[Time]],PeakCalc!$G$10:$G$303,0))</f>
        <v>1</v>
      </c>
    </row>
    <row r="373" spans="1:9" x14ac:dyDescent="0.25">
      <c r="A373" t="s">
        <v>95</v>
      </c>
      <c r="B373" t="s">
        <v>104</v>
      </c>
      <c r="C373" t="s">
        <v>94</v>
      </c>
      <c r="D373" t="s">
        <v>79</v>
      </c>
      <c r="E373" t="s">
        <v>91</v>
      </c>
      <c r="F373" s="6">
        <v>0.57291666666666663</v>
      </c>
      <c r="G373">
        <v>2</v>
      </c>
      <c r="H373" s="6">
        <f>FLOOR(tblPivotData[[#This Row],[Time]],Summary!$B$6/1440)</f>
        <v>0.57291666666666663</v>
      </c>
      <c r="I373" s="49">
        <f>INDEX(PeakCalc!$L$10:$L$303,MATCH(tblPivotData[[#This Row],[Time]],PeakCalc!$G$10:$G$303,0))</f>
        <v>1</v>
      </c>
    </row>
    <row r="374" spans="1:9" x14ac:dyDescent="0.25">
      <c r="A374" t="s">
        <v>95</v>
      </c>
      <c r="B374" t="s">
        <v>104</v>
      </c>
      <c r="C374" t="s">
        <v>94</v>
      </c>
      <c r="D374" t="s">
        <v>79</v>
      </c>
      <c r="E374" t="s">
        <v>44</v>
      </c>
      <c r="F374" s="6">
        <v>0.66666666666666663</v>
      </c>
      <c r="G374">
        <v>5</v>
      </c>
      <c r="H374" s="6">
        <f>FLOOR(tblPivotData[[#This Row],[Time]],Summary!$B$6/1440)</f>
        <v>0.66666666666666663</v>
      </c>
      <c r="I374" s="49">
        <f>INDEX(PeakCalc!$L$10:$L$303,MATCH(tblPivotData[[#This Row],[Time]],PeakCalc!$G$10:$G$303,0))</f>
        <v>0</v>
      </c>
    </row>
    <row r="375" spans="1:9" x14ac:dyDescent="0.25">
      <c r="A375" t="s">
        <v>95</v>
      </c>
      <c r="B375" t="s">
        <v>104</v>
      </c>
      <c r="C375" t="s">
        <v>94</v>
      </c>
      <c r="D375" t="s">
        <v>79</v>
      </c>
      <c r="E375" t="s">
        <v>44</v>
      </c>
      <c r="F375" s="6">
        <v>0.67708333333333337</v>
      </c>
      <c r="G375">
        <v>2</v>
      </c>
      <c r="H375" s="6">
        <f>FLOOR(tblPivotData[[#This Row],[Time]],Summary!$B$6/1440)</f>
        <v>0.67708333333333326</v>
      </c>
      <c r="I375" s="49">
        <f>INDEX(PeakCalc!$L$10:$L$303,MATCH(tblPivotData[[#This Row],[Time]],PeakCalc!$G$10:$G$303,0))</f>
        <v>0</v>
      </c>
    </row>
    <row r="376" spans="1:9" x14ac:dyDescent="0.25">
      <c r="A376" t="s">
        <v>95</v>
      </c>
      <c r="B376" t="s">
        <v>104</v>
      </c>
      <c r="C376" t="s">
        <v>94</v>
      </c>
      <c r="D376" t="s">
        <v>79</v>
      </c>
      <c r="E376" t="s">
        <v>44</v>
      </c>
      <c r="F376" s="6">
        <v>0.6875</v>
      </c>
      <c r="G376">
        <v>10</v>
      </c>
      <c r="H376" s="6">
        <f>FLOOR(tblPivotData[[#This Row],[Time]],Summary!$B$6/1440)</f>
        <v>0.6875</v>
      </c>
      <c r="I376" s="49">
        <f>INDEX(PeakCalc!$L$10:$L$303,MATCH(tblPivotData[[#This Row],[Time]],PeakCalc!$G$10:$G$303,0))</f>
        <v>0</v>
      </c>
    </row>
    <row r="377" spans="1:9" x14ac:dyDescent="0.25">
      <c r="A377" t="s">
        <v>95</v>
      </c>
      <c r="B377" t="s">
        <v>104</v>
      </c>
      <c r="C377" t="s">
        <v>94</v>
      </c>
      <c r="D377" t="s">
        <v>79</v>
      </c>
      <c r="E377" t="s">
        <v>44</v>
      </c>
      <c r="F377" s="6">
        <v>0.69791666666666663</v>
      </c>
      <c r="G377">
        <v>6</v>
      </c>
      <c r="H377" s="6">
        <f>FLOOR(tblPivotData[[#This Row],[Time]],Summary!$B$6/1440)</f>
        <v>0.69791666666666663</v>
      </c>
      <c r="I377" s="49">
        <f>INDEX(PeakCalc!$L$10:$L$303,MATCH(tblPivotData[[#This Row],[Time]],PeakCalc!$G$10:$G$303,0))</f>
        <v>1</v>
      </c>
    </row>
    <row r="378" spans="1:9" x14ac:dyDescent="0.25">
      <c r="A378" t="s">
        <v>95</v>
      </c>
      <c r="B378" t="s">
        <v>104</v>
      </c>
      <c r="C378" t="s">
        <v>94</v>
      </c>
      <c r="D378" t="s">
        <v>79</v>
      </c>
      <c r="E378" t="s">
        <v>44</v>
      </c>
      <c r="F378" s="6">
        <v>0.70833333333333337</v>
      </c>
      <c r="G378">
        <v>7</v>
      </c>
      <c r="H378" s="6">
        <f>FLOOR(tblPivotData[[#This Row],[Time]],Summary!$B$6/1440)</f>
        <v>0.70833333333333326</v>
      </c>
      <c r="I378" s="49">
        <f>INDEX(PeakCalc!$L$10:$L$303,MATCH(tblPivotData[[#This Row],[Time]],PeakCalc!$G$10:$G$303,0))</f>
        <v>1</v>
      </c>
    </row>
    <row r="379" spans="1:9" x14ac:dyDescent="0.25">
      <c r="A379" t="s">
        <v>95</v>
      </c>
      <c r="B379" t="s">
        <v>104</v>
      </c>
      <c r="C379" t="s">
        <v>94</v>
      </c>
      <c r="D379" t="s">
        <v>79</v>
      </c>
      <c r="E379" t="s">
        <v>44</v>
      </c>
      <c r="F379" s="6">
        <v>0.71875</v>
      </c>
      <c r="G379">
        <v>4</v>
      </c>
      <c r="H379" s="6">
        <f>FLOOR(tblPivotData[[#This Row],[Time]],Summary!$B$6/1440)</f>
        <v>0.71875</v>
      </c>
      <c r="I379" s="49">
        <f>INDEX(PeakCalc!$L$10:$L$303,MATCH(tblPivotData[[#This Row],[Time]],PeakCalc!$G$10:$G$303,0))</f>
        <v>1</v>
      </c>
    </row>
    <row r="380" spans="1:9" x14ac:dyDescent="0.25">
      <c r="A380" t="s">
        <v>95</v>
      </c>
      <c r="B380" t="s">
        <v>104</v>
      </c>
      <c r="C380" t="s">
        <v>94</v>
      </c>
      <c r="D380" t="s">
        <v>79</v>
      </c>
      <c r="E380" t="s">
        <v>44</v>
      </c>
      <c r="F380" s="6">
        <v>0.72916666666666663</v>
      </c>
      <c r="G380">
        <v>3</v>
      </c>
      <c r="H380" s="6">
        <f>FLOOR(tblPivotData[[#This Row],[Time]],Summary!$B$6/1440)</f>
        <v>0.72916666666666663</v>
      </c>
      <c r="I380" s="49">
        <f>INDEX(PeakCalc!$L$10:$L$303,MATCH(tblPivotData[[#This Row],[Time]],PeakCalc!$G$10:$G$303,0))</f>
        <v>1</v>
      </c>
    </row>
    <row r="381" spans="1:9" x14ac:dyDescent="0.25">
      <c r="A381" t="s">
        <v>95</v>
      </c>
      <c r="B381" t="s">
        <v>104</v>
      </c>
      <c r="C381" t="s">
        <v>94</v>
      </c>
      <c r="D381" t="s">
        <v>79</v>
      </c>
      <c r="E381" t="s">
        <v>44</v>
      </c>
      <c r="F381" s="6">
        <v>0.73958333333333337</v>
      </c>
      <c r="G381">
        <v>4</v>
      </c>
      <c r="H381" s="6">
        <f>FLOOR(tblPivotData[[#This Row],[Time]],Summary!$B$6/1440)</f>
        <v>0.73958333333333326</v>
      </c>
      <c r="I381" s="49">
        <f>INDEX(PeakCalc!$L$10:$L$303,MATCH(tblPivotData[[#This Row],[Time]],PeakCalc!$G$10:$G$303,0))</f>
        <v>0</v>
      </c>
    </row>
    <row r="382" spans="1:9" x14ac:dyDescent="0.25">
      <c r="A382" t="s">
        <v>95</v>
      </c>
      <c r="B382" t="s">
        <v>104</v>
      </c>
      <c r="C382" t="s">
        <v>94</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104</v>
      </c>
      <c r="C383" t="s">
        <v>94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104</v>
      </c>
      <c r="C384" t="s">
        <v>94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104</v>
      </c>
      <c r="C385" t="s">
        <v>94</v>
      </c>
      <c r="D385" t="s">
        <v>89</v>
      </c>
      <c r="E385" t="s">
        <v>43</v>
      </c>
      <c r="F385" s="6">
        <v>0.32291666666666669</v>
      </c>
      <c r="G385">
        <v>1</v>
      </c>
      <c r="H385" s="6">
        <f>FLOOR(tblPivotData[[#This Row],[Time]],Summary!$B$6/1440)</f>
        <v>0.32291666666666663</v>
      </c>
      <c r="I385" s="49">
        <f>INDEX(PeakCalc!$L$10:$L$303,MATCH(tblPivotData[[#This Row],[Time]],PeakCalc!$G$10:$G$303,0))</f>
        <v>0</v>
      </c>
    </row>
    <row r="386" spans="1:9" x14ac:dyDescent="0.25">
      <c r="A386" t="s">
        <v>95</v>
      </c>
      <c r="B386" t="s">
        <v>104</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104</v>
      </c>
      <c r="C387" t="s">
        <v>94</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104</v>
      </c>
      <c r="C388" t="s">
        <v>94</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104</v>
      </c>
      <c r="C389" t="s">
        <v>94</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104</v>
      </c>
      <c r="C390" t="s">
        <v>94</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104</v>
      </c>
      <c r="C391" t="s">
        <v>94</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104</v>
      </c>
      <c r="C392" t="s">
        <v>94</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104</v>
      </c>
      <c r="C393" t="s">
        <v>94</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104</v>
      </c>
      <c r="C394" t="s">
        <v>94</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104</v>
      </c>
      <c r="C395" t="s">
        <v>94</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104</v>
      </c>
      <c r="C396" t="s">
        <v>94</v>
      </c>
      <c r="D396" t="s">
        <v>89</v>
      </c>
      <c r="E396" t="s">
        <v>44</v>
      </c>
      <c r="F396" s="6">
        <v>0.6875</v>
      </c>
      <c r="G396">
        <v>1</v>
      </c>
      <c r="H396" s="6">
        <f>FLOOR(tblPivotData[[#This Row],[Time]],Summary!$B$6/1440)</f>
        <v>0.6875</v>
      </c>
      <c r="I396" s="49">
        <f>INDEX(PeakCalc!$L$10:$L$303,MATCH(tblPivotData[[#This Row],[Time]],PeakCalc!$G$10:$G$303,0))</f>
        <v>0</v>
      </c>
    </row>
    <row r="397" spans="1:9" x14ac:dyDescent="0.25">
      <c r="A397" t="s">
        <v>95</v>
      </c>
      <c r="B397" t="s">
        <v>104</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104</v>
      </c>
      <c r="C398" t="s">
        <v>94</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104</v>
      </c>
      <c r="C399" t="s">
        <v>94</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104</v>
      </c>
      <c r="C400" t="s">
        <v>94</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95</v>
      </c>
      <c r="B401" t="s">
        <v>104</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104</v>
      </c>
      <c r="C402" t="s">
        <v>94</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104</v>
      </c>
      <c r="C403" t="s">
        <v>94</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104</v>
      </c>
      <c r="C404" t="s">
        <v>94</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104</v>
      </c>
      <c r="C405" t="s">
        <v>94</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104</v>
      </c>
      <c r="C406" t="s">
        <v>94</v>
      </c>
      <c r="D406" t="s">
        <v>90</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95</v>
      </c>
      <c r="B407" t="s">
        <v>104</v>
      </c>
      <c r="C407" t="s">
        <v>94</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104</v>
      </c>
      <c r="C408" t="s">
        <v>94</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104</v>
      </c>
      <c r="C409" t="s">
        <v>94</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104</v>
      </c>
      <c r="C410" t="s">
        <v>94</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104</v>
      </c>
      <c r="C411" t="s">
        <v>94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104</v>
      </c>
      <c r="C412" t="s">
        <v>94</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104</v>
      </c>
      <c r="C413" t="s">
        <v>94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104</v>
      </c>
      <c r="C414" t="s">
        <v>94</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104</v>
      </c>
      <c r="C415" t="s">
        <v>94</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104</v>
      </c>
      <c r="C416" t="s">
        <v>94</v>
      </c>
      <c r="D416" t="s">
        <v>90</v>
      </c>
      <c r="E416" t="s">
        <v>44</v>
      </c>
      <c r="F416" s="6">
        <v>0.6875</v>
      </c>
      <c r="G416">
        <v>0</v>
      </c>
      <c r="H416" s="6">
        <f>FLOOR(tblPivotData[[#This Row],[Time]],Summary!$B$6/1440)</f>
        <v>0.6875</v>
      </c>
      <c r="I416" s="49">
        <f>INDEX(PeakCalc!$L$10:$L$303,MATCH(tblPivotData[[#This Row],[Time]],PeakCalc!$G$10:$G$303,0))</f>
        <v>0</v>
      </c>
    </row>
    <row r="417" spans="1:9" x14ac:dyDescent="0.25">
      <c r="A417" t="s">
        <v>95</v>
      </c>
      <c r="B417" t="s">
        <v>104</v>
      </c>
      <c r="C417" t="s">
        <v>94</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104</v>
      </c>
      <c r="C418" t="s">
        <v>94</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104</v>
      </c>
      <c r="C419" t="s">
        <v>94</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104</v>
      </c>
      <c r="C420" t="s">
        <v>94</v>
      </c>
      <c r="D420" t="s">
        <v>90</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95</v>
      </c>
      <c r="B421" t="s">
        <v>104</v>
      </c>
      <c r="C421" t="s">
        <v>94</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92</v>
      </c>
      <c r="C422" t="s">
        <v>95</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92</v>
      </c>
      <c r="C423" t="s">
        <v>95</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92</v>
      </c>
      <c r="C424" t="s">
        <v>95</v>
      </c>
      <c r="D424" t="s">
        <v>79</v>
      </c>
      <c r="E424" t="s">
        <v>43</v>
      </c>
      <c r="F424" s="6">
        <v>0.3125</v>
      </c>
      <c r="G424">
        <v>0</v>
      </c>
      <c r="H424" s="6">
        <f>FLOOR(tblPivotData[[#This Row],[Time]],Summary!$B$6/1440)</f>
        <v>0.3125</v>
      </c>
      <c r="I424" s="49">
        <f>INDEX(PeakCalc!$L$10:$L$303,MATCH(tblPivotData[[#This Row],[Time]],PeakCalc!$G$10:$G$303,0))</f>
        <v>0</v>
      </c>
    </row>
    <row r="425" spans="1:9" x14ac:dyDescent="0.25">
      <c r="A425" t="s">
        <v>95</v>
      </c>
      <c r="B425" t="s">
        <v>92</v>
      </c>
      <c r="C425" t="s">
        <v>95</v>
      </c>
      <c r="D425" t="s">
        <v>79</v>
      </c>
      <c r="E425" t="s">
        <v>43</v>
      </c>
      <c r="F425" s="6">
        <v>0.32291666666666669</v>
      </c>
      <c r="G425">
        <v>0</v>
      </c>
      <c r="H425" s="6">
        <f>FLOOR(tblPivotData[[#This Row],[Time]],Summary!$B$6/1440)</f>
        <v>0.32291666666666663</v>
      </c>
      <c r="I425" s="49">
        <f>INDEX(PeakCalc!$L$10:$L$303,MATCH(tblPivotData[[#This Row],[Time]],PeakCalc!$G$10:$G$303,0))</f>
        <v>0</v>
      </c>
    </row>
    <row r="426" spans="1:9" x14ac:dyDescent="0.25">
      <c r="A426" t="s">
        <v>95</v>
      </c>
      <c r="B426" t="s">
        <v>92</v>
      </c>
      <c r="C426" t="s">
        <v>95</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95</v>
      </c>
      <c r="B427" t="s">
        <v>92</v>
      </c>
      <c r="C427" t="s">
        <v>95</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92</v>
      </c>
      <c r="C428" t="s">
        <v>95</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95</v>
      </c>
      <c r="B429" t="s">
        <v>92</v>
      </c>
      <c r="C429" t="s">
        <v>95</v>
      </c>
      <c r="D429" t="s">
        <v>79</v>
      </c>
      <c r="E429" t="s">
        <v>43</v>
      </c>
      <c r="F429" s="6">
        <v>0.36458333333333331</v>
      </c>
      <c r="G429">
        <v>0</v>
      </c>
      <c r="H429" s="6">
        <f>FLOOR(tblPivotData[[#This Row],[Time]],Summary!$B$6/1440)</f>
        <v>0.36458333333333331</v>
      </c>
      <c r="I429" s="49">
        <f>INDEX(PeakCalc!$L$10:$L$303,MATCH(tblPivotData[[#This Row],[Time]],PeakCalc!$G$10:$G$303,0))</f>
        <v>1</v>
      </c>
    </row>
    <row r="430" spans="1:9" x14ac:dyDescent="0.25">
      <c r="A430" t="s">
        <v>95</v>
      </c>
      <c r="B430" t="s">
        <v>92</v>
      </c>
      <c r="C430" t="s">
        <v>95</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95</v>
      </c>
      <c r="B431" t="s">
        <v>92</v>
      </c>
      <c r="C431" t="s">
        <v>95</v>
      </c>
      <c r="D431" t="s">
        <v>79</v>
      </c>
      <c r="E431" t="s">
        <v>91</v>
      </c>
      <c r="F431" s="6">
        <v>0.55208333333333337</v>
      </c>
      <c r="G431">
        <v>0</v>
      </c>
      <c r="H431" s="6">
        <f>FLOOR(tblPivotData[[#This Row],[Time]],Summary!$B$6/1440)</f>
        <v>0.55208333333333326</v>
      </c>
      <c r="I431" s="49">
        <f>INDEX(PeakCalc!$L$10:$L$303,MATCH(tblPivotData[[#This Row],[Time]],PeakCalc!$G$10:$G$303,0))</f>
        <v>1</v>
      </c>
    </row>
    <row r="432" spans="1:9" x14ac:dyDescent="0.25">
      <c r="A432" t="s">
        <v>95</v>
      </c>
      <c r="B432" t="s">
        <v>92</v>
      </c>
      <c r="C432" t="s">
        <v>95</v>
      </c>
      <c r="D432" t="s">
        <v>79</v>
      </c>
      <c r="E432" t="s">
        <v>91</v>
      </c>
      <c r="F432" s="6">
        <v>0.5625</v>
      </c>
      <c r="G432">
        <v>0</v>
      </c>
      <c r="H432" s="6">
        <f>FLOOR(tblPivotData[[#This Row],[Time]],Summary!$B$6/1440)</f>
        <v>0.5625</v>
      </c>
      <c r="I432" s="49">
        <f>INDEX(PeakCalc!$L$10:$L$303,MATCH(tblPivotData[[#This Row],[Time]],PeakCalc!$G$10:$G$303,0))</f>
        <v>1</v>
      </c>
    </row>
    <row r="433" spans="1:9" x14ac:dyDescent="0.25">
      <c r="A433" t="s">
        <v>95</v>
      </c>
      <c r="B433" t="s">
        <v>92</v>
      </c>
      <c r="C433" t="s">
        <v>95</v>
      </c>
      <c r="D433" t="s">
        <v>79</v>
      </c>
      <c r="E433" t="s">
        <v>91</v>
      </c>
      <c r="F433" s="6">
        <v>0.57291666666666663</v>
      </c>
      <c r="G433">
        <v>1</v>
      </c>
      <c r="H433" s="6">
        <f>FLOOR(tblPivotData[[#This Row],[Time]],Summary!$B$6/1440)</f>
        <v>0.57291666666666663</v>
      </c>
      <c r="I433" s="49">
        <f>INDEX(PeakCalc!$L$10:$L$303,MATCH(tblPivotData[[#This Row],[Time]],PeakCalc!$G$10:$G$303,0))</f>
        <v>1</v>
      </c>
    </row>
    <row r="434" spans="1:9" x14ac:dyDescent="0.25">
      <c r="A434" t="s">
        <v>95</v>
      </c>
      <c r="B434" t="s">
        <v>92</v>
      </c>
      <c r="C434" t="s">
        <v>95</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95</v>
      </c>
      <c r="B435" t="s">
        <v>92</v>
      </c>
      <c r="C435" t="s">
        <v>95</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95</v>
      </c>
      <c r="B436" t="s">
        <v>92</v>
      </c>
      <c r="C436" t="s">
        <v>95</v>
      </c>
      <c r="D436" t="s">
        <v>79</v>
      </c>
      <c r="E436" t="s">
        <v>44</v>
      </c>
      <c r="F436" s="6">
        <v>0.6875</v>
      </c>
      <c r="G436">
        <v>0</v>
      </c>
      <c r="H436" s="6">
        <f>FLOOR(tblPivotData[[#This Row],[Time]],Summary!$B$6/1440)</f>
        <v>0.6875</v>
      </c>
      <c r="I436" s="49">
        <f>INDEX(PeakCalc!$L$10:$L$303,MATCH(tblPivotData[[#This Row],[Time]],PeakCalc!$G$10:$G$303,0))</f>
        <v>0</v>
      </c>
    </row>
    <row r="437" spans="1:9" x14ac:dyDescent="0.25">
      <c r="A437" t="s">
        <v>95</v>
      </c>
      <c r="B437" t="s">
        <v>92</v>
      </c>
      <c r="C437" t="s">
        <v>95</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95</v>
      </c>
      <c r="B438" t="s">
        <v>92</v>
      </c>
      <c r="C438" t="s">
        <v>95</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95</v>
      </c>
      <c r="B439" t="s">
        <v>92</v>
      </c>
      <c r="C439" t="s">
        <v>95</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95</v>
      </c>
      <c r="B440" t="s">
        <v>92</v>
      </c>
      <c r="C440" t="s">
        <v>95</v>
      </c>
      <c r="D440" t="s">
        <v>79</v>
      </c>
      <c r="E440" t="s">
        <v>44</v>
      </c>
      <c r="F440" s="6">
        <v>0.72916666666666663</v>
      </c>
      <c r="G440">
        <v>0</v>
      </c>
      <c r="H440" s="6">
        <f>FLOOR(tblPivotData[[#This Row],[Time]],Summary!$B$6/1440)</f>
        <v>0.72916666666666663</v>
      </c>
      <c r="I440" s="49">
        <f>INDEX(PeakCalc!$L$10:$L$303,MATCH(tblPivotData[[#This Row],[Time]],PeakCalc!$G$10:$G$303,0))</f>
        <v>1</v>
      </c>
    </row>
    <row r="441" spans="1:9" x14ac:dyDescent="0.25">
      <c r="A441" t="s">
        <v>95</v>
      </c>
      <c r="B441" t="s">
        <v>92</v>
      </c>
      <c r="C441" t="s">
        <v>95</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95</v>
      </c>
      <c r="B442" t="s">
        <v>92</v>
      </c>
      <c r="C442" t="s">
        <v>95</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92</v>
      </c>
      <c r="C443" t="s">
        <v>95</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92</v>
      </c>
      <c r="C444" t="s">
        <v>95</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92</v>
      </c>
      <c r="C445" t="s">
        <v>95</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92</v>
      </c>
      <c r="C446" t="s">
        <v>95</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92</v>
      </c>
      <c r="C447" t="s">
        <v>95</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92</v>
      </c>
      <c r="C448" t="s">
        <v>95</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92</v>
      </c>
      <c r="C449" t="s">
        <v>95</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92</v>
      </c>
      <c r="C450" t="s">
        <v>95</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92</v>
      </c>
      <c r="C451" t="s">
        <v>95</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92</v>
      </c>
      <c r="C452" t="s">
        <v>95</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92</v>
      </c>
      <c r="C453" t="s">
        <v>95</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92</v>
      </c>
      <c r="C454" t="s">
        <v>95</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92</v>
      </c>
      <c r="C455" t="s">
        <v>95</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92</v>
      </c>
      <c r="C456" t="s">
        <v>95</v>
      </c>
      <c r="D456" t="s">
        <v>89</v>
      </c>
      <c r="E456" t="s">
        <v>44</v>
      </c>
      <c r="F456" s="6">
        <v>0.6875</v>
      </c>
      <c r="G456">
        <v>0</v>
      </c>
      <c r="H456" s="6">
        <f>FLOOR(tblPivotData[[#This Row],[Time]],Summary!$B$6/1440)</f>
        <v>0.6875</v>
      </c>
      <c r="I456" s="49">
        <f>INDEX(PeakCalc!$L$10:$L$303,MATCH(tblPivotData[[#This Row],[Time]],PeakCalc!$G$10:$G$303,0))</f>
        <v>0</v>
      </c>
    </row>
    <row r="457" spans="1:9" x14ac:dyDescent="0.25">
      <c r="A457" t="s">
        <v>95</v>
      </c>
      <c r="B457" t="s">
        <v>92</v>
      </c>
      <c r="C457" t="s">
        <v>95</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92</v>
      </c>
      <c r="C458" t="s">
        <v>95</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92</v>
      </c>
      <c r="C459" t="s">
        <v>95</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92</v>
      </c>
      <c r="C460" t="s">
        <v>95</v>
      </c>
      <c r="D460" t="s">
        <v>89</v>
      </c>
      <c r="E460" t="s">
        <v>44</v>
      </c>
      <c r="F460" s="6">
        <v>0.72916666666666663</v>
      </c>
      <c r="G460">
        <v>0</v>
      </c>
      <c r="H460" s="6">
        <f>FLOOR(tblPivotData[[#This Row],[Time]],Summary!$B$6/1440)</f>
        <v>0.72916666666666663</v>
      </c>
      <c r="I460" s="49">
        <f>INDEX(PeakCalc!$L$10:$L$303,MATCH(tblPivotData[[#This Row],[Time]],PeakCalc!$G$10:$G$303,0))</f>
        <v>1</v>
      </c>
    </row>
    <row r="461" spans="1:9" x14ac:dyDescent="0.25">
      <c r="A461" t="s">
        <v>95</v>
      </c>
      <c r="B461" t="s">
        <v>92</v>
      </c>
      <c r="C461" t="s">
        <v>95</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92</v>
      </c>
      <c r="C462" t="s">
        <v>95</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92</v>
      </c>
      <c r="C463" t="s">
        <v>95</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92</v>
      </c>
      <c r="C464" t="s">
        <v>95</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92</v>
      </c>
      <c r="C465" t="s">
        <v>95</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92</v>
      </c>
      <c r="C466" t="s">
        <v>95</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92</v>
      </c>
      <c r="C467" t="s">
        <v>95</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92</v>
      </c>
      <c r="C468" t="s">
        <v>95</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92</v>
      </c>
      <c r="C469" t="s">
        <v>95</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92</v>
      </c>
      <c r="C470" t="s">
        <v>95</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92</v>
      </c>
      <c r="C471" t="s">
        <v>95</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92</v>
      </c>
      <c r="C472" t="s">
        <v>95</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92</v>
      </c>
      <c r="C473" t="s">
        <v>95</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92</v>
      </c>
      <c r="C474" t="s">
        <v>95</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92</v>
      </c>
      <c r="C475" t="s">
        <v>95</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92</v>
      </c>
      <c r="C476" t="s">
        <v>95</v>
      </c>
      <c r="D476" t="s">
        <v>90</v>
      </c>
      <c r="E476" t="s">
        <v>44</v>
      </c>
      <c r="F476" s="6">
        <v>0.6875</v>
      </c>
      <c r="G476">
        <v>0</v>
      </c>
      <c r="H476" s="6">
        <f>FLOOR(tblPivotData[[#This Row],[Time]],Summary!$B$6/1440)</f>
        <v>0.6875</v>
      </c>
      <c r="I476" s="49">
        <f>INDEX(PeakCalc!$L$10:$L$303,MATCH(tblPivotData[[#This Row],[Time]],PeakCalc!$G$10:$G$303,0))</f>
        <v>0</v>
      </c>
    </row>
    <row r="477" spans="1:9" x14ac:dyDescent="0.25">
      <c r="A477" t="s">
        <v>95</v>
      </c>
      <c r="B477" t="s">
        <v>92</v>
      </c>
      <c r="C477" t="s">
        <v>95</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92</v>
      </c>
      <c r="C478" t="s">
        <v>95</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92</v>
      </c>
      <c r="C479" t="s">
        <v>95</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92</v>
      </c>
      <c r="C480" t="s">
        <v>95</v>
      </c>
      <c r="D480" t="s">
        <v>90</v>
      </c>
      <c r="E480" t="s">
        <v>44</v>
      </c>
      <c r="F480" s="6">
        <v>0.72916666666666663</v>
      </c>
      <c r="G480">
        <v>0</v>
      </c>
      <c r="H480" s="6">
        <f>FLOOR(tblPivotData[[#This Row],[Time]],Summary!$B$6/1440)</f>
        <v>0.72916666666666663</v>
      </c>
      <c r="I480" s="49">
        <f>INDEX(PeakCalc!$L$10:$L$303,MATCH(tblPivotData[[#This Row],[Time]],PeakCalc!$G$10:$G$303,0))</f>
        <v>1</v>
      </c>
    </row>
    <row r="481" spans="1:9" x14ac:dyDescent="0.25">
      <c r="A481" t="s">
        <v>95</v>
      </c>
      <c r="B481" t="s">
        <v>92</v>
      </c>
      <c r="C481" t="s">
        <v>95</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96</v>
      </c>
      <c r="B482" t="s">
        <v>105</v>
      </c>
      <c r="C482" t="s">
        <v>97</v>
      </c>
      <c r="D482" t="s">
        <v>79</v>
      </c>
      <c r="E482" t="s">
        <v>43</v>
      </c>
      <c r="F482" s="6">
        <v>0.29166666666666669</v>
      </c>
      <c r="G482">
        <v>14</v>
      </c>
      <c r="H482" s="6">
        <f>FLOOR(tblPivotData[[#This Row],[Time]],Summary!$B$6/1440)</f>
        <v>0.29166666666666663</v>
      </c>
      <c r="I482" s="49">
        <f>INDEX(PeakCalc!$L$10:$L$303,MATCH(tblPivotData[[#This Row],[Time]],PeakCalc!$G$10:$G$303,0))</f>
        <v>0</v>
      </c>
    </row>
    <row r="483" spans="1:9" x14ac:dyDescent="0.25">
      <c r="A483" t="s">
        <v>96</v>
      </c>
      <c r="B483" t="s">
        <v>105</v>
      </c>
      <c r="C483" t="s">
        <v>97</v>
      </c>
      <c r="D483" t="s">
        <v>79</v>
      </c>
      <c r="E483" t="s">
        <v>43</v>
      </c>
      <c r="F483" s="6">
        <v>0.30208333333333331</v>
      </c>
      <c r="G483">
        <v>12</v>
      </c>
      <c r="H483" s="6">
        <f>FLOOR(tblPivotData[[#This Row],[Time]],Summary!$B$6/1440)</f>
        <v>0.30208333333333331</v>
      </c>
      <c r="I483" s="49">
        <f>INDEX(PeakCalc!$L$10:$L$303,MATCH(tblPivotData[[#This Row],[Time]],PeakCalc!$G$10:$G$303,0))</f>
        <v>0</v>
      </c>
    </row>
    <row r="484" spans="1:9" x14ac:dyDescent="0.25">
      <c r="A484" t="s">
        <v>96</v>
      </c>
      <c r="B484" t="s">
        <v>105</v>
      </c>
      <c r="C484" t="s">
        <v>97</v>
      </c>
      <c r="D484" t="s">
        <v>79</v>
      </c>
      <c r="E484" t="s">
        <v>43</v>
      </c>
      <c r="F484" s="6">
        <v>0.3125</v>
      </c>
      <c r="G484">
        <v>27</v>
      </c>
      <c r="H484" s="6">
        <f>FLOOR(tblPivotData[[#This Row],[Time]],Summary!$B$6/1440)</f>
        <v>0.3125</v>
      </c>
      <c r="I484" s="49">
        <f>INDEX(PeakCalc!$L$10:$L$303,MATCH(tblPivotData[[#This Row],[Time]],PeakCalc!$G$10:$G$303,0))</f>
        <v>0</v>
      </c>
    </row>
    <row r="485" spans="1:9" x14ac:dyDescent="0.25">
      <c r="A485" t="s">
        <v>96</v>
      </c>
      <c r="B485" t="s">
        <v>105</v>
      </c>
      <c r="C485" t="s">
        <v>97</v>
      </c>
      <c r="D485" t="s">
        <v>79</v>
      </c>
      <c r="E485" t="s">
        <v>43</v>
      </c>
      <c r="F485" s="6">
        <v>0.32291666666666669</v>
      </c>
      <c r="G485">
        <v>23</v>
      </c>
      <c r="H485" s="6">
        <f>FLOOR(tblPivotData[[#This Row],[Time]],Summary!$B$6/1440)</f>
        <v>0.32291666666666663</v>
      </c>
      <c r="I485" s="49">
        <f>INDEX(PeakCalc!$L$10:$L$303,MATCH(tblPivotData[[#This Row],[Time]],PeakCalc!$G$10:$G$303,0))</f>
        <v>0</v>
      </c>
    </row>
    <row r="486" spans="1:9" x14ac:dyDescent="0.25">
      <c r="A486" t="s">
        <v>96</v>
      </c>
      <c r="B486" t="s">
        <v>105</v>
      </c>
      <c r="C486" t="s">
        <v>97</v>
      </c>
      <c r="D486" t="s">
        <v>79</v>
      </c>
      <c r="E486" t="s">
        <v>43</v>
      </c>
      <c r="F486" s="6">
        <v>0.33333333333333331</v>
      </c>
      <c r="G486">
        <v>20</v>
      </c>
      <c r="H486" s="6">
        <f>FLOOR(tblPivotData[[#This Row],[Time]],Summary!$B$6/1440)</f>
        <v>0.33333333333333331</v>
      </c>
      <c r="I486" s="49">
        <f>INDEX(PeakCalc!$L$10:$L$303,MATCH(tblPivotData[[#This Row],[Time]],PeakCalc!$G$10:$G$303,0))</f>
        <v>1</v>
      </c>
    </row>
    <row r="487" spans="1:9" x14ac:dyDescent="0.25">
      <c r="A487" t="s">
        <v>96</v>
      </c>
      <c r="B487" t="s">
        <v>105</v>
      </c>
      <c r="C487" t="s">
        <v>97</v>
      </c>
      <c r="D487" t="s">
        <v>79</v>
      </c>
      <c r="E487" t="s">
        <v>43</v>
      </c>
      <c r="F487" s="6">
        <v>0.34375</v>
      </c>
      <c r="G487">
        <v>16</v>
      </c>
      <c r="H487" s="6">
        <f>FLOOR(tblPivotData[[#This Row],[Time]],Summary!$B$6/1440)</f>
        <v>0.34375</v>
      </c>
      <c r="I487" s="49">
        <f>INDEX(PeakCalc!$L$10:$L$303,MATCH(tblPivotData[[#This Row],[Time]],PeakCalc!$G$10:$G$303,0))</f>
        <v>1</v>
      </c>
    </row>
    <row r="488" spans="1:9" x14ac:dyDescent="0.25">
      <c r="A488" t="s">
        <v>96</v>
      </c>
      <c r="B488" t="s">
        <v>105</v>
      </c>
      <c r="C488" t="s">
        <v>97</v>
      </c>
      <c r="D488" t="s">
        <v>79</v>
      </c>
      <c r="E488" t="s">
        <v>43</v>
      </c>
      <c r="F488" s="6">
        <v>0.35416666666666669</v>
      </c>
      <c r="G488">
        <v>25</v>
      </c>
      <c r="H488" s="6">
        <f>FLOOR(tblPivotData[[#This Row],[Time]],Summary!$B$6/1440)</f>
        <v>0.35416666666666663</v>
      </c>
      <c r="I488" s="49">
        <f>INDEX(PeakCalc!$L$10:$L$303,MATCH(tblPivotData[[#This Row],[Time]],PeakCalc!$G$10:$G$303,0))</f>
        <v>1</v>
      </c>
    </row>
    <row r="489" spans="1:9" x14ac:dyDescent="0.25">
      <c r="A489" t="s">
        <v>96</v>
      </c>
      <c r="B489" t="s">
        <v>105</v>
      </c>
      <c r="C489" t="s">
        <v>97</v>
      </c>
      <c r="D489" t="s">
        <v>79</v>
      </c>
      <c r="E489" t="s">
        <v>43</v>
      </c>
      <c r="F489" s="6">
        <v>0.36458333333333331</v>
      </c>
      <c r="G489">
        <v>18</v>
      </c>
      <c r="H489" s="6">
        <f>FLOOR(tblPivotData[[#This Row],[Time]],Summary!$B$6/1440)</f>
        <v>0.36458333333333331</v>
      </c>
      <c r="I489" s="49">
        <f>INDEX(PeakCalc!$L$10:$L$303,MATCH(tblPivotData[[#This Row],[Time]],PeakCalc!$G$10:$G$303,0))</f>
        <v>1</v>
      </c>
    </row>
    <row r="490" spans="1:9" x14ac:dyDescent="0.25">
      <c r="A490" t="s">
        <v>96</v>
      </c>
      <c r="B490" t="s">
        <v>105</v>
      </c>
      <c r="C490" t="s">
        <v>97</v>
      </c>
      <c r="D490" t="s">
        <v>79</v>
      </c>
      <c r="E490" t="s">
        <v>91</v>
      </c>
      <c r="F490" s="6">
        <v>0.54166666666666663</v>
      </c>
      <c r="G490">
        <v>28</v>
      </c>
      <c r="H490" s="6">
        <f>FLOOR(tblPivotData[[#This Row],[Time]],Summary!$B$6/1440)</f>
        <v>0.54166666666666663</v>
      </c>
      <c r="I490" s="49">
        <f>INDEX(PeakCalc!$L$10:$L$303,MATCH(tblPivotData[[#This Row],[Time]],PeakCalc!$G$10:$G$303,0))</f>
        <v>1</v>
      </c>
    </row>
    <row r="491" spans="1:9" x14ac:dyDescent="0.25">
      <c r="A491" t="s">
        <v>96</v>
      </c>
      <c r="B491" t="s">
        <v>105</v>
      </c>
      <c r="C491" t="s">
        <v>97</v>
      </c>
      <c r="D491" t="s">
        <v>79</v>
      </c>
      <c r="E491" t="s">
        <v>91</v>
      </c>
      <c r="F491" s="6">
        <v>0.55208333333333337</v>
      </c>
      <c r="G491">
        <v>21</v>
      </c>
      <c r="H491" s="6">
        <f>FLOOR(tblPivotData[[#This Row],[Time]],Summary!$B$6/1440)</f>
        <v>0.55208333333333326</v>
      </c>
      <c r="I491" s="49">
        <f>INDEX(PeakCalc!$L$10:$L$303,MATCH(tblPivotData[[#This Row],[Time]],PeakCalc!$G$10:$G$303,0))</f>
        <v>1</v>
      </c>
    </row>
    <row r="492" spans="1:9" x14ac:dyDescent="0.25">
      <c r="A492" t="s">
        <v>96</v>
      </c>
      <c r="B492" t="s">
        <v>105</v>
      </c>
      <c r="C492" t="s">
        <v>97</v>
      </c>
      <c r="D492" t="s">
        <v>79</v>
      </c>
      <c r="E492" t="s">
        <v>91</v>
      </c>
      <c r="F492" s="6">
        <v>0.5625</v>
      </c>
      <c r="G492">
        <v>21</v>
      </c>
      <c r="H492" s="6">
        <f>FLOOR(tblPivotData[[#This Row],[Time]],Summary!$B$6/1440)</f>
        <v>0.5625</v>
      </c>
      <c r="I492" s="49">
        <f>INDEX(PeakCalc!$L$10:$L$303,MATCH(tblPivotData[[#This Row],[Time]],PeakCalc!$G$10:$G$303,0))</f>
        <v>1</v>
      </c>
    </row>
    <row r="493" spans="1:9" x14ac:dyDescent="0.25">
      <c r="A493" t="s">
        <v>96</v>
      </c>
      <c r="B493" t="s">
        <v>105</v>
      </c>
      <c r="C493" t="s">
        <v>97</v>
      </c>
      <c r="D493" t="s">
        <v>79</v>
      </c>
      <c r="E493" t="s">
        <v>91</v>
      </c>
      <c r="F493" s="6">
        <v>0.57291666666666663</v>
      </c>
      <c r="G493">
        <v>20</v>
      </c>
      <c r="H493" s="6">
        <f>FLOOR(tblPivotData[[#This Row],[Time]],Summary!$B$6/1440)</f>
        <v>0.57291666666666663</v>
      </c>
      <c r="I493" s="49">
        <f>INDEX(PeakCalc!$L$10:$L$303,MATCH(tblPivotData[[#This Row],[Time]],PeakCalc!$G$10:$G$303,0))</f>
        <v>1</v>
      </c>
    </row>
    <row r="494" spans="1:9" x14ac:dyDescent="0.25">
      <c r="A494" t="s">
        <v>96</v>
      </c>
      <c r="B494" t="s">
        <v>105</v>
      </c>
      <c r="C494" t="s">
        <v>97</v>
      </c>
      <c r="D494" t="s">
        <v>79</v>
      </c>
      <c r="E494" t="s">
        <v>44</v>
      </c>
      <c r="F494" s="6">
        <v>0.66666666666666663</v>
      </c>
      <c r="G494">
        <v>20</v>
      </c>
      <c r="H494" s="6">
        <f>FLOOR(tblPivotData[[#This Row],[Time]],Summary!$B$6/1440)</f>
        <v>0.66666666666666663</v>
      </c>
      <c r="I494" s="49">
        <f>INDEX(PeakCalc!$L$10:$L$303,MATCH(tblPivotData[[#This Row],[Time]],PeakCalc!$G$10:$G$303,0))</f>
        <v>0</v>
      </c>
    </row>
    <row r="495" spans="1:9" x14ac:dyDescent="0.25">
      <c r="A495" t="s">
        <v>96</v>
      </c>
      <c r="B495" t="s">
        <v>105</v>
      </c>
      <c r="C495" t="s">
        <v>97</v>
      </c>
      <c r="D495" t="s">
        <v>79</v>
      </c>
      <c r="E495" t="s">
        <v>44</v>
      </c>
      <c r="F495" s="6">
        <v>0.67708333333333337</v>
      </c>
      <c r="G495">
        <v>22</v>
      </c>
      <c r="H495" s="6">
        <f>FLOOR(tblPivotData[[#This Row],[Time]],Summary!$B$6/1440)</f>
        <v>0.67708333333333326</v>
      </c>
      <c r="I495" s="49">
        <f>INDEX(PeakCalc!$L$10:$L$303,MATCH(tblPivotData[[#This Row],[Time]],PeakCalc!$G$10:$G$303,0))</f>
        <v>0</v>
      </c>
    </row>
    <row r="496" spans="1:9" x14ac:dyDescent="0.25">
      <c r="A496" t="s">
        <v>96</v>
      </c>
      <c r="B496" t="s">
        <v>105</v>
      </c>
      <c r="C496" t="s">
        <v>97</v>
      </c>
      <c r="D496" t="s">
        <v>79</v>
      </c>
      <c r="E496" t="s">
        <v>44</v>
      </c>
      <c r="F496" s="6">
        <v>0.6875</v>
      </c>
      <c r="G496">
        <v>23</v>
      </c>
      <c r="H496" s="6">
        <f>FLOOR(tblPivotData[[#This Row],[Time]],Summary!$B$6/1440)</f>
        <v>0.6875</v>
      </c>
      <c r="I496" s="49">
        <f>INDEX(PeakCalc!$L$10:$L$303,MATCH(tblPivotData[[#This Row],[Time]],PeakCalc!$G$10:$G$303,0))</f>
        <v>0</v>
      </c>
    </row>
    <row r="497" spans="1:9" x14ac:dyDescent="0.25">
      <c r="A497" t="s">
        <v>96</v>
      </c>
      <c r="B497" t="s">
        <v>105</v>
      </c>
      <c r="C497" t="s">
        <v>97</v>
      </c>
      <c r="D497" t="s">
        <v>79</v>
      </c>
      <c r="E497" t="s">
        <v>44</v>
      </c>
      <c r="F497" s="6">
        <v>0.69791666666666663</v>
      </c>
      <c r="G497">
        <v>26</v>
      </c>
      <c r="H497" s="6">
        <f>FLOOR(tblPivotData[[#This Row],[Time]],Summary!$B$6/1440)</f>
        <v>0.69791666666666663</v>
      </c>
      <c r="I497" s="49">
        <f>INDEX(PeakCalc!$L$10:$L$303,MATCH(tblPivotData[[#This Row],[Time]],PeakCalc!$G$10:$G$303,0))</f>
        <v>1</v>
      </c>
    </row>
    <row r="498" spans="1:9" x14ac:dyDescent="0.25">
      <c r="A498" t="s">
        <v>96</v>
      </c>
      <c r="B498" t="s">
        <v>105</v>
      </c>
      <c r="C498" t="s">
        <v>97</v>
      </c>
      <c r="D498" t="s">
        <v>79</v>
      </c>
      <c r="E498" t="s">
        <v>44</v>
      </c>
      <c r="F498" s="6">
        <v>0.70833333333333337</v>
      </c>
      <c r="G498">
        <v>33</v>
      </c>
      <c r="H498" s="6">
        <f>FLOOR(tblPivotData[[#This Row],[Time]],Summary!$B$6/1440)</f>
        <v>0.70833333333333326</v>
      </c>
      <c r="I498" s="49">
        <f>INDEX(PeakCalc!$L$10:$L$303,MATCH(tblPivotData[[#This Row],[Time]],PeakCalc!$G$10:$G$303,0))</f>
        <v>1</v>
      </c>
    </row>
    <row r="499" spans="1:9" x14ac:dyDescent="0.25">
      <c r="A499" t="s">
        <v>96</v>
      </c>
      <c r="B499" t="s">
        <v>105</v>
      </c>
      <c r="C499" t="s">
        <v>97</v>
      </c>
      <c r="D499" t="s">
        <v>79</v>
      </c>
      <c r="E499" t="s">
        <v>44</v>
      </c>
      <c r="F499" s="6">
        <v>0.71875</v>
      </c>
      <c r="G499">
        <v>17</v>
      </c>
      <c r="H499" s="6">
        <f>FLOOR(tblPivotData[[#This Row],[Time]],Summary!$B$6/1440)</f>
        <v>0.71875</v>
      </c>
      <c r="I499" s="49">
        <f>INDEX(PeakCalc!$L$10:$L$303,MATCH(tblPivotData[[#This Row],[Time]],PeakCalc!$G$10:$G$303,0))</f>
        <v>1</v>
      </c>
    </row>
    <row r="500" spans="1:9" x14ac:dyDescent="0.25">
      <c r="A500" t="s">
        <v>96</v>
      </c>
      <c r="B500" t="s">
        <v>105</v>
      </c>
      <c r="C500" t="s">
        <v>97</v>
      </c>
      <c r="D500" t="s">
        <v>79</v>
      </c>
      <c r="E500" t="s">
        <v>44</v>
      </c>
      <c r="F500" s="6">
        <v>0.72916666666666663</v>
      </c>
      <c r="G500">
        <v>39</v>
      </c>
      <c r="H500" s="6">
        <f>FLOOR(tblPivotData[[#This Row],[Time]],Summary!$B$6/1440)</f>
        <v>0.72916666666666663</v>
      </c>
      <c r="I500" s="49">
        <f>INDEX(PeakCalc!$L$10:$L$303,MATCH(tblPivotData[[#This Row],[Time]],PeakCalc!$G$10:$G$303,0))</f>
        <v>1</v>
      </c>
    </row>
    <row r="501" spans="1:9" x14ac:dyDescent="0.25">
      <c r="A501" t="s">
        <v>96</v>
      </c>
      <c r="B501" t="s">
        <v>105</v>
      </c>
      <c r="C501" t="s">
        <v>97</v>
      </c>
      <c r="D501" t="s">
        <v>79</v>
      </c>
      <c r="E501" t="s">
        <v>44</v>
      </c>
      <c r="F501" s="6">
        <v>0.73958333333333337</v>
      </c>
      <c r="G501">
        <v>21</v>
      </c>
      <c r="H501" s="6">
        <f>FLOOR(tblPivotData[[#This Row],[Time]],Summary!$B$6/1440)</f>
        <v>0.73958333333333326</v>
      </c>
      <c r="I501" s="49">
        <f>INDEX(PeakCalc!$L$10:$L$303,MATCH(tblPivotData[[#This Row],[Time]],PeakCalc!$G$10:$G$303,0))</f>
        <v>0</v>
      </c>
    </row>
    <row r="502" spans="1:9" x14ac:dyDescent="0.25">
      <c r="A502" t="s">
        <v>96</v>
      </c>
      <c r="B502" t="s">
        <v>105</v>
      </c>
      <c r="C502" t="s">
        <v>97</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96</v>
      </c>
      <c r="B503" t="s">
        <v>105</v>
      </c>
      <c r="C503" t="s">
        <v>97</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96</v>
      </c>
      <c r="B504" t="s">
        <v>105</v>
      </c>
      <c r="C504" t="s">
        <v>97</v>
      </c>
      <c r="D504" t="s">
        <v>89</v>
      </c>
      <c r="E504" t="s">
        <v>43</v>
      </c>
      <c r="F504" s="6">
        <v>0.3125</v>
      </c>
      <c r="G504">
        <v>1</v>
      </c>
      <c r="H504" s="6">
        <f>FLOOR(tblPivotData[[#This Row],[Time]],Summary!$B$6/1440)</f>
        <v>0.3125</v>
      </c>
      <c r="I504" s="49">
        <f>INDEX(PeakCalc!$L$10:$L$303,MATCH(tblPivotData[[#This Row],[Time]],PeakCalc!$G$10:$G$303,0))</f>
        <v>0</v>
      </c>
    </row>
    <row r="505" spans="1:9" x14ac:dyDescent="0.25">
      <c r="A505" t="s">
        <v>96</v>
      </c>
      <c r="B505" t="s">
        <v>105</v>
      </c>
      <c r="C505" t="s">
        <v>97</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96</v>
      </c>
      <c r="B506" t="s">
        <v>105</v>
      </c>
      <c r="C506" t="s">
        <v>97</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96</v>
      </c>
      <c r="B507" t="s">
        <v>105</v>
      </c>
      <c r="C507" t="s">
        <v>97</v>
      </c>
      <c r="D507" t="s">
        <v>89</v>
      </c>
      <c r="E507" t="s">
        <v>43</v>
      </c>
      <c r="F507" s="6">
        <v>0.34375</v>
      </c>
      <c r="G507">
        <v>2</v>
      </c>
      <c r="H507" s="6">
        <f>FLOOR(tblPivotData[[#This Row],[Time]],Summary!$B$6/1440)</f>
        <v>0.34375</v>
      </c>
      <c r="I507" s="49">
        <f>INDEX(PeakCalc!$L$10:$L$303,MATCH(tblPivotData[[#This Row],[Time]],PeakCalc!$G$10:$G$303,0))</f>
        <v>1</v>
      </c>
    </row>
    <row r="508" spans="1:9" x14ac:dyDescent="0.25">
      <c r="A508" t="s">
        <v>96</v>
      </c>
      <c r="B508" t="s">
        <v>105</v>
      </c>
      <c r="C508" t="s">
        <v>97</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96</v>
      </c>
      <c r="B509" t="s">
        <v>105</v>
      </c>
      <c r="C509" t="s">
        <v>97</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96</v>
      </c>
      <c r="B510" t="s">
        <v>105</v>
      </c>
      <c r="C510" t="s">
        <v>97</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96</v>
      </c>
      <c r="B511" t="s">
        <v>105</v>
      </c>
      <c r="C511" t="s">
        <v>97</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96</v>
      </c>
      <c r="B512" t="s">
        <v>105</v>
      </c>
      <c r="C512" t="s">
        <v>97</v>
      </c>
      <c r="D512" t="s">
        <v>89</v>
      </c>
      <c r="E512" t="s">
        <v>91</v>
      </c>
      <c r="F512" s="6">
        <v>0.5625</v>
      </c>
      <c r="G512">
        <v>0</v>
      </c>
      <c r="H512" s="6">
        <f>FLOOR(tblPivotData[[#This Row],[Time]],Summary!$B$6/1440)</f>
        <v>0.5625</v>
      </c>
      <c r="I512" s="49">
        <f>INDEX(PeakCalc!$L$10:$L$303,MATCH(tblPivotData[[#This Row],[Time]],PeakCalc!$G$10:$G$303,0))</f>
        <v>1</v>
      </c>
    </row>
    <row r="513" spans="1:9" x14ac:dyDescent="0.25">
      <c r="A513" t="s">
        <v>96</v>
      </c>
      <c r="B513" t="s">
        <v>105</v>
      </c>
      <c r="C513" t="s">
        <v>97</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96</v>
      </c>
      <c r="B514" t="s">
        <v>105</v>
      </c>
      <c r="C514" t="s">
        <v>97</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96</v>
      </c>
      <c r="B515" t="s">
        <v>105</v>
      </c>
      <c r="C515" t="s">
        <v>97</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96</v>
      </c>
      <c r="B516" t="s">
        <v>105</v>
      </c>
      <c r="C516" t="s">
        <v>97</v>
      </c>
      <c r="D516" t="s">
        <v>89</v>
      </c>
      <c r="E516" t="s">
        <v>44</v>
      </c>
      <c r="F516" s="6">
        <v>0.6875</v>
      </c>
      <c r="G516">
        <v>0</v>
      </c>
      <c r="H516" s="6">
        <f>FLOOR(tblPivotData[[#This Row],[Time]],Summary!$B$6/1440)</f>
        <v>0.6875</v>
      </c>
      <c r="I516" s="49">
        <f>INDEX(PeakCalc!$L$10:$L$303,MATCH(tblPivotData[[#This Row],[Time]],PeakCalc!$G$10:$G$303,0))</f>
        <v>0</v>
      </c>
    </row>
    <row r="517" spans="1:9" x14ac:dyDescent="0.25">
      <c r="A517" t="s">
        <v>96</v>
      </c>
      <c r="B517" t="s">
        <v>105</v>
      </c>
      <c r="C517" t="s">
        <v>97</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96</v>
      </c>
      <c r="B518" t="s">
        <v>105</v>
      </c>
      <c r="C518" t="s">
        <v>97</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96</v>
      </c>
      <c r="B519" t="s">
        <v>105</v>
      </c>
      <c r="C519" t="s">
        <v>97</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96</v>
      </c>
      <c r="B520" t="s">
        <v>105</v>
      </c>
      <c r="C520" t="s">
        <v>97</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96</v>
      </c>
      <c r="B521" t="s">
        <v>105</v>
      </c>
      <c r="C521" t="s">
        <v>97</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96</v>
      </c>
      <c r="B522" t="s">
        <v>105</v>
      </c>
      <c r="C522" t="s">
        <v>97</v>
      </c>
      <c r="D522" t="s">
        <v>90</v>
      </c>
      <c r="E522" t="s">
        <v>43</v>
      </c>
      <c r="F522" s="6">
        <v>0.29166666666666669</v>
      </c>
      <c r="G522">
        <v>1</v>
      </c>
      <c r="H522" s="6">
        <f>FLOOR(tblPivotData[[#This Row],[Time]],Summary!$B$6/1440)</f>
        <v>0.29166666666666663</v>
      </c>
      <c r="I522" s="49">
        <f>INDEX(PeakCalc!$L$10:$L$303,MATCH(tblPivotData[[#This Row],[Time]],PeakCalc!$G$10:$G$303,0))</f>
        <v>0</v>
      </c>
    </row>
    <row r="523" spans="1:9" x14ac:dyDescent="0.25">
      <c r="A523" t="s">
        <v>96</v>
      </c>
      <c r="B523" t="s">
        <v>105</v>
      </c>
      <c r="C523" t="s">
        <v>97</v>
      </c>
      <c r="D523" t="s">
        <v>90</v>
      </c>
      <c r="E523" t="s">
        <v>43</v>
      </c>
      <c r="F523" s="6">
        <v>0.30208333333333331</v>
      </c>
      <c r="G523">
        <v>3</v>
      </c>
      <c r="H523" s="6">
        <f>FLOOR(tblPivotData[[#This Row],[Time]],Summary!$B$6/1440)</f>
        <v>0.30208333333333331</v>
      </c>
      <c r="I523" s="49">
        <f>INDEX(PeakCalc!$L$10:$L$303,MATCH(tblPivotData[[#This Row],[Time]],PeakCalc!$G$10:$G$303,0))</f>
        <v>0</v>
      </c>
    </row>
    <row r="524" spans="1:9" x14ac:dyDescent="0.25">
      <c r="A524" t="s">
        <v>96</v>
      </c>
      <c r="B524" t="s">
        <v>105</v>
      </c>
      <c r="C524" t="s">
        <v>97</v>
      </c>
      <c r="D524" t="s">
        <v>90</v>
      </c>
      <c r="E524" t="s">
        <v>43</v>
      </c>
      <c r="F524" s="6">
        <v>0.3125</v>
      </c>
      <c r="G524">
        <v>1</v>
      </c>
      <c r="H524" s="6">
        <f>FLOOR(tblPivotData[[#This Row],[Time]],Summary!$B$6/1440)</f>
        <v>0.3125</v>
      </c>
      <c r="I524" s="49">
        <f>INDEX(PeakCalc!$L$10:$L$303,MATCH(tblPivotData[[#This Row],[Time]],PeakCalc!$G$10:$G$303,0))</f>
        <v>0</v>
      </c>
    </row>
    <row r="525" spans="1:9" x14ac:dyDescent="0.25">
      <c r="A525" t="s">
        <v>96</v>
      </c>
      <c r="B525" t="s">
        <v>105</v>
      </c>
      <c r="C525" t="s">
        <v>97</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96</v>
      </c>
      <c r="B526" t="s">
        <v>105</v>
      </c>
      <c r="C526" t="s">
        <v>97</v>
      </c>
      <c r="D526" t="s">
        <v>90</v>
      </c>
      <c r="E526" t="s">
        <v>43</v>
      </c>
      <c r="F526" s="6">
        <v>0.33333333333333331</v>
      </c>
      <c r="G526">
        <v>1</v>
      </c>
      <c r="H526" s="6">
        <f>FLOOR(tblPivotData[[#This Row],[Time]],Summary!$B$6/1440)</f>
        <v>0.33333333333333331</v>
      </c>
      <c r="I526" s="49">
        <f>INDEX(PeakCalc!$L$10:$L$303,MATCH(tblPivotData[[#This Row],[Time]],PeakCalc!$G$10:$G$303,0))</f>
        <v>1</v>
      </c>
    </row>
    <row r="527" spans="1:9" x14ac:dyDescent="0.25">
      <c r="A527" t="s">
        <v>96</v>
      </c>
      <c r="B527" t="s">
        <v>105</v>
      </c>
      <c r="C527" t="s">
        <v>97</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96</v>
      </c>
      <c r="B528" t="s">
        <v>105</v>
      </c>
      <c r="C528" t="s">
        <v>97</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96</v>
      </c>
      <c r="B529" t="s">
        <v>105</v>
      </c>
      <c r="C529" t="s">
        <v>97</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96</v>
      </c>
      <c r="B530" t="s">
        <v>105</v>
      </c>
      <c r="C530" t="s">
        <v>97</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96</v>
      </c>
      <c r="B531" t="s">
        <v>105</v>
      </c>
      <c r="C531" t="s">
        <v>97</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96</v>
      </c>
      <c r="B532" t="s">
        <v>105</v>
      </c>
      <c r="C532" t="s">
        <v>97</v>
      </c>
      <c r="D532" t="s">
        <v>90</v>
      </c>
      <c r="E532" t="s">
        <v>91</v>
      </c>
      <c r="F532" s="6">
        <v>0.5625</v>
      </c>
      <c r="G532">
        <v>0</v>
      </c>
      <c r="H532" s="6">
        <f>FLOOR(tblPivotData[[#This Row],[Time]],Summary!$B$6/1440)</f>
        <v>0.5625</v>
      </c>
      <c r="I532" s="49">
        <f>INDEX(PeakCalc!$L$10:$L$303,MATCH(tblPivotData[[#This Row],[Time]],PeakCalc!$G$10:$G$303,0))</f>
        <v>1</v>
      </c>
    </row>
    <row r="533" spans="1:9" x14ac:dyDescent="0.25">
      <c r="A533" t="s">
        <v>96</v>
      </c>
      <c r="B533" t="s">
        <v>105</v>
      </c>
      <c r="C533" t="s">
        <v>97</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96</v>
      </c>
      <c r="B534" t="s">
        <v>105</v>
      </c>
      <c r="C534" t="s">
        <v>97</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96</v>
      </c>
      <c r="B535" t="s">
        <v>105</v>
      </c>
      <c r="C535" t="s">
        <v>97</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96</v>
      </c>
      <c r="B536" t="s">
        <v>105</v>
      </c>
      <c r="C536" t="s">
        <v>97</v>
      </c>
      <c r="D536" t="s">
        <v>90</v>
      </c>
      <c r="E536" t="s">
        <v>44</v>
      </c>
      <c r="F536" s="6">
        <v>0.6875</v>
      </c>
      <c r="G536">
        <v>1</v>
      </c>
      <c r="H536" s="6">
        <f>FLOOR(tblPivotData[[#This Row],[Time]],Summary!$B$6/1440)</f>
        <v>0.6875</v>
      </c>
      <c r="I536" s="49">
        <f>INDEX(PeakCalc!$L$10:$L$303,MATCH(tblPivotData[[#This Row],[Time]],PeakCalc!$G$10:$G$303,0))</f>
        <v>0</v>
      </c>
    </row>
    <row r="537" spans="1:9" x14ac:dyDescent="0.25">
      <c r="A537" t="s">
        <v>96</v>
      </c>
      <c r="B537" t="s">
        <v>105</v>
      </c>
      <c r="C537" t="s">
        <v>97</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96</v>
      </c>
      <c r="B538" t="s">
        <v>105</v>
      </c>
      <c r="C538" t="s">
        <v>97</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96</v>
      </c>
      <c r="B539" t="s">
        <v>105</v>
      </c>
      <c r="C539" t="s">
        <v>97</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96</v>
      </c>
      <c r="B540" t="s">
        <v>105</v>
      </c>
      <c r="C540" t="s">
        <v>97</v>
      </c>
      <c r="D540" t="s">
        <v>90</v>
      </c>
      <c r="E540" t="s">
        <v>44</v>
      </c>
      <c r="F540" s="6">
        <v>0.72916666666666663</v>
      </c>
      <c r="G540">
        <v>2</v>
      </c>
      <c r="H540" s="6">
        <f>FLOOR(tblPivotData[[#This Row],[Time]],Summary!$B$6/1440)</f>
        <v>0.72916666666666663</v>
      </c>
      <c r="I540" s="49">
        <f>INDEX(PeakCalc!$L$10:$L$303,MATCH(tblPivotData[[#This Row],[Time]],PeakCalc!$G$10:$G$303,0))</f>
        <v>1</v>
      </c>
    </row>
    <row r="541" spans="1:9" x14ac:dyDescent="0.25">
      <c r="A541" t="s">
        <v>96</v>
      </c>
      <c r="B541" t="s">
        <v>105</v>
      </c>
      <c r="C541" t="s">
        <v>97</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94</v>
      </c>
      <c r="D542" t="s">
        <v>79</v>
      </c>
      <c r="E542" t="s">
        <v>43</v>
      </c>
      <c r="F542" s="6">
        <v>0.29166666666666669</v>
      </c>
      <c r="G542">
        <v>4</v>
      </c>
      <c r="H542" s="6">
        <f>FLOOR(tblPivotData[[#This Row],[Time]],Summary!$B$6/1440)</f>
        <v>0.29166666666666663</v>
      </c>
      <c r="I542" s="49">
        <f>INDEX(PeakCalc!$L$10:$L$303,MATCH(tblPivotData[[#This Row],[Time]],PeakCalc!$G$10:$G$303,0))</f>
        <v>0</v>
      </c>
    </row>
    <row r="543" spans="1:9" x14ac:dyDescent="0.25">
      <c r="A543" t="s">
        <v>96</v>
      </c>
      <c r="B543" t="s">
        <v>106</v>
      </c>
      <c r="C543" t="s">
        <v>94</v>
      </c>
      <c r="D543" t="s">
        <v>79</v>
      </c>
      <c r="E543" t="s">
        <v>43</v>
      </c>
      <c r="F543" s="6">
        <v>0.30208333333333331</v>
      </c>
      <c r="G543">
        <v>8</v>
      </c>
      <c r="H543" s="6">
        <f>FLOOR(tblPivotData[[#This Row],[Time]],Summary!$B$6/1440)</f>
        <v>0.30208333333333331</v>
      </c>
      <c r="I543" s="49">
        <f>INDEX(PeakCalc!$L$10:$L$303,MATCH(tblPivotData[[#This Row],[Time]],PeakCalc!$G$10:$G$303,0))</f>
        <v>0</v>
      </c>
    </row>
    <row r="544" spans="1:9" x14ac:dyDescent="0.25">
      <c r="A544" t="s">
        <v>96</v>
      </c>
      <c r="B544" t="s">
        <v>106</v>
      </c>
      <c r="C544" t="s">
        <v>94</v>
      </c>
      <c r="D544" t="s">
        <v>79</v>
      </c>
      <c r="E544" t="s">
        <v>43</v>
      </c>
      <c r="F544" s="6">
        <v>0.3125</v>
      </c>
      <c r="G544">
        <v>13</v>
      </c>
      <c r="H544" s="6">
        <f>FLOOR(tblPivotData[[#This Row],[Time]],Summary!$B$6/1440)</f>
        <v>0.3125</v>
      </c>
      <c r="I544" s="49">
        <f>INDEX(PeakCalc!$L$10:$L$303,MATCH(tblPivotData[[#This Row],[Time]],PeakCalc!$G$10:$G$303,0))</f>
        <v>0</v>
      </c>
    </row>
    <row r="545" spans="1:9" x14ac:dyDescent="0.25">
      <c r="A545" t="s">
        <v>96</v>
      </c>
      <c r="B545" t="s">
        <v>106</v>
      </c>
      <c r="C545" t="s">
        <v>94</v>
      </c>
      <c r="D545" t="s">
        <v>79</v>
      </c>
      <c r="E545" t="s">
        <v>43</v>
      </c>
      <c r="F545" s="6">
        <v>0.32291666666666669</v>
      </c>
      <c r="G545">
        <v>7</v>
      </c>
      <c r="H545" s="6">
        <f>FLOOR(tblPivotData[[#This Row],[Time]],Summary!$B$6/1440)</f>
        <v>0.32291666666666663</v>
      </c>
      <c r="I545" s="49">
        <f>INDEX(PeakCalc!$L$10:$L$303,MATCH(tblPivotData[[#This Row],[Time]],PeakCalc!$G$10:$G$303,0))</f>
        <v>0</v>
      </c>
    </row>
    <row r="546" spans="1:9" x14ac:dyDescent="0.25">
      <c r="A546" t="s">
        <v>96</v>
      </c>
      <c r="B546" t="s">
        <v>106</v>
      </c>
      <c r="C546" t="s">
        <v>94</v>
      </c>
      <c r="D546" t="s">
        <v>79</v>
      </c>
      <c r="E546" t="s">
        <v>43</v>
      </c>
      <c r="F546" s="6">
        <v>0.33333333333333331</v>
      </c>
      <c r="G546">
        <v>18</v>
      </c>
      <c r="H546" s="6">
        <f>FLOOR(tblPivotData[[#This Row],[Time]],Summary!$B$6/1440)</f>
        <v>0.33333333333333331</v>
      </c>
      <c r="I546" s="49">
        <f>INDEX(PeakCalc!$L$10:$L$303,MATCH(tblPivotData[[#This Row],[Time]],PeakCalc!$G$10:$G$303,0))</f>
        <v>1</v>
      </c>
    </row>
    <row r="547" spans="1:9" x14ac:dyDescent="0.25">
      <c r="A547" t="s">
        <v>96</v>
      </c>
      <c r="B547" t="s">
        <v>106</v>
      </c>
      <c r="C547" t="s">
        <v>94</v>
      </c>
      <c r="D547" t="s">
        <v>79</v>
      </c>
      <c r="E547" t="s">
        <v>43</v>
      </c>
      <c r="F547" s="6">
        <v>0.34375</v>
      </c>
      <c r="G547">
        <v>33</v>
      </c>
      <c r="H547" s="6">
        <f>FLOOR(tblPivotData[[#This Row],[Time]],Summary!$B$6/1440)</f>
        <v>0.34375</v>
      </c>
      <c r="I547" s="49">
        <f>INDEX(PeakCalc!$L$10:$L$303,MATCH(tblPivotData[[#This Row],[Time]],PeakCalc!$G$10:$G$303,0))</f>
        <v>1</v>
      </c>
    </row>
    <row r="548" spans="1:9" x14ac:dyDescent="0.25">
      <c r="A548" t="s">
        <v>96</v>
      </c>
      <c r="B548" t="s">
        <v>106</v>
      </c>
      <c r="C548" t="s">
        <v>94</v>
      </c>
      <c r="D548" t="s">
        <v>79</v>
      </c>
      <c r="E548" t="s">
        <v>43</v>
      </c>
      <c r="F548" s="6">
        <v>0.35416666666666669</v>
      </c>
      <c r="G548">
        <v>21</v>
      </c>
      <c r="H548" s="6">
        <f>FLOOR(tblPivotData[[#This Row],[Time]],Summary!$B$6/1440)</f>
        <v>0.35416666666666663</v>
      </c>
      <c r="I548" s="49">
        <f>INDEX(PeakCalc!$L$10:$L$303,MATCH(tblPivotData[[#This Row],[Time]],PeakCalc!$G$10:$G$303,0))</f>
        <v>1</v>
      </c>
    </row>
    <row r="549" spans="1:9" x14ac:dyDescent="0.25">
      <c r="A549" t="s">
        <v>96</v>
      </c>
      <c r="B549" t="s">
        <v>106</v>
      </c>
      <c r="C549" t="s">
        <v>94</v>
      </c>
      <c r="D549" t="s">
        <v>79</v>
      </c>
      <c r="E549" t="s">
        <v>43</v>
      </c>
      <c r="F549" s="6">
        <v>0.36458333333333331</v>
      </c>
      <c r="G549">
        <v>10</v>
      </c>
      <c r="H549" s="6">
        <f>FLOOR(tblPivotData[[#This Row],[Time]],Summary!$B$6/1440)</f>
        <v>0.36458333333333331</v>
      </c>
      <c r="I549" s="49">
        <f>INDEX(PeakCalc!$L$10:$L$303,MATCH(tblPivotData[[#This Row],[Time]],PeakCalc!$G$10:$G$303,0))</f>
        <v>1</v>
      </c>
    </row>
    <row r="550" spans="1:9" x14ac:dyDescent="0.25">
      <c r="A550" t="s">
        <v>96</v>
      </c>
      <c r="B550" t="s">
        <v>106</v>
      </c>
      <c r="C550" t="s">
        <v>94</v>
      </c>
      <c r="D550" t="s">
        <v>79</v>
      </c>
      <c r="E550" t="s">
        <v>91</v>
      </c>
      <c r="F550" s="6">
        <v>0.54166666666666663</v>
      </c>
      <c r="G550">
        <v>10</v>
      </c>
      <c r="H550" s="6">
        <f>FLOOR(tblPivotData[[#This Row],[Time]],Summary!$B$6/1440)</f>
        <v>0.54166666666666663</v>
      </c>
      <c r="I550" s="49">
        <f>INDEX(PeakCalc!$L$10:$L$303,MATCH(tblPivotData[[#This Row],[Time]],PeakCalc!$G$10:$G$303,0))</f>
        <v>1</v>
      </c>
    </row>
    <row r="551" spans="1:9" x14ac:dyDescent="0.25">
      <c r="A551" t="s">
        <v>96</v>
      </c>
      <c r="B551" t="s">
        <v>106</v>
      </c>
      <c r="C551" t="s">
        <v>94</v>
      </c>
      <c r="D551" t="s">
        <v>79</v>
      </c>
      <c r="E551" t="s">
        <v>91</v>
      </c>
      <c r="F551" s="6">
        <v>0.55208333333333337</v>
      </c>
      <c r="G551">
        <v>4</v>
      </c>
      <c r="H551" s="6">
        <f>FLOOR(tblPivotData[[#This Row],[Time]],Summary!$B$6/1440)</f>
        <v>0.55208333333333326</v>
      </c>
      <c r="I551" s="49">
        <f>INDEX(PeakCalc!$L$10:$L$303,MATCH(tblPivotData[[#This Row],[Time]],PeakCalc!$G$10:$G$303,0))</f>
        <v>1</v>
      </c>
    </row>
    <row r="552" spans="1:9" x14ac:dyDescent="0.25">
      <c r="A552" t="s">
        <v>96</v>
      </c>
      <c r="B552" t="s">
        <v>106</v>
      </c>
      <c r="C552" t="s">
        <v>94</v>
      </c>
      <c r="D552" t="s">
        <v>79</v>
      </c>
      <c r="E552" t="s">
        <v>91</v>
      </c>
      <c r="F552" s="6">
        <v>0.5625</v>
      </c>
      <c r="G552">
        <v>4</v>
      </c>
      <c r="H552" s="6">
        <f>FLOOR(tblPivotData[[#This Row],[Time]],Summary!$B$6/1440)</f>
        <v>0.5625</v>
      </c>
      <c r="I552" s="49">
        <f>INDEX(PeakCalc!$L$10:$L$303,MATCH(tblPivotData[[#This Row],[Time]],PeakCalc!$G$10:$G$303,0))</f>
        <v>1</v>
      </c>
    </row>
    <row r="553" spans="1:9" x14ac:dyDescent="0.25">
      <c r="A553" t="s">
        <v>96</v>
      </c>
      <c r="B553" t="s">
        <v>106</v>
      </c>
      <c r="C553" t="s">
        <v>94</v>
      </c>
      <c r="D553" t="s">
        <v>79</v>
      </c>
      <c r="E553" t="s">
        <v>91</v>
      </c>
      <c r="F553" s="6">
        <v>0.57291666666666663</v>
      </c>
      <c r="G553">
        <v>7</v>
      </c>
      <c r="H553" s="6">
        <f>FLOOR(tblPivotData[[#This Row],[Time]],Summary!$B$6/1440)</f>
        <v>0.57291666666666663</v>
      </c>
      <c r="I553" s="49">
        <f>INDEX(PeakCalc!$L$10:$L$303,MATCH(tblPivotData[[#This Row],[Time]],PeakCalc!$G$10:$G$303,0))</f>
        <v>1</v>
      </c>
    </row>
    <row r="554" spans="1:9" x14ac:dyDescent="0.25">
      <c r="A554" t="s">
        <v>96</v>
      </c>
      <c r="B554" t="s">
        <v>106</v>
      </c>
      <c r="C554" t="s">
        <v>94</v>
      </c>
      <c r="D554" t="s">
        <v>79</v>
      </c>
      <c r="E554" t="s">
        <v>44</v>
      </c>
      <c r="F554" s="6">
        <v>0.66666666666666663</v>
      </c>
      <c r="G554">
        <v>14</v>
      </c>
      <c r="H554" s="6">
        <f>FLOOR(tblPivotData[[#This Row],[Time]],Summary!$B$6/1440)</f>
        <v>0.66666666666666663</v>
      </c>
      <c r="I554" s="49">
        <f>INDEX(PeakCalc!$L$10:$L$303,MATCH(tblPivotData[[#This Row],[Time]],PeakCalc!$G$10:$G$303,0))</f>
        <v>0</v>
      </c>
    </row>
    <row r="555" spans="1:9" x14ac:dyDescent="0.25">
      <c r="A555" t="s">
        <v>96</v>
      </c>
      <c r="B555" t="s">
        <v>106</v>
      </c>
      <c r="C555" t="s">
        <v>94</v>
      </c>
      <c r="D555" t="s">
        <v>79</v>
      </c>
      <c r="E555" t="s">
        <v>44</v>
      </c>
      <c r="F555" s="6">
        <v>0.67708333333333337</v>
      </c>
      <c r="G555">
        <v>11</v>
      </c>
      <c r="H555" s="6">
        <f>FLOOR(tblPivotData[[#This Row],[Time]],Summary!$B$6/1440)</f>
        <v>0.67708333333333326</v>
      </c>
      <c r="I555" s="49">
        <f>INDEX(PeakCalc!$L$10:$L$303,MATCH(tblPivotData[[#This Row],[Time]],PeakCalc!$G$10:$G$303,0))</f>
        <v>0</v>
      </c>
    </row>
    <row r="556" spans="1:9" x14ac:dyDescent="0.25">
      <c r="A556" t="s">
        <v>96</v>
      </c>
      <c r="B556" t="s">
        <v>106</v>
      </c>
      <c r="C556" t="s">
        <v>94</v>
      </c>
      <c r="D556" t="s">
        <v>79</v>
      </c>
      <c r="E556" t="s">
        <v>44</v>
      </c>
      <c r="F556" s="6">
        <v>0.6875</v>
      </c>
      <c r="G556">
        <v>17</v>
      </c>
      <c r="H556" s="6">
        <f>FLOOR(tblPivotData[[#This Row],[Time]],Summary!$B$6/1440)</f>
        <v>0.6875</v>
      </c>
      <c r="I556" s="49">
        <f>INDEX(PeakCalc!$L$10:$L$303,MATCH(tblPivotData[[#This Row],[Time]],PeakCalc!$G$10:$G$303,0))</f>
        <v>0</v>
      </c>
    </row>
    <row r="557" spans="1:9" x14ac:dyDescent="0.25">
      <c r="A557" t="s">
        <v>96</v>
      </c>
      <c r="B557" t="s">
        <v>106</v>
      </c>
      <c r="C557" t="s">
        <v>94</v>
      </c>
      <c r="D557" t="s">
        <v>79</v>
      </c>
      <c r="E557" t="s">
        <v>44</v>
      </c>
      <c r="F557" s="6">
        <v>0.69791666666666663</v>
      </c>
      <c r="G557">
        <v>20</v>
      </c>
      <c r="H557" s="6">
        <f>FLOOR(tblPivotData[[#This Row],[Time]],Summary!$B$6/1440)</f>
        <v>0.69791666666666663</v>
      </c>
      <c r="I557" s="49">
        <f>INDEX(PeakCalc!$L$10:$L$303,MATCH(tblPivotData[[#This Row],[Time]],PeakCalc!$G$10:$G$303,0))</f>
        <v>1</v>
      </c>
    </row>
    <row r="558" spans="1:9" x14ac:dyDescent="0.25">
      <c r="A558" t="s">
        <v>96</v>
      </c>
      <c r="B558" t="s">
        <v>106</v>
      </c>
      <c r="C558" t="s">
        <v>94</v>
      </c>
      <c r="D558" t="s">
        <v>79</v>
      </c>
      <c r="E558" t="s">
        <v>44</v>
      </c>
      <c r="F558" s="6">
        <v>0.70833333333333337</v>
      </c>
      <c r="G558">
        <v>12</v>
      </c>
      <c r="H558" s="6">
        <f>FLOOR(tblPivotData[[#This Row],[Time]],Summary!$B$6/1440)</f>
        <v>0.70833333333333326</v>
      </c>
      <c r="I558" s="49">
        <f>INDEX(PeakCalc!$L$10:$L$303,MATCH(tblPivotData[[#This Row],[Time]],PeakCalc!$G$10:$G$303,0))</f>
        <v>1</v>
      </c>
    </row>
    <row r="559" spans="1:9" x14ac:dyDescent="0.25">
      <c r="A559" t="s">
        <v>96</v>
      </c>
      <c r="B559" t="s">
        <v>106</v>
      </c>
      <c r="C559" t="s">
        <v>94</v>
      </c>
      <c r="D559" t="s">
        <v>79</v>
      </c>
      <c r="E559" t="s">
        <v>44</v>
      </c>
      <c r="F559" s="6">
        <v>0.71875</v>
      </c>
      <c r="G559">
        <v>10</v>
      </c>
      <c r="H559" s="6">
        <f>FLOOR(tblPivotData[[#This Row],[Time]],Summary!$B$6/1440)</f>
        <v>0.71875</v>
      </c>
      <c r="I559" s="49">
        <f>INDEX(PeakCalc!$L$10:$L$303,MATCH(tblPivotData[[#This Row],[Time]],PeakCalc!$G$10:$G$303,0))</f>
        <v>1</v>
      </c>
    </row>
    <row r="560" spans="1:9" x14ac:dyDescent="0.25">
      <c r="A560" t="s">
        <v>96</v>
      </c>
      <c r="B560" t="s">
        <v>106</v>
      </c>
      <c r="C560" t="s">
        <v>94</v>
      </c>
      <c r="D560" t="s">
        <v>79</v>
      </c>
      <c r="E560" t="s">
        <v>44</v>
      </c>
      <c r="F560" s="6">
        <v>0.72916666666666663</v>
      </c>
      <c r="G560">
        <v>9</v>
      </c>
      <c r="H560" s="6">
        <f>FLOOR(tblPivotData[[#This Row],[Time]],Summary!$B$6/1440)</f>
        <v>0.72916666666666663</v>
      </c>
      <c r="I560" s="49">
        <f>INDEX(PeakCalc!$L$10:$L$303,MATCH(tblPivotData[[#This Row],[Time]],PeakCalc!$G$10:$G$303,0))</f>
        <v>1</v>
      </c>
    </row>
    <row r="561" spans="1:9" x14ac:dyDescent="0.25">
      <c r="A561" t="s">
        <v>96</v>
      </c>
      <c r="B561" t="s">
        <v>106</v>
      </c>
      <c r="C561" t="s">
        <v>94</v>
      </c>
      <c r="D561" t="s">
        <v>79</v>
      </c>
      <c r="E561" t="s">
        <v>44</v>
      </c>
      <c r="F561" s="6">
        <v>0.73958333333333337</v>
      </c>
      <c r="G561">
        <v>8</v>
      </c>
      <c r="H561" s="6">
        <f>FLOOR(tblPivotData[[#This Row],[Time]],Summary!$B$6/1440)</f>
        <v>0.73958333333333326</v>
      </c>
      <c r="I561" s="49">
        <f>INDEX(PeakCalc!$L$10:$L$303,MATCH(tblPivotData[[#This Row],[Time]],PeakCalc!$G$10:$G$303,0))</f>
        <v>0</v>
      </c>
    </row>
    <row r="562" spans="1:9" x14ac:dyDescent="0.25">
      <c r="A562" t="s">
        <v>96</v>
      </c>
      <c r="B562" t="s">
        <v>106</v>
      </c>
      <c r="C562" t="s">
        <v>94</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94</v>
      </c>
      <c r="D563" t="s">
        <v>89</v>
      </c>
      <c r="E563" t="s">
        <v>43</v>
      </c>
      <c r="F563" s="6">
        <v>0.30208333333333331</v>
      </c>
      <c r="G563">
        <v>1</v>
      </c>
      <c r="H563" s="6">
        <f>FLOOR(tblPivotData[[#This Row],[Time]],Summary!$B$6/1440)</f>
        <v>0.30208333333333331</v>
      </c>
      <c r="I563" s="49">
        <f>INDEX(PeakCalc!$L$10:$L$303,MATCH(tblPivotData[[#This Row],[Time]],PeakCalc!$G$10:$G$303,0))</f>
        <v>0</v>
      </c>
    </row>
    <row r="564" spans="1:9" x14ac:dyDescent="0.25">
      <c r="A564" t="s">
        <v>96</v>
      </c>
      <c r="B564" t="s">
        <v>106</v>
      </c>
      <c r="C564" t="s">
        <v>94</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94</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96</v>
      </c>
      <c r="B566" t="s">
        <v>106</v>
      </c>
      <c r="C566" t="s">
        <v>94</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94</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94</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94</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96</v>
      </c>
      <c r="B570" t="s">
        <v>106</v>
      </c>
      <c r="C570" t="s">
        <v>94</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94</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94</v>
      </c>
      <c r="D572" t="s">
        <v>89</v>
      </c>
      <c r="E572" t="s">
        <v>91</v>
      </c>
      <c r="F572" s="6">
        <v>0.5625</v>
      </c>
      <c r="G572">
        <v>1</v>
      </c>
      <c r="H572" s="6">
        <f>FLOOR(tblPivotData[[#This Row],[Time]],Summary!$B$6/1440)</f>
        <v>0.5625</v>
      </c>
      <c r="I572" s="49">
        <f>INDEX(PeakCalc!$L$10:$L$303,MATCH(tblPivotData[[#This Row],[Time]],PeakCalc!$G$10:$G$303,0))</f>
        <v>1</v>
      </c>
    </row>
    <row r="573" spans="1:9" x14ac:dyDescent="0.25">
      <c r="A573" t="s">
        <v>96</v>
      </c>
      <c r="B573" t="s">
        <v>106</v>
      </c>
      <c r="C573" t="s">
        <v>94</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94</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94</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94</v>
      </c>
      <c r="D576" t="s">
        <v>89</v>
      </c>
      <c r="E576" t="s">
        <v>44</v>
      </c>
      <c r="F576" s="6">
        <v>0.6875</v>
      </c>
      <c r="G576">
        <v>1</v>
      </c>
      <c r="H576" s="6">
        <f>FLOOR(tblPivotData[[#This Row],[Time]],Summary!$B$6/1440)</f>
        <v>0.6875</v>
      </c>
      <c r="I576" s="49">
        <f>INDEX(PeakCalc!$L$10:$L$303,MATCH(tblPivotData[[#This Row],[Time]],PeakCalc!$G$10:$G$303,0))</f>
        <v>0</v>
      </c>
    </row>
    <row r="577" spans="1:9" x14ac:dyDescent="0.25">
      <c r="A577" t="s">
        <v>96</v>
      </c>
      <c r="B577" t="s">
        <v>106</v>
      </c>
      <c r="C577" t="s">
        <v>94</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94</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94</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94</v>
      </c>
      <c r="D580" t="s">
        <v>89</v>
      </c>
      <c r="E580" t="s">
        <v>44</v>
      </c>
      <c r="F580" s="6">
        <v>0.72916666666666663</v>
      </c>
      <c r="G580">
        <v>1</v>
      </c>
      <c r="H580" s="6">
        <f>FLOOR(tblPivotData[[#This Row],[Time]],Summary!$B$6/1440)</f>
        <v>0.72916666666666663</v>
      </c>
      <c r="I580" s="49">
        <f>INDEX(PeakCalc!$L$10:$L$303,MATCH(tblPivotData[[#This Row],[Time]],PeakCalc!$G$10:$G$303,0))</f>
        <v>1</v>
      </c>
    </row>
    <row r="581" spans="1:9" x14ac:dyDescent="0.25">
      <c r="A581" t="s">
        <v>96</v>
      </c>
      <c r="B581" t="s">
        <v>106</v>
      </c>
      <c r="C581" t="s">
        <v>94</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94</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94</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94</v>
      </c>
      <c r="D584" t="s">
        <v>90</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94</v>
      </c>
      <c r="D585" t="s">
        <v>90</v>
      </c>
      <c r="E585" t="s">
        <v>43</v>
      </c>
      <c r="F585" s="6">
        <v>0.32291666666666669</v>
      </c>
      <c r="G585">
        <v>1</v>
      </c>
      <c r="H585" s="6">
        <f>FLOOR(tblPivotData[[#This Row],[Time]],Summary!$B$6/1440)</f>
        <v>0.32291666666666663</v>
      </c>
      <c r="I585" s="49">
        <f>INDEX(PeakCalc!$L$10:$L$303,MATCH(tblPivotData[[#This Row],[Time]],PeakCalc!$G$10:$G$303,0))</f>
        <v>0</v>
      </c>
    </row>
    <row r="586" spans="1:9" x14ac:dyDescent="0.25">
      <c r="A586" t="s">
        <v>96</v>
      </c>
      <c r="B586" t="s">
        <v>106</v>
      </c>
      <c r="C586" t="s">
        <v>94</v>
      </c>
      <c r="D586" t="s">
        <v>90</v>
      </c>
      <c r="E586" t="s">
        <v>43</v>
      </c>
      <c r="F586" s="6">
        <v>0.33333333333333331</v>
      </c>
      <c r="G586">
        <v>1</v>
      </c>
      <c r="H586" s="6">
        <f>FLOOR(tblPivotData[[#This Row],[Time]],Summary!$B$6/1440)</f>
        <v>0.33333333333333331</v>
      </c>
      <c r="I586" s="49">
        <f>INDEX(PeakCalc!$L$10:$L$303,MATCH(tblPivotData[[#This Row],[Time]],PeakCalc!$G$10:$G$303,0))</f>
        <v>1</v>
      </c>
    </row>
    <row r="587" spans="1:9" x14ac:dyDescent="0.25">
      <c r="A587" t="s">
        <v>96</v>
      </c>
      <c r="B587" t="s">
        <v>106</v>
      </c>
      <c r="C587" t="s">
        <v>94</v>
      </c>
      <c r="D587" t="s">
        <v>90</v>
      </c>
      <c r="E587" t="s">
        <v>43</v>
      </c>
      <c r="F587" s="6">
        <v>0.34375</v>
      </c>
      <c r="G587">
        <v>1</v>
      </c>
      <c r="H587" s="6">
        <f>FLOOR(tblPivotData[[#This Row],[Time]],Summary!$B$6/1440)</f>
        <v>0.34375</v>
      </c>
      <c r="I587" s="49">
        <f>INDEX(PeakCalc!$L$10:$L$303,MATCH(tblPivotData[[#This Row],[Time]],PeakCalc!$G$10:$G$303,0))</f>
        <v>1</v>
      </c>
    </row>
    <row r="588" spans="1:9" x14ac:dyDescent="0.25">
      <c r="A588" t="s">
        <v>96</v>
      </c>
      <c r="B588" t="s">
        <v>106</v>
      </c>
      <c r="C588" t="s">
        <v>94</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94</v>
      </c>
      <c r="D589" t="s">
        <v>90</v>
      </c>
      <c r="E589" t="s">
        <v>43</v>
      </c>
      <c r="F589" s="6">
        <v>0.36458333333333331</v>
      </c>
      <c r="G589">
        <v>1</v>
      </c>
      <c r="H589" s="6">
        <f>FLOOR(tblPivotData[[#This Row],[Time]],Summary!$B$6/1440)</f>
        <v>0.36458333333333331</v>
      </c>
      <c r="I589" s="49">
        <f>INDEX(PeakCalc!$L$10:$L$303,MATCH(tblPivotData[[#This Row],[Time]],PeakCalc!$G$10:$G$303,0))</f>
        <v>1</v>
      </c>
    </row>
    <row r="590" spans="1:9" x14ac:dyDescent="0.25">
      <c r="A590" t="s">
        <v>96</v>
      </c>
      <c r="B590" t="s">
        <v>106</v>
      </c>
      <c r="C590" t="s">
        <v>94</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94</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94</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94</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94</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94</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94</v>
      </c>
      <c r="D596" t="s">
        <v>90</v>
      </c>
      <c r="E596" t="s">
        <v>44</v>
      </c>
      <c r="F596" s="6">
        <v>0.6875</v>
      </c>
      <c r="G596">
        <v>0</v>
      </c>
      <c r="H596" s="6">
        <f>FLOOR(tblPivotData[[#This Row],[Time]],Summary!$B$6/1440)</f>
        <v>0.6875</v>
      </c>
      <c r="I596" s="49">
        <f>INDEX(PeakCalc!$L$10:$L$303,MATCH(tblPivotData[[#This Row],[Time]],PeakCalc!$G$10:$G$303,0))</f>
        <v>0</v>
      </c>
    </row>
    <row r="597" spans="1:9" x14ac:dyDescent="0.25">
      <c r="A597" t="s">
        <v>96</v>
      </c>
      <c r="B597" t="s">
        <v>106</v>
      </c>
      <c r="C597" t="s">
        <v>94</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94</v>
      </c>
      <c r="D598" t="s">
        <v>90</v>
      </c>
      <c r="E598" t="s">
        <v>44</v>
      </c>
      <c r="F598" s="6">
        <v>0.70833333333333337</v>
      </c>
      <c r="G598">
        <v>1</v>
      </c>
      <c r="H598" s="6">
        <f>FLOOR(tblPivotData[[#This Row],[Time]],Summary!$B$6/1440)</f>
        <v>0.70833333333333326</v>
      </c>
      <c r="I598" s="49">
        <f>INDEX(PeakCalc!$L$10:$L$303,MATCH(tblPivotData[[#This Row],[Time]],PeakCalc!$G$10:$G$303,0))</f>
        <v>1</v>
      </c>
    </row>
    <row r="599" spans="1:9" x14ac:dyDescent="0.25">
      <c r="A599" t="s">
        <v>96</v>
      </c>
      <c r="B599" t="s">
        <v>106</v>
      </c>
      <c r="C599" t="s">
        <v>94</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94</v>
      </c>
      <c r="D600" t="s">
        <v>90</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96</v>
      </c>
      <c r="B601" t="s">
        <v>106</v>
      </c>
      <c r="C601" t="s">
        <v>94</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95</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96</v>
      </c>
      <c r="B603" t="s">
        <v>107</v>
      </c>
      <c r="C603" t="s">
        <v>95</v>
      </c>
      <c r="D603" t="s">
        <v>79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96</v>
      </c>
      <c r="B604" t="s">
        <v>107</v>
      </c>
      <c r="C604" t="s">
        <v>95</v>
      </c>
      <c r="D604" t="s">
        <v>79</v>
      </c>
      <c r="E604" t="s">
        <v>43</v>
      </c>
      <c r="F604" s="6">
        <v>0.3125</v>
      </c>
      <c r="G604">
        <v>0</v>
      </c>
      <c r="H604" s="6">
        <f>FLOOR(tblPivotData[[#This Row],[Time]],Summary!$B$6/1440)</f>
        <v>0.3125</v>
      </c>
      <c r="I604" s="49">
        <f>INDEX(PeakCalc!$L$10:$L$303,MATCH(tblPivotData[[#This Row],[Time]],PeakCalc!$G$10:$G$303,0))</f>
        <v>0</v>
      </c>
    </row>
    <row r="605" spans="1:9" x14ac:dyDescent="0.25">
      <c r="A605" t="s">
        <v>96</v>
      </c>
      <c r="B605" t="s">
        <v>107</v>
      </c>
      <c r="C605" t="s">
        <v>95</v>
      </c>
      <c r="D605" t="s">
        <v>79</v>
      </c>
      <c r="E605" t="s">
        <v>43</v>
      </c>
      <c r="F605" s="6">
        <v>0.32291666666666669</v>
      </c>
      <c r="G605">
        <v>0</v>
      </c>
      <c r="H605" s="6">
        <f>FLOOR(tblPivotData[[#This Row],[Time]],Summary!$B$6/1440)</f>
        <v>0.32291666666666663</v>
      </c>
      <c r="I605" s="49">
        <f>INDEX(PeakCalc!$L$10:$L$303,MATCH(tblPivotData[[#This Row],[Time]],PeakCalc!$G$10:$G$303,0))</f>
        <v>0</v>
      </c>
    </row>
    <row r="606" spans="1:9" x14ac:dyDescent="0.25">
      <c r="A606" t="s">
        <v>96</v>
      </c>
      <c r="B606" t="s">
        <v>107</v>
      </c>
      <c r="C606" t="s">
        <v>95</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96</v>
      </c>
      <c r="B607" t="s">
        <v>107</v>
      </c>
      <c r="C607" t="s">
        <v>95</v>
      </c>
      <c r="D607" t="s">
        <v>79</v>
      </c>
      <c r="E607" t="s">
        <v>43</v>
      </c>
      <c r="F607" s="6">
        <v>0.34375</v>
      </c>
      <c r="G607">
        <v>0</v>
      </c>
      <c r="H607" s="6">
        <f>FLOOR(tblPivotData[[#This Row],[Time]],Summary!$B$6/1440)</f>
        <v>0.34375</v>
      </c>
      <c r="I607" s="49">
        <f>INDEX(PeakCalc!$L$10:$L$303,MATCH(tblPivotData[[#This Row],[Time]],PeakCalc!$G$10:$G$303,0))</f>
        <v>1</v>
      </c>
    </row>
    <row r="608" spans="1:9" x14ac:dyDescent="0.25">
      <c r="A608" t="s">
        <v>96</v>
      </c>
      <c r="B608" t="s">
        <v>107</v>
      </c>
      <c r="C608" t="s">
        <v>95</v>
      </c>
      <c r="D608" t="s">
        <v>79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96</v>
      </c>
      <c r="B609" t="s">
        <v>107</v>
      </c>
      <c r="C609" t="s">
        <v>95</v>
      </c>
      <c r="D609" t="s">
        <v>79</v>
      </c>
      <c r="E609" t="s">
        <v>43</v>
      </c>
      <c r="F609" s="6">
        <v>0.36458333333333331</v>
      </c>
      <c r="G609">
        <v>0</v>
      </c>
      <c r="H609" s="6">
        <f>FLOOR(tblPivotData[[#This Row],[Time]],Summary!$B$6/1440)</f>
        <v>0.36458333333333331</v>
      </c>
      <c r="I609" s="49">
        <f>INDEX(PeakCalc!$L$10:$L$303,MATCH(tblPivotData[[#This Row],[Time]],PeakCalc!$G$10:$G$303,0))</f>
        <v>1</v>
      </c>
    </row>
    <row r="610" spans="1:9" x14ac:dyDescent="0.25">
      <c r="A610" t="s">
        <v>96</v>
      </c>
      <c r="B610" t="s">
        <v>107</v>
      </c>
      <c r="C610" t="s">
        <v>95</v>
      </c>
      <c r="D610" t="s">
        <v>79</v>
      </c>
      <c r="E610" t="s">
        <v>91</v>
      </c>
      <c r="F610" s="6">
        <v>0.54166666666666663</v>
      </c>
      <c r="G610">
        <v>0</v>
      </c>
      <c r="H610" s="6">
        <f>FLOOR(tblPivotData[[#This Row],[Time]],Summary!$B$6/1440)</f>
        <v>0.54166666666666663</v>
      </c>
      <c r="I610" s="49">
        <f>INDEX(PeakCalc!$L$10:$L$303,MATCH(tblPivotData[[#This Row],[Time]],PeakCalc!$G$10:$G$303,0))</f>
        <v>1</v>
      </c>
    </row>
    <row r="611" spans="1:9" x14ac:dyDescent="0.25">
      <c r="A611" t="s">
        <v>96</v>
      </c>
      <c r="B611" t="s">
        <v>107</v>
      </c>
      <c r="C611" t="s">
        <v>95</v>
      </c>
      <c r="D611" t="s">
        <v>79</v>
      </c>
      <c r="E611" t="s">
        <v>91</v>
      </c>
      <c r="F611" s="6">
        <v>0.55208333333333337</v>
      </c>
      <c r="G611">
        <v>3</v>
      </c>
      <c r="H611" s="6">
        <f>FLOOR(tblPivotData[[#This Row],[Time]],Summary!$B$6/1440)</f>
        <v>0.55208333333333326</v>
      </c>
      <c r="I611" s="49">
        <f>INDEX(PeakCalc!$L$10:$L$303,MATCH(tblPivotData[[#This Row],[Time]],PeakCalc!$G$10:$G$303,0))</f>
        <v>1</v>
      </c>
    </row>
    <row r="612" spans="1:9" x14ac:dyDescent="0.25">
      <c r="A612" t="s">
        <v>96</v>
      </c>
      <c r="B612" t="s">
        <v>107</v>
      </c>
      <c r="C612" t="s">
        <v>95</v>
      </c>
      <c r="D612" t="s">
        <v>79</v>
      </c>
      <c r="E612" t="s">
        <v>91</v>
      </c>
      <c r="F612" s="6">
        <v>0.5625</v>
      </c>
      <c r="G612">
        <v>1</v>
      </c>
      <c r="H612" s="6">
        <f>FLOOR(tblPivotData[[#This Row],[Time]],Summary!$B$6/1440)</f>
        <v>0.5625</v>
      </c>
      <c r="I612" s="49">
        <f>INDEX(PeakCalc!$L$10:$L$303,MATCH(tblPivotData[[#This Row],[Time]],PeakCalc!$G$10:$G$303,0))</f>
        <v>1</v>
      </c>
    </row>
    <row r="613" spans="1:9" x14ac:dyDescent="0.25">
      <c r="A613" t="s">
        <v>96</v>
      </c>
      <c r="B613" t="s">
        <v>107</v>
      </c>
      <c r="C613" t="s">
        <v>95</v>
      </c>
      <c r="D613" t="s">
        <v>79</v>
      </c>
      <c r="E613" t="s">
        <v>91</v>
      </c>
      <c r="F613" s="6">
        <v>0.57291666666666663</v>
      </c>
      <c r="G613">
        <v>0</v>
      </c>
      <c r="H613" s="6">
        <f>FLOOR(tblPivotData[[#This Row],[Time]],Summary!$B$6/1440)</f>
        <v>0.57291666666666663</v>
      </c>
      <c r="I613" s="49">
        <f>INDEX(PeakCalc!$L$10:$L$303,MATCH(tblPivotData[[#This Row],[Time]],PeakCalc!$G$10:$G$303,0))</f>
        <v>1</v>
      </c>
    </row>
    <row r="614" spans="1:9" x14ac:dyDescent="0.25">
      <c r="A614" t="s">
        <v>96</v>
      </c>
      <c r="B614" t="s">
        <v>107</v>
      </c>
      <c r="C614" t="s">
        <v>95</v>
      </c>
      <c r="D614" t="s">
        <v>79</v>
      </c>
      <c r="E614" t="s">
        <v>44</v>
      </c>
      <c r="F614" s="6">
        <v>0.66666666666666663</v>
      </c>
      <c r="G614">
        <v>1</v>
      </c>
      <c r="H614" s="6">
        <f>FLOOR(tblPivotData[[#This Row],[Time]],Summary!$B$6/1440)</f>
        <v>0.66666666666666663</v>
      </c>
      <c r="I614" s="49">
        <f>INDEX(PeakCalc!$L$10:$L$303,MATCH(tblPivotData[[#This Row],[Time]],PeakCalc!$G$10:$G$303,0))</f>
        <v>0</v>
      </c>
    </row>
    <row r="615" spans="1:9" x14ac:dyDescent="0.25">
      <c r="A615" t="s">
        <v>96</v>
      </c>
      <c r="B615" t="s">
        <v>107</v>
      </c>
      <c r="C615" t="s">
        <v>95</v>
      </c>
      <c r="D615" t="s">
        <v>79</v>
      </c>
      <c r="E615" t="s">
        <v>44</v>
      </c>
      <c r="F615" s="6">
        <v>0.67708333333333337</v>
      </c>
      <c r="G615">
        <v>0</v>
      </c>
      <c r="H615" s="6">
        <f>FLOOR(tblPivotData[[#This Row],[Time]],Summary!$B$6/1440)</f>
        <v>0.67708333333333326</v>
      </c>
      <c r="I615" s="49">
        <f>INDEX(PeakCalc!$L$10:$L$303,MATCH(tblPivotData[[#This Row],[Time]],PeakCalc!$G$10:$G$303,0))</f>
        <v>0</v>
      </c>
    </row>
    <row r="616" spans="1:9" x14ac:dyDescent="0.25">
      <c r="A616" t="s">
        <v>96</v>
      </c>
      <c r="B616" t="s">
        <v>107</v>
      </c>
      <c r="C616" t="s">
        <v>95</v>
      </c>
      <c r="D616" t="s">
        <v>79</v>
      </c>
      <c r="E616" t="s">
        <v>44</v>
      </c>
      <c r="F616" s="6">
        <v>0.6875</v>
      </c>
      <c r="G616">
        <v>2</v>
      </c>
      <c r="H616" s="6">
        <f>FLOOR(tblPivotData[[#This Row],[Time]],Summary!$B$6/1440)</f>
        <v>0.6875</v>
      </c>
      <c r="I616" s="49">
        <f>INDEX(PeakCalc!$L$10:$L$303,MATCH(tblPivotData[[#This Row],[Time]],PeakCalc!$G$10:$G$303,0))</f>
        <v>0</v>
      </c>
    </row>
    <row r="617" spans="1:9" x14ac:dyDescent="0.25">
      <c r="A617" t="s">
        <v>96</v>
      </c>
      <c r="B617" t="s">
        <v>107</v>
      </c>
      <c r="C617" t="s">
        <v>95</v>
      </c>
      <c r="D617" t="s">
        <v>79</v>
      </c>
      <c r="E617" t="s">
        <v>44</v>
      </c>
      <c r="F617" s="6">
        <v>0.69791666666666663</v>
      </c>
      <c r="G617">
        <v>0</v>
      </c>
      <c r="H617" s="6">
        <f>FLOOR(tblPivotData[[#This Row],[Time]],Summary!$B$6/1440)</f>
        <v>0.69791666666666663</v>
      </c>
      <c r="I617" s="49">
        <f>INDEX(PeakCalc!$L$10:$L$303,MATCH(tblPivotData[[#This Row],[Time]],PeakCalc!$G$10:$G$303,0))</f>
        <v>1</v>
      </c>
    </row>
    <row r="618" spans="1:9" x14ac:dyDescent="0.25">
      <c r="A618" t="s">
        <v>96</v>
      </c>
      <c r="B618" t="s">
        <v>107</v>
      </c>
      <c r="C618" t="s">
        <v>95</v>
      </c>
      <c r="D618" t="s">
        <v>79</v>
      </c>
      <c r="E618" t="s">
        <v>44</v>
      </c>
      <c r="F618" s="6">
        <v>0.70833333333333337</v>
      </c>
      <c r="G618">
        <v>0</v>
      </c>
      <c r="H618" s="6">
        <f>FLOOR(tblPivotData[[#This Row],[Time]],Summary!$B$6/1440)</f>
        <v>0.70833333333333326</v>
      </c>
      <c r="I618" s="49">
        <f>INDEX(PeakCalc!$L$10:$L$303,MATCH(tblPivotData[[#This Row],[Time]],PeakCalc!$G$10:$G$303,0))</f>
        <v>1</v>
      </c>
    </row>
    <row r="619" spans="1:9" x14ac:dyDescent="0.25">
      <c r="A619" t="s">
        <v>96</v>
      </c>
      <c r="B619" t="s">
        <v>107</v>
      </c>
      <c r="C619" t="s">
        <v>95</v>
      </c>
      <c r="D619" t="s">
        <v>79</v>
      </c>
      <c r="E619" t="s">
        <v>44</v>
      </c>
      <c r="F619" s="6">
        <v>0.71875</v>
      </c>
      <c r="G619">
        <v>1</v>
      </c>
      <c r="H619" s="6">
        <f>FLOOR(tblPivotData[[#This Row],[Time]],Summary!$B$6/1440)</f>
        <v>0.71875</v>
      </c>
      <c r="I619" s="49">
        <f>INDEX(PeakCalc!$L$10:$L$303,MATCH(tblPivotData[[#This Row],[Time]],PeakCalc!$G$10:$G$303,0))</f>
        <v>1</v>
      </c>
    </row>
    <row r="620" spans="1:9" x14ac:dyDescent="0.25">
      <c r="A620" t="s">
        <v>96</v>
      </c>
      <c r="B620" t="s">
        <v>107</v>
      </c>
      <c r="C620" t="s">
        <v>95</v>
      </c>
      <c r="D620" t="s">
        <v>79</v>
      </c>
      <c r="E620" t="s">
        <v>44</v>
      </c>
      <c r="F620" s="6">
        <v>0.72916666666666663</v>
      </c>
      <c r="G620">
        <v>0</v>
      </c>
      <c r="H620" s="6">
        <f>FLOOR(tblPivotData[[#This Row],[Time]],Summary!$B$6/1440)</f>
        <v>0.72916666666666663</v>
      </c>
      <c r="I620" s="49">
        <f>INDEX(PeakCalc!$L$10:$L$303,MATCH(tblPivotData[[#This Row],[Time]],PeakCalc!$G$10:$G$303,0))</f>
        <v>1</v>
      </c>
    </row>
    <row r="621" spans="1:9" x14ac:dyDescent="0.25">
      <c r="A621" t="s">
        <v>96</v>
      </c>
      <c r="B621" t="s">
        <v>107</v>
      </c>
      <c r="C621" t="s">
        <v>95</v>
      </c>
      <c r="D621" t="s">
        <v>79</v>
      </c>
      <c r="E621" t="s">
        <v>44</v>
      </c>
      <c r="F621" s="6">
        <v>0.73958333333333337</v>
      </c>
      <c r="G621">
        <v>1</v>
      </c>
      <c r="H621" s="6">
        <f>FLOOR(tblPivotData[[#This Row],[Time]],Summary!$B$6/1440)</f>
        <v>0.73958333333333326</v>
      </c>
      <c r="I621" s="49">
        <f>INDEX(PeakCalc!$L$10:$L$303,MATCH(tblPivotData[[#This Row],[Time]],PeakCalc!$G$10:$G$303,0))</f>
        <v>0</v>
      </c>
    </row>
    <row r="622" spans="1:9" x14ac:dyDescent="0.25">
      <c r="A622" t="s">
        <v>96</v>
      </c>
      <c r="B622" t="s">
        <v>107</v>
      </c>
      <c r="C622" t="s">
        <v>95</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95</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95</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107</v>
      </c>
      <c r="C625" t="s">
        <v>95</v>
      </c>
      <c r="D625" t="s">
        <v>89</v>
      </c>
      <c r="E625" t="s">
        <v>43</v>
      </c>
      <c r="F625" s="6">
        <v>0.32291666666666669</v>
      </c>
      <c r="G625">
        <v>0</v>
      </c>
      <c r="H625" s="6">
        <f>FLOOR(tblPivotData[[#This Row],[Time]],Summary!$B$6/1440)</f>
        <v>0.32291666666666663</v>
      </c>
      <c r="I625" s="49">
        <f>INDEX(PeakCalc!$L$10:$L$303,MATCH(tblPivotData[[#This Row],[Time]],PeakCalc!$G$10:$G$303,0))</f>
        <v>0</v>
      </c>
    </row>
    <row r="626" spans="1:9" x14ac:dyDescent="0.25">
      <c r="A626" t="s">
        <v>96</v>
      </c>
      <c r="B626" t="s">
        <v>107</v>
      </c>
      <c r="C626" t="s">
        <v>95</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107</v>
      </c>
      <c r="C627" t="s">
        <v>95</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107</v>
      </c>
      <c r="C628" t="s">
        <v>95</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107</v>
      </c>
      <c r="C629" t="s">
        <v>95</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96</v>
      </c>
      <c r="B630" t="s">
        <v>107</v>
      </c>
      <c r="C630" t="s">
        <v>95</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95</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95</v>
      </c>
      <c r="D632" t="s">
        <v>89</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95</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95</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107</v>
      </c>
      <c r="C635" t="s">
        <v>95</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107</v>
      </c>
      <c r="C636" t="s">
        <v>95</v>
      </c>
      <c r="D636" t="s">
        <v>89</v>
      </c>
      <c r="E636" t="s">
        <v>44</v>
      </c>
      <c r="F636" s="6">
        <v>0.6875</v>
      </c>
      <c r="G636">
        <v>0</v>
      </c>
      <c r="H636" s="6">
        <f>FLOOR(tblPivotData[[#This Row],[Time]],Summary!$B$6/1440)</f>
        <v>0.6875</v>
      </c>
      <c r="I636" s="49">
        <f>INDEX(PeakCalc!$L$10:$L$303,MATCH(tblPivotData[[#This Row],[Time]],PeakCalc!$G$10:$G$303,0))</f>
        <v>0</v>
      </c>
    </row>
    <row r="637" spans="1:9" x14ac:dyDescent="0.25">
      <c r="A637" t="s">
        <v>96</v>
      </c>
      <c r="B637" t="s">
        <v>107</v>
      </c>
      <c r="C637" t="s">
        <v>95</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95</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95</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107</v>
      </c>
      <c r="C640" t="s">
        <v>95</v>
      </c>
      <c r="D640" t="s">
        <v>89</v>
      </c>
      <c r="E640" t="s">
        <v>44</v>
      </c>
      <c r="F640" s="6">
        <v>0.72916666666666663</v>
      </c>
      <c r="G640">
        <v>0</v>
      </c>
      <c r="H640" s="6">
        <f>FLOOR(tblPivotData[[#This Row],[Time]],Summary!$B$6/1440)</f>
        <v>0.72916666666666663</v>
      </c>
      <c r="I640" s="49">
        <f>INDEX(PeakCalc!$L$10:$L$303,MATCH(tblPivotData[[#This Row],[Time]],PeakCalc!$G$10:$G$303,0))</f>
        <v>1</v>
      </c>
    </row>
    <row r="641" spans="1:9" x14ac:dyDescent="0.25">
      <c r="A641" t="s">
        <v>96</v>
      </c>
      <c r="B641" t="s">
        <v>107</v>
      </c>
      <c r="C641" t="s">
        <v>95</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95</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95</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95</v>
      </c>
      <c r="D644" t="s">
        <v>90</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95</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107</v>
      </c>
      <c r="C646" t="s">
        <v>95</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95</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95</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95</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107</v>
      </c>
      <c r="C650" t="s">
        <v>95</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95</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95</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95</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95</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95</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95</v>
      </c>
      <c r="D656" t="s">
        <v>90</v>
      </c>
      <c r="E656" t="s">
        <v>44</v>
      </c>
      <c r="F656" s="6">
        <v>0.6875</v>
      </c>
      <c r="G656">
        <v>0</v>
      </c>
      <c r="H656" s="6">
        <f>FLOOR(tblPivotData[[#This Row],[Time]],Summary!$B$6/1440)</f>
        <v>0.6875</v>
      </c>
      <c r="I656" s="49">
        <f>INDEX(PeakCalc!$L$10:$L$303,MATCH(tblPivotData[[#This Row],[Time]],PeakCalc!$G$10:$G$303,0))</f>
        <v>0</v>
      </c>
    </row>
    <row r="657" spans="1:9" x14ac:dyDescent="0.25">
      <c r="A657" t="s">
        <v>96</v>
      </c>
      <c r="B657" t="s">
        <v>107</v>
      </c>
      <c r="C657" t="s">
        <v>95</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95</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95</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107</v>
      </c>
      <c r="C660" t="s">
        <v>95</v>
      </c>
      <c r="D660" t="s">
        <v>90</v>
      </c>
      <c r="E660" t="s">
        <v>44</v>
      </c>
      <c r="F660" s="6">
        <v>0.72916666666666663</v>
      </c>
      <c r="G660">
        <v>0</v>
      </c>
      <c r="H660" s="6">
        <f>FLOOR(tblPivotData[[#This Row],[Time]],Summary!$B$6/1440)</f>
        <v>0.72916666666666663</v>
      </c>
      <c r="I660" s="49">
        <f>INDEX(PeakCalc!$L$10:$L$303,MATCH(tblPivotData[[#This Row],[Time]],PeakCalc!$G$10:$G$303,0))</f>
        <v>1</v>
      </c>
    </row>
    <row r="661" spans="1:9" x14ac:dyDescent="0.25">
      <c r="A661" t="s">
        <v>96</v>
      </c>
      <c r="B661" t="s">
        <v>107</v>
      </c>
      <c r="C661" t="s">
        <v>95</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92</v>
      </c>
      <c r="C662" t="s">
        <v>96</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96</v>
      </c>
      <c r="B663" t="s">
        <v>92</v>
      </c>
      <c r="C663" t="s">
        <v>96</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96</v>
      </c>
      <c r="B664" t="s">
        <v>92</v>
      </c>
      <c r="C664" t="s">
        <v>96</v>
      </c>
      <c r="D664" t="s">
        <v>79</v>
      </c>
      <c r="E664" t="s">
        <v>43</v>
      </c>
      <c r="F664" s="6">
        <v>0.3125</v>
      </c>
      <c r="G664">
        <v>0</v>
      </c>
      <c r="H664" s="6">
        <f>FLOOR(tblPivotData[[#This Row],[Time]],Summary!$B$6/1440)</f>
        <v>0.3125</v>
      </c>
      <c r="I664" s="49">
        <f>INDEX(PeakCalc!$L$10:$L$303,MATCH(tblPivotData[[#This Row],[Time]],PeakCalc!$G$10:$G$303,0))</f>
        <v>0</v>
      </c>
    </row>
    <row r="665" spans="1:9" x14ac:dyDescent="0.25">
      <c r="A665" t="s">
        <v>96</v>
      </c>
      <c r="B665" t="s">
        <v>92</v>
      </c>
      <c r="C665" t="s">
        <v>96</v>
      </c>
      <c r="D665" t="s">
        <v>79</v>
      </c>
      <c r="E665" t="s">
        <v>43</v>
      </c>
      <c r="F665" s="6">
        <v>0.32291666666666669</v>
      </c>
      <c r="G665">
        <v>0</v>
      </c>
      <c r="H665" s="6">
        <f>FLOOR(tblPivotData[[#This Row],[Time]],Summary!$B$6/1440)</f>
        <v>0.32291666666666663</v>
      </c>
      <c r="I665" s="49">
        <f>INDEX(PeakCalc!$L$10:$L$303,MATCH(tblPivotData[[#This Row],[Time]],PeakCalc!$G$10:$G$303,0))</f>
        <v>0</v>
      </c>
    </row>
    <row r="666" spans="1:9" x14ac:dyDescent="0.25">
      <c r="A666" t="s">
        <v>96</v>
      </c>
      <c r="B666" t="s">
        <v>92</v>
      </c>
      <c r="C666" t="s">
        <v>96</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96</v>
      </c>
      <c r="B667" t="s">
        <v>92</v>
      </c>
      <c r="C667" t="s">
        <v>96</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96</v>
      </c>
      <c r="B668" t="s">
        <v>92</v>
      </c>
      <c r="C668" t="s">
        <v>96</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96</v>
      </c>
      <c r="B669" t="s">
        <v>92</v>
      </c>
      <c r="C669" t="s">
        <v>96</v>
      </c>
      <c r="D669" t="s">
        <v>79</v>
      </c>
      <c r="E669" t="s">
        <v>43</v>
      </c>
      <c r="F669" s="6">
        <v>0.36458333333333331</v>
      </c>
      <c r="G669">
        <v>0</v>
      </c>
      <c r="H669" s="6">
        <f>FLOOR(tblPivotData[[#This Row],[Time]],Summary!$B$6/1440)</f>
        <v>0.36458333333333331</v>
      </c>
      <c r="I669" s="49">
        <f>INDEX(PeakCalc!$L$10:$L$303,MATCH(tblPivotData[[#This Row],[Time]],PeakCalc!$G$10:$G$303,0))</f>
        <v>1</v>
      </c>
    </row>
    <row r="670" spans="1:9" x14ac:dyDescent="0.25">
      <c r="A670" t="s">
        <v>96</v>
      </c>
      <c r="B670" t="s">
        <v>92</v>
      </c>
      <c r="C670" t="s">
        <v>96</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96</v>
      </c>
      <c r="B671" t="s">
        <v>92</v>
      </c>
      <c r="C671" t="s">
        <v>96</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96</v>
      </c>
      <c r="B672" t="s">
        <v>92</v>
      </c>
      <c r="C672" t="s">
        <v>96</v>
      </c>
      <c r="D672" t="s">
        <v>79</v>
      </c>
      <c r="E672" t="s">
        <v>91</v>
      </c>
      <c r="F672" s="6">
        <v>0.5625</v>
      </c>
      <c r="G672">
        <v>0</v>
      </c>
      <c r="H672" s="6">
        <f>FLOOR(tblPivotData[[#This Row],[Time]],Summary!$B$6/1440)</f>
        <v>0.5625</v>
      </c>
      <c r="I672" s="49">
        <f>INDEX(PeakCalc!$L$10:$L$303,MATCH(tblPivotData[[#This Row],[Time]],PeakCalc!$G$10:$G$303,0))</f>
        <v>1</v>
      </c>
    </row>
    <row r="673" spans="1:9" x14ac:dyDescent="0.25">
      <c r="A673" t="s">
        <v>96</v>
      </c>
      <c r="B673" t="s">
        <v>92</v>
      </c>
      <c r="C673" t="s">
        <v>96</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96</v>
      </c>
      <c r="B674" t="s">
        <v>92</v>
      </c>
      <c r="C674" t="s">
        <v>96</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96</v>
      </c>
      <c r="B675" t="s">
        <v>92</v>
      </c>
      <c r="C675" t="s">
        <v>96</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96</v>
      </c>
      <c r="B676" t="s">
        <v>92</v>
      </c>
      <c r="C676" t="s">
        <v>96</v>
      </c>
      <c r="D676" t="s">
        <v>79</v>
      </c>
      <c r="E676" t="s">
        <v>44</v>
      </c>
      <c r="F676" s="6">
        <v>0.6875</v>
      </c>
      <c r="G676">
        <v>0</v>
      </c>
      <c r="H676" s="6">
        <f>FLOOR(tblPivotData[[#This Row],[Time]],Summary!$B$6/1440)</f>
        <v>0.6875</v>
      </c>
      <c r="I676" s="49">
        <f>INDEX(PeakCalc!$L$10:$L$303,MATCH(tblPivotData[[#This Row],[Time]],PeakCalc!$G$10:$G$303,0))</f>
        <v>0</v>
      </c>
    </row>
    <row r="677" spans="1:9" x14ac:dyDescent="0.25">
      <c r="A677" t="s">
        <v>96</v>
      </c>
      <c r="B677" t="s">
        <v>92</v>
      </c>
      <c r="C677" t="s">
        <v>96</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96</v>
      </c>
      <c r="B678" t="s">
        <v>92</v>
      </c>
      <c r="C678" t="s">
        <v>96</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96</v>
      </c>
      <c r="B679" t="s">
        <v>92</v>
      </c>
      <c r="C679" t="s">
        <v>96</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96</v>
      </c>
      <c r="B680" t="s">
        <v>92</v>
      </c>
      <c r="C680" t="s">
        <v>96</v>
      </c>
      <c r="D680" t="s">
        <v>79</v>
      </c>
      <c r="E680" t="s">
        <v>44</v>
      </c>
      <c r="F680" s="6">
        <v>0.72916666666666663</v>
      </c>
      <c r="G680">
        <v>0</v>
      </c>
      <c r="H680" s="6">
        <f>FLOOR(tblPivotData[[#This Row],[Time]],Summary!$B$6/1440)</f>
        <v>0.72916666666666663</v>
      </c>
      <c r="I680" s="49">
        <f>INDEX(PeakCalc!$L$10:$L$303,MATCH(tblPivotData[[#This Row],[Time]],PeakCalc!$G$10:$G$303,0))</f>
        <v>1</v>
      </c>
    </row>
    <row r="681" spans="1:9" x14ac:dyDescent="0.25">
      <c r="A681" t="s">
        <v>96</v>
      </c>
      <c r="B681" t="s">
        <v>92</v>
      </c>
      <c r="C681" t="s">
        <v>96</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96</v>
      </c>
      <c r="B682" t="s">
        <v>92</v>
      </c>
      <c r="C682" t="s">
        <v>96</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92</v>
      </c>
      <c r="C683" t="s">
        <v>96</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92</v>
      </c>
      <c r="C684" t="s">
        <v>96</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92</v>
      </c>
      <c r="C685" t="s">
        <v>96</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92</v>
      </c>
      <c r="C686" t="s">
        <v>96</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92</v>
      </c>
      <c r="C687" t="s">
        <v>96</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92</v>
      </c>
      <c r="C688" t="s">
        <v>96</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92</v>
      </c>
      <c r="C689" t="s">
        <v>96</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92</v>
      </c>
      <c r="C690" t="s">
        <v>96</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92</v>
      </c>
      <c r="C691" t="s">
        <v>96</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92</v>
      </c>
      <c r="C692" t="s">
        <v>96</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92</v>
      </c>
      <c r="C693" t="s">
        <v>96</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92</v>
      </c>
      <c r="C694" t="s">
        <v>96</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92</v>
      </c>
      <c r="C695" t="s">
        <v>96</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92</v>
      </c>
      <c r="C696" t="s">
        <v>96</v>
      </c>
      <c r="D696" t="s">
        <v>89</v>
      </c>
      <c r="E696" t="s">
        <v>44</v>
      </c>
      <c r="F696" s="6">
        <v>0.6875</v>
      </c>
      <c r="G696">
        <v>0</v>
      </c>
      <c r="H696" s="6">
        <f>FLOOR(tblPivotData[[#This Row],[Time]],Summary!$B$6/1440)</f>
        <v>0.6875</v>
      </c>
      <c r="I696" s="49">
        <f>INDEX(PeakCalc!$L$10:$L$303,MATCH(tblPivotData[[#This Row],[Time]],PeakCalc!$G$10:$G$303,0))</f>
        <v>0</v>
      </c>
    </row>
    <row r="697" spans="1:9" x14ac:dyDescent="0.25">
      <c r="A697" t="s">
        <v>96</v>
      </c>
      <c r="B697" t="s">
        <v>92</v>
      </c>
      <c r="C697" t="s">
        <v>96</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92</v>
      </c>
      <c r="C698" t="s">
        <v>96</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92</v>
      </c>
      <c r="C699" t="s">
        <v>96</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92</v>
      </c>
      <c r="C700" t="s">
        <v>96</v>
      </c>
      <c r="D700" t="s">
        <v>89</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96</v>
      </c>
      <c r="B701" t="s">
        <v>92</v>
      </c>
      <c r="C701" t="s">
        <v>96</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92</v>
      </c>
      <c r="C702" t="s">
        <v>96</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92</v>
      </c>
      <c r="C703" t="s">
        <v>96</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92</v>
      </c>
      <c r="C704" t="s">
        <v>96</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92</v>
      </c>
      <c r="C705" t="s">
        <v>96</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92</v>
      </c>
      <c r="C706" t="s">
        <v>96</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92</v>
      </c>
      <c r="C707" t="s">
        <v>96</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92</v>
      </c>
      <c r="C708" t="s">
        <v>96</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92</v>
      </c>
      <c r="C709" t="s">
        <v>96</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92</v>
      </c>
      <c r="C710" t="s">
        <v>96</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92</v>
      </c>
      <c r="C711" t="s">
        <v>96</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92</v>
      </c>
      <c r="C712" t="s">
        <v>96</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92</v>
      </c>
      <c r="C713" t="s">
        <v>96</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92</v>
      </c>
      <c r="C714" t="s">
        <v>96</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92</v>
      </c>
      <c r="C715" t="s">
        <v>96</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92</v>
      </c>
      <c r="C716" t="s">
        <v>96</v>
      </c>
      <c r="D716" t="s">
        <v>90</v>
      </c>
      <c r="E716" t="s">
        <v>44</v>
      </c>
      <c r="F716" s="6">
        <v>0.6875</v>
      </c>
      <c r="G716">
        <v>0</v>
      </c>
      <c r="H716" s="6">
        <f>FLOOR(tblPivotData[[#This Row],[Time]],Summary!$B$6/1440)</f>
        <v>0.6875</v>
      </c>
      <c r="I716" s="49">
        <f>INDEX(PeakCalc!$L$10:$L$303,MATCH(tblPivotData[[#This Row],[Time]],PeakCalc!$G$10:$G$303,0))</f>
        <v>0</v>
      </c>
    </row>
    <row r="717" spans="1:9" x14ac:dyDescent="0.25">
      <c r="A717" t="s">
        <v>96</v>
      </c>
      <c r="B717" t="s">
        <v>92</v>
      </c>
      <c r="C717" t="s">
        <v>96</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92</v>
      </c>
      <c r="C718" t="s">
        <v>96</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92</v>
      </c>
      <c r="C719" t="s">
        <v>96</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92</v>
      </c>
      <c r="C720" t="s">
        <v>96</v>
      </c>
      <c r="D720" t="s">
        <v>90</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96</v>
      </c>
      <c r="B721" t="s">
        <v>92</v>
      </c>
      <c r="C721" t="s">
        <v>96</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97</v>
      </c>
      <c r="B722" t="s">
        <v>108</v>
      </c>
      <c r="C722" t="s">
        <v>94</v>
      </c>
      <c r="D722" t="s">
        <v>79</v>
      </c>
      <c r="E722" t="s">
        <v>43</v>
      </c>
      <c r="F722" s="6">
        <v>0.29166666666666669</v>
      </c>
      <c r="G722">
        <v>14</v>
      </c>
      <c r="H722" s="6">
        <f>FLOOR(tblPivotData[[#This Row],[Time]],Summary!$B$6/1440)</f>
        <v>0.29166666666666663</v>
      </c>
      <c r="I722" s="49">
        <f>INDEX(PeakCalc!$L$10:$L$303,MATCH(tblPivotData[[#This Row],[Time]],PeakCalc!$G$10:$G$303,0))</f>
        <v>0</v>
      </c>
    </row>
    <row r="723" spans="1:9" x14ac:dyDescent="0.25">
      <c r="A723" t="s">
        <v>97</v>
      </c>
      <c r="B723" t="s">
        <v>108</v>
      </c>
      <c r="C723" t="s">
        <v>94</v>
      </c>
      <c r="D723" t="s">
        <v>79</v>
      </c>
      <c r="E723" t="s">
        <v>43</v>
      </c>
      <c r="F723" s="6">
        <v>0.30208333333333331</v>
      </c>
      <c r="G723">
        <v>27</v>
      </c>
      <c r="H723" s="6">
        <f>FLOOR(tblPivotData[[#This Row],[Time]],Summary!$B$6/1440)</f>
        <v>0.30208333333333331</v>
      </c>
      <c r="I723" s="49">
        <f>INDEX(PeakCalc!$L$10:$L$303,MATCH(tblPivotData[[#This Row],[Time]],PeakCalc!$G$10:$G$303,0))</f>
        <v>0</v>
      </c>
    </row>
    <row r="724" spans="1:9" x14ac:dyDescent="0.25">
      <c r="A724" t="s">
        <v>97</v>
      </c>
      <c r="B724" t="s">
        <v>108</v>
      </c>
      <c r="C724" t="s">
        <v>94</v>
      </c>
      <c r="D724" t="s">
        <v>79</v>
      </c>
      <c r="E724" t="s">
        <v>43</v>
      </c>
      <c r="F724" s="6">
        <v>0.3125</v>
      </c>
      <c r="G724">
        <v>20</v>
      </c>
      <c r="H724" s="6">
        <f>FLOOR(tblPivotData[[#This Row],[Time]],Summary!$B$6/1440)</f>
        <v>0.3125</v>
      </c>
      <c r="I724" s="49">
        <f>INDEX(PeakCalc!$L$10:$L$303,MATCH(tblPivotData[[#This Row],[Time]],PeakCalc!$G$10:$G$303,0))</f>
        <v>0</v>
      </c>
    </row>
    <row r="725" spans="1:9" x14ac:dyDescent="0.25">
      <c r="A725" t="s">
        <v>97</v>
      </c>
      <c r="B725" t="s">
        <v>108</v>
      </c>
      <c r="C725" t="s">
        <v>94</v>
      </c>
      <c r="D725" t="s">
        <v>79</v>
      </c>
      <c r="E725" t="s">
        <v>43</v>
      </c>
      <c r="F725" s="6">
        <v>0.32291666666666669</v>
      </c>
      <c r="G725">
        <v>29</v>
      </c>
      <c r="H725" s="6">
        <f>FLOOR(tblPivotData[[#This Row],[Time]],Summary!$B$6/1440)</f>
        <v>0.32291666666666663</v>
      </c>
      <c r="I725" s="49">
        <f>INDEX(PeakCalc!$L$10:$L$303,MATCH(tblPivotData[[#This Row],[Time]],PeakCalc!$G$10:$G$303,0))</f>
        <v>0</v>
      </c>
    </row>
    <row r="726" spans="1:9" x14ac:dyDescent="0.25">
      <c r="A726" t="s">
        <v>97</v>
      </c>
      <c r="B726" t="s">
        <v>108</v>
      </c>
      <c r="C726" t="s">
        <v>94</v>
      </c>
      <c r="D726" t="s">
        <v>79</v>
      </c>
      <c r="E726" t="s">
        <v>43</v>
      </c>
      <c r="F726" s="6">
        <v>0.33333333333333331</v>
      </c>
      <c r="G726">
        <v>35</v>
      </c>
      <c r="H726" s="6">
        <f>FLOOR(tblPivotData[[#This Row],[Time]],Summary!$B$6/1440)</f>
        <v>0.33333333333333331</v>
      </c>
      <c r="I726" s="49">
        <f>INDEX(PeakCalc!$L$10:$L$303,MATCH(tblPivotData[[#This Row],[Time]],PeakCalc!$G$10:$G$303,0))</f>
        <v>1</v>
      </c>
    </row>
    <row r="727" spans="1:9" x14ac:dyDescent="0.25">
      <c r="A727" t="s">
        <v>97</v>
      </c>
      <c r="B727" t="s">
        <v>108</v>
      </c>
      <c r="C727" t="s">
        <v>94</v>
      </c>
      <c r="D727" t="s">
        <v>79</v>
      </c>
      <c r="E727" t="s">
        <v>43</v>
      </c>
      <c r="F727" s="6">
        <v>0.34375</v>
      </c>
      <c r="G727">
        <v>49</v>
      </c>
      <c r="H727" s="6">
        <f>FLOOR(tblPivotData[[#This Row],[Time]],Summary!$B$6/1440)</f>
        <v>0.34375</v>
      </c>
      <c r="I727" s="49">
        <f>INDEX(PeakCalc!$L$10:$L$303,MATCH(tblPivotData[[#This Row],[Time]],PeakCalc!$G$10:$G$303,0))</f>
        <v>1</v>
      </c>
    </row>
    <row r="728" spans="1:9" x14ac:dyDescent="0.25">
      <c r="A728" t="s">
        <v>97</v>
      </c>
      <c r="B728" t="s">
        <v>108</v>
      </c>
      <c r="C728" t="s">
        <v>94</v>
      </c>
      <c r="D728" t="s">
        <v>79</v>
      </c>
      <c r="E728" t="s">
        <v>43</v>
      </c>
      <c r="F728" s="6">
        <v>0.35416666666666669</v>
      </c>
      <c r="G728">
        <v>46</v>
      </c>
      <c r="H728" s="6">
        <f>FLOOR(tblPivotData[[#This Row],[Time]],Summary!$B$6/1440)</f>
        <v>0.35416666666666663</v>
      </c>
      <c r="I728" s="49">
        <f>INDEX(PeakCalc!$L$10:$L$303,MATCH(tblPivotData[[#This Row],[Time]],PeakCalc!$G$10:$G$303,0))</f>
        <v>1</v>
      </c>
    </row>
    <row r="729" spans="1:9" x14ac:dyDescent="0.25">
      <c r="A729" t="s">
        <v>97</v>
      </c>
      <c r="B729" t="s">
        <v>108</v>
      </c>
      <c r="C729" t="s">
        <v>94</v>
      </c>
      <c r="D729" t="s">
        <v>79</v>
      </c>
      <c r="E729" t="s">
        <v>43</v>
      </c>
      <c r="F729" s="6">
        <v>0.36458333333333331</v>
      </c>
      <c r="G729">
        <v>42</v>
      </c>
      <c r="H729" s="6">
        <f>FLOOR(tblPivotData[[#This Row],[Time]],Summary!$B$6/1440)</f>
        <v>0.36458333333333331</v>
      </c>
      <c r="I729" s="49">
        <f>INDEX(PeakCalc!$L$10:$L$303,MATCH(tblPivotData[[#This Row],[Time]],PeakCalc!$G$10:$G$303,0))</f>
        <v>1</v>
      </c>
    </row>
    <row r="730" spans="1:9" x14ac:dyDescent="0.25">
      <c r="A730" t="s">
        <v>97</v>
      </c>
      <c r="B730" t="s">
        <v>108</v>
      </c>
      <c r="C730" t="s">
        <v>94</v>
      </c>
      <c r="D730" t="s">
        <v>79</v>
      </c>
      <c r="E730" t="s">
        <v>91</v>
      </c>
      <c r="F730" s="6">
        <v>0.54166666666666663</v>
      </c>
      <c r="G730">
        <v>53</v>
      </c>
      <c r="H730" s="6">
        <f>FLOOR(tblPivotData[[#This Row],[Time]],Summary!$B$6/1440)</f>
        <v>0.54166666666666663</v>
      </c>
      <c r="I730" s="49">
        <f>INDEX(PeakCalc!$L$10:$L$303,MATCH(tblPivotData[[#This Row],[Time]],PeakCalc!$G$10:$G$303,0))</f>
        <v>1</v>
      </c>
    </row>
    <row r="731" spans="1:9" x14ac:dyDescent="0.25">
      <c r="A731" t="s">
        <v>97</v>
      </c>
      <c r="B731" t="s">
        <v>108</v>
      </c>
      <c r="C731" t="s">
        <v>94</v>
      </c>
      <c r="D731" t="s">
        <v>79</v>
      </c>
      <c r="E731" t="s">
        <v>91</v>
      </c>
      <c r="F731" s="6">
        <v>0.55208333333333337</v>
      </c>
      <c r="G731">
        <v>68</v>
      </c>
      <c r="H731" s="6">
        <f>FLOOR(tblPivotData[[#This Row],[Time]],Summary!$B$6/1440)</f>
        <v>0.55208333333333326</v>
      </c>
      <c r="I731" s="49">
        <f>INDEX(PeakCalc!$L$10:$L$303,MATCH(tblPivotData[[#This Row],[Time]],PeakCalc!$G$10:$G$303,0))</f>
        <v>1</v>
      </c>
    </row>
    <row r="732" spans="1:9" x14ac:dyDescent="0.25">
      <c r="A732" t="s">
        <v>97</v>
      </c>
      <c r="B732" t="s">
        <v>108</v>
      </c>
      <c r="C732" t="s">
        <v>94</v>
      </c>
      <c r="D732" t="s">
        <v>79</v>
      </c>
      <c r="E732" t="s">
        <v>91</v>
      </c>
      <c r="F732" s="6">
        <v>0.5625</v>
      </c>
      <c r="G732">
        <v>51</v>
      </c>
      <c r="H732" s="6">
        <f>FLOOR(tblPivotData[[#This Row],[Time]],Summary!$B$6/1440)</f>
        <v>0.5625</v>
      </c>
      <c r="I732" s="49">
        <f>INDEX(PeakCalc!$L$10:$L$303,MATCH(tblPivotData[[#This Row],[Time]],PeakCalc!$G$10:$G$303,0))</f>
        <v>1</v>
      </c>
    </row>
    <row r="733" spans="1:9" x14ac:dyDescent="0.25">
      <c r="A733" t="s">
        <v>97</v>
      </c>
      <c r="B733" t="s">
        <v>108</v>
      </c>
      <c r="C733" t="s">
        <v>94</v>
      </c>
      <c r="D733" t="s">
        <v>79</v>
      </c>
      <c r="E733" t="s">
        <v>91</v>
      </c>
      <c r="F733" s="6">
        <v>0.57291666666666663</v>
      </c>
      <c r="G733">
        <v>52</v>
      </c>
      <c r="H733" s="6">
        <f>FLOOR(tblPivotData[[#This Row],[Time]],Summary!$B$6/1440)</f>
        <v>0.57291666666666663</v>
      </c>
      <c r="I733" s="49">
        <f>INDEX(PeakCalc!$L$10:$L$303,MATCH(tblPivotData[[#This Row],[Time]],PeakCalc!$G$10:$G$303,0))</f>
        <v>1</v>
      </c>
    </row>
    <row r="734" spans="1:9" x14ac:dyDescent="0.25">
      <c r="A734" t="s">
        <v>97</v>
      </c>
      <c r="B734" t="s">
        <v>108</v>
      </c>
      <c r="C734" t="s">
        <v>94</v>
      </c>
      <c r="D734" t="s">
        <v>79</v>
      </c>
      <c r="E734" t="s">
        <v>44</v>
      </c>
      <c r="F734" s="6">
        <v>0.66666666666666663</v>
      </c>
      <c r="G734">
        <v>97</v>
      </c>
      <c r="H734" s="6">
        <f>FLOOR(tblPivotData[[#This Row],[Time]],Summary!$B$6/1440)</f>
        <v>0.66666666666666663</v>
      </c>
      <c r="I734" s="49">
        <f>INDEX(PeakCalc!$L$10:$L$303,MATCH(tblPivotData[[#This Row],[Time]],PeakCalc!$G$10:$G$303,0))</f>
        <v>0</v>
      </c>
    </row>
    <row r="735" spans="1:9" x14ac:dyDescent="0.25">
      <c r="A735" t="s">
        <v>97</v>
      </c>
      <c r="B735" t="s">
        <v>108</v>
      </c>
      <c r="C735" t="s">
        <v>94</v>
      </c>
      <c r="D735" t="s">
        <v>79</v>
      </c>
      <c r="E735" t="s">
        <v>44</v>
      </c>
      <c r="F735" s="6">
        <v>0.67708333333333337</v>
      </c>
      <c r="G735">
        <v>112</v>
      </c>
      <c r="H735" s="6">
        <f>FLOOR(tblPivotData[[#This Row],[Time]],Summary!$B$6/1440)</f>
        <v>0.67708333333333326</v>
      </c>
      <c r="I735" s="49">
        <f>INDEX(PeakCalc!$L$10:$L$303,MATCH(tblPivotData[[#This Row],[Time]],PeakCalc!$G$10:$G$303,0))</f>
        <v>0</v>
      </c>
    </row>
    <row r="736" spans="1:9" x14ac:dyDescent="0.25">
      <c r="A736" t="s">
        <v>97</v>
      </c>
      <c r="B736" t="s">
        <v>108</v>
      </c>
      <c r="C736" t="s">
        <v>94</v>
      </c>
      <c r="D736" t="s">
        <v>79</v>
      </c>
      <c r="E736" t="s">
        <v>44</v>
      </c>
      <c r="F736" s="6">
        <v>0.6875</v>
      </c>
      <c r="G736">
        <v>97</v>
      </c>
      <c r="H736" s="6">
        <f>FLOOR(tblPivotData[[#This Row],[Time]],Summary!$B$6/1440)</f>
        <v>0.6875</v>
      </c>
      <c r="I736" s="49">
        <f>INDEX(PeakCalc!$L$10:$L$303,MATCH(tblPivotData[[#This Row],[Time]],PeakCalc!$G$10:$G$303,0))</f>
        <v>0</v>
      </c>
    </row>
    <row r="737" spans="1:9" x14ac:dyDescent="0.25">
      <c r="A737" t="s">
        <v>97</v>
      </c>
      <c r="B737" t="s">
        <v>108</v>
      </c>
      <c r="C737" t="s">
        <v>94</v>
      </c>
      <c r="D737" t="s">
        <v>79</v>
      </c>
      <c r="E737" t="s">
        <v>44</v>
      </c>
      <c r="F737" s="6">
        <v>0.69791666666666663</v>
      </c>
      <c r="G737">
        <v>118</v>
      </c>
      <c r="H737" s="6">
        <f>FLOOR(tblPivotData[[#This Row],[Time]],Summary!$B$6/1440)</f>
        <v>0.69791666666666663</v>
      </c>
      <c r="I737" s="49">
        <f>INDEX(PeakCalc!$L$10:$L$303,MATCH(tblPivotData[[#This Row],[Time]],PeakCalc!$G$10:$G$303,0))</f>
        <v>1</v>
      </c>
    </row>
    <row r="738" spans="1:9" x14ac:dyDescent="0.25">
      <c r="A738" t="s">
        <v>97</v>
      </c>
      <c r="B738" t="s">
        <v>108</v>
      </c>
      <c r="C738" t="s">
        <v>94</v>
      </c>
      <c r="D738" t="s">
        <v>79</v>
      </c>
      <c r="E738" t="s">
        <v>44</v>
      </c>
      <c r="F738" s="6">
        <v>0.70833333333333337</v>
      </c>
      <c r="G738">
        <v>115</v>
      </c>
      <c r="H738" s="6">
        <f>FLOOR(tblPivotData[[#This Row],[Time]],Summary!$B$6/1440)</f>
        <v>0.70833333333333326</v>
      </c>
      <c r="I738" s="49">
        <f>INDEX(PeakCalc!$L$10:$L$303,MATCH(tblPivotData[[#This Row],[Time]],PeakCalc!$G$10:$G$303,0))</f>
        <v>1</v>
      </c>
    </row>
    <row r="739" spans="1:9" x14ac:dyDescent="0.25">
      <c r="A739" t="s">
        <v>97</v>
      </c>
      <c r="B739" t="s">
        <v>108</v>
      </c>
      <c r="C739" t="s">
        <v>94</v>
      </c>
      <c r="D739" t="s">
        <v>79</v>
      </c>
      <c r="E739" t="s">
        <v>44</v>
      </c>
      <c r="F739" s="6">
        <v>0.71875</v>
      </c>
      <c r="G739">
        <v>113</v>
      </c>
      <c r="H739" s="6">
        <f>FLOOR(tblPivotData[[#This Row],[Time]],Summary!$B$6/1440)</f>
        <v>0.71875</v>
      </c>
      <c r="I739" s="49">
        <f>INDEX(PeakCalc!$L$10:$L$303,MATCH(tblPivotData[[#This Row],[Time]],PeakCalc!$G$10:$G$303,0))</f>
        <v>1</v>
      </c>
    </row>
    <row r="740" spans="1:9" x14ac:dyDescent="0.25">
      <c r="A740" t="s">
        <v>97</v>
      </c>
      <c r="B740" t="s">
        <v>108</v>
      </c>
      <c r="C740" t="s">
        <v>94</v>
      </c>
      <c r="D740" t="s">
        <v>79</v>
      </c>
      <c r="E740" t="s">
        <v>44</v>
      </c>
      <c r="F740" s="6">
        <v>0.72916666666666663</v>
      </c>
      <c r="G740">
        <v>115</v>
      </c>
      <c r="H740" s="6">
        <f>FLOOR(tblPivotData[[#This Row],[Time]],Summary!$B$6/1440)</f>
        <v>0.72916666666666663</v>
      </c>
      <c r="I740" s="49">
        <f>INDEX(PeakCalc!$L$10:$L$303,MATCH(tblPivotData[[#This Row],[Time]],PeakCalc!$G$10:$G$303,0))</f>
        <v>1</v>
      </c>
    </row>
    <row r="741" spans="1:9" x14ac:dyDescent="0.25">
      <c r="A741" t="s">
        <v>97</v>
      </c>
      <c r="B741" t="s">
        <v>108</v>
      </c>
      <c r="C741" t="s">
        <v>94</v>
      </c>
      <c r="D741" t="s">
        <v>79</v>
      </c>
      <c r="E741" t="s">
        <v>44</v>
      </c>
      <c r="F741" s="6">
        <v>0.73958333333333337</v>
      </c>
      <c r="G741">
        <v>104</v>
      </c>
      <c r="H741" s="6">
        <f>FLOOR(tblPivotData[[#This Row],[Time]],Summary!$B$6/1440)</f>
        <v>0.73958333333333326</v>
      </c>
      <c r="I741" s="49">
        <f>INDEX(PeakCalc!$L$10:$L$303,MATCH(tblPivotData[[#This Row],[Time]],PeakCalc!$G$10:$G$303,0))</f>
        <v>0</v>
      </c>
    </row>
    <row r="742" spans="1:9" x14ac:dyDescent="0.25">
      <c r="A742" t="s">
        <v>97</v>
      </c>
      <c r="B742" t="s">
        <v>108</v>
      </c>
      <c r="C742" t="s">
        <v>94</v>
      </c>
      <c r="D742" t="s">
        <v>89</v>
      </c>
      <c r="E742" t="s">
        <v>43</v>
      </c>
      <c r="F742" s="6">
        <v>0.29166666666666669</v>
      </c>
      <c r="G742">
        <v>2</v>
      </c>
      <c r="H742" s="6">
        <f>FLOOR(tblPivotData[[#This Row],[Time]],Summary!$B$6/1440)</f>
        <v>0.29166666666666663</v>
      </c>
      <c r="I742" s="49">
        <f>INDEX(PeakCalc!$L$10:$L$303,MATCH(tblPivotData[[#This Row],[Time]],PeakCalc!$G$10:$G$303,0))</f>
        <v>0</v>
      </c>
    </row>
    <row r="743" spans="1:9" x14ac:dyDescent="0.25">
      <c r="A743" t="s">
        <v>97</v>
      </c>
      <c r="B743" t="s">
        <v>108</v>
      </c>
      <c r="C743" t="s">
        <v>94</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97</v>
      </c>
      <c r="B744" t="s">
        <v>108</v>
      </c>
      <c r="C744" t="s">
        <v>94</v>
      </c>
      <c r="D744" t="s">
        <v>89</v>
      </c>
      <c r="E744" t="s">
        <v>43</v>
      </c>
      <c r="F744" s="6">
        <v>0.3125</v>
      </c>
      <c r="G744">
        <v>1</v>
      </c>
      <c r="H744" s="6">
        <f>FLOOR(tblPivotData[[#This Row],[Time]],Summary!$B$6/1440)</f>
        <v>0.3125</v>
      </c>
      <c r="I744" s="49">
        <f>INDEX(PeakCalc!$L$10:$L$303,MATCH(tblPivotData[[#This Row],[Time]],PeakCalc!$G$10:$G$303,0))</f>
        <v>0</v>
      </c>
    </row>
    <row r="745" spans="1:9" x14ac:dyDescent="0.25">
      <c r="A745" t="s">
        <v>97</v>
      </c>
      <c r="B745" t="s">
        <v>108</v>
      </c>
      <c r="C745" t="s">
        <v>94</v>
      </c>
      <c r="D745" t="s">
        <v>89</v>
      </c>
      <c r="E745" t="s">
        <v>43</v>
      </c>
      <c r="F745" s="6">
        <v>0.32291666666666669</v>
      </c>
      <c r="G745">
        <v>2</v>
      </c>
      <c r="H745" s="6">
        <f>FLOOR(tblPivotData[[#This Row],[Time]],Summary!$B$6/1440)</f>
        <v>0.32291666666666663</v>
      </c>
      <c r="I745" s="49">
        <f>INDEX(PeakCalc!$L$10:$L$303,MATCH(tblPivotData[[#This Row],[Time]],PeakCalc!$G$10:$G$303,0))</f>
        <v>0</v>
      </c>
    </row>
    <row r="746" spans="1:9" x14ac:dyDescent="0.25">
      <c r="A746" t="s">
        <v>97</v>
      </c>
      <c r="B746" t="s">
        <v>108</v>
      </c>
      <c r="C746" t="s">
        <v>94</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97</v>
      </c>
      <c r="B747" t="s">
        <v>108</v>
      </c>
      <c r="C747" t="s">
        <v>94</v>
      </c>
      <c r="D747" t="s">
        <v>89</v>
      </c>
      <c r="E747" t="s">
        <v>43</v>
      </c>
      <c r="F747" s="6">
        <v>0.34375</v>
      </c>
      <c r="G747">
        <v>1</v>
      </c>
      <c r="H747" s="6">
        <f>FLOOR(tblPivotData[[#This Row],[Time]],Summary!$B$6/1440)</f>
        <v>0.34375</v>
      </c>
      <c r="I747" s="49">
        <f>INDEX(PeakCalc!$L$10:$L$303,MATCH(tblPivotData[[#This Row],[Time]],PeakCalc!$G$10:$G$303,0))</f>
        <v>1</v>
      </c>
    </row>
    <row r="748" spans="1:9" x14ac:dyDescent="0.25">
      <c r="A748" t="s">
        <v>97</v>
      </c>
      <c r="B748" t="s">
        <v>108</v>
      </c>
      <c r="C748" t="s">
        <v>94</v>
      </c>
      <c r="D748" t="s">
        <v>89</v>
      </c>
      <c r="E748" t="s">
        <v>43</v>
      </c>
      <c r="F748" s="6">
        <v>0.35416666666666669</v>
      </c>
      <c r="G748">
        <v>1</v>
      </c>
      <c r="H748" s="6">
        <f>FLOOR(tblPivotData[[#This Row],[Time]],Summary!$B$6/1440)</f>
        <v>0.35416666666666663</v>
      </c>
      <c r="I748" s="49">
        <f>INDEX(PeakCalc!$L$10:$L$303,MATCH(tblPivotData[[#This Row],[Time]],PeakCalc!$G$10:$G$303,0))</f>
        <v>1</v>
      </c>
    </row>
    <row r="749" spans="1:9" x14ac:dyDescent="0.25">
      <c r="A749" t="s">
        <v>97</v>
      </c>
      <c r="B749" t="s">
        <v>108</v>
      </c>
      <c r="C749" t="s">
        <v>94</v>
      </c>
      <c r="D749" t="s">
        <v>89</v>
      </c>
      <c r="E749" t="s">
        <v>43</v>
      </c>
      <c r="F749" s="6">
        <v>0.36458333333333331</v>
      </c>
      <c r="G749">
        <v>2</v>
      </c>
      <c r="H749" s="6">
        <f>FLOOR(tblPivotData[[#This Row],[Time]],Summary!$B$6/1440)</f>
        <v>0.36458333333333331</v>
      </c>
      <c r="I749" s="49">
        <f>INDEX(PeakCalc!$L$10:$L$303,MATCH(tblPivotData[[#This Row],[Time]],PeakCalc!$G$10:$G$303,0))</f>
        <v>1</v>
      </c>
    </row>
    <row r="750" spans="1:9" x14ac:dyDescent="0.25">
      <c r="A750" t="s">
        <v>97</v>
      </c>
      <c r="B750" t="s">
        <v>108</v>
      </c>
      <c r="C750" t="s">
        <v>94</v>
      </c>
      <c r="D750" t="s">
        <v>89</v>
      </c>
      <c r="E750" t="s">
        <v>91</v>
      </c>
      <c r="F750" s="6">
        <v>0.54166666666666663</v>
      </c>
      <c r="G750">
        <v>1</v>
      </c>
      <c r="H750" s="6">
        <f>FLOOR(tblPivotData[[#This Row],[Time]],Summary!$B$6/1440)</f>
        <v>0.54166666666666663</v>
      </c>
      <c r="I750" s="49">
        <f>INDEX(PeakCalc!$L$10:$L$303,MATCH(tblPivotData[[#This Row],[Time]],PeakCalc!$G$10:$G$303,0))</f>
        <v>1</v>
      </c>
    </row>
    <row r="751" spans="1:9" x14ac:dyDescent="0.25">
      <c r="A751" t="s">
        <v>97</v>
      </c>
      <c r="B751" t="s">
        <v>108</v>
      </c>
      <c r="C751" t="s">
        <v>94</v>
      </c>
      <c r="D751" t="s">
        <v>89</v>
      </c>
      <c r="E751" t="s">
        <v>91</v>
      </c>
      <c r="F751" s="6">
        <v>0.55208333333333337</v>
      </c>
      <c r="G751">
        <v>2</v>
      </c>
      <c r="H751" s="6">
        <f>FLOOR(tblPivotData[[#This Row],[Time]],Summary!$B$6/1440)</f>
        <v>0.55208333333333326</v>
      </c>
      <c r="I751" s="49">
        <f>INDEX(PeakCalc!$L$10:$L$303,MATCH(tblPivotData[[#This Row],[Time]],PeakCalc!$G$10:$G$303,0))</f>
        <v>1</v>
      </c>
    </row>
    <row r="752" spans="1:9" x14ac:dyDescent="0.25">
      <c r="A752" t="s">
        <v>97</v>
      </c>
      <c r="B752" t="s">
        <v>108</v>
      </c>
      <c r="C752" t="s">
        <v>94</v>
      </c>
      <c r="D752" t="s">
        <v>89</v>
      </c>
      <c r="E752" t="s">
        <v>91</v>
      </c>
      <c r="F752" s="6">
        <v>0.5625</v>
      </c>
      <c r="G752">
        <v>2</v>
      </c>
      <c r="H752" s="6">
        <f>FLOOR(tblPivotData[[#This Row],[Time]],Summary!$B$6/1440)</f>
        <v>0.5625</v>
      </c>
      <c r="I752" s="49">
        <f>INDEX(PeakCalc!$L$10:$L$303,MATCH(tblPivotData[[#This Row],[Time]],PeakCalc!$G$10:$G$303,0))</f>
        <v>1</v>
      </c>
    </row>
    <row r="753" spans="1:9" x14ac:dyDescent="0.25">
      <c r="A753" t="s">
        <v>97</v>
      </c>
      <c r="B753" t="s">
        <v>108</v>
      </c>
      <c r="C753" t="s">
        <v>94</v>
      </c>
      <c r="D753" t="s">
        <v>89</v>
      </c>
      <c r="E753" t="s">
        <v>91</v>
      </c>
      <c r="F753" s="6">
        <v>0.57291666666666663</v>
      </c>
      <c r="G753">
        <v>2</v>
      </c>
      <c r="H753" s="6">
        <f>FLOOR(tblPivotData[[#This Row],[Time]],Summary!$B$6/1440)</f>
        <v>0.57291666666666663</v>
      </c>
      <c r="I753" s="49">
        <f>INDEX(PeakCalc!$L$10:$L$303,MATCH(tblPivotData[[#This Row],[Time]],PeakCalc!$G$10:$G$303,0))</f>
        <v>1</v>
      </c>
    </row>
    <row r="754" spans="1:9" x14ac:dyDescent="0.25">
      <c r="A754" t="s">
        <v>97</v>
      </c>
      <c r="B754" t="s">
        <v>108</v>
      </c>
      <c r="C754" t="s">
        <v>94</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97</v>
      </c>
      <c r="B755" t="s">
        <v>108</v>
      </c>
      <c r="C755" t="s">
        <v>94</v>
      </c>
      <c r="D755" t="s">
        <v>89</v>
      </c>
      <c r="E755" t="s">
        <v>44</v>
      </c>
      <c r="F755" s="6">
        <v>0.67708333333333337</v>
      </c>
      <c r="G755">
        <v>2</v>
      </c>
      <c r="H755" s="6">
        <f>FLOOR(tblPivotData[[#This Row],[Time]],Summary!$B$6/1440)</f>
        <v>0.67708333333333326</v>
      </c>
      <c r="I755" s="49">
        <f>INDEX(PeakCalc!$L$10:$L$303,MATCH(tblPivotData[[#This Row],[Time]],PeakCalc!$G$10:$G$303,0))</f>
        <v>0</v>
      </c>
    </row>
    <row r="756" spans="1:9" x14ac:dyDescent="0.25">
      <c r="A756" t="s">
        <v>97</v>
      </c>
      <c r="B756" t="s">
        <v>108</v>
      </c>
      <c r="C756" t="s">
        <v>94</v>
      </c>
      <c r="D756" t="s">
        <v>89</v>
      </c>
      <c r="E756" t="s">
        <v>44</v>
      </c>
      <c r="F756" s="6">
        <v>0.6875</v>
      </c>
      <c r="G756">
        <v>1</v>
      </c>
      <c r="H756" s="6">
        <f>FLOOR(tblPivotData[[#This Row],[Time]],Summary!$B$6/1440)</f>
        <v>0.6875</v>
      </c>
      <c r="I756" s="49">
        <f>INDEX(PeakCalc!$L$10:$L$303,MATCH(tblPivotData[[#This Row],[Time]],PeakCalc!$G$10:$G$303,0))</f>
        <v>0</v>
      </c>
    </row>
    <row r="757" spans="1:9" x14ac:dyDescent="0.25">
      <c r="A757" t="s">
        <v>97</v>
      </c>
      <c r="B757" t="s">
        <v>108</v>
      </c>
      <c r="C757" t="s">
        <v>94</v>
      </c>
      <c r="D757" t="s">
        <v>89</v>
      </c>
      <c r="E757" t="s">
        <v>44</v>
      </c>
      <c r="F757" s="6">
        <v>0.69791666666666663</v>
      </c>
      <c r="G757">
        <v>2</v>
      </c>
      <c r="H757" s="6">
        <f>FLOOR(tblPivotData[[#This Row],[Time]],Summary!$B$6/1440)</f>
        <v>0.69791666666666663</v>
      </c>
      <c r="I757" s="49">
        <f>INDEX(PeakCalc!$L$10:$L$303,MATCH(tblPivotData[[#This Row],[Time]],PeakCalc!$G$10:$G$303,0))</f>
        <v>1</v>
      </c>
    </row>
    <row r="758" spans="1:9" x14ac:dyDescent="0.25">
      <c r="A758" t="s">
        <v>97</v>
      </c>
      <c r="B758" t="s">
        <v>108</v>
      </c>
      <c r="C758" t="s">
        <v>94</v>
      </c>
      <c r="D758" t="s">
        <v>89</v>
      </c>
      <c r="E758" t="s">
        <v>44</v>
      </c>
      <c r="F758" s="6">
        <v>0.70833333333333337</v>
      </c>
      <c r="G758">
        <v>1</v>
      </c>
      <c r="H758" s="6">
        <f>FLOOR(tblPivotData[[#This Row],[Time]],Summary!$B$6/1440)</f>
        <v>0.70833333333333326</v>
      </c>
      <c r="I758" s="49">
        <f>INDEX(PeakCalc!$L$10:$L$303,MATCH(tblPivotData[[#This Row],[Time]],PeakCalc!$G$10:$G$303,0))</f>
        <v>1</v>
      </c>
    </row>
    <row r="759" spans="1:9" x14ac:dyDescent="0.25">
      <c r="A759" t="s">
        <v>97</v>
      </c>
      <c r="B759" t="s">
        <v>108</v>
      </c>
      <c r="C759" t="s">
        <v>94</v>
      </c>
      <c r="D759" t="s">
        <v>89</v>
      </c>
      <c r="E759" t="s">
        <v>44</v>
      </c>
      <c r="F759" s="6">
        <v>0.71875</v>
      </c>
      <c r="G759">
        <v>2</v>
      </c>
      <c r="H759" s="6">
        <f>FLOOR(tblPivotData[[#This Row],[Time]],Summary!$B$6/1440)</f>
        <v>0.71875</v>
      </c>
      <c r="I759" s="49">
        <f>INDEX(PeakCalc!$L$10:$L$303,MATCH(tblPivotData[[#This Row],[Time]],PeakCalc!$G$10:$G$303,0))</f>
        <v>1</v>
      </c>
    </row>
    <row r="760" spans="1:9" x14ac:dyDescent="0.25">
      <c r="A760" t="s">
        <v>97</v>
      </c>
      <c r="B760" t="s">
        <v>108</v>
      </c>
      <c r="C760" t="s">
        <v>94</v>
      </c>
      <c r="D760" t="s">
        <v>89</v>
      </c>
      <c r="E760" t="s">
        <v>44</v>
      </c>
      <c r="F760" s="6">
        <v>0.72916666666666663</v>
      </c>
      <c r="G760">
        <v>0</v>
      </c>
      <c r="H760" s="6">
        <f>FLOOR(tblPivotData[[#This Row],[Time]],Summary!$B$6/1440)</f>
        <v>0.72916666666666663</v>
      </c>
      <c r="I760" s="49">
        <f>INDEX(PeakCalc!$L$10:$L$303,MATCH(tblPivotData[[#This Row],[Time]],PeakCalc!$G$10:$G$303,0))</f>
        <v>1</v>
      </c>
    </row>
    <row r="761" spans="1:9" x14ac:dyDescent="0.25">
      <c r="A761" t="s">
        <v>97</v>
      </c>
      <c r="B761" t="s">
        <v>108</v>
      </c>
      <c r="C761" t="s">
        <v>94</v>
      </c>
      <c r="D761" t="s">
        <v>89</v>
      </c>
      <c r="E761" t="s">
        <v>44</v>
      </c>
      <c r="F761" s="6">
        <v>0.73958333333333337</v>
      </c>
      <c r="G761">
        <v>1</v>
      </c>
      <c r="H761" s="6">
        <f>FLOOR(tblPivotData[[#This Row],[Time]],Summary!$B$6/1440)</f>
        <v>0.73958333333333326</v>
      </c>
      <c r="I761" s="49">
        <f>INDEX(PeakCalc!$L$10:$L$303,MATCH(tblPivotData[[#This Row],[Time]],PeakCalc!$G$10:$G$303,0))</f>
        <v>0</v>
      </c>
    </row>
    <row r="762" spans="1:9" x14ac:dyDescent="0.25">
      <c r="A762" t="s">
        <v>97</v>
      </c>
      <c r="B762" t="s">
        <v>108</v>
      </c>
      <c r="C762" t="s">
        <v>94</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97</v>
      </c>
      <c r="B763" t="s">
        <v>108</v>
      </c>
      <c r="C763" t="s">
        <v>94</v>
      </c>
      <c r="D763" t="s">
        <v>90</v>
      </c>
      <c r="E763" t="s">
        <v>43</v>
      </c>
      <c r="F763" s="6">
        <v>0.30208333333333331</v>
      </c>
      <c r="G763">
        <v>1</v>
      </c>
      <c r="H763" s="6">
        <f>FLOOR(tblPivotData[[#This Row],[Time]],Summary!$B$6/1440)</f>
        <v>0.30208333333333331</v>
      </c>
      <c r="I763" s="49">
        <f>INDEX(PeakCalc!$L$10:$L$303,MATCH(tblPivotData[[#This Row],[Time]],PeakCalc!$G$10:$G$303,0))</f>
        <v>0</v>
      </c>
    </row>
    <row r="764" spans="1:9" x14ac:dyDescent="0.25">
      <c r="A764" t="s">
        <v>97</v>
      </c>
      <c r="B764" t="s">
        <v>108</v>
      </c>
      <c r="C764" t="s">
        <v>94</v>
      </c>
      <c r="D764" t="s">
        <v>90</v>
      </c>
      <c r="E764" t="s">
        <v>43</v>
      </c>
      <c r="F764" s="6">
        <v>0.3125</v>
      </c>
      <c r="G764">
        <v>0</v>
      </c>
      <c r="H764" s="6">
        <f>FLOOR(tblPivotData[[#This Row],[Time]],Summary!$B$6/1440)</f>
        <v>0.3125</v>
      </c>
      <c r="I764" s="49">
        <f>INDEX(PeakCalc!$L$10:$L$303,MATCH(tblPivotData[[#This Row],[Time]],PeakCalc!$G$10:$G$303,0))</f>
        <v>0</v>
      </c>
    </row>
    <row r="765" spans="1:9" x14ac:dyDescent="0.25">
      <c r="A765" t="s">
        <v>97</v>
      </c>
      <c r="B765" t="s">
        <v>108</v>
      </c>
      <c r="C765" t="s">
        <v>94</v>
      </c>
      <c r="D765" t="s">
        <v>90</v>
      </c>
      <c r="E765" t="s">
        <v>43</v>
      </c>
      <c r="F765" s="6">
        <v>0.32291666666666669</v>
      </c>
      <c r="G765">
        <v>0</v>
      </c>
      <c r="H765" s="6">
        <f>FLOOR(tblPivotData[[#This Row],[Time]],Summary!$B$6/1440)</f>
        <v>0.32291666666666663</v>
      </c>
      <c r="I765" s="49">
        <f>INDEX(PeakCalc!$L$10:$L$303,MATCH(tblPivotData[[#This Row],[Time]],PeakCalc!$G$10:$G$303,0))</f>
        <v>0</v>
      </c>
    </row>
    <row r="766" spans="1:9" x14ac:dyDescent="0.25">
      <c r="A766" t="s">
        <v>97</v>
      </c>
      <c r="B766" t="s">
        <v>108</v>
      </c>
      <c r="C766" t="s">
        <v>94</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97</v>
      </c>
      <c r="B767" t="s">
        <v>108</v>
      </c>
      <c r="C767" t="s">
        <v>94</v>
      </c>
      <c r="D767" t="s">
        <v>90</v>
      </c>
      <c r="E767" t="s">
        <v>43</v>
      </c>
      <c r="F767" s="6">
        <v>0.34375</v>
      </c>
      <c r="G767">
        <v>1</v>
      </c>
      <c r="H767" s="6">
        <f>FLOOR(tblPivotData[[#This Row],[Time]],Summary!$B$6/1440)</f>
        <v>0.34375</v>
      </c>
      <c r="I767" s="49">
        <f>INDEX(PeakCalc!$L$10:$L$303,MATCH(tblPivotData[[#This Row],[Time]],PeakCalc!$G$10:$G$303,0))</f>
        <v>1</v>
      </c>
    </row>
    <row r="768" spans="1:9" x14ac:dyDescent="0.25">
      <c r="A768" t="s">
        <v>97</v>
      </c>
      <c r="B768" t="s">
        <v>108</v>
      </c>
      <c r="C768" t="s">
        <v>94</v>
      </c>
      <c r="D768" t="s">
        <v>90</v>
      </c>
      <c r="E768" t="s">
        <v>43</v>
      </c>
      <c r="F768" s="6">
        <v>0.35416666666666669</v>
      </c>
      <c r="G768">
        <v>1</v>
      </c>
      <c r="H768" s="6">
        <f>FLOOR(tblPivotData[[#This Row],[Time]],Summary!$B$6/1440)</f>
        <v>0.35416666666666663</v>
      </c>
      <c r="I768" s="49">
        <f>INDEX(PeakCalc!$L$10:$L$303,MATCH(tblPivotData[[#This Row],[Time]],PeakCalc!$G$10:$G$303,0))</f>
        <v>1</v>
      </c>
    </row>
    <row r="769" spans="1:9" x14ac:dyDescent="0.25">
      <c r="A769" t="s">
        <v>97</v>
      </c>
      <c r="B769" t="s">
        <v>108</v>
      </c>
      <c r="C769" t="s">
        <v>94</v>
      </c>
      <c r="D769" t="s">
        <v>90</v>
      </c>
      <c r="E769" t="s">
        <v>43</v>
      </c>
      <c r="F769" s="6">
        <v>0.36458333333333331</v>
      </c>
      <c r="G769">
        <v>1</v>
      </c>
      <c r="H769" s="6">
        <f>FLOOR(tblPivotData[[#This Row],[Time]],Summary!$B$6/1440)</f>
        <v>0.36458333333333331</v>
      </c>
      <c r="I769" s="49">
        <f>INDEX(PeakCalc!$L$10:$L$303,MATCH(tblPivotData[[#This Row],[Time]],PeakCalc!$G$10:$G$303,0))</f>
        <v>1</v>
      </c>
    </row>
    <row r="770" spans="1:9" x14ac:dyDescent="0.25">
      <c r="A770" t="s">
        <v>97</v>
      </c>
      <c r="B770" t="s">
        <v>108</v>
      </c>
      <c r="C770" t="s">
        <v>94</v>
      </c>
      <c r="D770" t="s">
        <v>90</v>
      </c>
      <c r="E770" t="s">
        <v>91</v>
      </c>
      <c r="F770" s="6">
        <v>0.54166666666666663</v>
      </c>
      <c r="G770">
        <v>1</v>
      </c>
      <c r="H770" s="6">
        <f>FLOOR(tblPivotData[[#This Row],[Time]],Summary!$B$6/1440)</f>
        <v>0.54166666666666663</v>
      </c>
      <c r="I770" s="49">
        <f>INDEX(PeakCalc!$L$10:$L$303,MATCH(tblPivotData[[#This Row],[Time]],PeakCalc!$G$10:$G$303,0))</f>
        <v>1</v>
      </c>
    </row>
    <row r="771" spans="1:9" x14ac:dyDescent="0.25">
      <c r="A771" t="s">
        <v>97</v>
      </c>
      <c r="B771" t="s">
        <v>108</v>
      </c>
      <c r="C771" t="s">
        <v>94</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97</v>
      </c>
      <c r="B772" t="s">
        <v>108</v>
      </c>
      <c r="C772" t="s">
        <v>94</v>
      </c>
      <c r="D772" t="s">
        <v>90</v>
      </c>
      <c r="E772" t="s">
        <v>91</v>
      </c>
      <c r="F772" s="6">
        <v>0.5625</v>
      </c>
      <c r="G772">
        <v>0</v>
      </c>
      <c r="H772" s="6">
        <f>FLOOR(tblPivotData[[#This Row],[Time]],Summary!$B$6/1440)</f>
        <v>0.5625</v>
      </c>
      <c r="I772" s="49">
        <f>INDEX(PeakCalc!$L$10:$L$303,MATCH(tblPivotData[[#This Row],[Time]],PeakCalc!$G$10:$G$303,0))</f>
        <v>1</v>
      </c>
    </row>
    <row r="773" spans="1:9" x14ac:dyDescent="0.25">
      <c r="A773" t="s">
        <v>97</v>
      </c>
      <c r="B773" t="s">
        <v>108</v>
      </c>
      <c r="C773" t="s">
        <v>94</v>
      </c>
      <c r="D773" t="s">
        <v>90</v>
      </c>
      <c r="E773" t="s">
        <v>91</v>
      </c>
      <c r="F773" s="6">
        <v>0.57291666666666663</v>
      </c>
      <c r="G773">
        <v>2</v>
      </c>
      <c r="H773" s="6">
        <f>FLOOR(tblPivotData[[#This Row],[Time]],Summary!$B$6/1440)</f>
        <v>0.57291666666666663</v>
      </c>
      <c r="I773" s="49">
        <f>INDEX(PeakCalc!$L$10:$L$303,MATCH(tblPivotData[[#This Row],[Time]],PeakCalc!$G$10:$G$303,0))</f>
        <v>1</v>
      </c>
    </row>
    <row r="774" spans="1:9" x14ac:dyDescent="0.25">
      <c r="A774" t="s">
        <v>97</v>
      </c>
      <c r="B774" t="s">
        <v>108</v>
      </c>
      <c r="C774" t="s">
        <v>94</v>
      </c>
      <c r="D774" t="s">
        <v>90</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97</v>
      </c>
      <c r="B775" t="s">
        <v>108</v>
      </c>
      <c r="C775" t="s">
        <v>94</v>
      </c>
      <c r="D775" t="s">
        <v>90</v>
      </c>
      <c r="E775" t="s">
        <v>44</v>
      </c>
      <c r="F775" s="6">
        <v>0.67708333333333337</v>
      </c>
      <c r="G775">
        <v>1</v>
      </c>
      <c r="H775" s="6">
        <f>FLOOR(tblPivotData[[#This Row],[Time]],Summary!$B$6/1440)</f>
        <v>0.67708333333333326</v>
      </c>
      <c r="I775" s="49">
        <f>INDEX(PeakCalc!$L$10:$L$303,MATCH(tblPivotData[[#This Row],[Time]],PeakCalc!$G$10:$G$303,0))</f>
        <v>0</v>
      </c>
    </row>
    <row r="776" spans="1:9" x14ac:dyDescent="0.25">
      <c r="A776" t="s">
        <v>97</v>
      </c>
      <c r="B776" t="s">
        <v>108</v>
      </c>
      <c r="C776" t="s">
        <v>94</v>
      </c>
      <c r="D776" t="s">
        <v>90</v>
      </c>
      <c r="E776" t="s">
        <v>44</v>
      </c>
      <c r="F776" s="6">
        <v>0.6875</v>
      </c>
      <c r="G776">
        <v>0</v>
      </c>
      <c r="H776" s="6">
        <f>FLOOR(tblPivotData[[#This Row],[Time]],Summary!$B$6/1440)</f>
        <v>0.6875</v>
      </c>
      <c r="I776" s="49">
        <f>INDEX(PeakCalc!$L$10:$L$303,MATCH(tblPivotData[[#This Row],[Time]],PeakCalc!$G$10:$G$303,0))</f>
        <v>0</v>
      </c>
    </row>
    <row r="777" spans="1:9" x14ac:dyDescent="0.25">
      <c r="A777" t="s">
        <v>97</v>
      </c>
      <c r="B777" t="s">
        <v>108</v>
      </c>
      <c r="C777" t="s">
        <v>94</v>
      </c>
      <c r="D777" t="s">
        <v>90</v>
      </c>
      <c r="E777" t="s">
        <v>44</v>
      </c>
      <c r="F777" s="6">
        <v>0.69791666666666663</v>
      </c>
      <c r="G777">
        <v>1</v>
      </c>
      <c r="H777" s="6">
        <f>FLOOR(tblPivotData[[#This Row],[Time]],Summary!$B$6/1440)</f>
        <v>0.69791666666666663</v>
      </c>
      <c r="I777" s="49">
        <f>INDEX(PeakCalc!$L$10:$L$303,MATCH(tblPivotData[[#This Row],[Time]],PeakCalc!$G$10:$G$303,0))</f>
        <v>1</v>
      </c>
    </row>
    <row r="778" spans="1:9" x14ac:dyDescent="0.25">
      <c r="A778" t="s">
        <v>97</v>
      </c>
      <c r="B778" t="s">
        <v>108</v>
      </c>
      <c r="C778" t="s">
        <v>94</v>
      </c>
      <c r="D778" t="s">
        <v>90</v>
      </c>
      <c r="E778" t="s">
        <v>44</v>
      </c>
      <c r="F778" s="6">
        <v>0.70833333333333337</v>
      </c>
      <c r="G778">
        <v>4</v>
      </c>
      <c r="H778" s="6">
        <f>FLOOR(tblPivotData[[#This Row],[Time]],Summary!$B$6/1440)</f>
        <v>0.70833333333333326</v>
      </c>
      <c r="I778" s="49">
        <f>INDEX(PeakCalc!$L$10:$L$303,MATCH(tblPivotData[[#This Row],[Time]],PeakCalc!$G$10:$G$303,0))</f>
        <v>1</v>
      </c>
    </row>
    <row r="779" spans="1:9" x14ac:dyDescent="0.25">
      <c r="A779" t="s">
        <v>97</v>
      </c>
      <c r="B779" t="s">
        <v>108</v>
      </c>
      <c r="C779" t="s">
        <v>94</v>
      </c>
      <c r="D779" t="s">
        <v>90</v>
      </c>
      <c r="E779" t="s">
        <v>44</v>
      </c>
      <c r="F779" s="6">
        <v>0.71875</v>
      </c>
      <c r="G779">
        <v>0</v>
      </c>
      <c r="H779" s="6">
        <f>FLOOR(tblPivotData[[#This Row],[Time]],Summary!$B$6/1440)</f>
        <v>0.71875</v>
      </c>
      <c r="I779" s="49">
        <f>INDEX(PeakCalc!$L$10:$L$303,MATCH(tblPivotData[[#This Row],[Time]],PeakCalc!$G$10:$G$303,0))</f>
        <v>1</v>
      </c>
    </row>
    <row r="780" spans="1:9" x14ac:dyDescent="0.25">
      <c r="A780" t="s">
        <v>97</v>
      </c>
      <c r="B780" t="s">
        <v>108</v>
      </c>
      <c r="C780" t="s">
        <v>94</v>
      </c>
      <c r="D780" t="s">
        <v>90</v>
      </c>
      <c r="E780" t="s">
        <v>44</v>
      </c>
      <c r="F780" s="6">
        <v>0.72916666666666663</v>
      </c>
      <c r="G780">
        <v>3</v>
      </c>
      <c r="H780" s="6">
        <f>FLOOR(tblPivotData[[#This Row],[Time]],Summary!$B$6/1440)</f>
        <v>0.72916666666666663</v>
      </c>
      <c r="I780" s="49">
        <f>INDEX(PeakCalc!$L$10:$L$303,MATCH(tblPivotData[[#This Row],[Time]],PeakCalc!$G$10:$G$303,0))</f>
        <v>1</v>
      </c>
    </row>
    <row r="781" spans="1:9" x14ac:dyDescent="0.25">
      <c r="A781" t="s">
        <v>97</v>
      </c>
      <c r="B781" t="s">
        <v>108</v>
      </c>
      <c r="C781" t="s">
        <v>94</v>
      </c>
      <c r="D781" t="s">
        <v>90</v>
      </c>
      <c r="E781" t="s">
        <v>44</v>
      </c>
      <c r="F781" s="6">
        <v>0.73958333333333337</v>
      </c>
      <c r="G781">
        <v>3</v>
      </c>
      <c r="H781" s="6">
        <f>FLOOR(tblPivotData[[#This Row],[Time]],Summary!$B$6/1440)</f>
        <v>0.73958333333333326</v>
      </c>
      <c r="I781" s="49">
        <f>INDEX(PeakCalc!$L$10:$L$303,MATCH(tblPivotData[[#This Row],[Time]],PeakCalc!$G$10:$G$303,0))</f>
        <v>0</v>
      </c>
    </row>
    <row r="782" spans="1:9" x14ac:dyDescent="0.25">
      <c r="A782" t="s">
        <v>97</v>
      </c>
      <c r="B782" t="s">
        <v>109</v>
      </c>
      <c r="C782" t="s">
        <v>95</v>
      </c>
      <c r="D782" t="s">
        <v>79</v>
      </c>
      <c r="E782" t="s">
        <v>43</v>
      </c>
      <c r="F782" s="6">
        <v>0.29166666666666669</v>
      </c>
      <c r="G782">
        <v>5</v>
      </c>
      <c r="H782" s="6">
        <f>FLOOR(tblPivotData[[#This Row],[Time]],Summary!$B$6/1440)</f>
        <v>0.29166666666666663</v>
      </c>
      <c r="I782" s="49">
        <f>INDEX(PeakCalc!$L$10:$L$303,MATCH(tblPivotData[[#This Row],[Time]],PeakCalc!$G$10:$G$303,0))</f>
        <v>0</v>
      </c>
    </row>
    <row r="783" spans="1:9" x14ac:dyDescent="0.25">
      <c r="A783" t="s">
        <v>97</v>
      </c>
      <c r="B783" t="s">
        <v>109</v>
      </c>
      <c r="C783" t="s">
        <v>95</v>
      </c>
      <c r="D783" t="s">
        <v>79</v>
      </c>
      <c r="E783" t="s">
        <v>43</v>
      </c>
      <c r="F783" s="6">
        <v>0.30208333333333331</v>
      </c>
      <c r="G783">
        <v>6</v>
      </c>
      <c r="H783" s="6">
        <f>FLOOR(tblPivotData[[#This Row],[Time]],Summary!$B$6/1440)</f>
        <v>0.30208333333333331</v>
      </c>
      <c r="I783" s="49">
        <f>INDEX(PeakCalc!$L$10:$L$303,MATCH(tblPivotData[[#This Row],[Time]],PeakCalc!$G$10:$G$303,0))</f>
        <v>0</v>
      </c>
    </row>
    <row r="784" spans="1:9" x14ac:dyDescent="0.25">
      <c r="A784" t="s">
        <v>97</v>
      </c>
      <c r="B784" t="s">
        <v>109</v>
      </c>
      <c r="C784" t="s">
        <v>95</v>
      </c>
      <c r="D784" t="s">
        <v>79</v>
      </c>
      <c r="E784" t="s">
        <v>43</v>
      </c>
      <c r="F784" s="6">
        <v>0.3125</v>
      </c>
      <c r="G784">
        <v>4</v>
      </c>
      <c r="H784" s="6">
        <f>FLOOR(tblPivotData[[#This Row],[Time]],Summary!$B$6/1440)</f>
        <v>0.3125</v>
      </c>
      <c r="I784" s="49">
        <f>INDEX(PeakCalc!$L$10:$L$303,MATCH(tblPivotData[[#This Row],[Time]],PeakCalc!$G$10:$G$303,0))</f>
        <v>0</v>
      </c>
    </row>
    <row r="785" spans="1:9" x14ac:dyDescent="0.25">
      <c r="A785" t="s">
        <v>97</v>
      </c>
      <c r="B785" t="s">
        <v>109</v>
      </c>
      <c r="C785" t="s">
        <v>95</v>
      </c>
      <c r="D785" t="s">
        <v>79</v>
      </c>
      <c r="E785" t="s">
        <v>43</v>
      </c>
      <c r="F785" s="6">
        <v>0.32291666666666669</v>
      </c>
      <c r="G785">
        <v>5</v>
      </c>
      <c r="H785" s="6">
        <f>FLOOR(tblPivotData[[#This Row],[Time]],Summary!$B$6/1440)</f>
        <v>0.32291666666666663</v>
      </c>
      <c r="I785" s="49">
        <f>INDEX(PeakCalc!$L$10:$L$303,MATCH(tblPivotData[[#This Row],[Time]],PeakCalc!$G$10:$G$303,0))</f>
        <v>0</v>
      </c>
    </row>
    <row r="786" spans="1:9" x14ac:dyDescent="0.25">
      <c r="A786" t="s">
        <v>97</v>
      </c>
      <c r="B786" t="s">
        <v>109</v>
      </c>
      <c r="C786" t="s">
        <v>95</v>
      </c>
      <c r="D786" t="s">
        <v>79</v>
      </c>
      <c r="E786" t="s">
        <v>43</v>
      </c>
      <c r="F786" s="6">
        <v>0.33333333333333331</v>
      </c>
      <c r="G786">
        <v>5</v>
      </c>
      <c r="H786" s="6">
        <f>FLOOR(tblPivotData[[#This Row],[Time]],Summary!$B$6/1440)</f>
        <v>0.33333333333333331</v>
      </c>
      <c r="I786" s="49">
        <f>INDEX(PeakCalc!$L$10:$L$303,MATCH(tblPivotData[[#This Row],[Time]],PeakCalc!$G$10:$G$303,0))</f>
        <v>1</v>
      </c>
    </row>
    <row r="787" spans="1:9" x14ac:dyDescent="0.25">
      <c r="A787" t="s">
        <v>97</v>
      </c>
      <c r="B787" t="s">
        <v>109</v>
      </c>
      <c r="C787" t="s">
        <v>95</v>
      </c>
      <c r="D787" t="s">
        <v>79</v>
      </c>
      <c r="E787" t="s">
        <v>43</v>
      </c>
      <c r="F787" s="6">
        <v>0.34375</v>
      </c>
      <c r="G787">
        <v>8</v>
      </c>
      <c r="H787" s="6">
        <f>FLOOR(tblPivotData[[#This Row],[Time]],Summary!$B$6/1440)</f>
        <v>0.34375</v>
      </c>
      <c r="I787" s="49">
        <f>INDEX(PeakCalc!$L$10:$L$303,MATCH(tblPivotData[[#This Row],[Time]],PeakCalc!$G$10:$G$303,0))</f>
        <v>1</v>
      </c>
    </row>
    <row r="788" spans="1:9" x14ac:dyDescent="0.25">
      <c r="A788" t="s">
        <v>97</v>
      </c>
      <c r="B788" t="s">
        <v>109</v>
      </c>
      <c r="C788" t="s">
        <v>95</v>
      </c>
      <c r="D788" t="s">
        <v>79</v>
      </c>
      <c r="E788" t="s">
        <v>43</v>
      </c>
      <c r="F788" s="6">
        <v>0.35416666666666669</v>
      </c>
      <c r="G788">
        <v>14</v>
      </c>
      <c r="H788" s="6">
        <f>FLOOR(tblPivotData[[#This Row],[Time]],Summary!$B$6/1440)</f>
        <v>0.35416666666666663</v>
      </c>
      <c r="I788" s="49">
        <f>INDEX(PeakCalc!$L$10:$L$303,MATCH(tblPivotData[[#This Row],[Time]],PeakCalc!$G$10:$G$303,0))</f>
        <v>1</v>
      </c>
    </row>
    <row r="789" spans="1:9" x14ac:dyDescent="0.25">
      <c r="A789" t="s">
        <v>97</v>
      </c>
      <c r="B789" t="s">
        <v>109</v>
      </c>
      <c r="C789" t="s">
        <v>95</v>
      </c>
      <c r="D789" t="s">
        <v>79</v>
      </c>
      <c r="E789" t="s">
        <v>43</v>
      </c>
      <c r="F789" s="6">
        <v>0.36458333333333331</v>
      </c>
      <c r="G789">
        <v>16</v>
      </c>
      <c r="H789" s="6">
        <f>FLOOR(tblPivotData[[#This Row],[Time]],Summary!$B$6/1440)</f>
        <v>0.36458333333333331</v>
      </c>
      <c r="I789" s="49">
        <f>INDEX(PeakCalc!$L$10:$L$303,MATCH(tblPivotData[[#This Row],[Time]],PeakCalc!$G$10:$G$303,0))</f>
        <v>1</v>
      </c>
    </row>
    <row r="790" spans="1:9" x14ac:dyDescent="0.25">
      <c r="A790" t="s">
        <v>97</v>
      </c>
      <c r="B790" t="s">
        <v>109</v>
      </c>
      <c r="C790" t="s">
        <v>95</v>
      </c>
      <c r="D790" t="s">
        <v>79</v>
      </c>
      <c r="E790" t="s">
        <v>91</v>
      </c>
      <c r="F790" s="6">
        <v>0.54166666666666663</v>
      </c>
      <c r="G790">
        <v>17</v>
      </c>
      <c r="H790" s="6">
        <f>FLOOR(tblPivotData[[#This Row],[Time]],Summary!$B$6/1440)</f>
        <v>0.54166666666666663</v>
      </c>
      <c r="I790" s="49">
        <f>INDEX(PeakCalc!$L$10:$L$303,MATCH(tblPivotData[[#This Row],[Time]],PeakCalc!$G$10:$G$303,0))</f>
        <v>1</v>
      </c>
    </row>
    <row r="791" spans="1:9" x14ac:dyDescent="0.25">
      <c r="A791" t="s">
        <v>97</v>
      </c>
      <c r="B791" t="s">
        <v>109</v>
      </c>
      <c r="C791" t="s">
        <v>95</v>
      </c>
      <c r="D791" t="s">
        <v>79</v>
      </c>
      <c r="E791" t="s">
        <v>91</v>
      </c>
      <c r="F791" s="6">
        <v>0.55208333333333337</v>
      </c>
      <c r="G791">
        <v>17</v>
      </c>
      <c r="H791" s="6">
        <f>FLOOR(tblPivotData[[#This Row],[Time]],Summary!$B$6/1440)</f>
        <v>0.55208333333333326</v>
      </c>
      <c r="I791" s="49">
        <f>INDEX(PeakCalc!$L$10:$L$303,MATCH(tblPivotData[[#This Row],[Time]],PeakCalc!$G$10:$G$303,0))</f>
        <v>1</v>
      </c>
    </row>
    <row r="792" spans="1:9" x14ac:dyDescent="0.25">
      <c r="A792" t="s">
        <v>97</v>
      </c>
      <c r="B792" t="s">
        <v>109</v>
      </c>
      <c r="C792" t="s">
        <v>95</v>
      </c>
      <c r="D792" t="s">
        <v>79</v>
      </c>
      <c r="E792" t="s">
        <v>91</v>
      </c>
      <c r="F792" s="6">
        <v>0.5625</v>
      </c>
      <c r="G792">
        <v>26</v>
      </c>
      <c r="H792" s="6">
        <f>FLOOR(tblPivotData[[#This Row],[Time]],Summary!$B$6/1440)</f>
        <v>0.5625</v>
      </c>
      <c r="I792" s="49">
        <f>INDEX(PeakCalc!$L$10:$L$303,MATCH(tblPivotData[[#This Row],[Time]],PeakCalc!$G$10:$G$303,0))</f>
        <v>1</v>
      </c>
    </row>
    <row r="793" spans="1:9" x14ac:dyDescent="0.25">
      <c r="A793" t="s">
        <v>97</v>
      </c>
      <c r="B793" t="s">
        <v>109</v>
      </c>
      <c r="C793" t="s">
        <v>95</v>
      </c>
      <c r="D793" t="s">
        <v>79</v>
      </c>
      <c r="E793" t="s">
        <v>91</v>
      </c>
      <c r="F793" s="6">
        <v>0.57291666666666663</v>
      </c>
      <c r="G793">
        <v>20</v>
      </c>
      <c r="H793" s="6">
        <f>FLOOR(tblPivotData[[#This Row],[Time]],Summary!$B$6/1440)</f>
        <v>0.57291666666666663</v>
      </c>
      <c r="I793" s="49">
        <f>INDEX(PeakCalc!$L$10:$L$303,MATCH(tblPivotData[[#This Row],[Time]],PeakCalc!$G$10:$G$303,0))</f>
        <v>1</v>
      </c>
    </row>
    <row r="794" spans="1:9" x14ac:dyDescent="0.25">
      <c r="A794" t="s">
        <v>97</v>
      </c>
      <c r="B794" t="s">
        <v>109</v>
      </c>
      <c r="C794" t="s">
        <v>95</v>
      </c>
      <c r="D794" t="s">
        <v>79</v>
      </c>
      <c r="E794" t="s">
        <v>44</v>
      </c>
      <c r="F794" s="6">
        <v>0.66666666666666663</v>
      </c>
      <c r="G794">
        <v>25</v>
      </c>
      <c r="H794" s="6">
        <f>FLOOR(tblPivotData[[#This Row],[Time]],Summary!$B$6/1440)</f>
        <v>0.66666666666666663</v>
      </c>
      <c r="I794" s="49">
        <f>INDEX(PeakCalc!$L$10:$L$303,MATCH(tblPivotData[[#This Row],[Time]],PeakCalc!$G$10:$G$303,0))</f>
        <v>0</v>
      </c>
    </row>
    <row r="795" spans="1:9" x14ac:dyDescent="0.25">
      <c r="A795" t="s">
        <v>97</v>
      </c>
      <c r="B795" t="s">
        <v>109</v>
      </c>
      <c r="C795" t="s">
        <v>95</v>
      </c>
      <c r="D795" t="s">
        <v>79</v>
      </c>
      <c r="E795" t="s">
        <v>44</v>
      </c>
      <c r="F795" s="6">
        <v>0.67708333333333337</v>
      </c>
      <c r="G795">
        <v>29</v>
      </c>
      <c r="H795" s="6">
        <f>FLOOR(tblPivotData[[#This Row],[Time]],Summary!$B$6/1440)</f>
        <v>0.67708333333333326</v>
      </c>
      <c r="I795" s="49">
        <f>INDEX(PeakCalc!$L$10:$L$303,MATCH(tblPivotData[[#This Row],[Time]],PeakCalc!$G$10:$G$303,0))</f>
        <v>0</v>
      </c>
    </row>
    <row r="796" spans="1:9" x14ac:dyDescent="0.25">
      <c r="A796" t="s">
        <v>97</v>
      </c>
      <c r="B796" t="s">
        <v>109</v>
      </c>
      <c r="C796" t="s">
        <v>95</v>
      </c>
      <c r="D796" t="s">
        <v>79</v>
      </c>
      <c r="E796" t="s">
        <v>44</v>
      </c>
      <c r="F796" s="6">
        <v>0.6875</v>
      </c>
      <c r="G796">
        <v>35</v>
      </c>
      <c r="H796" s="6">
        <f>FLOOR(tblPivotData[[#This Row],[Time]],Summary!$B$6/1440)</f>
        <v>0.6875</v>
      </c>
      <c r="I796" s="49">
        <f>INDEX(PeakCalc!$L$10:$L$303,MATCH(tblPivotData[[#This Row],[Time]],PeakCalc!$G$10:$G$303,0))</f>
        <v>0</v>
      </c>
    </row>
    <row r="797" spans="1:9" x14ac:dyDescent="0.25">
      <c r="A797" t="s">
        <v>97</v>
      </c>
      <c r="B797" t="s">
        <v>109</v>
      </c>
      <c r="C797" t="s">
        <v>95</v>
      </c>
      <c r="D797" t="s">
        <v>79</v>
      </c>
      <c r="E797" t="s">
        <v>44</v>
      </c>
      <c r="F797" s="6">
        <v>0.69791666666666663</v>
      </c>
      <c r="G797">
        <v>25</v>
      </c>
      <c r="H797" s="6">
        <f>FLOOR(tblPivotData[[#This Row],[Time]],Summary!$B$6/1440)</f>
        <v>0.69791666666666663</v>
      </c>
      <c r="I797" s="49">
        <f>INDEX(PeakCalc!$L$10:$L$303,MATCH(tblPivotData[[#This Row],[Time]],PeakCalc!$G$10:$G$303,0))</f>
        <v>1</v>
      </c>
    </row>
    <row r="798" spans="1:9" x14ac:dyDescent="0.25">
      <c r="A798" t="s">
        <v>97</v>
      </c>
      <c r="B798" t="s">
        <v>109</v>
      </c>
      <c r="C798" t="s">
        <v>95</v>
      </c>
      <c r="D798" t="s">
        <v>79</v>
      </c>
      <c r="E798" t="s">
        <v>44</v>
      </c>
      <c r="F798" s="6">
        <v>0.70833333333333337</v>
      </c>
      <c r="G798">
        <v>34</v>
      </c>
      <c r="H798" s="6">
        <f>FLOOR(tblPivotData[[#This Row],[Time]],Summary!$B$6/1440)</f>
        <v>0.70833333333333326</v>
      </c>
      <c r="I798" s="49">
        <f>INDEX(PeakCalc!$L$10:$L$303,MATCH(tblPivotData[[#This Row],[Time]],PeakCalc!$G$10:$G$303,0))</f>
        <v>1</v>
      </c>
    </row>
    <row r="799" spans="1:9" x14ac:dyDescent="0.25">
      <c r="A799" t="s">
        <v>97</v>
      </c>
      <c r="B799" t="s">
        <v>109</v>
      </c>
      <c r="C799" t="s">
        <v>95</v>
      </c>
      <c r="D799" t="s">
        <v>79</v>
      </c>
      <c r="E799" t="s">
        <v>44</v>
      </c>
      <c r="F799" s="6">
        <v>0.71875</v>
      </c>
      <c r="G799">
        <v>23</v>
      </c>
      <c r="H799" s="6">
        <f>FLOOR(tblPivotData[[#This Row],[Time]],Summary!$B$6/1440)</f>
        <v>0.71875</v>
      </c>
      <c r="I799" s="49">
        <f>INDEX(PeakCalc!$L$10:$L$303,MATCH(tblPivotData[[#This Row],[Time]],PeakCalc!$G$10:$G$303,0))</f>
        <v>1</v>
      </c>
    </row>
    <row r="800" spans="1:9" x14ac:dyDescent="0.25">
      <c r="A800" t="s">
        <v>97</v>
      </c>
      <c r="B800" t="s">
        <v>109</v>
      </c>
      <c r="C800" t="s">
        <v>95</v>
      </c>
      <c r="D800" t="s">
        <v>79</v>
      </c>
      <c r="E800" t="s">
        <v>44</v>
      </c>
      <c r="F800" s="6">
        <v>0.72916666666666663</v>
      </c>
      <c r="G800">
        <v>32</v>
      </c>
      <c r="H800" s="6">
        <f>FLOOR(tblPivotData[[#This Row],[Time]],Summary!$B$6/1440)</f>
        <v>0.72916666666666663</v>
      </c>
      <c r="I800" s="49">
        <f>INDEX(PeakCalc!$L$10:$L$303,MATCH(tblPivotData[[#This Row],[Time]],PeakCalc!$G$10:$G$303,0))</f>
        <v>1</v>
      </c>
    </row>
    <row r="801" spans="1:9" x14ac:dyDescent="0.25">
      <c r="A801" t="s">
        <v>97</v>
      </c>
      <c r="B801" t="s">
        <v>109</v>
      </c>
      <c r="C801" t="s">
        <v>95</v>
      </c>
      <c r="D801" t="s">
        <v>79</v>
      </c>
      <c r="E801" t="s">
        <v>44</v>
      </c>
      <c r="F801" s="6">
        <v>0.73958333333333337</v>
      </c>
      <c r="G801">
        <v>30</v>
      </c>
      <c r="H801" s="6">
        <f>FLOOR(tblPivotData[[#This Row],[Time]],Summary!$B$6/1440)</f>
        <v>0.73958333333333326</v>
      </c>
      <c r="I801" s="49">
        <f>INDEX(PeakCalc!$L$10:$L$303,MATCH(tblPivotData[[#This Row],[Time]],PeakCalc!$G$10:$G$303,0))</f>
        <v>0</v>
      </c>
    </row>
    <row r="802" spans="1:9" x14ac:dyDescent="0.25">
      <c r="A802" t="s">
        <v>97</v>
      </c>
      <c r="B802" t="s">
        <v>109</v>
      </c>
      <c r="C802" t="s">
        <v>95</v>
      </c>
      <c r="D802" t="s">
        <v>89</v>
      </c>
      <c r="E802" t="s">
        <v>43</v>
      </c>
      <c r="F802" s="6">
        <v>0.29166666666666669</v>
      </c>
      <c r="G802">
        <v>1</v>
      </c>
      <c r="H802" s="6">
        <f>FLOOR(tblPivotData[[#This Row],[Time]],Summary!$B$6/1440)</f>
        <v>0.29166666666666663</v>
      </c>
      <c r="I802" s="49">
        <f>INDEX(PeakCalc!$L$10:$L$303,MATCH(tblPivotData[[#This Row],[Time]],PeakCalc!$G$10:$G$303,0))</f>
        <v>0</v>
      </c>
    </row>
    <row r="803" spans="1:9" x14ac:dyDescent="0.25">
      <c r="A803" t="s">
        <v>97</v>
      </c>
      <c r="B803" t="s">
        <v>109</v>
      </c>
      <c r="C803" t="s">
        <v>95</v>
      </c>
      <c r="D803" t="s">
        <v>89</v>
      </c>
      <c r="E803" t="s">
        <v>43</v>
      </c>
      <c r="F803" s="6">
        <v>0.30208333333333331</v>
      </c>
      <c r="G803">
        <v>1</v>
      </c>
      <c r="H803" s="6">
        <f>FLOOR(tblPivotData[[#This Row],[Time]],Summary!$B$6/1440)</f>
        <v>0.30208333333333331</v>
      </c>
      <c r="I803" s="49">
        <f>INDEX(PeakCalc!$L$10:$L$303,MATCH(tblPivotData[[#This Row],[Time]],PeakCalc!$G$10:$G$303,0))</f>
        <v>0</v>
      </c>
    </row>
    <row r="804" spans="1:9" x14ac:dyDescent="0.25">
      <c r="A804" t="s">
        <v>97</v>
      </c>
      <c r="B804" t="s">
        <v>109</v>
      </c>
      <c r="C804" t="s">
        <v>95</v>
      </c>
      <c r="D804" t="s">
        <v>89</v>
      </c>
      <c r="E804" t="s">
        <v>43</v>
      </c>
      <c r="F804" s="6">
        <v>0.3125</v>
      </c>
      <c r="G804">
        <v>1</v>
      </c>
      <c r="H804" s="6">
        <f>FLOOR(tblPivotData[[#This Row],[Time]],Summary!$B$6/1440)</f>
        <v>0.3125</v>
      </c>
      <c r="I804" s="49">
        <f>INDEX(PeakCalc!$L$10:$L$303,MATCH(tblPivotData[[#This Row],[Time]],PeakCalc!$G$10:$G$303,0))</f>
        <v>0</v>
      </c>
    </row>
    <row r="805" spans="1:9" x14ac:dyDescent="0.25">
      <c r="A805" t="s">
        <v>97</v>
      </c>
      <c r="B805" t="s">
        <v>109</v>
      </c>
      <c r="C805" t="s">
        <v>95</v>
      </c>
      <c r="D805" t="s">
        <v>89</v>
      </c>
      <c r="E805" t="s">
        <v>43</v>
      </c>
      <c r="F805" s="6">
        <v>0.32291666666666669</v>
      </c>
      <c r="G805">
        <v>2</v>
      </c>
      <c r="H805" s="6">
        <f>FLOOR(tblPivotData[[#This Row],[Time]],Summary!$B$6/1440)</f>
        <v>0.32291666666666663</v>
      </c>
      <c r="I805" s="49">
        <f>INDEX(PeakCalc!$L$10:$L$303,MATCH(tblPivotData[[#This Row],[Time]],PeakCalc!$G$10:$G$303,0))</f>
        <v>0</v>
      </c>
    </row>
    <row r="806" spans="1:9" x14ac:dyDescent="0.25">
      <c r="A806" t="s">
        <v>97</v>
      </c>
      <c r="B806" t="s">
        <v>109</v>
      </c>
      <c r="C806" t="s">
        <v>95</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97</v>
      </c>
      <c r="B807" t="s">
        <v>109</v>
      </c>
      <c r="C807" t="s">
        <v>95</v>
      </c>
      <c r="D807" t="s">
        <v>89</v>
      </c>
      <c r="E807" t="s">
        <v>43</v>
      </c>
      <c r="F807" s="6">
        <v>0.34375</v>
      </c>
      <c r="G807">
        <v>2</v>
      </c>
      <c r="H807" s="6">
        <f>FLOOR(tblPivotData[[#This Row],[Time]],Summary!$B$6/1440)</f>
        <v>0.34375</v>
      </c>
      <c r="I807" s="49">
        <f>INDEX(PeakCalc!$L$10:$L$303,MATCH(tblPivotData[[#This Row],[Time]],PeakCalc!$G$10:$G$303,0))</f>
        <v>1</v>
      </c>
    </row>
    <row r="808" spans="1:9" x14ac:dyDescent="0.25">
      <c r="A808" t="s">
        <v>97</v>
      </c>
      <c r="B808" t="s">
        <v>109</v>
      </c>
      <c r="C808" t="s">
        <v>95</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97</v>
      </c>
      <c r="B809" t="s">
        <v>109</v>
      </c>
      <c r="C809" t="s">
        <v>95</v>
      </c>
      <c r="D809" t="s">
        <v>89</v>
      </c>
      <c r="E809" t="s">
        <v>43</v>
      </c>
      <c r="F809" s="6">
        <v>0.36458333333333331</v>
      </c>
      <c r="G809">
        <v>1</v>
      </c>
      <c r="H809" s="6">
        <f>FLOOR(tblPivotData[[#This Row],[Time]],Summary!$B$6/1440)</f>
        <v>0.36458333333333331</v>
      </c>
      <c r="I809" s="49">
        <f>INDEX(PeakCalc!$L$10:$L$303,MATCH(tblPivotData[[#This Row],[Time]],PeakCalc!$G$10:$G$303,0))</f>
        <v>1</v>
      </c>
    </row>
    <row r="810" spans="1:9" x14ac:dyDescent="0.25">
      <c r="A810" t="s">
        <v>97</v>
      </c>
      <c r="B810" t="s">
        <v>109</v>
      </c>
      <c r="C810" t="s">
        <v>95</v>
      </c>
      <c r="D810" t="s">
        <v>89</v>
      </c>
      <c r="E810" t="s">
        <v>91</v>
      </c>
      <c r="F810" s="6">
        <v>0.54166666666666663</v>
      </c>
      <c r="G810">
        <v>1</v>
      </c>
      <c r="H810" s="6">
        <f>FLOOR(tblPivotData[[#This Row],[Time]],Summary!$B$6/1440)</f>
        <v>0.54166666666666663</v>
      </c>
      <c r="I810" s="49">
        <f>INDEX(PeakCalc!$L$10:$L$303,MATCH(tblPivotData[[#This Row],[Time]],PeakCalc!$G$10:$G$303,0))</f>
        <v>1</v>
      </c>
    </row>
    <row r="811" spans="1:9" x14ac:dyDescent="0.25">
      <c r="A811" t="s">
        <v>97</v>
      </c>
      <c r="B811" t="s">
        <v>109</v>
      </c>
      <c r="C811" t="s">
        <v>95</v>
      </c>
      <c r="D811" t="s">
        <v>89</v>
      </c>
      <c r="E811" t="s">
        <v>91</v>
      </c>
      <c r="F811" s="6">
        <v>0.55208333333333337</v>
      </c>
      <c r="G811">
        <v>2</v>
      </c>
      <c r="H811" s="6">
        <f>FLOOR(tblPivotData[[#This Row],[Time]],Summary!$B$6/1440)</f>
        <v>0.55208333333333326</v>
      </c>
      <c r="I811" s="49">
        <f>INDEX(PeakCalc!$L$10:$L$303,MATCH(tblPivotData[[#This Row],[Time]],PeakCalc!$G$10:$G$303,0))</f>
        <v>1</v>
      </c>
    </row>
    <row r="812" spans="1:9" x14ac:dyDescent="0.25">
      <c r="A812" t="s">
        <v>97</v>
      </c>
      <c r="B812" t="s">
        <v>109</v>
      </c>
      <c r="C812" t="s">
        <v>95</v>
      </c>
      <c r="D812" t="s">
        <v>89</v>
      </c>
      <c r="E812" t="s">
        <v>91</v>
      </c>
      <c r="F812" s="6">
        <v>0.5625</v>
      </c>
      <c r="G812">
        <v>1</v>
      </c>
      <c r="H812" s="6">
        <f>FLOOR(tblPivotData[[#This Row],[Time]],Summary!$B$6/1440)</f>
        <v>0.5625</v>
      </c>
      <c r="I812" s="49">
        <f>INDEX(PeakCalc!$L$10:$L$303,MATCH(tblPivotData[[#This Row],[Time]],PeakCalc!$G$10:$G$303,0))</f>
        <v>1</v>
      </c>
    </row>
    <row r="813" spans="1:9" x14ac:dyDescent="0.25">
      <c r="A813" t="s">
        <v>97</v>
      </c>
      <c r="B813" t="s">
        <v>109</v>
      </c>
      <c r="C813" t="s">
        <v>95</v>
      </c>
      <c r="D813" t="s">
        <v>89</v>
      </c>
      <c r="E813" t="s">
        <v>91</v>
      </c>
      <c r="F813" s="6">
        <v>0.57291666666666663</v>
      </c>
      <c r="G813">
        <v>2</v>
      </c>
      <c r="H813" s="6">
        <f>FLOOR(tblPivotData[[#This Row],[Time]],Summary!$B$6/1440)</f>
        <v>0.57291666666666663</v>
      </c>
      <c r="I813" s="49">
        <f>INDEX(PeakCalc!$L$10:$L$303,MATCH(tblPivotData[[#This Row],[Time]],PeakCalc!$G$10:$G$303,0))</f>
        <v>1</v>
      </c>
    </row>
    <row r="814" spans="1:9" x14ac:dyDescent="0.25">
      <c r="A814" t="s">
        <v>97</v>
      </c>
      <c r="B814" t="s">
        <v>109</v>
      </c>
      <c r="C814" t="s">
        <v>95</v>
      </c>
      <c r="D814" t="s">
        <v>89</v>
      </c>
      <c r="E814" t="s">
        <v>44</v>
      </c>
      <c r="F814" s="6">
        <v>0.66666666666666663</v>
      </c>
      <c r="G814">
        <v>2</v>
      </c>
      <c r="H814" s="6">
        <f>FLOOR(tblPivotData[[#This Row],[Time]],Summary!$B$6/1440)</f>
        <v>0.66666666666666663</v>
      </c>
      <c r="I814" s="49">
        <f>INDEX(PeakCalc!$L$10:$L$303,MATCH(tblPivotData[[#This Row],[Time]],PeakCalc!$G$10:$G$303,0))</f>
        <v>0</v>
      </c>
    </row>
    <row r="815" spans="1:9" x14ac:dyDescent="0.25">
      <c r="A815" t="s">
        <v>97</v>
      </c>
      <c r="B815" t="s">
        <v>109</v>
      </c>
      <c r="C815" t="s">
        <v>95</v>
      </c>
      <c r="D815" t="s">
        <v>89</v>
      </c>
      <c r="E815" t="s">
        <v>44</v>
      </c>
      <c r="F815" s="6">
        <v>0.67708333333333337</v>
      </c>
      <c r="G815">
        <v>1</v>
      </c>
      <c r="H815" s="6">
        <f>FLOOR(tblPivotData[[#This Row],[Time]],Summary!$B$6/1440)</f>
        <v>0.67708333333333326</v>
      </c>
      <c r="I815" s="49">
        <f>INDEX(PeakCalc!$L$10:$L$303,MATCH(tblPivotData[[#This Row],[Time]],PeakCalc!$G$10:$G$303,0))</f>
        <v>0</v>
      </c>
    </row>
    <row r="816" spans="1:9" x14ac:dyDescent="0.25">
      <c r="A816" t="s">
        <v>97</v>
      </c>
      <c r="B816" t="s">
        <v>109</v>
      </c>
      <c r="C816" t="s">
        <v>95</v>
      </c>
      <c r="D816" t="s">
        <v>89</v>
      </c>
      <c r="E816" t="s">
        <v>44</v>
      </c>
      <c r="F816" s="6">
        <v>0.6875</v>
      </c>
      <c r="G816">
        <v>1</v>
      </c>
      <c r="H816" s="6">
        <f>FLOOR(tblPivotData[[#This Row],[Time]],Summary!$B$6/1440)</f>
        <v>0.6875</v>
      </c>
      <c r="I816" s="49">
        <f>INDEX(PeakCalc!$L$10:$L$303,MATCH(tblPivotData[[#This Row],[Time]],PeakCalc!$G$10:$G$303,0))</f>
        <v>0</v>
      </c>
    </row>
    <row r="817" spans="1:9" x14ac:dyDescent="0.25">
      <c r="A817" t="s">
        <v>97</v>
      </c>
      <c r="B817" t="s">
        <v>109</v>
      </c>
      <c r="C817" t="s">
        <v>95</v>
      </c>
      <c r="D817" t="s">
        <v>89</v>
      </c>
      <c r="E817" t="s">
        <v>44</v>
      </c>
      <c r="F817" s="6">
        <v>0.69791666666666663</v>
      </c>
      <c r="G817">
        <v>2</v>
      </c>
      <c r="H817" s="6">
        <f>FLOOR(tblPivotData[[#This Row],[Time]],Summary!$B$6/1440)</f>
        <v>0.69791666666666663</v>
      </c>
      <c r="I817" s="49">
        <f>INDEX(PeakCalc!$L$10:$L$303,MATCH(tblPivotData[[#This Row],[Time]],PeakCalc!$G$10:$G$303,0))</f>
        <v>1</v>
      </c>
    </row>
    <row r="818" spans="1:9" x14ac:dyDescent="0.25">
      <c r="A818" t="s">
        <v>97</v>
      </c>
      <c r="B818" t="s">
        <v>109</v>
      </c>
      <c r="C818" t="s">
        <v>95</v>
      </c>
      <c r="D818" t="s">
        <v>89</v>
      </c>
      <c r="E818" t="s">
        <v>44</v>
      </c>
      <c r="F818" s="6">
        <v>0.70833333333333337</v>
      </c>
      <c r="G818">
        <v>1</v>
      </c>
      <c r="H818" s="6">
        <f>FLOOR(tblPivotData[[#This Row],[Time]],Summary!$B$6/1440)</f>
        <v>0.70833333333333326</v>
      </c>
      <c r="I818" s="49">
        <f>INDEX(PeakCalc!$L$10:$L$303,MATCH(tblPivotData[[#This Row],[Time]],PeakCalc!$G$10:$G$303,0))</f>
        <v>1</v>
      </c>
    </row>
    <row r="819" spans="1:9" x14ac:dyDescent="0.25">
      <c r="A819" t="s">
        <v>97</v>
      </c>
      <c r="B819" t="s">
        <v>109</v>
      </c>
      <c r="C819" t="s">
        <v>95</v>
      </c>
      <c r="D819" t="s">
        <v>89</v>
      </c>
      <c r="E819" t="s">
        <v>44</v>
      </c>
      <c r="F819" s="6">
        <v>0.71875</v>
      </c>
      <c r="G819">
        <v>2</v>
      </c>
      <c r="H819" s="6">
        <f>FLOOR(tblPivotData[[#This Row],[Time]],Summary!$B$6/1440)</f>
        <v>0.71875</v>
      </c>
      <c r="I819" s="49">
        <f>INDEX(PeakCalc!$L$10:$L$303,MATCH(tblPivotData[[#This Row],[Time]],PeakCalc!$G$10:$G$303,0))</f>
        <v>1</v>
      </c>
    </row>
    <row r="820" spans="1:9" x14ac:dyDescent="0.25">
      <c r="A820" t="s">
        <v>97</v>
      </c>
      <c r="B820" t="s">
        <v>109</v>
      </c>
      <c r="C820" t="s">
        <v>95</v>
      </c>
      <c r="D820" t="s">
        <v>89</v>
      </c>
      <c r="E820" t="s">
        <v>44</v>
      </c>
      <c r="F820" s="6">
        <v>0.72916666666666663</v>
      </c>
      <c r="G820">
        <v>1</v>
      </c>
      <c r="H820" s="6">
        <f>FLOOR(tblPivotData[[#This Row],[Time]],Summary!$B$6/1440)</f>
        <v>0.72916666666666663</v>
      </c>
      <c r="I820" s="49">
        <f>INDEX(PeakCalc!$L$10:$L$303,MATCH(tblPivotData[[#This Row],[Time]],PeakCalc!$G$10:$G$303,0))</f>
        <v>1</v>
      </c>
    </row>
    <row r="821" spans="1:9" x14ac:dyDescent="0.25">
      <c r="A821" t="s">
        <v>97</v>
      </c>
      <c r="B821" t="s">
        <v>109</v>
      </c>
      <c r="C821" t="s">
        <v>95</v>
      </c>
      <c r="D821" t="s">
        <v>89</v>
      </c>
      <c r="E821" t="s">
        <v>44</v>
      </c>
      <c r="F821" s="6">
        <v>0.73958333333333337</v>
      </c>
      <c r="G821">
        <v>2</v>
      </c>
      <c r="H821" s="6">
        <f>FLOOR(tblPivotData[[#This Row],[Time]],Summary!$B$6/1440)</f>
        <v>0.73958333333333326</v>
      </c>
      <c r="I821" s="49">
        <f>INDEX(PeakCalc!$L$10:$L$303,MATCH(tblPivotData[[#This Row],[Time]],PeakCalc!$G$10:$G$303,0))</f>
        <v>0</v>
      </c>
    </row>
    <row r="822" spans="1:9" x14ac:dyDescent="0.25">
      <c r="A822" t="s">
        <v>97</v>
      </c>
      <c r="B822" t="s">
        <v>109</v>
      </c>
      <c r="C822" t="s">
        <v>95</v>
      </c>
      <c r="D822" t="s">
        <v>90</v>
      </c>
      <c r="E822" t="s">
        <v>43</v>
      </c>
      <c r="F822" s="6">
        <v>0.29166666666666669</v>
      </c>
      <c r="G822">
        <v>1</v>
      </c>
      <c r="H822" s="6">
        <f>FLOOR(tblPivotData[[#This Row],[Time]],Summary!$B$6/1440)</f>
        <v>0.29166666666666663</v>
      </c>
      <c r="I822" s="49">
        <f>INDEX(PeakCalc!$L$10:$L$303,MATCH(tblPivotData[[#This Row],[Time]],PeakCalc!$G$10:$G$303,0))</f>
        <v>0</v>
      </c>
    </row>
    <row r="823" spans="1:9" x14ac:dyDescent="0.25">
      <c r="A823" t="s">
        <v>97</v>
      </c>
      <c r="B823" t="s">
        <v>109</v>
      </c>
      <c r="C823" t="s">
        <v>95</v>
      </c>
      <c r="D823" t="s">
        <v>90</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97</v>
      </c>
      <c r="B824" t="s">
        <v>109</v>
      </c>
      <c r="C824" t="s">
        <v>95</v>
      </c>
      <c r="D824" t="s">
        <v>90</v>
      </c>
      <c r="E824" t="s">
        <v>43</v>
      </c>
      <c r="F824" s="6">
        <v>0.3125</v>
      </c>
      <c r="G824">
        <v>0</v>
      </c>
      <c r="H824" s="6">
        <f>FLOOR(tblPivotData[[#This Row],[Time]],Summary!$B$6/1440)</f>
        <v>0.3125</v>
      </c>
      <c r="I824" s="49">
        <f>INDEX(PeakCalc!$L$10:$L$303,MATCH(tblPivotData[[#This Row],[Time]],PeakCalc!$G$10:$G$303,0))</f>
        <v>0</v>
      </c>
    </row>
    <row r="825" spans="1:9" x14ac:dyDescent="0.25">
      <c r="A825" t="s">
        <v>97</v>
      </c>
      <c r="B825" t="s">
        <v>109</v>
      </c>
      <c r="C825" t="s">
        <v>95</v>
      </c>
      <c r="D825" t="s">
        <v>90</v>
      </c>
      <c r="E825" t="s">
        <v>43</v>
      </c>
      <c r="F825" s="6">
        <v>0.32291666666666669</v>
      </c>
      <c r="G825">
        <v>0</v>
      </c>
      <c r="H825" s="6">
        <f>FLOOR(tblPivotData[[#This Row],[Time]],Summary!$B$6/1440)</f>
        <v>0.32291666666666663</v>
      </c>
      <c r="I825" s="49">
        <f>INDEX(PeakCalc!$L$10:$L$303,MATCH(tblPivotData[[#This Row],[Time]],PeakCalc!$G$10:$G$303,0))</f>
        <v>0</v>
      </c>
    </row>
    <row r="826" spans="1:9" x14ac:dyDescent="0.25">
      <c r="A826" t="s">
        <v>97</v>
      </c>
      <c r="B826" t="s">
        <v>109</v>
      </c>
      <c r="C826" t="s">
        <v>95</v>
      </c>
      <c r="D826" t="s">
        <v>90</v>
      </c>
      <c r="E826" t="s">
        <v>43</v>
      </c>
      <c r="F826" s="6">
        <v>0.33333333333333331</v>
      </c>
      <c r="G826">
        <v>1</v>
      </c>
      <c r="H826" s="6">
        <f>FLOOR(tblPivotData[[#This Row],[Time]],Summary!$B$6/1440)</f>
        <v>0.33333333333333331</v>
      </c>
      <c r="I826" s="49">
        <f>INDEX(PeakCalc!$L$10:$L$303,MATCH(tblPivotData[[#This Row],[Time]],PeakCalc!$G$10:$G$303,0))</f>
        <v>1</v>
      </c>
    </row>
    <row r="827" spans="1:9" x14ac:dyDescent="0.25">
      <c r="A827" t="s">
        <v>97</v>
      </c>
      <c r="B827" t="s">
        <v>109</v>
      </c>
      <c r="C827" t="s">
        <v>95</v>
      </c>
      <c r="D827" t="s">
        <v>90</v>
      </c>
      <c r="E827" t="s">
        <v>43</v>
      </c>
      <c r="F827" s="6">
        <v>0.34375</v>
      </c>
      <c r="G827">
        <v>1</v>
      </c>
      <c r="H827" s="6">
        <f>FLOOR(tblPivotData[[#This Row],[Time]],Summary!$B$6/1440)</f>
        <v>0.34375</v>
      </c>
      <c r="I827" s="49">
        <f>INDEX(PeakCalc!$L$10:$L$303,MATCH(tblPivotData[[#This Row],[Time]],PeakCalc!$G$10:$G$303,0))</f>
        <v>1</v>
      </c>
    </row>
    <row r="828" spans="1:9" x14ac:dyDescent="0.25">
      <c r="A828" t="s">
        <v>97</v>
      </c>
      <c r="B828" t="s">
        <v>109</v>
      </c>
      <c r="C828" t="s">
        <v>95</v>
      </c>
      <c r="D828" t="s">
        <v>90</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97</v>
      </c>
      <c r="B829" t="s">
        <v>109</v>
      </c>
      <c r="C829" t="s">
        <v>95</v>
      </c>
      <c r="D829" t="s">
        <v>90</v>
      </c>
      <c r="E829" t="s">
        <v>43</v>
      </c>
      <c r="F829" s="6">
        <v>0.36458333333333331</v>
      </c>
      <c r="G829">
        <v>1</v>
      </c>
      <c r="H829" s="6">
        <f>FLOOR(tblPivotData[[#This Row],[Time]],Summary!$B$6/1440)</f>
        <v>0.36458333333333331</v>
      </c>
      <c r="I829" s="49">
        <f>INDEX(PeakCalc!$L$10:$L$303,MATCH(tblPivotData[[#This Row],[Time]],PeakCalc!$G$10:$G$303,0))</f>
        <v>1</v>
      </c>
    </row>
    <row r="830" spans="1:9" x14ac:dyDescent="0.25">
      <c r="A830" t="s">
        <v>97</v>
      </c>
      <c r="B830" t="s">
        <v>109</v>
      </c>
      <c r="C830" t="s">
        <v>95</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97</v>
      </c>
      <c r="B831" t="s">
        <v>109</v>
      </c>
      <c r="C831" t="s">
        <v>95</v>
      </c>
      <c r="D831" t="s">
        <v>90</v>
      </c>
      <c r="E831" t="s">
        <v>91</v>
      </c>
      <c r="F831" s="6">
        <v>0.55208333333333337</v>
      </c>
      <c r="G831">
        <v>1</v>
      </c>
      <c r="H831" s="6">
        <f>FLOOR(tblPivotData[[#This Row],[Time]],Summary!$B$6/1440)</f>
        <v>0.55208333333333326</v>
      </c>
      <c r="I831" s="49">
        <f>INDEX(PeakCalc!$L$10:$L$303,MATCH(tblPivotData[[#This Row],[Time]],PeakCalc!$G$10:$G$303,0))</f>
        <v>1</v>
      </c>
    </row>
    <row r="832" spans="1:9" x14ac:dyDescent="0.25">
      <c r="A832" t="s">
        <v>97</v>
      </c>
      <c r="B832" t="s">
        <v>109</v>
      </c>
      <c r="C832" t="s">
        <v>95</v>
      </c>
      <c r="D832" t="s">
        <v>90</v>
      </c>
      <c r="E832" t="s">
        <v>91</v>
      </c>
      <c r="F832" s="6">
        <v>0.5625</v>
      </c>
      <c r="G832">
        <v>0</v>
      </c>
      <c r="H832" s="6">
        <f>FLOOR(tblPivotData[[#This Row],[Time]],Summary!$B$6/1440)</f>
        <v>0.5625</v>
      </c>
      <c r="I832" s="49">
        <f>INDEX(PeakCalc!$L$10:$L$303,MATCH(tblPivotData[[#This Row],[Time]],PeakCalc!$G$10:$G$303,0))</f>
        <v>1</v>
      </c>
    </row>
    <row r="833" spans="1:9" x14ac:dyDescent="0.25">
      <c r="A833" t="s">
        <v>97</v>
      </c>
      <c r="B833" t="s">
        <v>109</v>
      </c>
      <c r="C833" t="s">
        <v>95</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97</v>
      </c>
      <c r="B834" t="s">
        <v>109</v>
      </c>
      <c r="C834" t="s">
        <v>95</v>
      </c>
      <c r="D834" t="s">
        <v>90</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97</v>
      </c>
      <c r="B835" t="s">
        <v>109</v>
      </c>
      <c r="C835" t="s">
        <v>95</v>
      </c>
      <c r="D835" t="s">
        <v>90</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97</v>
      </c>
      <c r="B836" t="s">
        <v>109</v>
      </c>
      <c r="C836" t="s">
        <v>95</v>
      </c>
      <c r="D836" t="s">
        <v>90</v>
      </c>
      <c r="E836" t="s">
        <v>44</v>
      </c>
      <c r="F836" s="6">
        <v>0.6875</v>
      </c>
      <c r="G836">
        <v>0</v>
      </c>
      <c r="H836" s="6">
        <f>FLOOR(tblPivotData[[#This Row],[Time]],Summary!$B$6/1440)</f>
        <v>0.6875</v>
      </c>
      <c r="I836" s="49">
        <f>INDEX(PeakCalc!$L$10:$L$303,MATCH(tblPivotData[[#This Row],[Time]],PeakCalc!$G$10:$G$303,0))</f>
        <v>0</v>
      </c>
    </row>
    <row r="837" spans="1:9" x14ac:dyDescent="0.25">
      <c r="A837" t="s">
        <v>97</v>
      </c>
      <c r="B837" t="s">
        <v>109</v>
      </c>
      <c r="C837" t="s">
        <v>95</v>
      </c>
      <c r="D837" t="s">
        <v>90</v>
      </c>
      <c r="E837" t="s">
        <v>44</v>
      </c>
      <c r="F837" s="6">
        <v>0.69791666666666663</v>
      </c>
      <c r="G837">
        <v>1</v>
      </c>
      <c r="H837" s="6">
        <f>FLOOR(tblPivotData[[#This Row],[Time]],Summary!$B$6/1440)</f>
        <v>0.69791666666666663</v>
      </c>
      <c r="I837" s="49">
        <f>INDEX(PeakCalc!$L$10:$L$303,MATCH(tblPivotData[[#This Row],[Time]],PeakCalc!$G$10:$G$303,0))</f>
        <v>1</v>
      </c>
    </row>
    <row r="838" spans="1:9" x14ac:dyDescent="0.25">
      <c r="A838" t="s">
        <v>97</v>
      </c>
      <c r="B838" t="s">
        <v>109</v>
      </c>
      <c r="C838" t="s">
        <v>95</v>
      </c>
      <c r="D838" t="s">
        <v>90</v>
      </c>
      <c r="E838" t="s">
        <v>44</v>
      </c>
      <c r="F838" s="6">
        <v>0.70833333333333337</v>
      </c>
      <c r="G838">
        <v>1</v>
      </c>
      <c r="H838" s="6">
        <f>FLOOR(tblPivotData[[#This Row],[Time]],Summary!$B$6/1440)</f>
        <v>0.70833333333333326</v>
      </c>
      <c r="I838" s="49">
        <f>INDEX(PeakCalc!$L$10:$L$303,MATCH(tblPivotData[[#This Row],[Time]],PeakCalc!$G$10:$G$303,0))</f>
        <v>1</v>
      </c>
    </row>
    <row r="839" spans="1:9" x14ac:dyDescent="0.25">
      <c r="A839" t="s">
        <v>97</v>
      </c>
      <c r="B839" t="s">
        <v>109</v>
      </c>
      <c r="C839" t="s">
        <v>95</v>
      </c>
      <c r="D839" t="s">
        <v>90</v>
      </c>
      <c r="E839" t="s">
        <v>44</v>
      </c>
      <c r="F839" s="6">
        <v>0.71875</v>
      </c>
      <c r="G839">
        <v>1</v>
      </c>
      <c r="H839" s="6">
        <f>FLOOR(tblPivotData[[#This Row],[Time]],Summary!$B$6/1440)</f>
        <v>0.71875</v>
      </c>
      <c r="I839" s="49">
        <f>INDEX(PeakCalc!$L$10:$L$303,MATCH(tblPivotData[[#This Row],[Time]],PeakCalc!$G$10:$G$303,0))</f>
        <v>1</v>
      </c>
    </row>
    <row r="840" spans="1:9" x14ac:dyDescent="0.25">
      <c r="A840" t="s">
        <v>97</v>
      </c>
      <c r="B840" t="s">
        <v>109</v>
      </c>
      <c r="C840" t="s">
        <v>95</v>
      </c>
      <c r="D840" t="s">
        <v>90</v>
      </c>
      <c r="E840" t="s">
        <v>44</v>
      </c>
      <c r="F840" s="6">
        <v>0.72916666666666663</v>
      </c>
      <c r="G840">
        <v>0</v>
      </c>
      <c r="H840" s="6">
        <f>FLOOR(tblPivotData[[#This Row],[Time]],Summary!$B$6/1440)</f>
        <v>0.72916666666666663</v>
      </c>
      <c r="I840" s="49">
        <f>INDEX(PeakCalc!$L$10:$L$303,MATCH(tblPivotData[[#This Row],[Time]],PeakCalc!$G$10:$G$303,0))</f>
        <v>1</v>
      </c>
    </row>
    <row r="841" spans="1:9" x14ac:dyDescent="0.25">
      <c r="A841" t="s">
        <v>97</v>
      </c>
      <c r="B841" t="s">
        <v>109</v>
      </c>
      <c r="C841" t="s">
        <v>95</v>
      </c>
      <c r="D841" t="s">
        <v>90</v>
      </c>
      <c r="E841" t="s">
        <v>44</v>
      </c>
      <c r="F841" s="6">
        <v>0.73958333333333337</v>
      </c>
      <c r="G841">
        <v>1</v>
      </c>
      <c r="H841" s="6">
        <f>FLOOR(tblPivotData[[#This Row],[Time]],Summary!$B$6/1440)</f>
        <v>0.73958333333333326</v>
      </c>
      <c r="I841" s="49">
        <f>INDEX(PeakCalc!$L$10:$L$303,MATCH(tblPivotData[[#This Row],[Time]],PeakCalc!$G$10:$G$303,0))</f>
        <v>0</v>
      </c>
    </row>
    <row r="842" spans="1:9" x14ac:dyDescent="0.25">
      <c r="A842" t="s">
        <v>97</v>
      </c>
      <c r="B842" t="s">
        <v>110</v>
      </c>
      <c r="C842" t="s">
        <v>96</v>
      </c>
      <c r="D842" t="s">
        <v>79</v>
      </c>
      <c r="E842" t="s">
        <v>43</v>
      </c>
      <c r="F842" s="6">
        <v>0.29166666666666669</v>
      </c>
      <c r="G842">
        <v>3</v>
      </c>
      <c r="H842" s="6">
        <f>FLOOR(tblPivotData[[#This Row],[Time]],Summary!$B$6/1440)</f>
        <v>0.29166666666666663</v>
      </c>
      <c r="I842" s="49">
        <f>INDEX(PeakCalc!$L$10:$L$303,MATCH(tblPivotData[[#This Row],[Time]],PeakCalc!$G$10:$G$303,0))</f>
        <v>0</v>
      </c>
    </row>
    <row r="843" spans="1:9" x14ac:dyDescent="0.25">
      <c r="A843" t="s">
        <v>97</v>
      </c>
      <c r="B843" t="s">
        <v>110</v>
      </c>
      <c r="C843" t="s">
        <v>96</v>
      </c>
      <c r="D843" t="s">
        <v>79</v>
      </c>
      <c r="E843" t="s">
        <v>43</v>
      </c>
      <c r="F843" s="6">
        <v>0.30208333333333331</v>
      </c>
      <c r="G843">
        <v>7</v>
      </c>
      <c r="H843" s="6">
        <f>FLOOR(tblPivotData[[#This Row],[Time]],Summary!$B$6/1440)</f>
        <v>0.30208333333333331</v>
      </c>
      <c r="I843" s="49">
        <f>INDEX(PeakCalc!$L$10:$L$303,MATCH(tblPivotData[[#This Row],[Time]],PeakCalc!$G$10:$G$303,0))</f>
        <v>0</v>
      </c>
    </row>
    <row r="844" spans="1:9" x14ac:dyDescent="0.25">
      <c r="A844" t="s">
        <v>97</v>
      </c>
      <c r="B844" t="s">
        <v>110</v>
      </c>
      <c r="C844" t="s">
        <v>96</v>
      </c>
      <c r="D844" t="s">
        <v>79</v>
      </c>
      <c r="E844" t="s">
        <v>43</v>
      </c>
      <c r="F844" s="6">
        <v>0.3125</v>
      </c>
      <c r="G844">
        <v>8</v>
      </c>
      <c r="H844" s="6">
        <f>FLOOR(tblPivotData[[#This Row],[Time]],Summary!$B$6/1440)</f>
        <v>0.3125</v>
      </c>
      <c r="I844" s="49">
        <f>INDEX(PeakCalc!$L$10:$L$303,MATCH(tblPivotData[[#This Row],[Time]],PeakCalc!$G$10:$G$303,0))</f>
        <v>0</v>
      </c>
    </row>
    <row r="845" spans="1:9" x14ac:dyDescent="0.25">
      <c r="A845" t="s">
        <v>97</v>
      </c>
      <c r="B845" t="s">
        <v>110</v>
      </c>
      <c r="C845" t="s">
        <v>96</v>
      </c>
      <c r="D845" t="s">
        <v>79</v>
      </c>
      <c r="E845" t="s">
        <v>43</v>
      </c>
      <c r="F845" s="6">
        <v>0.32291666666666669</v>
      </c>
      <c r="G845">
        <v>12</v>
      </c>
      <c r="H845" s="6">
        <f>FLOOR(tblPivotData[[#This Row],[Time]],Summary!$B$6/1440)</f>
        <v>0.32291666666666663</v>
      </c>
      <c r="I845" s="49">
        <f>INDEX(PeakCalc!$L$10:$L$303,MATCH(tblPivotData[[#This Row],[Time]],PeakCalc!$G$10:$G$303,0))</f>
        <v>0</v>
      </c>
    </row>
    <row r="846" spans="1:9" x14ac:dyDescent="0.25">
      <c r="A846" t="s">
        <v>97</v>
      </c>
      <c r="B846" t="s">
        <v>110</v>
      </c>
      <c r="C846" t="s">
        <v>96</v>
      </c>
      <c r="D846" t="s">
        <v>79</v>
      </c>
      <c r="E846" t="s">
        <v>43</v>
      </c>
      <c r="F846" s="6">
        <v>0.33333333333333331</v>
      </c>
      <c r="G846">
        <v>8</v>
      </c>
      <c r="H846" s="6">
        <f>FLOOR(tblPivotData[[#This Row],[Time]],Summary!$B$6/1440)</f>
        <v>0.33333333333333331</v>
      </c>
      <c r="I846" s="49">
        <f>INDEX(PeakCalc!$L$10:$L$303,MATCH(tblPivotData[[#This Row],[Time]],PeakCalc!$G$10:$G$303,0))</f>
        <v>1</v>
      </c>
    </row>
    <row r="847" spans="1:9" x14ac:dyDescent="0.25">
      <c r="A847" t="s">
        <v>97</v>
      </c>
      <c r="B847" t="s">
        <v>110</v>
      </c>
      <c r="C847" t="s">
        <v>96</v>
      </c>
      <c r="D847" t="s">
        <v>79</v>
      </c>
      <c r="E847" t="s">
        <v>43</v>
      </c>
      <c r="F847" s="6">
        <v>0.34375</v>
      </c>
      <c r="G847">
        <v>19</v>
      </c>
      <c r="H847" s="6">
        <f>FLOOR(tblPivotData[[#This Row],[Time]],Summary!$B$6/1440)</f>
        <v>0.34375</v>
      </c>
      <c r="I847" s="49">
        <f>INDEX(PeakCalc!$L$10:$L$303,MATCH(tblPivotData[[#This Row],[Time]],PeakCalc!$G$10:$G$303,0))</f>
        <v>1</v>
      </c>
    </row>
    <row r="848" spans="1:9" x14ac:dyDescent="0.25">
      <c r="A848" t="s">
        <v>97</v>
      </c>
      <c r="B848" t="s">
        <v>110</v>
      </c>
      <c r="C848" t="s">
        <v>96</v>
      </c>
      <c r="D848" t="s">
        <v>79</v>
      </c>
      <c r="E848" t="s">
        <v>43</v>
      </c>
      <c r="F848" s="6">
        <v>0.35416666666666669</v>
      </c>
      <c r="G848">
        <v>23</v>
      </c>
      <c r="H848" s="6">
        <f>FLOOR(tblPivotData[[#This Row],[Time]],Summary!$B$6/1440)</f>
        <v>0.35416666666666663</v>
      </c>
      <c r="I848" s="49">
        <f>INDEX(PeakCalc!$L$10:$L$303,MATCH(tblPivotData[[#This Row],[Time]],PeakCalc!$G$10:$G$303,0))</f>
        <v>1</v>
      </c>
    </row>
    <row r="849" spans="1:9" x14ac:dyDescent="0.25">
      <c r="A849" t="s">
        <v>97</v>
      </c>
      <c r="B849" t="s">
        <v>110</v>
      </c>
      <c r="C849" t="s">
        <v>96</v>
      </c>
      <c r="D849" t="s">
        <v>79</v>
      </c>
      <c r="E849" t="s">
        <v>43</v>
      </c>
      <c r="F849" s="6">
        <v>0.36458333333333331</v>
      </c>
      <c r="G849">
        <v>19</v>
      </c>
      <c r="H849" s="6">
        <f>FLOOR(tblPivotData[[#This Row],[Time]],Summary!$B$6/1440)</f>
        <v>0.36458333333333331</v>
      </c>
      <c r="I849" s="49">
        <f>INDEX(PeakCalc!$L$10:$L$303,MATCH(tblPivotData[[#This Row],[Time]],PeakCalc!$G$10:$G$303,0))</f>
        <v>1</v>
      </c>
    </row>
    <row r="850" spans="1:9" x14ac:dyDescent="0.25">
      <c r="A850" t="s">
        <v>97</v>
      </c>
      <c r="B850" t="s">
        <v>110</v>
      </c>
      <c r="C850" t="s">
        <v>96</v>
      </c>
      <c r="D850" t="s">
        <v>79</v>
      </c>
      <c r="E850" t="s">
        <v>91</v>
      </c>
      <c r="F850" s="6">
        <v>0.54166666666666663</v>
      </c>
      <c r="G850">
        <v>15</v>
      </c>
      <c r="H850" s="6">
        <f>FLOOR(tblPivotData[[#This Row],[Time]],Summary!$B$6/1440)</f>
        <v>0.54166666666666663</v>
      </c>
      <c r="I850" s="49">
        <f>INDEX(PeakCalc!$L$10:$L$303,MATCH(tblPivotData[[#This Row],[Time]],PeakCalc!$G$10:$G$303,0))</f>
        <v>1</v>
      </c>
    </row>
    <row r="851" spans="1:9" x14ac:dyDescent="0.25">
      <c r="A851" t="s">
        <v>97</v>
      </c>
      <c r="B851" t="s">
        <v>110</v>
      </c>
      <c r="C851" t="s">
        <v>96</v>
      </c>
      <c r="D851" t="s">
        <v>79</v>
      </c>
      <c r="E851" t="s">
        <v>91</v>
      </c>
      <c r="F851" s="6">
        <v>0.55208333333333337</v>
      </c>
      <c r="G851">
        <v>15</v>
      </c>
      <c r="H851" s="6">
        <f>FLOOR(tblPivotData[[#This Row],[Time]],Summary!$B$6/1440)</f>
        <v>0.55208333333333326</v>
      </c>
      <c r="I851" s="49">
        <f>INDEX(PeakCalc!$L$10:$L$303,MATCH(tblPivotData[[#This Row],[Time]],PeakCalc!$G$10:$G$303,0))</f>
        <v>1</v>
      </c>
    </row>
    <row r="852" spans="1:9" x14ac:dyDescent="0.25">
      <c r="A852" t="s">
        <v>97</v>
      </c>
      <c r="B852" t="s">
        <v>110</v>
      </c>
      <c r="C852" t="s">
        <v>96</v>
      </c>
      <c r="D852" t="s">
        <v>79</v>
      </c>
      <c r="E852" t="s">
        <v>91</v>
      </c>
      <c r="F852" s="6">
        <v>0.5625</v>
      </c>
      <c r="G852">
        <v>18</v>
      </c>
      <c r="H852" s="6">
        <f>FLOOR(tblPivotData[[#This Row],[Time]],Summary!$B$6/1440)</f>
        <v>0.5625</v>
      </c>
      <c r="I852" s="49">
        <f>INDEX(PeakCalc!$L$10:$L$303,MATCH(tblPivotData[[#This Row],[Time]],PeakCalc!$G$10:$G$303,0))</f>
        <v>1</v>
      </c>
    </row>
    <row r="853" spans="1:9" x14ac:dyDescent="0.25">
      <c r="A853" t="s">
        <v>97</v>
      </c>
      <c r="B853" t="s">
        <v>110</v>
      </c>
      <c r="C853" t="s">
        <v>96</v>
      </c>
      <c r="D853" t="s">
        <v>79</v>
      </c>
      <c r="E853" t="s">
        <v>91</v>
      </c>
      <c r="F853" s="6">
        <v>0.57291666666666663</v>
      </c>
      <c r="G853">
        <v>19</v>
      </c>
      <c r="H853" s="6">
        <f>FLOOR(tblPivotData[[#This Row],[Time]],Summary!$B$6/1440)</f>
        <v>0.57291666666666663</v>
      </c>
      <c r="I853" s="49">
        <f>INDEX(PeakCalc!$L$10:$L$303,MATCH(tblPivotData[[#This Row],[Time]],PeakCalc!$G$10:$G$303,0))</f>
        <v>1</v>
      </c>
    </row>
    <row r="854" spans="1:9" x14ac:dyDescent="0.25">
      <c r="A854" t="s">
        <v>97</v>
      </c>
      <c r="B854" t="s">
        <v>110</v>
      </c>
      <c r="C854" t="s">
        <v>96</v>
      </c>
      <c r="D854" t="s">
        <v>79</v>
      </c>
      <c r="E854" t="s">
        <v>44</v>
      </c>
      <c r="F854" s="6">
        <v>0.66666666666666663</v>
      </c>
      <c r="G854">
        <v>22</v>
      </c>
      <c r="H854" s="6">
        <f>FLOOR(tblPivotData[[#This Row],[Time]],Summary!$B$6/1440)</f>
        <v>0.66666666666666663</v>
      </c>
      <c r="I854" s="49">
        <f>INDEX(PeakCalc!$L$10:$L$303,MATCH(tblPivotData[[#This Row],[Time]],PeakCalc!$G$10:$G$303,0))</f>
        <v>0</v>
      </c>
    </row>
    <row r="855" spans="1:9" x14ac:dyDescent="0.25">
      <c r="A855" t="s">
        <v>97</v>
      </c>
      <c r="B855" t="s">
        <v>110</v>
      </c>
      <c r="C855" t="s">
        <v>96</v>
      </c>
      <c r="D855" t="s">
        <v>79</v>
      </c>
      <c r="E855" t="s">
        <v>44</v>
      </c>
      <c r="F855" s="6">
        <v>0.67708333333333337</v>
      </c>
      <c r="G855">
        <v>18</v>
      </c>
      <c r="H855" s="6">
        <f>FLOOR(tblPivotData[[#This Row],[Time]],Summary!$B$6/1440)</f>
        <v>0.67708333333333326</v>
      </c>
      <c r="I855" s="49">
        <f>INDEX(PeakCalc!$L$10:$L$303,MATCH(tblPivotData[[#This Row],[Time]],PeakCalc!$G$10:$G$303,0))</f>
        <v>0</v>
      </c>
    </row>
    <row r="856" spans="1:9" x14ac:dyDescent="0.25">
      <c r="A856" t="s">
        <v>97</v>
      </c>
      <c r="B856" t="s">
        <v>110</v>
      </c>
      <c r="C856" t="s">
        <v>96</v>
      </c>
      <c r="D856" t="s">
        <v>79</v>
      </c>
      <c r="E856" t="s">
        <v>44</v>
      </c>
      <c r="F856" s="6">
        <v>0.6875</v>
      </c>
      <c r="G856">
        <v>22</v>
      </c>
      <c r="H856" s="6">
        <f>FLOOR(tblPivotData[[#This Row],[Time]],Summary!$B$6/1440)</f>
        <v>0.6875</v>
      </c>
      <c r="I856" s="49">
        <f>INDEX(PeakCalc!$L$10:$L$303,MATCH(tblPivotData[[#This Row],[Time]],PeakCalc!$G$10:$G$303,0))</f>
        <v>0</v>
      </c>
    </row>
    <row r="857" spans="1:9" x14ac:dyDescent="0.25">
      <c r="A857" t="s">
        <v>97</v>
      </c>
      <c r="B857" t="s">
        <v>110</v>
      </c>
      <c r="C857" t="s">
        <v>96</v>
      </c>
      <c r="D857" t="s">
        <v>79</v>
      </c>
      <c r="E857" t="s">
        <v>44</v>
      </c>
      <c r="F857" s="6">
        <v>0.69791666666666663</v>
      </c>
      <c r="G857">
        <v>20</v>
      </c>
      <c r="H857" s="6">
        <f>FLOOR(tblPivotData[[#This Row],[Time]],Summary!$B$6/1440)</f>
        <v>0.69791666666666663</v>
      </c>
      <c r="I857" s="49">
        <f>INDEX(PeakCalc!$L$10:$L$303,MATCH(tblPivotData[[#This Row],[Time]],PeakCalc!$G$10:$G$303,0))</f>
        <v>1</v>
      </c>
    </row>
    <row r="858" spans="1:9" x14ac:dyDescent="0.25">
      <c r="A858" t="s">
        <v>97</v>
      </c>
      <c r="B858" t="s">
        <v>110</v>
      </c>
      <c r="C858" t="s">
        <v>96</v>
      </c>
      <c r="D858" t="s">
        <v>79</v>
      </c>
      <c r="E858" t="s">
        <v>44</v>
      </c>
      <c r="F858" s="6">
        <v>0.70833333333333337</v>
      </c>
      <c r="G858">
        <v>25</v>
      </c>
      <c r="H858" s="6">
        <f>FLOOR(tblPivotData[[#This Row],[Time]],Summary!$B$6/1440)</f>
        <v>0.70833333333333326</v>
      </c>
      <c r="I858" s="49">
        <f>INDEX(PeakCalc!$L$10:$L$303,MATCH(tblPivotData[[#This Row],[Time]],PeakCalc!$G$10:$G$303,0))</f>
        <v>1</v>
      </c>
    </row>
    <row r="859" spans="1:9" x14ac:dyDescent="0.25">
      <c r="A859" t="s">
        <v>97</v>
      </c>
      <c r="B859" t="s">
        <v>110</v>
      </c>
      <c r="C859" t="s">
        <v>96</v>
      </c>
      <c r="D859" t="s">
        <v>79</v>
      </c>
      <c r="E859" t="s">
        <v>44</v>
      </c>
      <c r="F859" s="6">
        <v>0.71875</v>
      </c>
      <c r="G859">
        <v>31</v>
      </c>
      <c r="H859" s="6">
        <f>FLOOR(tblPivotData[[#This Row],[Time]],Summary!$B$6/1440)</f>
        <v>0.71875</v>
      </c>
      <c r="I859" s="49">
        <f>INDEX(PeakCalc!$L$10:$L$303,MATCH(tblPivotData[[#This Row],[Time]],PeakCalc!$G$10:$G$303,0))</f>
        <v>1</v>
      </c>
    </row>
    <row r="860" spans="1:9" x14ac:dyDescent="0.25">
      <c r="A860" t="s">
        <v>97</v>
      </c>
      <c r="B860" t="s">
        <v>110</v>
      </c>
      <c r="C860" t="s">
        <v>96</v>
      </c>
      <c r="D860" t="s">
        <v>79</v>
      </c>
      <c r="E860" t="s">
        <v>44</v>
      </c>
      <c r="F860" s="6">
        <v>0.72916666666666663</v>
      </c>
      <c r="G860">
        <v>32</v>
      </c>
      <c r="H860" s="6">
        <f>FLOOR(tblPivotData[[#This Row],[Time]],Summary!$B$6/1440)</f>
        <v>0.72916666666666663</v>
      </c>
      <c r="I860" s="49">
        <f>INDEX(PeakCalc!$L$10:$L$303,MATCH(tblPivotData[[#This Row],[Time]],PeakCalc!$G$10:$G$303,0))</f>
        <v>1</v>
      </c>
    </row>
    <row r="861" spans="1:9" x14ac:dyDescent="0.25">
      <c r="A861" t="s">
        <v>97</v>
      </c>
      <c r="B861" t="s">
        <v>110</v>
      </c>
      <c r="C861" t="s">
        <v>96</v>
      </c>
      <c r="D861" t="s">
        <v>79</v>
      </c>
      <c r="E861" t="s">
        <v>44</v>
      </c>
      <c r="F861" s="6">
        <v>0.73958333333333337</v>
      </c>
      <c r="G861">
        <v>29</v>
      </c>
      <c r="H861" s="6">
        <f>FLOOR(tblPivotData[[#This Row],[Time]],Summary!$B$6/1440)</f>
        <v>0.73958333333333326</v>
      </c>
      <c r="I861" s="49">
        <f>INDEX(PeakCalc!$L$10:$L$303,MATCH(tblPivotData[[#This Row],[Time]],PeakCalc!$G$10:$G$303,0))</f>
        <v>0</v>
      </c>
    </row>
    <row r="862" spans="1:9" x14ac:dyDescent="0.25">
      <c r="A862" t="s">
        <v>97</v>
      </c>
      <c r="B862" t="s">
        <v>110</v>
      </c>
      <c r="C862" t="s">
        <v>96</v>
      </c>
      <c r="D862" t="s">
        <v>89</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97</v>
      </c>
      <c r="B863" t="s">
        <v>110</v>
      </c>
      <c r="C863" t="s">
        <v>96</v>
      </c>
      <c r="D863" t="s">
        <v>89</v>
      </c>
      <c r="E863" t="s">
        <v>43</v>
      </c>
      <c r="F863" s="6">
        <v>0.30208333333333331</v>
      </c>
      <c r="G863">
        <v>0</v>
      </c>
      <c r="H863" s="6">
        <f>FLOOR(tblPivotData[[#This Row],[Time]],Summary!$B$6/1440)</f>
        <v>0.30208333333333331</v>
      </c>
      <c r="I863" s="49">
        <f>INDEX(PeakCalc!$L$10:$L$303,MATCH(tblPivotData[[#This Row],[Time]],PeakCalc!$G$10:$G$303,0))</f>
        <v>0</v>
      </c>
    </row>
    <row r="864" spans="1:9" x14ac:dyDescent="0.25">
      <c r="A864" t="s">
        <v>97</v>
      </c>
      <c r="B864" t="s">
        <v>110</v>
      </c>
      <c r="C864" t="s">
        <v>96</v>
      </c>
      <c r="D864" t="s">
        <v>89</v>
      </c>
      <c r="E864" t="s">
        <v>43</v>
      </c>
      <c r="F864" s="6">
        <v>0.3125</v>
      </c>
      <c r="G864">
        <v>0</v>
      </c>
      <c r="H864" s="6">
        <f>FLOOR(tblPivotData[[#This Row],[Time]],Summary!$B$6/1440)</f>
        <v>0.3125</v>
      </c>
      <c r="I864" s="49">
        <f>INDEX(PeakCalc!$L$10:$L$303,MATCH(tblPivotData[[#This Row],[Time]],PeakCalc!$G$10:$G$303,0))</f>
        <v>0</v>
      </c>
    </row>
    <row r="865" spans="1:9" x14ac:dyDescent="0.25">
      <c r="A865" t="s">
        <v>97</v>
      </c>
      <c r="B865" t="s">
        <v>110</v>
      </c>
      <c r="C865" t="s">
        <v>96</v>
      </c>
      <c r="D865" t="s">
        <v>89</v>
      </c>
      <c r="E865" t="s">
        <v>43</v>
      </c>
      <c r="F865" s="6">
        <v>0.32291666666666669</v>
      </c>
      <c r="G865">
        <v>1</v>
      </c>
      <c r="H865" s="6">
        <f>FLOOR(tblPivotData[[#This Row],[Time]],Summary!$B$6/1440)</f>
        <v>0.32291666666666663</v>
      </c>
      <c r="I865" s="49">
        <f>INDEX(PeakCalc!$L$10:$L$303,MATCH(tblPivotData[[#This Row],[Time]],PeakCalc!$G$10:$G$303,0))</f>
        <v>0</v>
      </c>
    </row>
    <row r="866" spans="1:9" x14ac:dyDescent="0.25">
      <c r="A866" t="s">
        <v>97</v>
      </c>
      <c r="B866" t="s">
        <v>110</v>
      </c>
      <c r="C866" t="s">
        <v>96</v>
      </c>
      <c r="D866" t="s">
        <v>89</v>
      </c>
      <c r="E866" t="s">
        <v>43</v>
      </c>
      <c r="F866" s="6">
        <v>0.33333333333333331</v>
      </c>
      <c r="G866">
        <v>0</v>
      </c>
      <c r="H866" s="6">
        <f>FLOOR(tblPivotData[[#This Row],[Time]],Summary!$B$6/1440)</f>
        <v>0.33333333333333331</v>
      </c>
      <c r="I866" s="49">
        <f>INDEX(PeakCalc!$L$10:$L$303,MATCH(tblPivotData[[#This Row],[Time]],PeakCalc!$G$10:$G$303,0))</f>
        <v>1</v>
      </c>
    </row>
    <row r="867" spans="1:9" x14ac:dyDescent="0.25">
      <c r="A867" t="s">
        <v>97</v>
      </c>
      <c r="B867" t="s">
        <v>110</v>
      </c>
      <c r="C867" t="s">
        <v>96</v>
      </c>
      <c r="D867" t="s">
        <v>89</v>
      </c>
      <c r="E867" t="s">
        <v>43</v>
      </c>
      <c r="F867" s="6">
        <v>0.34375</v>
      </c>
      <c r="G867">
        <v>0</v>
      </c>
      <c r="H867" s="6">
        <f>FLOOR(tblPivotData[[#This Row],[Time]],Summary!$B$6/1440)</f>
        <v>0.34375</v>
      </c>
      <c r="I867" s="49">
        <f>INDEX(PeakCalc!$L$10:$L$303,MATCH(tblPivotData[[#This Row],[Time]],PeakCalc!$G$10:$G$303,0))</f>
        <v>1</v>
      </c>
    </row>
    <row r="868" spans="1:9" x14ac:dyDescent="0.25">
      <c r="A868" t="s">
        <v>97</v>
      </c>
      <c r="B868" t="s">
        <v>110</v>
      </c>
      <c r="C868" t="s">
        <v>96</v>
      </c>
      <c r="D868" t="s">
        <v>89</v>
      </c>
      <c r="E868" t="s">
        <v>43</v>
      </c>
      <c r="F868" s="6">
        <v>0.35416666666666669</v>
      </c>
      <c r="G868">
        <v>0</v>
      </c>
      <c r="H868" s="6">
        <f>FLOOR(tblPivotData[[#This Row],[Time]],Summary!$B$6/1440)</f>
        <v>0.35416666666666663</v>
      </c>
      <c r="I868" s="49">
        <f>INDEX(PeakCalc!$L$10:$L$303,MATCH(tblPivotData[[#This Row],[Time]],PeakCalc!$G$10:$G$303,0))</f>
        <v>1</v>
      </c>
    </row>
    <row r="869" spans="1:9" x14ac:dyDescent="0.25">
      <c r="A869" t="s">
        <v>97</v>
      </c>
      <c r="B869" t="s">
        <v>110</v>
      </c>
      <c r="C869" t="s">
        <v>96</v>
      </c>
      <c r="D869" t="s">
        <v>89</v>
      </c>
      <c r="E869" t="s">
        <v>43</v>
      </c>
      <c r="F869" s="6">
        <v>0.36458333333333331</v>
      </c>
      <c r="G869">
        <v>0</v>
      </c>
      <c r="H869" s="6">
        <f>FLOOR(tblPivotData[[#This Row],[Time]],Summary!$B$6/1440)</f>
        <v>0.36458333333333331</v>
      </c>
      <c r="I869" s="49">
        <f>INDEX(PeakCalc!$L$10:$L$303,MATCH(tblPivotData[[#This Row],[Time]],PeakCalc!$G$10:$G$303,0))</f>
        <v>1</v>
      </c>
    </row>
    <row r="870" spans="1:9" x14ac:dyDescent="0.25">
      <c r="A870" t="s">
        <v>97</v>
      </c>
      <c r="B870" t="s">
        <v>110</v>
      </c>
      <c r="C870" t="s">
        <v>96</v>
      </c>
      <c r="D870" t="s">
        <v>89</v>
      </c>
      <c r="E870" t="s">
        <v>91</v>
      </c>
      <c r="F870" s="6">
        <v>0.54166666666666663</v>
      </c>
      <c r="G870">
        <v>0</v>
      </c>
      <c r="H870" s="6">
        <f>FLOOR(tblPivotData[[#This Row],[Time]],Summary!$B$6/1440)</f>
        <v>0.54166666666666663</v>
      </c>
      <c r="I870" s="49">
        <f>INDEX(PeakCalc!$L$10:$L$303,MATCH(tblPivotData[[#This Row],[Time]],PeakCalc!$G$10:$G$303,0))</f>
        <v>1</v>
      </c>
    </row>
    <row r="871" spans="1:9" x14ac:dyDescent="0.25">
      <c r="A871" t="s">
        <v>97</v>
      </c>
      <c r="B871" t="s">
        <v>110</v>
      </c>
      <c r="C871" t="s">
        <v>96</v>
      </c>
      <c r="D871" t="s">
        <v>89</v>
      </c>
      <c r="E871" t="s">
        <v>91</v>
      </c>
      <c r="F871" s="6">
        <v>0.55208333333333337</v>
      </c>
      <c r="G871">
        <v>0</v>
      </c>
      <c r="H871" s="6">
        <f>FLOOR(tblPivotData[[#This Row],[Time]],Summary!$B$6/1440)</f>
        <v>0.55208333333333326</v>
      </c>
      <c r="I871" s="49">
        <f>INDEX(PeakCalc!$L$10:$L$303,MATCH(tblPivotData[[#This Row],[Time]],PeakCalc!$G$10:$G$303,0))</f>
        <v>1</v>
      </c>
    </row>
    <row r="872" spans="1:9" x14ac:dyDescent="0.25">
      <c r="A872" t="s">
        <v>97</v>
      </c>
      <c r="B872" t="s">
        <v>110</v>
      </c>
      <c r="C872" t="s">
        <v>96</v>
      </c>
      <c r="D872" t="s">
        <v>89</v>
      </c>
      <c r="E872" t="s">
        <v>91</v>
      </c>
      <c r="F872" s="6">
        <v>0.5625</v>
      </c>
      <c r="G872">
        <v>0</v>
      </c>
      <c r="H872" s="6">
        <f>FLOOR(tblPivotData[[#This Row],[Time]],Summary!$B$6/1440)</f>
        <v>0.5625</v>
      </c>
      <c r="I872" s="49">
        <f>INDEX(PeakCalc!$L$10:$L$303,MATCH(tblPivotData[[#This Row],[Time]],PeakCalc!$G$10:$G$303,0))</f>
        <v>1</v>
      </c>
    </row>
    <row r="873" spans="1:9" x14ac:dyDescent="0.25">
      <c r="A873" t="s">
        <v>97</v>
      </c>
      <c r="B873" t="s">
        <v>110</v>
      </c>
      <c r="C873" t="s">
        <v>96</v>
      </c>
      <c r="D873" t="s">
        <v>89</v>
      </c>
      <c r="E873" t="s">
        <v>91</v>
      </c>
      <c r="F873" s="6">
        <v>0.57291666666666663</v>
      </c>
      <c r="G873">
        <v>0</v>
      </c>
      <c r="H873" s="6">
        <f>FLOOR(tblPivotData[[#This Row],[Time]],Summary!$B$6/1440)</f>
        <v>0.57291666666666663</v>
      </c>
      <c r="I873" s="49">
        <f>INDEX(PeakCalc!$L$10:$L$303,MATCH(tblPivotData[[#This Row],[Time]],PeakCalc!$G$10:$G$303,0))</f>
        <v>1</v>
      </c>
    </row>
    <row r="874" spans="1:9" x14ac:dyDescent="0.25">
      <c r="A874" t="s">
        <v>97</v>
      </c>
      <c r="B874" t="s">
        <v>110</v>
      </c>
      <c r="C874" t="s">
        <v>96</v>
      </c>
      <c r="D874" t="s">
        <v>89</v>
      </c>
      <c r="E874" t="s">
        <v>44</v>
      </c>
      <c r="F874" s="6">
        <v>0.66666666666666663</v>
      </c>
      <c r="G874">
        <v>1</v>
      </c>
      <c r="H874" s="6">
        <f>FLOOR(tblPivotData[[#This Row],[Time]],Summary!$B$6/1440)</f>
        <v>0.66666666666666663</v>
      </c>
      <c r="I874" s="49">
        <f>INDEX(PeakCalc!$L$10:$L$303,MATCH(tblPivotData[[#This Row],[Time]],PeakCalc!$G$10:$G$303,0))</f>
        <v>0</v>
      </c>
    </row>
    <row r="875" spans="1:9" x14ac:dyDescent="0.25">
      <c r="A875" t="s">
        <v>97</v>
      </c>
      <c r="B875" t="s">
        <v>110</v>
      </c>
      <c r="C875" t="s">
        <v>96</v>
      </c>
      <c r="D875" t="s">
        <v>89</v>
      </c>
      <c r="E875" t="s">
        <v>44</v>
      </c>
      <c r="F875" s="6">
        <v>0.67708333333333337</v>
      </c>
      <c r="G875">
        <v>0</v>
      </c>
      <c r="H875" s="6">
        <f>FLOOR(tblPivotData[[#This Row],[Time]],Summary!$B$6/1440)</f>
        <v>0.67708333333333326</v>
      </c>
      <c r="I875" s="49">
        <f>INDEX(PeakCalc!$L$10:$L$303,MATCH(tblPivotData[[#This Row],[Time]],PeakCalc!$G$10:$G$303,0))</f>
        <v>0</v>
      </c>
    </row>
    <row r="876" spans="1:9" x14ac:dyDescent="0.25">
      <c r="A876" t="s">
        <v>97</v>
      </c>
      <c r="B876" t="s">
        <v>110</v>
      </c>
      <c r="C876" t="s">
        <v>96</v>
      </c>
      <c r="D876" t="s">
        <v>89</v>
      </c>
      <c r="E876" t="s">
        <v>44</v>
      </c>
      <c r="F876" s="6">
        <v>0.6875</v>
      </c>
      <c r="G876">
        <v>0</v>
      </c>
      <c r="H876" s="6">
        <f>FLOOR(tblPivotData[[#This Row],[Time]],Summary!$B$6/1440)</f>
        <v>0.6875</v>
      </c>
      <c r="I876" s="49">
        <f>INDEX(PeakCalc!$L$10:$L$303,MATCH(tblPivotData[[#This Row],[Time]],PeakCalc!$G$10:$G$303,0))</f>
        <v>0</v>
      </c>
    </row>
    <row r="877" spans="1:9" x14ac:dyDescent="0.25">
      <c r="A877" t="s">
        <v>97</v>
      </c>
      <c r="B877" t="s">
        <v>110</v>
      </c>
      <c r="C877" t="s">
        <v>96</v>
      </c>
      <c r="D877" t="s">
        <v>89</v>
      </c>
      <c r="E877" t="s">
        <v>44</v>
      </c>
      <c r="F877" s="6">
        <v>0.69791666666666663</v>
      </c>
      <c r="G877">
        <v>1</v>
      </c>
      <c r="H877" s="6">
        <f>FLOOR(tblPivotData[[#This Row],[Time]],Summary!$B$6/1440)</f>
        <v>0.69791666666666663</v>
      </c>
      <c r="I877" s="49">
        <f>INDEX(PeakCalc!$L$10:$L$303,MATCH(tblPivotData[[#This Row],[Time]],PeakCalc!$G$10:$G$303,0))</f>
        <v>1</v>
      </c>
    </row>
    <row r="878" spans="1:9" x14ac:dyDescent="0.25">
      <c r="A878" t="s">
        <v>97</v>
      </c>
      <c r="B878" t="s">
        <v>110</v>
      </c>
      <c r="C878" t="s">
        <v>96</v>
      </c>
      <c r="D878" t="s">
        <v>89</v>
      </c>
      <c r="E878" t="s">
        <v>44</v>
      </c>
      <c r="F878" s="6">
        <v>0.70833333333333337</v>
      </c>
      <c r="G878">
        <v>1</v>
      </c>
      <c r="H878" s="6">
        <f>FLOOR(tblPivotData[[#This Row],[Time]],Summary!$B$6/1440)</f>
        <v>0.70833333333333326</v>
      </c>
      <c r="I878" s="49">
        <f>INDEX(PeakCalc!$L$10:$L$303,MATCH(tblPivotData[[#This Row],[Time]],PeakCalc!$G$10:$G$303,0))</f>
        <v>1</v>
      </c>
    </row>
    <row r="879" spans="1:9" x14ac:dyDescent="0.25">
      <c r="A879" t="s">
        <v>97</v>
      </c>
      <c r="B879" t="s">
        <v>110</v>
      </c>
      <c r="C879" t="s">
        <v>96</v>
      </c>
      <c r="D879" t="s">
        <v>89</v>
      </c>
      <c r="E879" t="s">
        <v>44</v>
      </c>
      <c r="F879" s="6">
        <v>0.71875</v>
      </c>
      <c r="G879">
        <v>0</v>
      </c>
      <c r="H879" s="6">
        <f>FLOOR(tblPivotData[[#This Row],[Time]],Summary!$B$6/1440)</f>
        <v>0.71875</v>
      </c>
      <c r="I879" s="49">
        <f>INDEX(PeakCalc!$L$10:$L$303,MATCH(tblPivotData[[#This Row],[Time]],PeakCalc!$G$10:$G$303,0))</f>
        <v>1</v>
      </c>
    </row>
    <row r="880" spans="1:9" x14ac:dyDescent="0.25">
      <c r="A880" t="s">
        <v>97</v>
      </c>
      <c r="B880" t="s">
        <v>110</v>
      </c>
      <c r="C880" t="s">
        <v>96</v>
      </c>
      <c r="D880" t="s">
        <v>89</v>
      </c>
      <c r="E880" t="s">
        <v>44</v>
      </c>
      <c r="F880" s="6">
        <v>0.72916666666666663</v>
      </c>
      <c r="G880">
        <v>0</v>
      </c>
      <c r="H880" s="6">
        <f>FLOOR(tblPivotData[[#This Row],[Time]],Summary!$B$6/1440)</f>
        <v>0.72916666666666663</v>
      </c>
      <c r="I880" s="49">
        <f>INDEX(PeakCalc!$L$10:$L$303,MATCH(tblPivotData[[#This Row],[Time]],PeakCalc!$G$10:$G$303,0))</f>
        <v>1</v>
      </c>
    </row>
    <row r="881" spans="1:9" x14ac:dyDescent="0.25">
      <c r="A881" t="s">
        <v>97</v>
      </c>
      <c r="B881" t="s">
        <v>110</v>
      </c>
      <c r="C881" t="s">
        <v>96</v>
      </c>
      <c r="D881" t="s">
        <v>89</v>
      </c>
      <c r="E881" t="s">
        <v>44</v>
      </c>
      <c r="F881" s="6">
        <v>0.73958333333333337</v>
      </c>
      <c r="G881">
        <v>1</v>
      </c>
      <c r="H881" s="6">
        <f>FLOOR(tblPivotData[[#This Row],[Time]],Summary!$B$6/1440)</f>
        <v>0.73958333333333326</v>
      </c>
      <c r="I881" s="49">
        <f>INDEX(PeakCalc!$L$10:$L$303,MATCH(tblPivotData[[#This Row],[Time]],PeakCalc!$G$10:$G$303,0))</f>
        <v>0</v>
      </c>
    </row>
    <row r="882" spans="1:9" x14ac:dyDescent="0.25">
      <c r="A882" t="s">
        <v>97</v>
      </c>
      <c r="B882" t="s">
        <v>110</v>
      </c>
      <c r="C882" t="s">
        <v>96</v>
      </c>
      <c r="D882" t="s">
        <v>90</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97</v>
      </c>
      <c r="B883" t="s">
        <v>110</v>
      </c>
      <c r="C883" t="s">
        <v>96</v>
      </c>
      <c r="D883" t="s">
        <v>90</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97</v>
      </c>
      <c r="B884" t="s">
        <v>110</v>
      </c>
      <c r="C884" t="s">
        <v>96</v>
      </c>
      <c r="D884" t="s">
        <v>90</v>
      </c>
      <c r="E884" t="s">
        <v>43</v>
      </c>
      <c r="F884" s="6">
        <v>0.3125</v>
      </c>
      <c r="G884">
        <v>0</v>
      </c>
      <c r="H884" s="6">
        <f>FLOOR(tblPivotData[[#This Row],[Time]],Summary!$B$6/1440)</f>
        <v>0.3125</v>
      </c>
      <c r="I884" s="49">
        <f>INDEX(PeakCalc!$L$10:$L$303,MATCH(tblPivotData[[#This Row],[Time]],PeakCalc!$G$10:$G$303,0))</f>
        <v>0</v>
      </c>
    </row>
    <row r="885" spans="1:9" x14ac:dyDescent="0.25">
      <c r="A885" t="s">
        <v>97</v>
      </c>
      <c r="B885" t="s">
        <v>110</v>
      </c>
      <c r="C885" t="s">
        <v>96</v>
      </c>
      <c r="D885" t="s">
        <v>90</v>
      </c>
      <c r="E885" t="s">
        <v>43</v>
      </c>
      <c r="F885" s="6">
        <v>0.32291666666666669</v>
      </c>
      <c r="G885">
        <v>0</v>
      </c>
      <c r="H885" s="6">
        <f>FLOOR(tblPivotData[[#This Row],[Time]],Summary!$B$6/1440)</f>
        <v>0.32291666666666663</v>
      </c>
      <c r="I885" s="49">
        <f>INDEX(PeakCalc!$L$10:$L$303,MATCH(tblPivotData[[#This Row],[Time]],PeakCalc!$G$10:$G$303,0))</f>
        <v>0</v>
      </c>
    </row>
    <row r="886" spans="1:9" x14ac:dyDescent="0.25">
      <c r="A886" t="s">
        <v>97</v>
      </c>
      <c r="B886" t="s">
        <v>110</v>
      </c>
      <c r="C886" t="s">
        <v>96</v>
      </c>
      <c r="D886" t="s">
        <v>90</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97</v>
      </c>
      <c r="B887" t="s">
        <v>110</v>
      </c>
      <c r="C887" t="s">
        <v>96</v>
      </c>
      <c r="D887" t="s">
        <v>90</v>
      </c>
      <c r="E887" t="s">
        <v>43</v>
      </c>
      <c r="F887" s="6">
        <v>0.34375</v>
      </c>
      <c r="G887">
        <v>0</v>
      </c>
      <c r="H887" s="6">
        <f>FLOOR(tblPivotData[[#This Row],[Time]],Summary!$B$6/1440)</f>
        <v>0.34375</v>
      </c>
      <c r="I887" s="49">
        <f>INDEX(PeakCalc!$L$10:$L$303,MATCH(tblPivotData[[#This Row],[Time]],PeakCalc!$G$10:$G$303,0))</f>
        <v>1</v>
      </c>
    </row>
    <row r="888" spans="1:9" x14ac:dyDescent="0.25">
      <c r="A888" t="s">
        <v>97</v>
      </c>
      <c r="B888" t="s">
        <v>110</v>
      </c>
      <c r="C888" t="s">
        <v>96</v>
      </c>
      <c r="D888" t="s">
        <v>90</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97</v>
      </c>
      <c r="B889" t="s">
        <v>110</v>
      </c>
      <c r="C889" t="s">
        <v>96</v>
      </c>
      <c r="D889" t="s">
        <v>90</v>
      </c>
      <c r="E889" t="s">
        <v>43</v>
      </c>
      <c r="F889" s="6">
        <v>0.36458333333333331</v>
      </c>
      <c r="G889">
        <v>0</v>
      </c>
      <c r="H889" s="6">
        <f>FLOOR(tblPivotData[[#This Row],[Time]],Summary!$B$6/1440)</f>
        <v>0.36458333333333331</v>
      </c>
      <c r="I889" s="49">
        <f>INDEX(PeakCalc!$L$10:$L$303,MATCH(tblPivotData[[#This Row],[Time]],PeakCalc!$G$10:$G$303,0))</f>
        <v>1</v>
      </c>
    </row>
    <row r="890" spans="1:9" x14ac:dyDescent="0.25">
      <c r="A890" t="s">
        <v>97</v>
      </c>
      <c r="B890" t="s">
        <v>110</v>
      </c>
      <c r="C890" t="s">
        <v>96</v>
      </c>
      <c r="D890" t="s">
        <v>90</v>
      </c>
      <c r="E890" t="s">
        <v>91</v>
      </c>
      <c r="F890" s="6">
        <v>0.54166666666666663</v>
      </c>
      <c r="G890">
        <v>0</v>
      </c>
      <c r="H890" s="6">
        <f>FLOOR(tblPivotData[[#This Row],[Time]],Summary!$B$6/1440)</f>
        <v>0.54166666666666663</v>
      </c>
      <c r="I890" s="49">
        <f>INDEX(PeakCalc!$L$10:$L$303,MATCH(tblPivotData[[#This Row],[Time]],PeakCalc!$G$10:$G$303,0))</f>
        <v>1</v>
      </c>
    </row>
    <row r="891" spans="1:9" x14ac:dyDescent="0.25">
      <c r="A891" t="s">
        <v>97</v>
      </c>
      <c r="B891" t="s">
        <v>110</v>
      </c>
      <c r="C891" t="s">
        <v>96</v>
      </c>
      <c r="D891" t="s">
        <v>90</v>
      </c>
      <c r="E891" t="s">
        <v>91</v>
      </c>
      <c r="F891" s="6">
        <v>0.55208333333333337</v>
      </c>
      <c r="G891">
        <v>1</v>
      </c>
      <c r="H891" s="6">
        <f>FLOOR(tblPivotData[[#This Row],[Time]],Summary!$B$6/1440)</f>
        <v>0.55208333333333326</v>
      </c>
      <c r="I891" s="49">
        <f>INDEX(PeakCalc!$L$10:$L$303,MATCH(tblPivotData[[#This Row],[Time]],PeakCalc!$G$10:$G$303,0))</f>
        <v>1</v>
      </c>
    </row>
    <row r="892" spans="1:9" x14ac:dyDescent="0.25">
      <c r="A892" t="s">
        <v>97</v>
      </c>
      <c r="B892" t="s">
        <v>110</v>
      </c>
      <c r="C892" t="s">
        <v>96</v>
      </c>
      <c r="D892" t="s">
        <v>90</v>
      </c>
      <c r="E892" t="s">
        <v>91</v>
      </c>
      <c r="F892" s="6">
        <v>0.5625</v>
      </c>
      <c r="G892">
        <v>0</v>
      </c>
      <c r="H892" s="6">
        <f>FLOOR(tblPivotData[[#This Row],[Time]],Summary!$B$6/1440)</f>
        <v>0.5625</v>
      </c>
      <c r="I892" s="49">
        <f>INDEX(PeakCalc!$L$10:$L$303,MATCH(tblPivotData[[#This Row],[Time]],PeakCalc!$G$10:$G$303,0))</f>
        <v>1</v>
      </c>
    </row>
    <row r="893" spans="1:9" x14ac:dyDescent="0.25">
      <c r="A893" t="s">
        <v>97</v>
      </c>
      <c r="B893" t="s">
        <v>110</v>
      </c>
      <c r="C893" t="s">
        <v>96</v>
      </c>
      <c r="D893" t="s">
        <v>90</v>
      </c>
      <c r="E893" t="s">
        <v>91</v>
      </c>
      <c r="F893" s="6">
        <v>0.57291666666666663</v>
      </c>
      <c r="G893">
        <v>0</v>
      </c>
      <c r="H893" s="6">
        <f>FLOOR(tblPivotData[[#This Row],[Time]],Summary!$B$6/1440)</f>
        <v>0.57291666666666663</v>
      </c>
      <c r="I893" s="49">
        <f>INDEX(PeakCalc!$L$10:$L$303,MATCH(tblPivotData[[#This Row],[Time]],PeakCalc!$G$10:$G$303,0))</f>
        <v>1</v>
      </c>
    </row>
    <row r="894" spans="1:9" x14ac:dyDescent="0.25">
      <c r="A894" t="s">
        <v>97</v>
      </c>
      <c r="B894" t="s">
        <v>110</v>
      </c>
      <c r="C894" t="s">
        <v>96</v>
      </c>
      <c r="D894" t="s">
        <v>90</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97</v>
      </c>
      <c r="B895" t="s">
        <v>110</v>
      </c>
      <c r="C895" t="s">
        <v>96</v>
      </c>
      <c r="D895" t="s">
        <v>90</v>
      </c>
      <c r="E895" t="s">
        <v>44</v>
      </c>
      <c r="F895" s="6">
        <v>0.67708333333333337</v>
      </c>
      <c r="G895">
        <v>1</v>
      </c>
      <c r="H895" s="6">
        <f>FLOOR(tblPivotData[[#This Row],[Time]],Summary!$B$6/1440)</f>
        <v>0.67708333333333326</v>
      </c>
      <c r="I895" s="49">
        <f>INDEX(PeakCalc!$L$10:$L$303,MATCH(tblPivotData[[#This Row],[Time]],PeakCalc!$G$10:$G$303,0))</f>
        <v>0</v>
      </c>
    </row>
    <row r="896" spans="1:9" x14ac:dyDescent="0.25">
      <c r="A896" t="s">
        <v>97</v>
      </c>
      <c r="B896" t="s">
        <v>110</v>
      </c>
      <c r="C896" t="s">
        <v>96</v>
      </c>
      <c r="D896" t="s">
        <v>90</v>
      </c>
      <c r="E896" t="s">
        <v>44</v>
      </c>
      <c r="F896" s="6">
        <v>0.6875</v>
      </c>
      <c r="G896">
        <v>0</v>
      </c>
      <c r="H896" s="6">
        <f>FLOOR(tblPivotData[[#This Row],[Time]],Summary!$B$6/1440)</f>
        <v>0.6875</v>
      </c>
      <c r="I896" s="49">
        <f>INDEX(PeakCalc!$L$10:$L$303,MATCH(tblPivotData[[#This Row],[Time]],PeakCalc!$G$10:$G$303,0))</f>
        <v>0</v>
      </c>
    </row>
    <row r="897" spans="1:9" x14ac:dyDescent="0.25">
      <c r="A897" t="s">
        <v>97</v>
      </c>
      <c r="B897" t="s">
        <v>110</v>
      </c>
      <c r="C897" t="s">
        <v>96</v>
      </c>
      <c r="D897" t="s">
        <v>90</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97</v>
      </c>
      <c r="B898" t="s">
        <v>110</v>
      </c>
      <c r="C898" t="s">
        <v>96</v>
      </c>
      <c r="D898" t="s">
        <v>90</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97</v>
      </c>
      <c r="B899" t="s">
        <v>110</v>
      </c>
      <c r="C899" t="s">
        <v>96</v>
      </c>
      <c r="D899" t="s">
        <v>90</v>
      </c>
      <c r="E899" t="s">
        <v>44</v>
      </c>
      <c r="F899" s="6">
        <v>0.71875</v>
      </c>
      <c r="G899">
        <v>0</v>
      </c>
      <c r="H899" s="6">
        <f>FLOOR(tblPivotData[[#This Row],[Time]],Summary!$B$6/1440)</f>
        <v>0.71875</v>
      </c>
      <c r="I899" s="49">
        <f>INDEX(PeakCalc!$L$10:$L$303,MATCH(tblPivotData[[#This Row],[Time]],PeakCalc!$G$10:$G$303,0))</f>
        <v>1</v>
      </c>
    </row>
    <row r="900" spans="1:9" x14ac:dyDescent="0.25">
      <c r="A900" t="s">
        <v>97</v>
      </c>
      <c r="B900" t="s">
        <v>110</v>
      </c>
      <c r="C900" t="s">
        <v>96</v>
      </c>
      <c r="D900" t="s">
        <v>90</v>
      </c>
      <c r="E900" t="s">
        <v>44</v>
      </c>
      <c r="F900" s="6">
        <v>0.72916666666666663</v>
      </c>
      <c r="G900">
        <v>2</v>
      </c>
      <c r="H900" s="6">
        <f>FLOOR(tblPivotData[[#This Row],[Time]],Summary!$B$6/1440)</f>
        <v>0.72916666666666663</v>
      </c>
      <c r="I900" s="49">
        <f>INDEX(PeakCalc!$L$10:$L$303,MATCH(tblPivotData[[#This Row],[Time]],PeakCalc!$G$10:$G$303,0))</f>
        <v>1</v>
      </c>
    </row>
    <row r="901" spans="1:9" x14ac:dyDescent="0.25">
      <c r="A901" t="s">
        <v>97</v>
      </c>
      <c r="B901" t="s">
        <v>110</v>
      </c>
      <c r="C901" t="s">
        <v>96</v>
      </c>
      <c r="D901" t="s">
        <v>90</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97</v>
      </c>
      <c r="B902" t="s">
        <v>92</v>
      </c>
      <c r="C902" t="s">
        <v>97</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97</v>
      </c>
      <c r="B903" t="s">
        <v>92</v>
      </c>
      <c r="C903" t="s">
        <v>97</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97</v>
      </c>
      <c r="B904" t="s">
        <v>92</v>
      </c>
      <c r="C904" t="s">
        <v>97</v>
      </c>
      <c r="D904" t="s">
        <v>79</v>
      </c>
      <c r="E904" t="s">
        <v>43</v>
      </c>
      <c r="F904" s="6">
        <v>0.3125</v>
      </c>
      <c r="G904">
        <v>0</v>
      </c>
      <c r="H904" s="6">
        <f>FLOOR(tblPivotData[[#This Row],[Time]],Summary!$B$6/1440)</f>
        <v>0.3125</v>
      </c>
      <c r="I904" s="49">
        <f>INDEX(PeakCalc!$L$10:$L$303,MATCH(tblPivotData[[#This Row],[Time]],PeakCalc!$G$10:$G$303,0))</f>
        <v>0</v>
      </c>
    </row>
    <row r="905" spans="1:9" x14ac:dyDescent="0.25">
      <c r="A905" t="s">
        <v>97</v>
      </c>
      <c r="B905" t="s">
        <v>92</v>
      </c>
      <c r="C905" t="s">
        <v>97</v>
      </c>
      <c r="D905" t="s">
        <v>79</v>
      </c>
      <c r="E905" t="s">
        <v>43</v>
      </c>
      <c r="F905" s="6">
        <v>0.32291666666666669</v>
      </c>
      <c r="G905">
        <v>0</v>
      </c>
      <c r="H905" s="6">
        <f>FLOOR(tblPivotData[[#This Row],[Time]],Summary!$B$6/1440)</f>
        <v>0.32291666666666663</v>
      </c>
      <c r="I905" s="49">
        <f>INDEX(PeakCalc!$L$10:$L$303,MATCH(tblPivotData[[#This Row],[Time]],PeakCalc!$G$10:$G$303,0))</f>
        <v>0</v>
      </c>
    </row>
    <row r="906" spans="1:9" x14ac:dyDescent="0.25">
      <c r="A906" t="s">
        <v>97</v>
      </c>
      <c r="B906" t="s">
        <v>92</v>
      </c>
      <c r="C906" t="s">
        <v>97</v>
      </c>
      <c r="D906" t="s">
        <v>79</v>
      </c>
      <c r="E906" t="s">
        <v>43</v>
      </c>
      <c r="F906" s="6">
        <v>0.33333333333333331</v>
      </c>
      <c r="G906">
        <v>0</v>
      </c>
      <c r="H906" s="6">
        <f>FLOOR(tblPivotData[[#This Row],[Time]],Summary!$B$6/1440)</f>
        <v>0.33333333333333331</v>
      </c>
      <c r="I906" s="49">
        <f>INDEX(PeakCalc!$L$10:$L$303,MATCH(tblPivotData[[#This Row],[Time]],PeakCalc!$G$10:$G$303,0))</f>
        <v>1</v>
      </c>
    </row>
    <row r="907" spans="1:9" x14ac:dyDescent="0.25">
      <c r="A907" t="s">
        <v>97</v>
      </c>
      <c r="B907" t="s">
        <v>92</v>
      </c>
      <c r="C907" t="s">
        <v>97</v>
      </c>
      <c r="D907" t="s">
        <v>79</v>
      </c>
      <c r="E907" t="s">
        <v>43</v>
      </c>
      <c r="F907" s="6">
        <v>0.34375</v>
      </c>
      <c r="G907">
        <v>0</v>
      </c>
      <c r="H907" s="6">
        <f>FLOOR(tblPivotData[[#This Row],[Time]],Summary!$B$6/1440)</f>
        <v>0.34375</v>
      </c>
      <c r="I907" s="49">
        <f>INDEX(PeakCalc!$L$10:$L$303,MATCH(tblPivotData[[#This Row],[Time]],PeakCalc!$G$10:$G$303,0))</f>
        <v>1</v>
      </c>
    </row>
    <row r="908" spans="1:9" x14ac:dyDescent="0.25">
      <c r="A908" t="s">
        <v>97</v>
      </c>
      <c r="B908" t="s">
        <v>92</v>
      </c>
      <c r="C908" t="s">
        <v>97</v>
      </c>
      <c r="D908" t="s">
        <v>79</v>
      </c>
      <c r="E908" t="s">
        <v>43</v>
      </c>
      <c r="F908" s="6">
        <v>0.35416666666666669</v>
      </c>
      <c r="G908">
        <v>0</v>
      </c>
      <c r="H908" s="6">
        <f>FLOOR(tblPivotData[[#This Row],[Time]],Summary!$B$6/1440)</f>
        <v>0.35416666666666663</v>
      </c>
      <c r="I908" s="49">
        <f>INDEX(PeakCalc!$L$10:$L$303,MATCH(tblPivotData[[#This Row],[Time]],PeakCalc!$G$10:$G$303,0))</f>
        <v>1</v>
      </c>
    </row>
    <row r="909" spans="1:9" x14ac:dyDescent="0.25">
      <c r="A909" t="s">
        <v>97</v>
      </c>
      <c r="B909" t="s">
        <v>92</v>
      </c>
      <c r="C909" t="s">
        <v>97</v>
      </c>
      <c r="D909" t="s">
        <v>79</v>
      </c>
      <c r="E909" t="s">
        <v>43</v>
      </c>
      <c r="F909" s="6">
        <v>0.36458333333333331</v>
      </c>
      <c r="G909">
        <v>1</v>
      </c>
      <c r="H909" s="6">
        <f>FLOOR(tblPivotData[[#This Row],[Time]],Summary!$B$6/1440)</f>
        <v>0.36458333333333331</v>
      </c>
      <c r="I909" s="49">
        <f>INDEX(PeakCalc!$L$10:$L$303,MATCH(tblPivotData[[#This Row],[Time]],PeakCalc!$G$10:$G$303,0))</f>
        <v>1</v>
      </c>
    </row>
    <row r="910" spans="1:9" x14ac:dyDescent="0.25">
      <c r="A910" t="s">
        <v>97</v>
      </c>
      <c r="B910" t="s">
        <v>92</v>
      </c>
      <c r="C910" t="s">
        <v>97</v>
      </c>
      <c r="D910" t="s">
        <v>79</v>
      </c>
      <c r="E910" t="s">
        <v>91</v>
      </c>
      <c r="F910" s="6">
        <v>0.54166666666666663</v>
      </c>
      <c r="G910">
        <v>0</v>
      </c>
      <c r="H910" s="6">
        <f>FLOOR(tblPivotData[[#This Row],[Time]],Summary!$B$6/1440)</f>
        <v>0.54166666666666663</v>
      </c>
      <c r="I910" s="49">
        <f>INDEX(PeakCalc!$L$10:$L$303,MATCH(tblPivotData[[#This Row],[Time]],PeakCalc!$G$10:$G$303,0))</f>
        <v>1</v>
      </c>
    </row>
    <row r="911" spans="1:9" x14ac:dyDescent="0.25">
      <c r="A911" t="s">
        <v>97</v>
      </c>
      <c r="B911" t="s">
        <v>92</v>
      </c>
      <c r="C911" t="s">
        <v>97</v>
      </c>
      <c r="D911" t="s">
        <v>79</v>
      </c>
      <c r="E911" t="s">
        <v>91</v>
      </c>
      <c r="F911" s="6">
        <v>0.55208333333333337</v>
      </c>
      <c r="G911">
        <v>0</v>
      </c>
      <c r="H911" s="6">
        <f>FLOOR(tblPivotData[[#This Row],[Time]],Summary!$B$6/1440)</f>
        <v>0.55208333333333326</v>
      </c>
      <c r="I911" s="49">
        <f>INDEX(PeakCalc!$L$10:$L$303,MATCH(tblPivotData[[#This Row],[Time]],PeakCalc!$G$10:$G$303,0))</f>
        <v>1</v>
      </c>
    </row>
    <row r="912" spans="1:9" x14ac:dyDescent="0.25">
      <c r="A912" t="s">
        <v>97</v>
      </c>
      <c r="B912" t="s">
        <v>92</v>
      </c>
      <c r="C912" t="s">
        <v>97</v>
      </c>
      <c r="D912" t="s">
        <v>79</v>
      </c>
      <c r="E912" t="s">
        <v>91</v>
      </c>
      <c r="F912" s="6">
        <v>0.5625</v>
      </c>
      <c r="G912">
        <v>0</v>
      </c>
      <c r="H912" s="6">
        <f>FLOOR(tblPivotData[[#This Row],[Time]],Summary!$B$6/1440)</f>
        <v>0.5625</v>
      </c>
      <c r="I912" s="49">
        <f>INDEX(PeakCalc!$L$10:$L$303,MATCH(tblPivotData[[#This Row],[Time]],PeakCalc!$G$10:$G$303,0))</f>
        <v>1</v>
      </c>
    </row>
    <row r="913" spans="1:9" x14ac:dyDescent="0.25">
      <c r="A913" t="s">
        <v>97</v>
      </c>
      <c r="B913" t="s">
        <v>92</v>
      </c>
      <c r="C913" t="s">
        <v>97</v>
      </c>
      <c r="D913" t="s">
        <v>79</v>
      </c>
      <c r="E913" t="s">
        <v>91</v>
      </c>
      <c r="F913" s="6">
        <v>0.57291666666666663</v>
      </c>
      <c r="G913">
        <v>0</v>
      </c>
      <c r="H913" s="6">
        <f>FLOOR(tblPivotData[[#This Row],[Time]],Summary!$B$6/1440)</f>
        <v>0.57291666666666663</v>
      </c>
      <c r="I913" s="49">
        <f>INDEX(PeakCalc!$L$10:$L$303,MATCH(tblPivotData[[#This Row],[Time]],PeakCalc!$G$10:$G$303,0))</f>
        <v>1</v>
      </c>
    </row>
    <row r="914" spans="1:9" x14ac:dyDescent="0.25">
      <c r="A914" t="s">
        <v>97</v>
      </c>
      <c r="B914" t="s">
        <v>92</v>
      </c>
      <c r="C914" t="s">
        <v>97</v>
      </c>
      <c r="D914" t="s">
        <v>79</v>
      </c>
      <c r="E914" t="s">
        <v>44</v>
      </c>
      <c r="F914" s="6">
        <v>0.66666666666666663</v>
      </c>
      <c r="G914">
        <v>1</v>
      </c>
      <c r="H914" s="6">
        <f>FLOOR(tblPivotData[[#This Row],[Time]],Summary!$B$6/1440)</f>
        <v>0.66666666666666663</v>
      </c>
      <c r="I914" s="49">
        <f>INDEX(PeakCalc!$L$10:$L$303,MATCH(tblPivotData[[#This Row],[Time]],PeakCalc!$G$10:$G$303,0))</f>
        <v>0</v>
      </c>
    </row>
    <row r="915" spans="1:9" x14ac:dyDescent="0.25">
      <c r="A915" t="s">
        <v>97</v>
      </c>
      <c r="B915" t="s">
        <v>92</v>
      </c>
      <c r="C915" t="s">
        <v>97</v>
      </c>
      <c r="D915" t="s">
        <v>79</v>
      </c>
      <c r="E915" t="s">
        <v>44</v>
      </c>
      <c r="F915" s="6">
        <v>0.67708333333333337</v>
      </c>
      <c r="G915">
        <v>1</v>
      </c>
      <c r="H915" s="6">
        <f>FLOOR(tblPivotData[[#This Row],[Time]],Summary!$B$6/1440)</f>
        <v>0.67708333333333326</v>
      </c>
      <c r="I915" s="49">
        <f>INDEX(PeakCalc!$L$10:$L$303,MATCH(tblPivotData[[#This Row],[Time]],PeakCalc!$G$10:$G$303,0))</f>
        <v>0</v>
      </c>
    </row>
    <row r="916" spans="1:9" x14ac:dyDescent="0.25">
      <c r="A916" t="s">
        <v>97</v>
      </c>
      <c r="B916" t="s">
        <v>92</v>
      </c>
      <c r="C916" t="s">
        <v>97</v>
      </c>
      <c r="D916" t="s">
        <v>79</v>
      </c>
      <c r="E916" t="s">
        <v>44</v>
      </c>
      <c r="F916" s="6">
        <v>0.6875</v>
      </c>
      <c r="G916">
        <v>0</v>
      </c>
      <c r="H916" s="6">
        <f>FLOOR(tblPivotData[[#This Row],[Time]],Summary!$B$6/1440)</f>
        <v>0.6875</v>
      </c>
      <c r="I916" s="49">
        <f>INDEX(PeakCalc!$L$10:$L$303,MATCH(tblPivotData[[#This Row],[Time]],PeakCalc!$G$10:$G$303,0))</f>
        <v>0</v>
      </c>
    </row>
    <row r="917" spans="1:9" x14ac:dyDescent="0.25">
      <c r="A917" t="s">
        <v>97</v>
      </c>
      <c r="B917" t="s">
        <v>92</v>
      </c>
      <c r="C917" t="s">
        <v>97</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97</v>
      </c>
      <c r="B918" t="s">
        <v>92</v>
      </c>
      <c r="C918" t="s">
        <v>97</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97</v>
      </c>
      <c r="B919" t="s">
        <v>92</v>
      </c>
      <c r="C919" t="s">
        <v>97</v>
      </c>
      <c r="D919" t="s">
        <v>79</v>
      </c>
      <c r="E919" t="s">
        <v>44</v>
      </c>
      <c r="F919" s="6">
        <v>0.71875</v>
      </c>
      <c r="G919">
        <v>0</v>
      </c>
      <c r="H919" s="6">
        <f>FLOOR(tblPivotData[[#This Row],[Time]],Summary!$B$6/1440)</f>
        <v>0.71875</v>
      </c>
      <c r="I919" s="49">
        <f>INDEX(PeakCalc!$L$10:$L$303,MATCH(tblPivotData[[#This Row],[Time]],PeakCalc!$G$10:$G$303,0))</f>
        <v>1</v>
      </c>
    </row>
    <row r="920" spans="1:9" x14ac:dyDescent="0.25">
      <c r="A920" t="s">
        <v>97</v>
      </c>
      <c r="B920" t="s">
        <v>92</v>
      </c>
      <c r="C920" t="s">
        <v>97</v>
      </c>
      <c r="D920" t="s">
        <v>79</v>
      </c>
      <c r="E920" t="s">
        <v>44</v>
      </c>
      <c r="F920" s="6">
        <v>0.72916666666666663</v>
      </c>
      <c r="G920">
        <v>0</v>
      </c>
      <c r="H920" s="6">
        <f>FLOOR(tblPivotData[[#This Row],[Time]],Summary!$B$6/1440)</f>
        <v>0.72916666666666663</v>
      </c>
      <c r="I920" s="49">
        <f>INDEX(PeakCalc!$L$10:$L$303,MATCH(tblPivotData[[#This Row],[Time]],PeakCalc!$G$10:$G$303,0))</f>
        <v>1</v>
      </c>
    </row>
    <row r="921" spans="1:9" x14ac:dyDescent="0.25">
      <c r="A921" t="s">
        <v>97</v>
      </c>
      <c r="B921" t="s">
        <v>92</v>
      </c>
      <c r="C921" t="s">
        <v>97</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97</v>
      </c>
      <c r="B922" t="s">
        <v>92</v>
      </c>
      <c r="C922" t="s">
        <v>97</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97</v>
      </c>
      <c r="B923" t="s">
        <v>92</v>
      </c>
      <c r="C923" t="s">
        <v>97</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97</v>
      </c>
      <c r="B924" t="s">
        <v>92</v>
      </c>
      <c r="C924" t="s">
        <v>97</v>
      </c>
      <c r="D924" t="s">
        <v>89</v>
      </c>
      <c r="E924" t="s">
        <v>43</v>
      </c>
      <c r="F924" s="6">
        <v>0.3125</v>
      </c>
      <c r="G924">
        <v>0</v>
      </c>
      <c r="H924" s="6">
        <f>FLOOR(tblPivotData[[#This Row],[Time]],Summary!$B$6/1440)</f>
        <v>0.3125</v>
      </c>
      <c r="I924" s="49">
        <f>INDEX(PeakCalc!$L$10:$L$303,MATCH(tblPivotData[[#This Row],[Time]],PeakCalc!$G$10:$G$303,0))</f>
        <v>0</v>
      </c>
    </row>
    <row r="925" spans="1:9" x14ac:dyDescent="0.25">
      <c r="A925" t="s">
        <v>97</v>
      </c>
      <c r="B925" t="s">
        <v>92</v>
      </c>
      <c r="C925" t="s">
        <v>97</v>
      </c>
      <c r="D925" t="s">
        <v>89</v>
      </c>
      <c r="E925" t="s">
        <v>43</v>
      </c>
      <c r="F925" s="6">
        <v>0.32291666666666669</v>
      </c>
      <c r="G925">
        <v>0</v>
      </c>
      <c r="H925" s="6">
        <f>FLOOR(tblPivotData[[#This Row],[Time]],Summary!$B$6/1440)</f>
        <v>0.32291666666666663</v>
      </c>
      <c r="I925" s="49">
        <f>INDEX(PeakCalc!$L$10:$L$303,MATCH(tblPivotData[[#This Row],[Time]],PeakCalc!$G$10:$G$303,0))</f>
        <v>0</v>
      </c>
    </row>
    <row r="926" spans="1:9" x14ac:dyDescent="0.25">
      <c r="A926" t="s">
        <v>97</v>
      </c>
      <c r="B926" t="s">
        <v>92</v>
      </c>
      <c r="C926" t="s">
        <v>97</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97</v>
      </c>
      <c r="B927" t="s">
        <v>92</v>
      </c>
      <c r="C927" t="s">
        <v>97</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97</v>
      </c>
      <c r="B928" t="s">
        <v>92</v>
      </c>
      <c r="C928" t="s">
        <v>97</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97</v>
      </c>
      <c r="B929" t="s">
        <v>92</v>
      </c>
      <c r="C929" t="s">
        <v>97</v>
      </c>
      <c r="D929" t="s">
        <v>89</v>
      </c>
      <c r="E929" t="s">
        <v>43</v>
      </c>
      <c r="F929" s="6">
        <v>0.36458333333333331</v>
      </c>
      <c r="G929">
        <v>0</v>
      </c>
      <c r="H929" s="6">
        <f>FLOOR(tblPivotData[[#This Row],[Time]],Summary!$B$6/1440)</f>
        <v>0.36458333333333331</v>
      </c>
      <c r="I929" s="49">
        <f>INDEX(PeakCalc!$L$10:$L$303,MATCH(tblPivotData[[#This Row],[Time]],PeakCalc!$G$10:$G$303,0))</f>
        <v>1</v>
      </c>
    </row>
    <row r="930" spans="1:9" x14ac:dyDescent="0.25">
      <c r="A930" t="s">
        <v>97</v>
      </c>
      <c r="B930" t="s">
        <v>92</v>
      </c>
      <c r="C930" t="s">
        <v>97</v>
      </c>
      <c r="D930" t="s">
        <v>89</v>
      </c>
      <c r="E930" t="s">
        <v>91</v>
      </c>
      <c r="F930" s="6">
        <v>0.54166666666666663</v>
      </c>
      <c r="G930">
        <v>0</v>
      </c>
      <c r="H930" s="6">
        <f>FLOOR(tblPivotData[[#This Row],[Time]],Summary!$B$6/1440)</f>
        <v>0.54166666666666663</v>
      </c>
      <c r="I930" s="49">
        <f>INDEX(PeakCalc!$L$10:$L$303,MATCH(tblPivotData[[#This Row],[Time]],PeakCalc!$G$10:$G$303,0))</f>
        <v>1</v>
      </c>
    </row>
    <row r="931" spans="1:9" x14ac:dyDescent="0.25">
      <c r="A931" t="s">
        <v>97</v>
      </c>
      <c r="B931" t="s">
        <v>92</v>
      </c>
      <c r="C931" t="s">
        <v>97</v>
      </c>
      <c r="D931" t="s">
        <v>89</v>
      </c>
      <c r="E931" t="s">
        <v>91</v>
      </c>
      <c r="F931" s="6">
        <v>0.55208333333333337</v>
      </c>
      <c r="G931">
        <v>0</v>
      </c>
      <c r="H931" s="6">
        <f>FLOOR(tblPivotData[[#This Row],[Time]],Summary!$B$6/1440)</f>
        <v>0.55208333333333326</v>
      </c>
      <c r="I931" s="49">
        <f>INDEX(PeakCalc!$L$10:$L$303,MATCH(tblPivotData[[#This Row],[Time]],PeakCalc!$G$10:$G$303,0))</f>
        <v>1</v>
      </c>
    </row>
    <row r="932" spans="1:9" x14ac:dyDescent="0.25">
      <c r="A932" t="s">
        <v>97</v>
      </c>
      <c r="B932" t="s">
        <v>92</v>
      </c>
      <c r="C932" t="s">
        <v>97</v>
      </c>
      <c r="D932" t="s">
        <v>89</v>
      </c>
      <c r="E932" t="s">
        <v>91</v>
      </c>
      <c r="F932" s="6">
        <v>0.5625</v>
      </c>
      <c r="G932">
        <v>0</v>
      </c>
      <c r="H932" s="6">
        <f>FLOOR(tblPivotData[[#This Row],[Time]],Summary!$B$6/1440)</f>
        <v>0.5625</v>
      </c>
      <c r="I932" s="49">
        <f>INDEX(PeakCalc!$L$10:$L$303,MATCH(tblPivotData[[#This Row],[Time]],PeakCalc!$G$10:$G$303,0))</f>
        <v>1</v>
      </c>
    </row>
    <row r="933" spans="1:9" x14ac:dyDescent="0.25">
      <c r="A933" t="s">
        <v>97</v>
      </c>
      <c r="B933" t="s">
        <v>92</v>
      </c>
      <c r="C933" t="s">
        <v>97</v>
      </c>
      <c r="D933" t="s">
        <v>89</v>
      </c>
      <c r="E933" t="s">
        <v>91</v>
      </c>
      <c r="F933" s="6">
        <v>0.57291666666666663</v>
      </c>
      <c r="G933">
        <v>0</v>
      </c>
      <c r="H933" s="6">
        <f>FLOOR(tblPivotData[[#This Row],[Time]],Summary!$B$6/1440)</f>
        <v>0.57291666666666663</v>
      </c>
      <c r="I933" s="49">
        <f>INDEX(PeakCalc!$L$10:$L$303,MATCH(tblPivotData[[#This Row],[Time]],PeakCalc!$G$10:$G$303,0))</f>
        <v>1</v>
      </c>
    </row>
    <row r="934" spans="1:9" x14ac:dyDescent="0.25">
      <c r="A934" t="s">
        <v>97</v>
      </c>
      <c r="B934" t="s">
        <v>92</v>
      </c>
      <c r="C934" t="s">
        <v>97</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97</v>
      </c>
      <c r="B935" t="s">
        <v>92</v>
      </c>
      <c r="C935" t="s">
        <v>97</v>
      </c>
      <c r="D935" t="s">
        <v>89</v>
      </c>
      <c r="E935" t="s">
        <v>44</v>
      </c>
      <c r="F935" s="6">
        <v>0.67708333333333337</v>
      </c>
      <c r="G935">
        <v>0</v>
      </c>
      <c r="H935" s="6">
        <f>FLOOR(tblPivotData[[#This Row],[Time]],Summary!$B$6/1440)</f>
        <v>0.67708333333333326</v>
      </c>
      <c r="I935" s="49">
        <f>INDEX(PeakCalc!$L$10:$L$303,MATCH(tblPivotData[[#This Row],[Time]],PeakCalc!$G$10:$G$303,0))</f>
        <v>0</v>
      </c>
    </row>
    <row r="936" spans="1:9" x14ac:dyDescent="0.25">
      <c r="A936" t="s">
        <v>97</v>
      </c>
      <c r="B936" t="s">
        <v>92</v>
      </c>
      <c r="C936" t="s">
        <v>97</v>
      </c>
      <c r="D936" t="s">
        <v>89</v>
      </c>
      <c r="E936" t="s">
        <v>44</v>
      </c>
      <c r="F936" s="6">
        <v>0.6875</v>
      </c>
      <c r="G936">
        <v>0</v>
      </c>
      <c r="H936" s="6">
        <f>FLOOR(tblPivotData[[#This Row],[Time]],Summary!$B$6/1440)</f>
        <v>0.6875</v>
      </c>
      <c r="I936" s="49">
        <f>INDEX(PeakCalc!$L$10:$L$303,MATCH(tblPivotData[[#This Row],[Time]],PeakCalc!$G$10:$G$303,0))</f>
        <v>0</v>
      </c>
    </row>
    <row r="937" spans="1:9" x14ac:dyDescent="0.25">
      <c r="A937" t="s">
        <v>97</v>
      </c>
      <c r="B937" t="s">
        <v>92</v>
      </c>
      <c r="C937" t="s">
        <v>97</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97</v>
      </c>
      <c r="B938" t="s">
        <v>92</v>
      </c>
      <c r="C938" t="s">
        <v>97</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97</v>
      </c>
      <c r="B939" t="s">
        <v>92</v>
      </c>
      <c r="C939" t="s">
        <v>97</v>
      </c>
      <c r="D939" t="s">
        <v>89</v>
      </c>
      <c r="E939" t="s">
        <v>44</v>
      </c>
      <c r="F939" s="6">
        <v>0.71875</v>
      </c>
      <c r="G939">
        <v>0</v>
      </c>
      <c r="H939" s="6">
        <f>FLOOR(tblPivotData[[#This Row],[Time]],Summary!$B$6/1440)</f>
        <v>0.71875</v>
      </c>
      <c r="I939" s="49">
        <f>INDEX(PeakCalc!$L$10:$L$303,MATCH(tblPivotData[[#This Row],[Time]],PeakCalc!$G$10:$G$303,0))</f>
        <v>1</v>
      </c>
    </row>
    <row r="940" spans="1:9" x14ac:dyDescent="0.25">
      <c r="A940" t="s">
        <v>97</v>
      </c>
      <c r="B940" t="s">
        <v>92</v>
      </c>
      <c r="C940" t="s">
        <v>97</v>
      </c>
      <c r="D940" t="s">
        <v>89</v>
      </c>
      <c r="E940" t="s">
        <v>44</v>
      </c>
      <c r="F940" s="6">
        <v>0.72916666666666663</v>
      </c>
      <c r="G940">
        <v>0</v>
      </c>
      <c r="H940" s="6">
        <f>FLOOR(tblPivotData[[#This Row],[Time]],Summary!$B$6/1440)</f>
        <v>0.72916666666666663</v>
      </c>
      <c r="I940" s="49">
        <f>INDEX(PeakCalc!$L$10:$L$303,MATCH(tblPivotData[[#This Row],[Time]],PeakCalc!$G$10:$G$303,0))</f>
        <v>1</v>
      </c>
    </row>
    <row r="941" spans="1:9" x14ac:dyDescent="0.25">
      <c r="A941" t="s">
        <v>97</v>
      </c>
      <c r="B941" t="s">
        <v>92</v>
      </c>
      <c r="C941" t="s">
        <v>97</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97</v>
      </c>
      <c r="B942" t="s">
        <v>92</v>
      </c>
      <c r="C942" t="s">
        <v>97</v>
      </c>
      <c r="D942" t="s">
        <v>90</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97</v>
      </c>
      <c r="B943" t="s">
        <v>92</v>
      </c>
      <c r="C943" t="s">
        <v>97</v>
      </c>
      <c r="D943" t="s">
        <v>90</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97</v>
      </c>
      <c r="B944" t="s">
        <v>92</v>
      </c>
      <c r="C944" t="s">
        <v>97</v>
      </c>
      <c r="D944" t="s">
        <v>90</v>
      </c>
      <c r="E944" t="s">
        <v>43</v>
      </c>
      <c r="F944" s="6">
        <v>0.3125</v>
      </c>
      <c r="G944">
        <v>0</v>
      </c>
      <c r="H944" s="6">
        <f>FLOOR(tblPivotData[[#This Row],[Time]],Summary!$B$6/1440)</f>
        <v>0.3125</v>
      </c>
      <c r="I944" s="49">
        <f>INDEX(PeakCalc!$L$10:$L$303,MATCH(tblPivotData[[#This Row],[Time]],PeakCalc!$G$10:$G$303,0))</f>
        <v>0</v>
      </c>
    </row>
    <row r="945" spans="1:9" x14ac:dyDescent="0.25">
      <c r="A945" t="s">
        <v>97</v>
      </c>
      <c r="B945" t="s">
        <v>92</v>
      </c>
      <c r="C945" t="s">
        <v>97</v>
      </c>
      <c r="D945" t="s">
        <v>90</v>
      </c>
      <c r="E945" t="s">
        <v>43</v>
      </c>
      <c r="F945" s="6">
        <v>0.32291666666666669</v>
      </c>
      <c r="G945">
        <v>0</v>
      </c>
      <c r="H945" s="6">
        <f>FLOOR(tblPivotData[[#This Row],[Time]],Summary!$B$6/1440)</f>
        <v>0.32291666666666663</v>
      </c>
      <c r="I945" s="49">
        <f>INDEX(PeakCalc!$L$10:$L$303,MATCH(tblPivotData[[#This Row],[Time]],PeakCalc!$G$10:$G$303,0))</f>
        <v>0</v>
      </c>
    </row>
    <row r="946" spans="1:9" x14ac:dyDescent="0.25">
      <c r="A946" t="s">
        <v>97</v>
      </c>
      <c r="B946" t="s">
        <v>92</v>
      </c>
      <c r="C946" t="s">
        <v>97</v>
      </c>
      <c r="D946" t="s">
        <v>90</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97</v>
      </c>
      <c r="B947" t="s">
        <v>92</v>
      </c>
      <c r="C947" t="s">
        <v>97</v>
      </c>
      <c r="D947" t="s">
        <v>90</v>
      </c>
      <c r="E947" t="s">
        <v>43</v>
      </c>
      <c r="F947" s="6">
        <v>0.34375</v>
      </c>
      <c r="G947">
        <v>0</v>
      </c>
      <c r="H947" s="6">
        <f>FLOOR(tblPivotData[[#This Row],[Time]],Summary!$B$6/1440)</f>
        <v>0.34375</v>
      </c>
      <c r="I947" s="49">
        <f>INDEX(PeakCalc!$L$10:$L$303,MATCH(tblPivotData[[#This Row],[Time]],PeakCalc!$G$10:$G$303,0))</f>
        <v>1</v>
      </c>
    </row>
    <row r="948" spans="1:9" x14ac:dyDescent="0.25">
      <c r="A948" t="s">
        <v>97</v>
      </c>
      <c r="B948" t="s">
        <v>92</v>
      </c>
      <c r="C948" t="s">
        <v>97</v>
      </c>
      <c r="D948" t="s">
        <v>90</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97</v>
      </c>
      <c r="B949" t="s">
        <v>92</v>
      </c>
      <c r="C949" t="s">
        <v>97</v>
      </c>
      <c r="D949" t="s">
        <v>90</v>
      </c>
      <c r="E949" t="s">
        <v>43</v>
      </c>
      <c r="F949" s="6">
        <v>0.36458333333333331</v>
      </c>
      <c r="G949">
        <v>0</v>
      </c>
      <c r="H949" s="6">
        <f>FLOOR(tblPivotData[[#This Row],[Time]],Summary!$B$6/1440)</f>
        <v>0.36458333333333331</v>
      </c>
      <c r="I949" s="49">
        <f>INDEX(PeakCalc!$L$10:$L$303,MATCH(tblPivotData[[#This Row],[Time]],PeakCalc!$G$10:$G$303,0))</f>
        <v>1</v>
      </c>
    </row>
    <row r="950" spans="1:9" x14ac:dyDescent="0.25">
      <c r="A950" t="s">
        <v>97</v>
      </c>
      <c r="B950" t="s">
        <v>92</v>
      </c>
      <c r="C950" t="s">
        <v>97</v>
      </c>
      <c r="D950" t="s">
        <v>90</v>
      </c>
      <c r="E950" t="s">
        <v>91</v>
      </c>
      <c r="F950" s="6">
        <v>0.54166666666666663</v>
      </c>
      <c r="G950">
        <v>0</v>
      </c>
      <c r="H950" s="6">
        <f>FLOOR(tblPivotData[[#This Row],[Time]],Summary!$B$6/1440)</f>
        <v>0.54166666666666663</v>
      </c>
      <c r="I950" s="49">
        <f>INDEX(PeakCalc!$L$10:$L$303,MATCH(tblPivotData[[#This Row],[Time]],PeakCalc!$G$10:$G$303,0))</f>
        <v>1</v>
      </c>
    </row>
    <row r="951" spans="1:9" x14ac:dyDescent="0.25">
      <c r="A951" t="s">
        <v>97</v>
      </c>
      <c r="B951" t="s">
        <v>92</v>
      </c>
      <c r="C951" t="s">
        <v>97</v>
      </c>
      <c r="D951" t="s">
        <v>90</v>
      </c>
      <c r="E951" t="s">
        <v>91</v>
      </c>
      <c r="F951" s="6">
        <v>0.55208333333333337</v>
      </c>
      <c r="G951">
        <v>0</v>
      </c>
      <c r="H951" s="6">
        <f>FLOOR(tblPivotData[[#This Row],[Time]],Summary!$B$6/1440)</f>
        <v>0.55208333333333326</v>
      </c>
      <c r="I951" s="49">
        <f>INDEX(PeakCalc!$L$10:$L$303,MATCH(tblPivotData[[#This Row],[Time]],PeakCalc!$G$10:$G$303,0))</f>
        <v>1</v>
      </c>
    </row>
    <row r="952" spans="1:9" x14ac:dyDescent="0.25">
      <c r="A952" t="s">
        <v>97</v>
      </c>
      <c r="B952" t="s">
        <v>92</v>
      </c>
      <c r="C952" t="s">
        <v>97</v>
      </c>
      <c r="D952" t="s">
        <v>90</v>
      </c>
      <c r="E952" t="s">
        <v>91</v>
      </c>
      <c r="F952" s="6">
        <v>0.5625</v>
      </c>
      <c r="G952">
        <v>0</v>
      </c>
      <c r="H952" s="6">
        <f>FLOOR(tblPivotData[[#This Row],[Time]],Summary!$B$6/1440)</f>
        <v>0.5625</v>
      </c>
      <c r="I952" s="49">
        <f>INDEX(PeakCalc!$L$10:$L$303,MATCH(tblPivotData[[#This Row],[Time]],PeakCalc!$G$10:$G$303,0))</f>
        <v>1</v>
      </c>
    </row>
    <row r="953" spans="1:9" x14ac:dyDescent="0.25">
      <c r="A953" t="s">
        <v>97</v>
      </c>
      <c r="B953" t="s">
        <v>92</v>
      </c>
      <c r="C953" t="s">
        <v>97</v>
      </c>
      <c r="D953" t="s">
        <v>90</v>
      </c>
      <c r="E953" t="s">
        <v>91</v>
      </c>
      <c r="F953" s="6">
        <v>0.57291666666666663</v>
      </c>
      <c r="G953">
        <v>0</v>
      </c>
      <c r="H953" s="6">
        <f>FLOOR(tblPivotData[[#This Row],[Time]],Summary!$B$6/1440)</f>
        <v>0.57291666666666663</v>
      </c>
      <c r="I953" s="49">
        <f>INDEX(PeakCalc!$L$10:$L$303,MATCH(tblPivotData[[#This Row],[Time]],PeakCalc!$G$10:$G$303,0))</f>
        <v>1</v>
      </c>
    </row>
    <row r="954" spans="1:9" x14ac:dyDescent="0.25">
      <c r="A954" t="s">
        <v>97</v>
      </c>
      <c r="B954" t="s">
        <v>92</v>
      </c>
      <c r="C954" t="s">
        <v>97</v>
      </c>
      <c r="D954" t="s">
        <v>90</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97</v>
      </c>
      <c r="B955" t="s">
        <v>92</v>
      </c>
      <c r="C955" t="s">
        <v>97</v>
      </c>
      <c r="D955" t="s">
        <v>90</v>
      </c>
      <c r="E955" t="s">
        <v>44</v>
      </c>
      <c r="F955" s="6">
        <v>0.67708333333333337</v>
      </c>
      <c r="G955">
        <v>0</v>
      </c>
      <c r="H955" s="6">
        <f>FLOOR(tblPivotData[[#This Row],[Time]],Summary!$B$6/1440)</f>
        <v>0.67708333333333326</v>
      </c>
      <c r="I955" s="49">
        <f>INDEX(PeakCalc!$L$10:$L$303,MATCH(tblPivotData[[#This Row],[Time]],PeakCalc!$G$10:$G$303,0))</f>
        <v>0</v>
      </c>
    </row>
    <row r="956" spans="1:9" x14ac:dyDescent="0.25">
      <c r="A956" t="s">
        <v>97</v>
      </c>
      <c r="B956" t="s">
        <v>92</v>
      </c>
      <c r="C956" t="s">
        <v>97</v>
      </c>
      <c r="D956" t="s">
        <v>90</v>
      </c>
      <c r="E956" t="s">
        <v>44</v>
      </c>
      <c r="F956" s="6">
        <v>0.6875</v>
      </c>
      <c r="G956">
        <v>0</v>
      </c>
      <c r="H956" s="6">
        <f>FLOOR(tblPivotData[[#This Row],[Time]],Summary!$B$6/1440)</f>
        <v>0.6875</v>
      </c>
      <c r="I956" s="49">
        <f>INDEX(PeakCalc!$L$10:$L$303,MATCH(tblPivotData[[#This Row],[Time]],PeakCalc!$G$10:$G$303,0))</f>
        <v>0</v>
      </c>
    </row>
    <row r="957" spans="1:9" x14ac:dyDescent="0.25">
      <c r="A957" t="s">
        <v>97</v>
      </c>
      <c r="B957" t="s">
        <v>92</v>
      </c>
      <c r="C957" t="s">
        <v>97</v>
      </c>
      <c r="D957" t="s">
        <v>90</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97</v>
      </c>
      <c r="B958" t="s">
        <v>92</v>
      </c>
      <c r="C958" t="s">
        <v>97</v>
      </c>
      <c r="D958" t="s">
        <v>90</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97</v>
      </c>
      <c r="B959" t="s">
        <v>92</v>
      </c>
      <c r="C959" t="s">
        <v>97</v>
      </c>
      <c r="D959" t="s">
        <v>90</v>
      </c>
      <c r="E959" t="s">
        <v>44</v>
      </c>
      <c r="F959" s="6">
        <v>0.71875</v>
      </c>
      <c r="G959">
        <v>0</v>
      </c>
      <c r="H959" s="6">
        <f>FLOOR(tblPivotData[[#This Row],[Time]],Summary!$B$6/1440)</f>
        <v>0.71875</v>
      </c>
      <c r="I959" s="49">
        <f>INDEX(PeakCalc!$L$10:$L$303,MATCH(tblPivotData[[#This Row],[Time]],PeakCalc!$G$10:$G$303,0))</f>
        <v>1</v>
      </c>
    </row>
    <row r="960" spans="1:9" x14ac:dyDescent="0.25">
      <c r="A960" t="s">
        <v>97</v>
      </c>
      <c r="B960" t="s">
        <v>92</v>
      </c>
      <c r="C960" t="s">
        <v>97</v>
      </c>
      <c r="D960" t="s">
        <v>90</v>
      </c>
      <c r="E960" t="s">
        <v>44</v>
      </c>
      <c r="F960" s="6">
        <v>0.72916666666666663</v>
      </c>
      <c r="G960">
        <v>0</v>
      </c>
      <c r="H960" s="6">
        <f>FLOOR(tblPivotData[[#This Row],[Time]],Summary!$B$6/1440)</f>
        <v>0.72916666666666663</v>
      </c>
      <c r="I960" s="49">
        <f>INDEX(PeakCalc!$L$10:$L$303,MATCH(tblPivotData[[#This Row],[Time]],PeakCalc!$G$10:$G$303,0))</f>
        <v>1</v>
      </c>
    </row>
    <row r="961" spans="1:9" x14ac:dyDescent="0.25">
      <c r="A961" t="s">
        <v>97</v>
      </c>
      <c r="B961" t="s">
        <v>92</v>
      </c>
      <c r="C961" t="s">
        <v>97</v>
      </c>
      <c r="D961" t="s">
        <v>90</v>
      </c>
      <c r="E961" t="s">
        <v>44</v>
      </c>
      <c r="F961" s="6">
        <v>0.73958333333333337</v>
      </c>
      <c r="G961">
        <v>0</v>
      </c>
      <c r="H961" s="6">
        <f>FLOOR(tblPivotData[[#This Row],[Time]],Summary!$B$6/1440)</f>
        <v>0.73958333333333326</v>
      </c>
      <c r="I961" s="49">
        <f>INDEX(PeakCalc!$L$10:$L$303,MATCH(tblPivotData[[#This Row],[Time]],PeakCalc!$G$10:$G$303,0))</f>
        <v>0</v>
      </c>
    </row>
    <row r="962" spans="1:9" x14ac:dyDescent="0.25">
      <c r="A962" t="s">
        <v>98</v>
      </c>
      <c r="B962" t="s">
        <v>111</v>
      </c>
      <c r="C962" t="s">
        <v>94</v>
      </c>
      <c r="D962" t="s">
        <v>79</v>
      </c>
      <c r="E962" t="s">
        <v>43</v>
      </c>
      <c r="F962" s="6">
        <v>0.29166666666666669</v>
      </c>
      <c r="G962">
        <v>1</v>
      </c>
      <c r="H962" s="6">
        <f>FLOOR(tblPivotData[[#This Row],[Time]],Summary!$B$6/1440)</f>
        <v>0.29166666666666663</v>
      </c>
      <c r="I962" s="49">
        <f>INDEX(PeakCalc!$L$10:$L$303,MATCH(tblPivotData[[#This Row],[Time]],PeakCalc!$G$10:$G$303,0))</f>
        <v>0</v>
      </c>
    </row>
    <row r="963" spans="1:9" x14ac:dyDescent="0.25">
      <c r="A963" t="s">
        <v>98</v>
      </c>
      <c r="B963" t="s">
        <v>111</v>
      </c>
      <c r="C963" t="s">
        <v>94</v>
      </c>
      <c r="D963" t="s">
        <v>79</v>
      </c>
      <c r="E963" t="s">
        <v>43</v>
      </c>
      <c r="F963" s="6">
        <v>0.30208333333333331</v>
      </c>
      <c r="G963">
        <v>2</v>
      </c>
      <c r="H963" s="6">
        <f>FLOOR(tblPivotData[[#This Row],[Time]],Summary!$B$6/1440)</f>
        <v>0.30208333333333331</v>
      </c>
      <c r="I963" s="49">
        <f>INDEX(PeakCalc!$L$10:$L$303,MATCH(tblPivotData[[#This Row],[Time]],PeakCalc!$G$10:$G$303,0))</f>
        <v>0</v>
      </c>
    </row>
    <row r="964" spans="1:9" x14ac:dyDescent="0.25">
      <c r="A964" t="s">
        <v>98</v>
      </c>
      <c r="B964" t="s">
        <v>111</v>
      </c>
      <c r="C964" t="s">
        <v>94</v>
      </c>
      <c r="D964" t="s">
        <v>79</v>
      </c>
      <c r="E964" t="s">
        <v>43</v>
      </c>
      <c r="F964" s="6">
        <v>0.3125</v>
      </c>
      <c r="G964">
        <v>3</v>
      </c>
      <c r="H964" s="6">
        <f>FLOOR(tblPivotData[[#This Row],[Time]],Summary!$B$6/1440)</f>
        <v>0.3125</v>
      </c>
      <c r="I964" s="49">
        <f>INDEX(PeakCalc!$L$10:$L$303,MATCH(tblPivotData[[#This Row],[Time]],PeakCalc!$G$10:$G$303,0))</f>
        <v>0</v>
      </c>
    </row>
    <row r="965" spans="1:9" x14ac:dyDescent="0.25">
      <c r="A965" t="s">
        <v>98</v>
      </c>
      <c r="B965" t="s">
        <v>111</v>
      </c>
      <c r="C965" t="s">
        <v>94</v>
      </c>
      <c r="D965" t="s">
        <v>79</v>
      </c>
      <c r="E965" t="s">
        <v>43</v>
      </c>
      <c r="F965" s="6">
        <v>0.32291666666666669</v>
      </c>
      <c r="G965">
        <v>6</v>
      </c>
      <c r="H965" s="6">
        <f>FLOOR(tblPivotData[[#This Row],[Time]],Summary!$B$6/1440)</f>
        <v>0.32291666666666663</v>
      </c>
      <c r="I965" s="49">
        <f>INDEX(PeakCalc!$L$10:$L$303,MATCH(tblPivotData[[#This Row],[Time]],PeakCalc!$G$10:$G$303,0))</f>
        <v>0</v>
      </c>
    </row>
    <row r="966" spans="1:9" x14ac:dyDescent="0.25">
      <c r="A966" t="s">
        <v>98</v>
      </c>
      <c r="B966" t="s">
        <v>111</v>
      </c>
      <c r="C966" t="s">
        <v>94</v>
      </c>
      <c r="D966" t="s">
        <v>79</v>
      </c>
      <c r="E966" t="s">
        <v>43</v>
      </c>
      <c r="F966" s="6">
        <v>0.33333333333333331</v>
      </c>
      <c r="G966">
        <v>3</v>
      </c>
      <c r="H966" s="6">
        <f>FLOOR(tblPivotData[[#This Row],[Time]],Summary!$B$6/1440)</f>
        <v>0.33333333333333331</v>
      </c>
      <c r="I966" s="49">
        <f>INDEX(PeakCalc!$L$10:$L$303,MATCH(tblPivotData[[#This Row],[Time]],PeakCalc!$G$10:$G$303,0))</f>
        <v>1</v>
      </c>
    </row>
    <row r="967" spans="1:9" x14ac:dyDescent="0.25">
      <c r="A967" t="s">
        <v>98</v>
      </c>
      <c r="B967" t="s">
        <v>111</v>
      </c>
      <c r="C967" t="s">
        <v>94</v>
      </c>
      <c r="D967" t="s">
        <v>79</v>
      </c>
      <c r="E967" t="s">
        <v>43</v>
      </c>
      <c r="F967" s="6">
        <v>0.34375</v>
      </c>
      <c r="G967">
        <v>11</v>
      </c>
      <c r="H967" s="6">
        <f>FLOOR(tblPivotData[[#This Row],[Time]],Summary!$B$6/1440)</f>
        <v>0.34375</v>
      </c>
      <c r="I967" s="49">
        <f>INDEX(PeakCalc!$L$10:$L$303,MATCH(tblPivotData[[#This Row],[Time]],PeakCalc!$G$10:$G$303,0))</f>
        <v>1</v>
      </c>
    </row>
    <row r="968" spans="1:9" x14ac:dyDescent="0.25">
      <c r="A968" t="s">
        <v>98</v>
      </c>
      <c r="B968" t="s">
        <v>111</v>
      </c>
      <c r="C968" t="s">
        <v>94</v>
      </c>
      <c r="D968" t="s">
        <v>79</v>
      </c>
      <c r="E968" t="s">
        <v>43</v>
      </c>
      <c r="F968" s="6">
        <v>0.35416666666666669</v>
      </c>
      <c r="G968">
        <v>9</v>
      </c>
      <c r="H968" s="6">
        <f>FLOOR(tblPivotData[[#This Row],[Time]],Summary!$B$6/1440)</f>
        <v>0.35416666666666663</v>
      </c>
      <c r="I968" s="49">
        <f>INDEX(PeakCalc!$L$10:$L$303,MATCH(tblPivotData[[#This Row],[Time]],PeakCalc!$G$10:$G$303,0))</f>
        <v>1</v>
      </c>
    </row>
    <row r="969" spans="1:9" x14ac:dyDescent="0.25">
      <c r="A969" t="s">
        <v>98</v>
      </c>
      <c r="B969" t="s">
        <v>111</v>
      </c>
      <c r="C969" t="s">
        <v>94</v>
      </c>
      <c r="D969" t="s">
        <v>79</v>
      </c>
      <c r="E969" t="s">
        <v>43</v>
      </c>
      <c r="F969" s="6">
        <v>0.36458333333333331</v>
      </c>
      <c r="G969">
        <v>7</v>
      </c>
      <c r="H969" s="6">
        <f>FLOOR(tblPivotData[[#This Row],[Time]],Summary!$B$6/1440)</f>
        <v>0.36458333333333331</v>
      </c>
      <c r="I969" s="49">
        <f>INDEX(PeakCalc!$L$10:$L$303,MATCH(tblPivotData[[#This Row],[Time]],PeakCalc!$G$10:$G$303,0))</f>
        <v>1</v>
      </c>
    </row>
    <row r="970" spans="1:9" x14ac:dyDescent="0.25">
      <c r="A970" t="s">
        <v>98</v>
      </c>
      <c r="B970" t="s">
        <v>111</v>
      </c>
      <c r="C970" t="s">
        <v>94</v>
      </c>
      <c r="D970" t="s">
        <v>79</v>
      </c>
      <c r="E970" t="s">
        <v>91</v>
      </c>
      <c r="F970" s="6">
        <v>0.54166666666666663</v>
      </c>
      <c r="G970">
        <v>8</v>
      </c>
      <c r="H970" s="6">
        <f>FLOOR(tblPivotData[[#This Row],[Time]],Summary!$B$6/1440)</f>
        <v>0.54166666666666663</v>
      </c>
      <c r="I970" s="49">
        <f>INDEX(PeakCalc!$L$10:$L$303,MATCH(tblPivotData[[#This Row],[Time]],PeakCalc!$G$10:$G$303,0))</f>
        <v>1</v>
      </c>
    </row>
    <row r="971" spans="1:9" x14ac:dyDescent="0.25">
      <c r="A971" t="s">
        <v>98</v>
      </c>
      <c r="B971" t="s">
        <v>111</v>
      </c>
      <c r="C971" t="s">
        <v>94</v>
      </c>
      <c r="D971" t="s">
        <v>79</v>
      </c>
      <c r="E971" t="s">
        <v>91</v>
      </c>
      <c r="F971" s="6">
        <v>0.55208333333333337</v>
      </c>
      <c r="G971">
        <v>11</v>
      </c>
      <c r="H971" s="6">
        <f>FLOOR(tblPivotData[[#This Row],[Time]],Summary!$B$6/1440)</f>
        <v>0.55208333333333326</v>
      </c>
      <c r="I971" s="49">
        <f>INDEX(PeakCalc!$L$10:$L$303,MATCH(tblPivotData[[#This Row],[Time]],PeakCalc!$G$10:$G$303,0))</f>
        <v>1</v>
      </c>
    </row>
    <row r="972" spans="1:9" x14ac:dyDescent="0.25">
      <c r="A972" t="s">
        <v>98</v>
      </c>
      <c r="B972" t="s">
        <v>111</v>
      </c>
      <c r="C972" t="s">
        <v>94</v>
      </c>
      <c r="D972" t="s">
        <v>79</v>
      </c>
      <c r="E972" t="s">
        <v>91</v>
      </c>
      <c r="F972" s="6">
        <v>0.5625</v>
      </c>
      <c r="G972">
        <v>5</v>
      </c>
      <c r="H972" s="6">
        <f>FLOOR(tblPivotData[[#This Row],[Time]],Summary!$B$6/1440)</f>
        <v>0.5625</v>
      </c>
      <c r="I972" s="49">
        <f>INDEX(PeakCalc!$L$10:$L$303,MATCH(tblPivotData[[#This Row],[Time]],PeakCalc!$G$10:$G$303,0))</f>
        <v>1</v>
      </c>
    </row>
    <row r="973" spans="1:9" x14ac:dyDescent="0.25">
      <c r="A973" t="s">
        <v>98</v>
      </c>
      <c r="B973" t="s">
        <v>111</v>
      </c>
      <c r="C973" t="s">
        <v>94</v>
      </c>
      <c r="D973" t="s">
        <v>79</v>
      </c>
      <c r="E973" t="s">
        <v>91</v>
      </c>
      <c r="F973" s="6">
        <v>0.57291666666666663</v>
      </c>
      <c r="G973">
        <v>7</v>
      </c>
      <c r="H973" s="6">
        <f>FLOOR(tblPivotData[[#This Row],[Time]],Summary!$B$6/1440)</f>
        <v>0.57291666666666663</v>
      </c>
      <c r="I973" s="49">
        <f>INDEX(PeakCalc!$L$10:$L$303,MATCH(tblPivotData[[#This Row],[Time]],PeakCalc!$G$10:$G$303,0))</f>
        <v>1</v>
      </c>
    </row>
    <row r="974" spans="1:9" x14ac:dyDescent="0.25">
      <c r="A974" t="s">
        <v>98</v>
      </c>
      <c r="B974" t="s">
        <v>111</v>
      </c>
      <c r="C974" t="s">
        <v>94</v>
      </c>
      <c r="D974" t="s">
        <v>79</v>
      </c>
      <c r="E974" t="s">
        <v>44</v>
      </c>
      <c r="F974" s="6">
        <v>0.66666666666666663</v>
      </c>
      <c r="G974">
        <v>26</v>
      </c>
      <c r="H974" s="6">
        <f>FLOOR(tblPivotData[[#This Row],[Time]],Summary!$B$6/1440)</f>
        <v>0.66666666666666663</v>
      </c>
      <c r="I974" s="49">
        <f>INDEX(PeakCalc!$L$10:$L$303,MATCH(tblPivotData[[#This Row],[Time]],PeakCalc!$G$10:$G$303,0))</f>
        <v>0</v>
      </c>
    </row>
    <row r="975" spans="1:9" x14ac:dyDescent="0.25">
      <c r="A975" t="s">
        <v>98</v>
      </c>
      <c r="B975" t="s">
        <v>111</v>
      </c>
      <c r="C975" t="s">
        <v>94</v>
      </c>
      <c r="D975" t="s">
        <v>79</v>
      </c>
      <c r="E975" t="s">
        <v>44</v>
      </c>
      <c r="F975" s="6">
        <v>0.67708333333333337</v>
      </c>
      <c r="G975">
        <v>14</v>
      </c>
      <c r="H975" s="6">
        <f>FLOOR(tblPivotData[[#This Row],[Time]],Summary!$B$6/1440)</f>
        <v>0.67708333333333326</v>
      </c>
      <c r="I975" s="49">
        <f>INDEX(PeakCalc!$L$10:$L$303,MATCH(tblPivotData[[#This Row],[Time]],PeakCalc!$G$10:$G$303,0))</f>
        <v>0</v>
      </c>
    </row>
    <row r="976" spans="1:9" x14ac:dyDescent="0.25">
      <c r="A976" t="s">
        <v>98</v>
      </c>
      <c r="B976" t="s">
        <v>111</v>
      </c>
      <c r="C976" t="s">
        <v>94</v>
      </c>
      <c r="D976" t="s">
        <v>79</v>
      </c>
      <c r="E976" t="s">
        <v>44</v>
      </c>
      <c r="F976" s="6">
        <v>0.6875</v>
      </c>
      <c r="G976">
        <v>7</v>
      </c>
      <c r="H976" s="6">
        <f>FLOOR(tblPivotData[[#This Row],[Time]],Summary!$B$6/1440)</f>
        <v>0.6875</v>
      </c>
      <c r="I976" s="49">
        <f>INDEX(PeakCalc!$L$10:$L$303,MATCH(tblPivotData[[#This Row],[Time]],PeakCalc!$G$10:$G$303,0))</f>
        <v>0</v>
      </c>
    </row>
    <row r="977" spans="1:9" x14ac:dyDescent="0.25">
      <c r="A977" t="s">
        <v>98</v>
      </c>
      <c r="B977" t="s">
        <v>111</v>
      </c>
      <c r="C977" t="s">
        <v>94</v>
      </c>
      <c r="D977" t="s">
        <v>79</v>
      </c>
      <c r="E977" t="s">
        <v>44</v>
      </c>
      <c r="F977" s="6">
        <v>0.69791666666666663</v>
      </c>
      <c r="G977">
        <v>15</v>
      </c>
      <c r="H977" s="6">
        <f>FLOOR(tblPivotData[[#This Row],[Time]],Summary!$B$6/1440)</f>
        <v>0.69791666666666663</v>
      </c>
      <c r="I977" s="49">
        <f>INDEX(PeakCalc!$L$10:$L$303,MATCH(tblPivotData[[#This Row],[Time]],PeakCalc!$G$10:$G$303,0))</f>
        <v>1</v>
      </c>
    </row>
    <row r="978" spans="1:9" x14ac:dyDescent="0.25">
      <c r="A978" t="s">
        <v>98</v>
      </c>
      <c r="B978" t="s">
        <v>111</v>
      </c>
      <c r="C978" t="s">
        <v>94</v>
      </c>
      <c r="D978" t="s">
        <v>79</v>
      </c>
      <c r="E978" t="s">
        <v>44</v>
      </c>
      <c r="F978" s="6">
        <v>0.70833333333333337</v>
      </c>
      <c r="G978">
        <v>22</v>
      </c>
      <c r="H978" s="6">
        <f>FLOOR(tblPivotData[[#This Row],[Time]],Summary!$B$6/1440)</f>
        <v>0.70833333333333326</v>
      </c>
      <c r="I978" s="49">
        <f>INDEX(PeakCalc!$L$10:$L$303,MATCH(tblPivotData[[#This Row],[Time]],PeakCalc!$G$10:$G$303,0))</f>
        <v>1</v>
      </c>
    </row>
    <row r="979" spans="1:9" x14ac:dyDescent="0.25">
      <c r="A979" t="s">
        <v>98</v>
      </c>
      <c r="B979" t="s">
        <v>111</v>
      </c>
      <c r="C979" t="s">
        <v>94</v>
      </c>
      <c r="D979" t="s">
        <v>79</v>
      </c>
      <c r="E979" t="s">
        <v>44</v>
      </c>
      <c r="F979" s="6">
        <v>0.71875</v>
      </c>
      <c r="G979">
        <v>22</v>
      </c>
      <c r="H979" s="6">
        <f>FLOOR(tblPivotData[[#This Row],[Time]],Summary!$B$6/1440)</f>
        <v>0.71875</v>
      </c>
      <c r="I979" s="49">
        <f>INDEX(PeakCalc!$L$10:$L$303,MATCH(tblPivotData[[#This Row],[Time]],PeakCalc!$G$10:$G$303,0))</f>
        <v>1</v>
      </c>
    </row>
    <row r="980" spans="1:9" x14ac:dyDescent="0.25">
      <c r="A980" t="s">
        <v>98</v>
      </c>
      <c r="B980" t="s">
        <v>111</v>
      </c>
      <c r="C980" t="s">
        <v>94</v>
      </c>
      <c r="D980" t="s">
        <v>79</v>
      </c>
      <c r="E980" t="s">
        <v>44</v>
      </c>
      <c r="F980" s="6">
        <v>0.72916666666666663</v>
      </c>
      <c r="G980">
        <v>19</v>
      </c>
      <c r="H980" s="6">
        <f>FLOOR(tblPivotData[[#This Row],[Time]],Summary!$B$6/1440)</f>
        <v>0.72916666666666663</v>
      </c>
      <c r="I980" s="49">
        <f>INDEX(PeakCalc!$L$10:$L$303,MATCH(tblPivotData[[#This Row],[Time]],PeakCalc!$G$10:$G$303,0))</f>
        <v>1</v>
      </c>
    </row>
    <row r="981" spans="1:9" x14ac:dyDescent="0.25">
      <c r="A981" t="s">
        <v>98</v>
      </c>
      <c r="B981" t="s">
        <v>111</v>
      </c>
      <c r="C981" t="s">
        <v>94</v>
      </c>
      <c r="D981" t="s">
        <v>79</v>
      </c>
      <c r="E981" t="s">
        <v>44</v>
      </c>
      <c r="F981" s="6">
        <v>0.73958333333333337</v>
      </c>
      <c r="G981">
        <v>12</v>
      </c>
      <c r="H981" s="6">
        <f>FLOOR(tblPivotData[[#This Row],[Time]],Summary!$B$6/1440)</f>
        <v>0.73958333333333326</v>
      </c>
      <c r="I981" s="49">
        <f>INDEX(PeakCalc!$L$10:$L$303,MATCH(tblPivotData[[#This Row],[Time]],PeakCalc!$G$10:$G$303,0))</f>
        <v>0</v>
      </c>
    </row>
    <row r="982" spans="1:9" x14ac:dyDescent="0.25">
      <c r="A982" t="s">
        <v>98</v>
      </c>
      <c r="B982" t="s">
        <v>111</v>
      </c>
      <c r="C982" t="s">
        <v>94</v>
      </c>
      <c r="D982" t="s">
        <v>89</v>
      </c>
      <c r="E982" t="s">
        <v>43</v>
      </c>
      <c r="F982" s="6">
        <v>0.29166666666666669</v>
      </c>
      <c r="G982">
        <v>0</v>
      </c>
      <c r="H982" s="6">
        <f>FLOOR(tblPivotData[[#This Row],[Time]],Summary!$B$6/1440)</f>
        <v>0.29166666666666663</v>
      </c>
      <c r="I982" s="49">
        <f>INDEX(PeakCalc!$L$10:$L$303,MATCH(tblPivotData[[#This Row],[Time]],PeakCalc!$G$10:$G$303,0))</f>
        <v>0</v>
      </c>
    </row>
    <row r="983" spans="1:9" x14ac:dyDescent="0.25">
      <c r="A983" t="s">
        <v>98</v>
      </c>
      <c r="B983" t="s">
        <v>111</v>
      </c>
      <c r="C983" t="s">
        <v>94</v>
      </c>
      <c r="D983" t="s">
        <v>89</v>
      </c>
      <c r="E983" t="s">
        <v>43</v>
      </c>
      <c r="F983" s="6">
        <v>0.30208333333333331</v>
      </c>
      <c r="G983">
        <v>0</v>
      </c>
      <c r="H983" s="6">
        <f>FLOOR(tblPivotData[[#This Row],[Time]],Summary!$B$6/1440)</f>
        <v>0.30208333333333331</v>
      </c>
      <c r="I983" s="49">
        <f>INDEX(PeakCalc!$L$10:$L$303,MATCH(tblPivotData[[#This Row],[Time]],PeakCalc!$G$10:$G$303,0))</f>
        <v>0</v>
      </c>
    </row>
    <row r="984" spans="1:9" x14ac:dyDescent="0.25">
      <c r="A984" t="s">
        <v>98</v>
      </c>
      <c r="B984" t="s">
        <v>111</v>
      </c>
      <c r="C984" t="s">
        <v>94</v>
      </c>
      <c r="D984" t="s">
        <v>89</v>
      </c>
      <c r="E984" t="s">
        <v>43</v>
      </c>
      <c r="F984" s="6">
        <v>0.3125</v>
      </c>
      <c r="G984">
        <v>0</v>
      </c>
      <c r="H984" s="6">
        <f>FLOOR(tblPivotData[[#This Row],[Time]],Summary!$B$6/1440)</f>
        <v>0.3125</v>
      </c>
      <c r="I984" s="49">
        <f>INDEX(PeakCalc!$L$10:$L$303,MATCH(tblPivotData[[#This Row],[Time]],PeakCalc!$G$10:$G$303,0))</f>
        <v>0</v>
      </c>
    </row>
    <row r="985" spans="1:9" x14ac:dyDescent="0.25">
      <c r="A985" t="s">
        <v>98</v>
      </c>
      <c r="B985" t="s">
        <v>111</v>
      </c>
      <c r="C985" t="s">
        <v>94</v>
      </c>
      <c r="D985" t="s">
        <v>89</v>
      </c>
      <c r="E985" t="s">
        <v>43</v>
      </c>
      <c r="F985" s="6">
        <v>0.32291666666666669</v>
      </c>
      <c r="G985">
        <v>0</v>
      </c>
      <c r="H985" s="6">
        <f>FLOOR(tblPivotData[[#This Row],[Time]],Summary!$B$6/1440)</f>
        <v>0.32291666666666663</v>
      </c>
      <c r="I985" s="49">
        <f>INDEX(PeakCalc!$L$10:$L$303,MATCH(tblPivotData[[#This Row],[Time]],PeakCalc!$G$10:$G$303,0))</f>
        <v>0</v>
      </c>
    </row>
    <row r="986" spans="1:9" x14ac:dyDescent="0.25">
      <c r="A986" t="s">
        <v>98</v>
      </c>
      <c r="B986" t="s">
        <v>111</v>
      </c>
      <c r="C986" t="s">
        <v>94</v>
      </c>
      <c r="D986" t="s">
        <v>89</v>
      </c>
      <c r="E986" t="s">
        <v>43</v>
      </c>
      <c r="F986" s="6">
        <v>0.33333333333333331</v>
      </c>
      <c r="G986">
        <v>0</v>
      </c>
      <c r="H986" s="6">
        <f>FLOOR(tblPivotData[[#This Row],[Time]],Summary!$B$6/1440)</f>
        <v>0.33333333333333331</v>
      </c>
      <c r="I986" s="49">
        <f>INDEX(PeakCalc!$L$10:$L$303,MATCH(tblPivotData[[#This Row],[Time]],PeakCalc!$G$10:$G$303,0))</f>
        <v>1</v>
      </c>
    </row>
    <row r="987" spans="1:9" x14ac:dyDescent="0.25">
      <c r="A987" t="s">
        <v>98</v>
      </c>
      <c r="B987" t="s">
        <v>111</v>
      </c>
      <c r="C987" t="s">
        <v>94</v>
      </c>
      <c r="D987" t="s">
        <v>89</v>
      </c>
      <c r="E987" t="s">
        <v>43</v>
      </c>
      <c r="F987" s="6">
        <v>0.34375</v>
      </c>
      <c r="G987">
        <v>0</v>
      </c>
      <c r="H987" s="6">
        <f>FLOOR(tblPivotData[[#This Row],[Time]],Summary!$B$6/1440)</f>
        <v>0.34375</v>
      </c>
      <c r="I987" s="49">
        <f>INDEX(PeakCalc!$L$10:$L$303,MATCH(tblPivotData[[#This Row],[Time]],PeakCalc!$G$10:$G$303,0))</f>
        <v>1</v>
      </c>
    </row>
    <row r="988" spans="1:9" x14ac:dyDescent="0.25">
      <c r="A988" t="s">
        <v>98</v>
      </c>
      <c r="B988" t="s">
        <v>111</v>
      </c>
      <c r="C988" t="s">
        <v>94</v>
      </c>
      <c r="D988" t="s">
        <v>89</v>
      </c>
      <c r="E988" t="s">
        <v>43</v>
      </c>
      <c r="F988" s="6">
        <v>0.35416666666666669</v>
      </c>
      <c r="G988">
        <v>0</v>
      </c>
      <c r="H988" s="6">
        <f>FLOOR(tblPivotData[[#This Row],[Time]],Summary!$B$6/1440)</f>
        <v>0.35416666666666663</v>
      </c>
      <c r="I988" s="49">
        <f>INDEX(PeakCalc!$L$10:$L$303,MATCH(tblPivotData[[#This Row],[Time]],PeakCalc!$G$10:$G$303,0))</f>
        <v>1</v>
      </c>
    </row>
    <row r="989" spans="1:9" x14ac:dyDescent="0.25">
      <c r="A989" t="s">
        <v>98</v>
      </c>
      <c r="B989" t="s">
        <v>111</v>
      </c>
      <c r="C989" t="s">
        <v>94</v>
      </c>
      <c r="D989" t="s">
        <v>89</v>
      </c>
      <c r="E989" t="s">
        <v>43</v>
      </c>
      <c r="F989" s="6">
        <v>0.36458333333333331</v>
      </c>
      <c r="G989">
        <v>0</v>
      </c>
      <c r="H989" s="6">
        <f>FLOOR(tblPivotData[[#This Row],[Time]],Summary!$B$6/1440)</f>
        <v>0.36458333333333331</v>
      </c>
      <c r="I989" s="49">
        <f>INDEX(PeakCalc!$L$10:$L$303,MATCH(tblPivotData[[#This Row],[Time]],PeakCalc!$G$10:$G$303,0))</f>
        <v>1</v>
      </c>
    </row>
    <row r="990" spans="1:9" x14ac:dyDescent="0.25">
      <c r="A990" t="s">
        <v>98</v>
      </c>
      <c r="B990" t="s">
        <v>111</v>
      </c>
      <c r="C990" t="s">
        <v>94</v>
      </c>
      <c r="D990" t="s">
        <v>89</v>
      </c>
      <c r="E990" t="s">
        <v>91</v>
      </c>
      <c r="F990" s="6">
        <v>0.54166666666666663</v>
      </c>
      <c r="G990">
        <v>0</v>
      </c>
      <c r="H990" s="6">
        <f>FLOOR(tblPivotData[[#This Row],[Time]],Summary!$B$6/1440)</f>
        <v>0.54166666666666663</v>
      </c>
      <c r="I990" s="49">
        <f>INDEX(PeakCalc!$L$10:$L$303,MATCH(tblPivotData[[#This Row],[Time]],PeakCalc!$G$10:$G$303,0))</f>
        <v>1</v>
      </c>
    </row>
    <row r="991" spans="1:9" x14ac:dyDescent="0.25">
      <c r="A991" t="s">
        <v>98</v>
      </c>
      <c r="B991" t="s">
        <v>111</v>
      </c>
      <c r="C991" t="s">
        <v>94</v>
      </c>
      <c r="D991" t="s">
        <v>89</v>
      </c>
      <c r="E991" t="s">
        <v>91</v>
      </c>
      <c r="F991" s="6">
        <v>0.55208333333333337</v>
      </c>
      <c r="G991">
        <v>0</v>
      </c>
      <c r="H991" s="6">
        <f>FLOOR(tblPivotData[[#This Row],[Time]],Summary!$B$6/1440)</f>
        <v>0.55208333333333326</v>
      </c>
      <c r="I991" s="49">
        <f>INDEX(PeakCalc!$L$10:$L$303,MATCH(tblPivotData[[#This Row],[Time]],PeakCalc!$G$10:$G$303,0))</f>
        <v>1</v>
      </c>
    </row>
    <row r="992" spans="1:9" x14ac:dyDescent="0.25">
      <c r="A992" t="s">
        <v>98</v>
      </c>
      <c r="B992" t="s">
        <v>111</v>
      </c>
      <c r="C992" t="s">
        <v>94</v>
      </c>
      <c r="D992" t="s">
        <v>89</v>
      </c>
      <c r="E992" t="s">
        <v>91</v>
      </c>
      <c r="F992" s="6">
        <v>0.5625</v>
      </c>
      <c r="G992">
        <v>0</v>
      </c>
      <c r="H992" s="6">
        <f>FLOOR(tblPivotData[[#This Row],[Time]],Summary!$B$6/1440)</f>
        <v>0.5625</v>
      </c>
      <c r="I992" s="49">
        <f>INDEX(PeakCalc!$L$10:$L$303,MATCH(tblPivotData[[#This Row],[Time]],PeakCalc!$G$10:$G$303,0))</f>
        <v>1</v>
      </c>
    </row>
    <row r="993" spans="1:9" x14ac:dyDescent="0.25">
      <c r="A993" t="s">
        <v>98</v>
      </c>
      <c r="B993" t="s">
        <v>111</v>
      </c>
      <c r="C993" t="s">
        <v>94</v>
      </c>
      <c r="D993" t="s">
        <v>89</v>
      </c>
      <c r="E993" t="s">
        <v>91</v>
      </c>
      <c r="F993" s="6">
        <v>0.57291666666666663</v>
      </c>
      <c r="G993">
        <v>0</v>
      </c>
      <c r="H993" s="6">
        <f>FLOOR(tblPivotData[[#This Row],[Time]],Summary!$B$6/1440)</f>
        <v>0.57291666666666663</v>
      </c>
      <c r="I993" s="49">
        <f>INDEX(PeakCalc!$L$10:$L$303,MATCH(tblPivotData[[#This Row],[Time]],PeakCalc!$G$10:$G$303,0))</f>
        <v>1</v>
      </c>
    </row>
    <row r="994" spans="1:9" x14ac:dyDescent="0.25">
      <c r="A994" t="s">
        <v>98</v>
      </c>
      <c r="B994" t="s">
        <v>111</v>
      </c>
      <c r="C994" t="s">
        <v>94</v>
      </c>
      <c r="D994" t="s">
        <v>89</v>
      </c>
      <c r="E994" t="s">
        <v>44</v>
      </c>
      <c r="F994" s="6">
        <v>0.66666666666666663</v>
      </c>
      <c r="G994">
        <v>0</v>
      </c>
      <c r="H994" s="6">
        <f>FLOOR(tblPivotData[[#This Row],[Time]],Summary!$B$6/1440)</f>
        <v>0.66666666666666663</v>
      </c>
      <c r="I994" s="49">
        <f>INDEX(PeakCalc!$L$10:$L$303,MATCH(tblPivotData[[#This Row],[Time]],PeakCalc!$G$10:$G$303,0))</f>
        <v>0</v>
      </c>
    </row>
    <row r="995" spans="1:9" x14ac:dyDescent="0.25">
      <c r="A995" t="s">
        <v>98</v>
      </c>
      <c r="B995" t="s">
        <v>111</v>
      </c>
      <c r="C995" t="s">
        <v>94</v>
      </c>
      <c r="D995" t="s">
        <v>89</v>
      </c>
      <c r="E995" t="s">
        <v>44</v>
      </c>
      <c r="F995" s="6">
        <v>0.67708333333333337</v>
      </c>
      <c r="G995">
        <v>0</v>
      </c>
      <c r="H995" s="6">
        <f>FLOOR(tblPivotData[[#This Row],[Time]],Summary!$B$6/1440)</f>
        <v>0.67708333333333326</v>
      </c>
      <c r="I995" s="49">
        <f>INDEX(PeakCalc!$L$10:$L$303,MATCH(tblPivotData[[#This Row],[Time]],PeakCalc!$G$10:$G$303,0))</f>
        <v>0</v>
      </c>
    </row>
    <row r="996" spans="1:9" x14ac:dyDescent="0.25">
      <c r="A996" t="s">
        <v>98</v>
      </c>
      <c r="B996" t="s">
        <v>111</v>
      </c>
      <c r="C996" t="s">
        <v>94</v>
      </c>
      <c r="D996" t="s">
        <v>89</v>
      </c>
      <c r="E996" t="s">
        <v>44</v>
      </c>
      <c r="F996" s="6">
        <v>0.6875</v>
      </c>
      <c r="G996">
        <v>1</v>
      </c>
      <c r="H996" s="6">
        <f>FLOOR(tblPivotData[[#This Row],[Time]],Summary!$B$6/1440)</f>
        <v>0.6875</v>
      </c>
      <c r="I996" s="49">
        <f>INDEX(PeakCalc!$L$10:$L$303,MATCH(tblPivotData[[#This Row],[Time]],PeakCalc!$G$10:$G$303,0))</f>
        <v>0</v>
      </c>
    </row>
    <row r="997" spans="1:9" x14ac:dyDescent="0.25">
      <c r="A997" t="s">
        <v>98</v>
      </c>
      <c r="B997" t="s">
        <v>111</v>
      </c>
      <c r="C997" t="s">
        <v>94</v>
      </c>
      <c r="D997" t="s">
        <v>89</v>
      </c>
      <c r="E997" t="s">
        <v>44</v>
      </c>
      <c r="F997" s="6">
        <v>0.69791666666666663</v>
      </c>
      <c r="G997">
        <v>0</v>
      </c>
      <c r="H997" s="6">
        <f>FLOOR(tblPivotData[[#This Row],[Time]],Summary!$B$6/1440)</f>
        <v>0.69791666666666663</v>
      </c>
      <c r="I997" s="49">
        <f>INDEX(PeakCalc!$L$10:$L$303,MATCH(tblPivotData[[#This Row],[Time]],PeakCalc!$G$10:$G$303,0))</f>
        <v>1</v>
      </c>
    </row>
    <row r="998" spans="1:9" x14ac:dyDescent="0.25">
      <c r="A998" t="s">
        <v>98</v>
      </c>
      <c r="B998" t="s">
        <v>111</v>
      </c>
      <c r="C998" t="s">
        <v>94</v>
      </c>
      <c r="D998" t="s">
        <v>89</v>
      </c>
      <c r="E998" t="s">
        <v>44</v>
      </c>
      <c r="F998" s="6">
        <v>0.70833333333333337</v>
      </c>
      <c r="G998">
        <v>0</v>
      </c>
      <c r="H998" s="6">
        <f>FLOOR(tblPivotData[[#This Row],[Time]],Summary!$B$6/1440)</f>
        <v>0.70833333333333326</v>
      </c>
      <c r="I998" s="49">
        <f>INDEX(PeakCalc!$L$10:$L$303,MATCH(tblPivotData[[#This Row],[Time]],PeakCalc!$G$10:$G$303,0))</f>
        <v>1</v>
      </c>
    </row>
    <row r="999" spans="1:9" x14ac:dyDescent="0.25">
      <c r="A999" t="s">
        <v>98</v>
      </c>
      <c r="B999" t="s">
        <v>111</v>
      </c>
      <c r="C999" t="s">
        <v>94</v>
      </c>
      <c r="D999" t="s">
        <v>89</v>
      </c>
      <c r="E999" t="s">
        <v>44</v>
      </c>
      <c r="F999" s="6">
        <v>0.71875</v>
      </c>
      <c r="G999">
        <v>0</v>
      </c>
      <c r="H999" s="6">
        <f>FLOOR(tblPivotData[[#This Row],[Time]],Summary!$B$6/1440)</f>
        <v>0.71875</v>
      </c>
      <c r="I999" s="49">
        <f>INDEX(PeakCalc!$L$10:$L$303,MATCH(tblPivotData[[#This Row],[Time]],PeakCalc!$G$10:$G$303,0))</f>
        <v>1</v>
      </c>
    </row>
    <row r="1000" spans="1:9" x14ac:dyDescent="0.25">
      <c r="A1000" t="s">
        <v>98</v>
      </c>
      <c r="B1000" t="s">
        <v>111</v>
      </c>
      <c r="C1000" t="s">
        <v>94</v>
      </c>
      <c r="D1000" t="s">
        <v>89</v>
      </c>
      <c r="E1000" t="s">
        <v>44</v>
      </c>
      <c r="F1000" s="6">
        <v>0.72916666666666663</v>
      </c>
      <c r="G1000">
        <v>0</v>
      </c>
      <c r="H1000" s="6">
        <f>FLOOR(tblPivotData[[#This Row],[Time]],Summary!$B$6/1440)</f>
        <v>0.72916666666666663</v>
      </c>
      <c r="I1000" s="49">
        <f>INDEX(PeakCalc!$L$10:$L$303,MATCH(tblPivotData[[#This Row],[Time]],PeakCalc!$G$10:$G$303,0))</f>
        <v>1</v>
      </c>
    </row>
    <row r="1001" spans="1:9" x14ac:dyDescent="0.25">
      <c r="A1001" t="s">
        <v>98</v>
      </c>
      <c r="B1001" t="s">
        <v>111</v>
      </c>
      <c r="C1001" t="s">
        <v>94</v>
      </c>
      <c r="D1001" t="s">
        <v>89</v>
      </c>
      <c r="E1001" t="s">
        <v>44</v>
      </c>
      <c r="F1001" s="6">
        <v>0.73958333333333337</v>
      </c>
      <c r="G1001">
        <v>0</v>
      </c>
      <c r="H1001" s="6">
        <f>FLOOR(tblPivotData[[#This Row],[Time]],Summary!$B$6/1440)</f>
        <v>0.73958333333333326</v>
      </c>
      <c r="I1001" s="49">
        <f>INDEX(PeakCalc!$L$10:$L$303,MATCH(tblPivotData[[#This Row],[Time]],PeakCalc!$G$10:$G$303,0))</f>
        <v>0</v>
      </c>
    </row>
    <row r="1002" spans="1:9" x14ac:dyDescent="0.25">
      <c r="A1002" t="s">
        <v>98</v>
      </c>
      <c r="B1002" t="s">
        <v>111</v>
      </c>
      <c r="C1002" t="s">
        <v>94</v>
      </c>
      <c r="D1002" t="s">
        <v>90</v>
      </c>
      <c r="E1002" t="s">
        <v>43</v>
      </c>
      <c r="F1002" s="6">
        <v>0.29166666666666669</v>
      </c>
      <c r="G1002">
        <v>0</v>
      </c>
      <c r="H1002" s="6">
        <f>FLOOR(tblPivotData[[#This Row],[Time]],Summary!$B$6/1440)</f>
        <v>0.29166666666666663</v>
      </c>
      <c r="I1002" s="49">
        <f>INDEX(PeakCalc!$L$10:$L$303,MATCH(tblPivotData[[#This Row],[Time]],PeakCalc!$G$10:$G$303,0))</f>
        <v>0</v>
      </c>
    </row>
    <row r="1003" spans="1:9" x14ac:dyDescent="0.25">
      <c r="A1003" t="s">
        <v>98</v>
      </c>
      <c r="B1003" t="s">
        <v>111</v>
      </c>
      <c r="C1003" t="s">
        <v>94</v>
      </c>
      <c r="D1003" t="s">
        <v>90</v>
      </c>
      <c r="E1003" t="s">
        <v>43</v>
      </c>
      <c r="F1003" s="6">
        <v>0.30208333333333331</v>
      </c>
      <c r="G1003">
        <v>1</v>
      </c>
      <c r="H1003" s="6">
        <f>FLOOR(tblPivotData[[#This Row],[Time]],Summary!$B$6/1440)</f>
        <v>0.30208333333333331</v>
      </c>
      <c r="I1003" s="49">
        <f>INDEX(PeakCalc!$L$10:$L$303,MATCH(tblPivotData[[#This Row],[Time]],PeakCalc!$G$10:$G$303,0))</f>
        <v>0</v>
      </c>
    </row>
    <row r="1004" spans="1:9" x14ac:dyDescent="0.25">
      <c r="A1004" t="s">
        <v>98</v>
      </c>
      <c r="B1004" t="s">
        <v>111</v>
      </c>
      <c r="C1004" t="s">
        <v>94</v>
      </c>
      <c r="D1004" t="s">
        <v>90</v>
      </c>
      <c r="E1004" t="s">
        <v>43</v>
      </c>
      <c r="F1004" s="6">
        <v>0.3125</v>
      </c>
      <c r="G1004">
        <v>0</v>
      </c>
      <c r="H1004" s="6">
        <f>FLOOR(tblPivotData[[#This Row],[Time]],Summary!$B$6/1440)</f>
        <v>0.3125</v>
      </c>
      <c r="I1004" s="49">
        <f>INDEX(PeakCalc!$L$10:$L$303,MATCH(tblPivotData[[#This Row],[Time]],PeakCalc!$G$10:$G$303,0))</f>
        <v>0</v>
      </c>
    </row>
    <row r="1005" spans="1:9" x14ac:dyDescent="0.25">
      <c r="A1005" t="s">
        <v>98</v>
      </c>
      <c r="B1005" t="s">
        <v>111</v>
      </c>
      <c r="C1005" t="s">
        <v>94</v>
      </c>
      <c r="D1005" t="s">
        <v>90</v>
      </c>
      <c r="E1005" t="s">
        <v>43</v>
      </c>
      <c r="F1005" s="6">
        <v>0.32291666666666669</v>
      </c>
      <c r="G1005">
        <v>1</v>
      </c>
      <c r="H1005" s="6">
        <f>FLOOR(tblPivotData[[#This Row],[Time]],Summary!$B$6/1440)</f>
        <v>0.32291666666666663</v>
      </c>
      <c r="I1005" s="49">
        <f>INDEX(PeakCalc!$L$10:$L$303,MATCH(tblPivotData[[#This Row],[Time]],PeakCalc!$G$10:$G$303,0))</f>
        <v>0</v>
      </c>
    </row>
    <row r="1006" spans="1:9" x14ac:dyDescent="0.25">
      <c r="A1006" t="s">
        <v>98</v>
      </c>
      <c r="B1006" t="s">
        <v>111</v>
      </c>
      <c r="C1006" t="s">
        <v>94</v>
      </c>
      <c r="D1006" t="s">
        <v>90</v>
      </c>
      <c r="E1006" t="s">
        <v>43</v>
      </c>
      <c r="F1006" s="6">
        <v>0.33333333333333331</v>
      </c>
      <c r="G1006">
        <v>0</v>
      </c>
      <c r="H1006" s="6">
        <f>FLOOR(tblPivotData[[#This Row],[Time]],Summary!$B$6/1440)</f>
        <v>0.33333333333333331</v>
      </c>
      <c r="I1006" s="49">
        <f>INDEX(PeakCalc!$L$10:$L$303,MATCH(tblPivotData[[#This Row],[Time]],PeakCalc!$G$10:$G$303,0))</f>
        <v>1</v>
      </c>
    </row>
    <row r="1007" spans="1:9" x14ac:dyDescent="0.25">
      <c r="A1007" t="s">
        <v>98</v>
      </c>
      <c r="B1007" t="s">
        <v>111</v>
      </c>
      <c r="C1007" t="s">
        <v>94</v>
      </c>
      <c r="D1007" t="s">
        <v>90</v>
      </c>
      <c r="E1007" t="s">
        <v>43</v>
      </c>
      <c r="F1007" s="6">
        <v>0.34375</v>
      </c>
      <c r="G1007">
        <v>0</v>
      </c>
      <c r="H1007" s="6">
        <f>FLOOR(tblPivotData[[#This Row],[Time]],Summary!$B$6/1440)</f>
        <v>0.34375</v>
      </c>
      <c r="I1007" s="49">
        <f>INDEX(PeakCalc!$L$10:$L$303,MATCH(tblPivotData[[#This Row],[Time]],PeakCalc!$G$10:$G$303,0))</f>
        <v>1</v>
      </c>
    </row>
    <row r="1008" spans="1:9" x14ac:dyDescent="0.25">
      <c r="A1008" t="s">
        <v>98</v>
      </c>
      <c r="B1008" t="s">
        <v>111</v>
      </c>
      <c r="C1008" t="s">
        <v>94</v>
      </c>
      <c r="D1008" t="s">
        <v>90</v>
      </c>
      <c r="E1008" t="s">
        <v>43</v>
      </c>
      <c r="F1008" s="6">
        <v>0.35416666666666669</v>
      </c>
      <c r="G1008">
        <v>0</v>
      </c>
      <c r="H1008" s="6">
        <f>FLOOR(tblPivotData[[#This Row],[Time]],Summary!$B$6/1440)</f>
        <v>0.35416666666666663</v>
      </c>
      <c r="I1008" s="49">
        <f>INDEX(PeakCalc!$L$10:$L$303,MATCH(tblPivotData[[#This Row],[Time]],PeakCalc!$G$10:$G$303,0))</f>
        <v>1</v>
      </c>
    </row>
    <row r="1009" spans="1:9" x14ac:dyDescent="0.25">
      <c r="A1009" t="s">
        <v>98</v>
      </c>
      <c r="B1009" t="s">
        <v>111</v>
      </c>
      <c r="C1009" t="s">
        <v>94</v>
      </c>
      <c r="D1009" t="s">
        <v>90</v>
      </c>
      <c r="E1009" t="s">
        <v>43</v>
      </c>
      <c r="F1009" s="6">
        <v>0.36458333333333331</v>
      </c>
      <c r="G1009">
        <v>0</v>
      </c>
      <c r="H1009" s="6">
        <f>FLOOR(tblPivotData[[#This Row],[Time]],Summary!$B$6/1440)</f>
        <v>0.36458333333333331</v>
      </c>
      <c r="I1009" s="49">
        <f>INDEX(PeakCalc!$L$10:$L$303,MATCH(tblPivotData[[#This Row],[Time]],PeakCalc!$G$10:$G$303,0))</f>
        <v>1</v>
      </c>
    </row>
    <row r="1010" spans="1:9" x14ac:dyDescent="0.25">
      <c r="A1010" t="s">
        <v>98</v>
      </c>
      <c r="B1010" t="s">
        <v>111</v>
      </c>
      <c r="C1010" t="s">
        <v>94</v>
      </c>
      <c r="D1010" t="s">
        <v>90</v>
      </c>
      <c r="E1010" t="s">
        <v>91</v>
      </c>
      <c r="F1010" s="6">
        <v>0.54166666666666663</v>
      </c>
      <c r="G1010">
        <v>1</v>
      </c>
      <c r="H1010" s="6">
        <f>FLOOR(tblPivotData[[#This Row],[Time]],Summary!$B$6/1440)</f>
        <v>0.54166666666666663</v>
      </c>
      <c r="I1010" s="49">
        <f>INDEX(PeakCalc!$L$10:$L$303,MATCH(tblPivotData[[#This Row],[Time]],PeakCalc!$G$10:$G$303,0))</f>
        <v>1</v>
      </c>
    </row>
    <row r="1011" spans="1:9" x14ac:dyDescent="0.25">
      <c r="A1011" t="s">
        <v>98</v>
      </c>
      <c r="B1011" t="s">
        <v>111</v>
      </c>
      <c r="C1011" t="s">
        <v>94</v>
      </c>
      <c r="D1011" t="s">
        <v>90</v>
      </c>
      <c r="E1011" t="s">
        <v>91</v>
      </c>
      <c r="F1011" s="6">
        <v>0.55208333333333337</v>
      </c>
      <c r="G1011">
        <v>0</v>
      </c>
      <c r="H1011" s="6">
        <f>FLOOR(tblPivotData[[#This Row],[Time]],Summary!$B$6/1440)</f>
        <v>0.55208333333333326</v>
      </c>
      <c r="I1011" s="49">
        <f>INDEX(PeakCalc!$L$10:$L$303,MATCH(tblPivotData[[#This Row],[Time]],PeakCalc!$G$10:$G$303,0))</f>
        <v>1</v>
      </c>
    </row>
    <row r="1012" spans="1:9" x14ac:dyDescent="0.25">
      <c r="A1012" t="s">
        <v>98</v>
      </c>
      <c r="B1012" t="s">
        <v>111</v>
      </c>
      <c r="C1012" t="s">
        <v>94</v>
      </c>
      <c r="D1012" t="s">
        <v>90</v>
      </c>
      <c r="E1012" t="s">
        <v>91</v>
      </c>
      <c r="F1012" s="6">
        <v>0.5625</v>
      </c>
      <c r="G1012">
        <v>0</v>
      </c>
      <c r="H1012" s="6">
        <f>FLOOR(tblPivotData[[#This Row],[Time]],Summary!$B$6/1440)</f>
        <v>0.5625</v>
      </c>
      <c r="I1012" s="49">
        <f>INDEX(PeakCalc!$L$10:$L$303,MATCH(tblPivotData[[#This Row],[Time]],PeakCalc!$G$10:$G$303,0))</f>
        <v>1</v>
      </c>
    </row>
    <row r="1013" spans="1:9" x14ac:dyDescent="0.25">
      <c r="A1013" t="s">
        <v>98</v>
      </c>
      <c r="B1013" t="s">
        <v>111</v>
      </c>
      <c r="C1013" t="s">
        <v>94</v>
      </c>
      <c r="D1013" t="s">
        <v>90</v>
      </c>
      <c r="E1013" t="s">
        <v>91</v>
      </c>
      <c r="F1013" s="6">
        <v>0.57291666666666663</v>
      </c>
      <c r="G1013">
        <v>0</v>
      </c>
      <c r="H1013" s="6">
        <f>FLOOR(tblPivotData[[#This Row],[Time]],Summary!$B$6/1440)</f>
        <v>0.57291666666666663</v>
      </c>
      <c r="I1013" s="49">
        <f>INDEX(PeakCalc!$L$10:$L$303,MATCH(tblPivotData[[#This Row],[Time]],PeakCalc!$G$10:$G$303,0))</f>
        <v>1</v>
      </c>
    </row>
    <row r="1014" spans="1:9" x14ac:dyDescent="0.25">
      <c r="A1014" t="s">
        <v>98</v>
      </c>
      <c r="B1014" t="s">
        <v>111</v>
      </c>
      <c r="C1014" t="s">
        <v>94</v>
      </c>
      <c r="D1014" t="s">
        <v>90</v>
      </c>
      <c r="E1014" t="s">
        <v>44</v>
      </c>
      <c r="F1014" s="6">
        <v>0.66666666666666663</v>
      </c>
      <c r="G1014">
        <v>1</v>
      </c>
      <c r="H1014" s="6">
        <f>FLOOR(tblPivotData[[#This Row],[Time]],Summary!$B$6/1440)</f>
        <v>0.66666666666666663</v>
      </c>
      <c r="I1014" s="49">
        <f>INDEX(PeakCalc!$L$10:$L$303,MATCH(tblPivotData[[#This Row],[Time]],PeakCalc!$G$10:$G$303,0))</f>
        <v>0</v>
      </c>
    </row>
    <row r="1015" spans="1:9" x14ac:dyDescent="0.25">
      <c r="A1015" t="s">
        <v>98</v>
      </c>
      <c r="B1015" t="s">
        <v>111</v>
      </c>
      <c r="C1015" t="s">
        <v>94</v>
      </c>
      <c r="D1015" t="s">
        <v>90</v>
      </c>
      <c r="E1015" t="s">
        <v>44</v>
      </c>
      <c r="F1015" s="6">
        <v>0.67708333333333337</v>
      </c>
      <c r="G1015">
        <v>0</v>
      </c>
      <c r="H1015" s="6">
        <f>FLOOR(tblPivotData[[#This Row],[Time]],Summary!$B$6/1440)</f>
        <v>0.67708333333333326</v>
      </c>
      <c r="I1015" s="49">
        <f>INDEX(PeakCalc!$L$10:$L$303,MATCH(tblPivotData[[#This Row],[Time]],PeakCalc!$G$10:$G$303,0))</f>
        <v>0</v>
      </c>
    </row>
    <row r="1016" spans="1:9" x14ac:dyDescent="0.25">
      <c r="A1016" t="s">
        <v>98</v>
      </c>
      <c r="B1016" t="s">
        <v>111</v>
      </c>
      <c r="C1016" t="s">
        <v>94</v>
      </c>
      <c r="D1016" t="s">
        <v>90</v>
      </c>
      <c r="E1016" t="s">
        <v>44</v>
      </c>
      <c r="F1016" s="6">
        <v>0.6875</v>
      </c>
      <c r="G1016">
        <v>0</v>
      </c>
      <c r="H1016" s="6">
        <f>FLOOR(tblPivotData[[#This Row],[Time]],Summary!$B$6/1440)</f>
        <v>0.6875</v>
      </c>
      <c r="I1016" s="49">
        <f>INDEX(PeakCalc!$L$10:$L$303,MATCH(tblPivotData[[#This Row],[Time]],PeakCalc!$G$10:$G$303,0))</f>
        <v>0</v>
      </c>
    </row>
    <row r="1017" spans="1:9" x14ac:dyDescent="0.25">
      <c r="A1017" t="s">
        <v>98</v>
      </c>
      <c r="B1017" t="s">
        <v>111</v>
      </c>
      <c r="C1017" t="s">
        <v>94</v>
      </c>
      <c r="D1017" t="s">
        <v>90</v>
      </c>
      <c r="E1017" t="s">
        <v>44</v>
      </c>
      <c r="F1017" s="6">
        <v>0.69791666666666663</v>
      </c>
      <c r="G1017">
        <v>0</v>
      </c>
      <c r="H1017" s="6">
        <f>FLOOR(tblPivotData[[#This Row],[Time]],Summary!$B$6/1440)</f>
        <v>0.69791666666666663</v>
      </c>
      <c r="I1017" s="49">
        <f>INDEX(PeakCalc!$L$10:$L$303,MATCH(tblPivotData[[#This Row],[Time]],PeakCalc!$G$10:$G$303,0))</f>
        <v>1</v>
      </c>
    </row>
    <row r="1018" spans="1:9" x14ac:dyDescent="0.25">
      <c r="A1018" t="s">
        <v>98</v>
      </c>
      <c r="B1018" t="s">
        <v>111</v>
      </c>
      <c r="C1018" t="s">
        <v>94</v>
      </c>
      <c r="D1018" t="s">
        <v>90</v>
      </c>
      <c r="E1018" t="s">
        <v>44</v>
      </c>
      <c r="F1018" s="6">
        <v>0.70833333333333337</v>
      </c>
      <c r="G1018">
        <v>0</v>
      </c>
      <c r="H1018" s="6">
        <f>FLOOR(tblPivotData[[#This Row],[Time]],Summary!$B$6/1440)</f>
        <v>0.70833333333333326</v>
      </c>
      <c r="I1018" s="49">
        <f>INDEX(PeakCalc!$L$10:$L$303,MATCH(tblPivotData[[#This Row],[Time]],PeakCalc!$G$10:$G$303,0))</f>
        <v>1</v>
      </c>
    </row>
    <row r="1019" spans="1:9" x14ac:dyDescent="0.25">
      <c r="A1019" t="s">
        <v>98</v>
      </c>
      <c r="B1019" t="s">
        <v>111</v>
      </c>
      <c r="C1019" t="s">
        <v>94</v>
      </c>
      <c r="D1019" t="s">
        <v>90</v>
      </c>
      <c r="E1019" t="s">
        <v>44</v>
      </c>
      <c r="F1019" s="6">
        <v>0.71875</v>
      </c>
      <c r="G1019">
        <v>0</v>
      </c>
      <c r="H1019" s="6">
        <f>FLOOR(tblPivotData[[#This Row],[Time]],Summary!$B$6/1440)</f>
        <v>0.71875</v>
      </c>
      <c r="I1019" s="49">
        <f>INDEX(PeakCalc!$L$10:$L$303,MATCH(tblPivotData[[#This Row],[Time]],PeakCalc!$G$10:$G$303,0))</f>
        <v>1</v>
      </c>
    </row>
    <row r="1020" spans="1:9" x14ac:dyDescent="0.25">
      <c r="A1020" t="s">
        <v>98</v>
      </c>
      <c r="B1020" t="s">
        <v>111</v>
      </c>
      <c r="C1020" t="s">
        <v>94</v>
      </c>
      <c r="D1020" t="s">
        <v>90</v>
      </c>
      <c r="E1020" t="s">
        <v>44</v>
      </c>
      <c r="F1020" s="6">
        <v>0.72916666666666663</v>
      </c>
      <c r="G1020">
        <v>0</v>
      </c>
      <c r="H1020" s="6">
        <f>FLOOR(tblPivotData[[#This Row],[Time]],Summary!$B$6/1440)</f>
        <v>0.72916666666666663</v>
      </c>
      <c r="I1020" s="49">
        <f>INDEX(PeakCalc!$L$10:$L$303,MATCH(tblPivotData[[#This Row],[Time]],PeakCalc!$G$10:$G$303,0))</f>
        <v>1</v>
      </c>
    </row>
    <row r="1021" spans="1:9" x14ac:dyDescent="0.25">
      <c r="A1021" t="s">
        <v>98</v>
      </c>
      <c r="B1021" t="s">
        <v>111</v>
      </c>
      <c r="C1021" t="s">
        <v>94</v>
      </c>
      <c r="D1021" t="s">
        <v>90</v>
      </c>
      <c r="E1021" t="s">
        <v>44</v>
      </c>
      <c r="F1021" s="6">
        <v>0.73958333333333337</v>
      </c>
      <c r="G1021">
        <v>0</v>
      </c>
      <c r="H1021" s="6">
        <f>FLOOR(tblPivotData[[#This Row],[Time]],Summary!$B$6/1440)</f>
        <v>0.73958333333333326</v>
      </c>
      <c r="I1021" s="49">
        <f>INDEX(PeakCalc!$L$10:$L$303,MATCH(tblPivotData[[#This Row],[Time]],PeakCalc!$G$10:$G$303,0))</f>
        <v>0</v>
      </c>
    </row>
    <row r="1022" spans="1:9" x14ac:dyDescent="0.25">
      <c r="A1022" t="s">
        <v>98</v>
      </c>
      <c r="B1022" t="s">
        <v>112</v>
      </c>
      <c r="C1022" t="s">
        <v>95</v>
      </c>
      <c r="D1022" t="s">
        <v>79</v>
      </c>
      <c r="E1022" t="s">
        <v>43</v>
      </c>
      <c r="F1022" s="6">
        <v>0.29166666666666669</v>
      </c>
      <c r="G1022">
        <v>1</v>
      </c>
      <c r="H1022" s="6">
        <f>FLOOR(tblPivotData[[#This Row],[Time]],Summary!$B$6/1440)</f>
        <v>0.29166666666666663</v>
      </c>
      <c r="I1022" s="49">
        <f>INDEX(PeakCalc!$L$10:$L$303,MATCH(tblPivotData[[#This Row],[Time]],PeakCalc!$G$10:$G$303,0))</f>
        <v>0</v>
      </c>
    </row>
    <row r="1023" spans="1:9" x14ac:dyDescent="0.25">
      <c r="A1023" t="s">
        <v>98</v>
      </c>
      <c r="B1023" t="s">
        <v>112</v>
      </c>
      <c r="C1023" t="s">
        <v>95</v>
      </c>
      <c r="D1023" t="s">
        <v>79</v>
      </c>
      <c r="E1023" t="s">
        <v>43</v>
      </c>
      <c r="F1023" s="6">
        <v>0.30208333333333331</v>
      </c>
      <c r="G1023">
        <v>0</v>
      </c>
      <c r="H1023" s="6">
        <f>FLOOR(tblPivotData[[#This Row],[Time]],Summary!$B$6/1440)</f>
        <v>0.30208333333333331</v>
      </c>
      <c r="I1023" s="49">
        <f>INDEX(PeakCalc!$L$10:$L$303,MATCH(tblPivotData[[#This Row],[Time]],PeakCalc!$G$10:$G$303,0))</f>
        <v>0</v>
      </c>
    </row>
    <row r="1024" spans="1:9" x14ac:dyDescent="0.25">
      <c r="A1024" t="s">
        <v>98</v>
      </c>
      <c r="B1024" t="s">
        <v>112</v>
      </c>
      <c r="C1024" t="s">
        <v>95</v>
      </c>
      <c r="D1024" t="s">
        <v>79</v>
      </c>
      <c r="E1024" t="s">
        <v>43</v>
      </c>
      <c r="F1024" s="6">
        <v>0.3125</v>
      </c>
      <c r="G1024">
        <v>2</v>
      </c>
      <c r="H1024" s="6">
        <f>FLOOR(tblPivotData[[#This Row],[Time]],Summary!$B$6/1440)</f>
        <v>0.3125</v>
      </c>
      <c r="I1024" s="49">
        <f>INDEX(PeakCalc!$L$10:$L$303,MATCH(tblPivotData[[#This Row],[Time]],PeakCalc!$G$10:$G$303,0))</f>
        <v>0</v>
      </c>
    </row>
    <row r="1025" spans="1:9" x14ac:dyDescent="0.25">
      <c r="A1025" t="s">
        <v>98</v>
      </c>
      <c r="B1025" t="s">
        <v>112</v>
      </c>
      <c r="C1025" t="s">
        <v>95</v>
      </c>
      <c r="D1025" t="s">
        <v>79</v>
      </c>
      <c r="E1025" t="s">
        <v>43</v>
      </c>
      <c r="F1025" s="6">
        <v>0.32291666666666669</v>
      </c>
      <c r="G1025">
        <v>3</v>
      </c>
      <c r="H1025" s="6">
        <f>FLOOR(tblPivotData[[#This Row],[Time]],Summary!$B$6/1440)</f>
        <v>0.32291666666666663</v>
      </c>
      <c r="I1025" s="49">
        <f>INDEX(PeakCalc!$L$10:$L$303,MATCH(tblPivotData[[#This Row],[Time]],PeakCalc!$G$10:$G$303,0))</f>
        <v>0</v>
      </c>
    </row>
    <row r="1026" spans="1:9" x14ac:dyDescent="0.25">
      <c r="A1026" t="s">
        <v>98</v>
      </c>
      <c r="B1026" t="s">
        <v>112</v>
      </c>
      <c r="C1026" t="s">
        <v>95</v>
      </c>
      <c r="D1026" t="s">
        <v>79</v>
      </c>
      <c r="E1026" t="s">
        <v>43</v>
      </c>
      <c r="F1026" s="6">
        <v>0.33333333333333331</v>
      </c>
      <c r="G1026">
        <v>1</v>
      </c>
      <c r="H1026" s="6">
        <f>FLOOR(tblPivotData[[#This Row],[Time]],Summary!$B$6/1440)</f>
        <v>0.33333333333333331</v>
      </c>
      <c r="I1026" s="49">
        <f>INDEX(PeakCalc!$L$10:$L$303,MATCH(tblPivotData[[#This Row],[Time]],PeakCalc!$G$10:$G$303,0))</f>
        <v>1</v>
      </c>
    </row>
    <row r="1027" spans="1:9" x14ac:dyDescent="0.25">
      <c r="A1027" t="s">
        <v>98</v>
      </c>
      <c r="B1027" t="s">
        <v>112</v>
      </c>
      <c r="C1027" t="s">
        <v>95</v>
      </c>
      <c r="D1027" t="s">
        <v>79</v>
      </c>
      <c r="E1027" t="s">
        <v>43</v>
      </c>
      <c r="F1027" s="6">
        <v>0.34375</v>
      </c>
      <c r="G1027">
        <v>6</v>
      </c>
      <c r="H1027" s="6">
        <f>FLOOR(tblPivotData[[#This Row],[Time]],Summary!$B$6/1440)</f>
        <v>0.34375</v>
      </c>
      <c r="I1027" s="49">
        <f>INDEX(PeakCalc!$L$10:$L$303,MATCH(tblPivotData[[#This Row],[Time]],PeakCalc!$G$10:$G$303,0))</f>
        <v>1</v>
      </c>
    </row>
    <row r="1028" spans="1:9" x14ac:dyDescent="0.25">
      <c r="A1028" t="s">
        <v>98</v>
      </c>
      <c r="B1028" t="s">
        <v>112</v>
      </c>
      <c r="C1028" t="s">
        <v>95</v>
      </c>
      <c r="D1028" t="s">
        <v>79</v>
      </c>
      <c r="E1028" t="s">
        <v>43</v>
      </c>
      <c r="F1028" s="6">
        <v>0.35416666666666669</v>
      </c>
      <c r="G1028">
        <v>3</v>
      </c>
      <c r="H1028" s="6">
        <f>FLOOR(tblPivotData[[#This Row],[Time]],Summary!$B$6/1440)</f>
        <v>0.35416666666666663</v>
      </c>
      <c r="I1028" s="49">
        <f>INDEX(PeakCalc!$L$10:$L$303,MATCH(tblPivotData[[#This Row],[Time]],PeakCalc!$G$10:$G$303,0))</f>
        <v>1</v>
      </c>
    </row>
    <row r="1029" spans="1:9" x14ac:dyDescent="0.25">
      <c r="A1029" t="s">
        <v>98</v>
      </c>
      <c r="B1029" t="s">
        <v>112</v>
      </c>
      <c r="C1029" t="s">
        <v>95</v>
      </c>
      <c r="D1029" t="s">
        <v>79</v>
      </c>
      <c r="E1029" t="s">
        <v>43</v>
      </c>
      <c r="F1029" s="6">
        <v>0.36458333333333331</v>
      </c>
      <c r="G1029">
        <v>7</v>
      </c>
      <c r="H1029" s="6">
        <f>FLOOR(tblPivotData[[#This Row],[Time]],Summary!$B$6/1440)</f>
        <v>0.36458333333333331</v>
      </c>
      <c r="I1029" s="49">
        <f>INDEX(PeakCalc!$L$10:$L$303,MATCH(tblPivotData[[#This Row],[Time]],PeakCalc!$G$10:$G$303,0))</f>
        <v>1</v>
      </c>
    </row>
    <row r="1030" spans="1:9" x14ac:dyDescent="0.25">
      <c r="A1030" t="s">
        <v>98</v>
      </c>
      <c r="B1030" t="s">
        <v>112</v>
      </c>
      <c r="C1030" t="s">
        <v>95</v>
      </c>
      <c r="D1030" t="s">
        <v>79</v>
      </c>
      <c r="E1030" t="s">
        <v>91</v>
      </c>
      <c r="F1030" s="6">
        <v>0.54166666666666663</v>
      </c>
      <c r="G1030">
        <v>5</v>
      </c>
      <c r="H1030" s="6">
        <f>FLOOR(tblPivotData[[#This Row],[Time]],Summary!$B$6/1440)</f>
        <v>0.54166666666666663</v>
      </c>
      <c r="I1030" s="49">
        <f>INDEX(PeakCalc!$L$10:$L$303,MATCH(tblPivotData[[#This Row],[Time]],PeakCalc!$G$10:$G$303,0))</f>
        <v>1</v>
      </c>
    </row>
    <row r="1031" spans="1:9" x14ac:dyDescent="0.25">
      <c r="A1031" t="s">
        <v>98</v>
      </c>
      <c r="B1031" t="s">
        <v>112</v>
      </c>
      <c r="C1031" t="s">
        <v>95</v>
      </c>
      <c r="D1031" t="s">
        <v>79</v>
      </c>
      <c r="E1031" t="s">
        <v>91</v>
      </c>
      <c r="F1031" s="6">
        <v>0.55208333333333337</v>
      </c>
      <c r="G1031">
        <v>8</v>
      </c>
      <c r="H1031" s="6">
        <f>FLOOR(tblPivotData[[#This Row],[Time]],Summary!$B$6/1440)</f>
        <v>0.55208333333333326</v>
      </c>
      <c r="I1031" s="49">
        <f>INDEX(PeakCalc!$L$10:$L$303,MATCH(tblPivotData[[#This Row],[Time]],PeakCalc!$G$10:$G$303,0))</f>
        <v>1</v>
      </c>
    </row>
    <row r="1032" spans="1:9" x14ac:dyDescent="0.25">
      <c r="A1032" t="s">
        <v>98</v>
      </c>
      <c r="B1032" t="s">
        <v>112</v>
      </c>
      <c r="C1032" t="s">
        <v>95</v>
      </c>
      <c r="D1032" t="s">
        <v>79</v>
      </c>
      <c r="E1032" t="s">
        <v>91</v>
      </c>
      <c r="F1032" s="6">
        <v>0.5625</v>
      </c>
      <c r="G1032">
        <v>3</v>
      </c>
      <c r="H1032" s="6">
        <f>FLOOR(tblPivotData[[#This Row],[Time]],Summary!$B$6/1440)</f>
        <v>0.5625</v>
      </c>
      <c r="I1032" s="49">
        <f>INDEX(PeakCalc!$L$10:$L$303,MATCH(tblPivotData[[#This Row],[Time]],PeakCalc!$G$10:$G$303,0))</f>
        <v>1</v>
      </c>
    </row>
    <row r="1033" spans="1:9" x14ac:dyDescent="0.25">
      <c r="A1033" t="s">
        <v>98</v>
      </c>
      <c r="B1033" t="s">
        <v>112</v>
      </c>
      <c r="C1033" t="s">
        <v>95</v>
      </c>
      <c r="D1033" t="s">
        <v>79</v>
      </c>
      <c r="E1033" t="s">
        <v>91</v>
      </c>
      <c r="F1033" s="6">
        <v>0.57291666666666663</v>
      </c>
      <c r="G1033">
        <v>3</v>
      </c>
      <c r="H1033" s="6">
        <f>FLOOR(tblPivotData[[#This Row],[Time]],Summary!$B$6/1440)</f>
        <v>0.57291666666666663</v>
      </c>
      <c r="I1033" s="49">
        <f>INDEX(PeakCalc!$L$10:$L$303,MATCH(tblPivotData[[#This Row],[Time]],PeakCalc!$G$10:$G$303,0))</f>
        <v>1</v>
      </c>
    </row>
    <row r="1034" spans="1:9" x14ac:dyDescent="0.25">
      <c r="A1034" t="s">
        <v>98</v>
      </c>
      <c r="B1034" t="s">
        <v>112</v>
      </c>
      <c r="C1034" t="s">
        <v>95</v>
      </c>
      <c r="D1034" t="s">
        <v>79</v>
      </c>
      <c r="E1034" t="s">
        <v>44</v>
      </c>
      <c r="F1034" s="6">
        <v>0.66666666666666663</v>
      </c>
      <c r="G1034">
        <v>10</v>
      </c>
      <c r="H1034" s="6">
        <f>FLOOR(tblPivotData[[#This Row],[Time]],Summary!$B$6/1440)</f>
        <v>0.66666666666666663</v>
      </c>
      <c r="I1034" s="49">
        <f>INDEX(PeakCalc!$L$10:$L$303,MATCH(tblPivotData[[#This Row],[Time]],PeakCalc!$G$10:$G$303,0))</f>
        <v>0</v>
      </c>
    </row>
    <row r="1035" spans="1:9" x14ac:dyDescent="0.25">
      <c r="A1035" t="s">
        <v>98</v>
      </c>
      <c r="B1035" t="s">
        <v>112</v>
      </c>
      <c r="C1035" t="s">
        <v>95</v>
      </c>
      <c r="D1035" t="s">
        <v>79</v>
      </c>
      <c r="E1035" t="s">
        <v>44</v>
      </c>
      <c r="F1035" s="6">
        <v>0.67708333333333337</v>
      </c>
      <c r="G1035">
        <v>15</v>
      </c>
      <c r="H1035" s="6">
        <f>FLOOR(tblPivotData[[#This Row],[Time]],Summary!$B$6/1440)</f>
        <v>0.67708333333333326</v>
      </c>
      <c r="I1035" s="49">
        <f>INDEX(PeakCalc!$L$10:$L$303,MATCH(tblPivotData[[#This Row],[Time]],PeakCalc!$G$10:$G$303,0))</f>
        <v>0</v>
      </c>
    </row>
    <row r="1036" spans="1:9" x14ac:dyDescent="0.25">
      <c r="A1036" t="s">
        <v>98</v>
      </c>
      <c r="B1036" t="s">
        <v>112</v>
      </c>
      <c r="C1036" t="s">
        <v>95</v>
      </c>
      <c r="D1036" t="s">
        <v>79</v>
      </c>
      <c r="E1036" t="s">
        <v>44</v>
      </c>
      <c r="F1036" s="6">
        <v>0.6875</v>
      </c>
      <c r="G1036">
        <v>9</v>
      </c>
      <c r="H1036" s="6">
        <f>FLOOR(tblPivotData[[#This Row],[Time]],Summary!$B$6/1440)</f>
        <v>0.6875</v>
      </c>
      <c r="I1036" s="49">
        <f>INDEX(PeakCalc!$L$10:$L$303,MATCH(tblPivotData[[#This Row],[Time]],PeakCalc!$G$10:$G$303,0))</f>
        <v>0</v>
      </c>
    </row>
    <row r="1037" spans="1:9" x14ac:dyDescent="0.25">
      <c r="A1037" t="s">
        <v>98</v>
      </c>
      <c r="B1037" t="s">
        <v>112</v>
      </c>
      <c r="C1037" t="s">
        <v>95</v>
      </c>
      <c r="D1037" t="s">
        <v>79</v>
      </c>
      <c r="E1037" t="s">
        <v>44</v>
      </c>
      <c r="F1037" s="6">
        <v>0.69791666666666663</v>
      </c>
      <c r="G1037">
        <v>9</v>
      </c>
      <c r="H1037" s="6">
        <f>FLOOR(tblPivotData[[#This Row],[Time]],Summary!$B$6/1440)</f>
        <v>0.69791666666666663</v>
      </c>
      <c r="I1037" s="49">
        <f>INDEX(PeakCalc!$L$10:$L$303,MATCH(tblPivotData[[#This Row],[Time]],PeakCalc!$G$10:$G$303,0))</f>
        <v>1</v>
      </c>
    </row>
    <row r="1038" spans="1:9" x14ac:dyDescent="0.25">
      <c r="A1038" t="s">
        <v>98</v>
      </c>
      <c r="B1038" t="s">
        <v>112</v>
      </c>
      <c r="C1038" t="s">
        <v>95</v>
      </c>
      <c r="D1038" t="s">
        <v>79</v>
      </c>
      <c r="E1038" t="s">
        <v>44</v>
      </c>
      <c r="F1038" s="6">
        <v>0.70833333333333337</v>
      </c>
      <c r="G1038">
        <v>8</v>
      </c>
      <c r="H1038" s="6">
        <f>FLOOR(tblPivotData[[#This Row],[Time]],Summary!$B$6/1440)</f>
        <v>0.70833333333333326</v>
      </c>
      <c r="I1038" s="49">
        <f>INDEX(PeakCalc!$L$10:$L$303,MATCH(tblPivotData[[#This Row],[Time]],PeakCalc!$G$10:$G$303,0))</f>
        <v>1</v>
      </c>
    </row>
    <row r="1039" spans="1:9" x14ac:dyDescent="0.25">
      <c r="A1039" t="s">
        <v>98</v>
      </c>
      <c r="B1039" t="s">
        <v>112</v>
      </c>
      <c r="C1039" t="s">
        <v>95</v>
      </c>
      <c r="D1039" t="s">
        <v>79</v>
      </c>
      <c r="E1039" t="s">
        <v>44</v>
      </c>
      <c r="F1039" s="6">
        <v>0.71875</v>
      </c>
      <c r="G1039">
        <v>9</v>
      </c>
      <c r="H1039" s="6">
        <f>FLOOR(tblPivotData[[#This Row],[Time]],Summary!$B$6/1440)</f>
        <v>0.71875</v>
      </c>
      <c r="I1039" s="49">
        <f>INDEX(PeakCalc!$L$10:$L$303,MATCH(tblPivotData[[#This Row],[Time]],PeakCalc!$G$10:$G$303,0))</f>
        <v>1</v>
      </c>
    </row>
    <row r="1040" spans="1:9" x14ac:dyDescent="0.25">
      <c r="A1040" t="s">
        <v>98</v>
      </c>
      <c r="B1040" t="s">
        <v>112</v>
      </c>
      <c r="C1040" t="s">
        <v>95</v>
      </c>
      <c r="D1040" t="s">
        <v>79</v>
      </c>
      <c r="E1040" t="s">
        <v>44</v>
      </c>
      <c r="F1040" s="6">
        <v>0.72916666666666663</v>
      </c>
      <c r="G1040">
        <v>10</v>
      </c>
      <c r="H1040" s="6">
        <f>FLOOR(tblPivotData[[#This Row],[Time]],Summary!$B$6/1440)</f>
        <v>0.72916666666666663</v>
      </c>
      <c r="I1040" s="49">
        <f>INDEX(PeakCalc!$L$10:$L$303,MATCH(tblPivotData[[#This Row],[Time]],PeakCalc!$G$10:$G$303,0))</f>
        <v>1</v>
      </c>
    </row>
    <row r="1041" spans="1:9" x14ac:dyDescent="0.25">
      <c r="A1041" t="s">
        <v>98</v>
      </c>
      <c r="B1041" t="s">
        <v>112</v>
      </c>
      <c r="C1041" t="s">
        <v>95</v>
      </c>
      <c r="D1041" t="s">
        <v>79</v>
      </c>
      <c r="E1041" t="s">
        <v>44</v>
      </c>
      <c r="F1041" s="6">
        <v>0.73958333333333337</v>
      </c>
      <c r="G1041">
        <v>14</v>
      </c>
      <c r="H1041" s="6">
        <f>FLOOR(tblPivotData[[#This Row],[Time]],Summary!$B$6/1440)</f>
        <v>0.73958333333333326</v>
      </c>
      <c r="I1041" s="49">
        <f>INDEX(PeakCalc!$L$10:$L$303,MATCH(tblPivotData[[#This Row],[Time]],PeakCalc!$G$10:$G$303,0))</f>
        <v>0</v>
      </c>
    </row>
    <row r="1042" spans="1:9" x14ac:dyDescent="0.25">
      <c r="A1042" t="s">
        <v>98</v>
      </c>
      <c r="B1042" t="s">
        <v>112</v>
      </c>
      <c r="C1042" t="s">
        <v>95</v>
      </c>
      <c r="D1042" t="s">
        <v>89</v>
      </c>
      <c r="E1042" t="s">
        <v>43</v>
      </c>
      <c r="F1042" s="6">
        <v>0.29166666666666669</v>
      </c>
      <c r="G1042">
        <v>0</v>
      </c>
      <c r="H1042" s="6">
        <f>FLOOR(tblPivotData[[#This Row],[Time]],Summary!$B$6/1440)</f>
        <v>0.29166666666666663</v>
      </c>
      <c r="I1042" s="49">
        <f>INDEX(PeakCalc!$L$10:$L$303,MATCH(tblPivotData[[#This Row],[Time]],PeakCalc!$G$10:$G$303,0))</f>
        <v>0</v>
      </c>
    </row>
    <row r="1043" spans="1:9" x14ac:dyDescent="0.25">
      <c r="A1043" t="s">
        <v>98</v>
      </c>
      <c r="B1043" t="s">
        <v>112</v>
      </c>
      <c r="C1043" t="s">
        <v>95</v>
      </c>
      <c r="D1043" t="s">
        <v>89</v>
      </c>
      <c r="E1043" t="s">
        <v>43</v>
      </c>
      <c r="F1043" s="6">
        <v>0.30208333333333331</v>
      </c>
      <c r="G1043">
        <v>0</v>
      </c>
      <c r="H1043" s="6">
        <f>FLOOR(tblPivotData[[#This Row],[Time]],Summary!$B$6/1440)</f>
        <v>0.30208333333333331</v>
      </c>
      <c r="I1043" s="49">
        <f>INDEX(PeakCalc!$L$10:$L$303,MATCH(tblPivotData[[#This Row],[Time]],PeakCalc!$G$10:$G$303,0))</f>
        <v>0</v>
      </c>
    </row>
    <row r="1044" spans="1:9" x14ac:dyDescent="0.25">
      <c r="A1044" t="s">
        <v>98</v>
      </c>
      <c r="B1044" t="s">
        <v>112</v>
      </c>
      <c r="C1044" t="s">
        <v>95</v>
      </c>
      <c r="D1044" t="s">
        <v>89</v>
      </c>
      <c r="E1044" t="s">
        <v>43</v>
      </c>
      <c r="F1044" s="6">
        <v>0.3125</v>
      </c>
      <c r="G1044">
        <v>0</v>
      </c>
      <c r="H1044" s="6">
        <f>FLOOR(tblPivotData[[#This Row],[Time]],Summary!$B$6/1440)</f>
        <v>0.3125</v>
      </c>
      <c r="I1044" s="49">
        <f>INDEX(PeakCalc!$L$10:$L$303,MATCH(tblPivotData[[#This Row],[Time]],PeakCalc!$G$10:$G$303,0))</f>
        <v>0</v>
      </c>
    </row>
    <row r="1045" spans="1:9" x14ac:dyDescent="0.25">
      <c r="A1045" t="s">
        <v>98</v>
      </c>
      <c r="B1045" t="s">
        <v>112</v>
      </c>
      <c r="C1045" t="s">
        <v>95</v>
      </c>
      <c r="D1045" t="s">
        <v>89</v>
      </c>
      <c r="E1045" t="s">
        <v>43</v>
      </c>
      <c r="F1045" s="6">
        <v>0.32291666666666669</v>
      </c>
      <c r="G1045">
        <v>0</v>
      </c>
      <c r="H1045" s="6">
        <f>FLOOR(tblPivotData[[#This Row],[Time]],Summary!$B$6/1440)</f>
        <v>0.32291666666666663</v>
      </c>
      <c r="I1045" s="49">
        <f>INDEX(PeakCalc!$L$10:$L$303,MATCH(tblPivotData[[#This Row],[Time]],PeakCalc!$G$10:$G$303,0))</f>
        <v>0</v>
      </c>
    </row>
    <row r="1046" spans="1:9" x14ac:dyDescent="0.25">
      <c r="A1046" t="s">
        <v>98</v>
      </c>
      <c r="B1046" t="s">
        <v>112</v>
      </c>
      <c r="C1046" t="s">
        <v>95</v>
      </c>
      <c r="D1046" t="s">
        <v>89</v>
      </c>
      <c r="E1046" t="s">
        <v>43</v>
      </c>
      <c r="F1046" s="6">
        <v>0.33333333333333331</v>
      </c>
      <c r="G1046">
        <v>0</v>
      </c>
      <c r="H1046" s="6">
        <f>FLOOR(tblPivotData[[#This Row],[Time]],Summary!$B$6/1440)</f>
        <v>0.33333333333333331</v>
      </c>
      <c r="I1046" s="49">
        <f>INDEX(PeakCalc!$L$10:$L$303,MATCH(tblPivotData[[#This Row],[Time]],PeakCalc!$G$10:$G$303,0))</f>
        <v>1</v>
      </c>
    </row>
    <row r="1047" spans="1:9" x14ac:dyDescent="0.25">
      <c r="A1047" t="s">
        <v>98</v>
      </c>
      <c r="B1047" t="s">
        <v>112</v>
      </c>
      <c r="C1047" t="s">
        <v>95</v>
      </c>
      <c r="D1047" t="s">
        <v>89</v>
      </c>
      <c r="E1047" t="s">
        <v>43</v>
      </c>
      <c r="F1047" s="6">
        <v>0.34375</v>
      </c>
      <c r="G1047">
        <v>1</v>
      </c>
      <c r="H1047" s="6">
        <f>FLOOR(tblPivotData[[#This Row],[Time]],Summary!$B$6/1440)</f>
        <v>0.34375</v>
      </c>
      <c r="I1047" s="49">
        <f>INDEX(PeakCalc!$L$10:$L$303,MATCH(tblPivotData[[#This Row],[Time]],PeakCalc!$G$10:$G$303,0))</f>
        <v>1</v>
      </c>
    </row>
    <row r="1048" spans="1:9" x14ac:dyDescent="0.25">
      <c r="A1048" t="s">
        <v>98</v>
      </c>
      <c r="B1048" t="s">
        <v>112</v>
      </c>
      <c r="C1048" t="s">
        <v>95</v>
      </c>
      <c r="D1048" t="s">
        <v>89</v>
      </c>
      <c r="E1048" t="s">
        <v>43</v>
      </c>
      <c r="F1048" s="6">
        <v>0.35416666666666669</v>
      </c>
      <c r="G1048">
        <v>1</v>
      </c>
      <c r="H1048" s="6">
        <f>FLOOR(tblPivotData[[#This Row],[Time]],Summary!$B$6/1440)</f>
        <v>0.35416666666666663</v>
      </c>
      <c r="I1048" s="49">
        <f>INDEX(PeakCalc!$L$10:$L$303,MATCH(tblPivotData[[#This Row],[Time]],PeakCalc!$G$10:$G$303,0))</f>
        <v>1</v>
      </c>
    </row>
    <row r="1049" spans="1:9" x14ac:dyDescent="0.25">
      <c r="A1049" t="s">
        <v>98</v>
      </c>
      <c r="B1049" t="s">
        <v>112</v>
      </c>
      <c r="C1049" t="s">
        <v>95</v>
      </c>
      <c r="D1049" t="s">
        <v>89</v>
      </c>
      <c r="E1049" t="s">
        <v>43</v>
      </c>
      <c r="F1049" s="6">
        <v>0.36458333333333331</v>
      </c>
      <c r="G1049">
        <v>0</v>
      </c>
      <c r="H1049" s="6">
        <f>FLOOR(tblPivotData[[#This Row],[Time]],Summary!$B$6/1440)</f>
        <v>0.36458333333333331</v>
      </c>
      <c r="I1049" s="49">
        <f>INDEX(PeakCalc!$L$10:$L$303,MATCH(tblPivotData[[#This Row],[Time]],PeakCalc!$G$10:$G$303,0))</f>
        <v>1</v>
      </c>
    </row>
    <row r="1050" spans="1:9" x14ac:dyDescent="0.25">
      <c r="A1050" t="s">
        <v>98</v>
      </c>
      <c r="B1050" t="s">
        <v>112</v>
      </c>
      <c r="C1050" t="s">
        <v>95</v>
      </c>
      <c r="D1050" t="s">
        <v>89</v>
      </c>
      <c r="E1050" t="s">
        <v>91</v>
      </c>
      <c r="F1050" s="6">
        <v>0.54166666666666663</v>
      </c>
      <c r="G1050">
        <v>0</v>
      </c>
      <c r="H1050" s="6">
        <f>FLOOR(tblPivotData[[#This Row],[Time]],Summary!$B$6/1440)</f>
        <v>0.54166666666666663</v>
      </c>
      <c r="I1050" s="49">
        <f>INDEX(PeakCalc!$L$10:$L$303,MATCH(tblPivotData[[#This Row],[Time]],PeakCalc!$G$10:$G$303,0))</f>
        <v>1</v>
      </c>
    </row>
    <row r="1051" spans="1:9" x14ac:dyDescent="0.25">
      <c r="A1051" t="s">
        <v>98</v>
      </c>
      <c r="B1051" t="s">
        <v>112</v>
      </c>
      <c r="C1051" t="s">
        <v>95</v>
      </c>
      <c r="D1051" t="s">
        <v>89</v>
      </c>
      <c r="E1051" t="s">
        <v>91</v>
      </c>
      <c r="F1051" s="6">
        <v>0.55208333333333337</v>
      </c>
      <c r="G1051">
        <v>0</v>
      </c>
      <c r="H1051" s="6">
        <f>FLOOR(tblPivotData[[#This Row],[Time]],Summary!$B$6/1440)</f>
        <v>0.55208333333333326</v>
      </c>
      <c r="I1051" s="49">
        <f>INDEX(PeakCalc!$L$10:$L$303,MATCH(tblPivotData[[#This Row],[Time]],PeakCalc!$G$10:$G$303,0))</f>
        <v>1</v>
      </c>
    </row>
    <row r="1052" spans="1:9" x14ac:dyDescent="0.25">
      <c r="A1052" t="s">
        <v>98</v>
      </c>
      <c r="B1052" t="s">
        <v>112</v>
      </c>
      <c r="C1052" t="s">
        <v>95</v>
      </c>
      <c r="D1052" t="s">
        <v>89</v>
      </c>
      <c r="E1052" t="s">
        <v>91</v>
      </c>
      <c r="F1052" s="6">
        <v>0.5625</v>
      </c>
      <c r="G1052">
        <v>0</v>
      </c>
      <c r="H1052" s="6">
        <f>FLOOR(tblPivotData[[#This Row],[Time]],Summary!$B$6/1440)</f>
        <v>0.5625</v>
      </c>
      <c r="I1052" s="49">
        <f>INDEX(PeakCalc!$L$10:$L$303,MATCH(tblPivotData[[#This Row],[Time]],PeakCalc!$G$10:$G$303,0))</f>
        <v>1</v>
      </c>
    </row>
    <row r="1053" spans="1:9" x14ac:dyDescent="0.25">
      <c r="A1053" t="s">
        <v>98</v>
      </c>
      <c r="B1053" t="s">
        <v>112</v>
      </c>
      <c r="C1053" t="s">
        <v>95</v>
      </c>
      <c r="D1053" t="s">
        <v>89</v>
      </c>
      <c r="E1053" t="s">
        <v>91</v>
      </c>
      <c r="F1053" s="6">
        <v>0.57291666666666663</v>
      </c>
      <c r="G1053">
        <v>0</v>
      </c>
      <c r="H1053" s="6">
        <f>FLOOR(tblPivotData[[#This Row],[Time]],Summary!$B$6/1440)</f>
        <v>0.57291666666666663</v>
      </c>
      <c r="I1053" s="49">
        <f>INDEX(PeakCalc!$L$10:$L$303,MATCH(tblPivotData[[#This Row],[Time]],PeakCalc!$G$10:$G$303,0))</f>
        <v>1</v>
      </c>
    </row>
    <row r="1054" spans="1:9" x14ac:dyDescent="0.25">
      <c r="A1054" t="s">
        <v>98</v>
      </c>
      <c r="B1054" t="s">
        <v>112</v>
      </c>
      <c r="C1054" t="s">
        <v>95</v>
      </c>
      <c r="D1054" t="s">
        <v>89</v>
      </c>
      <c r="E1054" t="s">
        <v>44</v>
      </c>
      <c r="F1054" s="6">
        <v>0.66666666666666663</v>
      </c>
      <c r="G1054">
        <v>0</v>
      </c>
      <c r="H1054" s="6">
        <f>FLOOR(tblPivotData[[#This Row],[Time]],Summary!$B$6/1440)</f>
        <v>0.66666666666666663</v>
      </c>
      <c r="I1054" s="49">
        <f>INDEX(PeakCalc!$L$10:$L$303,MATCH(tblPivotData[[#This Row],[Time]],PeakCalc!$G$10:$G$303,0))</f>
        <v>0</v>
      </c>
    </row>
    <row r="1055" spans="1:9" x14ac:dyDescent="0.25">
      <c r="A1055" t="s">
        <v>98</v>
      </c>
      <c r="B1055" t="s">
        <v>112</v>
      </c>
      <c r="C1055" t="s">
        <v>95</v>
      </c>
      <c r="D1055" t="s">
        <v>89</v>
      </c>
      <c r="E1055" t="s">
        <v>44</v>
      </c>
      <c r="F1055" s="6">
        <v>0.67708333333333337</v>
      </c>
      <c r="G1055">
        <v>0</v>
      </c>
      <c r="H1055" s="6">
        <f>FLOOR(tblPivotData[[#This Row],[Time]],Summary!$B$6/1440)</f>
        <v>0.67708333333333326</v>
      </c>
      <c r="I1055" s="49">
        <f>INDEX(PeakCalc!$L$10:$L$303,MATCH(tblPivotData[[#This Row],[Time]],PeakCalc!$G$10:$G$303,0))</f>
        <v>0</v>
      </c>
    </row>
    <row r="1056" spans="1:9" x14ac:dyDescent="0.25">
      <c r="A1056" t="s">
        <v>98</v>
      </c>
      <c r="B1056" t="s">
        <v>112</v>
      </c>
      <c r="C1056" t="s">
        <v>95</v>
      </c>
      <c r="D1056" t="s">
        <v>89</v>
      </c>
      <c r="E1056" t="s">
        <v>44</v>
      </c>
      <c r="F1056" s="6">
        <v>0.6875</v>
      </c>
      <c r="G1056">
        <v>0</v>
      </c>
      <c r="H1056" s="6">
        <f>FLOOR(tblPivotData[[#This Row],[Time]],Summary!$B$6/1440)</f>
        <v>0.6875</v>
      </c>
      <c r="I1056" s="49">
        <f>INDEX(PeakCalc!$L$10:$L$303,MATCH(tblPivotData[[#This Row],[Time]],PeakCalc!$G$10:$G$303,0))</f>
        <v>0</v>
      </c>
    </row>
    <row r="1057" spans="1:9" x14ac:dyDescent="0.25">
      <c r="A1057" t="s">
        <v>98</v>
      </c>
      <c r="B1057" t="s">
        <v>112</v>
      </c>
      <c r="C1057" t="s">
        <v>95</v>
      </c>
      <c r="D1057" t="s">
        <v>89</v>
      </c>
      <c r="E1057" t="s">
        <v>44</v>
      </c>
      <c r="F1057" s="6">
        <v>0.69791666666666663</v>
      </c>
      <c r="G1057">
        <v>0</v>
      </c>
      <c r="H1057" s="6">
        <f>FLOOR(tblPivotData[[#This Row],[Time]],Summary!$B$6/1440)</f>
        <v>0.69791666666666663</v>
      </c>
      <c r="I1057" s="49">
        <f>INDEX(PeakCalc!$L$10:$L$303,MATCH(tblPivotData[[#This Row],[Time]],PeakCalc!$G$10:$G$303,0))</f>
        <v>1</v>
      </c>
    </row>
    <row r="1058" spans="1:9" x14ac:dyDescent="0.25">
      <c r="A1058" t="s">
        <v>98</v>
      </c>
      <c r="B1058" t="s">
        <v>112</v>
      </c>
      <c r="C1058" t="s">
        <v>95</v>
      </c>
      <c r="D1058" t="s">
        <v>89</v>
      </c>
      <c r="E1058" t="s">
        <v>44</v>
      </c>
      <c r="F1058" s="6">
        <v>0.70833333333333337</v>
      </c>
      <c r="G1058">
        <v>0</v>
      </c>
      <c r="H1058" s="6">
        <f>FLOOR(tblPivotData[[#This Row],[Time]],Summary!$B$6/1440)</f>
        <v>0.70833333333333326</v>
      </c>
      <c r="I1058" s="49">
        <f>INDEX(PeakCalc!$L$10:$L$303,MATCH(tblPivotData[[#This Row],[Time]],PeakCalc!$G$10:$G$303,0))</f>
        <v>1</v>
      </c>
    </row>
    <row r="1059" spans="1:9" x14ac:dyDescent="0.25">
      <c r="A1059" t="s">
        <v>98</v>
      </c>
      <c r="B1059" t="s">
        <v>112</v>
      </c>
      <c r="C1059" t="s">
        <v>95</v>
      </c>
      <c r="D1059" t="s">
        <v>89</v>
      </c>
      <c r="E1059" t="s">
        <v>44</v>
      </c>
      <c r="F1059" s="6">
        <v>0.71875</v>
      </c>
      <c r="G1059">
        <v>0</v>
      </c>
      <c r="H1059" s="6">
        <f>FLOOR(tblPivotData[[#This Row],[Time]],Summary!$B$6/1440)</f>
        <v>0.71875</v>
      </c>
      <c r="I1059" s="49">
        <f>INDEX(PeakCalc!$L$10:$L$303,MATCH(tblPivotData[[#This Row],[Time]],PeakCalc!$G$10:$G$303,0))</f>
        <v>1</v>
      </c>
    </row>
    <row r="1060" spans="1:9" x14ac:dyDescent="0.25">
      <c r="A1060" t="s">
        <v>98</v>
      </c>
      <c r="B1060" t="s">
        <v>112</v>
      </c>
      <c r="C1060" t="s">
        <v>95</v>
      </c>
      <c r="D1060" t="s">
        <v>89</v>
      </c>
      <c r="E1060" t="s">
        <v>44</v>
      </c>
      <c r="F1060" s="6">
        <v>0.72916666666666663</v>
      </c>
      <c r="G1060">
        <v>0</v>
      </c>
      <c r="H1060" s="6">
        <f>FLOOR(tblPivotData[[#This Row],[Time]],Summary!$B$6/1440)</f>
        <v>0.72916666666666663</v>
      </c>
      <c r="I1060" s="49">
        <f>INDEX(PeakCalc!$L$10:$L$303,MATCH(tblPivotData[[#This Row],[Time]],PeakCalc!$G$10:$G$303,0))</f>
        <v>1</v>
      </c>
    </row>
    <row r="1061" spans="1:9" x14ac:dyDescent="0.25">
      <c r="A1061" t="s">
        <v>98</v>
      </c>
      <c r="B1061" t="s">
        <v>112</v>
      </c>
      <c r="C1061" t="s">
        <v>95</v>
      </c>
      <c r="D1061" t="s">
        <v>89</v>
      </c>
      <c r="E1061" t="s">
        <v>44</v>
      </c>
      <c r="F1061" s="6">
        <v>0.73958333333333337</v>
      </c>
      <c r="G1061">
        <v>0</v>
      </c>
      <c r="H1061" s="6">
        <f>FLOOR(tblPivotData[[#This Row],[Time]],Summary!$B$6/1440)</f>
        <v>0.73958333333333326</v>
      </c>
      <c r="I1061" s="49">
        <f>INDEX(PeakCalc!$L$10:$L$303,MATCH(tblPivotData[[#This Row],[Time]],PeakCalc!$G$10:$G$303,0))</f>
        <v>0</v>
      </c>
    </row>
    <row r="1062" spans="1:9" x14ac:dyDescent="0.25">
      <c r="A1062" t="s">
        <v>98</v>
      </c>
      <c r="B1062" t="s">
        <v>112</v>
      </c>
      <c r="C1062" t="s">
        <v>95</v>
      </c>
      <c r="D1062" t="s">
        <v>90</v>
      </c>
      <c r="E1062" t="s">
        <v>43</v>
      </c>
      <c r="F1062" s="6">
        <v>0.29166666666666669</v>
      </c>
      <c r="G1062">
        <v>0</v>
      </c>
      <c r="H1062" s="6">
        <f>FLOOR(tblPivotData[[#This Row],[Time]],Summary!$B$6/1440)</f>
        <v>0.29166666666666663</v>
      </c>
      <c r="I1062" s="49">
        <f>INDEX(PeakCalc!$L$10:$L$303,MATCH(tblPivotData[[#This Row],[Time]],PeakCalc!$G$10:$G$303,0))</f>
        <v>0</v>
      </c>
    </row>
    <row r="1063" spans="1:9" x14ac:dyDescent="0.25">
      <c r="A1063" t="s">
        <v>98</v>
      </c>
      <c r="B1063" t="s">
        <v>112</v>
      </c>
      <c r="C1063" t="s">
        <v>95</v>
      </c>
      <c r="D1063" t="s">
        <v>90</v>
      </c>
      <c r="E1063" t="s">
        <v>43</v>
      </c>
      <c r="F1063" s="6">
        <v>0.30208333333333331</v>
      </c>
      <c r="G1063">
        <v>0</v>
      </c>
      <c r="H1063" s="6">
        <f>FLOOR(tblPivotData[[#This Row],[Time]],Summary!$B$6/1440)</f>
        <v>0.30208333333333331</v>
      </c>
      <c r="I1063" s="49">
        <f>INDEX(PeakCalc!$L$10:$L$303,MATCH(tblPivotData[[#This Row],[Time]],PeakCalc!$G$10:$G$303,0))</f>
        <v>0</v>
      </c>
    </row>
    <row r="1064" spans="1:9" x14ac:dyDescent="0.25">
      <c r="A1064" t="s">
        <v>98</v>
      </c>
      <c r="B1064" t="s">
        <v>112</v>
      </c>
      <c r="C1064" t="s">
        <v>95</v>
      </c>
      <c r="D1064" t="s">
        <v>90</v>
      </c>
      <c r="E1064" t="s">
        <v>43</v>
      </c>
      <c r="F1064" s="6">
        <v>0.3125</v>
      </c>
      <c r="G1064">
        <v>0</v>
      </c>
      <c r="H1064" s="6">
        <f>FLOOR(tblPivotData[[#This Row],[Time]],Summary!$B$6/1440)</f>
        <v>0.3125</v>
      </c>
      <c r="I1064" s="49">
        <f>INDEX(PeakCalc!$L$10:$L$303,MATCH(tblPivotData[[#This Row],[Time]],PeakCalc!$G$10:$G$303,0))</f>
        <v>0</v>
      </c>
    </row>
    <row r="1065" spans="1:9" x14ac:dyDescent="0.25">
      <c r="A1065" t="s">
        <v>98</v>
      </c>
      <c r="B1065" t="s">
        <v>112</v>
      </c>
      <c r="C1065" t="s">
        <v>95</v>
      </c>
      <c r="D1065" t="s">
        <v>90</v>
      </c>
      <c r="E1065" t="s">
        <v>43</v>
      </c>
      <c r="F1065" s="6">
        <v>0.32291666666666669</v>
      </c>
      <c r="G1065">
        <v>0</v>
      </c>
      <c r="H1065" s="6">
        <f>FLOOR(tblPivotData[[#This Row],[Time]],Summary!$B$6/1440)</f>
        <v>0.32291666666666663</v>
      </c>
      <c r="I1065" s="49">
        <f>INDEX(PeakCalc!$L$10:$L$303,MATCH(tblPivotData[[#This Row],[Time]],PeakCalc!$G$10:$G$303,0))</f>
        <v>0</v>
      </c>
    </row>
    <row r="1066" spans="1:9" x14ac:dyDescent="0.25">
      <c r="A1066" t="s">
        <v>98</v>
      </c>
      <c r="B1066" t="s">
        <v>112</v>
      </c>
      <c r="C1066" t="s">
        <v>95</v>
      </c>
      <c r="D1066" t="s">
        <v>90</v>
      </c>
      <c r="E1066" t="s">
        <v>43</v>
      </c>
      <c r="F1066" s="6">
        <v>0.33333333333333331</v>
      </c>
      <c r="G1066">
        <v>0</v>
      </c>
      <c r="H1066" s="6">
        <f>FLOOR(tblPivotData[[#This Row],[Time]],Summary!$B$6/1440)</f>
        <v>0.33333333333333331</v>
      </c>
      <c r="I1066" s="49">
        <f>INDEX(PeakCalc!$L$10:$L$303,MATCH(tblPivotData[[#This Row],[Time]],PeakCalc!$G$10:$G$303,0))</f>
        <v>1</v>
      </c>
    </row>
    <row r="1067" spans="1:9" x14ac:dyDescent="0.25">
      <c r="A1067" t="s">
        <v>98</v>
      </c>
      <c r="B1067" t="s">
        <v>112</v>
      </c>
      <c r="C1067" t="s">
        <v>95</v>
      </c>
      <c r="D1067" t="s">
        <v>90</v>
      </c>
      <c r="E1067" t="s">
        <v>43</v>
      </c>
      <c r="F1067" s="6">
        <v>0.34375</v>
      </c>
      <c r="G1067">
        <v>0</v>
      </c>
      <c r="H1067" s="6">
        <f>FLOOR(tblPivotData[[#This Row],[Time]],Summary!$B$6/1440)</f>
        <v>0.34375</v>
      </c>
      <c r="I1067" s="49">
        <f>INDEX(PeakCalc!$L$10:$L$303,MATCH(tblPivotData[[#This Row],[Time]],PeakCalc!$G$10:$G$303,0))</f>
        <v>1</v>
      </c>
    </row>
    <row r="1068" spans="1:9" x14ac:dyDescent="0.25">
      <c r="A1068" t="s">
        <v>98</v>
      </c>
      <c r="B1068" t="s">
        <v>112</v>
      </c>
      <c r="C1068" t="s">
        <v>95</v>
      </c>
      <c r="D1068" t="s">
        <v>90</v>
      </c>
      <c r="E1068" t="s">
        <v>43</v>
      </c>
      <c r="F1068" s="6">
        <v>0.35416666666666669</v>
      </c>
      <c r="G1068">
        <v>0</v>
      </c>
      <c r="H1068" s="6">
        <f>FLOOR(tblPivotData[[#This Row],[Time]],Summary!$B$6/1440)</f>
        <v>0.35416666666666663</v>
      </c>
      <c r="I1068" s="49">
        <f>INDEX(PeakCalc!$L$10:$L$303,MATCH(tblPivotData[[#This Row],[Time]],PeakCalc!$G$10:$G$303,0))</f>
        <v>1</v>
      </c>
    </row>
    <row r="1069" spans="1:9" x14ac:dyDescent="0.25">
      <c r="A1069" t="s">
        <v>98</v>
      </c>
      <c r="B1069" t="s">
        <v>112</v>
      </c>
      <c r="C1069" t="s">
        <v>95</v>
      </c>
      <c r="D1069" t="s">
        <v>90</v>
      </c>
      <c r="E1069" t="s">
        <v>43</v>
      </c>
      <c r="F1069" s="6">
        <v>0.36458333333333331</v>
      </c>
      <c r="G1069">
        <v>0</v>
      </c>
      <c r="H1069" s="6">
        <f>FLOOR(tblPivotData[[#This Row],[Time]],Summary!$B$6/1440)</f>
        <v>0.36458333333333331</v>
      </c>
      <c r="I1069" s="49">
        <f>INDEX(PeakCalc!$L$10:$L$303,MATCH(tblPivotData[[#This Row],[Time]],PeakCalc!$G$10:$G$303,0))</f>
        <v>1</v>
      </c>
    </row>
    <row r="1070" spans="1:9" x14ac:dyDescent="0.25">
      <c r="A1070" t="s">
        <v>98</v>
      </c>
      <c r="B1070" t="s">
        <v>112</v>
      </c>
      <c r="C1070" t="s">
        <v>95</v>
      </c>
      <c r="D1070" t="s">
        <v>90</v>
      </c>
      <c r="E1070" t="s">
        <v>91</v>
      </c>
      <c r="F1070" s="6">
        <v>0.54166666666666663</v>
      </c>
      <c r="G1070">
        <v>0</v>
      </c>
      <c r="H1070" s="6">
        <f>FLOOR(tblPivotData[[#This Row],[Time]],Summary!$B$6/1440)</f>
        <v>0.54166666666666663</v>
      </c>
      <c r="I1070" s="49">
        <f>INDEX(PeakCalc!$L$10:$L$303,MATCH(tblPivotData[[#This Row],[Time]],PeakCalc!$G$10:$G$303,0))</f>
        <v>1</v>
      </c>
    </row>
    <row r="1071" spans="1:9" x14ac:dyDescent="0.25">
      <c r="A1071" t="s">
        <v>98</v>
      </c>
      <c r="B1071" t="s">
        <v>112</v>
      </c>
      <c r="C1071" t="s">
        <v>95</v>
      </c>
      <c r="D1071" t="s">
        <v>90</v>
      </c>
      <c r="E1071" t="s">
        <v>91</v>
      </c>
      <c r="F1071" s="6">
        <v>0.55208333333333337</v>
      </c>
      <c r="G1071">
        <v>0</v>
      </c>
      <c r="H1071" s="6">
        <f>FLOOR(tblPivotData[[#This Row],[Time]],Summary!$B$6/1440)</f>
        <v>0.55208333333333326</v>
      </c>
      <c r="I1071" s="49">
        <f>INDEX(PeakCalc!$L$10:$L$303,MATCH(tblPivotData[[#This Row],[Time]],PeakCalc!$G$10:$G$303,0))</f>
        <v>1</v>
      </c>
    </row>
    <row r="1072" spans="1:9" x14ac:dyDescent="0.25">
      <c r="A1072" t="s">
        <v>98</v>
      </c>
      <c r="B1072" t="s">
        <v>112</v>
      </c>
      <c r="C1072" t="s">
        <v>95</v>
      </c>
      <c r="D1072" t="s">
        <v>90</v>
      </c>
      <c r="E1072" t="s">
        <v>91</v>
      </c>
      <c r="F1072" s="6">
        <v>0.5625</v>
      </c>
      <c r="G1072">
        <v>0</v>
      </c>
      <c r="H1072" s="6">
        <f>FLOOR(tblPivotData[[#This Row],[Time]],Summary!$B$6/1440)</f>
        <v>0.5625</v>
      </c>
      <c r="I1072" s="49">
        <f>INDEX(PeakCalc!$L$10:$L$303,MATCH(tblPivotData[[#This Row],[Time]],PeakCalc!$G$10:$G$303,0))</f>
        <v>1</v>
      </c>
    </row>
    <row r="1073" spans="1:9" x14ac:dyDescent="0.25">
      <c r="A1073" t="s">
        <v>98</v>
      </c>
      <c r="B1073" t="s">
        <v>112</v>
      </c>
      <c r="C1073" t="s">
        <v>95</v>
      </c>
      <c r="D1073" t="s">
        <v>90</v>
      </c>
      <c r="E1073" t="s">
        <v>91</v>
      </c>
      <c r="F1073" s="6">
        <v>0.57291666666666663</v>
      </c>
      <c r="G1073">
        <v>0</v>
      </c>
      <c r="H1073" s="6">
        <f>FLOOR(tblPivotData[[#This Row],[Time]],Summary!$B$6/1440)</f>
        <v>0.57291666666666663</v>
      </c>
      <c r="I1073" s="49">
        <f>INDEX(PeakCalc!$L$10:$L$303,MATCH(tblPivotData[[#This Row],[Time]],PeakCalc!$G$10:$G$303,0))</f>
        <v>1</v>
      </c>
    </row>
    <row r="1074" spans="1:9" x14ac:dyDescent="0.25">
      <c r="A1074" t="s">
        <v>98</v>
      </c>
      <c r="B1074" t="s">
        <v>112</v>
      </c>
      <c r="C1074" t="s">
        <v>95</v>
      </c>
      <c r="D1074" t="s">
        <v>90</v>
      </c>
      <c r="E1074" t="s">
        <v>44</v>
      </c>
      <c r="F1074" s="6">
        <v>0.66666666666666663</v>
      </c>
      <c r="G1074">
        <v>0</v>
      </c>
      <c r="H1074" s="6">
        <f>FLOOR(tblPivotData[[#This Row],[Time]],Summary!$B$6/1440)</f>
        <v>0.66666666666666663</v>
      </c>
      <c r="I1074" s="49">
        <f>INDEX(PeakCalc!$L$10:$L$303,MATCH(tblPivotData[[#This Row],[Time]],PeakCalc!$G$10:$G$303,0))</f>
        <v>0</v>
      </c>
    </row>
    <row r="1075" spans="1:9" x14ac:dyDescent="0.25">
      <c r="A1075" t="s">
        <v>98</v>
      </c>
      <c r="B1075" t="s">
        <v>112</v>
      </c>
      <c r="C1075" t="s">
        <v>95</v>
      </c>
      <c r="D1075" t="s">
        <v>90</v>
      </c>
      <c r="E1075" t="s">
        <v>44</v>
      </c>
      <c r="F1075" s="6">
        <v>0.67708333333333337</v>
      </c>
      <c r="G1075">
        <v>0</v>
      </c>
      <c r="H1075" s="6">
        <f>FLOOR(tblPivotData[[#This Row],[Time]],Summary!$B$6/1440)</f>
        <v>0.67708333333333326</v>
      </c>
      <c r="I1075" s="49">
        <f>INDEX(PeakCalc!$L$10:$L$303,MATCH(tblPivotData[[#This Row],[Time]],PeakCalc!$G$10:$G$303,0))</f>
        <v>0</v>
      </c>
    </row>
    <row r="1076" spans="1:9" x14ac:dyDescent="0.25">
      <c r="A1076" t="s">
        <v>98</v>
      </c>
      <c r="B1076" t="s">
        <v>112</v>
      </c>
      <c r="C1076" t="s">
        <v>95</v>
      </c>
      <c r="D1076" t="s">
        <v>90</v>
      </c>
      <c r="E1076" t="s">
        <v>44</v>
      </c>
      <c r="F1076" s="6">
        <v>0.6875</v>
      </c>
      <c r="G1076">
        <v>0</v>
      </c>
      <c r="H1076" s="6">
        <f>FLOOR(tblPivotData[[#This Row],[Time]],Summary!$B$6/1440)</f>
        <v>0.6875</v>
      </c>
      <c r="I1076" s="49">
        <f>INDEX(PeakCalc!$L$10:$L$303,MATCH(tblPivotData[[#This Row],[Time]],PeakCalc!$G$10:$G$303,0))</f>
        <v>0</v>
      </c>
    </row>
    <row r="1077" spans="1:9" x14ac:dyDescent="0.25">
      <c r="A1077" t="s">
        <v>98</v>
      </c>
      <c r="B1077" t="s">
        <v>112</v>
      </c>
      <c r="C1077" t="s">
        <v>95</v>
      </c>
      <c r="D1077" t="s">
        <v>90</v>
      </c>
      <c r="E1077" t="s">
        <v>44</v>
      </c>
      <c r="F1077" s="6">
        <v>0.69791666666666663</v>
      </c>
      <c r="G1077">
        <v>0</v>
      </c>
      <c r="H1077" s="6">
        <f>FLOOR(tblPivotData[[#This Row],[Time]],Summary!$B$6/1440)</f>
        <v>0.69791666666666663</v>
      </c>
      <c r="I1077" s="49">
        <f>INDEX(PeakCalc!$L$10:$L$303,MATCH(tblPivotData[[#This Row],[Time]],PeakCalc!$G$10:$G$303,0))</f>
        <v>1</v>
      </c>
    </row>
    <row r="1078" spans="1:9" x14ac:dyDescent="0.25">
      <c r="A1078" t="s">
        <v>98</v>
      </c>
      <c r="B1078" t="s">
        <v>112</v>
      </c>
      <c r="C1078" t="s">
        <v>95</v>
      </c>
      <c r="D1078" t="s">
        <v>90</v>
      </c>
      <c r="E1078" t="s">
        <v>44</v>
      </c>
      <c r="F1078" s="6">
        <v>0.70833333333333337</v>
      </c>
      <c r="G1078">
        <v>0</v>
      </c>
      <c r="H1078" s="6">
        <f>FLOOR(tblPivotData[[#This Row],[Time]],Summary!$B$6/1440)</f>
        <v>0.70833333333333326</v>
      </c>
      <c r="I1078" s="49">
        <f>INDEX(PeakCalc!$L$10:$L$303,MATCH(tblPivotData[[#This Row],[Time]],PeakCalc!$G$10:$G$303,0))</f>
        <v>1</v>
      </c>
    </row>
    <row r="1079" spans="1:9" x14ac:dyDescent="0.25">
      <c r="A1079" t="s">
        <v>98</v>
      </c>
      <c r="B1079" t="s">
        <v>112</v>
      </c>
      <c r="C1079" t="s">
        <v>95</v>
      </c>
      <c r="D1079" t="s">
        <v>90</v>
      </c>
      <c r="E1079" t="s">
        <v>44</v>
      </c>
      <c r="F1079" s="6">
        <v>0.71875</v>
      </c>
      <c r="G1079">
        <v>0</v>
      </c>
      <c r="H1079" s="6">
        <f>FLOOR(tblPivotData[[#This Row],[Time]],Summary!$B$6/1440)</f>
        <v>0.71875</v>
      </c>
      <c r="I1079" s="49">
        <f>INDEX(PeakCalc!$L$10:$L$303,MATCH(tblPivotData[[#This Row],[Time]],PeakCalc!$G$10:$G$303,0))</f>
        <v>1</v>
      </c>
    </row>
    <row r="1080" spans="1:9" x14ac:dyDescent="0.25">
      <c r="A1080" t="s">
        <v>98</v>
      </c>
      <c r="B1080" t="s">
        <v>112</v>
      </c>
      <c r="C1080" t="s">
        <v>95</v>
      </c>
      <c r="D1080" t="s">
        <v>90</v>
      </c>
      <c r="E1080" t="s">
        <v>44</v>
      </c>
      <c r="F1080" s="6">
        <v>0.72916666666666663</v>
      </c>
      <c r="G1080">
        <v>0</v>
      </c>
      <c r="H1080" s="6">
        <f>FLOOR(tblPivotData[[#This Row],[Time]],Summary!$B$6/1440)</f>
        <v>0.72916666666666663</v>
      </c>
      <c r="I1080" s="49">
        <f>INDEX(PeakCalc!$L$10:$L$303,MATCH(tblPivotData[[#This Row],[Time]],PeakCalc!$G$10:$G$303,0))</f>
        <v>1</v>
      </c>
    </row>
    <row r="1081" spans="1:9" x14ac:dyDescent="0.25">
      <c r="A1081" t="s">
        <v>98</v>
      </c>
      <c r="B1081" t="s">
        <v>112</v>
      </c>
      <c r="C1081" t="s">
        <v>95</v>
      </c>
      <c r="D1081" t="s">
        <v>90</v>
      </c>
      <c r="E1081" t="s">
        <v>44</v>
      </c>
      <c r="F1081" s="6">
        <v>0.73958333333333337</v>
      </c>
      <c r="G1081">
        <v>0</v>
      </c>
      <c r="H1081" s="6">
        <f>FLOOR(tblPivotData[[#This Row],[Time]],Summary!$B$6/1440)</f>
        <v>0.73958333333333326</v>
      </c>
      <c r="I1081" s="49">
        <f>INDEX(PeakCalc!$L$10:$L$303,MATCH(tblPivotData[[#This Row],[Time]],PeakCalc!$G$10:$G$303,0))</f>
        <v>0</v>
      </c>
    </row>
    <row r="1082" spans="1:9" x14ac:dyDescent="0.25">
      <c r="A1082" t="s">
        <v>98</v>
      </c>
      <c r="B1082" t="s">
        <v>113</v>
      </c>
      <c r="C1082" t="s">
        <v>96</v>
      </c>
      <c r="D1082" t="s">
        <v>79</v>
      </c>
      <c r="E1082" t="s">
        <v>43</v>
      </c>
      <c r="F1082" s="6">
        <v>0.29166666666666669</v>
      </c>
      <c r="G1082">
        <v>1</v>
      </c>
      <c r="H1082" s="6">
        <f>FLOOR(tblPivotData[[#This Row],[Time]],Summary!$B$6/1440)</f>
        <v>0.29166666666666663</v>
      </c>
      <c r="I1082" s="49">
        <f>INDEX(PeakCalc!$L$10:$L$303,MATCH(tblPivotData[[#This Row],[Time]],PeakCalc!$G$10:$G$303,0))</f>
        <v>0</v>
      </c>
    </row>
    <row r="1083" spans="1:9" x14ac:dyDescent="0.25">
      <c r="A1083" t="s">
        <v>98</v>
      </c>
      <c r="B1083" t="s">
        <v>113</v>
      </c>
      <c r="C1083" t="s">
        <v>96</v>
      </c>
      <c r="D1083" t="s">
        <v>79</v>
      </c>
      <c r="E1083" t="s">
        <v>43</v>
      </c>
      <c r="F1083" s="6">
        <v>0.30208333333333331</v>
      </c>
      <c r="G1083">
        <v>4</v>
      </c>
      <c r="H1083" s="6">
        <f>FLOOR(tblPivotData[[#This Row],[Time]],Summary!$B$6/1440)</f>
        <v>0.30208333333333331</v>
      </c>
      <c r="I1083" s="49">
        <f>INDEX(PeakCalc!$L$10:$L$303,MATCH(tblPivotData[[#This Row],[Time]],PeakCalc!$G$10:$G$303,0))</f>
        <v>0</v>
      </c>
    </row>
    <row r="1084" spans="1:9" x14ac:dyDescent="0.25">
      <c r="A1084" t="s">
        <v>98</v>
      </c>
      <c r="B1084" t="s">
        <v>113</v>
      </c>
      <c r="C1084" t="s">
        <v>96</v>
      </c>
      <c r="D1084" t="s">
        <v>79</v>
      </c>
      <c r="E1084" t="s">
        <v>43</v>
      </c>
      <c r="F1084" s="6">
        <v>0.3125</v>
      </c>
      <c r="G1084">
        <v>2</v>
      </c>
      <c r="H1084" s="6">
        <f>FLOOR(tblPivotData[[#This Row],[Time]],Summary!$B$6/1440)</f>
        <v>0.3125</v>
      </c>
      <c r="I1084" s="49">
        <f>INDEX(PeakCalc!$L$10:$L$303,MATCH(tblPivotData[[#This Row],[Time]],PeakCalc!$G$10:$G$303,0))</f>
        <v>0</v>
      </c>
    </row>
    <row r="1085" spans="1:9" x14ac:dyDescent="0.25">
      <c r="A1085" t="s">
        <v>98</v>
      </c>
      <c r="B1085" t="s">
        <v>113</v>
      </c>
      <c r="C1085" t="s">
        <v>96</v>
      </c>
      <c r="D1085" t="s">
        <v>79</v>
      </c>
      <c r="E1085" t="s">
        <v>43</v>
      </c>
      <c r="F1085" s="6">
        <v>0.32291666666666669</v>
      </c>
      <c r="G1085">
        <v>5</v>
      </c>
      <c r="H1085" s="6">
        <f>FLOOR(tblPivotData[[#This Row],[Time]],Summary!$B$6/1440)</f>
        <v>0.32291666666666663</v>
      </c>
      <c r="I1085" s="49">
        <f>INDEX(PeakCalc!$L$10:$L$303,MATCH(tblPivotData[[#This Row],[Time]],PeakCalc!$G$10:$G$303,0))</f>
        <v>0</v>
      </c>
    </row>
    <row r="1086" spans="1:9" x14ac:dyDescent="0.25">
      <c r="A1086" t="s">
        <v>98</v>
      </c>
      <c r="B1086" t="s">
        <v>113</v>
      </c>
      <c r="C1086" t="s">
        <v>96</v>
      </c>
      <c r="D1086" t="s">
        <v>79</v>
      </c>
      <c r="E1086" t="s">
        <v>43</v>
      </c>
      <c r="F1086" s="6">
        <v>0.33333333333333331</v>
      </c>
      <c r="G1086">
        <v>6</v>
      </c>
      <c r="H1086" s="6">
        <f>FLOOR(tblPivotData[[#This Row],[Time]],Summary!$B$6/1440)</f>
        <v>0.33333333333333331</v>
      </c>
      <c r="I1086" s="49">
        <f>INDEX(PeakCalc!$L$10:$L$303,MATCH(tblPivotData[[#This Row],[Time]],PeakCalc!$G$10:$G$303,0))</f>
        <v>1</v>
      </c>
    </row>
    <row r="1087" spans="1:9" x14ac:dyDescent="0.25">
      <c r="A1087" t="s">
        <v>98</v>
      </c>
      <c r="B1087" t="s">
        <v>113</v>
      </c>
      <c r="C1087" t="s">
        <v>96</v>
      </c>
      <c r="D1087" t="s">
        <v>79</v>
      </c>
      <c r="E1087" t="s">
        <v>43</v>
      </c>
      <c r="F1087" s="6">
        <v>0.34375</v>
      </c>
      <c r="G1087">
        <v>16</v>
      </c>
      <c r="H1087" s="6">
        <f>FLOOR(tblPivotData[[#This Row],[Time]],Summary!$B$6/1440)</f>
        <v>0.34375</v>
      </c>
      <c r="I1087" s="49">
        <f>INDEX(PeakCalc!$L$10:$L$303,MATCH(tblPivotData[[#This Row],[Time]],PeakCalc!$G$10:$G$303,0))</f>
        <v>1</v>
      </c>
    </row>
    <row r="1088" spans="1:9" x14ac:dyDescent="0.25">
      <c r="A1088" t="s">
        <v>98</v>
      </c>
      <c r="B1088" t="s">
        <v>113</v>
      </c>
      <c r="C1088" t="s">
        <v>96</v>
      </c>
      <c r="D1088" t="s">
        <v>79</v>
      </c>
      <c r="E1088" t="s">
        <v>43</v>
      </c>
      <c r="F1088" s="6">
        <v>0.35416666666666669</v>
      </c>
      <c r="G1088">
        <v>16</v>
      </c>
      <c r="H1088" s="6">
        <f>FLOOR(tblPivotData[[#This Row],[Time]],Summary!$B$6/1440)</f>
        <v>0.35416666666666663</v>
      </c>
      <c r="I1088" s="49">
        <f>INDEX(PeakCalc!$L$10:$L$303,MATCH(tblPivotData[[#This Row],[Time]],PeakCalc!$G$10:$G$303,0))</f>
        <v>1</v>
      </c>
    </row>
    <row r="1089" spans="1:9" x14ac:dyDescent="0.25">
      <c r="A1089" t="s">
        <v>98</v>
      </c>
      <c r="B1089" t="s">
        <v>113</v>
      </c>
      <c r="C1089" t="s">
        <v>96</v>
      </c>
      <c r="D1089" t="s">
        <v>79</v>
      </c>
      <c r="E1089" t="s">
        <v>43</v>
      </c>
      <c r="F1089" s="6">
        <v>0.36458333333333331</v>
      </c>
      <c r="G1089">
        <v>11</v>
      </c>
      <c r="H1089" s="6">
        <f>FLOOR(tblPivotData[[#This Row],[Time]],Summary!$B$6/1440)</f>
        <v>0.36458333333333331</v>
      </c>
      <c r="I1089" s="49">
        <f>INDEX(PeakCalc!$L$10:$L$303,MATCH(tblPivotData[[#This Row],[Time]],PeakCalc!$G$10:$G$303,0))</f>
        <v>1</v>
      </c>
    </row>
    <row r="1090" spans="1:9" x14ac:dyDescent="0.25">
      <c r="A1090" t="s">
        <v>98</v>
      </c>
      <c r="B1090" t="s">
        <v>113</v>
      </c>
      <c r="C1090" t="s">
        <v>96</v>
      </c>
      <c r="D1090" t="s">
        <v>79</v>
      </c>
      <c r="E1090" t="s">
        <v>91</v>
      </c>
      <c r="F1090" s="6">
        <v>0.54166666666666663</v>
      </c>
      <c r="G1090">
        <v>4</v>
      </c>
      <c r="H1090" s="6">
        <f>FLOOR(tblPivotData[[#This Row],[Time]],Summary!$B$6/1440)</f>
        <v>0.54166666666666663</v>
      </c>
      <c r="I1090" s="49">
        <f>INDEX(PeakCalc!$L$10:$L$303,MATCH(tblPivotData[[#This Row],[Time]],PeakCalc!$G$10:$G$303,0))</f>
        <v>1</v>
      </c>
    </row>
    <row r="1091" spans="1:9" x14ac:dyDescent="0.25">
      <c r="A1091" t="s">
        <v>98</v>
      </c>
      <c r="B1091" t="s">
        <v>113</v>
      </c>
      <c r="C1091" t="s">
        <v>96</v>
      </c>
      <c r="D1091" t="s">
        <v>79</v>
      </c>
      <c r="E1091" t="s">
        <v>91</v>
      </c>
      <c r="F1091" s="6">
        <v>0.55208333333333337</v>
      </c>
      <c r="G1091">
        <v>6</v>
      </c>
      <c r="H1091" s="6">
        <f>FLOOR(tblPivotData[[#This Row],[Time]],Summary!$B$6/1440)</f>
        <v>0.55208333333333326</v>
      </c>
      <c r="I1091" s="49">
        <f>INDEX(PeakCalc!$L$10:$L$303,MATCH(tblPivotData[[#This Row],[Time]],PeakCalc!$G$10:$G$303,0))</f>
        <v>1</v>
      </c>
    </row>
    <row r="1092" spans="1:9" x14ac:dyDescent="0.25">
      <c r="A1092" t="s">
        <v>98</v>
      </c>
      <c r="B1092" t="s">
        <v>113</v>
      </c>
      <c r="C1092" t="s">
        <v>96</v>
      </c>
      <c r="D1092" t="s">
        <v>79</v>
      </c>
      <c r="E1092" t="s">
        <v>91</v>
      </c>
      <c r="F1092" s="6">
        <v>0.5625</v>
      </c>
      <c r="G1092">
        <v>4</v>
      </c>
      <c r="H1092" s="6">
        <f>FLOOR(tblPivotData[[#This Row],[Time]],Summary!$B$6/1440)</f>
        <v>0.5625</v>
      </c>
      <c r="I1092" s="49">
        <f>INDEX(PeakCalc!$L$10:$L$303,MATCH(tblPivotData[[#This Row],[Time]],PeakCalc!$G$10:$G$303,0))</f>
        <v>1</v>
      </c>
    </row>
    <row r="1093" spans="1:9" x14ac:dyDescent="0.25">
      <c r="A1093" t="s">
        <v>98</v>
      </c>
      <c r="B1093" t="s">
        <v>113</v>
      </c>
      <c r="C1093" t="s">
        <v>96</v>
      </c>
      <c r="D1093" t="s">
        <v>79</v>
      </c>
      <c r="E1093" t="s">
        <v>91</v>
      </c>
      <c r="F1093" s="6">
        <v>0.57291666666666663</v>
      </c>
      <c r="G1093">
        <v>5</v>
      </c>
      <c r="H1093" s="6">
        <f>FLOOR(tblPivotData[[#This Row],[Time]],Summary!$B$6/1440)</f>
        <v>0.57291666666666663</v>
      </c>
      <c r="I1093" s="49">
        <f>INDEX(PeakCalc!$L$10:$L$303,MATCH(tblPivotData[[#This Row],[Time]],PeakCalc!$G$10:$G$303,0))</f>
        <v>1</v>
      </c>
    </row>
    <row r="1094" spans="1:9" x14ac:dyDescent="0.25">
      <c r="A1094" t="s">
        <v>98</v>
      </c>
      <c r="B1094" t="s">
        <v>113</v>
      </c>
      <c r="C1094" t="s">
        <v>96</v>
      </c>
      <c r="D1094" t="s">
        <v>79</v>
      </c>
      <c r="E1094" t="s">
        <v>44</v>
      </c>
      <c r="F1094" s="6">
        <v>0.66666666666666663</v>
      </c>
      <c r="G1094">
        <v>8</v>
      </c>
      <c r="H1094" s="6">
        <f>FLOOR(tblPivotData[[#This Row],[Time]],Summary!$B$6/1440)</f>
        <v>0.66666666666666663</v>
      </c>
      <c r="I1094" s="49">
        <f>INDEX(PeakCalc!$L$10:$L$303,MATCH(tblPivotData[[#This Row],[Time]],PeakCalc!$G$10:$G$303,0))</f>
        <v>0</v>
      </c>
    </row>
    <row r="1095" spans="1:9" x14ac:dyDescent="0.25">
      <c r="A1095" t="s">
        <v>98</v>
      </c>
      <c r="B1095" t="s">
        <v>113</v>
      </c>
      <c r="C1095" t="s">
        <v>96</v>
      </c>
      <c r="D1095" t="s">
        <v>79</v>
      </c>
      <c r="E1095" t="s">
        <v>44</v>
      </c>
      <c r="F1095" s="6">
        <v>0.67708333333333337</v>
      </c>
      <c r="G1095">
        <v>10</v>
      </c>
      <c r="H1095" s="6">
        <f>FLOOR(tblPivotData[[#This Row],[Time]],Summary!$B$6/1440)</f>
        <v>0.67708333333333326</v>
      </c>
      <c r="I1095" s="49">
        <f>INDEX(PeakCalc!$L$10:$L$303,MATCH(tblPivotData[[#This Row],[Time]],PeakCalc!$G$10:$G$303,0))</f>
        <v>0</v>
      </c>
    </row>
    <row r="1096" spans="1:9" x14ac:dyDescent="0.25">
      <c r="A1096" t="s">
        <v>98</v>
      </c>
      <c r="B1096" t="s">
        <v>113</v>
      </c>
      <c r="C1096" t="s">
        <v>96</v>
      </c>
      <c r="D1096" t="s">
        <v>79</v>
      </c>
      <c r="E1096" t="s">
        <v>44</v>
      </c>
      <c r="F1096" s="6">
        <v>0.6875</v>
      </c>
      <c r="G1096">
        <v>13</v>
      </c>
      <c r="H1096" s="6">
        <f>FLOOR(tblPivotData[[#This Row],[Time]],Summary!$B$6/1440)</f>
        <v>0.6875</v>
      </c>
      <c r="I1096" s="49">
        <f>INDEX(PeakCalc!$L$10:$L$303,MATCH(tblPivotData[[#This Row],[Time]],PeakCalc!$G$10:$G$303,0))</f>
        <v>0</v>
      </c>
    </row>
    <row r="1097" spans="1:9" x14ac:dyDescent="0.25">
      <c r="A1097" t="s">
        <v>98</v>
      </c>
      <c r="B1097" t="s">
        <v>113</v>
      </c>
      <c r="C1097" t="s">
        <v>96</v>
      </c>
      <c r="D1097" t="s">
        <v>79</v>
      </c>
      <c r="E1097" t="s">
        <v>44</v>
      </c>
      <c r="F1097" s="6">
        <v>0.69791666666666663</v>
      </c>
      <c r="G1097">
        <v>8</v>
      </c>
      <c r="H1097" s="6">
        <f>FLOOR(tblPivotData[[#This Row],[Time]],Summary!$B$6/1440)</f>
        <v>0.69791666666666663</v>
      </c>
      <c r="I1097" s="49">
        <f>INDEX(PeakCalc!$L$10:$L$303,MATCH(tblPivotData[[#This Row],[Time]],PeakCalc!$G$10:$G$303,0))</f>
        <v>1</v>
      </c>
    </row>
    <row r="1098" spans="1:9" x14ac:dyDescent="0.25">
      <c r="A1098" t="s">
        <v>98</v>
      </c>
      <c r="B1098" t="s">
        <v>113</v>
      </c>
      <c r="C1098" t="s">
        <v>96</v>
      </c>
      <c r="D1098" t="s">
        <v>79</v>
      </c>
      <c r="E1098" t="s">
        <v>44</v>
      </c>
      <c r="F1098" s="6">
        <v>0.70833333333333337</v>
      </c>
      <c r="G1098">
        <v>18</v>
      </c>
      <c r="H1098" s="6">
        <f>FLOOR(tblPivotData[[#This Row],[Time]],Summary!$B$6/1440)</f>
        <v>0.70833333333333326</v>
      </c>
      <c r="I1098" s="49">
        <f>INDEX(PeakCalc!$L$10:$L$303,MATCH(tblPivotData[[#This Row],[Time]],PeakCalc!$G$10:$G$303,0))</f>
        <v>1</v>
      </c>
    </row>
    <row r="1099" spans="1:9" x14ac:dyDescent="0.25">
      <c r="A1099" t="s">
        <v>98</v>
      </c>
      <c r="B1099" t="s">
        <v>113</v>
      </c>
      <c r="C1099" t="s">
        <v>96</v>
      </c>
      <c r="D1099" t="s">
        <v>79</v>
      </c>
      <c r="E1099" t="s">
        <v>44</v>
      </c>
      <c r="F1099" s="6">
        <v>0.71875</v>
      </c>
      <c r="G1099">
        <v>16</v>
      </c>
      <c r="H1099" s="6">
        <f>FLOOR(tblPivotData[[#This Row],[Time]],Summary!$B$6/1440)</f>
        <v>0.71875</v>
      </c>
      <c r="I1099" s="49">
        <f>INDEX(PeakCalc!$L$10:$L$303,MATCH(tblPivotData[[#This Row],[Time]],PeakCalc!$G$10:$G$303,0))</f>
        <v>1</v>
      </c>
    </row>
    <row r="1100" spans="1:9" x14ac:dyDescent="0.25">
      <c r="A1100" t="s">
        <v>98</v>
      </c>
      <c r="B1100" t="s">
        <v>113</v>
      </c>
      <c r="C1100" t="s">
        <v>96</v>
      </c>
      <c r="D1100" t="s">
        <v>79</v>
      </c>
      <c r="E1100" t="s">
        <v>44</v>
      </c>
      <c r="F1100" s="6">
        <v>0.72916666666666663</v>
      </c>
      <c r="G1100">
        <v>11</v>
      </c>
      <c r="H1100" s="6">
        <f>FLOOR(tblPivotData[[#This Row],[Time]],Summary!$B$6/1440)</f>
        <v>0.72916666666666663</v>
      </c>
      <c r="I1100" s="49">
        <f>INDEX(PeakCalc!$L$10:$L$303,MATCH(tblPivotData[[#This Row],[Time]],PeakCalc!$G$10:$G$303,0))</f>
        <v>1</v>
      </c>
    </row>
    <row r="1101" spans="1:9" x14ac:dyDescent="0.25">
      <c r="A1101" t="s">
        <v>98</v>
      </c>
      <c r="B1101" t="s">
        <v>113</v>
      </c>
      <c r="C1101" t="s">
        <v>96</v>
      </c>
      <c r="D1101" t="s">
        <v>79</v>
      </c>
      <c r="E1101" t="s">
        <v>44</v>
      </c>
      <c r="F1101" s="6">
        <v>0.73958333333333337</v>
      </c>
      <c r="G1101">
        <v>15</v>
      </c>
      <c r="H1101" s="6">
        <f>FLOOR(tblPivotData[[#This Row],[Time]],Summary!$B$6/1440)</f>
        <v>0.73958333333333326</v>
      </c>
      <c r="I1101" s="49">
        <f>INDEX(PeakCalc!$L$10:$L$303,MATCH(tblPivotData[[#This Row],[Time]],PeakCalc!$G$10:$G$303,0))</f>
        <v>0</v>
      </c>
    </row>
    <row r="1102" spans="1:9" x14ac:dyDescent="0.25">
      <c r="A1102" t="s">
        <v>98</v>
      </c>
      <c r="B1102" t="s">
        <v>113</v>
      </c>
      <c r="C1102" t="s">
        <v>96</v>
      </c>
      <c r="D1102" t="s">
        <v>89</v>
      </c>
      <c r="E1102" t="s">
        <v>43</v>
      </c>
      <c r="F1102" s="6">
        <v>0.29166666666666669</v>
      </c>
      <c r="G1102">
        <v>0</v>
      </c>
      <c r="H1102" s="6">
        <f>FLOOR(tblPivotData[[#This Row],[Time]],Summary!$B$6/1440)</f>
        <v>0.29166666666666663</v>
      </c>
      <c r="I1102" s="49">
        <f>INDEX(PeakCalc!$L$10:$L$303,MATCH(tblPivotData[[#This Row],[Time]],PeakCalc!$G$10:$G$303,0))</f>
        <v>0</v>
      </c>
    </row>
    <row r="1103" spans="1:9" x14ac:dyDescent="0.25">
      <c r="A1103" t="s">
        <v>98</v>
      </c>
      <c r="B1103" t="s">
        <v>113</v>
      </c>
      <c r="C1103" t="s">
        <v>96</v>
      </c>
      <c r="D1103" t="s">
        <v>89</v>
      </c>
      <c r="E1103" t="s">
        <v>43</v>
      </c>
      <c r="F1103" s="6">
        <v>0.30208333333333331</v>
      </c>
      <c r="G1103">
        <v>0</v>
      </c>
      <c r="H1103" s="6">
        <f>FLOOR(tblPivotData[[#This Row],[Time]],Summary!$B$6/1440)</f>
        <v>0.30208333333333331</v>
      </c>
      <c r="I1103" s="49">
        <f>INDEX(PeakCalc!$L$10:$L$303,MATCH(tblPivotData[[#This Row],[Time]],PeakCalc!$G$10:$G$303,0))</f>
        <v>0</v>
      </c>
    </row>
    <row r="1104" spans="1:9" x14ac:dyDescent="0.25">
      <c r="A1104" t="s">
        <v>98</v>
      </c>
      <c r="B1104" t="s">
        <v>113</v>
      </c>
      <c r="C1104" t="s">
        <v>96</v>
      </c>
      <c r="D1104" t="s">
        <v>89</v>
      </c>
      <c r="E1104" t="s">
        <v>43</v>
      </c>
      <c r="F1104" s="6">
        <v>0.3125</v>
      </c>
      <c r="G1104">
        <v>0</v>
      </c>
      <c r="H1104" s="6">
        <f>FLOOR(tblPivotData[[#This Row],[Time]],Summary!$B$6/1440)</f>
        <v>0.3125</v>
      </c>
      <c r="I1104" s="49">
        <f>INDEX(PeakCalc!$L$10:$L$303,MATCH(tblPivotData[[#This Row],[Time]],PeakCalc!$G$10:$G$303,0))</f>
        <v>0</v>
      </c>
    </row>
    <row r="1105" spans="1:9" x14ac:dyDescent="0.25">
      <c r="A1105" t="s">
        <v>98</v>
      </c>
      <c r="B1105" t="s">
        <v>113</v>
      </c>
      <c r="C1105" t="s">
        <v>96</v>
      </c>
      <c r="D1105" t="s">
        <v>89</v>
      </c>
      <c r="E1105" t="s">
        <v>43</v>
      </c>
      <c r="F1105" s="6">
        <v>0.32291666666666669</v>
      </c>
      <c r="G1105">
        <v>0</v>
      </c>
      <c r="H1105" s="6">
        <f>FLOOR(tblPivotData[[#This Row],[Time]],Summary!$B$6/1440)</f>
        <v>0.32291666666666663</v>
      </c>
      <c r="I1105" s="49">
        <f>INDEX(PeakCalc!$L$10:$L$303,MATCH(tblPivotData[[#This Row],[Time]],PeakCalc!$G$10:$G$303,0))</f>
        <v>0</v>
      </c>
    </row>
    <row r="1106" spans="1:9" x14ac:dyDescent="0.25">
      <c r="A1106" t="s">
        <v>98</v>
      </c>
      <c r="B1106" t="s">
        <v>113</v>
      </c>
      <c r="C1106" t="s">
        <v>96</v>
      </c>
      <c r="D1106" t="s">
        <v>89</v>
      </c>
      <c r="E1106" t="s">
        <v>43</v>
      </c>
      <c r="F1106" s="6">
        <v>0.33333333333333331</v>
      </c>
      <c r="G1106">
        <v>0</v>
      </c>
      <c r="H1106" s="6">
        <f>FLOOR(tblPivotData[[#This Row],[Time]],Summary!$B$6/1440)</f>
        <v>0.33333333333333331</v>
      </c>
      <c r="I1106" s="49">
        <f>INDEX(PeakCalc!$L$10:$L$303,MATCH(tblPivotData[[#This Row],[Time]],PeakCalc!$G$10:$G$303,0))</f>
        <v>1</v>
      </c>
    </row>
    <row r="1107" spans="1:9" x14ac:dyDescent="0.25">
      <c r="A1107" t="s">
        <v>98</v>
      </c>
      <c r="B1107" t="s">
        <v>113</v>
      </c>
      <c r="C1107" t="s">
        <v>96</v>
      </c>
      <c r="D1107" t="s">
        <v>89</v>
      </c>
      <c r="E1107" t="s">
        <v>43</v>
      </c>
      <c r="F1107" s="6">
        <v>0.34375</v>
      </c>
      <c r="G1107">
        <v>0</v>
      </c>
      <c r="H1107" s="6">
        <f>FLOOR(tblPivotData[[#This Row],[Time]],Summary!$B$6/1440)</f>
        <v>0.34375</v>
      </c>
      <c r="I1107" s="49">
        <f>INDEX(PeakCalc!$L$10:$L$303,MATCH(tblPivotData[[#This Row],[Time]],PeakCalc!$G$10:$G$303,0))</f>
        <v>1</v>
      </c>
    </row>
    <row r="1108" spans="1:9" x14ac:dyDescent="0.25">
      <c r="A1108" t="s">
        <v>98</v>
      </c>
      <c r="B1108" t="s">
        <v>113</v>
      </c>
      <c r="C1108" t="s">
        <v>96</v>
      </c>
      <c r="D1108" t="s">
        <v>89</v>
      </c>
      <c r="E1108" t="s">
        <v>43</v>
      </c>
      <c r="F1108" s="6">
        <v>0.35416666666666669</v>
      </c>
      <c r="G1108">
        <v>0</v>
      </c>
      <c r="H1108" s="6">
        <f>FLOOR(tblPivotData[[#This Row],[Time]],Summary!$B$6/1440)</f>
        <v>0.35416666666666663</v>
      </c>
      <c r="I1108" s="49">
        <f>INDEX(PeakCalc!$L$10:$L$303,MATCH(tblPivotData[[#This Row],[Time]],PeakCalc!$G$10:$G$303,0))</f>
        <v>1</v>
      </c>
    </row>
    <row r="1109" spans="1:9" x14ac:dyDescent="0.25">
      <c r="A1109" t="s">
        <v>98</v>
      </c>
      <c r="B1109" t="s">
        <v>113</v>
      </c>
      <c r="C1109" t="s">
        <v>96</v>
      </c>
      <c r="D1109" t="s">
        <v>89</v>
      </c>
      <c r="E1109" t="s">
        <v>43</v>
      </c>
      <c r="F1109" s="6">
        <v>0.36458333333333331</v>
      </c>
      <c r="G1109">
        <v>0</v>
      </c>
      <c r="H1109" s="6">
        <f>FLOOR(tblPivotData[[#This Row],[Time]],Summary!$B$6/1440)</f>
        <v>0.36458333333333331</v>
      </c>
      <c r="I1109" s="49">
        <f>INDEX(PeakCalc!$L$10:$L$303,MATCH(tblPivotData[[#This Row],[Time]],PeakCalc!$G$10:$G$303,0))</f>
        <v>1</v>
      </c>
    </row>
    <row r="1110" spans="1:9" x14ac:dyDescent="0.25">
      <c r="A1110" t="s">
        <v>98</v>
      </c>
      <c r="B1110" t="s">
        <v>113</v>
      </c>
      <c r="C1110" t="s">
        <v>96</v>
      </c>
      <c r="D1110" t="s">
        <v>89</v>
      </c>
      <c r="E1110" t="s">
        <v>91</v>
      </c>
      <c r="F1110" s="6">
        <v>0.54166666666666663</v>
      </c>
      <c r="G1110">
        <v>0</v>
      </c>
      <c r="H1110" s="6">
        <f>FLOOR(tblPivotData[[#This Row],[Time]],Summary!$B$6/1440)</f>
        <v>0.54166666666666663</v>
      </c>
      <c r="I1110" s="49">
        <f>INDEX(PeakCalc!$L$10:$L$303,MATCH(tblPivotData[[#This Row],[Time]],PeakCalc!$G$10:$G$303,0))</f>
        <v>1</v>
      </c>
    </row>
    <row r="1111" spans="1:9" x14ac:dyDescent="0.25">
      <c r="A1111" t="s">
        <v>98</v>
      </c>
      <c r="B1111" t="s">
        <v>113</v>
      </c>
      <c r="C1111" t="s">
        <v>96</v>
      </c>
      <c r="D1111" t="s">
        <v>89</v>
      </c>
      <c r="E1111" t="s">
        <v>91</v>
      </c>
      <c r="F1111" s="6">
        <v>0.55208333333333337</v>
      </c>
      <c r="G1111">
        <v>0</v>
      </c>
      <c r="H1111" s="6">
        <f>FLOOR(tblPivotData[[#This Row],[Time]],Summary!$B$6/1440)</f>
        <v>0.55208333333333326</v>
      </c>
      <c r="I1111" s="49">
        <f>INDEX(PeakCalc!$L$10:$L$303,MATCH(tblPivotData[[#This Row],[Time]],PeakCalc!$G$10:$G$303,0))</f>
        <v>1</v>
      </c>
    </row>
    <row r="1112" spans="1:9" x14ac:dyDescent="0.25">
      <c r="A1112" t="s">
        <v>98</v>
      </c>
      <c r="B1112" t="s">
        <v>113</v>
      </c>
      <c r="C1112" t="s">
        <v>96</v>
      </c>
      <c r="D1112" t="s">
        <v>89</v>
      </c>
      <c r="E1112" t="s">
        <v>91</v>
      </c>
      <c r="F1112" s="6">
        <v>0.5625</v>
      </c>
      <c r="G1112">
        <v>0</v>
      </c>
      <c r="H1112" s="6">
        <f>FLOOR(tblPivotData[[#This Row],[Time]],Summary!$B$6/1440)</f>
        <v>0.5625</v>
      </c>
      <c r="I1112" s="49">
        <f>INDEX(PeakCalc!$L$10:$L$303,MATCH(tblPivotData[[#This Row],[Time]],PeakCalc!$G$10:$G$303,0))</f>
        <v>1</v>
      </c>
    </row>
    <row r="1113" spans="1:9" x14ac:dyDescent="0.25">
      <c r="A1113" t="s">
        <v>98</v>
      </c>
      <c r="B1113" t="s">
        <v>113</v>
      </c>
      <c r="C1113" t="s">
        <v>96</v>
      </c>
      <c r="D1113" t="s">
        <v>89</v>
      </c>
      <c r="E1113" t="s">
        <v>91</v>
      </c>
      <c r="F1113" s="6">
        <v>0.57291666666666663</v>
      </c>
      <c r="G1113">
        <v>0</v>
      </c>
      <c r="H1113" s="6">
        <f>FLOOR(tblPivotData[[#This Row],[Time]],Summary!$B$6/1440)</f>
        <v>0.57291666666666663</v>
      </c>
      <c r="I1113" s="49">
        <f>INDEX(PeakCalc!$L$10:$L$303,MATCH(tblPivotData[[#This Row],[Time]],PeakCalc!$G$10:$G$303,0))</f>
        <v>1</v>
      </c>
    </row>
    <row r="1114" spans="1:9" x14ac:dyDescent="0.25">
      <c r="A1114" t="s">
        <v>98</v>
      </c>
      <c r="B1114" t="s">
        <v>113</v>
      </c>
      <c r="C1114" t="s">
        <v>96</v>
      </c>
      <c r="D1114" t="s">
        <v>89</v>
      </c>
      <c r="E1114" t="s">
        <v>44</v>
      </c>
      <c r="F1114" s="6">
        <v>0.66666666666666663</v>
      </c>
      <c r="G1114">
        <v>0</v>
      </c>
      <c r="H1114" s="6">
        <f>FLOOR(tblPivotData[[#This Row],[Time]],Summary!$B$6/1440)</f>
        <v>0.66666666666666663</v>
      </c>
      <c r="I1114" s="49">
        <f>INDEX(PeakCalc!$L$10:$L$303,MATCH(tblPivotData[[#This Row],[Time]],PeakCalc!$G$10:$G$303,0))</f>
        <v>0</v>
      </c>
    </row>
    <row r="1115" spans="1:9" x14ac:dyDescent="0.25">
      <c r="A1115" t="s">
        <v>98</v>
      </c>
      <c r="B1115" t="s">
        <v>113</v>
      </c>
      <c r="C1115" t="s">
        <v>96</v>
      </c>
      <c r="D1115" t="s">
        <v>89</v>
      </c>
      <c r="E1115" t="s">
        <v>44</v>
      </c>
      <c r="F1115" s="6">
        <v>0.67708333333333337</v>
      </c>
      <c r="G1115">
        <v>0</v>
      </c>
      <c r="H1115" s="6">
        <f>FLOOR(tblPivotData[[#This Row],[Time]],Summary!$B$6/1440)</f>
        <v>0.67708333333333326</v>
      </c>
      <c r="I1115" s="49">
        <f>INDEX(PeakCalc!$L$10:$L$303,MATCH(tblPivotData[[#This Row],[Time]],PeakCalc!$G$10:$G$303,0))</f>
        <v>0</v>
      </c>
    </row>
    <row r="1116" spans="1:9" x14ac:dyDescent="0.25">
      <c r="A1116" t="s">
        <v>98</v>
      </c>
      <c r="B1116" t="s">
        <v>113</v>
      </c>
      <c r="C1116" t="s">
        <v>96</v>
      </c>
      <c r="D1116" t="s">
        <v>89</v>
      </c>
      <c r="E1116" t="s">
        <v>44</v>
      </c>
      <c r="F1116" s="6">
        <v>0.6875</v>
      </c>
      <c r="G1116">
        <v>0</v>
      </c>
      <c r="H1116" s="6">
        <f>FLOOR(tblPivotData[[#This Row],[Time]],Summary!$B$6/1440)</f>
        <v>0.6875</v>
      </c>
      <c r="I1116" s="49">
        <f>INDEX(PeakCalc!$L$10:$L$303,MATCH(tblPivotData[[#This Row],[Time]],PeakCalc!$G$10:$G$303,0))</f>
        <v>0</v>
      </c>
    </row>
    <row r="1117" spans="1:9" x14ac:dyDescent="0.25">
      <c r="A1117" t="s">
        <v>98</v>
      </c>
      <c r="B1117" t="s">
        <v>113</v>
      </c>
      <c r="C1117" t="s">
        <v>96</v>
      </c>
      <c r="D1117" t="s">
        <v>89</v>
      </c>
      <c r="E1117" t="s">
        <v>44</v>
      </c>
      <c r="F1117" s="6">
        <v>0.69791666666666663</v>
      </c>
      <c r="G1117">
        <v>0</v>
      </c>
      <c r="H1117" s="6">
        <f>FLOOR(tblPivotData[[#This Row],[Time]],Summary!$B$6/1440)</f>
        <v>0.69791666666666663</v>
      </c>
      <c r="I1117" s="49">
        <f>INDEX(PeakCalc!$L$10:$L$303,MATCH(tblPivotData[[#This Row],[Time]],PeakCalc!$G$10:$G$303,0))</f>
        <v>1</v>
      </c>
    </row>
    <row r="1118" spans="1:9" x14ac:dyDescent="0.25">
      <c r="A1118" t="s">
        <v>98</v>
      </c>
      <c r="B1118" t="s">
        <v>113</v>
      </c>
      <c r="C1118" t="s">
        <v>96</v>
      </c>
      <c r="D1118" t="s">
        <v>89</v>
      </c>
      <c r="E1118" t="s">
        <v>44</v>
      </c>
      <c r="F1118" s="6">
        <v>0.70833333333333337</v>
      </c>
      <c r="G1118">
        <v>0</v>
      </c>
      <c r="H1118" s="6">
        <f>FLOOR(tblPivotData[[#This Row],[Time]],Summary!$B$6/1440)</f>
        <v>0.70833333333333326</v>
      </c>
      <c r="I1118" s="49">
        <f>INDEX(PeakCalc!$L$10:$L$303,MATCH(tblPivotData[[#This Row],[Time]],PeakCalc!$G$10:$G$303,0))</f>
        <v>1</v>
      </c>
    </row>
    <row r="1119" spans="1:9" x14ac:dyDescent="0.25">
      <c r="A1119" t="s">
        <v>98</v>
      </c>
      <c r="B1119" t="s">
        <v>113</v>
      </c>
      <c r="C1119" t="s">
        <v>96</v>
      </c>
      <c r="D1119" t="s">
        <v>89</v>
      </c>
      <c r="E1119" t="s">
        <v>44</v>
      </c>
      <c r="F1119" s="6">
        <v>0.71875</v>
      </c>
      <c r="G1119">
        <v>0</v>
      </c>
      <c r="H1119" s="6">
        <f>FLOOR(tblPivotData[[#This Row],[Time]],Summary!$B$6/1440)</f>
        <v>0.71875</v>
      </c>
      <c r="I1119" s="49">
        <f>INDEX(PeakCalc!$L$10:$L$303,MATCH(tblPivotData[[#This Row],[Time]],PeakCalc!$G$10:$G$303,0))</f>
        <v>1</v>
      </c>
    </row>
    <row r="1120" spans="1:9" x14ac:dyDescent="0.25">
      <c r="A1120" t="s">
        <v>98</v>
      </c>
      <c r="B1120" t="s">
        <v>113</v>
      </c>
      <c r="C1120" t="s">
        <v>96</v>
      </c>
      <c r="D1120" t="s">
        <v>89</v>
      </c>
      <c r="E1120" t="s">
        <v>44</v>
      </c>
      <c r="F1120" s="6">
        <v>0.72916666666666663</v>
      </c>
      <c r="G1120">
        <v>0</v>
      </c>
      <c r="H1120" s="6">
        <f>FLOOR(tblPivotData[[#This Row],[Time]],Summary!$B$6/1440)</f>
        <v>0.72916666666666663</v>
      </c>
      <c r="I1120" s="49">
        <f>INDEX(PeakCalc!$L$10:$L$303,MATCH(tblPivotData[[#This Row],[Time]],PeakCalc!$G$10:$G$303,0))</f>
        <v>1</v>
      </c>
    </row>
    <row r="1121" spans="1:9" x14ac:dyDescent="0.25">
      <c r="A1121" t="s">
        <v>98</v>
      </c>
      <c r="B1121" t="s">
        <v>113</v>
      </c>
      <c r="C1121" t="s">
        <v>96</v>
      </c>
      <c r="D1121" t="s">
        <v>89</v>
      </c>
      <c r="E1121" t="s">
        <v>44</v>
      </c>
      <c r="F1121" s="6">
        <v>0.73958333333333337</v>
      </c>
      <c r="G1121">
        <v>0</v>
      </c>
      <c r="H1121" s="6">
        <f>FLOOR(tblPivotData[[#This Row],[Time]],Summary!$B$6/1440)</f>
        <v>0.73958333333333326</v>
      </c>
      <c r="I1121" s="49">
        <f>INDEX(PeakCalc!$L$10:$L$303,MATCH(tblPivotData[[#This Row],[Time]],PeakCalc!$G$10:$G$303,0))</f>
        <v>0</v>
      </c>
    </row>
    <row r="1122" spans="1:9" x14ac:dyDescent="0.25">
      <c r="A1122" t="s">
        <v>98</v>
      </c>
      <c r="B1122" t="s">
        <v>113</v>
      </c>
      <c r="C1122" t="s">
        <v>96</v>
      </c>
      <c r="D1122" t="s">
        <v>90</v>
      </c>
      <c r="E1122" t="s">
        <v>43</v>
      </c>
      <c r="F1122" s="6">
        <v>0.29166666666666669</v>
      </c>
      <c r="G1122">
        <v>0</v>
      </c>
      <c r="H1122" s="6">
        <f>FLOOR(tblPivotData[[#This Row],[Time]],Summary!$B$6/1440)</f>
        <v>0.29166666666666663</v>
      </c>
      <c r="I1122" s="49">
        <f>INDEX(PeakCalc!$L$10:$L$303,MATCH(tblPivotData[[#This Row],[Time]],PeakCalc!$G$10:$G$303,0))</f>
        <v>0</v>
      </c>
    </row>
    <row r="1123" spans="1:9" x14ac:dyDescent="0.25">
      <c r="A1123" t="s">
        <v>98</v>
      </c>
      <c r="B1123" t="s">
        <v>113</v>
      </c>
      <c r="C1123" t="s">
        <v>96</v>
      </c>
      <c r="D1123" t="s">
        <v>90</v>
      </c>
      <c r="E1123" t="s">
        <v>43</v>
      </c>
      <c r="F1123" s="6">
        <v>0.30208333333333331</v>
      </c>
      <c r="G1123">
        <v>0</v>
      </c>
      <c r="H1123" s="6">
        <f>FLOOR(tblPivotData[[#This Row],[Time]],Summary!$B$6/1440)</f>
        <v>0.30208333333333331</v>
      </c>
      <c r="I1123" s="49">
        <f>INDEX(PeakCalc!$L$10:$L$303,MATCH(tblPivotData[[#This Row],[Time]],PeakCalc!$G$10:$G$303,0))</f>
        <v>0</v>
      </c>
    </row>
    <row r="1124" spans="1:9" x14ac:dyDescent="0.25">
      <c r="A1124" t="s">
        <v>98</v>
      </c>
      <c r="B1124" t="s">
        <v>113</v>
      </c>
      <c r="C1124" t="s">
        <v>96</v>
      </c>
      <c r="D1124" t="s">
        <v>90</v>
      </c>
      <c r="E1124" t="s">
        <v>43</v>
      </c>
      <c r="F1124" s="6">
        <v>0.3125</v>
      </c>
      <c r="G1124">
        <v>0</v>
      </c>
      <c r="H1124" s="6">
        <f>FLOOR(tblPivotData[[#This Row],[Time]],Summary!$B$6/1440)</f>
        <v>0.3125</v>
      </c>
      <c r="I1124" s="49">
        <f>INDEX(PeakCalc!$L$10:$L$303,MATCH(tblPivotData[[#This Row],[Time]],PeakCalc!$G$10:$G$303,0))</f>
        <v>0</v>
      </c>
    </row>
    <row r="1125" spans="1:9" x14ac:dyDescent="0.25">
      <c r="A1125" t="s">
        <v>98</v>
      </c>
      <c r="B1125" t="s">
        <v>113</v>
      </c>
      <c r="C1125" t="s">
        <v>96</v>
      </c>
      <c r="D1125" t="s">
        <v>90</v>
      </c>
      <c r="E1125" t="s">
        <v>43</v>
      </c>
      <c r="F1125" s="6">
        <v>0.32291666666666669</v>
      </c>
      <c r="G1125">
        <v>0</v>
      </c>
      <c r="H1125" s="6">
        <f>FLOOR(tblPivotData[[#This Row],[Time]],Summary!$B$6/1440)</f>
        <v>0.32291666666666663</v>
      </c>
      <c r="I1125" s="49">
        <f>INDEX(PeakCalc!$L$10:$L$303,MATCH(tblPivotData[[#This Row],[Time]],PeakCalc!$G$10:$G$303,0))</f>
        <v>0</v>
      </c>
    </row>
    <row r="1126" spans="1:9" x14ac:dyDescent="0.25">
      <c r="A1126" t="s">
        <v>98</v>
      </c>
      <c r="B1126" t="s">
        <v>113</v>
      </c>
      <c r="C1126" t="s">
        <v>96</v>
      </c>
      <c r="D1126" t="s">
        <v>90</v>
      </c>
      <c r="E1126" t="s">
        <v>43</v>
      </c>
      <c r="F1126" s="6">
        <v>0.33333333333333331</v>
      </c>
      <c r="G1126">
        <v>0</v>
      </c>
      <c r="H1126" s="6">
        <f>FLOOR(tblPivotData[[#This Row],[Time]],Summary!$B$6/1440)</f>
        <v>0.33333333333333331</v>
      </c>
      <c r="I1126" s="49">
        <f>INDEX(PeakCalc!$L$10:$L$303,MATCH(tblPivotData[[#This Row],[Time]],PeakCalc!$G$10:$G$303,0))</f>
        <v>1</v>
      </c>
    </row>
    <row r="1127" spans="1:9" x14ac:dyDescent="0.25">
      <c r="A1127" t="s">
        <v>98</v>
      </c>
      <c r="B1127" t="s">
        <v>113</v>
      </c>
      <c r="C1127" t="s">
        <v>96</v>
      </c>
      <c r="D1127" t="s">
        <v>90</v>
      </c>
      <c r="E1127" t="s">
        <v>43</v>
      </c>
      <c r="F1127" s="6">
        <v>0.34375</v>
      </c>
      <c r="G1127">
        <v>0</v>
      </c>
      <c r="H1127" s="6">
        <f>FLOOR(tblPivotData[[#This Row],[Time]],Summary!$B$6/1440)</f>
        <v>0.34375</v>
      </c>
      <c r="I1127" s="49">
        <f>INDEX(PeakCalc!$L$10:$L$303,MATCH(tblPivotData[[#This Row],[Time]],PeakCalc!$G$10:$G$303,0))</f>
        <v>1</v>
      </c>
    </row>
    <row r="1128" spans="1:9" x14ac:dyDescent="0.25">
      <c r="A1128" t="s">
        <v>98</v>
      </c>
      <c r="B1128" t="s">
        <v>113</v>
      </c>
      <c r="C1128" t="s">
        <v>96</v>
      </c>
      <c r="D1128" t="s">
        <v>90</v>
      </c>
      <c r="E1128" t="s">
        <v>43</v>
      </c>
      <c r="F1128" s="6">
        <v>0.35416666666666669</v>
      </c>
      <c r="G1128">
        <v>0</v>
      </c>
      <c r="H1128" s="6">
        <f>FLOOR(tblPivotData[[#This Row],[Time]],Summary!$B$6/1440)</f>
        <v>0.35416666666666663</v>
      </c>
      <c r="I1128" s="49">
        <f>INDEX(PeakCalc!$L$10:$L$303,MATCH(tblPivotData[[#This Row],[Time]],PeakCalc!$G$10:$G$303,0))</f>
        <v>1</v>
      </c>
    </row>
    <row r="1129" spans="1:9" x14ac:dyDescent="0.25">
      <c r="A1129" t="s">
        <v>98</v>
      </c>
      <c r="B1129" t="s">
        <v>113</v>
      </c>
      <c r="C1129" t="s">
        <v>96</v>
      </c>
      <c r="D1129" t="s">
        <v>90</v>
      </c>
      <c r="E1129" t="s">
        <v>43</v>
      </c>
      <c r="F1129" s="6">
        <v>0.36458333333333331</v>
      </c>
      <c r="G1129">
        <v>0</v>
      </c>
      <c r="H1129" s="6">
        <f>FLOOR(tblPivotData[[#This Row],[Time]],Summary!$B$6/1440)</f>
        <v>0.36458333333333331</v>
      </c>
      <c r="I1129" s="49">
        <f>INDEX(PeakCalc!$L$10:$L$303,MATCH(tblPivotData[[#This Row],[Time]],PeakCalc!$G$10:$G$303,0))</f>
        <v>1</v>
      </c>
    </row>
    <row r="1130" spans="1:9" x14ac:dyDescent="0.25">
      <c r="A1130" t="s">
        <v>98</v>
      </c>
      <c r="B1130" t="s">
        <v>113</v>
      </c>
      <c r="C1130" t="s">
        <v>96</v>
      </c>
      <c r="D1130" t="s">
        <v>90</v>
      </c>
      <c r="E1130" t="s">
        <v>91</v>
      </c>
      <c r="F1130" s="6">
        <v>0.54166666666666663</v>
      </c>
      <c r="G1130">
        <v>0</v>
      </c>
      <c r="H1130" s="6">
        <f>FLOOR(tblPivotData[[#This Row],[Time]],Summary!$B$6/1440)</f>
        <v>0.54166666666666663</v>
      </c>
      <c r="I1130" s="49">
        <f>INDEX(PeakCalc!$L$10:$L$303,MATCH(tblPivotData[[#This Row],[Time]],PeakCalc!$G$10:$G$303,0))</f>
        <v>1</v>
      </c>
    </row>
    <row r="1131" spans="1:9" x14ac:dyDescent="0.25">
      <c r="A1131" t="s">
        <v>98</v>
      </c>
      <c r="B1131" t="s">
        <v>113</v>
      </c>
      <c r="C1131" t="s">
        <v>96</v>
      </c>
      <c r="D1131" t="s">
        <v>90</v>
      </c>
      <c r="E1131" t="s">
        <v>91</v>
      </c>
      <c r="F1131" s="6">
        <v>0.55208333333333337</v>
      </c>
      <c r="G1131">
        <v>0</v>
      </c>
      <c r="H1131" s="6">
        <f>FLOOR(tblPivotData[[#This Row],[Time]],Summary!$B$6/1440)</f>
        <v>0.55208333333333326</v>
      </c>
      <c r="I1131" s="49">
        <f>INDEX(PeakCalc!$L$10:$L$303,MATCH(tblPivotData[[#This Row],[Time]],PeakCalc!$G$10:$G$303,0))</f>
        <v>1</v>
      </c>
    </row>
    <row r="1132" spans="1:9" x14ac:dyDescent="0.25">
      <c r="A1132" t="s">
        <v>98</v>
      </c>
      <c r="B1132" t="s">
        <v>113</v>
      </c>
      <c r="C1132" t="s">
        <v>96</v>
      </c>
      <c r="D1132" t="s">
        <v>90</v>
      </c>
      <c r="E1132" t="s">
        <v>91</v>
      </c>
      <c r="F1132" s="6">
        <v>0.5625</v>
      </c>
      <c r="G1132">
        <v>0</v>
      </c>
      <c r="H1132" s="6">
        <f>FLOOR(tblPivotData[[#This Row],[Time]],Summary!$B$6/1440)</f>
        <v>0.5625</v>
      </c>
      <c r="I1132" s="49">
        <f>INDEX(PeakCalc!$L$10:$L$303,MATCH(tblPivotData[[#This Row],[Time]],PeakCalc!$G$10:$G$303,0))</f>
        <v>1</v>
      </c>
    </row>
    <row r="1133" spans="1:9" x14ac:dyDescent="0.25">
      <c r="A1133" t="s">
        <v>98</v>
      </c>
      <c r="B1133" t="s">
        <v>113</v>
      </c>
      <c r="C1133" t="s">
        <v>96</v>
      </c>
      <c r="D1133" t="s">
        <v>90</v>
      </c>
      <c r="E1133" t="s">
        <v>91</v>
      </c>
      <c r="F1133" s="6">
        <v>0.57291666666666663</v>
      </c>
      <c r="G1133">
        <v>0</v>
      </c>
      <c r="H1133" s="6">
        <f>FLOOR(tblPivotData[[#This Row],[Time]],Summary!$B$6/1440)</f>
        <v>0.57291666666666663</v>
      </c>
      <c r="I1133" s="49">
        <f>INDEX(PeakCalc!$L$10:$L$303,MATCH(tblPivotData[[#This Row],[Time]],PeakCalc!$G$10:$G$303,0))</f>
        <v>1</v>
      </c>
    </row>
    <row r="1134" spans="1:9" x14ac:dyDescent="0.25">
      <c r="A1134" t="s">
        <v>98</v>
      </c>
      <c r="B1134" t="s">
        <v>113</v>
      </c>
      <c r="C1134" t="s">
        <v>96</v>
      </c>
      <c r="D1134" t="s">
        <v>90</v>
      </c>
      <c r="E1134" t="s">
        <v>44</v>
      </c>
      <c r="F1134" s="6">
        <v>0.66666666666666663</v>
      </c>
      <c r="G1134">
        <v>0</v>
      </c>
      <c r="H1134" s="6">
        <f>FLOOR(tblPivotData[[#This Row],[Time]],Summary!$B$6/1440)</f>
        <v>0.66666666666666663</v>
      </c>
      <c r="I1134" s="49">
        <f>INDEX(PeakCalc!$L$10:$L$303,MATCH(tblPivotData[[#This Row],[Time]],PeakCalc!$G$10:$G$303,0))</f>
        <v>0</v>
      </c>
    </row>
    <row r="1135" spans="1:9" x14ac:dyDescent="0.25">
      <c r="A1135" t="s">
        <v>98</v>
      </c>
      <c r="B1135" t="s">
        <v>113</v>
      </c>
      <c r="C1135" t="s">
        <v>96</v>
      </c>
      <c r="D1135" t="s">
        <v>90</v>
      </c>
      <c r="E1135" t="s">
        <v>44</v>
      </c>
      <c r="F1135" s="6">
        <v>0.67708333333333337</v>
      </c>
      <c r="G1135">
        <v>0</v>
      </c>
      <c r="H1135" s="6">
        <f>FLOOR(tblPivotData[[#This Row],[Time]],Summary!$B$6/1440)</f>
        <v>0.67708333333333326</v>
      </c>
      <c r="I1135" s="49">
        <f>INDEX(PeakCalc!$L$10:$L$303,MATCH(tblPivotData[[#This Row],[Time]],PeakCalc!$G$10:$G$303,0))</f>
        <v>0</v>
      </c>
    </row>
    <row r="1136" spans="1:9" x14ac:dyDescent="0.25">
      <c r="A1136" t="s">
        <v>98</v>
      </c>
      <c r="B1136" t="s">
        <v>113</v>
      </c>
      <c r="C1136" t="s">
        <v>96</v>
      </c>
      <c r="D1136" t="s">
        <v>90</v>
      </c>
      <c r="E1136" t="s">
        <v>44</v>
      </c>
      <c r="F1136" s="6">
        <v>0.6875</v>
      </c>
      <c r="G1136">
        <v>0</v>
      </c>
      <c r="H1136" s="6">
        <f>FLOOR(tblPivotData[[#This Row],[Time]],Summary!$B$6/1440)</f>
        <v>0.6875</v>
      </c>
      <c r="I1136" s="49">
        <f>INDEX(PeakCalc!$L$10:$L$303,MATCH(tblPivotData[[#This Row],[Time]],PeakCalc!$G$10:$G$303,0))</f>
        <v>0</v>
      </c>
    </row>
    <row r="1137" spans="1:9" x14ac:dyDescent="0.25">
      <c r="A1137" t="s">
        <v>98</v>
      </c>
      <c r="B1137" t="s">
        <v>113</v>
      </c>
      <c r="C1137" t="s">
        <v>96</v>
      </c>
      <c r="D1137" t="s">
        <v>90</v>
      </c>
      <c r="E1137" t="s">
        <v>44</v>
      </c>
      <c r="F1137" s="6">
        <v>0.69791666666666663</v>
      </c>
      <c r="G1137">
        <v>0</v>
      </c>
      <c r="H1137" s="6">
        <f>FLOOR(tblPivotData[[#This Row],[Time]],Summary!$B$6/1440)</f>
        <v>0.69791666666666663</v>
      </c>
      <c r="I1137" s="49">
        <f>INDEX(PeakCalc!$L$10:$L$303,MATCH(tblPivotData[[#This Row],[Time]],PeakCalc!$G$10:$G$303,0))</f>
        <v>1</v>
      </c>
    </row>
    <row r="1138" spans="1:9" x14ac:dyDescent="0.25">
      <c r="A1138" t="s">
        <v>98</v>
      </c>
      <c r="B1138" t="s">
        <v>113</v>
      </c>
      <c r="C1138" t="s">
        <v>96</v>
      </c>
      <c r="D1138" t="s">
        <v>90</v>
      </c>
      <c r="E1138" t="s">
        <v>44</v>
      </c>
      <c r="F1138" s="6">
        <v>0.70833333333333337</v>
      </c>
      <c r="G1138">
        <v>0</v>
      </c>
      <c r="H1138" s="6">
        <f>FLOOR(tblPivotData[[#This Row],[Time]],Summary!$B$6/1440)</f>
        <v>0.70833333333333326</v>
      </c>
      <c r="I1138" s="49">
        <f>INDEX(PeakCalc!$L$10:$L$303,MATCH(tblPivotData[[#This Row],[Time]],PeakCalc!$G$10:$G$303,0))</f>
        <v>1</v>
      </c>
    </row>
    <row r="1139" spans="1:9" x14ac:dyDescent="0.25">
      <c r="A1139" t="s">
        <v>98</v>
      </c>
      <c r="B1139" t="s">
        <v>113</v>
      </c>
      <c r="C1139" t="s">
        <v>96</v>
      </c>
      <c r="D1139" t="s">
        <v>90</v>
      </c>
      <c r="E1139" t="s">
        <v>44</v>
      </c>
      <c r="F1139" s="6">
        <v>0.71875</v>
      </c>
      <c r="G1139">
        <v>0</v>
      </c>
      <c r="H1139" s="6">
        <f>FLOOR(tblPivotData[[#This Row],[Time]],Summary!$B$6/1440)</f>
        <v>0.71875</v>
      </c>
      <c r="I1139" s="49">
        <f>INDEX(PeakCalc!$L$10:$L$303,MATCH(tblPivotData[[#This Row],[Time]],PeakCalc!$G$10:$G$303,0))</f>
        <v>1</v>
      </c>
    </row>
    <row r="1140" spans="1:9" x14ac:dyDescent="0.25">
      <c r="A1140" t="s">
        <v>98</v>
      </c>
      <c r="B1140" t="s">
        <v>113</v>
      </c>
      <c r="C1140" t="s">
        <v>96</v>
      </c>
      <c r="D1140" t="s">
        <v>90</v>
      </c>
      <c r="E1140" t="s">
        <v>44</v>
      </c>
      <c r="F1140" s="6">
        <v>0.72916666666666663</v>
      </c>
      <c r="G1140">
        <v>1</v>
      </c>
      <c r="H1140" s="6">
        <f>FLOOR(tblPivotData[[#This Row],[Time]],Summary!$B$6/1440)</f>
        <v>0.72916666666666663</v>
      </c>
      <c r="I1140" s="49">
        <f>INDEX(PeakCalc!$L$10:$L$303,MATCH(tblPivotData[[#This Row],[Time]],PeakCalc!$G$10:$G$303,0))</f>
        <v>1</v>
      </c>
    </row>
    <row r="1141" spans="1:9" x14ac:dyDescent="0.25">
      <c r="A1141" t="s">
        <v>98</v>
      </c>
      <c r="B1141" t="s">
        <v>113</v>
      </c>
      <c r="C1141" t="s">
        <v>96</v>
      </c>
      <c r="D1141" t="s">
        <v>90</v>
      </c>
      <c r="E1141" t="s">
        <v>44</v>
      </c>
      <c r="F1141" s="6">
        <v>0.73958333333333337</v>
      </c>
      <c r="G1141">
        <v>0</v>
      </c>
      <c r="H1141" s="6">
        <f>FLOOR(tblPivotData[[#This Row],[Time]],Summary!$B$6/1440)</f>
        <v>0.73958333333333326</v>
      </c>
      <c r="I1141" s="49">
        <f>INDEX(PeakCalc!$L$10:$L$303,MATCH(tblPivotData[[#This Row],[Time]],PeakCalc!$G$10:$G$303,0))</f>
        <v>0</v>
      </c>
    </row>
    <row r="1142" spans="1:9" x14ac:dyDescent="0.25">
      <c r="A1142" t="s">
        <v>98</v>
      </c>
      <c r="B1142" t="s">
        <v>114</v>
      </c>
      <c r="C1142" t="s">
        <v>97</v>
      </c>
      <c r="D1142" t="s">
        <v>79</v>
      </c>
      <c r="E1142" t="s">
        <v>43</v>
      </c>
      <c r="F1142" s="6">
        <v>0.29166666666666669</v>
      </c>
      <c r="G1142">
        <v>17</v>
      </c>
      <c r="H1142" s="6">
        <f>FLOOR(tblPivotData[[#This Row],[Time]],Summary!$B$6/1440)</f>
        <v>0.29166666666666663</v>
      </c>
      <c r="I1142" s="49">
        <f>INDEX(PeakCalc!$L$10:$L$303,MATCH(tblPivotData[[#This Row],[Time]],PeakCalc!$G$10:$G$303,0))</f>
        <v>0</v>
      </c>
    </row>
    <row r="1143" spans="1:9" x14ac:dyDescent="0.25">
      <c r="A1143" t="s">
        <v>98</v>
      </c>
      <c r="B1143" t="s">
        <v>114</v>
      </c>
      <c r="C1143" t="s">
        <v>97</v>
      </c>
      <c r="D1143" t="s">
        <v>79</v>
      </c>
      <c r="E1143" t="s">
        <v>43</v>
      </c>
      <c r="F1143" s="6">
        <v>0.30208333333333331</v>
      </c>
      <c r="G1143">
        <v>8</v>
      </c>
      <c r="H1143" s="6">
        <f>FLOOR(tblPivotData[[#This Row],[Time]],Summary!$B$6/1440)</f>
        <v>0.30208333333333331</v>
      </c>
      <c r="I1143" s="49">
        <f>INDEX(PeakCalc!$L$10:$L$303,MATCH(tblPivotData[[#This Row],[Time]],PeakCalc!$G$10:$G$303,0))</f>
        <v>0</v>
      </c>
    </row>
    <row r="1144" spans="1:9" x14ac:dyDescent="0.25">
      <c r="A1144" t="s">
        <v>98</v>
      </c>
      <c r="B1144" t="s">
        <v>114</v>
      </c>
      <c r="C1144" t="s">
        <v>97</v>
      </c>
      <c r="D1144" t="s">
        <v>79</v>
      </c>
      <c r="E1144" t="s">
        <v>43</v>
      </c>
      <c r="F1144" s="6">
        <v>0.3125</v>
      </c>
      <c r="G1144">
        <v>17</v>
      </c>
      <c r="H1144" s="6">
        <f>FLOOR(tblPivotData[[#This Row],[Time]],Summary!$B$6/1440)</f>
        <v>0.3125</v>
      </c>
      <c r="I1144" s="49">
        <f>INDEX(PeakCalc!$L$10:$L$303,MATCH(tblPivotData[[#This Row],[Time]],PeakCalc!$G$10:$G$303,0))</f>
        <v>0</v>
      </c>
    </row>
    <row r="1145" spans="1:9" x14ac:dyDescent="0.25">
      <c r="A1145" t="s">
        <v>98</v>
      </c>
      <c r="B1145" t="s">
        <v>114</v>
      </c>
      <c r="C1145" t="s">
        <v>97</v>
      </c>
      <c r="D1145" t="s">
        <v>79</v>
      </c>
      <c r="E1145" t="s">
        <v>43</v>
      </c>
      <c r="F1145" s="6">
        <v>0.32291666666666669</v>
      </c>
      <c r="G1145">
        <v>8</v>
      </c>
      <c r="H1145" s="6">
        <f>FLOOR(tblPivotData[[#This Row],[Time]],Summary!$B$6/1440)</f>
        <v>0.32291666666666663</v>
      </c>
      <c r="I1145" s="49">
        <f>INDEX(PeakCalc!$L$10:$L$303,MATCH(tblPivotData[[#This Row],[Time]],PeakCalc!$G$10:$G$303,0))</f>
        <v>0</v>
      </c>
    </row>
    <row r="1146" spans="1:9" x14ac:dyDescent="0.25">
      <c r="A1146" t="s">
        <v>98</v>
      </c>
      <c r="B1146" t="s">
        <v>114</v>
      </c>
      <c r="C1146" t="s">
        <v>97</v>
      </c>
      <c r="D1146" t="s">
        <v>79</v>
      </c>
      <c r="E1146" t="s">
        <v>43</v>
      </c>
      <c r="F1146" s="6">
        <v>0.33333333333333331</v>
      </c>
      <c r="G1146">
        <v>12</v>
      </c>
      <c r="H1146" s="6">
        <f>FLOOR(tblPivotData[[#This Row],[Time]],Summary!$B$6/1440)</f>
        <v>0.33333333333333331</v>
      </c>
      <c r="I1146" s="49">
        <f>INDEX(PeakCalc!$L$10:$L$303,MATCH(tblPivotData[[#This Row],[Time]],PeakCalc!$G$10:$G$303,0))</f>
        <v>1</v>
      </c>
    </row>
    <row r="1147" spans="1:9" x14ac:dyDescent="0.25">
      <c r="A1147" t="s">
        <v>98</v>
      </c>
      <c r="B1147" t="s">
        <v>114</v>
      </c>
      <c r="C1147" t="s">
        <v>97</v>
      </c>
      <c r="D1147" t="s">
        <v>79</v>
      </c>
      <c r="E1147" t="s">
        <v>43</v>
      </c>
      <c r="F1147" s="6">
        <v>0.34375</v>
      </c>
      <c r="G1147">
        <v>21</v>
      </c>
      <c r="H1147" s="6">
        <f>FLOOR(tblPivotData[[#This Row],[Time]],Summary!$B$6/1440)</f>
        <v>0.34375</v>
      </c>
      <c r="I1147" s="49">
        <f>INDEX(PeakCalc!$L$10:$L$303,MATCH(tblPivotData[[#This Row],[Time]],PeakCalc!$G$10:$G$303,0))</f>
        <v>1</v>
      </c>
    </row>
    <row r="1148" spans="1:9" x14ac:dyDescent="0.25">
      <c r="A1148" t="s">
        <v>98</v>
      </c>
      <c r="B1148" t="s">
        <v>114</v>
      </c>
      <c r="C1148" t="s">
        <v>97</v>
      </c>
      <c r="D1148" t="s">
        <v>79</v>
      </c>
      <c r="E1148" t="s">
        <v>43</v>
      </c>
      <c r="F1148" s="6">
        <v>0.35416666666666669</v>
      </c>
      <c r="G1148">
        <v>13</v>
      </c>
      <c r="H1148" s="6">
        <f>FLOOR(tblPivotData[[#This Row],[Time]],Summary!$B$6/1440)</f>
        <v>0.35416666666666663</v>
      </c>
      <c r="I1148" s="49">
        <f>INDEX(PeakCalc!$L$10:$L$303,MATCH(tblPivotData[[#This Row],[Time]],PeakCalc!$G$10:$G$303,0))</f>
        <v>1</v>
      </c>
    </row>
    <row r="1149" spans="1:9" x14ac:dyDescent="0.25">
      <c r="A1149" t="s">
        <v>98</v>
      </c>
      <c r="B1149" t="s">
        <v>114</v>
      </c>
      <c r="C1149" t="s">
        <v>97</v>
      </c>
      <c r="D1149" t="s">
        <v>79</v>
      </c>
      <c r="E1149" t="s">
        <v>43</v>
      </c>
      <c r="F1149" s="6">
        <v>0.36458333333333331</v>
      </c>
      <c r="G1149">
        <v>10</v>
      </c>
      <c r="H1149" s="6">
        <f>FLOOR(tblPivotData[[#This Row],[Time]],Summary!$B$6/1440)</f>
        <v>0.36458333333333331</v>
      </c>
      <c r="I1149" s="49">
        <f>INDEX(PeakCalc!$L$10:$L$303,MATCH(tblPivotData[[#This Row],[Time]],PeakCalc!$G$10:$G$303,0))</f>
        <v>1</v>
      </c>
    </row>
    <row r="1150" spans="1:9" x14ac:dyDescent="0.25">
      <c r="A1150" t="s">
        <v>98</v>
      </c>
      <c r="B1150" t="s">
        <v>114</v>
      </c>
      <c r="C1150" t="s">
        <v>97</v>
      </c>
      <c r="D1150" t="s">
        <v>79</v>
      </c>
      <c r="E1150" t="s">
        <v>91</v>
      </c>
      <c r="F1150" s="6">
        <v>0.54166666666666663</v>
      </c>
      <c r="G1150">
        <v>8</v>
      </c>
      <c r="H1150" s="6">
        <f>FLOOR(tblPivotData[[#This Row],[Time]],Summary!$B$6/1440)</f>
        <v>0.54166666666666663</v>
      </c>
      <c r="I1150" s="49">
        <f>INDEX(PeakCalc!$L$10:$L$303,MATCH(tblPivotData[[#This Row],[Time]],PeakCalc!$G$10:$G$303,0))</f>
        <v>1</v>
      </c>
    </row>
    <row r="1151" spans="1:9" x14ac:dyDescent="0.25">
      <c r="A1151" t="s">
        <v>98</v>
      </c>
      <c r="B1151" t="s">
        <v>114</v>
      </c>
      <c r="C1151" t="s">
        <v>97</v>
      </c>
      <c r="D1151" t="s">
        <v>79</v>
      </c>
      <c r="E1151" t="s">
        <v>91</v>
      </c>
      <c r="F1151" s="6">
        <v>0.55208333333333337</v>
      </c>
      <c r="G1151">
        <v>7</v>
      </c>
      <c r="H1151" s="6">
        <f>FLOOR(tblPivotData[[#This Row],[Time]],Summary!$B$6/1440)</f>
        <v>0.55208333333333326</v>
      </c>
      <c r="I1151" s="49">
        <f>INDEX(PeakCalc!$L$10:$L$303,MATCH(tblPivotData[[#This Row],[Time]],PeakCalc!$G$10:$G$303,0))</f>
        <v>1</v>
      </c>
    </row>
    <row r="1152" spans="1:9" x14ac:dyDescent="0.25">
      <c r="A1152" t="s">
        <v>98</v>
      </c>
      <c r="B1152" t="s">
        <v>114</v>
      </c>
      <c r="C1152" t="s">
        <v>97</v>
      </c>
      <c r="D1152" t="s">
        <v>79</v>
      </c>
      <c r="E1152" t="s">
        <v>91</v>
      </c>
      <c r="F1152" s="6">
        <v>0.5625</v>
      </c>
      <c r="G1152">
        <v>5</v>
      </c>
      <c r="H1152" s="6">
        <f>FLOOR(tblPivotData[[#This Row],[Time]],Summary!$B$6/1440)</f>
        <v>0.5625</v>
      </c>
      <c r="I1152" s="49">
        <f>INDEX(PeakCalc!$L$10:$L$303,MATCH(tblPivotData[[#This Row],[Time]],PeakCalc!$G$10:$G$303,0))</f>
        <v>1</v>
      </c>
    </row>
    <row r="1153" spans="1:9" x14ac:dyDescent="0.25">
      <c r="A1153" t="s">
        <v>98</v>
      </c>
      <c r="B1153" t="s">
        <v>114</v>
      </c>
      <c r="C1153" t="s">
        <v>97</v>
      </c>
      <c r="D1153" t="s">
        <v>79</v>
      </c>
      <c r="E1153" t="s">
        <v>91</v>
      </c>
      <c r="F1153" s="6">
        <v>0.57291666666666663</v>
      </c>
      <c r="G1153">
        <v>6</v>
      </c>
      <c r="H1153" s="6">
        <f>FLOOR(tblPivotData[[#This Row],[Time]],Summary!$B$6/1440)</f>
        <v>0.57291666666666663</v>
      </c>
      <c r="I1153" s="49">
        <f>INDEX(PeakCalc!$L$10:$L$303,MATCH(tblPivotData[[#This Row],[Time]],PeakCalc!$G$10:$G$303,0))</f>
        <v>1</v>
      </c>
    </row>
    <row r="1154" spans="1:9" x14ac:dyDescent="0.25">
      <c r="A1154" t="s">
        <v>98</v>
      </c>
      <c r="B1154" t="s">
        <v>114</v>
      </c>
      <c r="C1154" t="s">
        <v>97</v>
      </c>
      <c r="D1154" t="s">
        <v>79</v>
      </c>
      <c r="E1154" t="s">
        <v>44</v>
      </c>
      <c r="F1154" s="6">
        <v>0.66666666666666663</v>
      </c>
      <c r="G1154">
        <v>11</v>
      </c>
      <c r="H1154" s="6">
        <f>FLOOR(tblPivotData[[#This Row],[Time]],Summary!$B$6/1440)</f>
        <v>0.66666666666666663</v>
      </c>
      <c r="I1154" s="49">
        <f>INDEX(PeakCalc!$L$10:$L$303,MATCH(tblPivotData[[#This Row],[Time]],PeakCalc!$G$10:$G$303,0))</f>
        <v>0</v>
      </c>
    </row>
    <row r="1155" spans="1:9" x14ac:dyDescent="0.25">
      <c r="A1155" t="s">
        <v>98</v>
      </c>
      <c r="B1155" t="s">
        <v>114</v>
      </c>
      <c r="C1155" t="s">
        <v>97</v>
      </c>
      <c r="D1155" t="s">
        <v>79</v>
      </c>
      <c r="E1155" t="s">
        <v>44</v>
      </c>
      <c r="F1155" s="6">
        <v>0.67708333333333337</v>
      </c>
      <c r="G1155">
        <v>12</v>
      </c>
      <c r="H1155" s="6">
        <f>FLOOR(tblPivotData[[#This Row],[Time]],Summary!$B$6/1440)</f>
        <v>0.67708333333333326</v>
      </c>
      <c r="I1155" s="49">
        <f>INDEX(PeakCalc!$L$10:$L$303,MATCH(tblPivotData[[#This Row],[Time]],PeakCalc!$G$10:$G$303,0))</f>
        <v>0</v>
      </c>
    </row>
    <row r="1156" spans="1:9" x14ac:dyDescent="0.25">
      <c r="A1156" t="s">
        <v>98</v>
      </c>
      <c r="B1156" t="s">
        <v>114</v>
      </c>
      <c r="C1156" t="s">
        <v>97</v>
      </c>
      <c r="D1156" t="s">
        <v>79</v>
      </c>
      <c r="E1156" t="s">
        <v>44</v>
      </c>
      <c r="F1156" s="6">
        <v>0.6875</v>
      </c>
      <c r="G1156">
        <v>8</v>
      </c>
      <c r="H1156" s="6">
        <f>FLOOR(tblPivotData[[#This Row],[Time]],Summary!$B$6/1440)</f>
        <v>0.6875</v>
      </c>
      <c r="I1156" s="49">
        <f>INDEX(PeakCalc!$L$10:$L$303,MATCH(tblPivotData[[#This Row],[Time]],PeakCalc!$G$10:$G$303,0))</f>
        <v>0</v>
      </c>
    </row>
    <row r="1157" spans="1:9" x14ac:dyDescent="0.25">
      <c r="A1157" t="s">
        <v>98</v>
      </c>
      <c r="B1157" t="s">
        <v>114</v>
      </c>
      <c r="C1157" t="s">
        <v>97</v>
      </c>
      <c r="D1157" t="s">
        <v>79</v>
      </c>
      <c r="E1157" t="s">
        <v>44</v>
      </c>
      <c r="F1157" s="6">
        <v>0.69791666666666663</v>
      </c>
      <c r="G1157">
        <v>7</v>
      </c>
      <c r="H1157" s="6">
        <f>FLOOR(tblPivotData[[#This Row],[Time]],Summary!$B$6/1440)</f>
        <v>0.69791666666666663</v>
      </c>
      <c r="I1157" s="49">
        <f>INDEX(PeakCalc!$L$10:$L$303,MATCH(tblPivotData[[#This Row],[Time]],PeakCalc!$G$10:$G$303,0))</f>
        <v>1</v>
      </c>
    </row>
    <row r="1158" spans="1:9" x14ac:dyDescent="0.25">
      <c r="A1158" t="s">
        <v>98</v>
      </c>
      <c r="B1158" t="s">
        <v>114</v>
      </c>
      <c r="C1158" t="s">
        <v>97</v>
      </c>
      <c r="D1158" t="s">
        <v>79</v>
      </c>
      <c r="E1158" t="s">
        <v>44</v>
      </c>
      <c r="F1158" s="6">
        <v>0.70833333333333337</v>
      </c>
      <c r="G1158">
        <v>6</v>
      </c>
      <c r="H1158" s="6">
        <f>FLOOR(tblPivotData[[#This Row],[Time]],Summary!$B$6/1440)</f>
        <v>0.70833333333333326</v>
      </c>
      <c r="I1158" s="49">
        <f>INDEX(PeakCalc!$L$10:$L$303,MATCH(tblPivotData[[#This Row],[Time]],PeakCalc!$G$10:$G$303,0))</f>
        <v>1</v>
      </c>
    </row>
    <row r="1159" spans="1:9" x14ac:dyDescent="0.25">
      <c r="A1159" t="s">
        <v>98</v>
      </c>
      <c r="B1159" t="s">
        <v>114</v>
      </c>
      <c r="C1159" t="s">
        <v>97</v>
      </c>
      <c r="D1159" t="s">
        <v>79</v>
      </c>
      <c r="E1159" t="s">
        <v>44</v>
      </c>
      <c r="F1159" s="6">
        <v>0.71875</v>
      </c>
      <c r="G1159">
        <v>9</v>
      </c>
      <c r="H1159" s="6">
        <f>FLOOR(tblPivotData[[#This Row],[Time]],Summary!$B$6/1440)</f>
        <v>0.71875</v>
      </c>
      <c r="I1159" s="49">
        <f>INDEX(PeakCalc!$L$10:$L$303,MATCH(tblPivotData[[#This Row],[Time]],PeakCalc!$G$10:$G$303,0))</f>
        <v>1</v>
      </c>
    </row>
    <row r="1160" spans="1:9" x14ac:dyDescent="0.25">
      <c r="A1160" t="s">
        <v>98</v>
      </c>
      <c r="B1160" t="s">
        <v>114</v>
      </c>
      <c r="C1160" t="s">
        <v>97</v>
      </c>
      <c r="D1160" t="s">
        <v>79</v>
      </c>
      <c r="E1160" t="s">
        <v>44</v>
      </c>
      <c r="F1160" s="6">
        <v>0.72916666666666663</v>
      </c>
      <c r="G1160">
        <v>11</v>
      </c>
      <c r="H1160" s="6">
        <f>FLOOR(tblPivotData[[#This Row],[Time]],Summary!$B$6/1440)</f>
        <v>0.72916666666666663</v>
      </c>
      <c r="I1160" s="49">
        <f>INDEX(PeakCalc!$L$10:$L$303,MATCH(tblPivotData[[#This Row],[Time]],PeakCalc!$G$10:$G$303,0))</f>
        <v>1</v>
      </c>
    </row>
    <row r="1161" spans="1:9" x14ac:dyDescent="0.25">
      <c r="A1161" t="s">
        <v>98</v>
      </c>
      <c r="B1161" t="s">
        <v>114</v>
      </c>
      <c r="C1161" t="s">
        <v>97</v>
      </c>
      <c r="D1161" t="s">
        <v>79</v>
      </c>
      <c r="E1161" t="s">
        <v>44</v>
      </c>
      <c r="F1161" s="6">
        <v>0.73958333333333337</v>
      </c>
      <c r="G1161">
        <v>4</v>
      </c>
      <c r="H1161" s="6">
        <f>FLOOR(tblPivotData[[#This Row],[Time]],Summary!$B$6/1440)</f>
        <v>0.73958333333333326</v>
      </c>
      <c r="I1161" s="49">
        <f>INDEX(PeakCalc!$L$10:$L$303,MATCH(tblPivotData[[#This Row],[Time]],PeakCalc!$G$10:$G$303,0))</f>
        <v>0</v>
      </c>
    </row>
    <row r="1162" spans="1:9" x14ac:dyDescent="0.25">
      <c r="A1162" t="s">
        <v>98</v>
      </c>
      <c r="B1162" t="s">
        <v>114</v>
      </c>
      <c r="C1162" t="s">
        <v>97</v>
      </c>
      <c r="D1162" t="s">
        <v>89</v>
      </c>
      <c r="E1162" t="s">
        <v>43</v>
      </c>
      <c r="F1162" s="6">
        <v>0.29166666666666669</v>
      </c>
      <c r="G1162">
        <v>0</v>
      </c>
      <c r="H1162" s="6">
        <f>FLOOR(tblPivotData[[#This Row],[Time]],Summary!$B$6/1440)</f>
        <v>0.29166666666666663</v>
      </c>
      <c r="I1162" s="49">
        <f>INDEX(PeakCalc!$L$10:$L$303,MATCH(tblPivotData[[#This Row],[Time]],PeakCalc!$G$10:$G$303,0))</f>
        <v>0</v>
      </c>
    </row>
    <row r="1163" spans="1:9" x14ac:dyDescent="0.25">
      <c r="A1163" t="s">
        <v>98</v>
      </c>
      <c r="B1163" t="s">
        <v>114</v>
      </c>
      <c r="C1163" t="s">
        <v>97</v>
      </c>
      <c r="D1163" t="s">
        <v>89</v>
      </c>
      <c r="E1163" t="s">
        <v>43</v>
      </c>
      <c r="F1163" s="6">
        <v>0.30208333333333331</v>
      </c>
      <c r="G1163">
        <v>0</v>
      </c>
      <c r="H1163" s="6">
        <f>FLOOR(tblPivotData[[#This Row],[Time]],Summary!$B$6/1440)</f>
        <v>0.30208333333333331</v>
      </c>
      <c r="I1163" s="49">
        <f>INDEX(PeakCalc!$L$10:$L$303,MATCH(tblPivotData[[#This Row],[Time]],PeakCalc!$G$10:$G$303,0))</f>
        <v>0</v>
      </c>
    </row>
    <row r="1164" spans="1:9" x14ac:dyDescent="0.25">
      <c r="A1164" t="s">
        <v>98</v>
      </c>
      <c r="B1164" t="s">
        <v>114</v>
      </c>
      <c r="C1164" t="s">
        <v>97</v>
      </c>
      <c r="D1164" t="s">
        <v>89</v>
      </c>
      <c r="E1164" t="s">
        <v>43</v>
      </c>
      <c r="F1164" s="6">
        <v>0.3125</v>
      </c>
      <c r="G1164">
        <v>1</v>
      </c>
      <c r="H1164" s="6">
        <f>FLOOR(tblPivotData[[#This Row],[Time]],Summary!$B$6/1440)</f>
        <v>0.3125</v>
      </c>
      <c r="I1164" s="49">
        <f>INDEX(PeakCalc!$L$10:$L$303,MATCH(tblPivotData[[#This Row],[Time]],PeakCalc!$G$10:$G$303,0))</f>
        <v>0</v>
      </c>
    </row>
    <row r="1165" spans="1:9" x14ac:dyDescent="0.25">
      <c r="A1165" t="s">
        <v>98</v>
      </c>
      <c r="B1165" t="s">
        <v>114</v>
      </c>
      <c r="C1165" t="s">
        <v>97</v>
      </c>
      <c r="D1165" t="s">
        <v>89</v>
      </c>
      <c r="E1165" t="s">
        <v>43</v>
      </c>
      <c r="F1165" s="6">
        <v>0.32291666666666669</v>
      </c>
      <c r="G1165">
        <v>0</v>
      </c>
      <c r="H1165" s="6">
        <f>FLOOR(tblPivotData[[#This Row],[Time]],Summary!$B$6/1440)</f>
        <v>0.32291666666666663</v>
      </c>
      <c r="I1165" s="49">
        <f>INDEX(PeakCalc!$L$10:$L$303,MATCH(tblPivotData[[#This Row],[Time]],PeakCalc!$G$10:$G$303,0))</f>
        <v>0</v>
      </c>
    </row>
    <row r="1166" spans="1:9" x14ac:dyDescent="0.25">
      <c r="A1166" t="s">
        <v>98</v>
      </c>
      <c r="B1166" t="s">
        <v>114</v>
      </c>
      <c r="C1166" t="s">
        <v>97</v>
      </c>
      <c r="D1166" t="s">
        <v>89</v>
      </c>
      <c r="E1166" t="s">
        <v>43</v>
      </c>
      <c r="F1166" s="6">
        <v>0.33333333333333331</v>
      </c>
      <c r="G1166">
        <v>0</v>
      </c>
      <c r="H1166" s="6">
        <f>FLOOR(tblPivotData[[#This Row],[Time]],Summary!$B$6/1440)</f>
        <v>0.33333333333333331</v>
      </c>
      <c r="I1166" s="49">
        <f>INDEX(PeakCalc!$L$10:$L$303,MATCH(tblPivotData[[#This Row],[Time]],PeakCalc!$G$10:$G$303,0))</f>
        <v>1</v>
      </c>
    </row>
    <row r="1167" spans="1:9" x14ac:dyDescent="0.25">
      <c r="A1167" t="s">
        <v>98</v>
      </c>
      <c r="B1167" t="s">
        <v>114</v>
      </c>
      <c r="C1167" t="s">
        <v>97</v>
      </c>
      <c r="D1167" t="s">
        <v>89</v>
      </c>
      <c r="E1167" t="s">
        <v>43</v>
      </c>
      <c r="F1167" s="6">
        <v>0.34375</v>
      </c>
      <c r="G1167">
        <v>0</v>
      </c>
      <c r="H1167" s="6">
        <f>FLOOR(tblPivotData[[#This Row],[Time]],Summary!$B$6/1440)</f>
        <v>0.34375</v>
      </c>
      <c r="I1167" s="49">
        <f>INDEX(PeakCalc!$L$10:$L$303,MATCH(tblPivotData[[#This Row],[Time]],PeakCalc!$G$10:$G$303,0))</f>
        <v>1</v>
      </c>
    </row>
    <row r="1168" spans="1:9" x14ac:dyDescent="0.25">
      <c r="A1168" t="s">
        <v>98</v>
      </c>
      <c r="B1168" t="s">
        <v>114</v>
      </c>
      <c r="C1168" t="s">
        <v>97</v>
      </c>
      <c r="D1168" t="s">
        <v>89</v>
      </c>
      <c r="E1168" t="s">
        <v>43</v>
      </c>
      <c r="F1168" s="6">
        <v>0.35416666666666669</v>
      </c>
      <c r="G1168">
        <v>1</v>
      </c>
      <c r="H1168" s="6">
        <f>FLOOR(tblPivotData[[#This Row],[Time]],Summary!$B$6/1440)</f>
        <v>0.35416666666666663</v>
      </c>
      <c r="I1168" s="49">
        <f>INDEX(PeakCalc!$L$10:$L$303,MATCH(tblPivotData[[#This Row],[Time]],PeakCalc!$G$10:$G$303,0))</f>
        <v>1</v>
      </c>
    </row>
    <row r="1169" spans="1:9" x14ac:dyDescent="0.25">
      <c r="A1169" t="s">
        <v>98</v>
      </c>
      <c r="B1169" t="s">
        <v>114</v>
      </c>
      <c r="C1169" t="s">
        <v>97</v>
      </c>
      <c r="D1169" t="s">
        <v>89</v>
      </c>
      <c r="E1169" t="s">
        <v>43</v>
      </c>
      <c r="F1169" s="6">
        <v>0.36458333333333331</v>
      </c>
      <c r="G1169">
        <v>0</v>
      </c>
      <c r="H1169" s="6">
        <f>FLOOR(tblPivotData[[#This Row],[Time]],Summary!$B$6/1440)</f>
        <v>0.36458333333333331</v>
      </c>
      <c r="I1169" s="49">
        <f>INDEX(PeakCalc!$L$10:$L$303,MATCH(tblPivotData[[#This Row],[Time]],PeakCalc!$G$10:$G$303,0))</f>
        <v>1</v>
      </c>
    </row>
    <row r="1170" spans="1:9" x14ac:dyDescent="0.25">
      <c r="A1170" t="s">
        <v>98</v>
      </c>
      <c r="B1170" t="s">
        <v>114</v>
      </c>
      <c r="C1170" t="s">
        <v>97</v>
      </c>
      <c r="D1170" t="s">
        <v>89</v>
      </c>
      <c r="E1170" t="s">
        <v>91</v>
      </c>
      <c r="F1170" s="6">
        <v>0.54166666666666663</v>
      </c>
      <c r="G1170">
        <v>0</v>
      </c>
      <c r="H1170" s="6">
        <f>FLOOR(tblPivotData[[#This Row],[Time]],Summary!$B$6/1440)</f>
        <v>0.54166666666666663</v>
      </c>
      <c r="I1170" s="49">
        <f>INDEX(PeakCalc!$L$10:$L$303,MATCH(tblPivotData[[#This Row],[Time]],PeakCalc!$G$10:$G$303,0))</f>
        <v>1</v>
      </c>
    </row>
    <row r="1171" spans="1:9" x14ac:dyDescent="0.25">
      <c r="A1171" t="s">
        <v>98</v>
      </c>
      <c r="B1171" t="s">
        <v>114</v>
      </c>
      <c r="C1171" t="s">
        <v>97</v>
      </c>
      <c r="D1171" t="s">
        <v>89</v>
      </c>
      <c r="E1171" t="s">
        <v>91</v>
      </c>
      <c r="F1171" s="6">
        <v>0.55208333333333337</v>
      </c>
      <c r="G1171">
        <v>0</v>
      </c>
      <c r="H1171" s="6">
        <f>FLOOR(tblPivotData[[#This Row],[Time]],Summary!$B$6/1440)</f>
        <v>0.55208333333333326</v>
      </c>
      <c r="I1171" s="49">
        <f>INDEX(PeakCalc!$L$10:$L$303,MATCH(tblPivotData[[#This Row],[Time]],PeakCalc!$G$10:$G$303,0))</f>
        <v>1</v>
      </c>
    </row>
    <row r="1172" spans="1:9" x14ac:dyDescent="0.25">
      <c r="A1172" t="s">
        <v>98</v>
      </c>
      <c r="B1172" t="s">
        <v>114</v>
      </c>
      <c r="C1172" t="s">
        <v>97</v>
      </c>
      <c r="D1172" t="s">
        <v>89</v>
      </c>
      <c r="E1172" t="s">
        <v>91</v>
      </c>
      <c r="F1172" s="6">
        <v>0.5625</v>
      </c>
      <c r="G1172">
        <v>1</v>
      </c>
      <c r="H1172" s="6">
        <f>FLOOR(tblPivotData[[#This Row],[Time]],Summary!$B$6/1440)</f>
        <v>0.5625</v>
      </c>
      <c r="I1172" s="49">
        <f>INDEX(PeakCalc!$L$10:$L$303,MATCH(tblPivotData[[#This Row],[Time]],PeakCalc!$G$10:$G$303,0))</f>
        <v>1</v>
      </c>
    </row>
    <row r="1173" spans="1:9" x14ac:dyDescent="0.25">
      <c r="A1173" t="s">
        <v>98</v>
      </c>
      <c r="B1173" t="s">
        <v>114</v>
      </c>
      <c r="C1173" t="s">
        <v>97</v>
      </c>
      <c r="D1173" t="s">
        <v>89</v>
      </c>
      <c r="E1173" t="s">
        <v>91</v>
      </c>
      <c r="F1173" s="6">
        <v>0.57291666666666663</v>
      </c>
      <c r="G1173">
        <v>2</v>
      </c>
      <c r="H1173" s="6">
        <f>FLOOR(tblPivotData[[#This Row],[Time]],Summary!$B$6/1440)</f>
        <v>0.57291666666666663</v>
      </c>
      <c r="I1173" s="49">
        <f>INDEX(PeakCalc!$L$10:$L$303,MATCH(tblPivotData[[#This Row],[Time]],PeakCalc!$G$10:$G$303,0))</f>
        <v>1</v>
      </c>
    </row>
    <row r="1174" spans="1:9" x14ac:dyDescent="0.25">
      <c r="A1174" t="s">
        <v>98</v>
      </c>
      <c r="B1174" t="s">
        <v>114</v>
      </c>
      <c r="C1174" t="s">
        <v>97</v>
      </c>
      <c r="D1174" t="s">
        <v>89</v>
      </c>
      <c r="E1174" t="s">
        <v>44</v>
      </c>
      <c r="F1174" s="6">
        <v>0.66666666666666663</v>
      </c>
      <c r="G1174">
        <v>0</v>
      </c>
      <c r="H1174" s="6">
        <f>FLOOR(tblPivotData[[#This Row],[Time]],Summary!$B$6/1440)</f>
        <v>0.66666666666666663</v>
      </c>
      <c r="I1174" s="49">
        <f>INDEX(PeakCalc!$L$10:$L$303,MATCH(tblPivotData[[#This Row],[Time]],PeakCalc!$G$10:$G$303,0))</f>
        <v>0</v>
      </c>
    </row>
    <row r="1175" spans="1:9" x14ac:dyDescent="0.25">
      <c r="A1175" t="s">
        <v>98</v>
      </c>
      <c r="B1175" t="s">
        <v>114</v>
      </c>
      <c r="C1175" t="s">
        <v>97</v>
      </c>
      <c r="D1175" t="s">
        <v>89</v>
      </c>
      <c r="E1175" t="s">
        <v>44</v>
      </c>
      <c r="F1175" s="6">
        <v>0.67708333333333337</v>
      </c>
      <c r="G1175">
        <v>0</v>
      </c>
      <c r="H1175" s="6">
        <f>FLOOR(tblPivotData[[#This Row],[Time]],Summary!$B$6/1440)</f>
        <v>0.67708333333333326</v>
      </c>
      <c r="I1175" s="49">
        <f>INDEX(PeakCalc!$L$10:$L$303,MATCH(tblPivotData[[#This Row],[Time]],PeakCalc!$G$10:$G$303,0))</f>
        <v>0</v>
      </c>
    </row>
    <row r="1176" spans="1:9" x14ac:dyDescent="0.25">
      <c r="A1176" t="s">
        <v>98</v>
      </c>
      <c r="B1176" t="s">
        <v>114</v>
      </c>
      <c r="C1176" t="s">
        <v>97</v>
      </c>
      <c r="D1176" t="s">
        <v>89</v>
      </c>
      <c r="E1176" t="s">
        <v>44</v>
      </c>
      <c r="F1176" s="6">
        <v>0.6875</v>
      </c>
      <c r="G1176">
        <v>0</v>
      </c>
      <c r="H1176" s="6">
        <f>FLOOR(tblPivotData[[#This Row],[Time]],Summary!$B$6/1440)</f>
        <v>0.6875</v>
      </c>
      <c r="I1176" s="49">
        <f>INDEX(PeakCalc!$L$10:$L$303,MATCH(tblPivotData[[#This Row],[Time]],PeakCalc!$G$10:$G$303,0))</f>
        <v>0</v>
      </c>
    </row>
    <row r="1177" spans="1:9" x14ac:dyDescent="0.25">
      <c r="A1177" t="s">
        <v>98</v>
      </c>
      <c r="B1177" t="s">
        <v>114</v>
      </c>
      <c r="C1177" t="s">
        <v>97</v>
      </c>
      <c r="D1177" t="s">
        <v>89</v>
      </c>
      <c r="E1177" t="s">
        <v>44</v>
      </c>
      <c r="F1177" s="6">
        <v>0.69791666666666663</v>
      </c>
      <c r="G1177">
        <v>0</v>
      </c>
      <c r="H1177" s="6">
        <f>FLOOR(tblPivotData[[#This Row],[Time]],Summary!$B$6/1440)</f>
        <v>0.69791666666666663</v>
      </c>
      <c r="I1177" s="49">
        <f>INDEX(PeakCalc!$L$10:$L$303,MATCH(tblPivotData[[#This Row],[Time]],PeakCalc!$G$10:$G$303,0))</f>
        <v>1</v>
      </c>
    </row>
    <row r="1178" spans="1:9" x14ac:dyDescent="0.25">
      <c r="A1178" t="s">
        <v>98</v>
      </c>
      <c r="B1178" t="s">
        <v>114</v>
      </c>
      <c r="C1178" t="s">
        <v>97</v>
      </c>
      <c r="D1178" t="s">
        <v>89</v>
      </c>
      <c r="E1178" t="s">
        <v>44</v>
      </c>
      <c r="F1178" s="6">
        <v>0.70833333333333337</v>
      </c>
      <c r="G1178">
        <v>0</v>
      </c>
      <c r="H1178" s="6">
        <f>FLOOR(tblPivotData[[#This Row],[Time]],Summary!$B$6/1440)</f>
        <v>0.70833333333333326</v>
      </c>
      <c r="I1178" s="49">
        <f>INDEX(PeakCalc!$L$10:$L$303,MATCH(tblPivotData[[#This Row],[Time]],PeakCalc!$G$10:$G$303,0))</f>
        <v>1</v>
      </c>
    </row>
    <row r="1179" spans="1:9" x14ac:dyDescent="0.25">
      <c r="A1179" t="s">
        <v>98</v>
      </c>
      <c r="B1179" t="s">
        <v>114</v>
      </c>
      <c r="C1179" t="s">
        <v>97</v>
      </c>
      <c r="D1179" t="s">
        <v>89</v>
      </c>
      <c r="E1179" t="s">
        <v>44</v>
      </c>
      <c r="F1179" s="6">
        <v>0.71875</v>
      </c>
      <c r="G1179">
        <v>0</v>
      </c>
      <c r="H1179" s="6">
        <f>FLOOR(tblPivotData[[#This Row],[Time]],Summary!$B$6/1440)</f>
        <v>0.71875</v>
      </c>
      <c r="I1179" s="49">
        <f>INDEX(PeakCalc!$L$10:$L$303,MATCH(tblPivotData[[#This Row],[Time]],PeakCalc!$G$10:$G$303,0))</f>
        <v>1</v>
      </c>
    </row>
    <row r="1180" spans="1:9" x14ac:dyDescent="0.25">
      <c r="A1180" t="s">
        <v>98</v>
      </c>
      <c r="B1180" t="s">
        <v>114</v>
      </c>
      <c r="C1180" t="s">
        <v>97</v>
      </c>
      <c r="D1180" t="s">
        <v>89</v>
      </c>
      <c r="E1180" t="s">
        <v>44</v>
      </c>
      <c r="F1180" s="6">
        <v>0.72916666666666663</v>
      </c>
      <c r="G1180">
        <v>0</v>
      </c>
      <c r="H1180" s="6">
        <f>FLOOR(tblPivotData[[#This Row],[Time]],Summary!$B$6/1440)</f>
        <v>0.72916666666666663</v>
      </c>
      <c r="I1180" s="49">
        <f>INDEX(PeakCalc!$L$10:$L$303,MATCH(tblPivotData[[#This Row],[Time]],PeakCalc!$G$10:$G$303,0))</f>
        <v>1</v>
      </c>
    </row>
    <row r="1181" spans="1:9" x14ac:dyDescent="0.25">
      <c r="A1181" t="s">
        <v>98</v>
      </c>
      <c r="B1181" t="s">
        <v>114</v>
      </c>
      <c r="C1181" t="s">
        <v>97</v>
      </c>
      <c r="D1181" t="s">
        <v>89</v>
      </c>
      <c r="E1181" t="s">
        <v>44</v>
      </c>
      <c r="F1181" s="6">
        <v>0.73958333333333337</v>
      </c>
      <c r="G1181">
        <v>0</v>
      </c>
      <c r="H1181" s="6">
        <f>FLOOR(tblPivotData[[#This Row],[Time]],Summary!$B$6/1440)</f>
        <v>0.73958333333333326</v>
      </c>
      <c r="I1181" s="49">
        <f>INDEX(PeakCalc!$L$10:$L$303,MATCH(tblPivotData[[#This Row],[Time]],PeakCalc!$G$10:$G$303,0))</f>
        <v>0</v>
      </c>
    </row>
    <row r="1182" spans="1:9" x14ac:dyDescent="0.25">
      <c r="A1182" t="s">
        <v>98</v>
      </c>
      <c r="B1182" t="s">
        <v>114</v>
      </c>
      <c r="C1182" t="s">
        <v>97</v>
      </c>
      <c r="D1182" t="s">
        <v>90</v>
      </c>
      <c r="E1182" t="s">
        <v>43</v>
      </c>
      <c r="F1182" s="6">
        <v>0.29166666666666669</v>
      </c>
      <c r="G1182">
        <v>0</v>
      </c>
      <c r="H1182" s="6">
        <f>FLOOR(tblPivotData[[#This Row],[Time]],Summary!$B$6/1440)</f>
        <v>0.29166666666666663</v>
      </c>
      <c r="I1182" s="49">
        <f>INDEX(PeakCalc!$L$10:$L$303,MATCH(tblPivotData[[#This Row],[Time]],PeakCalc!$G$10:$G$303,0))</f>
        <v>0</v>
      </c>
    </row>
    <row r="1183" spans="1:9" x14ac:dyDescent="0.25">
      <c r="A1183" t="s">
        <v>98</v>
      </c>
      <c r="B1183" t="s">
        <v>114</v>
      </c>
      <c r="C1183" t="s">
        <v>97</v>
      </c>
      <c r="D1183" t="s">
        <v>90</v>
      </c>
      <c r="E1183" t="s">
        <v>43</v>
      </c>
      <c r="F1183" s="6">
        <v>0.30208333333333331</v>
      </c>
      <c r="G1183">
        <v>0</v>
      </c>
      <c r="H1183" s="6">
        <f>FLOOR(tblPivotData[[#This Row],[Time]],Summary!$B$6/1440)</f>
        <v>0.30208333333333331</v>
      </c>
      <c r="I1183" s="49">
        <f>INDEX(PeakCalc!$L$10:$L$303,MATCH(tblPivotData[[#This Row],[Time]],PeakCalc!$G$10:$G$303,0))</f>
        <v>0</v>
      </c>
    </row>
    <row r="1184" spans="1:9" x14ac:dyDescent="0.25">
      <c r="A1184" t="s">
        <v>98</v>
      </c>
      <c r="B1184" t="s">
        <v>114</v>
      </c>
      <c r="C1184" t="s">
        <v>97</v>
      </c>
      <c r="D1184" t="s">
        <v>90</v>
      </c>
      <c r="E1184" t="s">
        <v>43</v>
      </c>
      <c r="F1184" s="6">
        <v>0.3125</v>
      </c>
      <c r="G1184">
        <v>0</v>
      </c>
      <c r="H1184" s="6">
        <f>FLOOR(tblPivotData[[#This Row],[Time]],Summary!$B$6/1440)</f>
        <v>0.3125</v>
      </c>
      <c r="I1184" s="49">
        <f>INDEX(PeakCalc!$L$10:$L$303,MATCH(tblPivotData[[#This Row],[Time]],PeakCalc!$G$10:$G$303,0))</f>
        <v>0</v>
      </c>
    </row>
    <row r="1185" spans="1:9" x14ac:dyDescent="0.25">
      <c r="A1185" t="s">
        <v>98</v>
      </c>
      <c r="B1185" t="s">
        <v>114</v>
      </c>
      <c r="C1185" t="s">
        <v>97</v>
      </c>
      <c r="D1185" t="s">
        <v>90</v>
      </c>
      <c r="E1185" t="s">
        <v>43</v>
      </c>
      <c r="F1185" s="6">
        <v>0.32291666666666669</v>
      </c>
      <c r="G1185">
        <v>0</v>
      </c>
      <c r="H1185" s="6">
        <f>FLOOR(tblPivotData[[#This Row],[Time]],Summary!$B$6/1440)</f>
        <v>0.32291666666666663</v>
      </c>
      <c r="I1185" s="49">
        <f>INDEX(PeakCalc!$L$10:$L$303,MATCH(tblPivotData[[#This Row],[Time]],PeakCalc!$G$10:$G$303,0))</f>
        <v>0</v>
      </c>
    </row>
    <row r="1186" spans="1:9" x14ac:dyDescent="0.25">
      <c r="A1186" t="s">
        <v>98</v>
      </c>
      <c r="B1186" t="s">
        <v>114</v>
      </c>
      <c r="C1186" t="s">
        <v>97</v>
      </c>
      <c r="D1186" t="s">
        <v>90</v>
      </c>
      <c r="E1186" t="s">
        <v>43</v>
      </c>
      <c r="F1186" s="6">
        <v>0.33333333333333331</v>
      </c>
      <c r="G1186">
        <v>0</v>
      </c>
      <c r="H1186" s="6">
        <f>FLOOR(tblPivotData[[#This Row],[Time]],Summary!$B$6/1440)</f>
        <v>0.33333333333333331</v>
      </c>
      <c r="I1186" s="49">
        <f>INDEX(PeakCalc!$L$10:$L$303,MATCH(tblPivotData[[#This Row],[Time]],PeakCalc!$G$10:$G$303,0))</f>
        <v>1</v>
      </c>
    </row>
    <row r="1187" spans="1:9" x14ac:dyDescent="0.25">
      <c r="A1187" t="s">
        <v>98</v>
      </c>
      <c r="B1187" t="s">
        <v>114</v>
      </c>
      <c r="C1187" t="s">
        <v>97</v>
      </c>
      <c r="D1187" t="s">
        <v>90</v>
      </c>
      <c r="E1187" t="s">
        <v>43</v>
      </c>
      <c r="F1187" s="6">
        <v>0.34375</v>
      </c>
      <c r="G1187">
        <v>0</v>
      </c>
      <c r="H1187" s="6">
        <f>FLOOR(tblPivotData[[#This Row],[Time]],Summary!$B$6/1440)</f>
        <v>0.34375</v>
      </c>
      <c r="I1187" s="49">
        <f>INDEX(PeakCalc!$L$10:$L$303,MATCH(tblPivotData[[#This Row],[Time]],PeakCalc!$G$10:$G$303,0))</f>
        <v>1</v>
      </c>
    </row>
    <row r="1188" spans="1:9" x14ac:dyDescent="0.25">
      <c r="A1188" t="s">
        <v>98</v>
      </c>
      <c r="B1188" t="s">
        <v>114</v>
      </c>
      <c r="C1188" t="s">
        <v>97</v>
      </c>
      <c r="D1188" t="s">
        <v>90</v>
      </c>
      <c r="E1188" t="s">
        <v>43</v>
      </c>
      <c r="F1188" s="6">
        <v>0.35416666666666669</v>
      </c>
      <c r="G1188">
        <v>0</v>
      </c>
      <c r="H1188" s="6">
        <f>FLOOR(tblPivotData[[#This Row],[Time]],Summary!$B$6/1440)</f>
        <v>0.35416666666666663</v>
      </c>
      <c r="I1188" s="49">
        <f>INDEX(PeakCalc!$L$10:$L$303,MATCH(tblPivotData[[#This Row],[Time]],PeakCalc!$G$10:$G$303,0))</f>
        <v>1</v>
      </c>
    </row>
    <row r="1189" spans="1:9" x14ac:dyDescent="0.25">
      <c r="A1189" t="s">
        <v>98</v>
      </c>
      <c r="B1189" t="s">
        <v>114</v>
      </c>
      <c r="C1189" t="s">
        <v>97</v>
      </c>
      <c r="D1189" t="s">
        <v>90</v>
      </c>
      <c r="E1189" t="s">
        <v>43</v>
      </c>
      <c r="F1189" s="6">
        <v>0.36458333333333331</v>
      </c>
      <c r="G1189">
        <v>0</v>
      </c>
      <c r="H1189" s="6">
        <f>FLOOR(tblPivotData[[#This Row],[Time]],Summary!$B$6/1440)</f>
        <v>0.36458333333333331</v>
      </c>
      <c r="I1189" s="49">
        <f>INDEX(PeakCalc!$L$10:$L$303,MATCH(tblPivotData[[#This Row],[Time]],PeakCalc!$G$10:$G$303,0))</f>
        <v>1</v>
      </c>
    </row>
    <row r="1190" spans="1:9" x14ac:dyDescent="0.25">
      <c r="A1190" t="s">
        <v>98</v>
      </c>
      <c r="B1190" t="s">
        <v>114</v>
      </c>
      <c r="C1190" t="s">
        <v>97</v>
      </c>
      <c r="D1190" t="s">
        <v>90</v>
      </c>
      <c r="E1190" t="s">
        <v>91</v>
      </c>
      <c r="F1190" s="6">
        <v>0.54166666666666663</v>
      </c>
      <c r="G1190">
        <v>0</v>
      </c>
      <c r="H1190" s="6">
        <f>FLOOR(tblPivotData[[#This Row],[Time]],Summary!$B$6/1440)</f>
        <v>0.54166666666666663</v>
      </c>
      <c r="I1190" s="49">
        <f>INDEX(PeakCalc!$L$10:$L$303,MATCH(tblPivotData[[#This Row],[Time]],PeakCalc!$G$10:$G$303,0))</f>
        <v>1</v>
      </c>
    </row>
    <row r="1191" spans="1:9" x14ac:dyDescent="0.25">
      <c r="A1191" t="s">
        <v>98</v>
      </c>
      <c r="B1191" t="s">
        <v>114</v>
      </c>
      <c r="C1191" t="s">
        <v>97</v>
      </c>
      <c r="D1191" t="s">
        <v>90</v>
      </c>
      <c r="E1191" t="s">
        <v>91</v>
      </c>
      <c r="F1191" s="6">
        <v>0.55208333333333337</v>
      </c>
      <c r="G1191">
        <v>0</v>
      </c>
      <c r="H1191" s="6">
        <f>FLOOR(tblPivotData[[#This Row],[Time]],Summary!$B$6/1440)</f>
        <v>0.55208333333333326</v>
      </c>
      <c r="I1191" s="49">
        <f>INDEX(PeakCalc!$L$10:$L$303,MATCH(tblPivotData[[#This Row],[Time]],PeakCalc!$G$10:$G$303,0))</f>
        <v>1</v>
      </c>
    </row>
    <row r="1192" spans="1:9" x14ac:dyDescent="0.25">
      <c r="A1192" t="s">
        <v>98</v>
      </c>
      <c r="B1192" t="s">
        <v>114</v>
      </c>
      <c r="C1192" t="s">
        <v>97</v>
      </c>
      <c r="D1192" t="s">
        <v>90</v>
      </c>
      <c r="E1192" t="s">
        <v>91</v>
      </c>
      <c r="F1192" s="6">
        <v>0.5625</v>
      </c>
      <c r="G1192">
        <v>0</v>
      </c>
      <c r="H1192" s="6">
        <f>FLOOR(tblPivotData[[#This Row],[Time]],Summary!$B$6/1440)</f>
        <v>0.5625</v>
      </c>
      <c r="I1192" s="49">
        <f>INDEX(PeakCalc!$L$10:$L$303,MATCH(tblPivotData[[#This Row],[Time]],PeakCalc!$G$10:$G$303,0))</f>
        <v>1</v>
      </c>
    </row>
    <row r="1193" spans="1:9" x14ac:dyDescent="0.25">
      <c r="A1193" t="s">
        <v>98</v>
      </c>
      <c r="B1193" t="s">
        <v>114</v>
      </c>
      <c r="C1193" t="s">
        <v>97</v>
      </c>
      <c r="D1193" t="s">
        <v>90</v>
      </c>
      <c r="E1193" t="s">
        <v>91</v>
      </c>
      <c r="F1193" s="6">
        <v>0.57291666666666663</v>
      </c>
      <c r="G1193">
        <v>0</v>
      </c>
      <c r="H1193" s="6">
        <f>FLOOR(tblPivotData[[#This Row],[Time]],Summary!$B$6/1440)</f>
        <v>0.57291666666666663</v>
      </c>
      <c r="I1193" s="49">
        <f>INDEX(PeakCalc!$L$10:$L$303,MATCH(tblPivotData[[#This Row],[Time]],PeakCalc!$G$10:$G$303,0))</f>
        <v>1</v>
      </c>
    </row>
    <row r="1194" spans="1:9" x14ac:dyDescent="0.25">
      <c r="A1194" t="s">
        <v>98</v>
      </c>
      <c r="B1194" t="s">
        <v>114</v>
      </c>
      <c r="C1194" t="s">
        <v>97</v>
      </c>
      <c r="D1194" t="s">
        <v>90</v>
      </c>
      <c r="E1194" t="s">
        <v>44</v>
      </c>
      <c r="F1194" s="6">
        <v>0.66666666666666663</v>
      </c>
      <c r="G1194">
        <v>0</v>
      </c>
      <c r="H1194" s="6">
        <f>FLOOR(tblPivotData[[#This Row],[Time]],Summary!$B$6/1440)</f>
        <v>0.66666666666666663</v>
      </c>
      <c r="I1194" s="49">
        <f>INDEX(PeakCalc!$L$10:$L$303,MATCH(tblPivotData[[#This Row],[Time]],PeakCalc!$G$10:$G$303,0))</f>
        <v>0</v>
      </c>
    </row>
    <row r="1195" spans="1:9" x14ac:dyDescent="0.25">
      <c r="A1195" t="s">
        <v>98</v>
      </c>
      <c r="B1195" t="s">
        <v>114</v>
      </c>
      <c r="C1195" t="s">
        <v>97</v>
      </c>
      <c r="D1195" t="s">
        <v>90</v>
      </c>
      <c r="E1195" t="s">
        <v>44</v>
      </c>
      <c r="F1195" s="6">
        <v>0.67708333333333337</v>
      </c>
      <c r="G1195">
        <v>0</v>
      </c>
      <c r="H1195" s="6">
        <f>FLOOR(tblPivotData[[#This Row],[Time]],Summary!$B$6/1440)</f>
        <v>0.67708333333333326</v>
      </c>
      <c r="I1195" s="49">
        <f>INDEX(PeakCalc!$L$10:$L$303,MATCH(tblPivotData[[#This Row],[Time]],PeakCalc!$G$10:$G$303,0))</f>
        <v>0</v>
      </c>
    </row>
    <row r="1196" spans="1:9" x14ac:dyDescent="0.25">
      <c r="A1196" t="s">
        <v>98</v>
      </c>
      <c r="B1196" t="s">
        <v>114</v>
      </c>
      <c r="C1196" t="s">
        <v>97</v>
      </c>
      <c r="D1196" t="s">
        <v>90</v>
      </c>
      <c r="E1196" t="s">
        <v>44</v>
      </c>
      <c r="F1196" s="6">
        <v>0.6875</v>
      </c>
      <c r="G1196">
        <v>0</v>
      </c>
      <c r="H1196" s="6">
        <f>FLOOR(tblPivotData[[#This Row],[Time]],Summary!$B$6/1440)</f>
        <v>0.6875</v>
      </c>
      <c r="I1196" s="49">
        <f>INDEX(PeakCalc!$L$10:$L$303,MATCH(tblPivotData[[#This Row],[Time]],PeakCalc!$G$10:$G$303,0))</f>
        <v>0</v>
      </c>
    </row>
    <row r="1197" spans="1:9" x14ac:dyDescent="0.25">
      <c r="A1197" t="s">
        <v>98</v>
      </c>
      <c r="B1197" t="s">
        <v>114</v>
      </c>
      <c r="C1197" t="s">
        <v>97</v>
      </c>
      <c r="D1197" t="s">
        <v>90</v>
      </c>
      <c r="E1197" t="s">
        <v>44</v>
      </c>
      <c r="F1197" s="6">
        <v>0.69791666666666663</v>
      </c>
      <c r="G1197">
        <v>0</v>
      </c>
      <c r="H1197" s="6">
        <f>FLOOR(tblPivotData[[#This Row],[Time]],Summary!$B$6/1440)</f>
        <v>0.69791666666666663</v>
      </c>
      <c r="I1197" s="49">
        <f>INDEX(PeakCalc!$L$10:$L$303,MATCH(tblPivotData[[#This Row],[Time]],PeakCalc!$G$10:$G$303,0))</f>
        <v>1</v>
      </c>
    </row>
    <row r="1198" spans="1:9" x14ac:dyDescent="0.25">
      <c r="A1198" t="s">
        <v>98</v>
      </c>
      <c r="B1198" t="s">
        <v>114</v>
      </c>
      <c r="C1198" t="s">
        <v>97</v>
      </c>
      <c r="D1198" t="s">
        <v>90</v>
      </c>
      <c r="E1198" t="s">
        <v>44</v>
      </c>
      <c r="F1198" s="6">
        <v>0.70833333333333337</v>
      </c>
      <c r="G1198">
        <v>0</v>
      </c>
      <c r="H1198" s="6">
        <f>FLOOR(tblPivotData[[#This Row],[Time]],Summary!$B$6/1440)</f>
        <v>0.70833333333333326</v>
      </c>
      <c r="I1198" s="49">
        <f>INDEX(PeakCalc!$L$10:$L$303,MATCH(tblPivotData[[#This Row],[Time]],PeakCalc!$G$10:$G$303,0))</f>
        <v>1</v>
      </c>
    </row>
    <row r="1199" spans="1:9" x14ac:dyDescent="0.25">
      <c r="A1199" t="s">
        <v>98</v>
      </c>
      <c r="B1199" t="s">
        <v>114</v>
      </c>
      <c r="C1199" t="s">
        <v>97</v>
      </c>
      <c r="D1199" t="s">
        <v>90</v>
      </c>
      <c r="E1199" t="s">
        <v>44</v>
      </c>
      <c r="F1199" s="6">
        <v>0.71875</v>
      </c>
      <c r="G1199">
        <v>0</v>
      </c>
      <c r="H1199" s="6">
        <f>FLOOR(tblPivotData[[#This Row],[Time]],Summary!$B$6/1440)</f>
        <v>0.71875</v>
      </c>
      <c r="I1199" s="49">
        <f>INDEX(PeakCalc!$L$10:$L$303,MATCH(tblPivotData[[#This Row],[Time]],PeakCalc!$G$10:$G$303,0))</f>
        <v>1</v>
      </c>
    </row>
    <row r="1200" spans="1:9" x14ac:dyDescent="0.25">
      <c r="A1200" t="s">
        <v>98</v>
      </c>
      <c r="B1200" t="s">
        <v>114</v>
      </c>
      <c r="C1200" t="s">
        <v>97</v>
      </c>
      <c r="D1200" t="s">
        <v>90</v>
      </c>
      <c r="E1200" t="s">
        <v>44</v>
      </c>
      <c r="F1200" s="6">
        <v>0.72916666666666663</v>
      </c>
      <c r="G1200">
        <v>0</v>
      </c>
      <c r="H1200" s="6">
        <f>FLOOR(tblPivotData[[#This Row],[Time]],Summary!$B$6/1440)</f>
        <v>0.72916666666666663</v>
      </c>
      <c r="I1200" s="49">
        <f>INDEX(PeakCalc!$L$10:$L$303,MATCH(tblPivotData[[#This Row],[Time]],PeakCalc!$G$10:$G$303,0))</f>
        <v>1</v>
      </c>
    </row>
    <row r="1201" spans="1:9" x14ac:dyDescent="0.25">
      <c r="A1201" t="s">
        <v>98</v>
      </c>
      <c r="B1201" t="s">
        <v>114</v>
      </c>
      <c r="C1201" t="s">
        <v>97</v>
      </c>
      <c r="D1201" t="s">
        <v>90</v>
      </c>
      <c r="E1201" t="s">
        <v>44</v>
      </c>
      <c r="F1201" s="6">
        <v>0.73958333333333337</v>
      </c>
      <c r="G1201">
        <v>0</v>
      </c>
      <c r="H1201" s="6">
        <f>FLOOR(tblPivotData[[#This Row],[Time]],Summary!$B$6/1440)</f>
        <v>0.73958333333333326</v>
      </c>
      <c r="I120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CJ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88" ht="18.75" x14ac:dyDescent="0.3">
      <c r="B2" s="3" t="s">
        <v>78</v>
      </c>
    </row>
    <row r="4" spans="2:88" x14ac:dyDescent="0.25">
      <c r="B4" t="s">
        <v>76</v>
      </c>
    </row>
    <row r="6" spans="2:88" x14ac:dyDescent="0.25">
      <c r="B6" s="12">
        <v>15</v>
      </c>
      <c r="C6" t="s">
        <v>34</v>
      </c>
    </row>
    <row r="8" spans="2:88" x14ac:dyDescent="0.25">
      <c r="B8" t="s">
        <v>77</v>
      </c>
    </row>
    <row r="10" spans="2:88"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row>
    <row r="11" spans="2:88" x14ac:dyDescent="0.25">
      <c r="B11" s="25"/>
      <c r="C11" s="53" t="s">
        <v>94</v>
      </c>
      <c r="D11" s="54"/>
      <c r="E11" s="54"/>
      <c r="F11" s="54"/>
      <c r="G11" s="54"/>
      <c r="H11" s="54"/>
      <c r="I11" s="54"/>
      <c r="J11" s="54"/>
      <c r="K11" s="54"/>
      <c r="L11" s="54"/>
      <c r="M11" s="54"/>
      <c r="N11" s="54"/>
      <c r="O11" s="54"/>
      <c r="P11" s="54"/>
      <c r="Q11" s="54"/>
      <c r="R11" s="54"/>
      <c r="S11" s="51" t="s">
        <v>116</v>
      </c>
      <c r="T11" s="53" t="s">
        <v>95</v>
      </c>
      <c r="U11" s="54"/>
      <c r="V11" s="54"/>
      <c r="W11" s="54"/>
      <c r="X11" s="54"/>
      <c r="Y11" s="54"/>
      <c r="Z11" s="54"/>
      <c r="AA11" s="54"/>
      <c r="AB11" s="54"/>
      <c r="AC11" s="54"/>
      <c r="AD11" s="54"/>
      <c r="AE11" s="54"/>
      <c r="AF11" s="54"/>
      <c r="AG11" s="54"/>
      <c r="AH11" s="54"/>
      <c r="AI11" s="54"/>
      <c r="AJ11" s="51" t="s">
        <v>117</v>
      </c>
      <c r="AK11" s="53" t="s">
        <v>96</v>
      </c>
      <c r="AL11" s="54"/>
      <c r="AM11" s="54"/>
      <c r="AN11" s="54"/>
      <c r="AO11" s="54"/>
      <c r="AP11" s="54"/>
      <c r="AQ11" s="54"/>
      <c r="AR11" s="54"/>
      <c r="AS11" s="54"/>
      <c r="AT11" s="54"/>
      <c r="AU11" s="54"/>
      <c r="AV11" s="54"/>
      <c r="AW11" s="54"/>
      <c r="AX11" s="54"/>
      <c r="AY11" s="54"/>
      <c r="AZ11" s="54"/>
      <c r="BA11" s="51" t="s">
        <v>118</v>
      </c>
      <c r="BB11" s="53" t="s">
        <v>97</v>
      </c>
      <c r="BC11" s="54"/>
      <c r="BD11" s="54"/>
      <c r="BE11" s="54"/>
      <c r="BF11" s="54"/>
      <c r="BG11" s="54"/>
      <c r="BH11" s="54"/>
      <c r="BI11" s="54"/>
      <c r="BJ11" s="54"/>
      <c r="BK11" s="54"/>
      <c r="BL11" s="54"/>
      <c r="BM11" s="54"/>
      <c r="BN11" s="54"/>
      <c r="BO11" s="54"/>
      <c r="BP11" s="54"/>
      <c r="BQ11" s="54"/>
      <c r="BR11" s="51" t="s">
        <v>119</v>
      </c>
      <c r="BS11" s="53" t="s">
        <v>98</v>
      </c>
      <c r="BT11" s="54"/>
      <c r="BU11" s="54"/>
      <c r="BV11" s="54"/>
      <c r="BW11" s="54"/>
      <c r="BX11" s="54"/>
      <c r="BY11" s="54"/>
      <c r="BZ11" s="54"/>
      <c r="CA11" s="54"/>
      <c r="CB11" s="54"/>
      <c r="CC11" s="54"/>
      <c r="CD11" s="54"/>
      <c r="CE11" s="54"/>
      <c r="CF11" s="54"/>
      <c r="CG11" s="54"/>
      <c r="CH11" s="54"/>
      <c r="CI11" s="51" t="s">
        <v>120</v>
      </c>
      <c r="CJ11" s="51" t="s">
        <v>49</v>
      </c>
    </row>
    <row r="12" spans="2:88" x14ac:dyDescent="0.25">
      <c r="B12" s="25"/>
      <c r="C12" s="51" t="s">
        <v>99</v>
      </c>
      <c r="D12" s="52"/>
      <c r="E12" s="52"/>
      <c r="F12" s="51" t="s">
        <v>121</v>
      </c>
      <c r="G12" s="51" t="s">
        <v>100</v>
      </c>
      <c r="H12" s="52"/>
      <c r="I12" s="52"/>
      <c r="J12" s="51" t="s">
        <v>122</v>
      </c>
      <c r="K12" s="51" t="s">
        <v>101</v>
      </c>
      <c r="L12" s="52"/>
      <c r="M12" s="52"/>
      <c r="N12" s="51" t="s">
        <v>123</v>
      </c>
      <c r="O12" s="51" t="s">
        <v>92</v>
      </c>
      <c r="P12" s="52"/>
      <c r="Q12" s="52"/>
      <c r="R12" s="51" t="s">
        <v>124</v>
      </c>
      <c r="S12" s="52"/>
      <c r="T12" s="51" t="s">
        <v>92</v>
      </c>
      <c r="U12" s="52"/>
      <c r="V12" s="52"/>
      <c r="W12" s="51" t="s">
        <v>124</v>
      </c>
      <c r="X12" s="51" t="s">
        <v>102</v>
      </c>
      <c r="Y12" s="52"/>
      <c r="Z12" s="52"/>
      <c r="AA12" s="51" t="s">
        <v>125</v>
      </c>
      <c r="AB12" s="51" t="s">
        <v>103</v>
      </c>
      <c r="AC12" s="52"/>
      <c r="AD12" s="52"/>
      <c r="AE12" s="51" t="s">
        <v>126</v>
      </c>
      <c r="AF12" s="51" t="s">
        <v>104</v>
      </c>
      <c r="AG12" s="52"/>
      <c r="AH12" s="52"/>
      <c r="AI12" s="51" t="s">
        <v>127</v>
      </c>
      <c r="AJ12" s="52"/>
      <c r="AK12" s="51" t="s">
        <v>92</v>
      </c>
      <c r="AL12" s="52"/>
      <c r="AM12" s="52"/>
      <c r="AN12" s="51" t="s">
        <v>124</v>
      </c>
      <c r="AO12" s="51" t="s">
        <v>105</v>
      </c>
      <c r="AP12" s="52"/>
      <c r="AQ12" s="52"/>
      <c r="AR12" s="51" t="s">
        <v>128</v>
      </c>
      <c r="AS12" s="51" t="s">
        <v>106</v>
      </c>
      <c r="AT12" s="52"/>
      <c r="AU12" s="52"/>
      <c r="AV12" s="51" t="s">
        <v>129</v>
      </c>
      <c r="AW12" s="51" t="s">
        <v>107</v>
      </c>
      <c r="AX12" s="52"/>
      <c r="AY12" s="52"/>
      <c r="AZ12" s="51" t="s">
        <v>130</v>
      </c>
      <c r="BA12" s="52"/>
      <c r="BB12" s="51" t="s">
        <v>92</v>
      </c>
      <c r="BC12" s="52"/>
      <c r="BD12" s="52"/>
      <c r="BE12" s="51" t="s">
        <v>124</v>
      </c>
      <c r="BF12" s="51" t="s">
        <v>108</v>
      </c>
      <c r="BG12" s="52"/>
      <c r="BH12" s="52"/>
      <c r="BI12" s="51" t="s">
        <v>131</v>
      </c>
      <c r="BJ12" s="51" t="s">
        <v>109</v>
      </c>
      <c r="BK12" s="52"/>
      <c r="BL12" s="52"/>
      <c r="BM12" s="51" t="s">
        <v>132</v>
      </c>
      <c r="BN12" s="51" t="s">
        <v>110</v>
      </c>
      <c r="BO12" s="52"/>
      <c r="BP12" s="52"/>
      <c r="BQ12" s="51" t="s">
        <v>133</v>
      </c>
      <c r="BR12" s="52"/>
      <c r="BS12" s="51" t="s">
        <v>111</v>
      </c>
      <c r="BT12" s="52"/>
      <c r="BU12" s="52"/>
      <c r="BV12" s="51" t="s">
        <v>134</v>
      </c>
      <c r="BW12" s="51" t="s">
        <v>112</v>
      </c>
      <c r="BX12" s="52"/>
      <c r="BY12" s="52"/>
      <c r="BZ12" s="51" t="s">
        <v>135</v>
      </c>
      <c r="CA12" s="51" t="s">
        <v>113</v>
      </c>
      <c r="CB12" s="52"/>
      <c r="CC12" s="52"/>
      <c r="CD12" s="51" t="s">
        <v>136</v>
      </c>
      <c r="CE12" s="51" t="s">
        <v>114</v>
      </c>
      <c r="CF12" s="52"/>
      <c r="CG12" s="52"/>
      <c r="CH12" s="51" t="s">
        <v>137</v>
      </c>
      <c r="CI12" s="52"/>
      <c r="CJ12" s="52"/>
    </row>
    <row r="13" spans="2:88"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24" t="s">
        <v>79</v>
      </c>
      <c r="AG13" s="24" t="s">
        <v>89</v>
      </c>
      <c r="AH13" s="24" t="s">
        <v>90</v>
      </c>
      <c r="AI13" s="52"/>
      <c r="AJ13" s="52"/>
      <c r="AK13" s="24" t="s">
        <v>79</v>
      </c>
      <c r="AL13" s="24" t="s">
        <v>89</v>
      </c>
      <c r="AM13" s="24" t="s">
        <v>90</v>
      </c>
      <c r="AN13" s="52"/>
      <c r="AO13" s="24" t="s">
        <v>79</v>
      </c>
      <c r="AP13" s="24" t="s">
        <v>89</v>
      </c>
      <c r="AQ13" s="24" t="s">
        <v>90</v>
      </c>
      <c r="AR13" s="52"/>
      <c r="AS13" s="24" t="s">
        <v>79</v>
      </c>
      <c r="AT13" s="24" t="s">
        <v>89</v>
      </c>
      <c r="AU13" s="24" t="s">
        <v>90</v>
      </c>
      <c r="AV13" s="52"/>
      <c r="AW13" s="24" t="s">
        <v>79</v>
      </c>
      <c r="AX13" s="24" t="s">
        <v>89</v>
      </c>
      <c r="AY13" s="24" t="s">
        <v>90</v>
      </c>
      <c r="AZ13" s="52"/>
      <c r="BA13" s="52"/>
      <c r="BB13" s="24" t="s">
        <v>79</v>
      </c>
      <c r="BC13" s="24" t="s">
        <v>89</v>
      </c>
      <c r="BD13" s="24" t="s">
        <v>90</v>
      </c>
      <c r="BE13" s="52"/>
      <c r="BF13" s="24" t="s">
        <v>79</v>
      </c>
      <c r="BG13" s="24" t="s">
        <v>89</v>
      </c>
      <c r="BH13" s="24" t="s">
        <v>90</v>
      </c>
      <c r="BI13" s="52"/>
      <c r="BJ13" s="24" t="s">
        <v>79</v>
      </c>
      <c r="BK13" s="24" t="s">
        <v>89</v>
      </c>
      <c r="BL13" s="24" t="s">
        <v>90</v>
      </c>
      <c r="BM13" s="52"/>
      <c r="BN13" s="24" t="s">
        <v>79</v>
      </c>
      <c r="BO13" s="24" t="s">
        <v>89</v>
      </c>
      <c r="BP13" s="24" t="s">
        <v>90</v>
      </c>
      <c r="BQ13" s="52"/>
      <c r="BR13" s="52"/>
      <c r="BS13" s="24" t="s">
        <v>79</v>
      </c>
      <c r="BT13" s="24" t="s">
        <v>89</v>
      </c>
      <c r="BU13" s="24" t="s">
        <v>90</v>
      </c>
      <c r="BV13" s="52"/>
      <c r="BW13" s="24" t="s">
        <v>79</v>
      </c>
      <c r="BX13" s="24" t="s">
        <v>89</v>
      </c>
      <c r="BY13" s="24" t="s">
        <v>90</v>
      </c>
      <c r="BZ13" s="52"/>
      <c r="CA13" s="24" t="s">
        <v>79</v>
      </c>
      <c r="CB13" s="24" t="s">
        <v>89</v>
      </c>
      <c r="CC13" s="24" t="s">
        <v>90</v>
      </c>
      <c r="CD13" s="52"/>
      <c r="CE13" s="24" t="s">
        <v>79</v>
      </c>
      <c r="CF13" s="24" t="s">
        <v>89</v>
      </c>
      <c r="CG13" s="24" t="s">
        <v>90</v>
      </c>
      <c r="CH13" s="52"/>
      <c r="CI13" s="52"/>
      <c r="CJ13" s="52"/>
    </row>
    <row r="14" spans="2:88" x14ac:dyDescent="0.25">
      <c r="B14" s="10" t="s">
        <v>43</v>
      </c>
      <c r="C14" s="49">
        <v>6</v>
      </c>
      <c r="D14" s="49">
        <v>0</v>
      </c>
      <c r="E14" s="49">
        <v>0</v>
      </c>
      <c r="F14" s="49">
        <v>6</v>
      </c>
      <c r="G14" s="49">
        <v>59</v>
      </c>
      <c r="H14" s="49">
        <v>2</v>
      </c>
      <c r="I14" s="49">
        <v>1</v>
      </c>
      <c r="J14" s="49">
        <v>62</v>
      </c>
      <c r="K14" s="49">
        <v>531</v>
      </c>
      <c r="L14" s="49">
        <v>12</v>
      </c>
      <c r="M14" s="49">
        <v>2</v>
      </c>
      <c r="N14" s="49">
        <v>545</v>
      </c>
      <c r="O14" s="49">
        <v>1</v>
      </c>
      <c r="P14" s="49">
        <v>0</v>
      </c>
      <c r="Q14" s="49">
        <v>0</v>
      </c>
      <c r="R14" s="49">
        <v>1</v>
      </c>
      <c r="S14" s="49">
        <v>614</v>
      </c>
      <c r="T14" s="49">
        <v>0</v>
      </c>
      <c r="U14" s="49">
        <v>0</v>
      </c>
      <c r="V14" s="49">
        <v>0</v>
      </c>
      <c r="W14" s="49">
        <v>0</v>
      </c>
      <c r="X14" s="49">
        <v>4</v>
      </c>
      <c r="Y14" s="49">
        <v>0</v>
      </c>
      <c r="Z14" s="49">
        <v>0</v>
      </c>
      <c r="AA14" s="49">
        <v>4</v>
      </c>
      <c r="AB14" s="49">
        <v>78</v>
      </c>
      <c r="AC14" s="49">
        <v>14</v>
      </c>
      <c r="AD14" s="49">
        <v>1</v>
      </c>
      <c r="AE14" s="49">
        <v>93</v>
      </c>
      <c r="AF14" s="49">
        <v>14</v>
      </c>
      <c r="AG14" s="49">
        <v>1</v>
      </c>
      <c r="AH14" s="49">
        <v>1</v>
      </c>
      <c r="AI14" s="49">
        <v>16</v>
      </c>
      <c r="AJ14" s="49">
        <v>113</v>
      </c>
      <c r="AK14" s="49">
        <v>0</v>
      </c>
      <c r="AL14" s="49">
        <v>0</v>
      </c>
      <c r="AM14" s="49">
        <v>0</v>
      </c>
      <c r="AN14" s="49">
        <v>0</v>
      </c>
      <c r="AO14" s="49">
        <v>155</v>
      </c>
      <c r="AP14" s="49">
        <v>3</v>
      </c>
      <c r="AQ14" s="49">
        <v>6</v>
      </c>
      <c r="AR14" s="49">
        <v>164</v>
      </c>
      <c r="AS14" s="49">
        <v>114</v>
      </c>
      <c r="AT14" s="49">
        <v>1</v>
      </c>
      <c r="AU14" s="49">
        <v>4</v>
      </c>
      <c r="AV14" s="49">
        <v>119</v>
      </c>
      <c r="AW14" s="49">
        <v>0</v>
      </c>
      <c r="AX14" s="49">
        <v>0</v>
      </c>
      <c r="AY14" s="49">
        <v>0</v>
      </c>
      <c r="AZ14" s="49">
        <v>0</v>
      </c>
      <c r="BA14" s="49">
        <v>283</v>
      </c>
      <c r="BB14" s="49">
        <v>1</v>
      </c>
      <c r="BC14" s="49">
        <v>0</v>
      </c>
      <c r="BD14" s="49">
        <v>0</v>
      </c>
      <c r="BE14" s="49">
        <v>1</v>
      </c>
      <c r="BF14" s="49">
        <v>262</v>
      </c>
      <c r="BG14" s="49">
        <v>9</v>
      </c>
      <c r="BH14" s="49">
        <v>4</v>
      </c>
      <c r="BI14" s="49">
        <v>275</v>
      </c>
      <c r="BJ14" s="49">
        <v>63</v>
      </c>
      <c r="BK14" s="49">
        <v>8</v>
      </c>
      <c r="BL14" s="49">
        <v>4</v>
      </c>
      <c r="BM14" s="49">
        <v>75</v>
      </c>
      <c r="BN14" s="49">
        <v>99</v>
      </c>
      <c r="BO14" s="49">
        <v>1</v>
      </c>
      <c r="BP14" s="49">
        <v>0</v>
      </c>
      <c r="BQ14" s="49">
        <v>100</v>
      </c>
      <c r="BR14" s="49">
        <v>451</v>
      </c>
      <c r="BS14" s="49">
        <v>42</v>
      </c>
      <c r="BT14" s="49">
        <v>0</v>
      </c>
      <c r="BU14" s="49">
        <v>2</v>
      </c>
      <c r="BV14" s="49">
        <v>44</v>
      </c>
      <c r="BW14" s="49">
        <v>23</v>
      </c>
      <c r="BX14" s="49">
        <v>2</v>
      </c>
      <c r="BY14" s="49">
        <v>0</v>
      </c>
      <c r="BZ14" s="49">
        <v>25</v>
      </c>
      <c r="CA14" s="49">
        <v>61</v>
      </c>
      <c r="CB14" s="49">
        <v>0</v>
      </c>
      <c r="CC14" s="49">
        <v>0</v>
      </c>
      <c r="CD14" s="49">
        <v>61</v>
      </c>
      <c r="CE14" s="49">
        <v>106</v>
      </c>
      <c r="CF14" s="49">
        <v>2</v>
      </c>
      <c r="CG14" s="49">
        <v>0</v>
      </c>
      <c r="CH14" s="49">
        <v>108</v>
      </c>
      <c r="CI14" s="49">
        <v>238</v>
      </c>
      <c r="CJ14" s="49">
        <v>1699</v>
      </c>
    </row>
    <row r="15" spans="2:88" x14ac:dyDescent="0.25">
      <c r="B15" s="11">
        <v>0.29166666666666669</v>
      </c>
      <c r="C15" s="49">
        <v>0</v>
      </c>
      <c r="D15" s="49">
        <v>0</v>
      </c>
      <c r="E15" s="49">
        <v>0</v>
      </c>
      <c r="F15" s="49">
        <v>0</v>
      </c>
      <c r="G15" s="49">
        <v>0</v>
      </c>
      <c r="H15" s="49">
        <v>0</v>
      </c>
      <c r="I15" s="49">
        <v>0</v>
      </c>
      <c r="J15" s="49">
        <v>0</v>
      </c>
      <c r="K15" s="49">
        <v>54</v>
      </c>
      <c r="L15" s="49">
        <v>3</v>
      </c>
      <c r="M15" s="49">
        <v>0</v>
      </c>
      <c r="N15" s="49">
        <v>57</v>
      </c>
      <c r="O15" s="49">
        <v>0</v>
      </c>
      <c r="P15" s="49">
        <v>0</v>
      </c>
      <c r="Q15" s="49">
        <v>0</v>
      </c>
      <c r="R15" s="49">
        <v>0</v>
      </c>
      <c r="S15" s="49">
        <v>57</v>
      </c>
      <c r="T15" s="49">
        <v>0</v>
      </c>
      <c r="U15" s="49">
        <v>0</v>
      </c>
      <c r="V15" s="49">
        <v>0</v>
      </c>
      <c r="W15" s="49">
        <v>0</v>
      </c>
      <c r="X15" s="49">
        <v>0</v>
      </c>
      <c r="Y15" s="49">
        <v>0</v>
      </c>
      <c r="Z15" s="49">
        <v>0</v>
      </c>
      <c r="AA15" s="49">
        <v>0</v>
      </c>
      <c r="AB15" s="49">
        <v>8</v>
      </c>
      <c r="AC15" s="49">
        <v>2</v>
      </c>
      <c r="AD15" s="49">
        <v>0</v>
      </c>
      <c r="AE15" s="49">
        <v>10</v>
      </c>
      <c r="AF15" s="49">
        <v>1</v>
      </c>
      <c r="AG15" s="49">
        <v>0</v>
      </c>
      <c r="AH15" s="49">
        <v>0</v>
      </c>
      <c r="AI15" s="49">
        <v>1</v>
      </c>
      <c r="AJ15" s="49">
        <v>11</v>
      </c>
      <c r="AK15" s="49">
        <v>0</v>
      </c>
      <c r="AL15" s="49">
        <v>0</v>
      </c>
      <c r="AM15" s="49">
        <v>0</v>
      </c>
      <c r="AN15" s="49">
        <v>0</v>
      </c>
      <c r="AO15" s="49">
        <v>14</v>
      </c>
      <c r="AP15" s="49">
        <v>0</v>
      </c>
      <c r="AQ15" s="49">
        <v>1</v>
      </c>
      <c r="AR15" s="49">
        <v>15</v>
      </c>
      <c r="AS15" s="49">
        <v>4</v>
      </c>
      <c r="AT15" s="49">
        <v>0</v>
      </c>
      <c r="AU15" s="49">
        <v>0</v>
      </c>
      <c r="AV15" s="49">
        <v>4</v>
      </c>
      <c r="AW15" s="49">
        <v>0</v>
      </c>
      <c r="AX15" s="49">
        <v>0</v>
      </c>
      <c r="AY15" s="49">
        <v>0</v>
      </c>
      <c r="AZ15" s="49">
        <v>0</v>
      </c>
      <c r="BA15" s="49">
        <v>19</v>
      </c>
      <c r="BB15" s="49">
        <v>0</v>
      </c>
      <c r="BC15" s="49">
        <v>0</v>
      </c>
      <c r="BD15" s="49">
        <v>0</v>
      </c>
      <c r="BE15" s="49">
        <v>0</v>
      </c>
      <c r="BF15" s="49">
        <v>14</v>
      </c>
      <c r="BG15" s="49">
        <v>2</v>
      </c>
      <c r="BH15" s="49">
        <v>0</v>
      </c>
      <c r="BI15" s="49">
        <v>16</v>
      </c>
      <c r="BJ15" s="49">
        <v>5</v>
      </c>
      <c r="BK15" s="49">
        <v>1</v>
      </c>
      <c r="BL15" s="49">
        <v>1</v>
      </c>
      <c r="BM15" s="49">
        <v>7</v>
      </c>
      <c r="BN15" s="49">
        <v>3</v>
      </c>
      <c r="BO15" s="49">
        <v>0</v>
      </c>
      <c r="BP15" s="49">
        <v>0</v>
      </c>
      <c r="BQ15" s="49">
        <v>3</v>
      </c>
      <c r="BR15" s="49">
        <v>26</v>
      </c>
      <c r="BS15" s="49">
        <v>1</v>
      </c>
      <c r="BT15" s="49">
        <v>0</v>
      </c>
      <c r="BU15" s="49">
        <v>0</v>
      </c>
      <c r="BV15" s="49">
        <v>1</v>
      </c>
      <c r="BW15" s="49">
        <v>1</v>
      </c>
      <c r="BX15" s="49">
        <v>0</v>
      </c>
      <c r="BY15" s="49">
        <v>0</v>
      </c>
      <c r="BZ15" s="49">
        <v>1</v>
      </c>
      <c r="CA15" s="49">
        <v>1</v>
      </c>
      <c r="CB15" s="49">
        <v>0</v>
      </c>
      <c r="CC15" s="49">
        <v>0</v>
      </c>
      <c r="CD15" s="49">
        <v>1</v>
      </c>
      <c r="CE15" s="49">
        <v>17</v>
      </c>
      <c r="CF15" s="49">
        <v>0</v>
      </c>
      <c r="CG15" s="49">
        <v>0</v>
      </c>
      <c r="CH15" s="49">
        <v>17</v>
      </c>
      <c r="CI15" s="49">
        <v>20</v>
      </c>
      <c r="CJ15" s="49">
        <v>133</v>
      </c>
    </row>
    <row r="16" spans="2:88" x14ac:dyDescent="0.25">
      <c r="B16" s="11">
        <v>0.30208333333333331</v>
      </c>
      <c r="C16" s="49">
        <v>1</v>
      </c>
      <c r="D16" s="49">
        <v>0</v>
      </c>
      <c r="E16" s="49">
        <v>0</v>
      </c>
      <c r="F16" s="49">
        <v>1</v>
      </c>
      <c r="G16" s="49">
        <v>7</v>
      </c>
      <c r="H16" s="49">
        <v>0</v>
      </c>
      <c r="I16" s="49">
        <v>0</v>
      </c>
      <c r="J16" s="49">
        <v>7</v>
      </c>
      <c r="K16" s="49">
        <v>49</v>
      </c>
      <c r="L16" s="49">
        <v>2</v>
      </c>
      <c r="M16" s="49">
        <v>0</v>
      </c>
      <c r="N16" s="49">
        <v>51</v>
      </c>
      <c r="O16" s="49">
        <v>0</v>
      </c>
      <c r="P16" s="49">
        <v>0</v>
      </c>
      <c r="Q16" s="49">
        <v>0</v>
      </c>
      <c r="R16" s="49">
        <v>0</v>
      </c>
      <c r="S16" s="49">
        <v>59</v>
      </c>
      <c r="T16" s="49">
        <v>0</v>
      </c>
      <c r="U16" s="49">
        <v>0</v>
      </c>
      <c r="V16" s="49">
        <v>0</v>
      </c>
      <c r="W16" s="49">
        <v>0</v>
      </c>
      <c r="X16" s="49">
        <v>0</v>
      </c>
      <c r="Y16" s="49">
        <v>0</v>
      </c>
      <c r="Z16" s="49">
        <v>0</v>
      </c>
      <c r="AA16" s="49">
        <v>0</v>
      </c>
      <c r="AB16" s="49">
        <v>6</v>
      </c>
      <c r="AC16" s="49">
        <v>1</v>
      </c>
      <c r="AD16" s="49">
        <v>0</v>
      </c>
      <c r="AE16" s="49">
        <v>7</v>
      </c>
      <c r="AF16" s="49">
        <v>0</v>
      </c>
      <c r="AG16" s="49">
        <v>0</v>
      </c>
      <c r="AH16" s="49">
        <v>0</v>
      </c>
      <c r="AI16" s="49">
        <v>0</v>
      </c>
      <c r="AJ16" s="49">
        <v>7</v>
      </c>
      <c r="AK16" s="49">
        <v>0</v>
      </c>
      <c r="AL16" s="49">
        <v>0</v>
      </c>
      <c r="AM16" s="49">
        <v>0</v>
      </c>
      <c r="AN16" s="49">
        <v>0</v>
      </c>
      <c r="AO16" s="49">
        <v>12</v>
      </c>
      <c r="AP16" s="49">
        <v>0</v>
      </c>
      <c r="AQ16" s="49">
        <v>3</v>
      </c>
      <c r="AR16" s="49">
        <v>15</v>
      </c>
      <c r="AS16" s="49">
        <v>8</v>
      </c>
      <c r="AT16" s="49">
        <v>1</v>
      </c>
      <c r="AU16" s="49">
        <v>0</v>
      </c>
      <c r="AV16" s="49">
        <v>9</v>
      </c>
      <c r="AW16" s="49">
        <v>0</v>
      </c>
      <c r="AX16" s="49">
        <v>0</v>
      </c>
      <c r="AY16" s="49">
        <v>0</v>
      </c>
      <c r="AZ16" s="49">
        <v>0</v>
      </c>
      <c r="BA16" s="49">
        <v>24</v>
      </c>
      <c r="BB16" s="49">
        <v>0</v>
      </c>
      <c r="BC16" s="49">
        <v>0</v>
      </c>
      <c r="BD16" s="49">
        <v>0</v>
      </c>
      <c r="BE16" s="49">
        <v>0</v>
      </c>
      <c r="BF16" s="49">
        <v>27</v>
      </c>
      <c r="BG16" s="49">
        <v>0</v>
      </c>
      <c r="BH16" s="49">
        <v>1</v>
      </c>
      <c r="BI16" s="49">
        <v>28</v>
      </c>
      <c r="BJ16" s="49">
        <v>6</v>
      </c>
      <c r="BK16" s="49">
        <v>1</v>
      </c>
      <c r="BL16" s="49">
        <v>0</v>
      </c>
      <c r="BM16" s="49">
        <v>7</v>
      </c>
      <c r="BN16" s="49">
        <v>7</v>
      </c>
      <c r="BO16" s="49">
        <v>0</v>
      </c>
      <c r="BP16" s="49">
        <v>0</v>
      </c>
      <c r="BQ16" s="49">
        <v>7</v>
      </c>
      <c r="BR16" s="49">
        <v>42</v>
      </c>
      <c r="BS16" s="49">
        <v>2</v>
      </c>
      <c r="BT16" s="49">
        <v>0</v>
      </c>
      <c r="BU16" s="49">
        <v>1</v>
      </c>
      <c r="BV16" s="49">
        <v>3</v>
      </c>
      <c r="BW16" s="49">
        <v>0</v>
      </c>
      <c r="BX16" s="49">
        <v>0</v>
      </c>
      <c r="BY16" s="49">
        <v>0</v>
      </c>
      <c r="BZ16" s="49">
        <v>0</v>
      </c>
      <c r="CA16" s="49">
        <v>4</v>
      </c>
      <c r="CB16" s="49">
        <v>0</v>
      </c>
      <c r="CC16" s="49">
        <v>0</v>
      </c>
      <c r="CD16" s="49">
        <v>4</v>
      </c>
      <c r="CE16" s="49">
        <v>8</v>
      </c>
      <c r="CF16" s="49">
        <v>0</v>
      </c>
      <c r="CG16" s="49">
        <v>0</v>
      </c>
      <c r="CH16" s="49">
        <v>8</v>
      </c>
      <c r="CI16" s="49">
        <v>15</v>
      </c>
      <c r="CJ16" s="49">
        <v>147</v>
      </c>
    </row>
    <row r="17" spans="2:88" x14ac:dyDescent="0.25">
      <c r="B17" s="11">
        <v>0.3125</v>
      </c>
      <c r="C17" s="49">
        <v>1</v>
      </c>
      <c r="D17" s="49">
        <v>0</v>
      </c>
      <c r="E17" s="49">
        <v>0</v>
      </c>
      <c r="F17" s="49">
        <v>1</v>
      </c>
      <c r="G17" s="49">
        <v>3</v>
      </c>
      <c r="H17" s="49">
        <v>0</v>
      </c>
      <c r="I17" s="49">
        <v>1</v>
      </c>
      <c r="J17" s="49">
        <v>4</v>
      </c>
      <c r="K17" s="49">
        <v>71</v>
      </c>
      <c r="L17" s="49">
        <v>0</v>
      </c>
      <c r="M17" s="49">
        <v>0</v>
      </c>
      <c r="N17" s="49">
        <v>71</v>
      </c>
      <c r="O17" s="49">
        <v>0</v>
      </c>
      <c r="P17" s="49">
        <v>0</v>
      </c>
      <c r="Q17" s="49">
        <v>0</v>
      </c>
      <c r="R17" s="49">
        <v>0</v>
      </c>
      <c r="S17" s="49">
        <v>76</v>
      </c>
      <c r="T17" s="49">
        <v>0</v>
      </c>
      <c r="U17" s="49">
        <v>0</v>
      </c>
      <c r="V17" s="49">
        <v>0</v>
      </c>
      <c r="W17" s="49">
        <v>0</v>
      </c>
      <c r="X17" s="49">
        <v>0</v>
      </c>
      <c r="Y17" s="49">
        <v>0</v>
      </c>
      <c r="Z17" s="49">
        <v>0</v>
      </c>
      <c r="AA17" s="49">
        <v>0</v>
      </c>
      <c r="AB17" s="49">
        <v>10</v>
      </c>
      <c r="AC17" s="49">
        <v>1</v>
      </c>
      <c r="AD17" s="49">
        <v>0</v>
      </c>
      <c r="AE17" s="49">
        <v>11</v>
      </c>
      <c r="AF17" s="49">
        <v>0</v>
      </c>
      <c r="AG17" s="49">
        <v>0</v>
      </c>
      <c r="AH17" s="49">
        <v>0</v>
      </c>
      <c r="AI17" s="49">
        <v>0</v>
      </c>
      <c r="AJ17" s="49">
        <v>11</v>
      </c>
      <c r="AK17" s="49">
        <v>0</v>
      </c>
      <c r="AL17" s="49">
        <v>0</v>
      </c>
      <c r="AM17" s="49">
        <v>0</v>
      </c>
      <c r="AN17" s="49">
        <v>0</v>
      </c>
      <c r="AO17" s="49">
        <v>27</v>
      </c>
      <c r="AP17" s="49">
        <v>1</v>
      </c>
      <c r="AQ17" s="49">
        <v>1</v>
      </c>
      <c r="AR17" s="49">
        <v>29</v>
      </c>
      <c r="AS17" s="49">
        <v>13</v>
      </c>
      <c r="AT17" s="49">
        <v>0</v>
      </c>
      <c r="AU17" s="49">
        <v>0</v>
      </c>
      <c r="AV17" s="49">
        <v>13</v>
      </c>
      <c r="AW17" s="49">
        <v>0</v>
      </c>
      <c r="AX17" s="49">
        <v>0</v>
      </c>
      <c r="AY17" s="49">
        <v>0</v>
      </c>
      <c r="AZ17" s="49">
        <v>0</v>
      </c>
      <c r="BA17" s="49">
        <v>42</v>
      </c>
      <c r="BB17" s="49">
        <v>0</v>
      </c>
      <c r="BC17" s="49">
        <v>0</v>
      </c>
      <c r="BD17" s="49">
        <v>0</v>
      </c>
      <c r="BE17" s="49">
        <v>0</v>
      </c>
      <c r="BF17" s="49">
        <v>20</v>
      </c>
      <c r="BG17" s="49">
        <v>1</v>
      </c>
      <c r="BH17" s="49">
        <v>0</v>
      </c>
      <c r="BI17" s="49">
        <v>21</v>
      </c>
      <c r="BJ17" s="49">
        <v>4</v>
      </c>
      <c r="BK17" s="49">
        <v>1</v>
      </c>
      <c r="BL17" s="49">
        <v>0</v>
      </c>
      <c r="BM17" s="49">
        <v>5</v>
      </c>
      <c r="BN17" s="49">
        <v>8</v>
      </c>
      <c r="BO17" s="49">
        <v>0</v>
      </c>
      <c r="BP17" s="49">
        <v>0</v>
      </c>
      <c r="BQ17" s="49">
        <v>8</v>
      </c>
      <c r="BR17" s="49">
        <v>34</v>
      </c>
      <c r="BS17" s="49">
        <v>3</v>
      </c>
      <c r="BT17" s="49">
        <v>0</v>
      </c>
      <c r="BU17" s="49">
        <v>0</v>
      </c>
      <c r="BV17" s="49">
        <v>3</v>
      </c>
      <c r="BW17" s="49">
        <v>2</v>
      </c>
      <c r="BX17" s="49">
        <v>0</v>
      </c>
      <c r="BY17" s="49">
        <v>0</v>
      </c>
      <c r="BZ17" s="49">
        <v>2</v>
      </c>
      <c r="CA17" s="49">
        <v>2</v>
      </c>
      <c r="CB17" s="49">
        <v>0</v>
      </c>
      <c r="CC17" s="49">
        <v>0</v>
      </c>
      <c r="CD17" s="49">
        <v>2</v>
      </c>
      <c r="CE17" s="49">
        <v>17</v>
      </c>
      <c r="CF17" s="49">
        <v>1</v>
      </c>
      <c r="CG17" s="49">
        <v>0</v>
      </c>
      <c r="CH17" s="49">
        <v>18</v>
      </c>
      <c r="CI17" s="49">
        <v>25</v>
      </c>
      <c r="CJ17" s="49">
        <v>188</v>
      </c>
    </row>
    <row r="18" spans="2:88" x14ac:dyDescent="0.25">
      <c r="B18" s="11">
        <v>0.32291666666666669</v>
      </c>
      <c r="C18" s="49">
        <v>3</v>
      </c>
      <c r="D18" s="49">
        <v>0</v>
      </c>
      <c r="E18" s="49">
        <v>0</v>
      </c>
      <c r="F18" s="49">
        <v>3</v>
      </c>
      <c r="G18" s="49">
        <v>2</v>
      </c>
      <c r="H18" s="49">
        <v>0</v>
      </c>
      <c r="I18" s="49">
        <v>0</v>
      </c>
      <c r="J18" s="49">
        <v>2</v>
      </c>
      <c r="K18" s="49">
        <v>58</v>
      </c>
      <c r="L18" s="49">
        <v>1</v>
      </c>
      <c r="M18" s="49">
        <v>1</v>
      </c>
      <c r="N18" s="49">
        <v>60</v>
      </c>
      <c r="O18" s="49">
        <v>0</v>
      </c>
      <c r="P18" s="49">
        <v>0</v>
      </c>
      <c r="Q18" s="49">
        <v>0</v>
      </c>
      <c r="R18" s="49">
        <v>0</v>
      </c>
      <c r="S18" s="49">
        <v>65</v>
      </c>
      <c r="T18" s="49">
        <v>0</v>
      </c>
      <c r="U18" s="49">
        <v>0</v>
      </c>
      <c r="V18" s="49">
        <v>0</v>
      </c>
      <c r="W18" s="49">
        <v>0</v>
      </c>
      <c r="X18" s="49">
        <v>0</v>
      </c>
      <c r="Y18" s="49">
        <v>0</v>
      </c>
      <c r="Z18" s="49">
        <v>0</v>
      </c>
      <c r="AA18" s="49">
        <v>0</v>
      </c>
      <c r="AB18" s="49">
        <v>7</v>
      </c>
      <c r="AC18" s="49">
        <v>2</v>
      </c>
      <c r="AD18" s="49">
        <v>1</v>
      </c>
      <c r="AE18" s="49">
        <v>10</v>
      </c>
      <c r="AF18" s="49">
        <v>1</v>
      </c>
      <c r="AG18" s="49">
        <v>1</v>
      </c>
      <c r="AH18" s="49">
        <v>0</v>
      </c>
      <c r="AI18" s="49">
        <v>2</v>
      </c>
      <c r="AJ18" s="49">
        <v>12</v>
      </c>
      <c r="AK18" s="49">
        <v>0</v>
      </c>
      <c r="AL18" s="49">
        <v>0</v>
      </c>
      <c r="AM18" s="49">
        <v>0</v>
      </c>
      <c r="AN18" s="49">
        <v>0</v>
      </c>
      <c r="AO18" s="49">
        <v>23</v>
      </c>
      <c r="AP18" s="49">
        <v>0</v>
      </c>
      <c r="AQ18" s="49">
        <v>0</v>
      </c>
      <c r="AR18" s="49">
        <v>23</v>
      </c>
      <c r="AS18" s="49">
        <v>7</v>
      </c>
      <c r="AT18" s="49">
        <v>0</v>
      </c>
      <c r="AU18" s="49">
        <v>1</v>
      </c>
      <c r="AV18" s="49">
        <v>8</v>
      </c>
      <c r="AW18" s="49">
        <v>0</v>
      </c>
      <c r="AX18" s="49">
        <v>0</v>
      </c>
      <c r="AY18" s="49">
        <v>0</v>
      </c>
      <c r="AZ18" s="49">
        <v>0</v>
      </c>
      <c r="BA18" s="49">
        <v>31</v>
      </c>
      <c r="BB18" s="49">
        <v>0</v>
      </c>
      <c r="BC18" s="49">
        <v>0</v>
      </c>
      <c r="BD18" s="49">
        <v>0</v>
      </c>
      <c r="BE18" s="49">
        <v>0</v>
      </c>
      <c r="BF18" s="49">
        <v>29</v>
      </c>
      <c r="BG18" s="49">
        <v>2</v>
      </c>
      <c r="BH18" s="49">
        <v>0</v>
      </c>
      <c r="BI18" s="49">
        <v>31</v>
      </c>
      <c r="BJ18" s="49">
        <v>5</v>
      </c>
      <c r="BK18" s="49">
        <v>2</v>
      </c>
      <c r="BL18" s="49">
        <v>0</v>
      </c>
      <c r="BM18" s="49">
        <v>7</v>
      </c>
      <c r="BN18" s="49">
        <v>12</v>
      </c>
      <c r="BO18" s="49">
        <v>1</v>
      </c>
      <c r="BP18" s="49">
        <v>0</v>
      </c>
      <c r="BQ18" s="49">
        <v>13</v>
      </c>
      <c r="BR18" s="49">
        <v>51</v>
      </c>
      <c r="BS18" s="49">
        <v>6</v>
      </c>
      <c r="BT18" s="49">
        <v>0</v>
      </c>
      <c r="BU18" s="49">
        <v>1</v>
      </c>
      <c r="BV18" s="49">
        <v>7</v>
      </c>
      <c r="BW18" s="49">
        <v>3</v>
      </c>
      <c r="BX18" s="49">
        <v>0</v>
      </c>
      <c r="BY18" s="49">
        <v>0</v>
      </c>
      <c r="BZ18" s="49">
        <v>3</v>
      </c>
      <c r="CA18" s="49">
        <v>5</v>
      </c>
      <c r="CB18" s="49">
        <v>0</v>
      </c>
      <c r="CC18" s="49">
        <v>0</v>
      </c>
      <c r="CD18" s="49">
        <v>5</v>
      </c>
      <c r="CE18" s="49">
        <v>8</v>
      </c>
      <c r="CF18" s="49">
        <v>0</v>
      </c>
      <c r="CG18" s="49">
        <v>0</v>
      </c>
      <c r="CH18" s="49">
        <v>8</v>
      </c>
      <c r="CI18" s="49">
        <v>23</v>
      </c>
      <c r="CJ18" s="49">
        <v>182</v>
      </c>
    </row>
    <row r="19" spans="2:88" x14ac:dyDescent="0.25">
      <c r="B19" s="11">
        <v>0.33333333333333331</v>
      </c>
      <c r="C19" s="49">
        <v>0</v>
      </c>
      <c r="D19" s="49">
        <v>0</v>
      </c>
      <c r="E19" s="49">
        <v>0</v>
      </c>
      <c r="F19" s="49">
        <v>0</v>
      </c>
      <c r="G19" s="49">
        <v>7</v>
      </c>
      <c r="H19" s="49">
        <v>0</v>
      </c>
      <c r="I19" s="49">
        <v>0</v>
      </c>
      <c r="J19" s="49">
        <v>7</v>
      </c>
      <c r="K19" s="49">
        <v>62</v>
      </c>
      <c r="L19" s="49">
        <v>2</v>
      </c>
      <c r="M19" s="49">
        <v>0</v>
      </c>
      <c r="N19" s="49">
        <v>64</v>
      </c>
      <c r="O19" s="49">
        <v>0</v>
      </c>
      <c r="P19" s="49">
        <v>0</v>
      </c>
      <c r="Q19" s="49">
        <v>0</v>
      </c>
      <c r="R19" s="49">
        <v>0</v>
      </c>
      <c r="S19" s="49">
        <v>71</v>
      </c>
      <c r="T19" s="49">
        <v>0</v>
      </c>
      <c r="U19" s="49">
        <v>0</v>
      </c>
      <c r="V19" s="49">
        <v>0</v>
      </c>
      <c r="W19" s="49">
        <v>0</v>
      </c>
      <c r="X19" s="49">
        <v>0</v>
      </c>
      <c r="Y19" s="49">
        <v>0</v>
      </c>
      <c r="Z19" s="49">
        <v>0</v>
      </c>
      <c r="AA19" s="49">
        <v>0</v>
      </c>
      <c r="AB19" s="49">
        <v>10</v>
      </c>
      <c r="AC19" s="49">
        <v>1</v>
      </c>
      <c r="AD19" s="49">
        <v>0</v>
      </c>
      <c r="AE19" s="49">
        <v>11</v>
      </c>
      <c r="AF19" s="49">
        <v>3</v>
      </c>
      <c r="AG19" s="49">
        <v>0</v>
      </c>
      <c r="AH19" s="49">
        <v>1</v>
      </c>
      <c r="AI19" s="49">
        <v>4</v>
      </c>
      <c r="AJ19" s="49">
        <v>15</v>
      </c>
      <c r="AK19" s="49">
        <v>0</v>
      </c>
      <c r="AL19" s="49">
        <v>0</v>
      </c>
      <c r="AM19" s="49">
        <v>0</v>
      </c>
      <c r="AN19" s="49">
        <v>0</v>
      </c>
      <c r="AO19" s="49">
        <v>20</v>
      </c>
      <c r="AP19" s="49">
        <v>0</v>
      </c>
      <c r="AQ19" s="49">
        <v>1</v>
      </c>
      <c r="AR19" s="49">
        <v>21</v>
      </c>
      <c r="AS19" s="49">
        <v>18</v>
      </c>
      <c r="AT19" s="49">
        <v>0</v>
      </c>
      <c r="AU19" s="49">
        <v>1</v>
      </c>
      <c r="AV19" s="49">
        <v>19</v>
      </c>
      <c r="AW19" s="49">
        <v>0</v>
      </c>
      <c r="AX19" s="49">
        <v>0</v>
      </c>
      <c r="AY19" s="49">
        <v>0</v>
      </c>
      <c r="AZ19" s="49">
        <v>0</v>
      </c>
      <c r="BA19" s="49">
        <v>40</v>
      </c>
      <c r="BB19" s="49">
        <v>0</v>
      </c>
      <c r="BC19" s="49">
        <v>0</v>
      </c>
      <c r="BD19" s="49">
        <v>0</v>
      </c>
      <c r="BE19" s="49">
        <v>0</v>
      </c>
      <c r="BF19" s="49">
        <v>35</v>
      </c>
      <c r="BG19" s="49">
        <v>0</v>
      </c>
      <c r="BH19" s="49">
        <v>0</v>
      </c>
      <c r="BI19" s="49">
        <v>35</v>
      </c>
      <c r="BJ19" s="49">
        <v>5</v>
      </c>
      <c r="BK19" s="49">
        <v>0</v>
      </c>
      <c r="BL19" s="49">
        <v>1</v>
      </c>
      <c r="BM19" s="49">
        <v>6</v>
      </c>
      <c r="BN19" s="49">
        <v>8</v>
      </c>
      <c r="BO19" s="49">
        <v>0</v>
      </c>
      <c r="BP19" s="49">
        <v>0</v>
      </c>
      <c r="BQ19" s="49">
        <v>8</v>
      </c>
      <c r="BR19" s="49">
        <v>49</v>
      </c>
      <c r="BS19" s="49">
        <v>3</v>
      </c>
      <c r="BT19" s="49">
        <v>0</v>
      </c>
      <c r="BU19" s="49">
        <v>0</v>
      </c>
      <c r="BV19" s="49">
        <v>3</v>
      </c>
      <c r="BW19" s="49">
        <v>1</v>
      </c>
      <c r="BX19" s="49">
        <v>0</v>
      </c>
      <c r="BY19" s="49">
        <v>0</v>
      </c>
      <c r="BZ19" s="49">
        <v>1</v>
      </c>
      <c r="CA19" s="49">
        <v>6</v>
      </c>
      <c r="CB19" s="49">
        <v>0</v>
      </c>
      <c r="CC19" s="49">
        <v>0</v>
      </c>
      <c r="CD19" s="49">
        <v>6</v>
      </c>
      <c r="CE19" s="49">
        <v>12</v>
      </c>
      <c r="CF19" s="49">
        <v>0</v>
      </c>
      <c r="CG19" s="49">
        <v>0</v>
      </c>
      <c r="CH19" s="49">
        <v>12</v>
      </c>
      <c r="CI19" s="49">
        <v>22</v>
      </c>
      <c r="CJ19" s="49">
        <v>197</v>
      </c>
    </row>
    <row r="20" spans="2:88" x14ac:dyDescent="0.25">
      <c r="B20" s="11">
        <v>0.34375</v>
      </c>
      <c r="C20" s="49">
        <v>0</v>
      </c>
      <c r="D20" s="49">
        <v>0</v>
      </c>
      <c r="E20" s="49">
        <v>0</v>
      </c>
      <c r="F20" s="49">
        <v>0</v>
      </c>
      <c r="G20" s="49">
        <v>13</v>
      </c>
      <c r="H20" s="49">
        <v>1</v>
      </c>
      <c r="I20" s="49">
        <v>0</v>
      </c>
      <c r="J20" s="49">
        <v>14</v>
      </c>
      <c r="K20" s="49">
        <v>80</v>
      </c>
      <c r="L20" s="49">
        <v>0</v>
      </c>
      <c r="M20" s="49">
        <v>0</v>
      </c>
      <c r="N20" s="49">
        <v>80</v>
      </c>
      <c r="O20" s="49">
        <v>1</v>
      </c>
      <c r="P20" s="49">
        <v>0</v>
      </c>
      <c r="Q20" s="49">
        <v>0</v>
      </c>
      <c r="R20" s="49">
        <v>1</v>
      </c>
      <c r="S20" s="49">
        <v>95</v>
      </c>
      <c r="T20" s="49">
        <v>0</v>
      </c>
      <c r="U20" s="49">
        <v>0</v>
      </c>
      <c r="V20" s="49">
        <v>0</v>
      </c>
      <c r="W20" s="49">
        <v>0</v>
      </c>
      <c r="X20" s="49">
        <v>1</v>
      </c>
      <c r="Y20" s="49">
        <v>0</v>
      </c>
      <c r="Z20" s="49">
        <v>0</v>
      </c>
      <c r="AA20" s="49">
        <v>1</v>
      </c>
      <c r="AB20" s="49">
        <v>8</v>
      </c>
      <c r="AC20" s="49">
        <v>3</v>
      </c>
      <c r="AD20" s="49">
        <v>0</v>
      </c>
      <c r="AE20" s="49">
        <v>11</v>
      </c>
      <c r="AF20" s="49">
        <v>3</v>
      </c>
      <c r="AG20" s="49">
        <v>0</v>
      </c>
      <c r="AH20" s="49">
        <v>0</v>
      </c>
      <c r="AI20" s="49">
        <v>3</v>
      </c>
      <c r="AJ20" s="49">
        <v>15</v>
      </c>
      <c r="AK20" s="49">
        <v>0</v>
      </c>
      <c r="AL20" s="49">
        <v>0</v>
      </c>
      <c r="AM20" s="49">
        <v>0</v>
      </c>
      <c r="AN20" s="49">
        <v>0</v>
      </c>
      <c r="AO20" s="49">
        <v>16</v>
      </c>
      <c r="AP20" s="49">
        <v>2</v>
      </c>
      <c r="AQ20" s="49">
        <v>0</v>
      </c>
      <c r="AR20" s="49">
        <v>18</v>
      </c>
      <c r="AS20" s="49">
        <v>33</v>
      </c>
      <c r="AT20" s="49">
        <v>0</v>
      </c>
      <c r="AU20" s="49">
        <v>1</v>
      </c>
      <c r="AV20" s="49">
        <v>34</v>
      </c>
      <c r="AW20" s="49">
        <v>0</v>
      </c>
      <c r="AX20" s="49">
        <v>0</v>
      </c>
      <c r="AY20" s="49">
        <v>0</v>
      </c>
      <c r="AZ20" s="49">
        <v>0</v>
      </c>
      <c r="BA20" s="49">
        <v>52</v>
      </c>
      <c r="BB20" s="49">
        <v>0</v>
      </c>
      <c r="BC20" s="49">
        <v>0</v>
      </c>
      <c r="BD20" s="49">
        <v>0</v>
      </c>
      <c r="BE20" s="49">
        <v>0</v>
      </c>
      <c r="BF20" s="49">
        <v>49</v>
      </c>
      <c r="BG20" s="49">
        <v>1</v>
      </c>
      <c r="BH20" s="49">
        <v>1</v>
      </c>
      <c r="BI20" s="49">
        <v>51</v>
      </c>
      <c r="BJ20" s="49">
        <v>8</v>
      </c>
      <c r="BK20" s="49">
        <v>2</v>
      </c>
      <c r="BL20" s="49">
        <v>1</v>
      </c>
      <c r="BM20" s="49">
        <v>11</v>
      </c>
      <c r="BN20" s="49">
        <v>19</v>
      </c>
      <c r="BO20" s="49">
        <v>0</v>
      </c>
      <c r="BP20" s="49">
        <v>0</v>
      </c>
      <c r="BQ20" s="49">
        <v>19</v>
      </c>
      <c r="BR20" s="49">
        <v>81</v>
      </c>
      <c r="BS20" s="49">
        <v>11</v>
      </c>
      <c r="BT20" s="49">
        <v>0</v>
      </c>
      <c r="BU20" s="49">
        <v>0</v>
      </c>
      <c r="BV20" s="49">
        <v>11</v>
      </c>
      <c r="BW20" s="49">
        <v>6</v>
      </c>
      <c r="BX20" s="49">
        <v>1</v>
      </c>
      <c r="BY20" s="49">
        <v>0</v>
      </c>
      <c r="BZ20" s="49">
        <v>7</v>
      </c>
      <c r="CA20" s="49">
        <v>16</v>
      </c>
      <c r="CB20" s="49">
        <v>0</v>
      </c>
      <c r="CC20" s="49">
        <v>0</v>
      </c>
      <c r="CD20" s="49">
        <v>16</v>
      </c>
      <c r="CE20" s="49">
        <v>21</v>
      </c>
      <c r="CF20" s="49">
        <v>0</v>
      </c>
      <c r="CG20" s="49">
        <v>0</v>
      </c>
      <c r="CH20" s="49">
        <v>21</v>
      </c>
      <c r="CI20" s="49">
        <v>55</v>
      </c>
      <c r="CJ20" s="49">
        <v>298</v>
      </c>
    </row>
    <row r="21" spans="2:88" x14ac:dyDescent="0.25">
      <c r="B21" s="11">
        <v>0.35416666666666669</v>
      </c>
      <c r="C21" s="49">
        <v>0</v>
      </c>
      <c r="D21" s="49">
        <v>0</v>
      </c>
      <c r="E21" s="49">
        <v>0</v>
      </c>
      <c r="F21" s="49">
        <v>0</v>
      </c>
      <c r="G21" s="49">
        <v>19</v>
      </c>
      <c r="H21" s="49">
        <v>1</v>
      </c>
      <c r="I21" s="49">
        <v>0</v>
      </c>
      <c r="J21" s="49">
        <v>20</v>
      </c>
      <c r="K21" s="49">
        <v>93</v>
      </c>
      <c r="L21" s="49">
        <v>1</v>
      </c>
      <c r="M21" s="49">
        <v>0</v>
      </c>
      <c r="N21" s="49">
        <v>94</v>
      </c>
      <c r="O21" s="49">
        <v>0</v>
      </c>
      <c r="P21" s="49">
        <v>0</v>
      </c>
      <c r="Q21" s="49">
        <v>0</v>
      </c>
      <c r="R21" s="49">
        <v>0</v>
      </c>
      <c r="S21" s="49">
        <v>114</v>
      </c>
      <c r="T21" s="49">
        <v>0</v>
      </c>
      <c r="U21" s="49">
        <v>0</v>
      </c>
      <c r="V21" s="49">
        <v>0</v>
      </c>
      <c r="W21" s="49">
        <v>0</v>
      </c>
      <c r="X21" s="49">
        <v>2</v>
      </c>
      <c r="Y21" s="49">
        <v>0</v>
      </c>
      <c r="Z21" s="49">
        <v>0</v>
      </c>
      <c r="AA21" s="49">
        <v>2</v>
      </c>
      <c r="AB21" s="49">
        <v>20</v>
      </c>
      <c r="AC21" s="49">
        <v>3</v>
      </c>
      <c r="AD21" s="49">
        <v>0</v>
      </c>
      <c r="AE21" s="49">
        <v>23</v>
      </c>
      <c r="AF21" s="49">
        <v>5</v>
      </c>
      <c r="AG21" s="49">
        <v>0</v>
      </c>
      <c r="AH21" s="49">
        <v>0</v>
      </c>
      <c r="AI21" s="49">
        <v>5</v>
      </c>
      <c r="AJ21" s="49">
        <v>30</v>
      </c>
      <c r="AK21" s="49">
        <v>0</v>
      </c>
      <c r="AL21" s="49">
        <v>0</v>
      </c>
      <c r="AM21" s="49">
        <v>0</v>
      </c>
      <c r="AN21" s="49">
        <v>0</v>
      </c>
      <c r="AO21" s="49">
        <v>25</v>
      </c>
      <c r="AP21" s="49">
        <v>0</v>
      </c>
      <c r="AQ21" s="49">
        <v>0</v>
      </c>
      <c r="AR21" s="49">
        <v>25</v>
      </c>
      <c r="AS21" s="49">
        <v>21</v>
      </c>
      <c r="AT21" s="49">
        <v>0</v>
      </c>
      <c r="AU21" s="49">
        <v>0</v>
      </c>
      <c r="AV21" s="49">
        <v>21</v>
      </c>
      <c r="AW21" s="49">
        <v>0</v>
      </c>
      <c r="AX21" s="49">
        <v>0</v>
      </c>
      <c r="AY21" s="49">
        <v>0</v>
      </c>
      <c r="AZ21" s="49">
        <v>0</v>
      </c>
      <c r="BA21" s="49">
        <v>46</v>
      </c>
      <c r="BB21" s="49">
        <v>0</v>
      </c>
      <c r="BC21" s="49">
        <v>0</v>
      </c>
      <c r="BD21" s="49">
        <v>0</v>
      </c>
      <c r="BE21" s="49">
        <v>0</v>
      </c>
      <c r="BF21" s="49">
        <v>46</v>
      </c>
      <c r="BG21" s="49">
        <v>1</v>
      </c>
      <c r="BH21" s="49">
        <v>1</v>
      </c>
      <c r="BI21" s="49">
        <v>48</v>
      </c>
      <c r="BJ21" s="49">
        <v>14</v>
      </c>
      <c r="BK21" s="49">
        <v>0</v>
      </c>
      <c r="BL21" s="49">
        <v>0</v>
      </c>
      <c r="BM21" s="49">
        <v>14</v>
      </c>
      <c r="BN21" s="49">
        <v>23</v>
      </c>
      <c r="BO21" s="49">
        <v>0</v>
      </c>
      <c r="BP21" s="49">
        <v>0</v>
      </c>
      <c r="BQ21" s="49">
        <v>23</v>
      </c>
      <c r="BR21" s="49">
        <v>85</v>
      </c>
      <c r="BS21" s="49">
        <v>9</v>
      </c>
      <c r="BT21" s="49">
        <v>0</v>
      </c>
      <c r="BU21" s="49">
        <v>0</v>
      </c>
      <c r="BV21" s="49">
        <v>9</v>
      </c>
      <c r="BW21" s="49">
        <v>3</v>
      </c>
      <c r="BX21" s="49">
        <v>1</v>
      </c>
      <c r="BY21" s="49">
        <v>0</v>
      </c>
      <c r="BZ21" s="49">
        <v>4</v>
      </c>
      <c r="CA21" s="49">
        <v>16</v>
      </c>
      <c r="CB21" s="49">
        <v>0</v>
      </c>
      <c r="CC21" s="49">
        <v>0</v>
      </c>
      <c r="CD21" s="49">
        <v>16</v>
      </c>
      <c r="CE21" s="49">
        <v>13</v>
      </c>
      <c r="CF21" s="49">
        <v>1</v>
      </c>
      <c r="CG21" s="49">
        <v>0</v>
      </c>
      <c r="CH21" s="49">
        <v>14</v>
      </c>
      <c r="CI21" s="49">
        <v>43</v>
      </c>
      <c r="CJ21" s="49">
        <v>318</v>
      </c>
    </row>
    <row r="22" spans="2:88" x14ac:dyDescent="0.25">
      <c r="B22" s="11">
        <v>0.36458333333333331</v>
      </c>
      <c r="C22" s="49">
        <v>1</v>
      </c>
      <c r="D22" s="49">
        <v>0</v>
      </c>
      <c r="E22" s="49">
        <v>0</v>
      </c>
      <c r="F22" s="49">
        <v>1</v>
      </c>
      <c r="G22" s="49">
        <v>8</v>
      </c>
      <c r="H22" s="49">
        <v>0</v>
      </c>
      <c r="I22" s="49">
        <v>0</v>
      </c>
      <c r="J22" s="49">
        <v>8</v>
      </c>
      <c r="K22" s="49">
        <v>64</v>
      </c>
      <c r="L22" s="49">
        <v>3</v>
      </c>
      <c r="M22" s="49">
        <v>1</v>
      </c>
      <c r="N22" s="49">
        <v>68</v>
      </c>
      <c r="O22" s="49">
        <v>0</v>
      </c>
      <c r="P22" s="49">
        <v>0</v>
      </c>
      <c r="Q22" s="49">
        <v>0</v>
      </c>
      <c r="R22" s="49">
        <v>0</v>
      </c>
      <c r="S22" s="49">
        <v>77</v>
      </c>
      <c r="T22" s="49">
        <v>0</v>
      </c>
      <c r="U22" s="49">
        <v>0</v>
      </c>
      <c r="V22" s="49">
        <v>0</v>
      </c>
      <c r="W22" s="49">
        <v>0</v>
      </c>
      <c r="X22" s="49">
        <v>1</v>
      </c>
      <c r="Y22" s="49">
        <v>0</v>
      </c>
      <c r="Z22" s="49">
        <v>0</v>
      </c>
      <c r="AA22" s="49">
        <v>1</v>
      </c>
      <c r="AB22" s="49">
        <v>9</v>
      </c>
      <c r="AC22" s="49">
        <v>1</v>
      </c>
      <c r="AD22" s="49">
        <v>0</v>
      </c>
      <c r="AE22" s="49">
        <v>10</v>
      </c>
      <c r="AF22" s="49">
        <v>1</v>
      </c>
      <c r="AG22" s="49">
        <v>0</v>
      </c>
      <c r="AH22" s="49">
        <v>0</v>
      </c>
      <c r="AI22" s="49">
        <v>1</v>
      </c>
      <c r="AJ22" s="49">
        <v>12</v>
      </c>
      <c r="AK22" s="49">
        <v>0</v>
      </c>
      <c r="AL22" s="49">
        <v>0</v>
      </c>
      <c r="AM22" s="49">
        <v>0</v>
      </c>
      <c r="AN22" s="49">
        <v>0</v>
      </c>
      <c r="AO22" s="49">
        <v>18</v>
      </c>
      <c r="AP22" s="49">
        <v>0</v>
      </c>
      <c r="AQ22" s="49">
        <v>0</v>
      </c>
      <c r="AR22" s="49">
        <v>18</v>
      </c>
      <c r="AS22" s="49">
        <v>10</v>
      </c>
      <c r="AT22" s="49">
        <v>0</v>
      </c>
      <c r="AU22" s="49">
        <v>1</v>
      </c>
      <c r="AV22" s="49">
        <v>11</v>
      </c>
      <c r="AW22" s="49">
        <v>0</v>
      </c>
      <c r="AX22" s="49">
        <v>0</v>
      </c>
      <c r="AY22" s="49">
        <v>0</v>
      </c>
      <c r="AZ22" s="49">
        <v>0</v>
      </c>
      <c r="BA22" s="49">
        <v>29</v>
      </c>
      <c r="BB22" s="49">
        <v>1</v>
      </c>
      <c r="BC22" s="49">
        <v>0</v>
      </c>
      <c r="BD22" s="49">
        <v>0</v>
      </c>
      <c r="BE22" s="49">
        <v>1</v>
      </c>
      <c r="BF22" s="49">
        <v>42</v>
      </c>
      <c r="BG22" s="49">
        <v>2</v>
      </c>
      <c r="BH22" s="49">
        <v>1</v>
      </c>
      <c r="BI22" s="49">
        <v>45</v>
      </c>
      <c r="BJ22" s="49">
        <v>16</v>
      </c>
      <c r="BK22" s="49">
        <v>1</v>
      </c>
      <c r="BL22" s="49">
        <v>1</v>
      </c>
      <c r="BM22" s="49">
        <v>18</v>
      </c>
      <c r="BN22" s="49">
        <v>19</v>
      </c>
      <c r="BO22" s="49">
        <v>0</v>
      </c>
      <c r="BP22" s="49">
        <v>0</v>
      </c>
      <c r="BQ22" s="49">
        <v>19</v>
      </c>
      <c r="BR22" s="49">
        <v>83</v>
      </c>
      <c r="BS22" s="49">
        <v>7</v>
      </c>
      <c r="BT22" s="49">
        <v>0</v>
      </c>
      <c r="BU22" s="49">
        <v>0</v>
      </c>
      <c r="BV22" s="49">
        <v>7</v>
      </c>
      <c r="BW22" s="49">
        <v>7</v>
      </c>
      <c r="BX22" s="49">
        <v>0</v>
      </c>
      <c r="BY22" s="49">
        <v>0</v>
      </c>
      <c r="BZ22" s="49">
        <v>7</v>
      </c>
      <c r="CA22" s="49">
        <v>11</v>
      </c>
      <c r="CB22" s="49">
        <v>0</v>
      </c>
      <c r="CC22" s="49">
        <v>0</v>
      </c>
      <c r="CD22" s="49">
        <v>11</v>
      </c>
      <c r="CE22" s="49">
        <v>10</v>
      </c>
      <c r="CF22" s="49">
        <v>0</v>
      </c>
      <c r="CG22" s="49">
        <v>0</v>
      </c>
      <c r="CH22" s="49">
        <v>10</v>
      </c>
      <c r="CI22" s="49">
        <v>35</v>
      </c>
      <c r="CJ22" s="49">
        <v>236</v>
      </c>
    </row>
    <row r="23" spans="2:88" x14ac:dyDescent="0.25">
      <c r="B23" s="10" t="s">
        <v>44</v>
      </c>
      <c r="C23" s="49">
        <v>21</v>
      </c>
      <c r="D23" s="49">
        <v>0</v>
      </c>
      <c r="E23" s="49">
        <v>0</v>
      </c>
      <c r="F23" s="49">
        <v>21</v>
      </c>
      <c r="G23" s="49">
        <v>91</v>
      </c>
      <c r="H23" s="49">
        <v>1</v>
      </c>
      <c r="I23" s="49">
        <v>1</v>
      </c>
      <c r="J23" s="49">
        <v>93</v>
      </c>
      <c r="K23" s="49">
        <v>459</v>
      </c>
      <c r="L23" s="49">
        <v>5</v>
      </c>
      <c r="M23" s="49">
        <v>4</v>
      </c>
      <c r="N23" s="49">
        <v>468</v>
      </c>
      <c r="O23" s="49">
        <v>3</v>
      </c>
      <c r="P23" s="49">
        <v>0</v>
      </c>
      <c r="Q23" s="49">
        <v>0</v>
      </c>
      <c r="R23" s="49">
        <v>3</v>
      </c>
      <c r="S23" s="49">
        <v>585</v>
      </c>
      <c r="T23" s="49">
        <v>0</v>
      </c>
      <c r="U23" s="49">
        <v>0</v>
      </c>
      <c r="V23" s="49">
        <v>0</v>
      </c>
      <c r="W23" s="49">
        <v>0</v>
      </c>
      <c r="X23" s="49">
        <v>1</v>
      </c>
      <c r="Y23" s="49">
        <v>0</v>
      </c>
      <c r="Z23" s="49">
        <v>0</v>
      </c>
      <c r="AA23" s="49">
        <v>1</v>
      </c>
      <c r="AB23" s="49">
        <v>128</v>
      </c>
      <c r="AC23" s="49">
        <v>10</v>
      </c>
      <c r="AD23" s="49">
        <v>0</v>
      </c>
      <c r="AE23" s="49">
        <v>138</v>
      </c>
      <c r="AF23" s="49">
        <v>41</v>
      </c>
      <c r="AG23" s="49">
        <v>1</v>
      </c>
      <c r="AH23" s="49">
        <v>0</v>
      </c>
      <c r="AI23" s="49">
        <v>42</v>
      </c>
      <c r="AJ23" s="49">
        <v>181</v>
      </c>
      <c r="AK23" s="49">
        <v>0</v>
      </c>
      <c r="AL23" s="49">
        <v>0</v>
      </c>
      <c r="AM23" s="49">
        <v>0</v>
      </c>
      <c r="AN23" s="49">
        <v>0</v>
      </c>
      <c r="AO23" s="49">
        <v>201</v>
      </c>
      <c r="AP23" s="49">
        <v>0</v>
      </c>
      <c r="AQ23" s="49">
        <v>3</v>
      </c>
      <c r="AR23" s="49">
        <v>204</v>
      </c>
      <c r="AS23" s="49">
        <v>101</v>
      </c>
      <c r="AT23" s="49">
        <v>2</v>
      </c>
      <c r="AU23" s="49">
        <v>1</v>
      </c>
      <c r="AV23" s="49">
        <v>104</v>
      </c>
      <c r="AW23" s="49">
        <v>5</v>
      </c>
      <c r="AX23" s="49">
        <v>0</v>
      </c>
      <c r="AY23" s="49">
        <v>0</v>
      </c>
      <c r="AZ23" s="49">
        <v>5</v>
      </c>
      <c r="BA23" s="49">
        <v>313</v>
      </c>
      <c r="BB23" s="49">
        <v>2</v>
      </c>
      <c r="BC23" s="49">
        <v>0</v>
      </c>
      <c r="BD23" s="49">
        <v>0</v>
      </c>
      <c r="BE23" s="49">
        <v>2</v>
      </c>
      <c r="BF23" s="49">
        <v>871</v>
      </c>
      <c r="BG23" s="49">
        <v>9</v>
      </c>
      <c r="BH23" s="49">
        <v>12</v>
      </c>
      <c r="BI23" s="49">
        <v>892</v>
      </c>
      <c r="BJ23" s="49">
        <v>233</v>
      </c>
      <c r="BK23" s="49">
        <v>12</v>
      </c>
      <c r="BL23" s="49">
        <v>4</v>
      </c>
      <c r="BM23" s="49">
        <v>249</v>
      </c>
      <c r="BN23" s="49">
        <v>199</v>
      </c>
      <c r="BO23" s="49">
        <v>4</v>
      </c>
      <c r="BP23" s="49">
        <v>3</v>
      </c>
      <c r="BQ23" s="49">
        <v>206</v>
      </c>
      <c r="BR23" s="49">
        <v>1349</v>
      </c>
      <c r="BS23" s="49">
        <v>137</v>
      </c>
      <c r="BT23" s="49">
        <v>1</v>
      </c>
      <c r="BU23" s="49">
        <v>1</v>
      </c>
      <c r="BV23" s="49">
        <v>139</v>
      </c>
      <c r="BW23" s="49">
        <v>84</v>
      </c>
      <c r="BX23" s="49">
        <v>0</v>
      </c>
      <c r="BY23" s="49">
        <v>0</v>
      </c>
      <c r="BZ23" s="49">
        <v>84</v>
      </c>
      <c r="CA23" s="49">
        <v>99</v>
      </c>
      <c r="CB23" s="49">
        <v>0</v>
      </c>
      <c r="CC23" s="49">
        <v>1</v>
      </c>
      <c r="CD23" s="49">
        <v>100</v>
      </c>
      <c r="CE23" s="49">
        <v>68</v>
      </c>
      <c r="CF23" s="49">
        <v>0</v>
      </c>
      <c r="CG23" s="49">
        <v>0</v>
      </c>
      <c r="CH23" s="49">
        <v>68</v>
      </c>
      <c r="CI23" s="49">
        <v>391</v>
      </c>
      <c r="CJ23" s="49">
        <v>2819</v>
      </c>
    </row>
    <row r="24" spans="2:88" x14ac:dyDescent="0.25">
      <c r="B24" s="11">
        <v>0.66666666666666663</v>
      </c>
      <c r="C24" s="49">
        <v>0</v>
      </c>
      <c r="D24" s="49">
        <v>0</v>
      </c>
      <c r="E24" s="49">
        <v>0</v>
      </c>
      <c r="F24" s="49">
        <v>0</v>
      </c>
      <c r="G24" s="49">
        <v>11</v>
      </c>
      <c r="H24" s="49">
        <v>0</v>
      </c>
      <c r="I24" s="49">
        <v>0</v>
      </c>
      <c r="J24" s="49">
        <v>11</v>
      </c>
      <c r="K24" s="49">
        <v>62</v>
      </c>
      <c r="L24" s="49">
        <v>0</v>
      </c>
      <c r="M24" s="49">
        <v>0</v>
      </c>
      <c r="N24" s="49">
        <v>62</v>
      </c>
      <c r="O24" s="49">
        <v>0</v>
      </c>
      <c r="P24" s="49">
        <v>0</v>
      </c>
      <c r="Q24" s="49">
        <v>0</v>
      </c>
      <c r="R24" s="49">
        <v>0</v>
      </c>
      <c r="S24" s="49">
        <v>73</v>
      </c>
      <c r="T24" s="49">
        <v>0</v>
      </c>
      <c r="U24" s="49">
        <v>0</v>
      </c>
      <c r="V24" s="49">
        <v>0</v>
      </c>
      <c r="W24" s="49">
        <v>0</v>
      </c>
      <c r="X24" s="49">
        <v>0</v>
      </c>
      <c r="Y24" s="49">
        <v>0</v>
      </c>
      <c r="Z24" s="49">
        <v>0</v>
      </c>
      <c r="AA24" s="49">
        <v>0</v>
      </c>
      <c r="AB24" s="49">
        <v>11</v>
      </c>
      <c r="AC24" s="49">
        <v>1</v>
      </c>
      <c r="AD24" s="49">
        <v>0</v>
      </c>
      <c r="AE24" s="49">
        <v>12</v>
      </c>
      <c r="AF24" s="49">
        <v>5</v>
      </c>
      <c r="AG24" s="49">
        <v>0</v>
      </c>
      <c r="AH24" s="49">
        <v>0</v>
      </c>
      <c r="AI24" s="49">
        <v>5</v>
      </c>
      <c r="AJ24" s="49">
        <v>17</v>
      </c>
      <c r="AK24" s="49">
        <v>0</v>
      </c>
      <c r="AL24" s="49">
        <v>0</v>
      </c>
      <c r="AM24" s="49">
        <v>0</v>
      </c>
      <c r="AN24" s="49">
        <v>0</v>
      </c>
      <c r="AO24" s="49">
        <v>20</v>
      </c>
      <c r="AP24" s="49">
        <v>0</v>
      </c>
      <c r="AQ24" s="49">
        <v>0</v>
      </c>
      <c r="AR24" s="49">
        <v>20</v>
      </c>
      <c r="AS24" s="49">
        <v>14</v>
      </c>
      <c r="AT24" s="49">
        <v>0</v>
      </c>
      <c r="AU24" s="49">
        <v>0</v>
      </c>
      <c r="AV24" s="49">
        <v>14</v>
      </c>
      <c r="AW24" s="49">
        <v>1</v>
      </c>
      <c r="AX24" s="49">
        <v>0</v>
      </c>
      <c r="AY24" s="49">
        <v>0</v>
      </c>
      <c r="AZ24" s="49">
        <v>1</v>
      </c>
      <c r="BA24" s="49">
        <v>35</v>
      </c>
      <c r="BB24" s="49">
        <v>1</v>
      </c>
      <c r="BC24" s="49">
        <v>0</v>
      </c>
      <c r="BD24" s="49">
        <v>0</v>
      </c>
      <c r="BE24" s="49">
        <v>1</v>
      </c>
      <c r="BF24" s="49">
        <v>97</v>
      </c>
      <c r="BG24" s="49">
        <v>0</v>
      </c>
      <c r="BH24" s="49">
        <v>0</v>
      </c>
      <c r="BI24" s="49">
        <v>97</v>
      </c>
      <c r="BJ24" s="49">
        <v>25</v>
      </c>
      <c r="BK24" s="49">
        <v>2</v>
      </c>
      <c r="BL24" s="49">
        <v>0</v>
      </c>
      <c r="BM24" s="49">
        <v>27</v>
      </c>
      <c r="BN24" s="49">
        <v>22</v>
      </c>
      <c r="BO24" s="49">
        <v>1</v>
      </c>
      <c r="BP24" s="49">
        <v>0</v>
      </c>
      <c r="BQ24" s="49">
        <v>23</v>
      </c>
      <c r="BR24" s="49">
        <v>148</v>
      </c>
      <c r="BS24" s="49">
        <v>26</v>
      </c>
      <c r="BT24" s="49">
        <v>0</v>
      </c>
      <c r="BU24" s="49">
        <v>1</v>
      </c>
      <c r="BV24" s="49">
        <v>27</v>
      </c>
      <c r="BW24" s="49">
        <v>10</v>
      </c>
      <c r="BX24" s="49">
        <v>0</v>
      </c>
      <c r="BY24" s="49">
        <v>0</v>
      </c>
      <c r="BZ24" s="49">
        <v>10</v>
      </c>
      <c r="CA24" s="49">
        <v>8</v>
      </c>
      <c r="CB24" s="49">
        <v>0</v>
      </c>
      <c r="CC24" s="49">
        <v>0</v>
      </c>
      <c r="CD24" s="49">
        <v>8</v>
      </c>
      <c r="CE24" s="49">
        <v>11</v>
      </c>
      <c r="CF24" s="49">
        <v>0</v>
      </c>
      <c r="CG24" s="49">
        <v>0</v>
      </c>
      <c r="CH24" s="49">
        <v>11</v>
      </c>
      <c r="CI24" s="49">
        <v>56</v>
      </c>
      <c r="CJ24" s="49">
        <v>329</v>
      </c>
    </row>
    <row r="25" spans="2:88" x14ac:dyDescent="0.25">
      <c r="B25" s="11">
        <v>0.67708333333333337</v>
      </c>
      <c r="C25" s="49">
        <v>0</v>
      </c>
      <c r="D25" s="49">
        <v>0</v>
      </c>
      <c r="E25" s="49">
        <v>0</v>
      </c>
      <c r="F25" s="49">
        <v>0</v>
      </c>
      <c r="G25" s="49">
        <v>15</v>
      </c>
      <c r="H25" s="49">
        <v>0</v>
      </c>
      <c r="I25" s="49">
        <v>0</v>
      </c>
      <c r="J25" s="49">
        <v>15</v>
      </c>
      <c r="K25" s="49">
        <v>47</v>
      </c>
      <c r="L25" s="49">
        <v>1</v>
      </c>
      <c r="M25" s="49">
        <v>0</v>
      </c>
      <c r="N25" s="49">
        <v>48</v>
      </c>
      <c r="O25" s="49">
        <v>0</v>
      </c>
      <c r="P25" s="49">
        <v>0</v>
      </c>
      <c r="Q25" s="49">
        <v>0</v>
      </c>
      <c r="R25" s="49">
        <v>0</v>
      </c>
      <c r="S25" s="49">
        <v>63</v>
      </c>
      <c r="T25" s="49">
        <v>0</v>
      </c>
      <c r="U25" s="49">
        <v>0</v>
      </c>
      <c r="V25" s="49">
        <v>0</v>
      </c>
      <c r="W25" s="49">
        <v>0</v>
      </c>
      <c r="X25" s="49">
        <v>0</v>
      </c>
      <c r="Y25" s="49">
        <v>0</v>
      </c>
      <c r="Z25" s="49">
        <v>0</v>
      </c>
      <c r="AA25" s="49">
        <v>0</v>
      </c>
      <c r="AB25" s="49">
        <v>13</v>
      </c>
      <c r="AC25" s="49">
        <v>1</v>
      </c>
      <c r="AD25" s="49">
        <v>0</v>
      </c>
      <c r="AE25" s="49">
        <v>14</v>
      </c>
      <c r="AF25" s="49">
        <v>2</v>
      </c>
      <c r="AG25" s="49">
        <v>0</v>
      </c>
      <c r="AH25" s="49">
        <v>0</v>
      </c>
      <c r="AI25" s="49">
        <v>2</v>
      </c>
      <c r="AJ25" s="49">
        <v>16</v>
      </c>
      <c r="AK25" s="49">
        <v>0</v>
      </c>
      <c r="AL25" s="49">
        <v>0</v>
      </c>
      <c r="AM25" s="49">
        <v>0</v>
      </c>
      <c r="AN25" s="49">
        <v>0</v>
      </c>
      <c r="AO25" s="49">
        <v>22</v>
      </c>
      <c r="AP25" s="49">
        <v>0</v>
      </c>
      <c r="AQ25" s="49">
        <v>0</v>
      </c>
      <c r="AR25" s="49">
        <v>22</v>
      </c>
      <c r="AS25" s="49">
        <v>11</v>
      </c>
      <c r="AT25" s="49">
        <v>0</v>
      </c>
      <c r="AU25" s="49">
        <v>0</v>
      </c>
      <c r="AV25" s="49">
        <v>11</v>
      </c>
      <c r="AW25" s="49">
        <v>0</v>
      </c>
      <c r="AX25" s="49">
        <v>0</v>
      </c>
      <c r="AY25" s="49">
        <v>0</v>
      </c>
      <c r="AZ25" s="49">
        <v>0</v>
      </c>
      <c r="BA25" s="49">
        <v>33</v>
      </c>
      <c r="BB25" s="49">
        <v>1</v>
      </c>
      <c r="BC25" s="49">
        <v>0</v>
      </c>
      <c r="BD25" s="49">
        <v>0</v>
      </c>
      <c r="BE25" s="49">
        <v>1</v>
      </c>
      <c r="BF25" s="49">
        <v>112</v>
      </c>
      <c r="BG25" s="49">
        <v>2</v>
      </c>
      <c r="BH25" s="49">
        <v>1</v>
      </c>
      <c r="BI25" s="49">
        <v>115</v>
      </c>
      <c r="BJ25" s="49">
        <v>29</v>
      </c>
      <c r="BK25" s="49">
        <v>1</v>
      </c>
      <c r="BL25" s="49">
        <v>0</v>
      </c>
      <c r="BM25" s="49">
        <v>30</v>
      </c>
      <c r="BN25" s="49">
        <v>18</v>
      </c>
      <c r="BO25" s="49">
        <v>0</v>
      </c>
      <c r="BP25" s="49">
        <v>1</v>
      </c>
      <c r="BQ25" s="49">
        <v>19</v>
      </c>
      <c r="BR25" s="49">
        <v>165</v>
      </c>
      <c r="BS25" s="49">
        <v>14</v>
      </c>
      <c r="BT25" s="49">
        <v>0</v>
      </c>
      <c r="BU25" s="49">
        <v>0</v>
      </c>
      <c r="BV25" s="49">
        <v>14</v>
      </c>
      <c r="BW25" s="49">
        <v>15</v>
      </c>
      <c r="BX25" s="49">
        <v>0</v>
      </c>
      <c r="BY25" s="49">
        <v>0</v>
      </c>
      <c r="BZ25" s="49">
        <v>15</v>
      </c>
      <c r="CA25" s="49">
        <v>10</v>
      </c>
      <c r="CB25" s="49">
        <v>0</v>
      </c>
      <c r="CC25" s="49">
        <v>0</v>
      </c>
      <c r="CD25" s="49">
        <v>10</v>
      </c>
      <c r="CE25" s="49">
        <v>12</v>
      </c>
      <c r="CF25" s="49">
        <v>0</v>
      </c>
      <c r="CG25" s="49">
        <v>0</v>
      </c>
      <c r="CH25" s="49">
        <v>12</v>
      </c>
      <c r="CI25" s="49">
        <v>51</v>
      </c>
      <c r="CJ25" s="49">
        <v>328</v>
      </c>
    </row>
    <row r="26" spans="2:88" x14ac:dyDescent="0.25">
      <c r="B26" s="11">
        <v>0.6875</v>
      </c>
      <c r="C26" s="49">
        <v>6</v>
      </c>
      <c r="D26" s="49">
        <v>0</v>
      </c>
      <c r="E26" s="49">
        <v>0</v>
      </c>
      <c r="F26" s="49">
        <v>6</v>
      </c>
      <c r="G26" s="49">
        <v>8</v>
      </c>
      <c r="H26" s="49">
        <v>1</v>
      </c>
      <c r="I26" s="49">
        <v>1</v>
      </c>
      <c r="J26" s="49">
        <v>10</v>
      </c>
      <c r="K26" s="49">
        <v>68</v>
      </c>
      <c r="L26" s="49">
        <v>1</v>
      </c>
      <c r="M26" s="49">
        <v>0</v>
      </c>
      <c r="N26" s="49">
        <v>69</v>
      </c>
      <c r="O26" s="49">
        <v>0</v>
      </c>
      <c r="P26" s="49">
        <v>0</v>
      </c>
      <c r="Q26" s="49">
        <v>0</v>
      </c>
      <c r="R26" s="49">
        <v>0</v>
      </c>
      <c r="S26" s="49">
        <v>85</v>
      </c>
      <c r="T26" s="49">
        <v>0</v>
      </c>
      <c r="U26" s="49">
        <v>0</v>
      </c>
      <c r="V26" s="49">
        <v>0</v>
      </c>
      <c r="W26" s="49">
        <v>0</v>
      </c>
      <c r="X26" s="49">
        <v>1</v>
      </c>
      <c r="Y26" s="49">
        <v>0</v>
      </c>
      <c r="Z26" s="49">
        <v>0</v>
      </c>
      <c r="AA26" s="49">
        <v>1</v>
      </c>
      <c r="AB26" s="49">
        <v>19</v>
      </c>
      <c r="AC26" s="49">
        <v>3</v>
      </c>
      <c r="AD26" s="49">
        <v>0</v>
      </c>
      <c r="AE26" s="49">
        <v>22</v>
      </c>
      <c r="AF26" s="49">
        <v>10</v>
      </c>
      <c r="AG26" s="49">
        <v>1</v>
      </c>
      <c r="AH26" s="49">
        <v>0</v>
      </c>
      <c r="AI26" s="49">
        <v>11</v>
      </c>
      <c r="AJ26" s="49">
        <v>34</v>
      </c>
      <c r="AK26" s="49">
        <v>0</v>
      </c>
      <c r="AL26" s="49">
        <v>0</v>
      </c>
      <c r="AM26" s="49">
        <v>0</v>
      </c>
      <c r="AN26" s="49">
        <v>0</v>
      </c>
      <c r="AO26" s="49">
        <v>23</v>
      </c>
      <c r="AP26" s="49">
        <v>0</v>
      </c>
      <c r="AQ26" s="49">
        <v>1</v>
      </c>
      <c r="AR26" s="49">
        <v>24</v>
      </c>
      <c r="AS26" s="49">
        <v>17</v>
      </c>
      <c r="AT26" s="49">
        <v>1</v>
      </c>
      <c r="AU26" s="49">
        <v>0</v>
      </c>
      <c r="AV26" s="49">
        <v>18</v>
      </c>
      <c r="AW26" s="49">
        <v>2</v>
      </c>
      <c r="AX26" s="49">
        <v>0</v>
      </c>
      <c r="AY26" s="49">
        <v>0</v>
      </c>
      <c r="AZ26" s="49">
        <v>2</v>
      </c>
      <c r="BA26" s="49">
        <v>44</v>
      </c>
      <c r="BB26" s="49">
        <v>0</v>
      </c>
      <c r="BC26" s="49">
        <v>0</v>
      </c>
      <c r="BD26" s="49">
        <v>0</v>
      </c>
      <c r="BE26" s="49">
        <v>0</v>
      </c>
      <c r="BF26" s="49">
        <v>97</v>
      </c>
      <c r="BG26" s="49">
        <v>1</v>
      </c>
      <c r="BH26" s="49">
        <v>0</v>
      </c>
      <c r="BI26" s="49">
        <v>98</v>
      </c>
      <c r="BJ26" s="49">
        <v>35</v>
      </c>
      <c r="BK26" s="49">
        <v>1</v>
      </c>
      <c r="BL26" s="49">
        <v>0</v>
      </c>
      <c r="BM26" s="49">
        <v>36</v>
      </c>
      <c r="BN26" s="49">
        <v>22</v>
      </c>
      <c r="BO26" s="49">
        <v>0</v>
      </c>
      <c r="BP26" s="49">
        <v>0</v>
      </c>
      <c r="BQ26" s="49">
        <v>22</v>
      </c>
      <c r="BR26" s="49">
        <v>156</v>
      </c>
      <c r="BS26" s="49">
        <v>7</v>
      </c>
      <c r="BT26" s="49">
        <v>1</v>
      </c>
      <c r="BU26" s="49">
        <v>0</v>
      </c>
      <c r="BV26" s="49">
        <v>8</v>
      </c>
      <c r="BW26" s="49">
        <v>9</v>
      </c>
      <c r="BX26" s="49">
        <v>0</v>
      </c>
      <c r="BY26" s="49">
        <v>0</v>
      </c>
      <c r="BZ26" s="49">
        <v>9</v>
      </c>
      <c r="CA26" s="49">
        <v>13</v>
      </c>
      <c r="CB26" s="49">
        <v>0</v>
      </c>
      <c r="CC26" s="49">
        <v>0</v>
      </c>
      <c r="CD26" s="49">
        <v>13</v>
      </c>
      <c r="CE26" s="49">
        <v>8</v>
      </c>
      <c r="CF26" s="49">
        <v>0</v>
      </c>
      <c r="CG26" s="49">
        <v>0</v>
      </c>
      <c r="CH26" s="49">
        <v>8</v>
      </c>
      <c r="CI26" s="49">
        <v>38</v>
      </c>
      <c r="CJ26" s="49">
        <v>357</v>
      </c>
    </row>
    <row r="27" spans="2:88" x14ac:dyDescent="0.25">
      <c r="B27" s="11">
        <v>0.69791666666666663</v>
      </c>
      <c r="C27" s="49">
        <v>2</v>
      </c>
      <c r="D27" s="49">
        <v>0</v>
      </c>
      <c r="E27" s="49">
        <v>0</v>
      </c>
      <c r="F27" s="49">
        <v>2</v>
      </c>
      <c r="G27" s="49">
        <v>13</v>
      </c>
      <c r="H27" s="49">
        <v>0</v>
      </c>
      <c r="I27" s="49">
        <v>0</v>
      </c>
      <c r="J27" s="49">
        <v>13</v>
      </c>
      <c r="K27" s="49">
        <v>52</v>
      </c>
      <c r="L27" s="49">
        <v>1</v>
      </c>
      <c r="M27" s="49">
        <v>1</v>
      </c>
      <c r="N27" s="49">
        <v>54</v>
      </c>
      <c r="O27" s="49">
        <v>0</v>
      </c>
      <c r="P27" s="49">
        <v>0</v>
      </c>
      <c r="Q27" s="49">
        <v>0</v>
      </c>
      <c r="R27" s="49">
        <v>0</v>
      </c>
      <c r="S27" s="49">
        <v>69</v>
      </c>
      <c r="T27" s="49">
        <v>0</v>
      </c>
      <c r="U27" s="49">
        <v>0</v>
      </c>
      <c r="V27" s="49">
        <v>0</v>
      </c>
      <c r="W27" s="49">
        <v>0</v>
      </c>
      <c r="X27" s="49">
        <v>0</v>
      </c>
      <c r="Y27" s="49">
        <v>0</v>
      </c>
      <c r="Z27" s="49">
        <v>0</v>
      </c>
      <c r="AA27" s="49">
        <v>0</v>
      </c>
      <c r="AB27" s="49">
        <v>18</v>
      </c>
      <c r="AC27" s="49">
        <v>1</v>
      </c>
      <c r="AD27" s="49">
        <v>0</v>
      </c>
      <c r="AE27" s="49">
        <v>19</v>
      </c>
      <c r="AF27" s="49">
        <v>6</v>
      </c>
      <c r="AG27" s="49">
        <v>0</v>
      </c>
      <c r="AH27" s="49">
        <v>0</v>
      </c>
      <c r="AI27" s="49">
        <v>6</v>
      </c>
      <c r="AJ27" s="49">
        <v>25</v>
      </c>
      <c r="AK27" s="49">
        <v>0</v>
      </c>
      <c r="AL27" s="49">
        <v>0</v>
      </c>
      <c r="AM27" s="49">
        <v>0</v>
      </c>
      <c r="AN27" s="49">
        <v>0</v>
      </c>
      <c r="AO27" s="49">
        <v>26</v>
      </c>
      <c r="AP27" s="49">
        <v>0</v>
      </c>
      <c r="AQ27" s="49">
        <v>0</v>
      </c>
      <c r="AR27" s="49">
        <v>26</v>
      </c>
      <c r="AS27" s="49">
        <v>20</v>
      </c>
      <c r="AT27" s="49">
        <v>0</v>
      </c>
      <c r="AU27" s="49">
        <v>0</v>
      </c>
      <c r="AV27" s="49">
        <v>20</v>
      </c>
      <c r="AW27" s="49">
        <v>0</v>
      </c>
      <c r="AX27" s="49">
        <v>0</v>
      </c>
      <c r="AY27" s="49">
        <v>0</v>
      </c>
      <c r="AZ27" s="49">
        <v>0</v>
      </c>
      <c r="BA27" s="49">
        <v>46</v>
      </c>
      <c r="BB27" s="49">
        <v>0</v>
      </c>
      <c r="BC27" s="49">
        <v>0</v>
      </c>
      <c r="BD27" s="49">
        <v>0</v>
      </c>
      <c r="BE27" s="49">
        <v>0</v>
      </c>
      <c r="BF27" s="49">
        <v>118</v>
      </c>
      <c r="BG27" s="49">
        <v>2</v>
      </c>
      <c r="BH27" s="49">
        <v>1</v>
      </c>
      <c r="BI27" s="49">
        <v>121</v>
      </c>
      <c r="BJ27" s="49">
        <v>25</v>
      </c>
      <c r="BK27" s="49">
        <v>2</v>
      </c>
      <c r="BL27" s="49">
        <v>1</v>
      </c>
      <c r="BM27" s="49">
        <v>28</v>
      </c>
      <c r="BN27" s="49">
        <v>20</v>
      </c>
      <c r="BO27" s="49">
        <v>1</v>
      </c>
      <c r="BP27" s="49">
        <v>0</v>
      </c>
      <c r="BQ27" s="49">
        <v>21</v>
      </c>
      <c r="BR27" s="49">
        <v>170</v>
      </c>
      <c r="BS27" s="49">
        <v>15</v>
      </c>
      <c r="BT27" s="49">
        <v>0</v>
      </c>
      <c r="BU27" s="49">
        <v>0</v>
      </c>
      <c r="BV27" s="49">
        <v>15</v>
      </c>
      <c r="BW27" s="49">
        <v>9</v>
      </c>
      <c r="BX27" s="49">
        <v>0</v>
      </c>
      <c r="BY27" s="49">
        <v>0</v>
      </c>
      <c r="BZ27" s="49">
        <v>9</v>
      </c>
      <c r="CA27" s="49">
        <v>8</v>
      </c>
      <c r="CB27" s="49">
        <v>0</v>
      </c>
      <c r="CC27" s="49">
        <v>0</v>
      </c>
      <c r="CD27" s="49">
        <v>8</v>
      </c>
      <c r="CE27" s="49">
        <v>7</v>
      </c>
      <c r="CF27" s="49">
        <v>0</v>
      </c>
      <c r="CG27" s="49">
        <v>0</v>
      </c>
      <c r="CH27" s="49">
        <v>7</v>
      </c>
      <c r="CI27" s="49">
        <v>39</v>
      </c>
      <c r="CJ27" s="49">
        <v>349</v>
      </c>
    </row>
    <row r="28" spans="2:88" x14ac:dyDescent="0.25">
      <c r="B28" s="11">
        <v>0.70833333333333337</v>
      </c>
      <c r="C28" s="49">
        <v>4</v>
      </c>
      <c r="D28" s="49">
        <v>0</v>
      </c>
      <c r="E28" s="49">
        <v>0</v>
      </c>
      <c r="F28" s="49">
        <v>4</v>
      </c>
      <c r="G28" s="49">
        <v>8</v>
      </c>
      <c r="H28" s="49">
        <v>0</v>
      </c>
      <c r="I28" s="49">
        <v>0</v>
      </c>
      <c r="J28" s="49">
        <v>8</v>
      </c>
      <c r="K28" s="49">
        <v>68</v>
      </c>
      <c r="L28" s="49">
        <v>0</v>
      </c>
      <c r="M28" s="49">
        <v>0</v>
      </c>
      <c r="N28" s="49">
        <v>68</v>
      </c>
      <c r="O28" s="49">
        <v>1</v>
      </c>
      <c r="P28" s="49">
        <v>0</v>
      </c>
      <c r="Q28" s="49">
        <v>0</v>
      </c>
      <c r="R28" s="49">
        <v>1</v>
      </c>
      <c r="S28" s="49">
        <v>81</v>
      </c>
      <c r="T28" s="49">
        <v>0</v>
      </c>
      <c r="U28" s="49">
        <v>0</v>
      </c>
      <c r="V28" s="49">
        <v>0</v>
      </c>
      <c r="W28" s="49">
        <v>0</v>
      </c>
      <c r="X28" s="49">
        <v>0</v>
      </c>
      <c r="Y28" s="49">
        <v>0</v>
      </c>
      <c r="Z28" s="49">
        <v>0</v>
      </c>
      <c r="AA28" s="49">
        <v>0</v>
      </c>
      <c r="AB28" s="49">
        <v>25</v>
      </c>
      <c r="AC28" s="49">
        <v>1</v>
      </c>
      <c r="AD28" s="49">
        <v>0</v>
      </c>
      <c r="AE28" s="49">
        <v>26</v>
      </c>
      <c r="AF28" s="49">
        <v>7</v>
      </c>
      <c r="AG28" s="49">
        <v>0</v>
      </c>
      <c r="AH28" s="49">
        <v>0</v>
      </c>
      <c r="AI28" s="49">
        <v>7</v>
      </c>
      <c r="AJ28" s="49">
        <v>33</v>
      </c>
      <c r="AK28" s="49">
        <v>0</v>
      </c>
      <c r="AL28" s="49">
        <v>0</v>
      </c>
      <c r="AM28" s="49">
        <v>0</v>
      </c>
      <c r="AN28" s="49">
        <v>0</v>
      </c>
      <c r="AO28" s="49">
        <v>33</v>
      </c>
      <c r="AP28" s="49">
        <v>0</v>
      </c>
      <c r="AQ28" s="49">
        <v>0</v>
      </c>
      <c r="AR28" s="49">
        <v>33</v>
      </c>
      <c r="AS28" s="49">
        <v>12</v>
      </c>
      <c r="AT28" s="49">
        <v>0</v>
      </c>
      <c r="AU28" s="49">
        <v>1</v>
      </c>
      <c r="AV28" s="49">
        <v>13</v>
      </c>
      <c r="AW28" s="49">
        <v>0</v>
      </c>
      <c r="AX28" s="49">
        <v>0</v>
      </c>
      <c r="AY28" s="49">
        <v>0</v>
      </c>
      <c r="AZ28" s="49">
        <v>0</v>
      </c>
      <c r="BA28" s="49">
        <v>46</v>
      </c>
      <c r="BB28" s="49">
        <v>0</v>
      </c>
      <c r="BC28" s="49">
        <v>0</v>
      </c>
      <c r="BD28" s="49">
        <v>0</v>
      </c>
      <c r="BE28" s="49">
        <v>0</v>
      </c>
      <c r="BF28" s="49">
        <v>115</v>
      </c>
      <c r="BG28" s="49">
        <v>1</v>
      </c>
      <c r="BH28" s="49">
        <v>4</v>
      </c>
      <c r="BI28" s="49">
        <v>120</v>
      </c>
      <c r="BJ28" s="49">
        <v>34</v>
      </c>
      <c r="BK28" s="49">
        <v>1</v>
      </c>
      <c r="BL28" s="49">
        <v>1</v>
      </c>
      <c r="BM28" s="49">
        <v>36</v>
      </c>
      <c r="BN28" s="49">
        <v>25</v>
      </c>
      <c r="BO28" s="49">
        <v>1</v>
      </c>
      <c r="BP28" s="49">
        <v>0</v>
      </c>
      <c r="BQ28" s="49">
        <v>26</v>
      </c>
      <c r="BR28" s="49">
        <v>182</v>
      </c>
      <c r="BS28" s="49">
        <v>22</v>
      </c>
      <c r="BT28" s="49">
        <v>0</v>
      </c>
      <c r="BU28" s="49">
        <v>0</v>
      </c>
      <c r="BV28" s="49">
        <v>22</v>
      </c>
      <c r="BW28" s="49">
        <v>8</v>
      </c>
      <c r="BX28" s="49">
        <v>0</v>
      </c>
      <c r="BY28" s="49">
        <v>0</v>
      </c>
      <c r="BZ28" s="49">
        <v>8</v>
      </c>
      <c r="CA28" s="49">
        <v>18</v>
      </c>
      <c r="CB28" s="49">
        <v>0</v>
      </c>
      <c r="CC28" s="49">
        <v>0</v>
      </c>
      <c r="CD28" s="49">
        <v>18</v>
      </c>
      <c r="CE28" s="49">
        <v>6</v>
      </c>
      <c r="CF28" s="49">
        <v>0</v>
      </c>
      <c r="CG28" s="49">
        <v>0</v>
      </c>
      <c r="CH28" s="49">
        <v>6</v>
      </c>
      <c r="CI28" s="49">
        <v>54</v>
      </c>
      <c r="CJ28" s="49">
        <v>396</v>
      </c>
    </row>
    <row r="29" spans="2:88" x14ac:dyDescent="0.25">
      <c r="B29" s="11">
        <v>0.71875</v>
      </c>
      <c r="C29" s="49">
        <v>1</v>
      </c>
      <c r="D29" s="49">
        <v>0</v>
      </c>
      <c r="E29" s="49">
        <v>0</v>
      </c>
      <c r="F29" s="49">
        <v>1</v>
      </c>
      <c r="G29" s="49">
        <v>12</v>
      </c>
      <c r="H29" s="49">
        <v>0</v>
      </c>
      <c r="I29" s="49">
        <v>0</v>
      </c>
      <c r="J29" s="49">
        <v>12</v>
      </c>
      <c r="K29" s="49">
        <v>58</v>
      </c>
      <c r="L29" s="49">
        <v>1</v>
      </c>
      <c r="M29" s="49">
        <v>0</v>
      </c>
      <c r="N29" s="49">
        <v>59</v>
      </c>
      <c r="O29" s="49">
        <v>0</v>
      </c>
      <c r="P29" s="49">
        <v>0</v>
      </c>
      <c r="Q29" s="49">
        <v>0</v>
      </c>
      <c r="R29" s="49">
        <v>0</v>
      </c>
      <c r="S29" s="49">
        <v>72</v>
      </c>
      <c r="T29" s="49">
        <v>0</v>
      </c>
      <c r="U29" s="49">
        <v>0</v>
      </c>
      <c r="V29" s="49">
        <v>0</v>
      </c>
      <c r="W29" s="49">
        <v>0</v>
      </c>
      <c r="X29" s="49">
        <v>0</v>
      </c>
      <c r="Y29" s="49">
        <v>0</v>
      </c>
      <c r="Z29" s="49">
        <v>0</v>
      </c>
      <c r="AA29" s="49">
        <v>0</v>
      </c>
      <c r="AB29" s="49">
        <v>17</v>
      </c>
      <c r="AC29" s="49">
        <v>1</v>
      </c>
      <c r="AD29" s="49">
        <v>0</v>
      </c>
      <c r="AE29" s="49">
        <v>18</v>
      </c>
      <c r="AF29" s="49">
        <v>4</v>
      </c>
      <c r="AG29" s="49">
        <v>0</v>
      </c>
      <c r="AH29" s="49">
        <v>0</v>
      </c>
      <c r="AI29" s="49">
        <v>4</v>
      </c>
      <c r="AJ29" s="49">
        <v>22</v>
      </c>
      <c r="AK29" s="49">
        <v>0</v>
      </c>
      <c r="AL29" s="49">
        <v>0</v>
      </c>
      <c r="AM29" s="49">
        <v>0</v>
      </c>
      <c r="AN29" s="49">
        <v>0</v>
      </c>
      <c r="AO29" s="49">
        <v>17</v>
      </c>
      <c r="AP29" s="49">
        <v>0</v>
      </c>
      <c r="AQ29" s="49">
        <v>0</v>
      </c>
      <c r="AR29" s="49">
        <v>17</v>
      </c>
      <c r="AS29" s="49">
        <v>10</v>
      </c>
      <c r="AT29" s="49">
        <v>0</v>
      </c>
      <c r="AU29" s="49">
        <v>0</v>
      </c>
      <c r="AV29" s="49">
        <v>10</v>
      </c>
      <c r="AW29" s="49">
        <v>1</v>
      </c>
      <c r="AX29" s="49">
        <v>0</v>
      </c>
      <c r="AY29" s="49">
        <v>0</v>
      </c>
      <c r="AZ29" s="49">
        <v>1</v>
      </c>
      <c r="BA29" s="49">
        <v>28</v>
      </c>
      <c r="BB29" s="49">
        <v>0</v>
      </c>
      <c r="BC29" s="49">
        <v>0</v>
      </c>
      <c r="BD29" s="49">
        <v>0</v>
      </c>
      <c r="BE29" s="49">
        <v>0</v>
      </c>
      <c r="BF29" s="49">
        <v>113</v>
      </c>
      <c r="BG29" s="49">
        <v>2</v>
      </c>
      <c r="BH29" s="49">
        <v>0</v>
      </c>
      <c r="BI29" s="49">
        <v>115</v>
      </c>
      <c r="BJ29" s="49">
        <v>23</v>
      </c>
      <c r="BK29" s="49">
        <v>2</v>
      </c>
      <c r="BL29" s="49">
        <v>1</v>
      </c>
      <c r="BM29" s="49">
        <v>26</v>
      </c>
      <c r="BN29" s="49">
        <v>31</v>
      </c>
      <c r="BO29" s="49">
        <v>0</v>
      </c>
      <c r="BP29" s="49">
        <v>0</v>
      </c>
      <c r="BQ29" s="49">
        <v>31</v>
      </c>
      <c r="BR29" s="49">
        <v>172</v>
      </c>
      <c r="BS29" s="49">
        <v>22</v>
      </c>
      <c r="BT29" s="49">
        <v>0</v>
      </c>
      <c r="BU29" s="49">
        <v>0</v>
      </c>
      <c r="BV29" s="49">
        <v>22</v>
      </c>
      <c r="BW29" s="49">
        <v>9</v>
      </c>
      <c r="BX29" s="49">
        <v>0</v>
      </c>
      <c r="BY29" s="49">
        <v>0</v>
      </c>
      <c r="BZ29" s="49">
        <v>9</v>
      </c>
      <c r="CA29" s="49">
        <v>16</v>
      </c>
      <c r="CB29" s="49">
        <v>0</v>
      </c>
      <c r="CC29" s="49">
        <v>0</v>
      </c>
      <c r="CD29" s="49">
        <v>16</v>
      </c>
      <c r="CE29" s="49">
        <v>9</v>
      </c>
      <c r="CF29" s="49">
        <v>0</v>
      </c>
      <c r="CG29" s="49">
        <v>0</v>
      </c>
      <c r="CH29" s="49">
        <v>9</v>
      </c>
      <c r="CI29" s="49">
        <v>56</v>
      </c>
      <c r="CJ29" s="49">
        <v>350</v>
      </c>
    </row>
    <row r="30" spans="2:88" x14ac:dyDescent="0.25">
      <c r="B30" s="11">
        <v>0.72916666666666663</v>
      </c>
      <c r="C30" s="49">
        <v>6</v>
      </c>
      <c r="D30" s="49">
        <v>0</v>
      </c>
      <c r="E30" s="49">
        <v>0</v>
      </c>
      <c r="F30" s="49">
        <v>6</v>
      </c>
      <c r="G30" s="49">
        <v>12</v>
      </c>
      <c r="H30" s="49">
        <v>0</v>
      </c>
      <c r="I30" s="49">
        <v>0</v>
      </c>
      <c r="J30" s="49">
        <v>12</v>
      </c>
      <c r="K30" s="49">
        <v>57</v>
      </c>
      <c r="L30" s="49">
        <v>1</v>
      </c>
      <c r="M30" s="49">
        <v>3</v>
      </c>
      <c r="N30" s="49">
        <v>61</v>
      </c>
      <c r="O30" s="49">
        <v>2</v>
      </c>
      <c r="P30" s="49">
        <v>0</v>
      </c>
      <c r="Q30" s="49">
        <v>0</v>
      </c>
      <c r="R30" s="49">
        <v>2</v>
      </c>
      <c r="S30" s="49">
        <v>81</v>
      </c>
      <c r="T30" s="49">
        <v>0</v>
      </c>
      <c r="U30" s="49">
        <v>0</v>
      </c>
      <c r="V30" s="49">
        <v>0</v>
      </c>
      <c r="W30" s="49">
        <v>0</v>
      </c>
      <c r="X30" s="49">
        <v>0</v>
      </c>
      <c r="Y30" s="49">
        <v>0</v>
      </c>
      <c r="Z30" s="49">
        <v>0</v>
      </c>
      <c r="AA30" s="49">
        <v>0</v>
      </c>
      <c r="AB30" s="49">
        <v>13</v>
      </c>
      <c r="AC30" s="49">
        <v>1</v>
      </c>
      <c r="AD30" s="49">
        <v>0</v>
      </c>
      <c r="AE30" s="49">
        <v>14</v>
      </c>
      <c r="AF30" s="49">
        <v>3</v>
      </c>
      <c r="AG30" s="49">
        <v>0</v>
      </c>
      <c r="AH30" s="49">
        <v>0</v>
      </c>
      <c r="AI30" s="49">
        <v>3</v>
      </c>
      <c r="AJ30" s="49">
        <v>17</v>
      </c>
      <c r="AK30" s="49">
        <v>0</v>
      </c>
      <c r="AL30" s="49">
        <v>0</v>
      </c>
      <c r="AM30" s="49">
        <v>0</v>
      </c>
      <c r="AN30" s="49">
        <v>0</v>
      </c>
      <c r="AO30" s="49">
        <v>39</v>
      </c>
      <c r="AP30" s="49">
        <v>0</v>
      </c>
      <c r="AQ30" s="49">
        <v>2</v>
      </c>
      <c r="AR30" s="49">
        <v>41</v>
      </c>
      <c r="AS30" s="49">
        <v>9</v>
      </c>
      <c r="AT30" s="49">
        <v>1</v>
      </c>
      <c r="AU30" s="49">
        <v>0</v>
      </c>
      <c r="AV30" s="49">
        <v>10</v>
      </c>
      <c r="AW30" s="49">
        <v>0</v>
      </c>
      <c r="AX30" s="49">
        <v>0</v>
      </c>
      <c r="AY30" s="49">
        <v>0</v>
      </c>
      <c r="AZ30" s="49">
        <v>0</v>
      </c>
      <c r="BA30" s="49">
        <v>51</v>
      </c>
      <c r="BB30" s="49">
        <v>0</v>
      </c>
      <c r="BC30" s="49">
        <v>0</v>
      </c>
      <c r="BD30" s="49">
        <v>0</v>
      </c>
      <c r="BE30" s="49">
        <v>0</v>
      </c>
      <c r="BF30" s="49">
        <v>115</v>
      </c>
      <c r="BG30" s="49">
        <v>0</v>
      </c>
      <c r="BH30" s="49">
        <v>3</v>
      </c>
      <c r="BI30" s="49">
        <v>118</v>
      </c>
      <c r="BJ30" s="49">
        <v>32</v>
      </c>
      <c r="BK30" s="49">
        <v>1</v>
      </c>
      <c r="BL30" s="49">
        <v>0</v>
      </c>
      <c r="BM30" s="49">
        <v>33</v>
      </c>
      <c r="BN30" s="49">
        <v>32</v>
      </c>
      <c r="BO30" s="49">
        <v>0</v>
      </c>
      <c r="BP30" s="49">
        <v>2</v>
      </c>
      <c r="BQ30" s="49">
        <v>34</v>
      </c>
      <c r="BR30" s="49">
        <v>185</v>
      </c>
      <c r="BS30" s="49">
        <v>19</v>
      </c>
      <c r="BT30" s="49">
        <v>0</v>
      </c>
      <c r="BU30" s="49">
        <v>0</v>
      </c>
      <c r="BV30" s="49">
        <v>19</v>
      </c>
      <c r="BW30" s="49">
        <v>10</v>
      </c>
      <c r="BX30" s="49">
        <v>0</v>
      </c>
      <c r="BY30" s="49">
        <v>0</v>
      </c>
      <c r="BZ30" s="49">
        <v>10</v>
      </c>
      <c r="CA30" s="49">
        <v>11</v>
      </c>
      <c r="CB30" s="49">
        <v>0</v>
      </c>
      <c r="CC30" s="49">
        <v>1</v>
      </c>
      <c r="CD30" s="49">
        <v>12</v>
      </c>
      <c r="CE30" s="49">
        <v>11</v>
      </c>
      <c r="CF30" s="49">
        <v>0</v>
      </c>
      <c r="CG30" s="49">
        <v>0</v>
      </c>
      <c r="CH30" s="49">
        <v>11</v>
      </c>
      <c r="CI30" s="49">
        <v>52</v>
      </c>
      <c r="CJ30" s="49">
        <v>386</v>
      </c>
    </row>
    <row r="31" spans="2:88" x14ac:dyDescent="0.25">
      <c r="B31" s="11">
        <v>0.73958333333333337</v>
      </c>
      <c r="C31" s="49">
        <v>2</v>
      </c>
      <c r="D31" s="49">
        <v>0</v>
      </c>
      <c r="E31" s="49">
        <v>0</v>
      </c>
      <c r="F31" s="49">
        <v>2</v>
      </c>
      <c r="G31" s="49">
        <v>12</v>
      </c>
      <c r="H31" s="49">
        <v>0</v>
      </c>
      <c r="I31" s="49">
        <v>0</v>
      </c>
      <c r="J31" s="49">
        <v>12</v>
      </c>
      <c r="K31" s="49">
        <v>47</v>
      </c>
      <c r="L31" s="49">
        <v>0</v>
      </c>
      <c r="M31" s="49">
        <v>0</v>
      </c>
      <c r="N31" s="49">
        <v>47</v>
      </c>
      <c r="O31" s="49">
        <v>0</v>
      </c>
      <c r="P31" s="49">
        <v>0</v>
      </c>
      <c r="Q31" s="49">
        <v>0</v>
      </c>
      <c r="R31" s="49">
        <v>0</v>
      </c>
      <c r="S31" s="49">
        <v>61</v>
      </c>
      <c r="T31" s="49">
        <v>0</v>
      </c>
      <c r="U31" s="49">
        <v>0</v>
      </c>
      <c r="V31" s="49">
        <v>0</v>
      </c>
      <c r="W31" s="49">
        <v>0</v>
      </c>
      <c r="X31" s="49">
        <v>0</v>
      </c>
      <c r="Y31" s="49">
        <v>0</v>
      </c>
      <c r="Z31" s="49">
        <v>0</v>
      </c>
      <c r="AA31" s="49">
        <v>0</v>
      </c>
      <c r="AB31" s="49">
        <v>12</v>
      </c>
      <c r="AC31" s="49">
        <v>1</v>
      </c>
      <c r="AD31" s="49">
        <v>0</v>
      </c>
      <c r="AE31" s="49">
        <v>13</v>
      </c>
      <c r="AF31" s="49">
        <v>4</v>
      </c>
      <c r="AG31" s="49">
        <v>0</v>
      </c>
      <c r="AH31" s="49">
        <v>0</v>
      </c>
      <c r="AI31" s="49">
        <v>4</v>
      </c>
      <c r="AJ31" s="49">
        <v>17</v>
      </c>
      <c r="AK31" s="49">
        <v>0</v>
      </c>
      <c r="AL31" s="49">
        <v>0</v>
      </c>
      <c r="AM31" s="49">
        <v>0</v>
      </c>
      <c r="AN31" s="49">
        <v>0</v>
      </c>
      <c r="AO31" s="49">
        <v>21</v>
      </c>
      <c r="AP31" s="49">
        <v>0</v>
      </c>
      <c r="AQ31" s="49">
        <v>0</v>
      </c>
      <c r="AR31" s="49">
        <v>21</v>
      </c>
      <c r="AS31" s="49">
        <v>8</v>
      </c>
      <c r="AT31" s="49">
        <v>0</v>
      </c>
      <c r="AU31" s="49">
        <v>0</v>
      </c>
      <c r="AV31" s="49">
        <v>8</v>
      </c>
      <c r="AW31" s="49">
        <v>1</v>
      </c>
      <c r="AX31" s="49">
        <v>0</v>
      </c>
      <c r="AY31" s="49">
        <v>0</v>
      </c>
      <c r="AZ31" s="49">
        <v>1</v>
      </c>
      <c r="BA31" s="49">
        <v>30</v>
      </c>
      <c r="BB31" s="49">
        <v>0</v>
      </c>
      <c r="BC31" s="49">
        <v>0</v>
      </c>
      <c r="BD31" s="49">
        <v>0</v>
      </c>
      <c r="BE31" s="49">
        <v>0</v>
      </c>
      <c r="BF31" s="49">
        <v>104</v>
      </c>
      <c r="BG31" s="49">
        <v>1</v>
      </c>
      <c r="BH31" s="49">
        <v>3</v>
      </c>
      <c r="BI31" s="49">
        <v>108</v>
      </c>
      <c r="BJ31" s="49">
        <v>30</v>
      </c>
      <c r="BK31" s="49">
        <v>2</v>
      </c>
      <c r="BL31" s="49">
        <v>1</v>
      </c>
      <c r="BM31" s="49">
        <v>33</v>
      </c>
      <c r="BN31" s="49">
        <v>29</v>
      </c>
      <c r="BO31" s="49">
        <v>1</v>
      </c>
      <c r="BP31" s="49">
        <v>0</v>
      </c>
      <c r="BQ31" s="49">
        <v>30</v>
      </c>
      <c r="BR31" s="49">
        <v>171</v>
      </c>
      <c r="BS31" s="49">
        <v>12</v>
      </c>
      <c r="BT31" s="49">
        <v>0</v>
      </c>
      <c r="BU31" s="49">
        <v>0</v>
      </c>
      <c r="BV31" s="49">
        <v>12</v>
      </c>
      <c r="BW31" s="49">
        <v>14</v>
      </c>
      <c r="BX31" s="49">
        <v>0</v>
      </c>
      <c r="BY31" s="49">
        <v>0</v>
      </c>
      <c r="BZ31" s="49">
        <v>14</v>
      </c>
      <c r="CA31" s="49">
        <v>15</v>
      </c>
      <c r="CB31" s="49">
        <v>0</v>
      </c>
      <c r="CC31" s="49">
        <v>0</v>
      </c>
      <c r="CD31" s="49">
        <v>15</v>
      </c>
      <c r="CE31" s="49">
        <v>4</v>
      </c>
      <c r="CF31" s="49">
        <v>0</v>
      </c>
      <c r="CG31" s="49">
        <v>0</v>
      </c>
      <c r="CH31" s="49">
        <v>4</v>
      </c>
      <c r="CI31" s="49">
        <v>45</v>
      </c>
      <c r="CJ31" s="49">
        <v>324</v>
      </c>
    </row>
    <row r="32" spans="2:88" x14ac:dyDescent="0.25">
      <c r="B32" s="10" t="s">
        <v>91</v>
      </c>
      <c r="C32" s="49">
        <v>3</v>
      </c>
      <c r="D32" s="49">
        <v>0</v>
      </c>
      <c r="E32" s="49">
        <v>0</v>
      </c>
      <c r="F32" s="49">
        <v>3</v>
      </c>
      <c r="G32" s="49">
        <v>20</v>
      </c>
      <c r="H32" s="49">
        <v>1</v>
      </c>
      <c r="I32" s="49">
        <v>2</v>
      </c>
      <c r="J32" s="49">
        <v>23</v>
      </c>
      <c r="K32" s="49">
        <v>187</v>
      </c>
      <c r="L32" s="49">
        <v>6</v>
      </c>
      <c r="M32" s="49">
        <v>0</v>
      </c>
      <c r="N32" s="49">
        <v>193</v>
      </c>
      <c r="O32" s="49">
        <v>0</v>
      </c>
      <c r="P32" s="49">
        <v>0</v>
      </c>
      <c r="Q32" s="49">
        <v>0</v>
      </c>
      <c r="R32" s="49">
        <v>0</v>
      </c>
      <c r="S32" s="49">
        <v>219</v>
      </c>
      <c r="T32" s="49">
        <v>1</v>
      </c>
      <c r="U32" s="49">
        <v>0</v>
      </c>
      <c r="V32" s="49">
        <v>0</v>
      </c>
      <c r="W32" s="49">
        <v>1</v>
      </c>
      <c r="X32" s="49">
        <v>2</v>
      </c>
      <c r="Y32" s="49">
        <v>1</v>
      </c>
      <c r="Z32" s="49">
        <v>1</v>
      </c>
      <c r="AA32" s="49">
        <v>4</v>
      </c>
      <c r="AB32" s="49">
        <v>47</v>
      </c>
      <c r="AC32" s="49">
        <v>4</v>
      </c>
      <c r="AD32" s="49">
        <v>1</v>
      </c>
      <c r="AE32" s="49">
        <v>52</v>
      </c>
      <c r="AF32" s="49">
        <v>15</v>
      </c>
      <c r="AG32" s="49">
        <v>0</v>
      </c>
      <c r="AH32" s="49">
        <v>0</v>
      </c>
      <c r="AI32" s="49">
        <v>15</v>
      </c>
      <c r="AJ32" s="49">
        <v>72</v>
      </c>
      <c r="AK32" s="49">
        <v>0</v>
      </c>
      <c r="AL32" s="49">
        <v>0</v>
      </c>
      <c r="AM32" s="49">
        <v>0</v>
      </c>
      <c r="AN32" s="49">
        <v>0</v>
      </c>
      <c r="AO32" s="49">
        <v>90</v>
      </c>
      <c r="AP32" s="49">
        <v>0</v>
      </c>
      <c r="AQ32" s="49">
        <v>0</v>
      </c>
      <c r="AR32" s="49">
        <v>90</v>
      </c>
      <c r="AS32" s="49">
        <v>25</v>
      </c>
      <c r="AT32" s="49">
        <v>1</v>
      </c>
      <c r="AU32" s="49">
        <v>0</v>
      </c>
      <c r="AV32" s="49">
        <v>26</v>
      </c>
      <c r="AW32" s="49">
        <v>4</v>
      </c>
      <c r="AX32" s="49">
        <v>0</v>
      </c>
      <c r="AY32" s="49">
        <v>0</v>
      </c>
      <c r="AZ32" s="49">
        <v>4</v>
      </c>
      <c r="BA32" s="49">
        <v>120</v>
      </c>
      <c r="BB32" s="49">
        <v>0</v>
      </c>
      <c r="BC32" s="49">
        <v>0</v>
      </c>
      <c r="BD32" s="49">
        <v>0</v>
      </c>
      <c r="BE32" s="49">
        <v>0</v>
      </c>
      <c r="BF32" s="49">
        <v>224</v>
      </c>
      <c r="BG32" s="49">
        <v>7</v>
      </c>
      <c r="BH32" s="49">
        <v>3</v>
      </c>
      <c r="BI32" s="49">
        <v>234</v>
      </c>
      <c r="BJ32" s="49">
        <v>80</v>
      </c>
      <c r="BK32" s="49">
        <v>6</v>
      </c>
      <c r="BL32" s="49">
        <v>1</v>
      </c>
      <c r="BM32" s="49">
        <v>87</v>
      </c>
      <c r="BN32" s="49">
        <v>67</v>
      </c>
      <c r="BO32" s="49">
        <v>0</v>
      </c>
      <c r="BP32" s="49">
        <v>1</v>
      </c>
      <c r="BQ32" s="49">
        <v>68</v>
      </c>
      <c r="BR32" s="49">
        <v>389</v>
      </c>
      <c r="BS32" s="49">
        <v>31</v>
      </c>
      <c r="BT32" s="49">
        <v>0</v>
      </c>
      <c r="BU32" s="49">
        <v>1</v>
      </c>
      <c r="BV32" s="49">
        <v>32</v>
      </c>
      <c r="BW32" s="49">
        <v>19</v>
      </c>
      <c r="BX32" s="49">
        <v>0</v>
      </c>
      <c r="BY32" s="49">
        <v>0</v>
      </c>
      <c r="BZ32" s="49">
        <v>19</v>
      </c>
      <c r="CA32" s="49">
        <v>19</v>
      </c>
      <c r="CB32" s="49">
        <v>0</v>
      </c>
      <c r="CC32" s="49">
        <v>0</v>
      </c>
      <c r="CD32" s="49">
        <v>19</v>
      </c>
      <c r="CE32" s="49">
        <v>26</v>
      </c>
      <c r="CF32" s="49">
        <v>3</v>
      </c>
      <c r="CG32" s="49">
        <v>0</v>
      </c>
      <c r="CH32" s="49">
        <v>29</v>
      </c>
      <c r="CI32" s="49">
        <v>99</v>
      </c>
      <c r="CJ32" s="49">
        <v>899</v>
      </c>
    </row>
    <row r="33" spans="2:88" x14ac:dyDescent="0.25">
      <c r="B33" s="11">
        <v>0.54166666666666663</v>
      </c>
      <c r="C33" s="49">
        <v>0</v>
      </c>
      <c r="D33" s="49">
        <v>0</v>
      </c>
      <c r="E33" s="49">
        <v>0</v>
      </c>
      <c r="F33" s="49">
        <v>0</v>
      </c>
      <c r="G33" s="49">
        <v>5</v>
      </c>
      <c r="H33" s="49">
        <v>1</v>
      </c>
      <c r="I33" s="49">
        <v>0</v>
      </c>
      <c r="J33" s="49">
        <v>6</v>
      </c>
      <c r="K33" s="49">
        <v>47</v>
      </c>
      <c r="L33" s="49">
        <v>1</v>
      </c>
      <c r="M33" s="49">
        <v>0</v>
      </c>
      <c r="N33" s="49">
        <v>48</v>
      </c>
      <c r="O33" s="49">
        <v>0</v>
      </c>
      <c r="P33" s="49">
        <v>0</v>
      </c>
      <c r="Q33" s="49">
        <v>0</v>
      </c>
      <c r="R33" s="49">
        <v>0</v>
      </c>
      <c r="S33" s="49">
        <v>54</v>
      </c>
      <c r="T33" s="49">
        <v>0</v>
      </c>
      <c r="U33" s="49">
        <v>0</v>
      </c>
      <c r="V33" s="49">
        <v>0</v>
      </c>
      <c r="W33" s="49">
        <v>0</v>
      </c>
      <c r="X33" s="49">
        <v>2</v>
      </c>
      <c r="Y33" s="49">
        <v>0</v>
      </c>
      <c r="Z33" s="49">
        <v>0</v>
      </c>
      <c r="AA33" s="49">
        <v>2</v>
      </c>
      <c r="AB33" s="49">
        <v>15</v>
      </c>
      <c r="AC33" s="49">
        <v>1</v>
      </c>
      <c r="AD33" s="49">
        <v>0</v>
      </c>
      <c r="AE33" s="49">
        <v>16</v>
      </c>
      <c r="AF33" s="49">
        <v>3</v>
      </c>
      <c r="AG33" s="49">
        <v>0</v>
      </c>
      <c r="AH33" s="49">
        <v>0</v>
      </c>
      <c r="AI33" s="49">
        <v>3</v>
      </c>
      <c r="AJ33" s="49">
        <v>21</v>
      </c>
      <c r="AK33" s="49">
        <v>0</v>
      </c>
      <c r="AL33" s="49">
        <v>0</v>
      </c>
      <c r="AM33" s="49">
        <v>0</v>
      </c>
      <c r="AN33" s="49">
        <v>0</v>
      </c>
      <c r="AO33" s="49">
        <v>28</v>
      </c>
      <c r="AP33" s="49">
        <v>0</v>
      </c>
      <c r="AQ33" s="49">
        <v>0</v>
      </c>
      <c r="AR33" s="49">
        <v>28</v>
      </c>
      <c r="AS33" s="49">
        <v>10</v>
      </c>
      <c r="AT33" s="49">
        <v>0</v>
      </c>
      <c r="AU33" s="49">
        <v>0</v>
      </c>
      <c r="AV33" s="49">
        <v>10</v>
      </c>
      <c r="AW33" s="49">
        <v>0</v>
      </c>
      <c r="AX33" s="49">
        <v>0</v>
      </c>
      <c r="AY33" s="49">
        <v>0</v>
      </c>
      <c r="AZ33" s="49">
        <v>0</v>
      </c>
      <c r="BA33" s="49">
        <v>38</v>
      </c>
      <c r="BB33" s="49">
        <v>0</v>
      </c>
      <c r="BC33" s="49">
        <v>0</v>
      </c>
      <c r="BD33" s="49">
        <v>0</v>
      </c>
      <c r="BE33" s="49">
        <v>0</v>
      </c>
      <c r="BF33" s="49">
        <v>53</v>
      </c>
      <c r="BG33" s="49">
        <v>1</v>
      </c>
      <c r="BH33" s="49">
        <v>1</v>
      </c>
      <c r="BI33" s="49">
        <v>55</v>
      </c>
      <c r="BJ33" s="49">
        <v>17</v>
      </c>
      <c r="BK33" s="49">
        <v>1</v>
      </c>
      <c r="BL33" s="49">
        <v>0</v>
      </c>
      <c r="BM33" s="49">
        <v>18</v>
      </c>
      <c r="BN33" s="49">
        <v>15</v>
      </c>
      <c r="BO33" s="49">
        <v>0</v>
      </c>
      <c r="BP33" s="49">
        <v>0</v>
      </c>
      <c r="BQ33" s="49">
        <v>15</v>
      </c>
      <c r="BR33" s="49">
        <v>88</v>
      </c>
      <c r="BS33" s="49">
        <v>8</v>
      </c>
      <c r="BT33" s="49">
        <v>0</v>
      </c>
      <c r="BU33" s="49">
        <v>1</v>
      </c>
      <c r="BV33" s="49">
        <v>9</v>
      </c>
      <c r="BW33" s="49">
        <v>5</v>
      </c>
      <c r="BX33" s="49">
        <v>0</v>
      </c>
      <c r="BY33" s="49">
        <v>0</v>
      </c>
      <c r="BZ33" s="49">
        <v>5</v>
      </c>
      <c r="CA33" s="49">
        <v>4</v>
      </c>
      <c r="CB33" s="49">
        <v>0</v>
      </c>
      <c r="CC33" s="49">
        <v>0</v>
      </c>
      <c r="CD33" s="49">
        <v>4</v>
      </c>
      <c r="CE33" s="49">
        <v>8</v>
      </c>
      <c r="CF33" s="49">
        <v>0</v>
      </c>
      <c r="CG33" s="49">
        <v>0</v>
      </c>
      <c r="CH33" s="49">
        <v>8</v>
      </c>
      <c r="CI33" s="49">
        <v>26</v>
      </c>
      <c r="CJ33" s="49">
        <v>227</v>
      </c>
    </row>
    <row r="34" spans="2:88" x14ac:dyDescent="0.25">
      <c r="B34" s="11">
        <v>0.55208333333333337</v>
      </c>
      <c r="C34" s="49">
        <v>3</v>
      </c>
      <c r="D34" s="49">
        <v>0</v>
      </c>
      <c r="E34" s="49">
        <v>0</v>
      </c>
      <c r="F34" s="49">
        <v>3</v>
      </c>
      <c r="G34" s="49">
        <v>2</v>
      </c>
      <c r="H34" s="49">
        <v>0</v>
      </c>
      <c r="I34" s="49">
        <v>2</v>
      </c>
      <c r="J34" s="49">
        <v>4</v>
      </c>
      <c r="K34" s="49">
        <v>53</v>
      </c>
      <c r="L34" s="49">
        <v>0</v>
      </c>
      <c r="M34" s="49">
        <v>0</v>
      </c>
      <c r="N34" s="49">
        <v>53</v>
      </c>
      <c r="O34" s="49">
        <v>0</v>
      </c>
      <c r="P34" s="49">
        <v>0</v>
      </c>
      <c r="Q34" s="49">
        <v>0</v>
      </c>
      <c r="R34" s="49">
        <v>0</v>
      </c>
      <c r="S34" s="49">
        <v>60</v>
      </c>
      <c r="T34" s="49">
        <v>0</v>
      </c>
      <c r="U34" s="49">
        <v>0</v>
      </c>
      <c r="V34" s="49">
        <v>0</v>
      </c>
      <c r="W34" s="49">
        <v>0</v>
      </c>
      <c r="X34" s="49">
        <v>0</v>
      </c>
      <c r="Y34" s="49">
        <v>0</v>
      </c>
      <c r="Z34" s="49">
        <v>0</v>
      </c>
      <c r="AA34" s="49">
        <v>0</v>
      </c>
      <c r="AB34" s="49">
        <v>11</v>
      </c>
      <c r="AC34" s="49">
        <v>1</v>
      </c>
      <c r="AD34" s="49">
        <v>0</v>
      </c>
      <c r="AE34" s="49">
        <v>12</v>
      </c>
      <c r="AF34" s="49">
        <v>4</v>
      </c>
      <c r="AG34" s="49">
        <v>0</v>
      </c>
      <c r="AH34" s="49">
        <v>0</v>
      </c>
      <c r="AI34" s="49">
        <v>4</v>
      </c>
      <c r="AJ34" s="49">
        <v>16</v>
      </c>
      <c r="AK34" s="49">
        <v>0</v>
      </c>
      <c r="AL34" s="49">
        <v>0</v>
      </c>
      <c r="AM34" s="49">
        <v>0</v>
      </c>
      <c r="AN34" s="49">
        <v>0</v>
      </c>
      <c r="AO34" s="49">
        <v>21</v>
      </c>
      <c r="AP34" s="49">
        <v>0</v>
      </c>
      <c r="AQ34" s="49">
        <v>0</v>
      </c>
      <c r="AR34" s="49">
        <v>21</v>
      </c>
      <c r="AS34" s="49">
        <v>4</v>
      </c>
      <c r="AT34" s="49">
        <v>0</v>
      </c>
      <c r="AU34" s="49">
        <v>0</v>
      </c>
      <c r="AV34" s="49">
        <v>4</v>
      </c>
      <c r="AW34" s="49">
        <v>3</v>
      </c>
      <c r="AX34" s="49">
        <v>0</v>
      </c>
      <c r="AY34" s="49">
        <v>0</v>
      </c>
      <c r="AZ34" s="49">
        <v>3</v>
      </c>
      <c r="BA34" s="49">
        <v>28</v>
      </c>
      <c r="BB34" s="49">
        <v>0</v>
      </c>
      <c r="BC34" s="49">
        <v>0</v>
      </c>
      <c r="BD34" s="49">
        <v>0</v>
      </c>
      <c r="BE34" s="49">
        <v>0</v>
      </c>
      <c r="BF34" s="49">
        <v>68</v>
      </c>
      <c r="BG34" s="49">
        <v>2</v>
      </c>
      <c r="BH34" s="49">
        <v>0</v>
      </c>
      <c r="BI34" s="49">
        <v>70</v>
      </c>
      <c r="BJ34" s="49">
        <v>17</v>
      </c>
      <c r="BK34" s="49">
        <v>2</v>
      </c>
      <c r="BL34" s="49">
        <v>1</v>
      </c>
      <c r="BM34" s="49">
        <v>20</v>
      </c>
      <c r="BN34" s="49">
        <v>15</v>
      </c>
      <c r="BO34" s="49">
        <v>0</v>
      </c>
      <c r="BP34" s="49">
        <v>1</v>
      </c>
      <c r="BQ34" s="49">
        <v>16</v>
      </c>
      <c r="BR34" s="49">
        <v>106</v>
      </c>
      <c r="BS34" s="49">
        <v>11</v>
      </c>
      <c r="BT34" s="49">
        <v>0</v>
      </c>
      <c r="BU34" s="49">
        <v>0</v>
      </c>
      <c r="BV34" s="49">
        <v>11</v>
      </c>
      <c r="BW34" s="49">
        <v>8</v>
      </c>
      <c r="BX34" s="49">
        <v>0</v>
      </c>
      <c r="BY34" s="49">
        <v>0</v>
      </c>
      <c r="BZ34" s="49">
        <v>8</v>
      </c>
      <c r="CA34" s="49">
        <v>6</v>
      </c>
      <c r="CB34" s="49">
        <v>0</v>
      </c>
      <c r="CC34" s="49">
        <v>0</v>
      </c>
      <c r="CD34" s="49">
        <v>6</v>
      </c>
      <c r="CE34" s="49">
        <v>7</v>
      </c>
      <c r="CF34" s="49">
        <v>0</v>
      </c>
      <c r="CG34" s="49">
        <v>0</v>
      </c>
      <c r="CH34" s="49">
        <v>7</v>
      </c>
      <c r="CI34" s="49">
        <v>32</v>
      </c>
      <c r="CJ34" s="49">
        <v>242</v>
      </c>
    </row>
    <row r="35" spans="2:88" x14ac:dyDescent="0.25">
      <c r="B35" s="11">
        <v>0.5625</v>
      </c>
      <c r="C35" s="49">
        <v>0</v>
      </c>
      <c r="D35" s="49">
        <v>0</v>
      </c>
      <c r="E35" s="49">
        <v>0</v>
      </c>
      <c r="F35" s="49">
        <v>0</v>
      </c>
      <c r="G35" s="49">
        <v>5</v>
      </c>
      <c r="H35" s="49">
        <v>0</v>
      </c>
      <c r="I35" s="49">
        <v>0</v>
      </c>
      <c r="J35" s="49">
        <v>5</v>
      </c>
      <c r="K35" s="49">
        <v>51</v>
      </c>
      <c r="L35" s="49">
        <v>3</v>
      </c>
      <c r="M35" s="49">
        <v>0</v>
      </c>
      <c r="N35" s="49">
        <v>54</v>
      </c>
      <c r="O35" s="49">
        <v>0</v>
      </c>
      <c r="P35" s="49">
        <v>0</v>
      </c>
      <c r="Q35" s="49">
        <v>0</v>
      </c>
      <c r="R35" s="49">
        <v>0</v>
      </c>
      <c r="S35" s="49">
        <v>59</v>
      </c>
      <c r="T35" s="49">
        <v>0</v>
      </c>
      <c r="U35" s="49">
        <v>0</v>
      </c>
      <c r="V35" s="49">
        <v>0</v>
      </c>
      <c r="W35" s="49">
        <v>0</v>
      </c>
      <c r="X35" s="49">
        <v>0</v>
      </c>
      <c r="Y35" s="49">
        <v>1</v>
      </c>
      <c r="Z35" s="49">
        <v>1</v>
      </c>
      <c r="AA35" s="49">
        <v>2</v>
      </c>
      <c r="AB35" s="49">
        <v>11</v>
      </c>
      <c r="AC35" s="49">
        <v>1</v>
      </c>
      <c r="AD35" s="49">
        <v>0</v>
      </c>
      <c r="AE35" s="49">
        <v>12</v>
      </c>
      <c r="AF35" s="49">
        <v>6</v>
      </c>
      <c r="AG35" s="49">
        <v>0</v>
      </c>
      <c r="AH35" s="49">
        <v>0</v>
      </c>
      <c r="AI35" s="49">
        <v>6</v>
      </c>
      <c r="AJ35" s="49">
        <v>20</v>
      </c>
      <c r="AK35" s="49">
        <v>0</v>
      </c>
      <c r="AL35" s="49">
        <v>0</v>
      </c>
      <c r="AM35" s="49">
        <v>0</v>
      </c>
      <c r="AN35" s="49">
        <v>0</v>
      </c>
      <c r="AO35" s="49">
        <v>21</v>
      </c>
      <c r="AP35" s="49">
        <v>0</v>
      </c>
      <c r="AQ35" s="49">
        <v>0</v>
      </c>
      <c r="AR35" s="49">
        <v>21</v>
      </c>
      <c r="AS35" s="49">
        <v>4</v>
      </c>
      <c r="AT35" s="49">
        <v>1</v>
      </c>
      <c r="AU35" s="49">
        <v>0</v>
      </c>
      <c r="AV35" s="49">
        <v>5</v>
      </c>
      <c r="AW35" s="49">
        <v>1</v>
      </c>
      <c r="AX35" s="49">
        <v>0</v>
      </c>
      <c r="AY35" s="49">
        <v>0</v>
      </c>
      <c r="AZ35" s="49">
        <v>1</v>
      </c>
      <c r="BA35" s="49">
        <v>27</v>
      </c>
      <c r="BB35" s="49">
        <v>0</v>
      </c>
      <c r="BC35" s="49">
        <v>0</v>
      </c>
      <c r="BD35" s="49">
        <v>0</v>
      </c>
      <c r="BE35" s="49">
        <v>0</v>
      </c>
      <c r="BF35" s="49">
        <v>51</v>
      </c>
      <c r="BG35" s="49">
        <v>2</v>
      </c>
      <c r="BH35" s="49">
        <v>0</v>
      </c>
      <c r="BI35" s="49">
        <v>53</v>
      </c>
      <c r="BJ35" s="49">
        <v>26</v>
      </c>
      <c r="BK35" s="49">
        <v>1</v>
      </c>
      <c r="BL35" s="49">
        <v>0</v>
      </c>
      <c r="BM35" s="49">
        <v>27</v>
      </c>
      <c r="BN35" s="49">
        <v>18</v>
      </c>
      <c r="BO35" s="49">
        <v>0</v>
      </c>
      <c r="BP35" s="49">
        <v>0</v>
      </c>
      <c r="BQ35" s="49">
        <v>18</v>
      </c>
      <c r="BR35" s="49">
        <v>98</v>
      </c>
      <c r="BS35" s="49">
        <v>5</v>
      </c>
      <c r="BT35" s="49">
        <v>0</v>
      </c>
      <c r="BU35" s="49">
        <v>0</v>
      </c>
      <c r="BV35" s="49">
        <v>5</v>
      </c>
      <c r="BW35" s="49">
        <v>3</v>
      </c>
      <c r="BX35" s="49">
        <v>0</v>
      </c>
      <c r="BY35" s="49">
        <v>0</v>
      </c>
      <c r="BZ35" s="49">
        <v>3</v>
      </c>
      <c r="CA35" s="49">
        <v>4</v>
      </c>
      <c r="CB35" s="49">
        <v>0</v>
      </c>
      <c r="CC35" s="49">
        <v>0</v>
      </c>
      <c r="CD35" s="49">
        <v>4</v>
      </c>
      <c r="CE35" s="49">
        <v>5</v>
      </c>
      <c r="CF35" s="49">
        <v>1</v>
      </c>
      <c r="CG35" s="49">
        <v>0</v>
      </c>
      <c r="CH35" s="49">
        <v>6</v>
      </c>
      <c r="CI35" s="49">
        <v>18</v>
      </c>
      <c r="CJ35" s="49">
        <v>222</v>
      </c>
    </row>
    <row r="36" spans="2:88" x14ac:dyDescent="0.25">
      <c r="B36" s="11">
        <v>0.57291666666666663</v>
      </c>
      <c r="C36" s="49">
        <v>0</v>
      </c>
      <c r="D36" s="49">
        <v>0</v>
      </c>
      <c r="E36" s="49">
        <v>0</v>
      </c>
      <c r="F36" s="49">
        <v>0</v>
      </c>
      <c r="G36" s="49">
        <v>8</v>
      </c>
      <c r="H36" s="49">
        <v>0</v>
      </c>
      <c r="I36" s="49">
        <v>0</v>
      </c>
      <c r="J36" s="49">
        <v>8</v>
      </c>
      <c r="K36" s="49">
        <v>36</v>
      </c>
      <c r="L36" s="49">
        <v>2</v>
      </c>
      <c r="M36" s="49">
        <v>0</v>
      </c>
      <c r="N36" s="49">
        <v>38</v>
      </c>
      <c r="O36" s="49">
        <v>0</v>
      </c>
      <c r="P36" s="49">
        <v>0</v>
      </c>
      <c r="Q36" s="49">
        <v>0</v>
      </c>
      <c r="R36" s="49">
        <v>0</v>
      </c>
      <c r="S36" s="49">
        <v>46</v>
      </c>
      <c r="T36" s="49">
        <v>1</v>
      </c>
      <c r="U36" s="49">
        <v>0</v>
      </c>
      <c r="V36" s="49">
        <v>0</v>
      </c>
      <c r="W36" s="49">
        <v>1</v>
      </c>
      <c r="X36" s="49">
        <v>0</v>
      </c>
      <c r="Y36" s="49">
        <v>0</v>
      </c>
      <c r="Z36" s="49">
        <v>0</v>
      </c>
      <c r="AA36" s="49">
        <v>0</v>
      </c>
      <c r="AB36" s="49">
        <v>10</v>
      </c>
      <c r="AC36" s="49">
        <v>1</v>
      </c>
      <c r="AD36" s="49">
        <v>1</v>
      </c>
      <c r="AE36" s="49">
        <v>12</v>
      </c>
      <c r="AF36" s="49">
        <v>2</v>
      </c>
      <c r="AG36" s="49">
        <v>0</v>
      </c>
      <c r="AH36" s="49">
        <v>0</v>
      </c>
      <c r="AI36" s="49">
        <v>2</v>
      </c>
      <c r="AJ36" s="49">
        <v>15</v>
      </c>
      <c r="AK36" s="49">
        <v>0</v>
      </c>
      <c r="AL36" s="49">
        <v>0</v>
      </c>
      <c r="AM36" s="49">
        <v>0</v>
      </c>
      <c r="AN36" s="49">
        <v>0</v>
      </c>
      <c r="AO36" s="49">
        <v>20</v>
      </c>
      <c r="AP36" s="49">
        <v>0</v>
      </c>
      <c r="AQ36" s="49">
        <v>0</v>
      </c>
      <c r="AR36" s="49">
        <v>20</v>
      </c>
      <c r="AS36" s="49">
        <v>7</v>
      </c>
      <c r="AT36" s="49">
        <v>0</v>
      </c>
      <c r="AU36" s="49">
        <v>0</v>
      </c>
      <c r="AV36" s="49">
        <v>7</v>
      </c>
      <c r="AW36" s="49">
        <v>0</v>
      </c>
      <c r="AX36" s="49">
        <v>0</v>
      </c>
      <c r="AY36" s="49">
        <v>0</v>
      </c>
      <c r="AZ36" s="49">
        <v>0</v>
      </c>
      <c r="BA36" s="49">
        <v>27</v>
      </c>
      <c r="BB36" s="49">
        <v>0</v>
      </c>
      <c r="BC36" s="49">
        <v>0</v>
      </c>
      <c r="BD36" s="49">
        <v>0</v>
      </c>
      <c r="BE36" s="49">
        <v>0</v>
      </c>
      <c r="BF36" s="49">
        <v>52</v>
      </c>
      <c r="BG36" s="49">
        <v>2</v>
      </c>
      <c r="BH36" s="49">
        <v>2</v>
      </c>
      <c r="BI36" s="49">
        <v>56</v>
      </c>
      <c r="BJ36" s="49">
        <v>20</v>
      </c>
      <c r="BK36" s="49">
        <v>2</v>
      </c>
      <c r="BL36" s="49">
        <v>0</v>
      </c>
      <c r="BM36" s="49">
        <v>22</v>
      </c>
      <c r="BN36" s="49">
        <v>19</v>
      </c>
      <c r="BO36" s="49">
        <v>0</v>
      </c>
      <c r="BP36" s="49">
        <v>0</v>
      </c>
      <c r="BQ36" s="49">
        <v>19</v>
      </c>
      <c r="BR36" s="49">
        <v>97</v>
      </c>
      <c r="BS36" s="49">
        <v>7</v>
      </c>
      <c r="BT36" s="49">
        <v>0</v>
      </c>
      <c r="BU36" s="49">
        <v>0</v>
      </c>
      <c r="BV36" s="49">
        <v>7</v>
      </c>
      <c r="BW36" s="49">
        <v>3</v>
      </c>
      <c r="BX36" s="49">
        <v>0</v>
      </c>
      <c r="BY36" s="49">
        <v>0</v>
      </c>
      <c r="BZ36" s="49">
        <v>3</v>
      </c>
      <c r="CA36" s="49">
        <v>5</v>
      </c>
      <c r="CB36" s="49">
        <v>0</v>
      </c>
      <c r="CC36" s="49">
        <v>0</v>
      </c>
      <c r="CD36" s="49">
        <v>5</v>
      </c>
      <c r="CE36" s="49">
        <v>6</v>
      </c>
      <c r="CF36" s="49">
        <v>2</v>
      </c>
      <c r="CG36" s="49">
        <v>0</v>
      </c>
      <c r="CH36" s="49">
        <v>8</v>
      </c>
      <c r="CI36" s="49">
        <v>23</v>
      </c>
      <c r="CJ36" s="49">
        <v>208</v>
      </c>
    </row>
  </sheetData>
  <mergeCells count="51">
    <mergeCell ref="C11:R11"/>
    <mergeCell ref="CD12:CD13"/>
    <mergeCell ref="CE12:CG12"/>
    <mergeCell ref="CH12:CH13"/>
    <mergeCell ref="BB11:BQ11"/>
    <mergeCell ref="BR11:BR13"/>
    <mergeCell ref="BS11:CH11"/>
    <mergeCell ref="BB12:BD12"/>
    <mergeCell ref="BE12:BE13"/>
    <mergeCell ref="BF12:BH12"/>
    <mergeCell ref="BI12:BI13"/>
    <mergeCell ref="BJ12:BL12"/>
    <mergeCell ref="BM12:BM13"/>
    <mergeCell ref="BN12:BP12"/>
    <mergeCell ref="BQ12:BQ13"/>
    <mergeCell ref="S11:S13"/>
    <mergeCell ref="T11:AI11"/>
    <mergeCell ref="AJ11:AJ13"/>
    <mergeCell ref="AK11:AZ11"/>
    <mergeCell ref="BA11:BA13"/>
    <mergeCell ref="AF12:AH12"/>
    <mergeCell ref="AI12:AI13"/>
    <mergeCell ref="AK12:AM12"/>
    <mergeCell ref="AN12:AN13"/>
    <mergeCell ref="AO12:AQ12"/>
    <mergeCell ref="AR12:AR13"/>
    <mergeCell ref="AS12:AU12"/>
    <mergeCell ref="AV12:AV13"/>
    <mergeCell ref="AW12:AY12"/>
    <mergeCell ref="AZ12:AZ13"/>
    <mergeCell ref="CI11:CI13"/>
    <mergeCell ref="CJ11:CJ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S12:BU12"/>
    <mergeCell ref="BV12:BV13"/>
    <mergeCell ref="BW12:BY12"/>
    <mergeCell ref="BZ12:BZ13"/>
    <mergeCell ref="CA12:CC12"/>
  </mergeCells>
  <conditionalFormatting pivot="1" sqref="C14:CJ36">
    <cfRule type="expression" dxfId="2" priority="2">
      <formula>C$12&lt;&gt;""</formula>
    </cfRule>
  </conditionalFormatting>
  <conditionalFormatting pivot="1" sqref="C14:CJ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1049</v>
      </c>
      <c r="I5">
        <f>MAX(I11:I303)</f>
        <v>899</v>
      </c>
      <c r="J5">
        <f>MAX(J11:J303)</f>
        <v>1481</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1049 vehicles between 08:00 and 09:00</v>
      </c>
      <c r="I8" s="6" t="str">
        <f>IF(I5=0,"","The peak hour for " &amp;I10&amp;" is "&amp;I5&amp;" vehicles between " &amp; TEXT(I6, "hh:mm")&amp; " and " &amp;TEXT(I7,"hh:mm"))</f>
        <v>The peak hour for INT is 899 vehicles between 13:00 and 14:00</v>
      </c>
      <c r="J8" s="6" t="str">
        <f>IF(J5=0,"","The peak hour for " &amp;J10&amp;" is "&amp;J5&amp;" vehicles between " &amp; TEXT(J6, "hh:mm")&amp; " and " &amp;TEXT(J7,"hh:mm"))</f>
        <v>The peak hour for PM is 1481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133</v>
      </c>
      <c r="C11" s="49"/>
      <c r="D11" s="49"/>
      <c r="G11" s="7">
        <f>A11</f>
        <v>0.29166666666666669</v>
      </c>
      <c r="H11">
        <f>IF(B11&lt;&gt;0,SUMIF($G$11:$G11,"&gt;"&amp;$G11-1/24,B$11:B11),0)</f>
        <v>133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133</v>
      </c>
      <c r="Q11">
        <f>P11*L11</f>
        <v>0</v>
      </c>
      <c r="S11" s="9">
        <v>0.29166666666666669</v>
      </c>
      <c r="T11" s="49">
        <v>133</v>
      </c>
      <c r="U11" s="49">
        <v>0</v>
      </c>
    </row>
    <row r="12" spans="1:21" x14ac:dyDescent="0.25">
      <c r="A12" s="9">
        <v>0.30208333333333331</v>
      </c>
      <c r="B12" s="49">
        <v>147</v>
      </c>
      <c r="C12" s="49"/>
      <c r="D12" s="49"/>
      <c r="G12" s="7">
        <f t="shared" ref="G12:G26" si="3">A12</f>
        <v>0.30208333333333331</v>
      </c>
      <c r="H12">
        <f>IF(B12&lt;&gt;0,SUMIF($G$11:$G12,"&gt;"&amp;$G12-1/24,B$11:B12),0)</f>
        <v>280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147</v>
      </c>
      <c r="Q12">
        <f t="shared" ref="Q12:Q75" si="7">P12*L12</f>
        <v>0</v>
      </c>
      <c r="S12" s="9">
        <v>0.30208333333333331</v>
      </c>
      <c r="T12" s="49">
        <v>147</v>
      </c>
      <c r="U12" s="49">
        <v>0</v>
      </c>
    </row>
    <row r="13" spans="1:21" x14ac:dyDescent="0.25">
      <c r="A13" s="9">
        <v>0.3125</v>
      </c>
      <c r="B13" s="49">
        <v>188</v>
      </c>
      <c r="C13" s="49"/>
      <c r="D13" s="49"/>
      <c r="G13" s="7">
        <f t="shared" si="3"/>
        <v>0.3125</v>
      </c>
      <c r="H13">
        <f>IF(B13&lt;&gt;0,SUMIF($G$11:$G13,"&gt;"&amp;$G13-1/24,B$11:B13),0)</f>
        <v>468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188</v>
      </c>
      <c r="Q13">
        <f t="shared" si="7"/>
        <v>0</v>
      </c>
      <c r="S13" s="9">
        <v>0.3125</v>
      </c>
      <c r="T13" s="49">
        <v>188</v>
      </c>
      <c r="U13" s="49">
        <v>0</v>
      </c>
    </row>
    <row r="14" spans="1:21" x14ac:dyDescent="0.25">
      <c r="A14" s="9">
        <v>0.32291666666666669</v>
      </c>
      <c r="B14" s="49">
        <v>182</v>
      </c>
      <c r="C14" s="49"/>
      <c r="D14" s="49"/>
      <c r="G14" s="7">
        <f t="shared" si="3"/>
        <v>0.32291666666666669</v>
      </c>
      <c r="H14">
        <f>IF(B14&lt;&gt;0,SUMIF($G$11:$G14,"&gt;"&amp;$G14-1/24,B$11:B14),0)</f>
        <v>650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182</v>
      </c>
      <c r="Q14">
        <f t="shared" si="7"/>
        <v>0</v>
      </c>
      <c r="S14" s="9">
        <v>0.32291666666666669</v>
      </c>
      <c r="T14" s="49">
        <v>182</v>
      </c>
      <c r="U14" s="49">
        <v>0</v>
      </c>
    </row>
    <row r="15" spans="1:21" x14ac:dyDescent="0.25">
      <c r="A15" s="9">
        <v>0.33333333333333331</v>
      </c>
      <c r="B15" s="49">
        <v>197</v>
      </c>
      <c r="C15" s="49"/>
      <c r="D15" s="49"/>
      <c r="G15" s="7">
        <f t="shared" si="3"/>
        <v>0.33333333333333331</v>
      </c>
      <c r="H15">
        <f>IF(B15&lt;&gt;0,SUMIF($G$11:$G15,"&gt;"&amp;$G15-1/24,B$11:B15),0)</f>
        <v>714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197</v>
      </c>
      <c r="Q15">
        <f t="shared" si="7"/>
        <v>197</v>
      </c>
      <c r="S15" s="9">
        <v>0.33333333333333331</v>
      </c>
      <c r="T15" s="49">
        <v>197</v>
      </c>
      <c r="U15" s="49">
        <v>197</v>
      </c>
    </row>
    <row r="16" spans="1:21" x14ac:dyDescent="0.25">
      <c r="A16" s="9">
        <v>0.34375</v>
      </c>
      <c r="B16" s="49">
        <v>298</v>
      </c>
      <c r="C16" s="49"/>
      <c r="D16" s="49"/>
      <c r="G16" s="7">
        <f t="shared" si="3"/>
        <v>0.34375</v>
      </c>
      <c r="H16">
        <f>IF(B16&lt;&gt;0,SUMIF($G$11:$G16,"&gt;"&amp;$G16-1/24,B$11:B16),0)</f>
        <v>865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298</v>
      </c>
      <c r="Q16">
        <f t="shared" si="7"/>
        <v>298</v>
      </c>
      <c r="S16" s="9">
        <v>0.34375</v>
      </c>
      <c r="T16" s="49">
        <v>298</v>
      </c>
      <c r="U16" s="49">
        <v>298</v>
      </c>
    </row>
    <row r="17" spans="1:21" x14ac:dyDescent="0.25">
      <c r="A17" s="9">
        <v>0.35416666666666669</v>
      </c>
      <c r="B17" s="49">
        <v>318</v>
      </c>
      <c r="C17" s="49"/>
      <c r="D17" s="49"/>
      <c r="G17" s="7">
        <f t="shared" si="3"/>
        <v>0.35416666666666669</v>
      </c>
      <c r="H17">
        <f>IF(B17&lt;&gt;0,SUMIF($G$11:$G17,"&gt;"&amp;$G17-1/24,B$11:B17),0)</f>
        <v>995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318</v>
      </c>
      <c r="Q17">
        <f t="shared" si="7"/>
        <v>318</v>
      </c>
      <c r="S17" s="9">
        <v>0.35416666666666669</v>
      </c>
      <c r="T17" s="49">
        <v>318</v>
      </c>
      <c r="U17" s="49">
        <v>318</v>
      </c>
    </row>
    <row r="18" spans="1:21" x14ac:dyDescent="0.25">
      <c r="A18" s="9">
        <v>0.36458333333333331</v>
      </c>
      <c r="B18" s="49">
        <v>236</v>
      </c>
      <c r="C18" s="49"/>
      <c r="D18" s="49"/>
      <c r="G18" s="7">
        <f t="shared" si="3"/>
        <v>0.36458333333333331</v>
      </c>
      <c r="H18">
        <f>IF(B18&lt;&gt;0,SUMIF($G$11:$G18,"&gt;"&amp;$G18-1/24,B$11:B18),0)</f>
        <v>1049</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236</v>
      </c>
      <c r="Q18">
        <f t="shared" si="7"/>
        <v>236</v>
      </c>
      <c r="S18" s="9">
        <v>0.36458333333333331</v>
      </c>
      <c r="T18" s="49">
        <v>236</v>
      </c>
      <c r="U18" s="49">
        <v>236</v>
      </c>
    </row>
    <row r="19" spans="1:21" x14ac:dyDescent="0.25">
      <c r="A19" s="9">
        <v>0.54166666666666663</v>
      </c>
      <c r="B19" s="49"/>
      <c r="C19" s="49">
        <v>227</v>
      </c>
      <c r="D19" s="49"/>
      <c r="G19" s="7">
        <f t="shared" si="3"/>
        <v>0.54166666666666663</v>
      </c>
      <c r="H19">
        <f>IF(B19&lt;&gt;0,SUMIF($G$11:$G19,"&gt;"&amp;$G19-1/24,B$11:B19),0)</f>
        <v>0</v>
      </c>
      <c r="I19">
        <f>IF(C19&lt;&gt;0,SUMIF($G$11:$G19,"&gt;"&amp;$G19-1/24,C$11:C19),0)</f>
        <v>227</v>
      </c>
      <c r="J19">
        <f>IF(D19&lt;&gt;0,SUMIF($G$11:$G19,"&gt;"&amp;$G19-1/24,D$11:D19),0)</f>
        <v>0</v>
      </c>
      <c r="K19">
        <f>IF(E19&lt;&gt;0,SUMIF($G$11:$G19,"&gt;"&amp;$G19-1/24,E$11:E19),0)</f>
        <v>0</v>
      </c>
      <c r="L19">
        <f t="shared" si="4"/>
        <v>1</v>
      </c>
      <c r="N19" t="str">
        <f t="shared" si="5"/>
        <v>INT</v>
      </c>
      <c r="O19" s="7">
        <f t="shared" si="2"/>
        <v>0.54166666666666663</v>
      </c>
      <c r="P19">
        <f t="shared" si="6"/>
        <v>227</v>
      </c>
      <c r="Q19">
        <f t="shared" si="7"/>
        <v>227</v>
      </c>
      <c r="S19" s="9" t="s">
        <v>49</v>
      </c>
      <c r="T19" s="49">
        <v>1699</v>
      </c>
      <c r="U19" s="49">
        <v>1049</v>
      </c>
    </row>
    <row r="20" spans="1:21" x14ac:dyDescent="0.25">
      <c r="A20" s="9">
        <v>0.55208333333333337</v>
      </c>
      <c r="B20" s="49"/>
      <c r="C20" s="49">
        <v>242</v>
      </c>
      <c r="D20" s="49"/>
      <c r="G20" s="7">
        <f t="shared" si="3"/>
        <v>0.55208333333333337</v>
      </c>
      <c r="H20">
        <f>IF(B20&lt;&gt;0,SUMIF($G$11:$G20,"&gt;"&amp;$G20-1/24,B$11:B20),0)</f>
        <v>0</v>
      </c>
      <c r="I20">
        <f>IF(C20&lt;&gt;0,SUMIF($G$11:$G20,"&gt;"&amp;$G20-1/24,C$11:C20),0)</f>
        <v>469</v>
      </c>
      <c r="J20">
        <f>IF(D20&lt;&gt;0,SUMIF($G$11:$G20,"&gt;"&amp;$G20-1/24,D$11:D20),0)</f>
        <v>0</v>
      </c>
      <c r="K20">
        <f>IF(E20&lt;&gt;0,SUMIF($G$11:$G20,"&gt;"&amp;$G20-1/24,E$11:E20),0)</f>
        <v>0</v>
      </c>
      <c r="L20">
        <f t="shared" si="4"/>
        <v>1</v>
      </c>
      <c r="N20" t="str">
        <f t="shared" si="5"/>
        <v>INT</v>
      </c>
      <c r="O20" s="7">
        <f t="shared" si="2"/>
        <v>0.55208333333333337</v>
      </c>
      <c r="P20">
        <f t="shared" si="6"/>
        <v>242</v>
      </c>
      <c r="Q20">
        <f t="shared" si="7"/>
        <v>242</v>
      </c>
    </row>
    <row r="21" spans="1:21" x14ac:dyDescent="0.25">
      <c r="A21" s="9">
        <v>0.5625</v>
      </c>
      <c r="B21" s="49"/>
      <c r="C21" s="49">
        <v>222</v>
      </c>
      <c r="D21" s="49"/>
      <c r="G21" s="7">
        <f t="shared" si="3"/>
        <v>0.5625</v>
      </c>
      <c r="H21">
        <f>IF(B21&lt;&gt;0,SUMIF($G$11:$G21,"&gt;"&amp;$G21-1/24,B$11:B21),0)</f>
        <v>0</v>
      </c>
      <c r="I21">
        <f>IF(C21&lt;&gt;0,SUMIF($G$11:$G21,"&gt;"&amp;$G21-1/24,C$11:C21),0)</f>
        <v>691</v>
      </c>
      <c r="J21">
        <f>IF(D21&lt;&gt;0,SUMIF($G$11:$G21,"&gt;"&amp;$G21-1/24,D$11:D21),0)</f>
        <v>0</v>
      </c>
      <c r="K21">
        <f>IF(E21&lt;&gt;0,SUMIF($G$11:$G21,"&gt;"&amp;$G21-1/24,E$11:E21),0)</f>
        <v>0</v>
      </c>
      <c r="L21">
        <f t="shared" si="4"/>
        <v>1</v>
      </c>
      <c r="N21" t="str">
        <f t="shared" si="5"/>
        <v>INT</v>
      </c>
      <c r="O21" s="7">
        <f t="shared" si="2"/>
        <v>0.5625</v>
      </c>
      <c r="P21">
        <f t="shared" si="6"/>
        <v>222</v>
      </c>
      <c r="Q21">
        <f t="shared" si="7"/>
        <v>222</v>
      </c>
    </row>
    <row r="22" spans="1:21" x14ac:dyDescent="0.25">
      <c r="A22" s="9">
        <v>0.57291666666666663</v>
      </c>
      <c r="B22" s="49"/>
      <c r="C22" s="49">
        <v>208</v>
      </c>
      <c r="D22" s="49"/>
      <c r="G22" s="7">
        <f t="shared" si="3"/>
        <v>0.57291666666666663</v>
      </c>
      <c r="H22">
        <f>IF(B22&lt;&gt;0,SUMIF($G$11:$G22,"&gt;"&amp;$G22-1/24,B$11:B22),0)</f>
        <v>0</v>
      </c>
      <c r="I22">
        <f>IF(C22&lt;&gt;0,SUMIF($G$11:$G22,"&gt;"&amp;$G22-1/24,C$11:C22),0)</f>
        <v>899</v>
      </c>
      <c r="J22">
        <f>IF(D22&lt;&gt;0,SUMIF($G$11:$G22,"&gt;"&amp;$G22-1/24,D$11:D22),0)</f>
        <v>0</v>
      </c>
      <c r="K22">
        <f>IF(E22&lt;&gt;0,SUMIF($G$11:$G22,"&gt;"&amp;$G22-1/24,E$11:E22),0)</f>
        <v>0</v>
      </c>
      <c r="L22">
        <f t="shared" si="4"/>
        <v>1</v>
      </c>
      <c r="N22" t="str">
        <f t="shared" si="5"/>
        <v>INT</v>
      </c>
      <c r="O22" s="7">
        <f t="shared" si="2"/>
        <v>0.57291666666666663</v>
      </c>
      <c r="P22">
        <f t="shared" si="6"/>
        <v>208</v>
      </c>
      <c r="Q22">
        <f t="shared" si="7"/>
        <v>208</v>
      </c>
    </row>
    <row r="23" spans="1:21" x14ac:dyDescent="0.25">
      <c r="A23" s="9">
        <v>0.66666666666666663</v>
      </c>
      <c r="B23" s="49"/>
      <c r="C23" s="49"/>
      <c r="D23" s="49">
        <v>329</v>
      </c>
      <c r="G23" s="7">
        <f t="shared" si="3"/>
        <v>0.66666666666666663</v>
      </c>
      <c r="H23">
        <f>IF(B23&lt;&gt;0,SUMIF($G$11:$G23,"&gt;"&amp;$G23-1/24,B$11:B23),0)</f>
        <v>0</v>
      </c>
      <c r="I23">
        <f>IF(C23&lt;&gt;0,SUMIF($G$11:$G23,"&gt;"&amp;$G23-1/24,C$11:C23),0)</f>
        <v>0</v>
      </c>
      <c r="J23">
        <f>IF(D23&lt;&gt;0,SUMIF($G$11:$G23,"&gt;"&amp;$G23-1/24,D$11:D23),0)</f>
        <v>329</v>
      </c>
      <c r="K23">
        <f>IF(E23&lt;&gt;0,SUMIF($G$11:$G23,"&gt;"&amp;$G23-1/24,E$11:E23),0)</f>
        <v>0</v>
      </c>
      <c r="L23">
        <f t="shared" si="4"/>
        <v>0</v>
      </c>
      <c r="N23" t="str">
        <f t="shared" si="5"/>
        <v>PM</v>
      </c>
      <c r="O23" s="7">
        <f t="shared" si="2"/>
        <v>0.66666666666666663</v>
      </c>
      <c r="P23">
        <f t="shared" si="6"/>
        <v>329</v>
      </c>
      <c r="Q23">
        <f t="shared" si="7"/>
        <v>0</v>
      </c>
    </row>
    <row r="24" spans="1:21" x14ac:dyDescent="0.25">
      <c r="A24" s="9">
        <v>0.67708333333333337</v>
      </c>
      <c r="B24" s="49"/>
      <c r="C24" s="49"/>
      <c r="D24" s="49">
        <v>328</v>
      </c>
      <c r="G24" s="7">
        <f t="shared" si="3"/>
        <v>0.67708333333333337</v>
      </c>
      <c r="H24">
        <f>IF(B24&lt;&gt;0,SUMIF($G$11:$G24,"&gt;"&amp;$G24-1/24,B$11:B24),0)</f>
        <v>0</v>
      </c>
      <c r="I24">
        <f>IF(C24&lt;&gt;0,SUMIF($G$11:$G24,"&gt;"&amp;$G24-1/24,C$11:C24),0)</f>
        <v>0</v>
      </c>
      <c r="J24">
        <f>IF(D24&lt;&gt;0,SUMIF($G$11:$G24,"&gt;"&amp;$G24-1/24,D$11:D24),0)</f>
        <v>657</v>
      </c>
      <c r="K24">
        <f>IF(E24&lt;&gt;0,SUMIF($G$11:$G24,"&gt;"&amp;$G24-1/24,E$11:E24),0)</f>
        <v>0</v>
      </c>
      <c r="L24">
        <f t="shared" si="4"/>
        <v>0</v>
      </c>
      <c r="N24" t="str">
        <f t="shared" si="5"/>
        <v>PM</v>
      </c>
      <c r="O24" s="7">
        <f t="shared" si="2"/>
        <v>0.67708333333333337</v>
      </c>
      <c r="P24">
        <f t="shared" si="6"/>
        <v>328</v>
      </c>
      <c r="Q24">
        <f t="shared" si="7"/>
        <v>0</v>
      </c>
    </row>
    <row r="25" spans="1:21" x14ac:dyDescent="0.25">
      <c r="A25" s="9">
        <v>0.6875</v>
      </c>
      <c r="B25" s="49"/>
      <c r="C25" s="49"/>
      <c r="D25" s="49">
        <v>357</v>
      </c>
      <c r="G25" s="7">
        <f t="shared" si="3"/>
        <v>0.6875</v>
      </c>
      <c r="H25">
        <f>IF(B25&lt;&gt;0,SUMIF($G$11:$G25,"&gt;"&amp;$G25-1/24,B$11:B25),0)</f>
        <v>0</v>
      </c>
      <c r="I25">
        <f>IF(C25&lt;&gt;0,SUMIF($G$11:$G25,"&gt;"&amp;$G25-1/24,C$11:C25),0)</f>
        <v>0</v>
      </c>
      <c r="J25">
        <f>IF(D25&lt;&gt;0,SUMIF($G$11:$G25,"&gt;"&amp;$G25-1/24,D$11:D25),0)</f>
        <v>1014</v>
      </c>
      <c r="K25">
        <f>IF(E25&lt;&gt;0,SUMIF($G$11:$G25,"&gt;"&amp;$G25-1/24,E$11:E25),0)</f>
        <v>0</v>
      </c>
      <c r="L25">
        <f t="shared" si="4"/>
        <v>0</v>
      </c>
      <c r="N25" t="str">
        <f t="shared" si="5"/>
        <v>PM</v>
      </c>
      <c r="O25" s="7">
        <f t="shared" si="2"/>
        <v>0.6875</v>
      </c>
      <c r="P25">
        <f t="shared" si="6"/>
        <v>357</v>
      </c>
      <c r="Q25">
        <f t="shared" si="7"/>
        <v>0</v>
      </c>
    </row>
    <row r="26" spans="1:21" x14ac:dyDescent="0.25">
      <c r="A26" s="9">
        <v>0.69791666666666663</v>
      </c>
      <c r="B26" s="49"/>
      <c r="C26" s="49"/>
      <c r="D26" s="49">
        <v>349</v>
      </c>
      <c r="G26" s="7">
        <f t="shared" si="3"/>
        <v>0.69791666666666663</v>
      </c>
      <c r="H26">
        <f>IF(B26&lt;&gt;0,SUMIF($G$11:$G26,"&gt;"&amp;$G26-1/24,B$11:B26),0)</f>
        <v>0</v>
      </c>
      <c r="I26">
        <f>IF(C26&lt;&gt;0,SUMIF($G$11:$G26,"&gt;"&amp;$G26-1/24,C$11:C26),0)</f>
        <v>0</v>
      </c>
      <c r="J26">
        <f>IF(D26&lt;&gt;0,SUMIF($G$11:$G26,"&gt;"&amp;$G26-1/24,D$11:D26),0)</f>
        <v>1363</v>
      </c>
      <c r="K26">
        <f>IF(E26&lt;&gt;0,SUMIF($G$11:$G26,"&gt;"&amp;$G26-1/24,E$11:E26),0)</f>
        <v>0</v>
      </c>
      <c r="L26">
        <f t="shared" si="4"/>
        <v>1</v>
      </c>
      <c r="N26" t="str">
        <f t="shared" si="5"/>
        <v>PM</v>
      </c>
      <c r="O26" s="7">
        <f t="shared" si="2"/>
        <v>0.69791666666666663</v>
      </c>
      <c r="P26">
        <f t="shared" si="6"/>
        <v>349</v>
      </c>
      <c r="Q26">
        <f t="shared" si="7"/>
        <v>349</v>
      </c>
    </row>
    <row r="27" spans="1:21" x14ac:dyDescent="0.25">
      <c r="A27" s="9">
        <v>0.70833333333333337</v>
      </c>
      <c r="B27" s="49"/>
      <c r="C27" s="49"/>
      <c r="D27" s="49">
        <v>396</v>
      </c>
      <c r="G27" s="7">
        <f t="shared" ref="G27:G90" si="8">A27</f>
        <v>0.70833333333333337</v>
      </c>
      <c r="H27">
        <f>IF(B27&lt;&gt;0,SUMIF($G$11:$G27,"&gt;"&amp;$G27-1/24,B$11:B27),0)</f>
        <v>0</v>
      </c>
      <c r="I27">
        <f>IF(C27&lt;&gt;0,SUMIF($G$11:$G27,"&gt;"&amp;$G27-1/24,C$11:C27),0)</f>
        <v>0</v>
      </c>
      <c r="J27">
        <f>IF(D27&lt;&gt;0,SUMIF($G$11:$G27,"&gt;"&amp;$G27-1/24,D$11:D27),0)</f>
        <v>1430</v>
      </c>
      <c r="K27">
        <f>IF(E27&lt;&gt;0,SUMIF($G$11:$G27,"&gt;"&amp;$G27-1/24,E$11:E27),0)</f>
        <v>0</v>
      </c>
      <c r="L27">
        <f t="shared" si="4"/>
        <v>1</v>
      </c>
      <c r="N27" t="str">
        <f t="shared" si="5"/>
        <v>PM</v>
      </c>
      <c r="O27" s="7">
        <f t="shared" si="2"/>
        <v>0.70833333333333337</v>
      </c>
      <c r="P27">
        <f t="shared" si="6"/>
        <v>396</v>
      </c>
      <c r="Q27">
        <f t="shared" si="7"/>
        <v>396</v>
      </c>
    </row>
    <row r="28" spans="1:21" x14ac:dyDescent="0.25">
      <c r="A28" s="9">
        <v>0.71875</v>
      </c>
      <c r="B28" s="49"/>
      <c r="C28" s="49"/>
      <c r="D28" s="49">
        <v>350</v>
      </c>
      <c r="G28" s="7">
        <f t="shared" si="8"/>
        <v>0.71875</v>
      </c>
      <c r="H28">
        <f>IF(B28&lt;&gt;0,SUMIF($G$11:$G28,"&gt;"&amp;$G28-1/24,B$11:B28),0)</f>
        <v>0</v>
      </c>
      <c r="I28">
        <f>IF(C28&lt;&gt;0,SUMIF($G$11:$G28,"&gt;"&amp;$G28-1/24,C$11:C28),0)</f>
        <v>0</v>
      </c>
      <c r="J28">
        <f>IF(D28&lt;&gt;0,SUMIF($G$11:$G28,"&gt;"&amp;$G28-1/24,D$11:D28),0)</f>
        <v>1452</v>
      </c>
      <c r="K28">
        <f>IF(E28&lt;&gt;0,SUMIF($G$11:$G28,"&gt;"&amp;$G28-1/24,E$11:E28),0)</f>
        <v>0</v>
      </c>
      <c r="L28">
        <f t="shared" si="4"/>
        <v>1</v>
      </c>
      <c r="N28" t="str">
        <f t="shared" si="5"/>
        <v>PM</v>
      </c>
      <c r="O28" s="7">
        <f t="shared" si="2"/>
        <v>0.71875</v>
      </c>
      <c r="P28">
        <f t="shared" si="6"/>
        <v>350</v>
      </c>
      <c r="Q28">
        <f t="shared" si="7"/>
        <v>350</v>
      </c>
    </row>
    <row r="29" spans="1:21" x14ac:dyDescent="0.25">
      <c r="A29" s="9">
        <v>0.72916666666666663</v>
      </c>
      <c r="B29" s="49"/>
      <c r="C29" s="49"/>
      <c r="D29" s="49">
        <v>386</v>
      </c>
      <c r="G29" s="7">
        <f t="shared" si="8"/>
        <v>0.72916666666666663</v>
      </c>
      <c r="H29">
        <f>IF(B29&lt;&gt;0,SUMIF($G$11:$G29,"&gt;"&amp;$G29-1/24,B$11:B29),0)</f>
        <v>0</v>
      </c>
      <c r="I29">
        <f>IF(C29&lt;&gt;0,SUMIF($G$11:$G29,"&gt;"&amp;$G29-1/24,C$11:C29),0)</f>
        <v>0</v>
      </c>
      <c r="J29">
        <f>IF(D29&lt;&gt;0,SUMIF($G$11:$G29,"&gt;"&amp;$G29-1/24,D$11:D29),0)</f>
        <v>1481</v>
      </c>
      <c r="K29">
        <f>IF(E29&lt;&gt;0,SUMIF($G$11:$G29,"&gt;"&amp;$G29-1/24,E$11:E29),0)</f>
        <v>0</v>
      </c>
      <c r="L29">
        <f t="shared" si="4"/>
        <v>1</v>
      </c>
      <c r="N29" t="str">
        <f t="shared" si="5"/>
        <v>PM</v>
      </c>
      <c r="O29" s="7">
        <f t="shared" si="2"/>
        <v>0.72916666666666663</v>
      </c>
      <c r="P29">
        <f t="shared" si="6"/>
        <v>386</v>
      </c>
      <c r="Q29">
        <f t="shared" si="7"/>
        <v>386</v>
      </c>
    </row>
    <row r="30" spans="1:21" x14ac:dyDescent="0.25">
      <c r="A30" s="9">
        <v>0.73958333333333337</v>
      </c>
      <c r="B30" s="49"/>
      <c r="C30" s="49"/>
      <c r="D30" s="49">
        <v>324</v>
      </c>
      <c r="G30" s="7">
        <f t="shared" si="8"/>
        <v>0.73958333333333337</v>
      </c>
      <c r="H30">
        <f>IF(B30&lt;&gt;0,SUMIF($G$11:$G30,"&gt;"&amp;$G30-1/24,B$11:B30),0)</f>
        <v>0</v>
      </c>
      <c r="I30">
        <f>IF(C30&lt;&gt;0,SUMIF($G$11:$G30,"&gt;"&amp;$G30-1/24,C$11:C30),0)</f>
        <v>0</v>
      </c>
      <c r="J30">
        <f>IF(D30&lt;&gt;0,SUMIF($G$11:$G30,"&gt;"&amp;$G30-1/24,D$11:D30),0)</f>
        <v>1456</v>
      </c>
      <c r="K30">
        <f>IF(E30&lt;&gt;0,SUMIF($G$11:$G30,"&gt;"&amp;$G30-1/24,E$11:E30),0)</f>
        <v>0</v>
      </c>
      <c r="L30">
        <f t="shared" si="4"/>
        <v>0</v>
      </c>
      <c r="N30" t="str">
        <f t="shared" si="5"/>
        <v>PM</v>
      </c>
      <c r="O30" s="7">
        <f t="shared" si="2"/>
        <v>0.73958333333333337</v>
      </c>
      <c r="P30">
        <f t="shared" si="6"/>
        <v>324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133</v>
      </c>
      <c r="E5" t="str">
        <f>"Vehicle Count by Exit Leg for "&amp;C2&amp;" Period"</f>
        <v>Vehicle Count by Exit Leg for AM Period</v>
      </c>
    </row>
    <row r="6" spans="2:5" x14ac:dyDescent="0.25">
      <c r="B6" s="9">
        <v>0.30208333333333331</v>
      </c>
      <c r="C6" s="49">
        <v>147</v>
      </c>
    </row>
    <row r="7" spans="2:5" x14ac:dyDescent="0.25">
      <c r="B7" s="9">
        <v>0.3125</v>
      </c>
      <c r="C7" s="49">
        <v>188</v>
      </c>
    </row>
    <row r="8" spans="2:5" x14ac:dyDescent="0.25">
      <c r="B8" s="9">
        <v>0.32291666666666669</v>
      </c>
      <c r="C8" s="49">
        <v>182</v>
      </c>
    </row>
    <row r="9" spans="2:5" x14ac:dyDescent="0.25">
      <c r="B9" s="9">
        <v>0.33333333333333331</v>
      </c>
      <c r="C9" s="49">
        <v>197</v>
      </c>
    </row>
    <row r="10" spans="2:5" x14ac:dyDescent="0.25">
      <c r="B10" s="9">
        <v>0.34375</v>
      </c>
      <c r="C10" s="49">
        <v>298</v>
      </c>
    </row>
    <row r="11" spans="2:5" x14ac:dyDescent="0.25">
      <c r="B11" s="9">
        <v>0.35416666666666669</v>
      </c>
      <c r="C11" s="49">
        <v>318</v>
      </c>
    </row>
    <row r="12" spans="2:5" x14ac:dyDescent="0.25">
      <c r="B12" s="9">
        <v>0.36458333333333331</v>
      </c>
      <c r="C12" s="49">
        <v>236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7109375" bestFit="1" customWidth="1"/>
    <col min="12" max="12" width="29.7109375" bestFit="1" customWidth="1"/>
    <col min="13" max="13" width="19.42578125" bestFit="1" customWidth="1"/>
    <col min="14" max="14" width="22.42578125" bestFit="1" customWidth="1"/>
    <col min="15" max="15" width="18.5703125" bestFit="1" customWidth="1"/>
    <col min="16" max="18" width="3.28515625" customWidth="1"/>
    <col min="19" max="19" width="11.28515625" bestFit="1" customWidth="1"/>
    <col min="20" max="20" width="18.7109375" bestFit="1" customWidth="1"/>
    <col min="21" max="21" width="19.42578125" bestFit="1" customWidth="1"/>
    <col min="22" max="22" width="22.42578125" bestFit="1" customWidth="1"/>
    <col min="23" max="23" width="18.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98</v>
      </c>
      <c r="M25" s="25" t="s">
        <v>96</v>
      </c>
      <c r="N25" s="25" t="s">
        <v>97</v>
      </c>
      <c r="O25" s="25" t="s">
        <v>95</v>
      </c>
      <c r="T25" s="25" t="s">
        <v>94</v>
      </c>
      <c r="U25" s="25" t="s">
        <v>96</v>
      </c>
      <c r="V25" s="25" t="s">
        <v>97</v>
      </c>
      <c r="W25" s="25" t="s">
        <v>95</v>
      </c>
      <c r="X25" s="13"/>
    </row>
    <row r="26" spans="2:24" x14ac:dyDescent="0.25">
      <c r="B26" s="9">
        <v>0.29166666666666669</v>
      </c>
      <c r="C26" s="50">
        <v>133</v>
      </c>
      <c r="J26" s="9">
        <v>0.29166666666666669</v>
      </c>
      <c r="K26" s="50">
        <v>57</v>
      </c>
      <c r="L26" s="50">
        <v>20</v>
      </c>
      <c r="M26" s="50">
        <v>19</v>
      </c>
      <c r="N26" s="50">
        <v>26</v>
      </c>
      <c r="O26" s="50">
        <v>11</v>
      </c>
      <c r="S26" s="9">
        <v>0.29166666666666669</v>
      </c>
      <c r="T26" s="50">
        <v>22</v>
      </c>
      <c r="U26" s="50">
        <v>4</v>
      </c>
      <c r="V26" s="50">
        <v>99</v>
      </c>
      <c r="W26" s="50">
        <v>8</v>
      </c>
    </row>
    <row r="27" spans="2:24" x14ac:dyDescent="0.25">
      <c r="B27" s="9">
        <v>0.30208333333333331</v>
      </c>
      <c r="C27" s="50">
        <v>147</v>
      </c>
      <c r="J27" s="9">
        <v>0.30208333333333331</v>
      </c>
      <c r="K27" s="50">
        <v>59</v>
      </c>
      <c r="L27" s="50">
        <v>15</v>
      </c>
      <c r="M27" s="50">
        <v>24</v>
      </c>
      <c r="N27" s="50">
        <v>42</v>
      </c>
      <c r="O27" s="50">
        <v>7</v>
      </c>
      <c r="S27" s="9">
        <v>0.30208333333333331</v>
      </c>
      <c r="T27" s="50">
        <v>40</v>
      </c>
      <c r="U27" s="50">
        <v>18</v>
      </c>
      <c r="V27" s="50">
        <v>81</v>
      </c>
      <c r="W27" s="50">
        <v>8</v>
      </c>
    </row>
    <row r="28" spans="2:24" x14ac:dyDescent="0.25">
      <c r="B28" s="9">
        <v>0.3125</v>
      </c>
      <c r="C28" s="50">
        <v>188</v>
      </c>
      <c r="J28" s="9">
        <v>0.3125</v>
      </c>
      <c r="K28" s="50">
        <v>76</v>
      </c>
      <c r="L28" s="50">
        <v>25</v>
      </c>
      <c r="M28" s="50">
        <v>42</v>
      </c>
      <c r="N28" s="50">
        <v>34</v>
      </c>
      <c r="O28" s="50">
        <v>11</v>
      </c>
      <c r="S28" s="9">
        <v>0.3125</v>
      </c>
      <c r="T28" s="50">
        <v>37</v>
      </c>
      <c r="U28" s="50">
        <v>14</v>
      </c>
      <c r="V28" s="50">
        <v>129</v>
      </c>
      <c r="W28" s="50">
        <v>8</v>
      </c>
    </row>
    <row r="29" spans="2:24" x14ac:dyDescent="0.25">
      <c r="B29" s="9">
        <v>0.32291666666666669</v>
      </c>
      <c r="C29" s="50">
        <v>182</v>
      </c>
      <c r="J29" s="9">
        <v>0.32291666666666669</v>
      </c>
      <c r="K29" s="50">
        <v>65</v>
      </c>
      <c r="L29" s="50">
        <v>23</v>
      </c>
      <c r="M29" s="50">
        <v>31</v>
      </c>
      <c r="N29" s="50">
        <v>51</v>
      </c>
      <c r="O29" s="50">
        <v>12</v>
      </c>
      <c r="S29" s="9">
        <v>0.32291666666666669</v>
      </c>
      <c r="T29" s="50">
        <v>48</v>
      </c>
      <c r="U29" s="50">
        <v>20</v>
      </c>
      <c r="V29" s="50">
        <v>101</v>
      </c>
      <c r="W29" s="50">
        <v>13</v>
      </c>
    </row>
    <row r="30" spans="2:24" x14ac:dyDescent="0.25">
      <c r="B30" s="9">
        <v>0.33333333333333331</v>
      </c>
      <c r="C30" s="50">
        <v>197</v>
      </c>
      <c r="J30" s="9">
        <v>0.33333333333333331</v>
      </c>
      <c r="K30" s="50">
        <v>71</v>
      </c>
      <c r="L30" s="50">
        <v>22</v>
      </c>
      <c r="M30" s="50">
        <v>40</v>
      </c>
      <c r="N30" s="50">
        <v>49</v>
      </c>
      <c r="O30" s="50">
        <v>15</v>
      </c>
      <c r="S30" s="9">
        <v>0.33333333333333331</v>
      </c>
      <c r="T30" s="50">
        <v>61</v>
      </c>
      <c r="U30" s="50">
        <v>21</v>
      </c>
      <c r="V30" s="50">
        <v>108</v>
      </c>
      <c r="W30" s="50">
        <v>7</v>
      </c>
    </row>
    <row r="31" spans="2:24" x14ac:dyDescent="0.25">
      <c r="B31" s="9">
        <v>0.34375</v>
      </c>
      <c r="C31" s="50">
        <v>298</v>
      </c>
      <c r="J31" s="9">
        <v>0.34375</v>
      </c>
      <c r="K31" s="50">
        <v>95</v>
      </c>
      <c r="L31" s="50">
        <v>55</v>
      </c>
      <c r="M31" s="50">
        <v>52</v>
      </c>
      <c r="N31" s="50">
        <v>81</v>
      </c>
      <c r="O31" s="50">
        <v>15</v>
      </c>
      <c r="S31" s="9">
        <v>0.34375</v>
      </c>
      <c r="T31" s="50">
        <v>100</v>
      </c>
      <c r="U31" s="50">
        <v>50</v>
      </c>
      <c r="V31" s="50">
        <v>130</v>
      </c>
      <c r="W31" s="50">
        <v>18</v>
      </c>
    </row>
    <row r="32" spans="2:24" x14ac:dyDescent="0.25">
      <c r="B32" s="9">
        <v>0.35416666666666669</v>
      </c>
      <c r="C32" s="50">
        <v>318</v>
      </c>
      <c r="J32" s="9">
        <v>0.35416666666666669</v>
      </c>
      <c r="K32" s="50">
        <v>114</v>
      </c>
      <c r="L32" s="50">
        <v>43</v>
      </c>
      <c r="M32" s="50">
        <v>46</v>
      </c>
      <c r="N32" s="50">
        <v>85</v>
      </c>
      <c r="O32" s="50">
        <v>30</v>
      </c>
      <c r="S32" s="9">
        <v>0.35416666666666669</v>
      </c>
      <c r="T32" s="50">
        <v>83</v>
      </c>
      <c r="U32" s="50">
        <v>61</v>
      </c>
      <c r="V32" s="50">
        <v>156</v>
      </c>
      <c r="W32" s="50">
        <v>18</v>
      </c>
    </row>
    <row r="33" spans="2:23" x14ac:dyDescent="0.25">
      <c r="B33" s="9">
        <v>0.36458333333333331</v>
      </c>
      <c r="C33" s="50">
        <v>236</v>
      </c>
      <c r="J33" s="9">
        <v>0.36458333333333331</v>
      </c>
      <c r="K33" s="50">
        <v>77</v>
      </c>
      <c r="L33" s="50">
        <v>35</v>
      </c>
      <c r="M33" s="50">
        <v>29</v>
      </c>
      <c r="N33" s="50">
        <v>83</v>
      </c>
      <c r="O33" s="50">
        <v>12</v>
      </c>
      <c r="S33" s="9">
        <v>0.36458333333333331</v>
      </c>
      <c r="T33" s="50">
        <v>64</v>
      </c>
      <c r="U33" s="50">
        <v>39</v>
      </c>
      <c r="V33" s="50">
        <v>107</v>
      </c>
      <c r="W33" s="50">
        <v>26</v>
      </c>
    </row>
    <row r="34" spans="2:23" x14ac:dyDescent="0.25">
      <c r="B34" s="9" t="s">
        <v>49</v>
      </c>
      <c r="C34" s="50">
        <v>1699</v>
      </c>
      <c r="J34" s="9" t="s">
        <v>49</v>
      </c>
      <c r="K34" s="50">
        <v>614</v>
      </c>
      <c r="L34" s="50">
        <v>238</v>
      </c>
      <c r="M34" s="50">
        <v>283</v>
      </c>
      <c r="N34" s="50">
        <v>451</v>
      </c>
      <c r="O34" s="50">
        <v>113</v>
      </c>
      <c r="S34" s="9" t="s">
        <v>49</v>
      </c>
      <c r="T34" s="50">
        <v>455</v>
      </c>
      <c r="U34" s="50">
        <v>227</v>
      </c>
      <c r="V34" s="50">
        <v>911</v>
      </c>
      <c r="W34" s="50">
        <v>106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7"/>
  <sheetViews>
    <sheetView showGridLines="0" workbookViewId="0"/>
  </sheetViews>
  <sheetFormatPr defaultRowHeight="15" x14ac:dyDescent="0.25"/>
  <cols>
    <col min="1" max="1" width="3.7109375" customWidth="1"/>
    <col min="2" max="2" width="37.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1049 vehicles between 08:00 and 09:00</v>
      </c>
    </row>
    <row r="5" spans="2:2" x14ac:dyDescent="0.25">
      <c r="B5" s="6" t="str">
        <f>PeakCalc!I8</f>
        <v>The peak hour for INT is 899 vehicles between 13:00 and 14:00</v>
      </c>
    </row>
    <row r="6" spans="2:2" x14ac:dyDescent="0.25">
      <c r="B6" s="6" t="str">
        <f>PeakCalc!J8</f>
        <v>The peak hour for PM is 1481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138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94</v>
      </c>
      <c r="C32" s="49">
        <v>348</v>
      </c>
      <c r="D32" s="49">
        <v>8</v>
      </c>
      <c r="E32" s="49">
        <v>1</v>
      </c>
      <c r="F32" s="49">
        <v>357</v>
      </c>
      <c r="G32" s="49">
        <v>296</v>
      </c>
      <c r="H32" s="49">
        <v>3</v>
      </c>
      <c r="I32" s="49">
        <v>4</v>
      </c>
      <c r="J32" s="49">
        <v>303</v>
      </c>
      <c r="K32" s="49">
        <v>210</v>
      </c>
      <c r="L32" s="49">
        <v>7</v>
      </c>
      <c r="M32" s="49">
        <v>2</v>
      </c>
      <c r="N32" s="49">
        <v>219</v>
      </c>
    </row>
    <row r="33" spans="2:14" x14ac:dyDescent="0.25">
      <c r="B33" s="14" t="s">
        <v>99</v>
      </c>
      <c r="C33" s="49">
        <v>1</v>
      </c>
      <c r="D33" s="49">
        <v>0</v>
      </c>
      <c r="E33" s="49">
        <v>0</v>
      </c>
      <c r="F33" s="49">
        <v>1</v>
      </c>
      <c r="G33" s="49">
        <v>13</v>
      </c>
      <c r="H33" s="49">
        <v>0</v>
      </c>
      <c r="I33" s="49">
        <v>0</v>
      </c>
      <c r="J33" s="49">
        <v>13</v>
      </c>
      <c r="K33" s="49">
        <v>3</v>
      </c>
      <c r="L33" s="49">
        <v>0</v>
      </c>
      <c r="M33" s="49">
        <v>0</v>
      </c>
      <c r="N33" s="49">
        <v>3</v>
      </c>
    </row>
    <row r="34" spans="2:14" x14ac:dyDescent="0.25">
      <c r="B34" s="14" t="s">
        <v>100</v>
      </c>
      <c r="C34" s="49">
        <v>47</v>
      </c>
      <c r="D34" s="49">
        <v>2</v>
      </c>
      <c r="E34" s="49">
        <v>0</v>
      </c>
      <c r="F34" s="49">
        <v>49</v>
      </c>
      <c r="G34" s="49">
        <v>45</v>
      </c>
      <c r="H34" s="49">
        <v>0</v>
      </c>
      <c r="I34" s="49">
        <v>0</v>
      </c>
      <c r="J34" s="49">
        <v>45</v>
      </c>
      <c r="K34" s="49">
        <v>20</v>
      </c>
      <c r="L34" s="49">
        <v>1</v>
      </c>
      <c r="M34" s="49">
        <v>2</v>
      </c>
      <c r="N34" s="49">
        <v>23</v>
      </c>
    </row>
    <row r="35" spans="2:14" x14ac:dyDescent="0.25">
      <c r="B35" s="14" t="s">
        <v>101</v>
      </c>
      <c r="C35" s="49">
        <v>299</v>
      </c>
      <c r="D35" s="49">
        <v>6</v>
      </c>
      <c r="E35" s="49">
        <v>1</v>
      </c>
      <c r="F35" s="49">
        <v>306</v>
      </c>
      <c r="G35" s="49">
        <v>235</v>
      </c>
      <c r="H35" s="49">
        <v>3</v>
      </c>
      <c r="I35" s="49">
        <v>4</v>
      </c>
      <c r="J35" s="49">
        <v>242</v>
      </c>
      <c r="K35" s="49">
        <v>187</v>
      </c>
      <c r="L35" s="49">
        <v>6</v>
      </c>
      <c r="M35" s="49">
        <v>0</v>
      </c>
      <c r="N35" s="49">
        <v>193</v>
      </c>
    </row>
    <row r="36" spans="2:14" x14ac:dyDescent="0.25">
      <c r="B36" s="14" t="s">
        <v>92</v>
      </c>
      <c r="C36" s="49">
        <v>1</v>
      </c>
      <c r="D36" s="49">
        <v>0</v>
      </c>
      <c r="E36" s="49">
        <v>0</v>
      </c>
      <c r="F36" s="49">
        <v>1</v>
      </c>
      <c r="G36" s="49">
        <v>3</v>
      </c>
      <c r="H36" s="49">
        <v>0</v>
      </c>
      <c r="I36" s="49">
        <v>0</v>
      </c>
      <c r="J36" s="49">
        <v>3</v>
      </c>
      <c r="K36" s="49">
        <v>0</v>
      </c>
      <c r="L36" s="49">
        <v>0</v>
      </c>
      <c r="M36" s="49">
        <v>0</v>
      </c>
      <c r="N36" s="49">
        <v>0</v>
      </c>
    </row>
    <row r="37" spans="2:14" x14ac:dyDescent="0.25">
      <c r="B37" s="10" t="s">
        <v>95</v>
      </c>
      <c r="C37" s="49">
        <v>63</v>
      </c>
      <c r="D37" s="49">
        <v>8</v>
      </c>
      <c r="E37" s="49">
        <v>1</v>
      </c>
      <c r="F37" s="49">
        <v>72</v>
      </c>
      <c r="G37" s="49">
        <v>93</v>
      </c>
      <c r="H37" s="49">
        <v>4</v>
      </c>
      <c r="I37" s="49">
        <v>0</v>
      </c>
      <c r="J37" s="49">
        <v>97</v>
      </c>
      <c r="K37" s="49">
        <v>65</v>
      </c>
      <c r="L37" s="49">
        <v>5</v>
      </c>
      <c r="M37" s="49">
        <v>2</v>
      </c>
      <c r="N37" s="49">
        <v>72</v>
      </c>
    </row>
    <row r="38" spans="2:14" x14ac:dyDescent="0.25">
      <c r="B38" s="14" t="s">
        <v>92</v>
      </c>
      <c r="C38" s="49">
        <v>0</v>
      </c>
      <c r="D38" s="49">
        <v>0</v>
      </c>
      <c r="E38" s="49">
        <v>0</v>
      </c>
      <c r="F38" s="49">
        <v>0</v>
      </c>
      <c r="G38" s="49">
        <v>0</v>
      </c>
      <c r="H38" s="49">
        <v>0</v>
      </c>
      <c r="I38" s="49">
        <v>0</v>
      </c>
      <c r="J38" s="49">
        <v>0</v>
      </c>
      <c r="K38" s="49">
        <v>1</v>
      </c>
      <c r="L38" s="49">
        <v>0</v>
      </c>
      <c r="M38" s="49">
        <v>0</v>
      </c>
      <c r="N38" s="49">
        <v>1</v>
      </c>
    </row>
    <row r="39" spans="2:14" x14ac:dyDescent="0.25">
      <c r="B39" s="14" t="s">
        <v>102</v>
      </c>
      <c r="C39" s="49">
        <v>4</v>
      </c>
      <c r="D39" s="49">
        <v>0</v>
      </c>
      <c r="E39" s="49">
        <v>0</v>
      </c>
      <c r="F39" s="49">
        <v>4</v>
      </c>
      <c r="G39" s="49">
        <v>0</v>
      </c>
      <c r="H39" s="49">
        <v>0</v>
      </c>
      <c r="I39" s="49">
        <v>0</v>
      </c>
      <c r="J39" s="49">
        <v>0</v>
      </c>
      <c r="K39" s="49">
        <v>2</v>
      </c>
      <c r="L39" s="49">
        <v>1</v>
      </c>
      <c r="M39" s="49">
        <v>1</v>
      </c>
      <c r="N39" s="49">
        <v>4</v>
      </c>
    </row>
    <row r="40" spans="2:14" x14ac:dyDescent="0.25">
      <c r="B40" s="14" t="s">
        <v>103</v>
      </c>
      <c r="C40" s="49">
        <v>47</v>
      </c>
      <c r="D40" s="49">
        <v>8</v>
      </c>
      <c r="E40" s="49">
        <v>0</v>
      </c>
      <c r="F40" s="49">
        <v>55</v>
      </c>
      <c r="G40" s="49">
        <v>73</v>
      </c>
      <c r="H40" s="49">
        <v>4</v>
      </c>
      <c r="I40" s="49">
        <v>0</v>
      </c>
      <c r="J40" s="49">
        <v>77</v>
      </c>
      <c r="K40" s="49">
        <v>47</v>
      </c>
      <c r="L40" s="49">
        <v>4</v>
      </c>
      <c r="M40" s="49">
        <v>1</v>
      </c>
      <c r="N40" s="49">
        <v>52</v>
      </c>
    </row>
    <row r="41" spans="2:14" x14ac:dyDescent="0.25">
      <c r="B41" s="14" t="s">
        <v>104</v>
      </c>
      <c r="C41" s="49">
        <v>12</v>
      </c>
      <c r="D41" s="49">
        <v>0</v>
      </c>
      <c r="E41" s="49">
        <v>1</v>
      </c>
      <c r="F41" s="49">
        <v>13</v>
      </c>
      <c r="G41" s="49">
        <v>20</v>
      </c>
      <c r="H41" s="49">
        <v>0</v>
      </c>
      <c r="I41" s="49">
        <v>0</v>
      </c>
      <c r="J41" s="49">
        <v>20</v>
      </c>
      <c r="K41" s="49">
        <v>15</v>
      </c>
      <c r="L41" s="49">
        <v>0</v>
      </c>
      <c r="M41" s="49">
        <v>0</v>
      </c>
      <c r="N41" s="49">
        <v>15</v>
      </c>
    </row>
    <row r="42" spans="2:14" x14ac:dyDescent="0.25">
      <c r="B42" s="10" t="s">
        <v>96</v>
      </c>
      <c r="C42" s="49">
        <v>161</v>
      </c>
      <c r="D42" s="49">
        <v>2</v>
      </c>
      <c r="E42" s="49">
        <v>4</v>
      </c>
      <c r="F42" s="49">
        <v>167</v>
      </c>
      <c r="G42" s="49">
        <v>167</v>
      </c>
      <c r="H42" s="49">
        <v>1</v>
      </c>
      <c r="I42" s="49">
        <v>3</v>
      </c>
      <c r="J42" s="49">
        <v>171</v>
      </c>
      <c r="K42" s="49">
        <v>119</v>
      </c>
      <c r="L42" s="49">
        <v>1</v>
      </c>
      <c r="M42" s="49">
        <v>0</v>
      </c>
      <c r="N42" s="49">
        <v>120</v>
      </c>
    </row>
    <row r="43" spans="2:14" x14ac:dyDescent="0.25">
      <c r="B43" s="14" t="s">
        <v>92</v>
      </c>
      <c r="C43" s="49">
        <v>0</v>
      </c>
      <c r="D43" s="49">
        <v>0</v>
      </c>
      <c r="E43" s="49">
        <v>0</v>
      </c>
      <c r="F43" s="49">
        <v>0</v>
      </c>
      <c r="G43" s="49">
        <v>0</v>
      </c>
      <c r="H43" s="49">
        <v>0</v>
      </c>
      <c r="I43" s="49">
        <v>0</v>
      </c>
      <c r="J43" s="49">
        <v>0</v>
      </c>
      <c r="K43" s="49">
        <v>0</v>
      </c>
      <c r="L43" s="49">
        <v>0</v>
      </c>
      <c r="M43" s="49">
        <v>0</v>
      </c>
      <c r="N43" s="49">
        <v>0</v>
      </c>
    </row>
    <row r="44" spans="2:14" x14ac:dyDescent="0.25">
      <c r="B44" s="14" t="s">
        <v>105</v>
      </c>
      <c r="C44" s="49">
        <v>79</v>
      </c>
      <c r="D44" s="49">
        <v>2</v>
      </c>
      <c r="E44" s="49">
        <v>1</v>
      </c>
      <c r="F44" s="49">
        <v>82</v>
      </c>
      <c r="G44" s="49">
        <v>115</v>
      </c>
      <c r="H44" s="49">
        <v>0</v>
      </c>
      <c r="I44" s="49">
        <v>2</v>
      </c>
      <c r="J44" s="49">
        <v>117</v>
      </c>
      <c r="K44" s="49">
        <v>90</v>
      </c>
      <c r="L44" s="49">
        <v>0</v>
      </c>
      <c r="M44" s="49">
        <v>0</v>
      </c>
      <c r="N44" s="49">
        <v>90</v>
      </c>
    </row>
    <row r="45" spans="2:14" x14ac:dyDescent="0.25">
      <c r="B45" s="14" t="s">
        <v>106</v>
      </c>
      <c r="C45" s="49">
        <v>82</v>
      </c>
      <c r="D45" s="49">
        <v>0</v>
      </c>
      <c r="E45" s="49">
        <v>3</v>
      </c>
      <c r="F45" s="49">
        <v>85</v>
      </c>
      <c r="G45" s="49">
        <v>51</v>
      </c>
      <c r="H45" s="49">
        <v>1</v>
      </c>
      <c r="I45" s="49">
        <v>1</v>
      </c>
      <c r="J45" s="49">
        <v>53</v>
      </c>
      <c r="K45" s="49">
        <v>25</v>
      </c>
      <c r="L45" s="49">
        <v>1</v>
      </c>
      <c r="M45" s="49">
        <v>0</v>
      </c>
      <c r="N45" s="49">
        <v>26</v>
      </c>
    </row>
    <row r="46" spans="2:14" x14ac:dyDescent="0.25">
      <c r="B46" s="14" t="s">
        <v>107</v>
      </c>
      <c r="C46" s="49">
        <v>0</v>
      </c>
      <c r="D46" s="49">
        <v>0</v>
      </c>
      <c r="E46" s="49">
        <v>0</v>
      </c>
      <c r="F46" s="49">
        <v>0</v>
      </c>
      <c r="G46" s="49">
        <v>1</v>
      </c>
      <c r="H46" s="49">
        <v>0</v>
      </c>
      <c r="I46" s="49">
        <v>0</v>
      </c>
      <c r="J46" s="49">
        <v>1</v>
      </c>
      <c r="K46" s="49">
        <v>4</v>
      </c>
      <c r="L46" s="49">
        <v>0</v>
      </c>
      <c r="M46" s="49">
        <v>0</v>
      </c>
      <c r="N46" s="49">
        <v>4</v>
      </c>
    </row>
    <row r="47" spans="2:14" x14ac:dyDescent="0.25">
      <c r="B47" s="10" t="s">
        <v>97</v>
      </c>
      <c r="C47" s="49">
        <v>285</v>
      </c>
      <c r="D47" s="49">
        <v>7</v>
      </c>
      <c r="E47" s="49">
        <v>6</v>
      </c>
      <c r="F47" s="49">
        <v>298</v>
      </c>
      <c r="G47" s="49">
        <v>683</v>
      </c>
      <c r="H47" s="49">
        <v>13</v>
      </c>
      <c r="I47" s="49">
        <v>13</v>
      </c>
      <c r="J47" s="49">
        <v>709</v>
      </c>
      <c r="K47" s="49">
        <v>371</v>
      </c>
      <c r="L47" s="49">
        <v>13</v>
      </c>
      <c r="M47" s="49">
        <v>5</v>
      </c>
      <c r="N47" s="49">
        <v>389</v>
      </c>
    </row>
    <row r="48" spans="2:14" x14ac:dyDescent="0.25">
      <c r="B48" s="14" t="s">
        <v>92</v>
      </c>
      <c r="C48" s="49">
        <v>1</v>
      </c>
      <c r="D48" s="49">
        <v>0</v>
      </c>
      <c r="E48" s="49">
        <v>0</v>
      </c>
      <c r="F48" s="49">
        <v>1</v>
      </c>
      <c r="G48" s="49">
        <v>0</v>
      </c>
      <c r="H48" s="49">
        <v>0</v>
      </c>
      <c r="I48" s="49">
        <v>0</v>
      </c>
      <c r="J48" s="49">
        <v>0</v>
      </c>
      <c r="K48" s="49">
        <v>0</v>
      </c>
      <c r="L48" s="49">
        <v>0</v>
      </c>
      <c r="M48" s="49">
        <v>0</v>
      </c>
      <c r="N48" s="49">
        <v>0</v>
      </c>
    </row>
    <row r="49" spans="2:14" x14ac:dyDescent="0.25">
      <c r="B49" s="14" t="s">
        <v>108</v>
      </c>
      <c r="C49" s="49">
        <v>172</v>
      </c>
      <c r="D49" s="49">
        <v>4</v>
      </c>
      <c r="E49" s="49">
        <v>3</v>
      </c>
      <c r="F49" s="49">
        <v>179</v>
      </c>
      <c r="G49" s="49">
        <v>461</v>
      </c>
      <c r="H49" s="49">
        <v>5</v>
      </c>
      <c r="I49" s="49">
        <v>8</v>
      </c>
      <c r="J49" s="49">
        <v>474</v>
      </c>
      <c r="K49" s="49">
        <v>224</v>
      </c>
      <c r="L49" s="49">
        <v>7</v>
      </c>
      <c r="M49" s="49">
        <v>3</v>
      </c>
      <c r="N49" s="49">
        <v>234</v>
      </c>
    </row>
    <row r="50" spans="2:14" x14ac:dyDescent="0.25">
      <c r="B50" s="14" t="s">
        <v>109</v>
      </c>
      <c r="C50" s="49">
        <v>43</v>
      </c>
      <c r="D50" s="49">
        <v>3</v>
      </c>
      <c r="E50" s="49">
        <v>3</v>
      </c>
      <c r="F50" s="49">
        <v>49</v>
      </c>
      <c r="G50" s="49">
        <v>114</v>
      </c>
      <c r="H50" s="49">
        <v>6</v>
      </c>
      <c r="I50" s="49">
        <v>3</v>
      </c>
      <c r="J50" s="49">
        <v>123</v>
      </c>
      <c r="K50" s="49">
        <v>80</v>
      </c>
      <c r="L50" s="49">
        <v>6</v>
      </c>
      <c r="M50" s="49">
        <v>1</v>
      </c>
      <c r="N50" s="49">
        <v>87</v>
      </c>
    </row>
    <row r="51" spans="2:14" x14ac:dyDescent="0.25">
      <c r="B51" s="14" t="s">
        <v>110</v>
      </c>
      <c r="C51" s="49">
        <v>69</v>
      </c>
      <c r="D51" s="49">
        <v>0</v>
      </c>
      <c r="E51" s="49">
        <v>0</v>
      </c>
      <c r="F51" s="49">
        <v>69</v>
      </c>
      <c r="G51" s="49">
        <v>108</v>
      </c>
      <c r="H51" s="49">
        <v>2</v>
      </c>
      <c r="I51" s="49">
        <v>2</v>
      </c>
      <c r="J51" s="49">
        <v>112</v>
      </c>
      <c r="K51" s="49">
        <v>67</v>
      </c>
      <c r="L51" s="49">
        <v>0</v>
      </c>
      <c r="M51" s="49">
        <v>1</v>
      </c>
      <c r="N51" s="49">
        <v>68</v>
      </c>
    </row>
    <row r="52" spans="2:14" x14ac:dyDescent="0.25">
      <c r="B52" s="10" t="s">
        <v>98</v>
      </c>
      <c r="C52" s="49">
        <v>152</v>
      </c>
      <c r="D52" s="49">
        <v>3</v>
      </c>
      <c r="E52" s="49">
        <v>0</v>
      </c>
      <c r="F52" s="49">
        <v>155</v>
      </c>
      <c r="G52" s="49">
        <v>200</v>
      </c>
      <c r="H52" s="49">
        <v>0</v>
      </c>
      <c r="I52" s="49">
        <v>1</v>
      </c>
      <c r="J52" s="49">
        <v>201</v>
      </c>
      <c r="K52" s="49">
        <v>95</v>
      </c>
      <c r="L52" s="49">
        <v>3</v>
      </c>
      <c r="M52" s="49">
        <v>1</v>
      </c>
      <c r="N52" s="49">
        <v>99</v>
      </c>
    </row>
    <row r="53" spans="2:14" x14ac:dyDescent="0.25">
      <c r="B53" s="14" t="s">
        <v>111</v>
      </c>
      <c r="C53" s="49">
        <v>30</v>
      </c>
      <c r="D53" s="49">
        <v>0</v>
      </c>
      <c r="E53" s="49">
        <v>0</v>
      </c>
      <c r="F53" s="49">
        <v>30</v>
      </c>
      <c r="G53" s="49">
        <v>78</v>
      </c>
      <c r="H53" s="49">
        <v>0</v>
      </c>
      <c r="I53" s="49">
        <v>0</v>
      </c>
      <c r="J53" s="49">
        <v>78</v>
      </c>
      <c r="K53" s="49">
        <v>31</v>
      </c>
      <c r="L53" s="49">
        <v>0</v>
      </c>
      <c r="M53" s="49">
        <v>1</v>
      </c>
      <c r="N53" s="49">
        <v>32</v>
      </c>
    </row>
    <row r="54" spans="2:14" x14ac:dyDescent="0.25">
      <c r="B54" s="14" t="s">
        <v>112</v>
      </c>
      <c r="C54" s="49">
        <v>17</v>
      </c>
      <c r="D54" s="49">
        <v>2</v>
      </c>
      <c r="E54" s="49">
        <v>0</v>
      </c>
      <c r="F54" s="49">
        <v>19</v>
      </c>
      <c r="G54" s="49">
        <v>36</v>
      </c>
      <c r="H54" s="49">
        <v>0</v>
      </c>
      <c r="I54" s="49">
        <v>0</v>
      </c>
      <c r="J54" s="49">
        <v>36</v>
      </c>
      <c r="K54" s="49">
        <v>19</v>
      </c>
      <c r="L54" s="49">
        <v>0</v>
      </c>
      <c r="M54" s="49">
        <v>0</v>
      </c>
      <c r="N54" s="49">
        <v>19</v>
      </c>
    </row>
    <row r="55" spans="2:14" x14ac:dyDescent="0.25">
      <c r="B55" s="14" t="s">
        <v>113</v>
      </c>
      <c r="C55" s="49">
        <v>49</v>
      </c>
      <c r="D55" s="49">
        <v>0</v>
      </c>
      <c r="E55" s="49">
        <v>0</v>
      </c>
      <c r="F55" s="49">
        <v>49</v>
      </c>
      <c r="G55" s="49">
        <v>53</v>
      </c>
      <c r="H55" s="49">
        <v>0</v>
      </c>
      <c r="I55" s="49">
        <v>1</v>
      </c>
      <c r="J55" s="49">
        <v>54</v>
      </c>
      <c r="K55" s="49">
        <v>19</v>
      </c>
      <c r="L55" s="49">
        <v>0</v>
      </c>
      <c r="M55" s="49">
        <v>0</v>
      </c>
      <c r="N55" s="49">
        <v>19</v>
      </c>
    </row>
    <row r="56" spans="2:14" x14ac:dyDescent="0.25">
      <c r="B56" s="14" t="s">
        <v>114</v>
      </c>
      <c r="C56" s="49">
        <v>56</v>
      </c>
      <c r="D56" s="49">
        <v>1</v>
      </c>
      <c r="E56" s="49">
        <v>0</v>
      </c>
      <c r="F56" s="49">
        <v>57</v>
      </c>
      <c r="G56" s="49">
        <v>33</v>
      </c>
      <c r="H56" s="49">
        <v>0</v>
      </c>
      <c r="I56" s="49">
        <v>0</v>
      </c>
      <c r="J56" s="49">
        <v>33</v>
      </c>
      <c r="K56" s="49">
        <v>26</v>
      </c>
      <c r="L56" s="49">
        <v>3</v>
      </c>
      <c r="M56" s="49">
        <v>0</v>
      </c>
      <c r="N56" s="49">
        <v>29</v>
      </c>
    </row>
    <row r="57" spans="2:14" x14ac:dyDescent="0.25">
      <c r="B57" s="10" t="s">
        <v>49</v>
      </c>
      <c r="C57" s="49">
        <v>1009</v>
      </c>
      <c r="D57" s="49">
        <v>28</v>
      </c>
      <c r="E57" s="49">
        <v>12</v>
      </c>
      <c r="F57" s="49">
        <v>1049</v>
      </c>
      <c r="G57" s="49">
        <v>1439</v>
      </c>
      <c r="H57" s="49">
        <v>21</v>
      </c>
      <c r="I57" s="49">
        <v>21</v>
      </c>
      <c r="J57" s="49">
        <v>1481</v>
      </c>
      <c r="K57" s="49">
        <v>860</v>
      </c>
      <c r="L57" s="49">
        <v>29</v>
      </c>
      <c r="M57" s="49">
        <v>10</v>
      </c>
      <c r="N57" s="49">
        <v>899</v>
      </c>
    </row>
  </sheetData>
  <mergeCells count="6">
    <mergeCell ref="G30:I30"/>
    <mergeCell ref="J30:J31"/>
    <mergeCell ref="K30:M30"/>
    <mergeCell ref="N30:N31"/>
    <mergeCell ref="C30:E30"/>
    <mergeCell ref="F30:F31"/>
  </mergeCells>
  <conditionalFormatting pivot="1" sqref="C32:N57">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E716B-EC8F-4E62-94D2-ACB7281A17FD}">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191</v>
      </c>
      <c r="B1" s="64"/>
      <c r="C1" s="63" t="s">
        <v>190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189</v>
      </c>
      <c r="B2" s="64"/>
      <c r="C2" s="63" t="s">
        <v>188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187</v>
      </c>
      <c r="B4" s="64"/>
      <c r="C4" s="63" t="s">
        <v>139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186</v>
      </c>
      <c r="B5" s="64"/>
      <c r="C5" s="63" t="s">
        <v>139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139</v>
      </c>
      <c r="B6" s="64"/>
      <c r="C6" s="63" t="s">
        <v>139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139</v>
      </c>
      <c r="B7" s="64"/>
      <c r="C7" s="63" t="s">
        <v>139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139</v>
      </c>
      <c r="B8" s="64"/>
      <c r="C8" s="63" t="s">
        <v>139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139</v>
      </c>
      <c r="B9" s="64"/>
      <c r="C9" s="63" t="s">
        <v>139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185</v>
      </c>
      <c r="B10" s="64"/>
      <c r="C10" s="63" t="s">
        <v>184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139</v>
      </c>
      <c r="B12" s="62" t="s">
        <v>181</v>
      </c>
      <c r="C12" s="61"/>
      <c r="D12" s="61"/>
      <c r="E12" s="61"/>
      <c r="F12" s="61"/>
      <c r="G12" s="61"/>
      <c r="H12" s="61"/>
      <c r="I12" s="60"/>
      <c r="J12" s="62" t="s">
        <v>177</v>
      </c>
      <c r="K12" s="61"/>
      <c r="L12" s="61"/>
      <c r="M12" s="61"/>
      <c r="N12" s="61"/>
      <c r="O12" s="61"/>
      <c r="P12" s="61"/>
      <c r="Q12" s="60"/>
      <c r="R12" s="62" t="s">
        <v>180</v>
      </c>
      <c r="S12" s="61"/>
      <c r="T12" s="61"/>
      <c r="U12" s="61"/>
      <c r="V12" s="61"/>
      <c r="W12" s="61"/>
      <c r="X12" s="61"/>
      <c r="Y12" s="60"/>
      <c r="Z12" s="62" t="s">
        <v>177</v>
      </c>
      <c r="AA12" s="61"/>
      <c r="AB12" s="61"/>
      <c r="AC12" s="61"/>
      <c r="AD12" s="61"/>
      <c r="AE12" s="61"/>
      <c r="AF12" s="61"/>
      <c r="AG12" s="60"/>
      <c r="AH12" s="62" t="s">
        <v>179</v>
      </c>
      <c r="AI12" s="61"/>
      <c r="AJ12" s="61"/>
      <c r="AK12" s="61"/>
      <c r="AL12" s="61"/>
      <c r="AM12" s="61"/>
      <c r="AN12" s="61"/>
      <c r="AO12" s="60"/>
      <c r="AP12" s="62" t="s">
        <v>178</v>
      </c>
      <c r="AQ12" s="61"/>
      <c r="AR12" s="61"/>
      <c r="AS12" s="61"/>
      <c r="AT12" s="61"/>
      <c r="AU12" s="61"/>
      <c r="AV12" s="61"/>
      <c r="AW12" s="60"/>
      <c r="AX12" s="62" t="s">
        <v>177</v>
      </c>
      <c r="AY12" s="61"/>
      <c r="AZ12" s="61"/>
      <c r="BA12" s="61"/>
      <c r="BB12" s="61"/>
      <c r="BC12" s="61"/>
      <c r="BD12" s="61"/>
      <c r="BE12" s="60"/>
      <c r="BF12" s="62" t="s">
        <v>176</v>
      </c>
      <c r="BG12" s="61"/>
      <c r="BH12" s="61"/>
      <c r="BI12" s="61"/>
      <c r="BJ12" s="61"/>
      <c r="BK12" s="61"/>
      <c r="BL12" s="61"/>
      <c r="BM12" s="60"/>
    </row>
    <row r="13" spans="1:65" ht="15" customHeight="1" x14ac:dyDescent="0.2">
      <c r="A13" s="55" t="s">
        <v>139</v>
      </c>
      <c r="B13" s="59" t="s">
        <v>175</v>
      </c>
      <c r="C13" s="58"/>
      <c r="D13" s="58"/>
      <c r="E13" s="58"/>
      <c r="F13" s="58"/>
      <c r="G13" s="58"/>
      <c r="H13" s="58"/>
      <c r="I13" s="57"/>
      <c r="J13" s="59" t="s">
        <v>174</v>
      </c>
      <c r="K13" s="58"/>
      <c r="L13" s="58"/>
      <c r="M13" s="58"/>
      <c r="N13" s="58"/>
      <c r="O13" s="58"/>
      <c r="P13" s="58"/>
      <c r="Q13" s="57"/>
      <c r="R13" s="59" t="s">
        <v>173</v>
      </c>
      <c r="S13" s="58"/>
      <c r="T13" s="58"/>
      <c r="U13" s="58"/>
      <c r="V13" s="58"/>
      <c r="W13" s="58"/>
      <c r="X13" s="58"/>
      <c r="Y13" s="57"/>
      <c r="Z13" s="59" t="s">
        <v>172</v>
      </c>
      <c r="AA13" s="58"/>
      <c r="AB13" s="58"/>
      <c r="AC13" s="58"/>
      <c r="AD13" s="58"/>
      <c r="AE13" s="58"/>
      <c r="AF13" s="58"/>
      <c r="AG13" s="57"/>
      <c r="AH13" s="59" t="s">
        <v>171</v>
      </c>
      <c r="AI13" s="58"/>
      <c r="AJ13" s="58"/>
      <c r="AK13" s="58"/>
      <c r="AL13" s="58"/>
      <c r="AM13" s="58"/>
      <c r="AN13" s="58"/>
      <c r="AO13" s="57"/>
      <c r="AP13" s="59" t="s">
        <v>170</v>
      </c>
      <c r="AQ13" s="58"/>
      <c r="AR13" s="58"/>
      <c r="AS13" s="58"/>
      <c r="AT13" s="58"/>
      <c r="AU13" s="58"/>
      <c r="AV13" s="58"/>
      <c r="AW13" s="57"/>
      <c r="AX13" s="59" t="s">
        <v>169</v>
      </c>
      <c r="AY13" s="58"/>
      <c r="AZ13" s="58"/>
      <c r="BA13" s="58"/>
      <c r="BB13" s="58"/>
      <c r="BC13" s="58"/>
      <c r="BD13" s="58"/>
      <c r="BE13" s="57"/>
      <c r="BF13" s="59" t="s">
        <v>168</v>
      </c>
      <c r="BG13" s="58"/>
      <c r="BH13" s="58"/>
      <c r="BI13" s="58"/>
      <c r="BJ13" s="58"/>
      <c r="BK13" s="58"/>
      <c r="BL13" s="58"/>
      <c r="BM13" s="57"/>
    </row>
    <row r="14" spans="1:65" ht="15" customHeight="1" x14ac:dyDescent="0.2">
      <c r="A14" s="56" t="s">
        <v>9</v>
      </c>
      <c r="B14" s="56" t="s">
        <v>167</v>
      </c>
      <c r="C14" s="56" t="s">
        <v>166</v>
      </c>
      <c r="D14" s="56" t="s">
        <v>165</v>
      </c>
      <c r="E14" s="56" t="s">
        <v>164</v>
      </c>
      <c r="F14" s="56" t="s">
        <v>163</v>
      </c>
      <c r="G14" s="56" t="s">
        <v>162</v>
      </c>
      <c r="H14" s="56" t="s">
        <v>161</v>
      </c>
      <c r="I14" s="56" t="s">
        <v>92</v>
      </c>
      <c r="J14" s="56" t="s">
        <v>167</v>
      </c>
      <c r="K14" s="56" t="s">
        <v>166</v>
      </c>
      <c r="L14" s="56" t="s">
        <v>165</v>
      </c>
      <c r="M14" s="56" t="s">
        <v>164</v>
      </c>
      <c r="N14" s="56" t="s">
        <v>163</v>
      </c>
      <c r="O14" s="56" t="s">
        <v>162</v>
      </c>
      <c r="P14" s="56" t="s">
        <v>161</v>
      </c>
      <c r="Q14" s="56" t="s">
        <v>92</v>
      </c>
      <c r="R14" s="56" t="s">
        <v>167</v>
      </c>
      <c r="S14" s="56" t="s">
        <v>166</v>
      </c>
      <c r="T14" s="56" t="s">
        <v>165</v>
      </c>
      <c r="U14" s="56" t="s">
        <v>164</v>
      </c>
      <c r="V14" s="56" t="s">
        <v>163</v>
      </c>
      <c r="W14" s="56" t="s">
        <v>162</v>
      </c>
      <c r="X14" s="56" t="s">
        <v>161</v>
      </c>
      <c r="Y14" s="56" t="s">
        <v>92</v>
      </c>
      <c r="Z14" s="56" t="s">
        <v>167</v>
      </c>
      <c r="AA14" s="56" t="s">
        <v>166</v>
      </c>
      <c r="AB14" s="56" t="s">
        <v>165</v>
      </c>
      <c r="AC14" s="56" t="s">
        <v>164</v>
      </c>
      <c r="AD14" s="56" t="s">
        <v>163</v>
      </c>
      <c r="AE14" s="56" t="s">
        <v>162</v>
      </c>
      <c r="AF14" s="56" t="s">
        <v>161</v>
      </c>
      <c r="AG14" s="56" t="s">
        <v>92</v>
      </c>
      <c r="AH14" s="56" t="s">
        <v>167</v>
      </c>
      <c r="AI14" s="56" t="s">
        <v>166</v>
      </c>
      <c r="AJ14" s="56" t="s">
        <v>165</v>
      </c>
      <c r="AK14" s="56" t="s">
        <v>164</v>
      </c>
      <c r="AL14" s="56" t="s">
        <v>163</v>
      </c>
      <c r="AM14" s="56" t="s">
        <v>162</v>
      </c>
      <c r="AN14" s="56" t="s">
        <v>161</v>
      </c>
      <c r="AO14" s="56" t="s">
        <v>92</v>
      </c>
      <c r="AP14" s="56" t="s">
        <v>167</v>
      </c>
      <c r="AQ14" s="56" t="s">
        <v>166</v>
      </c>
      <c r="AR14" s="56" t="s">
        <v>165</v>
      </c>
      <c r="AS14" s="56" t="s">
        <v>164</v>
      </c>
      <c r="AT14" s="56" t="s">
        <v>163</v>
      </c>
      <c r="AU14" s="56" t="s">
        <v>162</v>
      </c>
      <c r="AV14" s="56" t="s">
        <v>161</v>
      </c>
      <c r="AW14" s="56" t="s">
        <v>92</v>
      </c>
      <c r="AX14" s="56" t="s">
        <v>167</v>
      </c>
      <c r="AY14" s="56" t="s">
        <v>166</v>
      </c>
      <c r="AZ14" s="56" t="s">
        <v>165</v>
      </c>
      <c r="BA14" s="56" t="s">
        <v>164</v>
      </c>
      <c r="BB14" s="56" t="s">
        <v>163</v>
      </c>
      <c r="BC14" s="56" t="s">
        <v>162</v>
      </c>
      <c r="BD14" s="56" t="s">
        <v>161</v>
      </c>
      <c r="BE14" s="56" t="s">
        <v>92</v>
      </c>
      <c r="BF14" s="56" t="s">
        <v>167</v>
      </c>
      <c r="BG14" s="56" t="s">
        <v>166</v>
      </c>
      <c r="BH14" s="56" t="s">
        <v>165</v>
      </c>
      <c r="BI14" s="56" t="s">
        <v>164</v>
      </c>
      <c r="BJ14" s="56" t="s">
        <v>163</v>
      </c>
      <c r="BK14" s="56" t="s">
        <v>162</v>
      </c>
      <c r="BL14" s="56" t="s">
        <v>161</v>
      </c>
      <c r="BM14" s="56" t="s">
        <v>92</v>
      </c>
    </row>
    <row r="15" spans="1:65" ht="15" customHeight="1" x14ac:dyDescent="0.2">
      <c r="A15" s="55" t="s">
        <v>160</v>
      </c>
      <c r="B15" s="55" t="s">
        <v>139</v>
      </c>
      <c r="C15" s="55">
        <v>0</v>
      </c>
      <c r="D15" s="55" t="s">
        <v>139</v>
      </c>
      <c r="E15" s="55">
        <v>0</v>
      </c>
      <c r="F15" s="55">
        <v>54</v>
      </c>
      <c r="G15" s="55" t="s">
        <v>139</v>
      </c>
      <c r="H15" s="55" t="s">
        <v>139</v>
      </c>
      <c r="I15" s="55">
        <v>0</v>
      </c>
      <c r="J15" s="55" t="s">
        <v>139</v>
      </c>
      <c r="K15" s="55" t="s">
        <v>139</v>
      </c>
      <c r="L15" s="55" t="s">
        <v>139</v>
      </c>
      <c r="M15" s="55" t="s">
        <v>139</v>
      </c>
      <c r="N15" s="55" t="s">
        <v>139</v>
      </c>
      <c r="O15" s="55" t="s">
        <v>139</v>
      </c>
      <c r="P15" s="55" t="s">
        <v>139</v>
      </c>
      <c r="Q15" s="55" t="s">
        <v>139</v>
      </c>
      <c r="R15" s="55" t="s">
        <v>139</v>
      </c>
      <c r="S15" s="55">
        <v>0</v>
      </c>
      <c r="T15" s="55">
        <v>8</v>
      </c>
      <c r="U15" s="55" t="s">
        <v>139</v>
      </c>
      <c r="V15" s="55" t="s">
        <v>139</v>
      </c>
      <c r="W15" s="55">
        <v>1</v>
      </c>
      <c r="X15" s="55" t="s">
        <v>139</v>
      </c>
      <c r="Y15" s="55">
        <v>0</v>
      </c>
      <c r="Z15" s="55" t="s">
        <v>139</v>
      </c>
      <c r="AA15" s="55" t="s">
        <v>139</v>
      </c>
      <c r="AB15" s="55" t="s">
        <v>139</v>
      </c>
      <c r="AC15" s="55" t="s">
        <v>139</v>
      </c>
      <c r="AD15" s="55" t="s">
        <v>139</v>
      </c>
      <c r="AE15" s="55" t="s">
        <v>139</v>
      </c>
      <c r="AF15" s="55" t="s">
        <v>139</v>
      </c>
      <c r="AG15" s="55" t="s">
        <v>139</v>
      </c>
      <c r="AH15" s="55">
        <v>14</v>
      </c>
      <c r="AI15" s="55" t="s">
        <v>139</v>
      </c>
      <c r="AJ15" s="55" t="s">
        <v>139</v>
      </c>
      <c r="AK15" s="55">
        <v>4</v>
      </c>
      <c r="AL15" s="55" t="s">
        <v>139</v>
      </c>
      <c r="AM15" s="55">
        <v>0</v>
      </c>
      <c r="AN15" s="55" t="s">
        <v>139</v>
      </c>
      <c r="AO15" s="55">
        <v>0</v>
      </c>
      <c r="AP15" s="55" t="s">
        <v>139</v>
      </c>
      <c r="AQ15" s="55" t="s">
        <v>139</v>
      </c>
      <c r="AR15" s="55">
        <v>14</v>
      </c>
      <c r="AS15" s="55" t="s">
        <v>139</v>
      </c>
      <c r="AT15" s="55">
        <v>5</v>
      </c>
      <c r="AU15" s="55" t="s">
        <v>139</v>
      </c>
      <c r="AV15" s="55">
        <v>3</v>
      </c>
      <c r="AW15" s="55">
        <v>0</v>
      </c>
      <c r="AX15" s="55" t="s">
        <v>139</v>
      </c>
      <c r="AY15" s="55" t="s">
        <v>139</v>
      </c>
      <c r="AZ15" s="55" t="s">
        <v>139</v>
      </c>
      <c r="BA15" s="55" t="s">
        <v>139</v>
      </c>
      <c r="BB15" s="55" t="s">
        <v>139</v>
      </c>
      <c r="BC15" s="55" t="s">
        <v>139</v>
      </c>
      <c r="BD15" s="55" t="s">
        <v>139</v>
      </c>
      <c r="BE15" s="55" t="s">
        <v>139</v>
      </c>
      <c r="BF15" s="55">
        <v>1</v>
      </c>
      <c r="BG15" s="55" t="s">
        <v>139</v>
      </c>
      <c r="BH15" s="55">
        <v>1</v>
      </c>
      <c r="BI15" s="55" t="s">
        <v>139</v>
      </c>
      <c r="BJ15" s="55">
        <v>1</v>
      </c>
      <c r="BK15" s="55">
        <v>17</v>
      </c>
      <c r="BL15" s="55" t="s">
        <v>139</v>
      </c>
      <c r="BM15" s="55" t="s">
        <v>139</v>
      </c>
    </row>
    <row r="16" spans="1:65" ht="15" customHeight="1" x14ac:dyDescent="0.2">
      <c r="A16" s="55" t="s">
        <v>159</v>
      </c>
      <c r="B16" s="55" t="s">
        <v>139</v>
      </c>
      <c r="C16" s="55">
        <v>1</v>
      </c>
      <c r="D16" s="55" t="s">
        <v>139</v>
      </c>
      <c r="E16" s="55">
        <v>7</v>
      </c>
      <c r="F16" s="55">
        <v>49</v>
      </c>
      <c r="G16" s="55" t="s">
        <v>139</v>
      </c>
      <c r="H16" s="55" t="s">
        <v>139</v>
      </c>
      <c r="I16" s="55">
        <v>0</v>
      </c>
      <c r="J16" s="55" t="s">
        <v>139</v>
      </c>
      <c r="K16" s="55" t="s">
        <v>139</v>
      </c>
      <c r="L16" s="55" t="s">
        <v>139</v>
      </c>
      <c r="M16" s="55" t="s">
        <v>139</v>
      </c>
      <c r="N16" s="55" t="s">
        <v>139</v>
      </c>
      <c r="O16" s="55" t="s">
        <v>139</v>
      </c>
      <c r="P16" s="55" t="s">
        <v>139</v>
      </c>
      <c r="Q16" s="55" t="s">
        <v>139</v>
      </c>
      <c r="R16" s="55" t="s">
        <v>139</v>
      </c>
      <c r="S16" s="55">
        <v>0</v>
      </c>
      <c r="T16" s="55">
        <v>6</v>
      </c>
      <c r="U16" s="55" t="s">
        <v>139</v>
      </c>
      <c r="V16" s="55" t="s">
        <v>139</v>
      </c>
      <c r="W16" s="55">
        <v>0</v>
      </c>
      <c r="X16" s="55" t="s">
        <v>139</v>
      </c>
      <c r="Y16" s="55">
        <v>0</v>
      </c>
      <c r="Z16" s="55" t="s">
        <v>139</v>
      </c>
      <c r="AA16" s="55" t="s">
        <v>139</v>
      </c>
      <c r="AB16" s="55" t="s">
        <v>139</v>
      </c>
      <c r="AC16" s="55" t="s">
        <v>139</v>
      </c>
      <c r="AD16" s="55" t="s">
        <v>139</v>
      </c>
      <c r="AE16" s="55" t="s">
        <v>139</v>
      </c>
      <c r="AF16" s="55" t="s">
        <v>139</v>
      </c>
      <c r="AG16" s="55" t="s">
        <v>139</v>
      </c>
      <c r="AH16" s="55">
        <v>12</v>
      </c>
      <c r="AI16" s="55" t="s">
        <v>139</v>
      </c>
      <c r="AJ16" s="55" t="s">
        <v>139</v>
      </c>
      <c r="AK16" s="55">
        <v>8</v>
      </c>
      <c r="AL16" s="55" t="s">
        <v>139</v>
      </c>
      <c r="AM16" s="55">
        <v>0</v>
      </c>
      <c r="AN16" s="55" t="s">
        <v>139</v>
      </c>
      <c r="AO16" s="55">
        <v>0</v>
      </c>
      <c r="AP16" s="55" t="s">
        <v>139</v>
      </c>
      <c r="AQ16" s="55" t="s">
        <v>139</v>
      </c>
      <c r="AR16" s="55">
        <v>27</v>
      </c>
      <c r="AS16" s="55" t="s">
        <v>139</v>
      </c>
      <c r="AT16" s="55">
        <v>6</v>
      </c>
      <c r="AU16" s="55" t="s">
        <v>139</v>
      </c>
      <c r="AV16" s="55">
        <v>7</v>
      </c>
      <c r="AW16" s="55">
        <v>0</v>
      </c>
      <c r="AX16" s="55" t="s">
        <v>139</v>
      </c>
      <c r="AY16" s="55" t="s">
        <v>139</v>
      </c>
      <c r="AZ16" s="55" t="s">
        <v>139</v>
      </c>
      <c r="BA16" s="55" t="s">
        <v>139</v>
      </c>
      <c r="BB16" s="55" t="s">
        <v>139</v>
      </c>
      <c r="BC16" s="55" t="s">
        <v>139</v>
      </c>
      <c r="BD16" s="55" t="s">
        <v>139</v>
      </c>
      <c r="BE16" s="55" t="s">
        <v>139</v>
      </c>
      <c r="BF16" s="55">
        <v>2</v>
      </c>
      <c r="BG16" s="55" t="s">
        <v>139</v>
      </c>
      <c r="BH16" s="55">
        <v>0</v>
      </c>
      <c r="BI16" s="55" t="s">
        <v>139</v>
      </c>
      <c r="BJ16" s="55">
        <v>4</v>
      </c>
      <c r="BK16" s="55">
        <v>8</v>
      </c>
      <c r="BL16" s="55" t="s">
        <v>139</v>
      </c>
      <c r="BM16" s="55" t="s">
        <v>139</v>
      </c>
    </row>
    <row r="17" spans="1:65" ht="15" customHeight="1" x14ac:dyDescent="0.2">
      <c r="A17" s="55" t="s">
        <v>158</v>
      </c>
      <c r="B17" s="55" t="s">
        <v>139</v>
      </c>
      <c r="C17" s="55">
        <v>1</v>
      </c>
      <c r="D17" s="55" t="s">
        <v>139</v>
      </c>
      <c r="E17" s="55">
        <v>3</v>
      </c>
      <c r="F17" s="55">
        <v>71</v>
      </c>
      <c r="G17" s="55" t="s">
        <v>139</v>
      </c>
      <c r="H17" s="55" t="s">
        <v>139</v>
      </c>
      <c r="I17" s="55">
        <v>0</v>
      </c>
      <c r="J17" s="55" t="s">
        <v>139</v>
      </c>
      <c r="K17" s="55" t="s">
        <v>139</v>
      </c>
      <c r="L17" s="55" t="s">
        <v>139</v>
      </c>
      <c r="M17" s="55" t="s">
        <v>139</v>
      </c>
      <c r="N17" s="55" t="s">
        <v>139</v>
      </c>
      <c r="O17" s="55" t="s">
        <v>139</v>
      </c>
      <c r="P17" s="55" t="s">
        <v>139</v>
      </c>
      <c r="Q17" s="55" t="s">
        <v>139</v>
      </c>
      <c r="R17" s="55" t="s">
        <v>139</v>
      </c>
      <c r="S17" s="55">
        <v>0</v>
      </c>
      <c r="T17" s="55">
        <v>10</v>
      </c>
      <c r="U17" s="55" t="s">
        <v>139</v>
      </c>
      <c r="V17" s="55" t="s">
        <v>139</v>
      </c>
      <c r="W17" s="55">
        <v>0</v>
      </c>
      <c r="X17" s="55" t="s">
        <v>139</v>
      </c>
      <c r="Y17" s="55">
        <v>0</v>
      </c>
      <c r="Z17" s="55" t="s">
        <v>139</v>
      </c>
      <c r="AA17" s="55" t="s">
        <v>139</v>
      </c>
      <c r="AB17" s="55" t="s">
        <v>139</v>
      </c>
      <c r="AC17" s="55" t="s">
        <v>139</v>
      </c>
      <c r="AD17" s="55" t="s">
        <v>139</v>
      </c>
      <c r="AE17" s="55" t="s">
        <v>139</v>
      </c>
      <c r="AF17" s="55" t="s">
        <v>139</v>
      </c>
      <c r="AG17" s="55" t="s">
        <v>139</v>
      </c>
      <c r="AH17" s="55">
        <v>27</v>
      </c>
      <c r="AI17" s="55" t="s">
        <v>139</v>
      </c>
      <c r="AJ17" s="55" t="s">
        <v>139</v>
      </c>
      <c r="AK17" s="55">
        <v>13</v>
      </c>
      <c r="AL17" s="55" t="s">
        <v>139</v>
      </c>
      <c r="AM17" s="55">
        <v>0</v>
      </c>
      <c r="AN17" s="55" t="s">
        <v>139</v>
      </c>
      <c r="AO17" s="55">
        <v>0</v>
      </c>
      <c r="AP17" s="55" t="s">
        <v>139</v>
      </c>
      <c r="AQ17" s="55" t="s">
        <v>139</v>
      </c>
      <c r="AR17" s="55">
        <v>20</v>
      </c>
      <c r="AS17" s="55" t="s">
        <v>139</v>
      </c>
      <c r="AT17" s="55">
        <v>4</v>
      </c>
      <c r="AU17" s="55" t="s">
        <v>139</v>
      </c>
      <c r="AV17" s="55">
        <v>8</v>
      </c>
      <c r="AW17" s="55">
        <v>0</v>
      </c>
      <c r="AX17" s="55" t="s">
        <v>139</v>
      </c>
      <c r="AY17" s="55" t="s">
        <v>139</v>
      </c>
      <c r="AZ17" s="55" t="s">
        <v>139</v>
      </c>
      <c r="BA17" s="55" t="s">
        <v>139</v>
      </c>
      <c r="BB17" s="55" t="s">
        <v>139</v>
      </c>
      <c r="BC17" s="55" t="s">
        <v>139</v>
      </c>
      <c r="BD17" s="55" t="s">
        <v>139</v>
      </c>
      <c r="BE17" s="55" t="s">
        <v>139</v>
      </c>
      <c r="BF17" s="55">
        <v>3</v>
      </c>
      <c r="BG17" s="55" t="s">
        <v>139</v>
      </c>
      <c r="BH17" s="55">
        <v>2</v>
      </c>
      <c r="BI17" s="55" t="s">
        <v>139</v>
      </c>
      <c r="BJ17" s="55">
        <v>2</v>
      </c>
      <c r="BK17" s="55">
        <v>17</v>
      </c>
      <c r="BL17" s="55" t="s">
        <v>139</v>
      </c>
      <c r="BM17" s="55" t="s">
        <v>139</v>
      </c>
    </row>
    <row r="18" spans="1:65" ht="15" customHeight="1" x14ac:dyDescent="0.2">
      <c r="A18" s="55" t="s">
        <v>157</v>
      </c>
      <c r="B18" s="55" t="s">
        <v>139</v>
      </c>
      <c r="C18" s="55">
        <v>3</v>
      </c>
      <c r="D18" s="55" t="s">
        <v>139</v>
      </c>
      <c r="E18" s="55">
        <v>2</v>
      </c>
      <c r="F18" s="55">
        <v>58</v>
      </c>
      <c r="G18" s="55" t="s">
        <v>139</v>
      </c>
      <c r="H18" s="55" t="s">
        <v>139</v>
      </c>
      <c r="I18" s="55">
        <v>0</v>
      </c>
      <c r="J18" s="55" t="s">
        <v>139</v>
      </c>
      <c r="K18" s="55" t="s">
        <v>139</v>
      </c>
      <c r="L18" s="55" t="s">
        <v>139</v>
      </c>
      <c r="M18" s="55" t="s">
        <v>139</v>
      </c>
      <c r="N18" s="55" t="s">
        <v>139</v>
      </c>
      <c r="O18" s="55" t="s">
        <v>139</v>
      </c>
      <c r="P18" s="55" t="s">
        <v>139</v>
      </c>
      <c r="Q18" s="55" t="s">
        <v>139</v>
      </c>
      <c r="R18" s="55" t="s">
        <v>139</v>
      </c>
      <c r="S18" s="55">
        <v>0</v>
      </c>
      <c r="T18" s="55">
        <v>7</v>
      </c>
      <c r="U18" s="55" t="s">
        <v>139</v>
      </c>
      <c r="V18" s="55" t="s">
        <v>139</v>
      </c>
      <c r="W18" s="55">
        <v>1</v>
      </c>
      <c r="X18" s="55" t="s">
        <v>139</v>
      </c>
      <c r="Y18" s="55">
        <v>0</v>
      </c>
      <c r="Z18" s="55" t="s">
        <v>139</v>
      </c>
      <c r="AA18" s="55" t="s">
        <v>139</v>
      </c>
      <c r="AB18" s="55" t="s">
        <v>139</v>
      </c>
      <c r="AC18" s="55" t="s">
        <v>139</v>
      </c>
      <c r="AD18" s="55" t="s">
        <v>139</v>
      </c>
      <c r="AE18" s="55" t="s">
        <v>139</v>
      </c>
      <c r="AF18" s="55" t="s">
        <v>139</v>
      </c>
      <c r="AG18" s="55" t="s">
        <v>139</v>
      </c>
      <c r="AH18" s="55">
        <v>23</v>
      </c>
      <c r="AI18" s="55" t="s">
        <v>139</v>
      </c>
      <c r="AJ18" s="55" t="s">
        <v>139</v>
      </c>
      <c r="AK18" s="55">
        <v>7</v>
      </c>
      <c r="AL18" s="55" t="s">
        <v>139</v>
      </c>
      <c r="AM18" s="55">
        <v>0</v>
      </c>
      <c r="AN18" s="55" t="s">
        <v>139</v>
      </c>
      <c r="AO18" s="55">
        <v>0</v>
      </c>
      <c r="AP18" s="55" t="s">
        <v>139</v>
      </c>
      <c r="AQ18" s="55" t="s">
        <v>139</v>
      </c>
      <c r="AR18" s="55">
        <v>29</v>
      </c>
      <c r="AS18" s="55" t="s">
        <v>139</v>
      </c>
      <c r="AT18" s="55">
        <v>5</v>
      </c>
      <c r="AU18" s="55" t="s">
        <v>139</v>
      </c>
      <c r="AV18" s="55">
        <v>12</v>
      </c>
      <c r="AW18" s="55">
        <v>0</v>
      </c>
      <c r="AX18" s="55" t="s">
        <v>139</v>
      </c>
      <c r="AY18" s="55" t="s">
        <v>139</v>
      </c>
      <c r="AZ18" s="55" t="s">
        <v>139</v>
      </c>
      <c r="BA18" s="55" t="s">
        <v>139</v>
      </c>
      <c r="BB18" s="55" t="s">
        <v>139</v>
      </c>
      <c r="BC18" s="55" t="s">
        <v>139</v>
      </c>
      <c r="BD18" s="55" t="s">
        <v>139</v>
      </c>
      <c r="BE18" s="55" t="s">
        <v>139</v>
      </c>
      <c r="BF18" s="55">
        <v>6</v>
      </c>
      <c r="BG18" s="55" t="s">
        <v>139</v>
      </c>
      <c r="BH18" s="55">
        <v>3</v>
      </c>
      <c r="BI18" s="55" t="s">
        <v>139</v>
      </c>
      <c r="BJ18" s="55">
        <v>5</v>
      </c>
      <c r="BK18" s="55">
        <v>8</v>
      </c>
      <c r="BL18" s="55" t="s">
        <v>139</v>
      </c>
      <c r="BM18" s="55" t="s">
        <v>139</v>
      </c>
    </row>
    <row r="19" spans="1:65" ht="15" customHeight="1" x14ac:dyDescent="0.2">
      <c r="A19" s="55" t="s">
        <v>156</v>
      </c>
      <c r="B19" s="55" t="s">
        <v>139</v>
      </c>
      <c r="C19" s="55">
        <v>0</v>
      </c>
      <c r="D19" s="55" t="s">
        <v>139</v>
      </c>
      <c r="E19" s="55">
        <v>7</v>
      </c>
      <c r="F19" s="55">
        <v>62</v>
      </c>
      <c r="G19" s="55" t="s">
        <v>139</v>
      </c>
      <c r="H19" s="55" t="s">
        <v>139</v>
      </c>
      <c r="I19" s="55">
        <v>0</v>
      </c>
      <c r="J19" s="55" t="s">
        <v>139</v>
      </c>
      <c r="K19" s="55" t="s">
        <v>139</v>
      </c>
      <c r="L19" s="55" t="s">
        <v>139</v>
      </c>
      <c r="M19" s="55" t="s">
        <v>139</v>
      </c>
      <c r="N19" s="55" t="s">
        <v>139</v>
      </c>
      <c r="O19" s="55" t="s">
        <v>139</v>
      </c>
      <c r="P19" s="55" t="s">
        <v>139</v>
      </c>
      <c r="Q19" s="55" t="s">
        <v>139</v>
      </c>
      <c r="R19" s="55" t="s">
        <v>139</v>
      </c>
      <c r="S19" s="55">
        <v>0</v>
      </c>
      <c r="T19" s="55">
        <v>10</v>
      </c>
      <c r="U19" s="55" t="s">
        <v>139</v>
      </c>
      <c r="V19" s="55" t="s">
        <v>139</v>
      </c>
      <c r="W19" s="55">
        <v>3</v>
      </c>
      <c r="X19" s="55" t="s">
        <v>139</v>
      </c>
      <c r="Y19" s="55">
        <v>0</v>
      </c>
      <c r="Z19" s="55" t="s">
        <v>139</v>
      </c>
      <c r="AA19" s="55" t="s">
        <v>139</v>
      </c>
      <c r="AB19" s="55" t="s">
        <v>139</v>
      </c>
      <c r="AC19" s="55" t="s">
        <v>139</v>
      </c>
      <c r="AD19" s="55" t="s">
        <v>139</v>
      </c>
      <c r="AE19" s="55" t="s">
        <v>139</v>
      </c>
      <c r="AF19" s="55" t="s">
        <v>139</v>
      </c>
      <c r="AG19" s="55" t="s">
        <v>139</v>
      </c>
      <c r="AH19" s="55">
        <v>20</v>
      </c>
      <c r="AI19" s="55" t="s">
        <v>139</v>
      </c>
      <c r="AJ19" s="55" t="s">
        <v>139</v>
      </c>
      <c r="AK19" s="55">
        <v>18</v>
      </c>
      <c r="AL19" s="55" t="s">
        <v>139</v>
      </c>
      <c r="AM19" s="55">
        <v>0</v>
      </c>
      <c r="AN19" s="55" t="s">
        <v>139</v>
      </c>
      <c r="AO19" s="55">
        <v>0</v>
      </c>
      <c r="AP19" s="55" t="s">
        <v>139</v>
      </c>
      <c r="AQ19" s="55" t="s">
        <v>139</v>
      </c>
      <c r="AR19" s="55">
        <v>35</v>
      </c>
      <c r="AS19" s="55" t="s">
        <v>139</v>
      </c>
      <c r="AT19" s="55">
        <v>5</v>
      </c>
      <c r="AU19" s="55" t="s">
        <v>139</v>
      </c>
      <c r="AV19" s="55">
        <v>8</v>
      </c>
      <c r="AW19" s="55">
        <v>0</v>
      </c>
      <c r="AX19" s="55" t="s">
        <v>139</v>
      </c>
      <c r="AY19" s="55" t="s">
        <v>139</v>
      </c>
      <c r="AZ19" s="55" t="s">
        <v>139</v>
      </c>
      <c r="BA19" s="55" t="s">
        <v>139</v>
      </c>
      <c r="BB19" s="55" t="s">
        <v>139</v>
      </c>
      <c r="BC19" s="55" t="s">
        <v>139</v>
      </c>
      <c r="BD19" s="55" t="s">
        <v>139</v>
      </c>
      <c r="BE19" s="55" t="s">
        <v>139</v>
      </c>
      <c r="BF19" s="55">
        <v>3</v>
      </c>
      <c r="BG19" s="55" t="s">
        <v>139</v>
      </c>
      <c r="BH19" s="55">
        <v>1</v>
      </c>
      <c r="BI19" s="55" t="s">
        <v>139</v>
      </c>
      <c r="BJ19" s="55">
        <v>6</v>
      </c>
      <c r="BK19" s="55">
        <v>12</v>
      </c>
      <c r="BL19" s="55" t="s">
        <v>139</v>
      </c>
      <c r="BM19" s="55" t="s">
        <v>139</v>
      </c>
    </row>
    <row r="20" spans="1:65" ht="15" customHeight="1" x14ac:dyDescent="0.2">
      <c r="A20" s="55" t="s">
        <v>155</v>
      </c>
      <c r="B20" s="55" t="s">
        <v>139</v>
      </c>
      <c r="C20" s="55">
        <v>0</v>
      </c>
      <c r="D20" s="55" t="s">
        <v>139</v>
      </c>
      <c r="E20" s="55">
        <v>13</v>
      </c>
      <c r="F20" s="55">
        <v>80</v>
      </c>
      <c r="G20" s="55" t="s">
        <v>139</v>
      </c>
      <c r="H20" s="55" t="s">
        <v>139</v>
      </c>
      <c r="I20" s="55">
        <v>1</v>
      </c>
      <c r="J20" s="55" t="s">
        <v>139</v>
      </c>
      <c r="K20" s="55" t="s">
        <v>139</v>
      </c>
      <c r="L20" s="55" t="s">
        <v>139</v>
      </c>
      <c r="M20" s="55" t="s">
        <v>139</v>
      </c>
      <c r="N20" s="55" t="s">
        <v>139</v>
      </c>
      <c r="O20" s="55" t="s">
        <v>139</v>
      </c>
      <c r="P20" s="55" t="s">
        <v>139</v>
      </c>
      <c r="Q20" s="55" t="s">
        <v>139</v>
      </c>
      <c r="R20" s="55" t="s">
        <v>139</v>
      </c>
      <c r="S20" s="55">
        <v>1</v>
      </c>
      <c r="T20" s="55">
        <v>8</v>
      </c>
      <c r="U20" s="55" t="s">
        <v>139</v>
      </c>
      <c r="V20" s="55" t="s">
        <v>139</v>
      </c>
      <c r="W20" s="55">
        <v>3</v>
      </c>
      <c r="X20" s="55" t="s">
        <v>139</v>
      </c>
      <c r="Y20" s="55">
        <v>0</v>
      </c>
      <c r="Z20" s="55" t="s">
        <v>139</v>
      </c>
      <c r="AA20" s="55" t="s">
        <v>139</v>
      </c>
      <c r="AB20" s="55" t="s">
        <v>139</v>
      </c>
      <c r="AC20" s="55" t="s">
        <v>139</v>
      </c>
      <c r="AD20" s="55" t="s">
        <v>139</v>
      </c>
      <c r="AE20" s="55" t="s">
        <v>139</v>
      </c>
      <c r="AF20" s="55" t="s">
        <v>139</v>
      </c>
      <c r="AG20" s="55" t="s">
        <v>139</v>
      </c>
      <c r="AH20" s="55">
        <v>16</v>
      </c>
      <c r="AI20" s="55" t="s">
        <v>139</v>
      </c>
      <c r="AJ20" s="55" t="s">
        <v>139</v>
      </c>
      <c r="AK20" s="55">
        <v>33</v>
      </c>
      <c r="AL20" s="55" t="s">
        <v>139</v>
      </c>
      <c r="AM20" s="55">
        <v>0</v>
      </c>
      <c r="AN20" s="55" t="s">
        <v>139</v>
      </c>
      <c r="AO20" s="55">
        <v>0</v>
      </c>
      <c r="AP20" s="55" t="s">
        <v>139</v>
      </c>
      <c r="AQ20" s="55" t="s">
        <v>139</v>
      </c>
      <c r="AR20" s="55">
        <v>49</v>
      </c>
      <c r="AS20" s="55" t="s">
        <v>139</v>
      </c>
      <c r="AT20" s="55">
        <v>8</v>
      </c>
      <c r="AU20" s="55" t="s">
        <v>139</v>
      </c>
      <c r="AV20" s="55">
        <v>19</v>
      </c>
      <c r="AW20" s="55">
        <v>0</v>
      </c>
      <c r="AX20" s="55" t="s">
        <v>139</v>
      </c>
      <c r="AY20" s="55" t="s">
        <v>139</v>
      </c>
      <c r="AZ20" s="55" t="s">
        <v>139</v>
      </c>
      <c r="BA20" s="55" t="s">
        <v>139</v>
      </c>
      <c r="BB20" s="55" t="s">
        <v>139</v>
      </c>
      <c r="BC20" s="55" t="s">
        <v>139</v>
      </c>
      <c r="BD20" s="55" t="s">
        <v>139</v>
      </c>
      <c r="BE20" s="55" t="s">
        <v>139</v>
      </c>
      <c r="BF20" s="55">
        <v>11</v>
      </c>
      <c r="BG20" s="55" t="s">
        <v>139</v>
      </c>
      <c r="BH20" s="55">
        <v>6</v>
      </c>
      <c r="BI20" s="55" t="s">
        <v>139</v>
      </c>
      <c r="BJ20" s="55">
        <v>16</v>
      </c>
      <c r="BK20" s="55">
        <v>21</v>
      </c>
      <c r="BL20" s="55" t="s">
        <v>139</v>
      </c>
      <c r="BM20" s="55" t="s">
        <v>139</v>
      </c>
    </row>
    <row r="21" spans="1:65" ht="15" customHeight="1" x14ac:dyDescent="0.2">
      <c r="A21" s="55" t="s">
        <v>154</v>
      </c>
      <c r="B21" s="55" t="s">
        <v>139</v>
      </c>
      <c r="C21" s="55">
        <v>0</v>
      </c>
      <c r="D21" s="55" t="s">
        <v>139</v>
      </c>
      <c r="E21" s="55">
        <v>19</v>
      </c>
      <c r="F21" s="55">
        <v>93</v>
      </c>
      <c r="G21" s="55" t="s">
        <v>139</v>
      </c>
      <c r="H21" s="55" t="s">
        <v>139</v>
      </c>
      <c r="I21" s="55">
        <v>0</v>
      </c>
      <c r="J21" s="55" t="s">
        <v>139</v>
      </c>
      <c r="K21" s="55" t="s">
        <v>139</v>
      </c>
      <c r="L21" s="55" t="s">
        <v>139</v>
      </c>
      <c r="M21" s="55" t="s">
        <v>139</v>
      </c>
      <c r="N21" s="55" t="s">
        <v>139</v>
      </c>
      <c r="O21" s="55" t="s">
        <v>139</v>
      </c>
      <c r="P21" s="55" t="s">
        <v>139</v>
      </c>
      <c r="Q21" s="55" t="s">
        <v>139</v>
      </c>
      <c r="R21" s="55" t="s">
        <v>139</v>
      </c>
      <c r="S21" s="55">
        <v>2</v>
      </c>
      <c r="T21" s="55">
        <v>20</v>
      </c>
      <c r="U21" s="55" t="s">
        <v>139</v>
      </c>
      <c r="V21" s="55" t="s">
        <v>139</v>
      </c>
      <c r="W21" s="55">
        <v>5</v>
      </c>
      <c r="X21" s="55" t="s">
        <v>139</v>
      </c>
      <c r="Y21" s="55">
        <v>0</v>
      </c>
      <c r="Z21" s="55" t="s">
        <v>139</v>
      </c>
      <c r="AA21" s="55" t="s">
        <v>139</v>
      </c>
      <c r="AB21" s="55" t="s">
        <v>139</v>
      </c>
      <c r="AC21" s="55" t="s">
        <v>139</v>
      </c>
      <c r="AD21" s="55" t="s">
        <v>139</v>
      </c>
      <c r="AE21" s="55" t="s">
        <v>139</v>
      </c>
      <c r="AF21" s="55" t="s">
        <v>139</v>
      </c>
      <c r="AG21" s="55" t="s">
        <v>139</v>
      </c>
      <c r="AH21" s="55">
        <v>25</v>
      </c>
      <c r="AI21" s="55" t="s">
        <v>139</v>
      </c>
      <c r="AJ21" s="55" t="s">
        <v>139</v>
      </c>
      <c r="AK21" s="55">
        <v>21</v>
      </c>
      <c r="AL21" s="55" t="s">
        <v>139</v>
      </c>
      <c r="AM21" s="55">
        <v>0</v>
      </c>
      <c r="AN21" s="55" t="s">
        <v>139</v>
      </c>
      <c r="AO21" s="55">
        <v>0</v>
      </c>
      <c r="AP21" s="55" t="s">
        <v>139</v>
      </c>
      <c r="AQ21" s="55" t="s">
        <v>139</v>
      </c>
      <c r="AR21" s="55">
        <v>46</v>
      </c>
      <c r="AS21" s="55" t="s">
        <v>139</v>
      </c>
      <c r="AT21" s="55">
        <v>14</v>
      </c>
      <c r="AU21" s="55" t="s">
        <v>139</v>
      </c>
      <c r="AV21" s="55">
        <v>23</v>
      </c>
      <c r="AW21" s="55">
        <v>0</v>
      </c>
      <c r="AX21" s="55" t="s">
        <v>139</v>
      </c>
      <c r="AY21" s="55" t="s">
        <v>139</v>
      </c>
      <c r="AZ21" s="55" t="s">
        <v>139</v>
      </c>
      <c r="BA21" s="55" t="s">
        <v>139</v>
      </c>
      <c r="BB21" s="55" t="s">
        <v>139</v>
      </c>
      <c r="BC21" s="55" t="s">
        <v>139</v>
      </c>
      <c r="BD21" s="55" t="s">
        <v>139</v>
      </c>
      <c r="BE21" s="55" t="s">
        <v>139</v>
      </c>
      <c r="BF21" s="55">
        <v>9</v>
      </c>
      <c r="BG21" s="55" t="s">
        <v>139</v>
      </c>
      <c r="BH21" s="55">
        <v>3</v>
      </c>
      <c r="BI21" s="55" t="s">
        <v>139</v>
      </c>
      <c r="BJ21" s="55">
        <v>16</v>
      </c>
      <c r="BK21" s="55">
        <v>13</v>
      </c>
      <c r="BL21" s="55" t="s">
        <v>139</v>
      </c>
      <c r="BM21" s="55" t="s">
        <v>139</v>
      </c>
    </row>
    <row r="22" spans="1:65" ht="15" customHeight="1" x14ac:dyDescent="0.2">
      <c r="A22" s="55" t="s">
        <v>153</v>
      </c>
      <c r="B22" s="55" t="s">
        <v>139</v>
      </c>
      <c r="C22" s="55">
        <v>1</v>
      </c>
      <c r="D22" s="55" t="s">
        <v>139</v>
      </c>
      <c r="E22" s="55">
        <v>8</v>
      </c>
      <c r="F22" s="55">
        <v>64</v>
      </c>
      <c r="G22" s="55" t="s">
        <v>139</v>
      </c>
      <c r="H22" s="55" t="s">
        <v>139</v>
      </c>
      <c r="I22" s="55">
        <v>0</v>
      </c>
      <c r="J22" s="55" t="s">
        <v>139</v>
      </c>
      <c r="K22" s="55" t="s">
        <v>139</v>
      </c>
      <c r="L22" s="55" t="s">
        <v>139</v>
      </c>
      <c r="M22" s="55" t="s">
        <v>139</v>
      </c>
      <c r="N22" s="55" t="s">
        <v>139</v>
      </c>
      <c r="O22" s="55" t="s">
        <v>139</v>
      </c>
      <c r="P22" s="55" t="s">
        <v>139</v>
      </c>
      <c r="Q22" s="55" t="s">
        <v>139</v>
      </c>
      <c r="R22" s="55" t="s">
        <v>139</v>
      </c>
      <c r="S22" s="55">
        <v>1</v>
      </c>
      <c r="T22" s="55">
        <v>9</v>
      </c>
      <c r="U22" s="55" t="s">
        <v>139</v>
      </c>
      <c r="V22" s="55" t="s">
        <v>139</v>
      </c>
      <c r="W22" s="55">
        <v>1</v>
      </c>
      <c r="X22" s="55" t="s">
        <v>139</v>
      </c>
      <c r="Y22" s="55">
        <v>0</v>
      </c>
      <c r="Z22" s="55" t="s">
        <v>139</v>
      </c>
      <c r="AA22" s="55" t="s">
        <v>139</v>
      </c>
      <c r="AB22" s="55" t="s">
        <v>139</v>
      </c>
      <c r="AC22" s="55" t="s">
        <v>139</v>
      </c>
      <c r="AD22" s="55" t="s">
        <v>139</v>
      </c>
      <c r="AE22" s="55" t="s">
        <v>139</v>
      </c>
      <c r="AF22" s="55" t="s">
        <v>139</v>
      </c>
      <c r="AG22" s="55" t="s">
        <v>139</v>
      </c>
      <c r="AH22" s="55">
        <v>18</v>
      </c>
      <c r="AI22" s="55" t="s">
        <v>139</v>
      </c>
      <c r="AJ22" s="55" t="s">
        <v>139</v>
      </c>
      <c r="AK22" s="55">
        <v>10</v>
      </c>
      <c r="AL22" s="55" t="s">
        <v>139</v>
      </c>
      <c r="AM22" s="55">
        <v>0</v>
      </c>
      <c r="AN22" s="55" t="s">
        <v>139</v>
      </c>
      <c r="AO22" s="55">
        <v>0</v>
      </c>
      <c r="AP22" s="55" t="s">
        <v>139</v>
      </c>
      <c r="AQ22" s="55" t="s">
        <v>139</v>
      </c>
      <c r="AR22" s="55">
        <v>42</v>
      </c>
      <c r="AS22" s="55" t="s">
        <v>139</v>
      </c>
      <c r="AT22" s="55">
        <v>16</v>
      </c>
      <c r="AU22" s="55" t="s">
        <v>139</v>
      </c>
      <c r="AV22" s="55">
        <v>19</v>
      </c>
      <c r="AW22" s="55">
        <v>1</v>
      </c>
      <c r="AX22" s="55" t="s">
        <v>139</v>
      </c>
      <c r="AY22" s="55" t="s">
        <v>139</v>
      </c>
      <c r="AZ22" s="55" t="s">
        <v>139</v>
      </c>
      <c r="BA22" s="55" t="s">
        <v>139</v>
      </c>
      <c r="BB22" s="55" t="s">
        <v>139</v>
      </c>
      <c r="BC22" s="55" t="s">
        <v>139</v>
      </c>
      <c r="BD22" s="55" t="s">
        <v>139</v>
      </c>
      <c r="BE22" s="55" t="s">
        <v>139</v>
      </c>
      <c r="BF22" s="55">
        <v>7</v>
      </c>
      <c r="BG22" s="55" t="s">
        <v>139</v>
      </c>
      <c r="BH22" s="55">
        <v>7</v>
      </c>
      <c r="BI22" s="55" t="s">
        <v>139</v>
      </c>
      <c r="BJ22" s="55">
        <v>11</v>
      </c>
      <c r="BK22" s="55">
        <v>10</v>
      </c>
      <c r="BL22" s="55" t="s">
        <v>139</v>
      </c>
      <c r="BM22" s="55" t="s">
        <v>139</v>
      </c>
    </row>
    <row r="23" spans="1:65" ht="15" customHeight="1" x14ac:dyDescent="0.2">
      <c r="A23" s="55" t="s">
        <v>152</v>
      </c>
      <c r="B23" s="55" t="s">
        <v>139</v>
      </c>
      <c r="C23" s="55">
        <v>0</v>
      </c>
      <c r="D23" s="55" t="s">
        <v>139</v>
      </c>
      <c r="E23" s="55">
        <v>5</v>
      </c>
      <c r="F23" s="55">
        <v>47</v>
      </c>
      <c r="G23" s="55" t="s">
        <v>139</v>
      </c>
      <c r="H23" s="55" t="s">
        <v>139</v>
      </c>
      <c r="I23" s="55">
        <v>0</v>
      </c>
      <c r="J23" s="55" t="s">
        <v>139</v>
      </c>
      <c r="K23" s="55" t="s">
        <v>139</v>
      </c>
      <c r="L23" s="55" t="s">
        <v>139</v>
      </c>
      <c r="M23" s="55" t="s">
        <v>139</v>
      </c>
      <c r="N23" s="55" t="s">
        <v>139</v>
      </c>
      <c r="O23" s="55" t="s">
        <v>139</v>
      </c>
      <c r="P23" s="55" t="s">
        <v>139</v>
      </c>
      <c r="Q23" s="55" t="s">
        <v>139</v>
      </c>
      <c r="R23" s="55" t="s">
        <v>139</v>
      </c>
      <c r="S23" s="55">
        <v>2</v>
      </c>
      <c r="T23" s="55">
        <v>15</v>
      </c>
      <c r="U23" s="55" t="s">
        <v>139</v>
      </c>
      <c r="V23" s="55" t="s">
        <v>139</v>
      </c>
      <c r="W23" s="55">
        <v>3</v>
      </c>
      <c r="X23" s="55" t="s">
        <v>139</v>
      </c>
      <c r="Y23" s="55">
        <v>0</v>
      </c>
      <c r="Z23" s="55" t="s">
        <v>139</v>
      </c>
      <c r="AA23" s="55" t="s">
        <v>139</v>
      </c>
      <c r="AB23" s="55" t="s">
        <v>139</v>
      </c>
      <c r="AC23" s="55" t="s">
        <v>139</v>
      </c>
      <c r="AD23" s="55" t="s">
        <v>139</v>
      </c>
      <c r="AE23" s="55" t="s">
        <v>139</v>
      </c>
      <c r="AF23" s="55" t="s">
        <v>139</v>
      </c>
      <c r="AG23" s="55" t="s">
        <v>139</v>
      </c>
      <c r="AH23" s="55">
        <v>28</v>
      </c>
      <c r="AI23" s="55" t="s">
        <v>139</v>
      </c>
      <c r="AJ23" s="55" t="s">
        <v>139</v>
      </c>
      <c r="AK23" s="55">
        <v>10</v>
      </c>
      <c r="AL23" s="55" t="s">
        <v>139</v>
      </c>
      <c r="AM23" s="55">
        <v>0</v>
      </c>
      <c r="AN23" s="55" t="s">
        <v>139</v>
      </c>
      <c r="AO23" s="55">
        <v>0</v>
      </c>
      <c r="AP23" s="55" t="s">
        <v>139</v>
      </c>
      <c r="AQ23" s="55" t="s">
        <v>139</v>
      </c>
      <c r="AR23" s="55">
        <v>53</v>
      </c>
      <c r="AS23" s="55" t="s">
        <v>139</v>
      </c>
      <c r="AT23" s="55">
        <v>17</v>
      </c>
      <c r="AU23" s="55" t="s">
        <v>139</v>
      </c>
      <c r="AV23" s="55">
        <v>15</v>
      </c>
      <c r="AW23" s="55">
        <v>0</v>
      </c>
      <c r="AX23" s="55" t="s">
        <v>139</v>
      </c>
      <c r="AY23" s="55" t="s">
        <v>139</v>
      </c>
      <c r="AZ23" s="55" t="s">
        <v>139</v>
      </c>
      <c r="BA23" s="55" t="s">
        <v>139</v>
      </c>
      <c r="BB23" s="55" t="s">
        <v>139</v>
      </c>
      <c r="BC23" s="55" t="s">
        <v>139</v>
      </c>
      <c r="BD23" s="55" t="s">
        <v>139</v>
      </c>
      <c r="BE23" s="55" t="s">
        <v>139</v>
      </c>
      <c r="BF23" s="55">
        <v>8</v>
      </c>
      <c r="BG23" s="55" t="s">
        <v>139</v>
      </c>
      <c r="BH23" s="55">
        <v>5</v>
      </c>
      <c r="BI23" s="55" t="s">
        <v>139</v>
      </c>
      <c r="BJ23" s="55">
        <v>4</v>
      </c>
      <c r="BK23" s="55">
        <v>8</v>
      </c>
      <c r="BL23" s="55" t="s">
        <v>139</v>
      </c>
      <c r="BM23" s="55" t="s">
        <v>139</v>
      </c>
    </row>
    <row r="24" spans="1:65" ht="15" customHeight="1" x14ac:dyDescent="0.2">
      <c r="A24" s="55" t="s">
        <v>151</v>
      </c>
      <c r="B24" s="55" t="s">
        <v>139</v>
      </c>
      <c r="C24" s="55">
        <v>3</v>
      </c>
      <c r="D24" s="55" t="s">
        <v>139</v>
      </c>
      <c r="E24" s="55">
        <v>2</v>
      </c>
      <c r="F24" s="55">
        <v>53</v>
      </c>
      <c r="G24" s="55" t="s">
        <v>139</v>
      </c>
      <c r="H24" s="55" t="s">
        <v>139</v>
      </c>
      <c r="I24" s="55">
        <v>0</v>
      </c>
      <c r="J24" s="55" t="s">
        <v>139</v>
      </c>
      <c r="K24" s="55" t="s">
        <v>139</v>
      </c>
      <c r="L24" s="55" t="s">
        <v>139</v>
      </c>
      <c r="M24" s="55" t="s">
        <v>139</v>
      </c>
      <c r="N24" s="55" t="s">
        <v>139</v>
      </c>
      <c r="O24" s="55" t="s">
        <v>139</v>
      </c>
      <c r="P24" s="55" t="s">
        <v>139</v>
      </c>
      <c r="Q24" s="55" t="s">
        <v>139</v>
      </c>
      <c r="R24" s="55" t="s">
        <v>139</v>
      </c>
      <c r="S24" s="55">
        <v>0</v>
      </c>
      <c r="T24" s="55">
        <v>11</v>
      </c>
      <c r="U24" s="55" t="s">
        <v>139</v>
      </c>
      <c r="V24" s="55" t="s">
        <v>139</v>
      </c>
      <c r="W24" s="55">
        <v>4</v>
      </c>
      <c r="X24" s="55" t="s">
        <v>139</v>
      </c>
      <c r="Y24" s="55">
        <v>0</v>
      </c>
      <c r="Z24" s="55" t="s">
        <v>139</v>
      </c>
      <c r="AA24" s="55" t="s">
        <v>139</v>
      </c>
      <c r="AB24" s="55" t="s">
        <v>139</v>
      </c>
      <c r="AC24" s="55" t="s">
        <v>139</v>
      </c>
      <c r="AD24" s="55" t="s">
        <v>139</v>
      </c>
      <c r="AE24" s="55" t="s">
        <v>139</v>
      </c>
      <c r="AF24" s="55" t="s">
        <v>139</v>
      </c>
      <c r="AG24" s="55" t="s">
        <v>139</v>
      </c>
      <c r="AH24" s="55">
        <v>21</v>
      </c>
      <c r="AI24" s="55" t="s">
        <v>139</v>
      </c>
      <c r="AJ24" s="55" t="s">
        <v>139</v>
      </c>
      <c r="AK24" s="55">
        <v>4</v>
      </c>
      <c r="AL24" s="55" t="s">
        <v>139</v>
      </c>
      <c r="AM24" s="55">
        <v>3</v>
      </c>
      <c r="AN24" s="55" t="s">
        <v>139</v>
      </c>
      <c r="AO24" s="55">
        <v>0</v>
      </c>
      <c r="AP24" s="55" t="s">
        <v>139</v>
      </c>
      <c r="AQ24" s="55" t="s">
        <v>139</v>
      </c>
      <c r="AR24" s="55">
        <v>68</v>
      </c>
      <c r="AS24" s="55" t="s">
        <v>139</v>
      </c>
      <c r="AT24" s="55">
        <v>17</v>
      </c>
      <c r="AU24" s="55" t="s">
        <v>139</v>
      </c>
      <c r="AV24" s="55">
        <v>15</v>
      </c>
      <c r="AW24" s="55">
        <v>0</v>
      </c>
      <c r="AX24" s="55" t="s">
        <v>139</v>
      </c>
      <c r="AY24" s="55" t="s">
        <v>139</v>
      </c>
      <c r="AZ24" s="55" t="s">
        <v>139</v>
      </c>
      <c r="BA24" s="55" t="s">
        <v>139</v>
      </c>
      <c r="BB24" s="55" t="s">
        <v>139</v>
      </c>
      <c r="BC24" s="55" t="s">
        <v>139</v>
      </c>
      <c r="BD24" s="55" t="s">
        <v>139</v>
      </c>
      <c r="BE24" s="55" t="s">
        <v>139</v>
      </c>
      <c r="BF24" s="55">
        <v>11</v>
      </c>
      <c r="BG24" s="55" t="s">
        <v>139</v>
      </c>
      <c r="BH24" s="55">
        <v>8</v>
      </c>
      <c r="BI24" s="55" t="s">
        <v>139</v>
      </c>
      <c r="BJ24" s="55">
        <v>6</v>
      </c>
      <c r="BK24" s="55">
        <v>7</v>
      </c>
      <c r="BL24" s="55" t="s">
        <v>139</v>
      </c>
      <c r="BM24" s="55" t="s">
        <v>139</v>
      </c>
    </row>
    <row r="25" spans="1:65" ht="15" customHeight="1" x14ac:dyDescent="0.2">
      <c r="A25" s="55" t="s">
        <v>150</v>
      </c>
      <c r="B25" s="55" t="s">
        <v>139</v>
      </c>
      <c r="C25" s="55">
        <v>0</v>
      </c>
      <c r="D25" s="55" t="s">
        <v>139</v>
      </c>
      <c r="E25" s="55">
        <v>5</v>
      </c>
      <c r="F25" s="55">
        <v>51</v>
      </c>
      <c r="G25" s="55" t="s">
        <v>139</v>
      </c>
      <c r="H25" s="55" t="s">
        <v>139</v>
      </c>
      <c r="I25" s="55">
        <v>0</v>
      </c>
      <c r="J25" s="55" t="s">
        <v>139</v>
      </c>
      <c r="K25" s="55" t="s">
        <v>139</v>
      </c>
      <c r="L25" s="55" t="s">
        <v>139</v>
      </c>
      <c r="M25" s="55" t="s">
        <v>139</v>
      </c>
      <c r="N25" s="55" t="s">
        <v>139</v>
      </c>
      <c r="O25" s="55" t="s">
        <v>139</v>
      </c>
      <c r="P25" s="55" t="s">
        <v>139</v>
      </c>
      <c r="Q25" s="55" t="s">
        <v>139</v>
      </c>
      <c r="R25" s="55" t="s">
        <v>139</v>
      </c>
      <c r="S25" s="55">
        <v>0</v>
      </c>
      <c r="T25" s="55">
        <v>11</v>
      </c>
      <c r="U25" s="55" t="s">
        <v>139</v>
      </c>
      <c r="V25" s="55" t="s">
        <v>139</v>
      </c>
      <c r="W25" s="55">
        <v>6</v>
      </c>
      <c r="X25" s="55" t="s">
        <v>139</v>
      </c>
      <c r="Y25" s="55">
        <v>0</v>
      </c>
      <c r="Z25" s="55" t="s">
        <v>139</v>
      </c>
      <c r="AA25" s="55" t="s">
        <v>139</v>
      </c>
      <c r="AB25" s="55" t="s">
        <v>139</v>
      </c>
      <c r="AC25" s="55" t="s">
        <v>139</v>
      </c>
      <c r="AD25" s="55" t="s">
        <v>139</v>
      </c>
      <c r="AE25" s="55" t="s">
        <v>139</v>
      </c>
      <c r="AF25" s="55" t="s">
        <v>139</v>
      </c>
      <c r="AG25" s="55" t="s">
        <v>139</v>
      </c>
      <c r="AH25" s="55">
        <v>21</v>
      </c>
      <c r="AI25" s="55" t="s">
        <v>139</v>
      </c>
      <c r="AJ25" s="55" t="s">
        <v>139</v>
      </c>
      <c r="AK25" s="55">
        <v>4</v>
      </c>
      <c r="AL25" s="55" t="s">
        <v>139</v>
      </c>
      <c r="AM25" s="55">
        <v>1</v>
      </c>
      <c r="AN25" s="55" t="s">
        <v>139</v>
      </c>
      <c r="AO25" s="55">
        <v>0</v>
      </c>
      <c r="AP25" s="55" t="s">
        <v>139</v>
      </c>
      <c r="AQ25" s="55" t="s">
        <v>139</v>
      </c>
      <c r="AR25" s="55">
        <v>51</v>
      </c>
      <c r="AS25" s="55" t="s">
        <v>139</v>
      </c>
      <c r="AT25" s="55">
        <v>26</v>
      </c>
      <c r="AU25" s="55" t="s">
        <v>139</v>
      </c>
      <c r="AV25" s="55">
        <v>18</v>
      </c>
      <c r="AW25" s="55">
        <v>0</v>
      </c>
      <c r="AX25" s="55" t="s">
        <v>139</v>
      </c>
      <c r="AY25" s="55" t="s">
        <v>139</v>
      </c>
      <c r="AZ25" s="55" t="s">
        <v>139</v>
      </c>
      <c r="BA25" s="55" t="s">
        <v>139</v>
      </c>
      <c r="BB25" s="55" t="s">
        <v>139</v>
      </c>
      <c r="BC25" s="55" t="s">
        <v>139</v>
      </c>
      <c r="BD25" s="55" t="s">
        <v>139</v>
      </c>
      <c r="BE25" s="55" t="s">
        <v>139</v>
      </c>
      <c r="BF25" s="55">
        <v>5</v>
      </c>
      <c r="BG25" s="55" t="s">
        <v>139</v>
      </c>
      <c r="BH25" s="55">
        <v>3</v>
      </c>
      <c r="BI25" s="55" t="s">
        <v>139</v>
      </c>
      <c r="BJ25" s="55">
        <v>4</v>
      </c>
      <c r="BK25" s="55">
        <v>5</v>
      </c>
      <c r="BL25" s="55" t="s">
        <v>139</v>
      </c>
      <c r="BM25" s="55" t="s">
        <v>139</v>
      </c>
    </row>
    <row r="26" spans="1:65" ht="15" customHeight="1" x14ac:dyDescent="0.2">
      <c r="A26" s="55" t="s">
        <v>149</v>
      </c>
      <c r="B26" s="55" t="s">
        <v>139</v>
      </c>
      <c r="C26" s="55">
        <v>0</v>
      </c>
      <c r="D26" s="55" t="s">
        <v>139</v>
      </c>
      <c r="E26" s="55">
        <v>8</v>
      </c>
      <c r="F26" s="55">
        <v>36</v>
      </c>
      <c r="G26" s="55" t="s">
        <v>139</v>
      </c>
      <c r="H26" s="55" t="s">
        <v>139</v>
      </c>
      <c r="I26" s="55">
        <v>0</v>
      </c>
      <c r="J26" s="55" t="s">
        <v>139</v>
      </c>
      <c r="K26" s="55" t="s">
        <v>139</v>
      </c>
      <c r="L26" s="55" t="s">
        <v>139</v>
      </c>
      <c r="M26" s="55" t="s">
        <v>139</v>
      </c>
      <c r="N26" s="55" t="s">
        <v>139</v>
      </c>
      <c r="O26" s="55" t="s">
        <v>139</v>
      </c>
      <c r="P26" s="55" t="s">
        <v>139</v>
      </c>
      <c r="Q26" s="55" t="s">
        <v>139</v>
      </c>
      <c r="R26" s="55" t="s">
        <v>139</v>
      </c>
      <c r="S26" s="55">
        <v>0</v>
      </c>
      <c r="T26" s="55">
        <v>10</v>
      </c>
      <c r="U26" s="55" t="s">
        <v>139</v>
      </c>
      <c r="V26" s="55" t="s">
        <v>139</v>
      </c>
      <c r="W26" s="55">
        <v>2</v>
      </c>
      <c r="X26" s="55" t="s">
        <v>139</v>
      </c>
      <c r="Y26" s="55">
        <v>1</v>
      </c>
      <c r="Z26" s="55" t="s">
        <v>139</v>
      </c>
      <c r="AA26" s="55" t="s">
        <v>139</v>
      </c>
      <c r="AB26" s="55" t="s">
        <v>139</v>
      </c>
      <c r="AC26" s="55" t="s">
        <v>139</v>
      </c>
      <c r="AD26" s="55" t="s">
        <v>139</v>
      </c>
      <c r="AE26" s="55" t="s">
        <v>139</v>
      </c>
      <c r="AF26" s="55" t="s">
        <v>139</v>
      </c>
      <c r="AG26" s="55" t="s">
        <v>139</v>
      </c>
      <c r="AH26" s="55">
        <v>20</v>
      </c>
      <c r="AI26" s="55" t="s">
        <v>139</v>
      </c>
      <c r="AJ26" s="55" t="s">
        <v>139</v>
      </c>
      <c r="AK26" s="55">
        <v>7</v>
      </c>
      <c r="AL26" s="55" t="s">
        <v>139</v>
      </c>
      <c r="AM26" s="55">
        <v>0</v>
      </c>
      <c r="AN26" s="55" t="s">
        <v>139</v>
      </c>
      <c r="AO26" s="55">
        <v>0</v>
      </c>
      <c r="AP26" s="55" t="s">
        <v>139</v>
      </c>
      <c r="AQ26" s="55" t="s">
        <v>139</v>
      </c>
      <c r="AR26" s="55">
        <v>52</v>
      </c>
      <c r="AS26" s="55" t="s">
        <v>139</v>
      </c>
      <c r="AT26" s="55">
        <v>20</v>
      </c>
      <c r="AU26" s="55" t="s">
        <v>139</v>
      </c>
      <c r="AV26" s="55">
        <v>19</v>
      </c>
      <c r="AW26" s="55">
        <v>0</v>
      </c>
      <c r="AX26" s="55" t="s">
        <v>139</v>
      </c>
      <c r="AY26" s="55" t="s">
        <v>139</v>
      </c>
      <c r="AZ26" s="55" t="s">
        <v>139</v>
      </c>
      <c r="BA26" s="55" t="s">
        <v>139</v>
      </c>
      <c r="BB26" s="55" t="s">
        <v>139</v>
      </c>
      <c r="BC26" s="55" t="s">
        <v>139</v>
      </c>
      <c r="BD26" s="55" t="s">
        <v>139</v>
      </c>
      <c r="BE26" s="55" t="s">
        <v>139</v>
      </c>
      <c r="BF26" s="55">
        <v>7</v>
      </c>
      <c r="BG26" s="55" t="s">
        <v>139</v>
      </c>
      <c r="BH26" s="55">
        <v>3</v>
      </c>
      <c r="BI26" s="55" t="s">
        <v>139</v>
      </c>
      <c r="BJ26" s="55">
        <v>5</v>
      </c>
      <c r="BK26" s="55">
        <v>6</v>
      </c>
      <c r="BL26" s="55" t="s">
        <v>139</v>
      </c>
      <c r="BM26" s="55" t="s">
        <v>139</v>
      </c>
    </row>
    <row r="27" spans="1:65" ht="15" customHeight="1" x14ac:dyDescent="0.2">
      <c r="A27" s="55" t="s">
        <v>148</v>
      </c>
      <c r="B27" s="55" t="s">
        <v>139</v>
      </c>
      <c r="C27" s="55">
        <v>0</v>
      </c>
      <c r="D27" s="55" t="s">
        <v>139</v>
      </c>
      <c r="E27" s="55">
        <v>0</v>
      </c>
      <c r="F27" s="55">
        <v>0</v>
      </c>
      <c r="G27" s="55" t="s">
        <v>139</v>
      </c>
      <c r="H27" s="55" t="s">
        <v>139</v>
      </c>
      <c r="I27" s="55">
        <v>0</v>
      </c>
      <c r="J27" s="55" t="s">
        <v>139</v>
      </c>
      <c r="K27" s="55" t="s">
        <v>139</v>
      </c>
      <c r="L27" s="55" t="s">
        <v>139</v>
      </c>
      <c r="M27" s="55" t="s">
        <v>139</v>
      </c>
      <c r="N27" s="55" t="s">
        <v>139</v>
      </c>
      <c r="O27" s="55" t="s">
        <v>139</v>
      </c>
      <c r="P27" s="55" t="s">
        <v>139</v>
      </c>
      <c r="Q27" s="55" t="s">
        <v>139</v>
      </c>
      <c r="R27" s="55" t="s">
        <v>139</v>
      </c>
      <c r="S27" s="55">
        <v>0</v>
      </c>
      <c r="T27" s="55">
        <v>0</v>
      </c>
      <c r="U27" s="55" t="s">
        <v>139</v>
      </c>
      <c r="V27" s="55" t="s">
        <v>139</v>
      </c>
      <c r="W27" s="55">
        <v>0</v>
      </c>
      <c r="X27" s="55" t="s">
        <v>139</v>
      </c>
      <c r="Y27" s="55">
        <v>0</v>
      </c>
      <c r="Z27" s="55" t="s">
        <v>139</v>
      </c>
      <c r="AA27" s="55" t="s">
        <v>139</v>
      </c>
      <c r="AB27" s="55" t="s">
        <v>139</v>
      </c>
      <c r="AC27" s="55" t="s">
        <v>139</v>
      </c>
      <c r="AD27" s="55" t="s">
        <v>139</v>
      </c>
      <c r="AE27" s="55" t="s">
        <v>139</v>
      </c>
      <c r="AF27" s="55" t="s">
        <v>139</v>
      </c>
      <c r="AG27" s="55" t="s">
        <v>139</v>
      </c>
      <c r="AH27" s="55">
        <v>0</v>
      </c>
      <c r="AI27" s="55" t="s">
        <v>139</v>
      </c>
      <c r="AJ27" s="55" t="s">
        <v>139</v>
      </c>
      <c r="AK27" s="55">
        <v>0</v>
      </c>
      <c r="AL27" s="55" t="s">
        <v>139</v>
      </c>
      <c r="AM27" s="55">
        <v>0</v>
      </c>
      <c r="AN27" s="55" t="s">
        <v>139</v>
      </c>
      <c r="AO27" s="55">
        <v>0</v>
      </c>
      <c r="AP27" s="55" t="s">
        <v>139</v>
      </c>
      <c r="AQ27" s="55" t="s">
        <v>139</v>
      </c>
      <c r="AR27" s="55">
        <v>0</v>
      </c>
      <c r="AS27" s="55" t="s">
        <v>139</v>
      </c>
      <c r="AT27" s="55">
        <v>0</v>
      </c>
      <c r="AU27" s="55" t="s">
        <v>139</v>
      </c>
      <c r="AV27" s="55">
        <v>0</v>
      </c>
      <c r="AW27" s="55">
        <v>0</v>
      </c>
      <c r="AX27" s="55" t="s">
        <v>139</v>
      </c>
      <c r="AY27" s="55" t="s">
        <v>139</v>
      </c>
      <c r="AZ27" s="55" t="s">
        <v>139</v>
      </c>
      <c r="BA27" s="55" t="s">
        <v>139</v>
      </c>
      <c r="BB27" s="55" t="s">
        <v>139</v>
      </c>
      <c r="BC27" s="55" t="s">
        <v>139</v>
      </c>
      <c r="BD27" s="55" t="s">
        <v>139</v>
      </c>
      <c r="BE27" s="55" t="s">
        <v>139</v>
      </c>
      <c r="BF27" s="55">
        <v>0</v>
      </c>
      <c r="BG27" s="55" t="s">
        <v>139</v>
      </c>
      <c r="BH27" s="55">
        <v>0</v>
      </c>
      <c r="BI27" s="55" t="s">
        <v>139</v>
      </c>
      <c r="BJ27" s="55">
        <v>1</v>
      </c>
      <c r="BK27" s="55">
        <v>0</v>
      </c>
      <c r="BL27" s="55" t="s">
        <v>139</v>
      </c>
      <c r="BM27" s="55" t="s">
        <v>139</v>
      </c>
    </row>
    <row r="28" spans="1:65" ht="15" customHeight="1" x14ac:dyDescent="0.2">
      <c r="A28" s="55" t="s">
        <v>147</v>
      </c>
      <c r="B28" s="55" t="s">
        <v>139</v>
      </c>
      <c r="C28" s="55">
        <v>0</v>
      </c>
      <c r="D28" s="55" t="s">
        <v>139</v>
      </c>
      <c r="E28" s="55">
        <v>11</v>
      </c>
      <c r="F28" s="55">
        <v>62</v>
      </c>
      <c r="G28" s="55" t="s">
        <v>139</v>
      </c>
      <c r="H28" s="55" t="s">
        <v>139</v>
      </c>
      <c r="I28" s="55">
        <v>0</v>
      </c>
      <c r="J28" s="55" t="s">
        <v>139</v>
      </c>
      <c r="K28" s="55" t="s">
        <v>139</v>
      </c>
      <c r="L28" s="55" t="s">
        <v>139</v>
      </c>
      <c r="M28" s="55" t="s">
        <v>139</v>
      </c>
      <c r="N28" s="55" t="s">
        <v>139</v>
      </c>
      <c r="O28" s="55" t="s">
        <v>139</v>
      </c>
      <c r="P28" s="55" t="s">
        <v>139</v>
      </c>
      <c r="Q28" s="55" t="s">
        <v>139</v>
      </c>
      <c r="R28" s="55" t="s">
        <v>139</v>
      </c>
      <c r="S28" s="55">
        <v>0</v>
      </c>
      <c r="T28" s="55">
        <v>11</v>
      </c>
      <c r="U28" s="55" t="s">
        <v>139</v>
      </c>
      <c r="V28" s="55" t="s">
        <v>139</v>
      </c>
      <c r="W28" s="55">
        <v>5</v>
      </c>
      <c r="X28" s="55" t="s">
        <v>139</v>
      </c>
      <c r="Y28" s="55">
        <v>0</v>
      </c>
      <c r="Z28" s="55" t="s">
        <v>139</v>
      </c>
      <c r="AA28" s="55" t="s">
        <v>139</v>
      </c>
      <c r="AB28" s="55" t="s">
        <v>139</v>
      </c>
      <c r="AC28" s="55" t="s">
        <v>139</v>
      </c>
      <c r="AD28" s="55" t="s">
        <v>139</v>
      </c>
      <c r="AE28" s="55" t="s">
        <v>139</v>
      </c>
      <c r="AF28" s="55" t="s">
        <v>139</v>
      </c>
      <c r="AG28" s="55" t="s">
        <v>139</v>
      </c>
      <c r="AH28" s="55">
        <v>20</v>
      </c>
      <c r="AI28" s="55" t="s">
        <v>139</v>
      </c>
      <c r="AJ28" s="55" t="s">
        <v>139</v>
      </c>
      <c r="AK28" s="55">
        <v>14</v>
      </c>
      <c r="AL28" s="55" t="s">
        <v>139</v>
      </c>
      <c r="AM28" s="55">
        <v>1</v>
      </c>
      <c r="AN28" s="55" t="s">
        <v>139</v>
      </c>
      <c r="AO28" s="55">
        <v>0</v>
      </c>
      <c r="AP28" s="55" t="s">
        <v>139</v>
      </c>
      <c r="AQ28" s="55" t="s">
        <v>139</v>
      </c>
      <c r="AR28" s="55">
        <v>97</v>
      </c>
      <c r="AS28" s="55" t="s">
        <v>139</v>
      </c>
      <c r="AT28" s="55">
        <v>25</v>
      </c>
      <c r="AU28" s="55" t="s">
        <v>139</v>
      </c>
      <c r="AV28" s="55">
        <v>22</v>
      </c>
      <c r="AW28" s="55">
        <v>1</v>
      </c>
      <c r="AX28" s="55" t="s">
        <v>139</v>
      </c>
      <c r="AY28" s="55" t="s">
        <v>139</v>
      </c>
      <c r="AZ28" s="55" t="s">
        <v>139</v>
      </c>
      <c r="BA28" s="55" t="s">
        <v>139</v>
      </c>
      <c r="BB28" s="55" t="s">
        <v>139</v>
      </c>
      <c r="BC28" s="55" t="s">
        <v>139</v>
      </c>
      <c r="BD28" s="55" t="s">
        <v>139</v>
      </c>
      <c r="BE28" s="55" t="s">
        <v>139</v>
      </c>
      <c r="BF28" s="55">
        <v>26</v>
      </c>
      <c r="BG28" s="55" t="s">
        <v>139</v>
      </c>
      <c r="BH28" s="55">
        <v>10</v>
      </c>
      <c r="BI28" s="55" t="s">
        <v>139</v>
      </c>
      <c r="BJ28" s="55">
        <v>8</v>
      </c>
      <c r="BK28" s="55">
        <v>11</v>
      </c>
      <c r="BL28" s="55" t="s">
        <v>139</v>
      </c>
      <c r="BM28" s="55" t="s">
        <v>139</v>
      </c>
    </row>
    <row r="29" spans="1:65" ht="15" customHeight="1" x14ac:dyDescent="0.2">
      <c r="A29" s="55" t="s">
        <v>146</v>
      </c>
      <c r="B29" s="55" t="s">
        <v>139</v>
      </c>
      <c r="C29" s="55">
        <v>0</v>
      </c>
      <c r="D29" s="55" t="s">
        <v>139</v>
      </c>
      <c r="E29" s="55">
        <v>15</v>
      </c>
      <c r="F29" s="55">
        <v>47</v>
      </c>
      <c r="G29" s="55" t="s">
        <v>139</v>
      </c>
      <c r="H29" s="55" t="s">
        <v>139</v>
      </c>
      <c r="I29" s="55">
        <v>0</v>
      </c>
      <c r="J29" s="55" t="s">
        <v>139</v>
      </c>
      <c r="K29" s="55" t="s">
        <v>139</v>
      </c>
      <c r="L29" s="55" t="s">
        <v>139</v>
      </c>
      <c r="M29" s="55" t="s">
        <v>139</v>
      </c>
      <c r="N29" s="55" t="s">
        <v>139</v>
      </c>
      <c r="O29" s="55" t="s">
        <v>139</v>
      </c>
      <c r="P29" s="55" t="s">
        <v>139</v>
      </c>
      <c r="Q29" s="55" t="s">
        <v>139</v>
      </c>
      <c r="R29" s="55" t="s">
        <v>139</v>
      </c>
      <c r="S29" s="55">
        <v>0</v>
      </c>
      <c r="T29" s="55">
        <v>13</v>
      </c>
      <c r="U29" s="55" t="s">
        <v>139</v>
      </c>
      <c r="V29" s="55" t="s">
        <v>139</v>
      </c>
      <c r="W29" s="55">
        <v>2</v>
      </c>
      <c r="X29" s="55" t="s">
        <v>139</v>
      </c>
      <c r="Y29" s="55">
        <v>0</v>
      </c>
      <c r="Z29" s="55" t="s">
        <v>139</v>
      </c>
      <c r="AA29" s="55" t="s">
        <v>139</v>
      </c>
      <c r="AB29" s="55" t="s">
        <v>139</v>
      </c>
      <c r="AC29" s="55" t="s">
        <v>139</v>
      </c>
      <c r="AD29" s="55" t="s">
        <v>139</v>
      </c>
      <c r="AE29" s="55" t="s">
        <v>139</v>
      </c>
      <c r="AF29" s="55" t="s">
        <v>139</v>
      </c>
      <c r="AG29" s="55" t="s">
        <v>139</v>
      </c>
      <c r="AH29" s="55">
        <v>22</v>
      </c>
      <c r="AI29" s="55" t="s">
        <v>139</v>
      </c>
      <c r="AJ29" s="55" t="s">
        <v>139</v>
      </c>
      <c r="AK29" s="55">
        <v>11</v>
      </c>
      <c r="AL29" s="55" t="s">
        <v>139</v>
      </c>
      <c r="AM29" s="55">
        <v>0</v>
      </c>
      <c r="AN29" s="55" t="s">
        <v>139</v>
      </c>
      <c r="AO29" s="55">
        <v>0</v>
      </c>
      <c r="AP29" s="55" t="s">
        <v>139</v>
      </c>
      <c r="AQ29" s="55" t="s">
        <v>139</v>
      </c>
      <c r="AR29" s="55">
        <v>112</v>
      </c>
      <c r="AS29" s="55" t="s">
        <v>139</v>
      </c>
      <c r="AT29" s="55">
        <v>29</v>
      </c>
      <c r="AU29" s="55" t="s">
        <v>139</v>
      </c>
      <c r="AV29" s="55">
        <v>18</v>
      </c>
      <c r="AW29" s="55">
        <v>1</v>
      </c>
      <c r="AX29" s="55" t="s">
        <v>139</v>
      </c>
      <c r="AY29" s="55" t="s">
        <v>139</v>
      </c>
      <c r="AZ29" s="55" t="s">
        <v>139</v>
      </c>
      <c r="BA29" s="55" t="s">
        <v>139</v>
      </c>
      <c r="BB29" s="55" t="s">
        <v>139</v>
      </c>
      <c r="BC29" s="55" t="s">
        <v>139</v>
      </c>
      <c r="BD29" s="55" t="s">
        <v>139</v>
      </c>
      <c r="BE29" s="55" t="s">
        <v>139</v>
      </c>
      <c r="BF29" s="55">
        <v>14</v>
      </c>
      <c r="BG29" s="55" t="s">
        <v>139</v>
      </c>
      <c r="BH29" s="55">
        <v>15</v>
      </c>
      <c r="BI29" s="55" t="s">
        <v>139</v>
      </c>
      <c r="BJ29" s="55">
        <v>10</v>
      </c>
      <c r="BK29" s="55">
        <v>12</v>
      </c>
      <c r="BL29" s="55" t="s">
        <v>139</v>
      </c>
      <c r="BM29" s="55" t="s">
        <v>139</v>
      </c>
    </row>
    <row r="30" spans="1:65" ht="15" customHeight="1" x14ac:dyDescent="0.2">
      <c r="A30" s="55" t="s">
        <v>145</v>
      </c>
      <c r="B30" s="55" t="s">
        <v>139</v>
      </c>
      <c r="C30" s="55">
        <v>6</v>
      </c>
      <c r="D30" s="55" t="s">
        <v>139</v>
      </c>
      <c r="E30" s="55">
        <v>8</v>
      </c>
      <c r="F30" s="55">
        <v>68</v>
      </c>
      <c r="G30" s="55" t="s">
        <v>139</v>
      </c>
      <c r="H30" s="55" t="s">
        <v>139</v>
      </c>
      <c r="I30" s="55">
        <v>0</v>
      </c>
      <c r="J30" s="55" t="s">
        <v>139</v>
      </c>
      <c r="K30" s="55" t="s">
        <v>139</v>
      </c>
      <c r="L30" s="55" t="s">
        <v>139</v>
      </c>
      <c r="M30" s="55" t="s">
        <v>139</v>
      </c>
      <c r="N30" s="55" t="s">
        <v>139</v>
      </c>
      <c r="O30" s="55" t="s">
        <v>139</v>
      </c>
      <c r="P30" s="55" t="s">
        <v>139</v>
      </c>
      <c r="Q30" s="55" t="s">
        <v>139</v>
      </c>
      <c r="R30" s="55" t="s">
        <v>139</v>
      </c>
      <c r="S30" s="55">
        <v>1</v>
      </c>
      <c r="T30" s="55">
        <v>19</v>
      </c>
      <c r="U30" s="55" t="s">
        <v>139</v>
      </c>
      <c r="V30" s="55" t="s">
        <v>139</v>
      </c>
      <c r="W30" s="55">
        <v>10</v>
      </c>
      <c r="X30" s="55" t="s">
        <v>139</v>
      </c>
      <c r="Y30" s="55">
        <v>0</v>
      </c>
      <c r="Z30" s="55" t="s">
        <v>139</v>
      </c>
      <c r="AA30" s="55" t="s">
        <v>139</v>
      </c>
      <c r="AB30" s="55" t="s">
        <v>139</v>
      </c>
      <c r="AC30" s="55" t="s">
        <v>139</v>
      </c>
      <c r="AD30" s="55" t="s">
        <v>139</v>
      </c>
      <c r="AE30" s="55" t="s">
        <v>139</v>
      </c>
      <c r="AF30" s="55" t="s">
        <v>139</v>
      </c>
      <c r="AG30" s="55" t="s">
        <v>139</v>
      </c>
      <c r="AH30" s="55">
        <v>23</v>
      </c>
      <c r="AI30" s="55" t="s">
        <v>139</v>
      </c>
      <c r="AJ30" s="55" t="s">
        <v>139</v>
      </c>
      <c r="AK30" s="55">
        <v>17</v>
      </c>
      <c r="AL30" s="55" t="s">
        <v>139</v>
      </c>
      <c r="AM30" s="55">
        <v>2</v>
      </c>
      <c r="AN30" s="55" t="s">
        <v>139</v>
      </c>
      <c r="AO30" s="55">
        <v>0</v>
      </c>
      <c r="AP30" s="55" t="s">
        <v>139</v>
      </c>
      <c r="AQ30" s="55" t="s">
        <v>139</v>
      </c>
      <c r="AR30" s="55">
        <v>97</v>
      </c>
      <c r="AS30" s="55" t="s">
        <v>139</v>
      </c>
      <c r="AT30" s="55">
        <v>35</v>
      </c>
      <c r="AU30" s="55" t="s">
        <v>139</v>
      </c>
      <c r="AV30" s="55">
        <v>22</v>
      </c>
      <c r="AW30" s="55">
        <v>0</v>
      </c>
      <c r="AX30" s="55" t="s">
        <v>139</v>
      </c>
      <c r="AY30" s="55" t="s">
        <v>139</v>
      </c>
      <c r="AZ30" s="55" t="s">
        <v>139</v>
      </c>
      <c r="BA30" s="55" t="s">
        <v>139</v>
      </c>
      <c r="BB30" s="55" t="s">
        <v>139</v>
      </c>
      <c r="BC30" s="55" t="s">
        <v>139</v>
      </c>
      <c r="BD30" s="55" t="s">
        <v>139</v>
      </c>
      <c r="BE30" s="55" t="s">
        <v>139</v>
      </c>
      <c r="BF30" s="55">
        <v>7</v>
      </c>
      <c r="BG30" s="55" t="s">
        <v>139</v>
      </c>
      <c r="BH30" s="55">
        <v>9</v>
      </c>
      <c r="BI30" s="55" t="s">
        <v>139</v>
      </c>
      <c r="BJ30" s="55">
        <v>13</v>
      </c>
      <c r="BK30" s="55">
        <v>8</v>
      </c>
      <c r="BL30" s="55" t="s">
        <v>139</v>
      </c>
      <c r="BM30" s="55" t="s">
        <v>139</v>
      </c>
    </row>
    <row r="31" spans="1:65" ht="15" customHeight="1" x14ac:dyDescent="0.2">
      <c r="A31" s="55" t="s">
        <v>144</v>
      </c>
      <c r="B31" s="55" t="s">
        <v>139</v>
      </c>
      <c r="C31" s="55">
        <v>2</v>
      </c>
      <c r="D31" s="55" t="s">
        <v>139</v>
      </c>
      <c r="E31" s="55">
        <v>13</v>
      </c>
      <c r="F31" s="55">
        <v>52</v>
      </c>
      <c r="G31" s="55" t="s">
        <v>139</v>
      </c>
      <c r="H31" s="55" t="s">
        <v>139</v>
      </c>
      <c r="I31" s="55">
        <v>0</v>
      </c>
      <c r="J31" s="55" t="s">
        <v>139</v>
      </c>
      <c r="K31" s="55" t="s">
        <v>139</v>
      </c>
      <c r="L31" s="55" t="s">
        <v>139</v>
      </c>
      <c r="M31" s="55" t="s">
        <v>139</v>
      </c>
      <c r="N31" s="55" t="s">
        <v>139</v>
      </c>
      <c r="O31" s="55" t="s">
        <v>139</v>
      </c>
      <c r="P31" s="55" t="s">
        <v>139</v>
      </c>
      <c r="Q31" s="55" t="s">
        <v>139</v>
      </c>
      <c r="R31" s="55" t="s">
        <v>139</v>
      </c>
      <c r="S31" s="55">
        <v>0</v>
      </c>
      <c r="T31" s="55">
        <v>18</v>
      </c>
      <c r="U31" s="55" t="s">
        <v>139</v>
      </c>
      <c r="V31" s="55" t="s">
        <v>139</v>
      </c>
      <c r="W31" s="55">
        <v>6</v>
      </c>
      <c r="X31" s="55" t="s">
        <v>139</v>
      </c>
      <c r="Y31" s="55">
        <v>0</v>
      </c>
      <c r="Z31" s="55" t="s">
        <v>139</v>
      </c>
      <c r="AA31" s="55" t="s">
        <v>139</v>
      </c>
      <c r="AB31" s="55" t="s">
        <v>139</v>
      </c>
      <c r="AC31" s="55" t="s">
        <v>139</v>
      </c>
      <c r="AD31" s="55" t="s">
        <v>139</v>
      </c>
      <c r="AE31" s="55" t="s">
        <v>139</v>
      </c>
      <c r="AF31" s="55" t="s">
        <v>139</v>
      </c>
      <c r="AG31" s="55" t="s">
        <v>139</v>
      </c>
      <c r="AH31" s="55">
        <v>26</v>
      </c>
      <c r="AI31" s="55" t="s">
        <v>139</v>
      </c>
      <c r="AJ31" s="55" t="s">
        <v>139</v>
      </c>
      <c r="AK31" s="55">
        <v>20</v>
      </c>
      <c r="AL31" s="55" t="s">
        <v>139</v>
      </c>
      <c r="AM31" s="55">
        <v>0</v>
      </c>
      <c r="AN31" s="55" t="s">
        <v>139</v>
      </c>
      <c r="AO31" s="55">
        <v>0</v>
      </c>
      <c r="AP31" s="55" t="s">
        <v>139</v>
      </c>
      <c r="AQ31" s="55" t="s">
        <v>139</v>
      </c>
      <c r="AR31" s="55">
        <v>118</v>
      </c>
      <c r="AS31" s="55" t="s">
        <v>139</v>
      </c>
      <c r="AT31" s="55">
        <v>25</v>
      </c>
      <c r="AU31" s="55" t="s">
        <v>139</v>
      </c>
      <c r="AV31" s="55">
        <v>20</v>
      </c>
      <c r="AW31" s="55">
        <v>0</v>
      </c>
      <c r="AX31" s="55" t="s">
        <v>139</v>
      </c>
      <c r="AY31" s="55" t="s">
        <v>139</v>
      </c>
      <c r="AZ31" s="55" t="s">
        <v>139</v>
      </c>
      <c r="BA31" s="55" t="s">
        <v>139</v>
      </c>
      <c r="BB31" s="55" t="s">
        <v>139</v>
      </c>
      <c r="BC31" s="55" t="s">
        <v>139</v>
      </c>
      <c r="BD31" s="55" t="s">
        <v>139</v>
      </c>
      <c r="BE31" s="55" t="s">
        <v>139</v>
      </c>
      <c r="BF31" s="55">
        <v>15</v>
      </c>
      <c r="BG31" s="55" t="s">
        <v>139</v>
      </c>
      <c r="BH31" s="55">
        <v>9</v>
      </c>
      <c r="BI31" s="55" t="s">
        <v>139</v>
      </c>
      <c r="BJ31" s="55">
        <v>8</v>
      </c>
      <c r="BK31" s="55">
        <v>7</v>
      </c>
      <c r="BL31" s="55" t="s">
        <v>139</v>
      </c>
      <c r="BM31" s="55" t="s">
        <v>139</v>
      </c>
    </row>
    <row r="32" spans="1:65" ht="15" customHeight="1" x14ac:dyDescent="0.2">
      <c r="A32" s="55" t="s">
        <v>143</v>
      </c>
      <c r="B32" s="55" t="s">
        <v>139</v>
      </c>
      <c r="C32" s="55">
        <v>4</v>
      </c>
      <c r="D32" s="55" t="s">
        <v>139</v>
      </c>
      <c r="E32" s="55">
        <v>8</v>
      </c>
      <c r="F32" s="55">
        <v>68</v>
      </c>
      <c r="G32" s="55" t="s">
        <v>139</v>
      </c>
      <c r="H32" s="55" t="s">
        <v>139</v>
      </c>
      <c r="I32" s="55">
        <v>1</v>
      </c>
      <c r="J32" s="55" t="s">
        <v>139</v>
      </c>
      <c r="K32" s="55" t="s">
        <v>139</v>
      </c>
      <c r="L32" s="55" t="s">
        <v>139</v>
      </c>
      <c r="M32" s="55" t="s">
        <v>139</v>
      </c>
      <c r="N32" s="55" t="s">
        <v>139</v>
      </c>
      <c r="O32" s="55" t="s">
        <v>139</v>
      </c>
      <c r="P32" s="55" t="s">
        <v>139</v>
      </c>
      <c r="Q32" s="55" t="s">
        <v>139</v>
      </c>
      <c r="R32" s="55" t="s">
        <v>139</v>
      </c>
      <c r="S32" s="55">
        <v>0</v>
      </c>
      <c r="T32" s="55">
        <v>25</v>
      </c>
      <c r="U32" s="55" t="s">
        <v>139</v>
      </c>
      <c r="V32" s="55" t="s">
        <v>139</v>
      </c>
      <c r="W32" s="55">
        <v>7</v>
      </c>
      <c r="X32" s="55" t="s">
        <v>139</v>
      </c>
      <c r="Y32" s="55">
        <v>0</v>
      </c>
      <c r="Z32" s="55" t="s">
        <v>139</v>
      </c>
      <c r="AA32" s="55" t="s">
        <v>139</v>
      </c>
      <c r="AB32" s="55" t="s">
        <v>139</v>
      </c>
      <c r="AC32" s="55" t="s">
        <v>139</v>
      </c>
      <c r="AD32" s="55" t="s">
        <v>139</v>
      </c>
      <c r="AE32" s="55" t="s">
        <v>139</v>
      </c>
      <c r="AF32" s="55" t="s">
        <v>139</v>
      </c>
      <c r="AG32" s="55" t="s">
        <v>139</v>
      </c>
      <c r="AH32" s="55">
        <v>33</v>
      </c>
      <c r="AI32" s="55" t="s">
        <v>139</v>
      </c>
      <c r="AJ32" s="55" t="s">
        <v>139</v>
      </c>
      <c r="AK32" s="55">
        <v>12</v>
      </c>
      <c r="AL32" s="55" t="s">
        <v>139</v>
      </c>
      <c r="AM32" s="55">
        <v>0</v>
      </c>
      <c r="AN32" s="55" t="s">
        <v>139</v>
      </c>
      <c r="AO32" s="55">
        <v>0</v>
      </c>
      <c r="AP32" s="55" t="s">
        <v>139</v>
      </c>
      <c r="AQ32" s="55" t="s">
        <v>139</v>
      </c>
      <c r="AR32" s="55">
        <v>115</v>
      </c>
      <c r="AS32" s="55" t="s">
        <v>139</v>
      </c>
      <c r="AT32" s="55">
        <v>34</v>
      </c>
      <c r="AU32" s="55" t="s">
        <v>139</v>
      </c>
      <c r="AV32" s="55">
        <v>25</v>
      </c>
      <c r="AW32" s="55">
        <v>0</v>
      </c>
      <c r="AX32" s="55" t="s">
        <v>139</v>
      </c>
      <c r="AY32" s="55" t="s">
        <v>139</v>
      </c>
      <c r="AZ32" s="55" t="s">
        <v>139</v>
      </c>
      <c r="BA32" s="55" t="s">
        <v>139</v>
      </c>
      <c r="BB32" s="55" t="s">
        <v>139</v>
      </c>
      <c r="BC32" s="55" t="s">
        <v>139</v>
      </c>
      <c r="BD32" s="55" t="s">
        <v>139</v>
      </c>
      <c r="BE32" s="55" t="s">
        <v>139</v>
      </c>
      <c r="BF32" s="55">
        <v>22</v>
      </c>
      <c r="BG32" s="55" t="s">
        <v>139</v>
      </c>
      <c r="BH32" s="55">
        <v>8</v>
      </c>
      <c r="BI32" s="55" t="s">
        <v>139</v>
      </c>
      <c r="BJ32" s="55">
        <v>18</v>
      </c>
      <c r="BK32" s="55">
        <v>6</v>
      </c>
      <c r="BL32" s="55" t="s">
        <v>139</v>
      </c>
      <c r="BM32" s="55" t="s">
        <v>139</v>
      </c>
    </row>
    <row r="33" spans="1:65" ht="15" customHeight="1" x14ac:dyDescent="0.2">
      <c r="A33" s="55" t="s">
        <v>142</v>
      </c>
      <c r="B33" s="55" t="s">
        <v>139</v>
      </c>
      <c r="C33" s="55">
        <v>1</v>
      </c>
      <c r="D33" s="55" t="s">
        <v>139</v>
      </c>
      <c r="E33" s="55">
        <v>12</v>
      </c>
      <c r="F33" s="55">
        <v>58</v>
      </c>
      <c r="G33" s="55" t="s">
        <v>139</v>
      </c>
      <c r="H33" s="55" t="s">
        <v>139</v>
      </c>
      <c r="I33" s="55">
        <v>0</v>
      </c>
      <c r="J33" s="55" t="s">
        <v>139</v>
      </c>
      <c r="K33" s="55" t="s">
        <v>139</v>
      </c>
      <c r="L33" s="55" t="s">
        <v>139</v>
      </c>
      <c r="M33" s="55" t="s">
        <v>139</v>
      </c>
      <c r="N33" s="55" t="s">
        <v>139</v>
      </c>
      <c r="O33" s="55" t="s">
        <v>139</v>
      </c>
      <c r="P33" s="55" t="s">
        <v>139</v>
      </c>
      <c r="Q33" s="55" t="s">
        <v>139</v>
      </c>
      <c r="R33" s="55" t="s">
        <v>139</v>
      </c>
      <c r="S33" s="55">
        <v>0</v>
      </c>
      <c r="T33" s="55">
        <v>17</v>
      </c>
      <c r="U33" s="55" t="s">
        <v>139</v>
      </c>
      <c r="V33" s="55" t="s">
        <v>139</v>
      </c>
      <c r="W33" s="55">
        <v>4</v>
      </c>
      <c r="X33" s="55" t="s">
        <v>139</v>
      </c>
      <c r="Y33" s="55">
        <v>0</v>
      </c>
      <c r="Z33" s="55" t="s">
        <v>139</v>
      </c>
      <c r="AA33" s="55" t="s">
        <v>139</v>
      </c>
      <c r="AB33" s="55" t="s">
        <v>139</v>
      </c>
      <c r="AC33" s="55" t="s">
        <v>139</v>
      </c>
      <c r="AD33" s="55" t="s">
        <v>139</v>
      </c>
      <c r="AE33" s="55" t="s">
        <v>139</v>
      </c>
      <c r="AF33" s="55" t="s">
        <v>139</v>
      </c>
      <c r="AG33" s="55" t="s">
        <v>139</v>
      </c>
      <c r="AH33" s="55">
        <v>17</v>
      </c>
      <c r="AI33" s="55" t="s">
        <v>139</v>
      </c>
      <c r="AJ33" s="55" t="s">
        <v>139</v>
      </c>
      <c r="AK33" s="55">
        <v>10</v>
      </c>
      <c r="AL33" s="55" t="s">
        <v>139</v>
      </c>
      <c r="AM33" s="55">
        <v>1</v>
      </c>
      <c r="AN33" s="55" t="s">
        <v>139</v>
      </c>
      <c r="AO33" s="55">
        <v>0</v>
      </c>
      <c r="AP33" s="55" t="s">
        <v>139</v>
      </c>
      <c r="AQ33" s="55" t="s">
        <v>139</v>
      </c>
      <c r="AR33" s="55">
        <v>113</v>
      </c>
      <c r="AS33" s="55" t="s">
        <v>139</v>
      </c>
      <c r="AT33" s="55">
        <v>23</v>
      </c>
      <c r="AU33" s="55" t="s">
        <v>139</v>
      </c>
      <c r="AV33" s="55">
        <v>31</v>
      </c>
      <c r="AW33" s="55">
        <v>0</v>
      </c>
      <c r="AX33" s="55" t="s">
        <v>139</v>
      </c>
      <c r="AY33" s="55" t="s">
        <v>139</v>
      </c>
      <c r="AZ33" s="55" t="s">
        <v>139</v>
      </c>
      <c r="BA33" s="55" t="s">
        <v>139</v>
      </c>
      <c r="BB33" s="55" t="s">
        <v>139</v>
      </c>
      <c r="BC33" s="55" t="s">
        <v>139</v>
      </c>
      <c r="BD33" s="55" t="s">
        <v>139</v>
      </c>
      <c r="BE33" s="55" t="s">
        <v>139</v>
      </c>
      <c r="BF33" s="55">
        <v>22</v>
      </c>
      <c r="BG33" s="55" t="s">
        <v>139</v>
      </c>
      <c r="BH33" s="55">
        <v>9</v>
      </c>
      <c r="BI33" s="55" t="s">
        <v>139</v>
      </c>
      <c r="BJ33" s="55">
        <v>16</v>
      </c>
      <c r="BK33" s="55">
        <v>9</v>
      </c>
      <c r="BL33" s="55" t="s">
        <v>139</v>
      </c>
      <c r="BM33" s="55" t="s">
        <v>139</v>
      </c>
    </row>
    <row r="34" spans="1:65" ht="15" customHeight="1" x14ac:dyDescent="0.2">
      <c r="A34" s="55" t="s">
        <v>141</v>
      </c>
      <c r="B34" s="55" t="s">
        <v>139</v>
      </c>
      <c r="C34" s="55">
        <v>6</v>
      </c>
      <c r="D34" s="55" t="s">
        <v>139</v>
      </c>
      <c r="E34" s="55">
        <v>12</v>
      </c>
      <c r="F34" s="55">
        <v>57</v>
      </c>
      <c r="G34" s="55" t="s">
        <v>139</v>
      </c>
      <c r="H34" s="55" t="s">
        <v>139</v>
      </c>
      <c r="I34" s="55">
        <v>2</v>
      </c>
      <c r="J34" s="55" t="s">
        <v>139</v>
      </c>
      <c r="K34" s="55" t="s">
        <v>139</v>
      </c>
      <c r="L34" s="55" t="s">
        <v>139</v>
      </c>
      <c r="M34" s="55" t="s">
        <v>139</v>
      </c>
      <c r="N34" s="55" t="s">
        <v>139</v>
      </c>
      <c r="O34" s="55" t="s">
        <v>139</v>
      </c>
      <c r="P34" s="55" t="s">
        <v>139</v>
      </c>
      <c r="Q34" s="55" t="s">
        <v>139</v>
      </c>
      <c r="R34" s="55" t="s">
        <v>139</v>
      </c>
      <c r="S34" s="55">
        <v>0</v>
      </c>
      <c r="T34" s="55">
        <v>13</v>
      </c>
      <c r="U34" s="55" t="s">
        <v>139</v>
      </c>
      <c r="V34" s="55" t="s">
        <v>139</v>
      </c>
      <c r="W34" s="55">
        <v>3</v>
      </c>
      <c r="X34" s="55" t="s">
        <v>139</v>
      </c>
      <c r="Y34" s="55">
        <v>0</v>
      </c>
      <c r="Z34" s="55" t="s">
        <v>139</v>
      </c>
      <c r="AA34" s="55" t="s">
        <v>139</v>
      </c>
      <c r="AB34" s="55" t="s">
        <v>139</v>
      </c>
      <c r="AC34" s="55" t="s">
        <v>139</v>
      </c>
      <c r="AD34" s="55" t="s">
        <v>139</v>
      </c>
      <c r="AE34" s="55" t="s">
        <v>139</v>
      </c>
      <c r="AF34" s="55" t="s">
        <v>139</v>
      </c>
      <c r="AG34" s="55" t="s">
        <v>139</v>
      </c>
      <c r="AH34" s="55">
        <v>39</v>
      </c>
      <c r="AI34" s="55" t="s">
        <v>139</v>
      </c>
      <c r="AJ34" s="55" t="s">
        <v>139</v>
      </c>
      <c r="AK34" s="55">
        <v>9</v>
      </c>
      <c r="AL34" s="55" t="s">
        <v>139</v>
      </c>
      <c r="AM34" s="55">
        <v>0</v>
      </c>
      <c r="AN34" s="55" t="s">
        <v>139</v>
      </c>
      <c r="AO34" s="55">
        <v>0</v>
      </c>
      <c r="AP34" s="55" t="s">
        <v>139</v>
      </c>
      <c r="AQ34" s="55" t="s">
        <v>139</v>
      </c>
      <c r="AR34" s="55">
        <v>115</v>
      </c>
      <c r="AS34" s="55" t="s">
        <v>139</v>
      </c>
      <c r="AT34" s="55">
        <v>32</v>
      </c>
      <c r="AU34" s="55" t="s">
        <v>139</v>
      </c>
      <c r="AV34" s="55">
        <v>32</v>
      </c>
      <c r="AW34" s="55">
        <v>0</v>
      </c>
      <c r="AX34" s="55" t="s">
        <v>139</v>
      </c>
      <c r="AY34" s="55" t="s">
        <v>139</v>
      </c>
      <c r="AZ34" s="55" t="s">
        <v>139</v>
      </c>
      <c r="BA34" s="55" t="s">
        <v>139</v>
      </c>
      <c r="BB34" s="55" t="s">
        <v>139</v>
      </c>
      <c r="BC34" s="55" t="s">
        <v>139</v>
      </c>
      <c r="BD34" s="55" t="s">
        <v>139</v>
      </c>
      <c r="BE34" s="55" t="s">
        <v>139</v>
      </c>
      <c r="BF34" s="55">
        <v>19</v>
      </c>
      <c r="BG34" s="55" t="s">
        <v>139</v>
      </c>
      <c r="BH34" s="55">
        <v>10</v>
      </c>
      <c r="BI34" s="55" t="s">
        <v>139</v>
      </c>
      <c r="BJ34" s="55">
        <v>11</v>
      </c>
      <c r="BK34" s="55">
        <v>11</v>
      </c>
      <c r="BL34" s="55" t="s">
        <v>139</v>
      </c>
      <c r="BM34" s="55" t="s">
        <v>139</v>
      </c>
    </row>
    <row r="35" spans="1:65" ht="15" customHeight="1" x14ac:dyDescent="0.2">
      <c r="A35" s="55" t="s">
        <v>140</v>
      </c>
      <c r="B35" s="55" t="s">
        <v>139</v>
      </c>
      <c r="C35" s="55">
        <v>2</v>
      </c>
      <c r="D35" s="55" t="s">
        <v>139</v>
      </c>
      <c r="E35" s="55">
        <v>12</v>
      </c>
      <c r="F35" s="55">
        <v>47</v>
      </c>
      <c r="G35" s="55" t="s">
        <v>139</v>
      </c>
      <c r="H35" s="55" t="s">
        <v>139</v>
      </c>
      <c r="I35" s="55">
        <v>0</v>
      </c>
      <c r="J35" s="55" t="s">
        <v>139</v>
      </c>
      <c r="K35" s="55" t="s">
        <v>139</v>
      </c>
      <c r="L35" s="55" t="s">
        <v>139</v>
      </c>
      <c r="M35" s="55" t="s">
        <v>139</v>
      </c>
      <c r="N35" s="55" t="s">
        <v>139</v>
      </c>
      <c r="O35" s="55" t="s">
        <v>139</v>
      </c>
      <c r="P35" s="55" t="s">
        <v>139</v>
      </c>
      <c r="Q35" s="55" t="s">
        <v>139</v>
      </c>
      <c r="R35" s="55" t="s">
        <v>139</v>
      </c>
      <c r="S35" s="55">
        <v>0</v>
      </c>
      <c r="T35" s="55">
        <v>12</v>
      </c>
      <c r="U35" s="55" t="s">
        <v>139</v>
      </c>
      <c r="V35" s="55" t="s">
        <v>139</v>
      </c>
      <c r="W35" s="55">
        <v>4</v>
      </c>
      <c r="X35" s="55" t="s">
        <v>139</v>
      </c>
      <c r="Y35" s="55">
        <v>0</v>
      </c>
      <c r="Z35" s="55" t="s">
        <v>139</v>
      </c>
      <c r="AA35" s="55" t="s">
        <v>139</v>
      </c>
      <c r="AB35" s="55" t="s">
        <v>139</v>
      </c>
      <c r="AC35" s="55" t="s">
        <v>139</v>
      </c>
      <c r="AD35" s="55" t="s">
        <v>139</v>
      </c>
      <c r="AE35" s="55" t="s">
        <v>139</v>
      </c>
      <c r="AF35" s="55" t="s">
        <v>139</v>
      </c>
      <c r="AG35" s="55" t="s">
        <v>139</v>
      </c>
      <c r="AH35" s="55">
        <v>21</v>
      </c>
      <c r="AI35" s="55" t="s">
        <v>139</v>
      </c>
      <c r="AJ35" s="55" t="s">
        <v>139</v>
      </c>
      <c r="AK35" s="55">
        <v>8</v>
      </c>
      <c r="AL35" s="55" t="s">
        <v>139</v>
      </c>
      <c r="AM35" s="55">
        <v>1</v>
      </c>
      <c r="AN35" s="55" t="s">
        <v>139</v>
      </c>
      <c r="AO35" s="55">
        <v>0</v>
      </c>
      <c r="AP35" s="55" t="s">
        <v>139</v>
      </c>
      <c r="AQ35" s="55" t="s">
        <v>139</v>
      </c>
      <c r="AR35" s="55">
        <v>104</v>
      </c>
      <c r="AS35" s="55" t="s">
        <v>139</v>
      </c>
      <c r="AT35" s="55">
        <v>30</v>
      </c>
      <c r="AU35" s="55" t="s">
        <v>139</v>
      </c>
      <c r="AV35" s="55">
        <v>29</v>
      </c>
      <c r="AW35" s="55">
        <v>0</v>
      </c>
      <c r="AX35" s="55" t="s">
        <v>139</v>
      </c>
      <c r="AY35" s="55" t="s">
        <v>139</v>
      </c>
      <c r="AZ35" s="55" t="s">
        <v>139</v>
      </c>
      <c r="BA35" s="55" t="s">
        <v>139</v>
      </c>
      <c r="BB35" s="55" t="s">
        <v>139</v>
      </c>
      <c r="BC35" s="55" t="s">
        <v>139</v>
      </c>
      <c r="BD35" s="55" t="s">
        <v>139</v>
      </c>
      <c r="BE35" s="55" t="s">
        <v>139</v>
      </c>
      <c r="BF35" s="55">
        <v>12</v>
      </c>
      <c r="BG35" s="55" t="s">
        <v>139</v>
      </c>
      <c r="BH35" s="55">
        <v>14</v>
      </c>
      <c r="BI35" s="55" t="s">
        <v>139</v>
      </c>
      <c r="BJ35" s="55">
        <v>15</v>
      </c>
      <c r="BK35" s="55">
        <v>4</v>
      </c>
      <c r="BL35" s="55" t="s">
        <v>139</v>
      </c>
      <c r="BM35" s="55" t="s">
        <v>139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E0707-455B-4D36-BC46-DE9AF3C51E4D}">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191</v>
      </c>
      <c r="B1" s="64"/>
      <c r="C1" s="63" t="s">
        <v>190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189</v>
      </c>
      <c r="B2" s="64"/>
      <c r="C2" s="63" t="s">
        <v>188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187</v>
      </c>
      <c r="B4" s="64"/>
      <c r="C4" s="63" t="s">
        <v>139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186</v>
      </c>
      <c r="B5" s="64"/>
      <c r="C5" s="63" t="s">
        <v>139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139</v>
      </c>
      <c r="B6" s="64"/>
      <c r="C6" s="63" t="s">
        <v>139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139</v>
      </c>
      <c r="B7" s="64"/>
      <c r="C7" s="63" t="s">
        <v>139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139</v>
      </c>
      <c r="B8" s="64"/>
      <c r="C8" s="63" t="s">
        <v>139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139</v>
      </c>
      <c r="B9" s="64"/>
      <c r="C9" s="63" t="s">
        <v>139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185</v>
      </c>
      <c r="B10" s="64"/>
      <c r="C10" s="63" t="s">
        <v>184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139</v>
      </c>
      <c r="B12" s="62" t="s">
        <v>181</v>
      </c>
      <c r="C12" s="61"/>
      <c r="D12" s="61"/>
      <c r="E12" s="61"/>
      <c r="F12" s="61"/>
      <c r="G12" s="61"/>
      <c r="H12" s="61"/>
      <c r="I12" s="60"/>
      <c r="J12" s="62" t="s">
        <v>177</v>
      </c>
      <c r="K12" s="61"/>
      <c r="L12" s="61"/>
      <c r="M12" s="61"/>
      <c r="N12" s="61"/>
      <c r="O12" s="61"/>
      <c r="P12" s="61"/>
      <c r="Q12" s="60"/>
      <c r="R12" s="62" t="s">
        <v>180</v>
      </c>
      <c r="S12" s="61"/>
      <c r="T12" s="61"/>
      <c r="U12" s="61"/>
      <c r="V12" s="61"/>
      <c r="W12" s="61"/>
      <c r="X12" s="61"/>
      <c r="Y12" s="60"/>
      <c r="Z12" s="62" t="s">
        <v>177</v>
      </c>
      <c r="AA12" s="61"/>
      <c r="AB12" s="61"/>
      <c r="AC12" s="61"/>
      <c r="AD12" s="61"/>
      <c r="AE12" s="61"/>
      <c r="AF12" s="61"/>
      <c r="AG12" s="60"/>
      <c r="AH12" s="62" t="s">
        <v>179</v>
      </c>
      <c r="AI12" s="61"/>
      <c r="AJ12" s="61"/>
      <c r="AK12" s="61"/>
      <c r="AL12" s="61"/>
      <c r="AM12" s="61"/>
      <c r="AN12" s="61"/>
      <c r="AO12" s="60"/>
      <c r="AP12" s="62" t="s">
        <v>178</v>
      </c>
      <c r="AQ12" s="61"/>
      <c r="AR12" s="61"/>
      <c r="AS12" s="61"/>
      <c r="AT12" s="61"/>
      <c r="AU12" s="61"/>
      <c r="AV12" s="61"/>
      <c r="AW12" s="60"/>
      <c r="AX12" s="62" t="s">
        <v>177</v>
      </c>
      <c r="AY12" s="61"/>
      <c r="AZ12" s="61"/>
      <c r="BA12" s="61"/>
      <c r="BB12" s="61"/>
      <c r="BC12" s="61"/>
      <c r="BD12" s="61"/>
      <c r="BE12" s="60"/>
      <c r="BF12" s="62" t="s">
        <v>176</v>
      </c>
      <c r="BG12" s="61"/>
      <c r="BH12" s="61"/>
      <c r="BI12" s="61"/>
      <c r="BJ12" s="61"/>
      <c r="BK12" s="61"/>
      <c r="BL12" s="61"/>
      <c r="BM12" s="60"/>
    </row>
    <row r="13" spans="1:65" ht="15" customHeight="1" x14ac:dyDescent="0.2">
      <c r="A13" s="55" t="s">
        <v>139</v>
      </c>
      <c r="B13" s="59" t="s">
        <v>175</v>
      </c>
      <c r="C13" s="58"/>
      <c r="D13" s="58"/>
      <c r="E13" s="58"/>
      <c r="F13" s="58"/>
      <c r="G13" s="58"/>
      <c r="H13" s="58"/>
      <c r="I13" s="57"/>
      <c r="J13" s="59" t="s">
        <v>174</v>
      </c>
      <c r="K13" s="58"/>
      <c r="L13" s="58"/>
      <c r="M13" s="58"/>
      <c r="N13" s="58"/>
      <c r="O13" s="58"/>
      <c r="P13" s="58"/>
      <c r="Q13" s="57"/>
      <c r="R13" s="59" t="s">
        <v>173</v>
      </c>
      <c r="S13" s="58"/>
      <c r="T13" s="58"/>
      <c r="U13" s="58"/>
      <c r="V13" s="58"/>
      <c r="W13" s="58"/>
      <c r="X13" s="58"/>
      <c r="Y13" s="57"/>
      <c r="Z13" s="59" t="s">
        <v>172</v>
      </c>
      <c r="AA13" s="58"/>
      <c r="AB13" s="58"/>
      <c r="AC13" s="58"/>
      <c r="AD13" s="58"/>
      <c r="AE13" s="58"/>
      <c r="AF13" s="58"/>
      <c r="AG13" s="57"/>
      <c r="AH13" s="59" t="s">
        <v>171</v>
      </c>
      <c r="AI13" s="58"/>
      <c r="AJ13" s="58"/>
      <c r="AK13" s="58"/>
      <c r="AL13" s="58"/>
      <c r="AM13" s="58"/>
      <c r="AN13" s="58"/>
      <c r="AO13" s="57"/>
      <c r="AP13" s="59" t="s">
        <v>170</v>
      </c>
      <c r="AQ13" s="58"/>
      <c r="AR13" s="58"/>
      <c r="AS13" s="58"/>
      <c r="AT13" s="58"/>
      <c r="AU13" s="58"/>
      <c r="AV13" s="58"/>
      <c r="AW13" s="57"/>
      <c r="AX13" s="59" t="s">
        <v>169</v>
      </c>
      <c r="AY13" s="58"/>
      <c r="AZ13" s="58"/>
      <c r="BA13" s="58"/>
      <c r="BB13" s="58"/>
      <c r="BC13" s="58"/>
      <c r="BD13" s="58"/>
      <c r="BE13" s="57"/>
      <c r="BF13" s="59" t="s">
        <v>168</v>
      </c>
      <c r="BG13" s="58"/>
      <c r="BH13" s="58"/>
      <c r="BI13" s="58"/>
      <c r="BJ13" s="58"/>
      <c r="BK13" s="58"/>
      <c r="BL13" s="58"/>
      <c r="BM13" s="57"/>
    </row>
    <row r="14" spans="1:65" ht="15" customHeight="1" x14ac:dyDescent="0.2">
      <c r="A14" s="56" t="s">
        <v>9</v>
      </c>
      <c r="B14" s="56" t="s">
        <v>167</v>
      </c>
      <c r="C14" s="56" t="s">
        <v>166</v>
      </c>
      <c r="D14" s="56" t="s">
        <v>165</v>
      </c>
      <c r="E14" s="56" t="s">
        <v>164</v>
      </c>
      <c r="F14" s="56" t="s">
        <v>163</v>
      </c>
      <c r="G14" s="56" t="s">
        <v>162</v>
      </c>
      <c r="H14" s="56" t="s">
        <v>161</v>
      </c>
      <c r="I14" s="56" t="s">
        <v>92</v>
      </c>
      <c r="J14" s="56" t="s">
        <v>167</v>
      </c>
      <c r="K14" s="56" t="s">
        <v>166</v>
      </c>
      <c r="L14" s="56" t="s">
        <v>165</v>
      </c>
      <c r="M14" s="56" t="s">
        <v>164</v>
      </c>
      <c r="N14" s="56" t="s">
        <v>163</v>
      </c>
      <c r="O14" s="56" t="s">
        <v>162</v>
      </c>
      <c r="P14" s="56" t="s">
        <v>161</v>
      </c>
      <c r="Q14" s="56" t="s">
        <v>92</v>
      </c>
      <c r="R14" s="56" t="s">
        <v>167</v>
      </c>
      <c r="S14" s="56" t="s">
        <v>166</v>
      </c>
      <c r="T14" s="56" t="s">
        <v>165</v>
      </c>
      <c r="U14" s="56" t="s">
        <v>164</v>
      </c>
      <c r="V14" s="56" t="s">
        <v>163</v>
      </c>
      <c r="W14" s="56" t="s">
        <v>162</v>
      </c>
      <c r="X14" s="56" t="s">
        <v>161</v>
      </c>
      <c r="Y14" s="56" t="s">
        <v>92</v>
      </c>
      <c r="Z14" s="56" t="s">
        <v>167</v>
      </c>
      <c r="AA14" s="56" t="s">
        <v>166</v>
      </c>
      <c r="AB14" s="56" t="s">
        <v>165</v>
      </c>
      <c r="AC14" s="56" t="s">
        <v>164</v>
      </c>
      <c r="AD14" s="56" t="s">
        <v>163</v>
      </c>
      <c r="AE14" s="56" t="s">
        <v>162</v>
      </c>
      <c r="AF14" s="56" t="s">
        <v>161</v>
      </c>
      <c r="AG14" s="56" t="s">
        <v>92</v>
      </c>
      <c r="AH14" s="56" t="s">
        <v>167</v>
      </c>
      <c r="AI14" s="56" t="s">
        <v>166</v>
      </c>
      <c r="AJ14" s="56" t="s">
        <v>165</v>
      </c>
      <c r="AK14" s="56" t="s">
        <v>164</v>
      </c>
      <c r="AL14" s="56" t="s">
        <v>163</v>
      </c>
      <c r="AM14" s="56" t="s">
        <v>162</v>
      </c>
      <c r="AN14" s="56" t="s">
        <v>161</v>
      </c>
      <c r="AO14" s="56" t="s">
        <v>92</v>
      </c>
      <c r="AP14" s="56" t="s">
        <v>167</v>
      </c>
      <c r="AQ14" s="56" t="s">
        <v>166</v>
      </c>
      <c r="AR14" s="56" t="s">
        <v>165</v>
      </c>
      <c r="AS14" s="56" t="s">
        <v>164</v>
      </c>
      <c r="AT14" s="56" t="s">
        <v>163</v>
      </c>
      <c r="AU14" s="56" t="s">
        <v>162</v>
      </c>
      <c r="AV14" s="56" t="s">
        <v>161</v>
      </c>
      <c r="AW14" s="56" t="s">
        <v>92</v>
      </c>
      <c r="AX14" s="56" t="s">
        <v>167</v>
      </c>
      <c r="AY14" s="56" t="s">
        <v>166</v>
      </c>
      <c r="AZ14" s="56" t="s">
        <v>165</v>
      </c>
      <c r="BA14" s="56" t="s">
        <v>164</v>
      </c>
      <c r="BB14" s="56" t="s">
        <v>163</v>
      </c>
      <c r="BC14" s="56" t="s">
        <v>162</v>
      </c>
      <c r="BD14" s="56" t="s">
        <v>161</v>
      </c>
      <c r="BE14" s="56" t="s">
        <v>92</v>
      </c>
      <c r="BF14" s="56" t="s">
        <v>167</v>
      </c>
      <c r="BG14" s="56" t="s">
        <v>166</v>
      </c>
      <c r="BH14" s="56" t="s">
        <v>165</v>
      </c>
      <c r="BI14" s="56" t="s">
        <v>164</v>
      </c>
      <c r="BJ14" s="56" t="s">
        <v>163</v>
      </c>
      <c r="BK14" s="56" t="s">
        <v>162</v>
      </c>
      <c r="BL14" s="56" t="s">
        <v>161</v>
      </c>
      <c r="BM14" s="56" t="s">
        <v>92</v>
      </c>
    </row>
    <row r="15" spans="1:65" ht="15" customHeight="1" x14ac:dyDescent="0.2">
      <c r="A15" s="55" t="s">
        <v>160</v>
      </c>
      <c r="B15" s="55" t="s">
        <v>139</v>
      </c>
      <c r="C15" s="55">
        <v>0</v>
      </c>
      <c r="D15" s="55" t="s">
        <v>139</v>
      </c>
      <c r="E15" s="55">
        <v>0</v>
      </c>
      <c r="F15" s="55">
        <v>3</v>
      </c>
      <c r="G15" s="55" t="s">
        <v>139</v>
      </c>
      <c r="H15" s="55" t="s">
        <v>139</v>
      </c>
      <c r="I15" s="55">
        <v>0</v>
      </c>
      <c r="J15" s="55" t="s">
        <v>139</v>
      </c>
      <c r="K15" s="55" t="s">
        <v>139</v>
      </c>
      <c r="L15" s="55" t="s">
        <v>139</v>
      </c>
      <c r="M15" s="55" t="s">
        <v>139</v>
      </c>
      <c r="N15" s="55" t="s">
        <v>139</v>
      </c>
      <c r="O15" s="55" t="s">
        <v>139</v>
      </c>
      <c r="P15" s="55" t="s">
        <v>139</v>
      </c>
      <c r="Q15" s="55" t="s">
        <v>139</v>
      </c>
      <c r="R15" s="55" t="s">
        <v>139</v>
      </c>
      <c r="S15" s="55">
        <v>0</v>
      </c>
      <c r="T15" s="55">
        <v>2</v>
      </c>
      <c r="U15" s="55" t="s">
        <v>139</v>
      </c>
      <c r="V15" s="55" t="s">
        <v>139</v>
      </c>
      <c r="W15" s="55">
        <v>0</v>
      </c>
      <c r="X15" s="55" t="s">
        <v>139</v>
      </c>
      <c r="Y15" s="55">
        <v>0</v>
      </c>
      <c r="Z15" s="55" t="s">
        <v>139</v>
      </c>
      <c r="AA15" s="55" t="s">
        <v>139</v>
      </c>
      <c r="AB15" s="55" t="s">
        <v>139</v>
      </c>
      <c r="AC15" s="55" t="s">
        <v>139</v>
      </c>
      <c r="AD15" s="55" t="s">
        <v>139</v>
      </c>
      <c r="AE15" s="55" t="s">
        <v>139</v>
      </c>
      <c r="AF15" s="55" t="s">
        <v>139</v>
      </c>
      <c r="AG15" s="55" t="s">
        <v>139</v>
      </c>
      <c r="AH15" s="55">
        <v>0</v>
      </c>
      <c r="AI15" s="55" t="s">
        <v>139</v>
      </c>
      <c r="AJ15" s="55" t="s">
        <v>139</v>
      </c>
      <c r="AK15" s="55">
        <v>0</v>
      </c>
      <c r="AL15" s="55" t="s">
        <v>139</v>
      </c>
      <c r="AM15" s="55">
        <v>0</v>
      </c>
      <c r="AN15" s="55" t="s">
        <v>139</v>
      </c>
      <c r="AO15" s="55">
        <v>0</v>
      </c>
      <c r="AP15" s="55" t="s">
        <v>139</v>
      </c>
      <c r="AQ15" s="55" t="s">
        <v>139</v>
      </c>
      <c r="AR15" s="55">
        <v>2</v>
      </c>
      <c r="AS15" s="55" t="s">
        <v>139</v>
      </c>
      <c r="AT15" s="55">
        <v>1</v>
      </c>
      <c r="AU15" s="55" t="s">
        <v>139</v>
      </c>
      <c r="AV15" s="55">
        <v>0</v>
      </c>
      <c r="AW15" s="55">
        <v>0</v>
      </c>
      <c r="AX15" s="55" t="s">
        <v>139</v>
      </c>
      <c r="AY15" s="55" t="s">
        <v>139</v>
      </c>
      <c r="AZ15" s="55" t="s">
        <v>139</v>
      </c>
      <c r="BA15" s="55" t="s">
        <v>139</v>
      </c>
      <c r="BB15" s="55" t="s">
        <v>139</v>
      </c>
      <c r="BC15" s="55" t="s">
        <v>139</v>
      </c>
      <c r="BD15" s="55" t="s">
        <v>139</v>
      </c>
      <c r="BE15" s="55" t="s">
        <v>139</v>
      </c>
      <c r="BF15" s="55">
        <v>0</v>
      </c>
      <c r="BG15" s="55" t="s">
        <v>139</v>
      </c>
      <c r="BH15" s="55">
        <v>0</v>
      </c>
      <c r="BI15" s="55" t="s">
        <v>139</v>
      </c>
      <c r="BJ15" s="55">
        <v>0</v>
      </c>
      <c r="BK15" s="55">
        <v>0</v>
      </c>
      <c r="BL15" s="55" t="s">
        <v>139</v>
      </c>
      <c r="BM15" s="55" t="s">
        <v>139</v>
      </c>
    </row>
    <row r="16" spans="1:65" ht="15" customHeight="1" x14ac:dyDescent="0.2">
      <c r="A16" s="55" t="s">
        <v>159</v>
      </c>
      <c r="B16" s="55" t="s">
        <v>139</v>
      </c>
      <c r="C16" s="55">
        <v>0</v>
      </c>
      <c r="D16" s="55" t="s">
        <v>139</v>
      </c>
      <c r="E16" s="55">
        <v>0</v>
      </c>
      <c r="F16" s="55">
        <v>2</v>
      </c>
      <c r="G16" s="55" t="s">
        <v>139</v>
      </c>
      <c r="H16" s="55" t="s">
        <v>139</v>
      </c>
      <c r="I16" s="55">
        <v>0</v>
      </c>
      <c r="J16" s="55" t="s">
        <v>139</v>
      </c>
      <c r="K16" s="55" t="s">
        <v>139</v>
      </c>
      <c r="L16" s="55" t="s">
        <v>139</v>
      </c>
      <c r="M16" s="55" t="s">
        <v>139</v>
      </c>
      <c r="N16" s="55" t="s">
        <v>139</v>
      </c>
      <c r="O16" s="55" t="s">
        <v>139</v>
      </c>
      <c r="P16" s="55" t="s">
        <v>139</v>
      </c>
      <c r="Q16" s="55" t="s">
        <v>139</v>
      </c>
      <c r="R16" s="55" t="s">
        <v>139</v>
      </c>
      <c r="S16" s="55">
        <v>0</v>
      </c>
      <c r="T16" s="55">
        <v>1</v>
      </c>
      <c r="U16" s="55" t="s">
        <v>139</v>
      </c>
      <c r="V16" s="55" t="s">
        <v>139</v>
      </c>
      <c r="W16" s="55">
        <v>0</v>
      </c>
      <c r="X16" s="55" t="s">
        <v>139</v>
      </c>
      <c r="Y16" s="55">
        <v>0</v>
      </c>
      <c r="Z16" s="55" t="s">
        <v>139</v>
      </c>
      <c r="AA16" s="55" t="s">
        <v>139</v>
      </c>
      <c r="AB16" s="55" t="s">
        <v>139</v>
      </c>
      <c r="AC16" s="55" t="s">
        <v>139</v>
      </c>
      <c r="AD16" s="55" t="s">
        <v>139</v>
      </c>
      <c r="AE16" s="55" t="s">
        <v>139</v>
      </c>
      <c r="AF16" s="55" t="s">
        <v>139</v>
      </c>
      <c r="AG16" s="55" t="s">
        <v>139</v>
      </c>
      <c r="AH16" s="55">
        <v>0</v>
      </c>
      <c r="AI16" s="55" t="s">
        <v>139</v>
      </c>
      <c r="AJ16" s="55" t="s">
        <v>139</v>
      </c>
      <c r="AK16" s="55">
        <v>1</v>
      </c>
      <c r="AL16" s="55" t="s">
        <v>139</v>
      </c>
      <c r="AM16" s="55">
        <v>0</v>
      </c>
      <c r="AN16" s="55" t="s">
        <v>139</v>
      </c>
      <c r="AO16" s="55">
        <v>0</v>
      </c>
      <c r="AP16" s="55" t="s">
        <v>139</v>
      </c>
      <c r="AQ16" s="55" t="s">
        <v>139</v>
      </c>
      <c r="AR16" s="55">
        <v>0</v>
      </c>
      <c r="AS16" s="55" t="s">
        <v>139</v>
      </c>
      <c r="AT16" s="55">
        <v>1</v>
      </c>
      <c r="AU16" s="55" t="s">
        <v>139</v>
      </c>
      <c r="AV16" s="55">
        <v>0</v>
      </c>
      <c r="AW16" s="55">
        <v>0</v>
      </c>
      <c r="AX16" s="55" t="s">
        <v>139</v>
      </c>
      <c r="AY16" s="55" t="s">
        <v>139</v>
      </c>
      <c r="AZ16" s="55" t="s">
        <v>139</v>
      </c>
      <c r="BA16" s="55" t="s">
        <v>139</v>
      </c>
      <c r="BB16" s="55" t="s">
        <v>139</v>
      </c>
      <c r="BC16" s="55" t="s">
        <v>139</v>
      </c>
      <c r="BD16" s="55" t="s">
        <v>139</v>
      </c>
      <c r="BE16" s="55" t="s">
        <v>139</v>
      </c>
      <c r="BF16" s="55">
        <v>0</v>
      </c>
      <c r="BG16" s="55" t="s">
        <v>139</v>
      </c>
      <c r="BH16" s="55">
        <v>0</v>
      </c>
      <c r="BI16" s="55" t="s">
        <v>139</v>
      </c>
      <c r="BJ16" s="55">
        <v>0</v>
      </c>
      <c r="BK16" s="55">
        <v>0</v>
      </c>
      <c r="BL16" s="55" t="s">
        <v>139</v>
      </c>
      <c r="BM16" s="55" t="s">
        <v>139</v>
      </c>
    </row>
    <row r="17" spans="1:65" ht="15" customHeight="1" x14ac:dyDescent="0.2">
      <c r="A17" s="55" t="s">
        <v>158</v>
      </c>
      <c r="B17" s="55" t="s">
        <v>139</v>
      </c>
      <c r="C17" s="55">
        <v>0</v>
      </c>
      <c r="D17" s="55" t="s">
        <v>139</v>
      </c>
      <c r="E17" s="55">
        <v>0</v>
      </c>
      <c r="F17" s="55">
        <v>0</v>
      </c>
      <c r="G17" s="55" t="s">
        <v>139</v>
      </c>
      <c r="H17" s="55" t="s">
        <v>139</v>
      </c>
      <c r="I17" s="55">
        <v>0</v>
      </c>
      <c r="J17" s="55" t="s">
        <v>139</v>
      </c>
      <c r="K17" s="55" t="s">
        <v>139</v>
      </c>
      <c r="L17" s="55" t="s">
        <v>139</v>
      </c>
      <c r="M17" s="55" t="s">
        <v>139</v>
      </c>
      <c r="N17" s="55" t="s">
        <v>139</v>
      </c>
      <c r="O17" s="55" t="s">
        <v>139</v>
      </c>
      <c r="P17" s="55" t="s">
        <v>139</v>
      </c>
      <c r="Q17" s="55" t="s">
        <v>139</v>
      </c>
      <c r="R17" s="55" t="s">
        <v>139</v>
      </c>
      <c r="S17" s="55">
        <v>0</v>
      </c>
      <c r="T17" s="55">
        <v>1</v>
      </c>
      <c r="U17" s="55" t="s">
        <v>139</v>
      </c>
      <c r="V17" s="55" t="s">
        <v>139</v>
      </c>
      <c r="W17" s="55">
        <v>0</v>
      </c>
      <c r="X17" s="55" t="s">
        <v>139</v>
      </c>
      <c r="Y17" s="55">
        <v>0</v>
      </c>
      <c r="Z17" s="55" t="s">
        <v>139</v>
      </c>
      <c r="AA17" s="55" t="s">
        <v>139</v>
      </c>
      <c r="AB17" s="55" t="s">
        <v>139</v>
      </c>
      <c r="AC17" s="55" t="s">
        <v>139</v>
      </c>
      <c r="AD17" s="55" t="s">
        <v>139</v>
      </c>
      <c r="AE17" s="55" t="s">
        <v>139</v>
      </c>
      <c r="AF17" s="55" t="s">
        <v>139</v>
      </c>
      <c r="AG17" s="55" t="s">
        <v>139</v>
      </c>
      <c r="AH17" s="55">
        <v>1</v>
      </c>
      <c r="AI17" s="55" t="s">
        <v>139</v>
      </c>
      <c r="AJ17" s="55" t="s">
        <v>139</v>
      </c>
      <c r="AK17" s="55">
        <v>0</v>
      </c>
      <c r="AL17" s="55" t="s">
        <v>139</v>
      </c>
      <c r="AM17" s="55">
        <v>0</v>
      </c>
      <c r="AN17" s="55" t="s">
        <v>139</v>
      </c>
      <c r="AO17" s="55">
        <v>0</v>
      </c>
      <c r="AP17" s="55" t="s">
        <v>139</v>
      </c>
      <c r="AQ17" s="55" t="s">
        <v>139</v>
      </c>
      <c r="AR17" s="55">
        <v>1</v>
      </c>
      <c r="AS17" s="55" t="s">
        <v>139</v>
      </c>
      <c r="AT17" s="55">
        <v>1</v>
      </c>
      <c r="AU17" s="55" t="s">
        <v>139</v>
      </c>
      <c r="AV17" s="55">
        <v>0</v>
      </c>
      <c r="AW17" s="55">
        <v>0</v>
      </c>
      <c r="AX17" s="55" t="s">
        <v>139</v>
      </c>
      <c r="AY17" s="55" t="s">
        <v>139</v>
      </c>
      <c r="AZ17" s="55" t="s">
        <v>139</v>
      </c>
      <c r="BA17" s="55" t="s">
        <v>139</v>
      </c>
      <c r="BB17" s="55" t="s">
        <v>139</v>
      </c>
      <c r="BC17" s="55" t="s">
        <v>139</v>
      </c>
      <c r="BD17" s="55" t="s">
        <v>139</v>
      </c>
      <c r="BE17" s="55" t="s">
        <v>139</v>
      </c>
      <c r="BF17" s="55">
        <v>0</v>
      </c>
      <c r="BG17" s="55" t="s">
        <v>139</v>
      </c>
      <c r="BH17" s="55">
        <v>0</v>
      </c>
      <c r="BI17" s="55" t="s">
        <v>139</v>
      </c>
      <c r="BJ17" s="55">
        <v>0</v>
      </c>
      <c r="BK17" s="55">
        <v>1</v>
      </c>
      <c r="BL17" s="55" t="s">
        <v>139</v>
      </c>
      <c r="BM17" s="55" t="s">
        <v>139</v>
      </c>
    </row>
    <row r="18" spans="1:65" ht="15" customHeight="1" x14ac:dyDescent="0.2">
      <c r="A18" s="55" t="s">
        <v>157</v>
      </c>
      <c r="B18" s="55" t="s">
        <v>139</v>
      </c>
      <c r="C18" s="55">
        <v>0</v>
      </c>
      <c r="D18" s="55" t="s">
        <v>139</v>
      </c>
      <c r="E18" s="55">
        <v>0</v>
      </c>
      <c r="F18" s="55">
        <v>1</v>
      </c>
      <c r="G18" s="55" t="s">
        <v>139</v>
      </c>
      <c r="H18" s="55" t="s">
        <v>139</v>
      </c>
      <c r="I18" s="55">
        <v>0</v>
      </c>
      <c r="J18" s="55" t="s">
        <v>139</v>
      </c>
      <c r="K18" s="55" t="s">
        <v>139</v>
      </c>
      <c r="L18" s="55" t="s">
        <v>139</v>
      </c>
      <c r="M18" s="55" t="s">
        <v>139</v>
      </c>
      <c r="N18" s="55" t="s">
        <v>139</v>
      </c>
      <c r="O18" s="55" t="s">
        <v>139</v>
      </c>
      <c r="P18" s="55" t="s">
        <v>139</v>
      </c>
      <c r="Q18" s="55" t="s">
        <v>139</v>
      </c>
      <c r="R18" s="55" t="s">
        <v>139</v>
      </c>
      <c r="S18" s="55">
        <v>0</v>
      </c>
      <c r="T18" s="55">
        <v>2</v>
      </c>
      <c r="U18" s="55" t="s">
        <v>139</v>
      </c>
      <c r="V18" s="55" t="s">
        <v>139</v>
      </c>
      <c r="W18" s="55">
        <v>1</v>
      </c>
      <c r="X18" s="55" t="s">
        <v>139</v>
      </c>
      <c r="Y18" s="55">
        <v>0</v>
      </c>
      <c r="Z18" s="55" t="s">
        <v>139</v>
      </c>
      <c r="AA18" s="55" t="s">
        <v>139</v>
      </c>
      <c r="AB18" s="55" t="s">
        <v>139</v>
      </c>
      <c r="AC18" s="55" t="s">
        <v>139</v>
      </c>
      <c r="AD18" s="55" t="s">
        <v>139</v>
      </c>
      <c r="AE18" s="55" t="s">
        <v>139</v>
      </c>
      <c r="AF18" s="55" t="s">
        <v>139</v>
      </c>
      <c r="AG18" s="55" t="s">
        <v>139</v>
      </c>
      <c r="AH18" s="55">
        <v>0</v>
      </c>
      <c r="AI18" s="55" t="s">
        <v>139</v>
      </c>
      <c r="AJ18" s="55" t="s">
        <v>139</v>
      </c>
      <c r="AK18" s="55">
        <v>0</v>
      </c>
      <c r="AL18" s="55" t="s">
        <v>139</v>
      </c>
      <c r="AM18" s="55">
        <v>0</v>
      </c>
      <c r="AN18" s="55" t="s">
        <v>139</v>
      </c>
      <c r="AO18" s="55">
        <v>0</v>
      </c>
      <c r="AP18" s="55" t="s">
        <v>139</v>
      </c>
      <c r="AQ18" s="55" t="s">
        <v>139</v>
      </c>
      <c r="AR18" s="55">
        <v>2</v>
      </c>
      <c r="AS18" s="55" t="s">
        <v>139</v>
      </c>
      <c r="AT18" s="55">
        <v>2</v>
      </c>
      <c r="AU18" s="55" t="s">
        <v>139</v>
      </c>
      <c r="AV18" s="55">
        <v>1</v>
      </c>
      <c r="AW18" s="55">
        <v>0</v>
      </c>
      <c r="AX18" s="55" t="s">
        <v>139</v>
      </c>
      <c r="AY18" s="55" t="s">
        <v>139</v>
      </c>
      <c r="AZ18" s="55" t="s">
        <v>139</v>
      </c>
      <c r="BA18" s="55" t="s">
        <v>139</v>
      </c>
      <c r="BB18" s="55" t="s">
        <v>139</v>
      </c>
      <c r="BC18" s="55" t="s">
        <v>139</v>
      </c>
      <c r="BD18" s="55" t="s">
        <v>139</v>
      </c>
      <c r="BE18" s="55" t="s">
        <v>139</v>
      </c>
      <c r="BF18" s="55">
        <v>0</v>
      </c>
      <c r="BG18" s="55" t="s">
        <v>139</v>
      </c>
      <c r="BH18" s="55">
        <v>0</v>
      </c>
      <c r="BI18" s="55" t="s">
        <v>139</v>
      </c>
      <c r="BJ18" s="55">
        <v>0</v>
      </c>
      <c r="BK18" s="55">
        <v>0</v>
      </c>
      <c r="BL18" s="55" t="s">
        <v>139</v>
      </c>
      <c r="BM18" s="55" t="s">
        <v>139</v>
      </c>
    </row>
    <row r="19" spans="1:65" ht="15" customHeight="1" x14ac:dyDescent="0.2">
      <c r="A19" s="55" t="s">
        <v>156</v>
      </c>
      <c r="B19" s="55" t="s">
        <v>139</v>
      </c>
      <c r="C19" s="55">
        <v>0</v>
      </c>
      <c r="D19" s="55" t="s">
        <v>139</v>
      </c>
      <c r="E19" s="55">
        <v>0</v>
      </c>
      <c r="F19" s="55">
        <v>2</v>
      </c>
      <c r="G19" s="55" t="s">
        <v>139</v>
      </c>
      <c r="H19" s="55" t="s">
        <v>139</v>
      </c>
      <c r="I19" s="55">
        <v>0</v>
      </c>
      <c r="J19" s="55" t="s">
        <v>139</v>
      </c>
      <c r="K19" s="55" t="s">
        <v>139</v>
      </c>
      <c r="L19" s="55" t="s">
        <v>139</v>
      </c>
      <c r="M19" s="55" t="s">
        <v>139</v>
      </c>
      <c r="N19" s="55" t="s">
        <v>139</v>
      </c>
      <c r="O19" s="55" t="s">
        <v>139</v>
      </c>
      <c r="P19" s="55" t="s">
        <v>139</v>
      </c>
      <c r="Q19" s="55" t="s">
        <v>139</v>
      </c>
      <c r="R19" s="55" t="s">
        <v>139</v>
      </c>
      <c r="S19" s="55">
        <v>0</v>
      </c>
      <c r="T19" s="55">
        <v>1</v>
      </c>
      <c r="U19" s="55" t="s">
        <v>139</v>
      </c>
      <c r="V19" s="55" t="s">
        <v>139</v>
      </c>
      <c r="W19" s="55">
        <v>0</v>
      </c>
      <c r="X19" s="55" t="s">
        <v>139</v>
      </c>
      <c r="Y19" s="55">
        <v>0</v>
      </c>
      <c r="Z19" s="55" t="s">
        <v>139</v>
      </c>
      <c r="AA19" s="55" t="s">
        <v>139</v>
      </c>
      <c r="AB19" s="55" t="s">
        <v>139</v>
      </c>
      <c r="AC19" s="55" t="s">
        <v>139</v>
      </c>
      <c r="AD19" s="55" t="s">
        <v>139</v>
      </c>
      <c r="AE19" s="55" t="s">
        <v>139</v>
      </c>
      <c r="AF19" s="55" t="s">
        <v>139</v>
      </c>
      <c r="AG19" s="55" t="s">
        <v>139</v>
      </c>
      <c r="AH19" s="55">
        <v>0</v>
      </c>
      <c r="AI19" s="55" t="s">
        <v>139</v>
      </c>
      <c r="AJ19" s="55" t="s">
        <v>139</v>
      </c>
      <c r="AK19" s="55">
        <v>0</v>
      </c>
      <c r="AL19" s="55" t="s">
        <v>139</v>
      </c>
      <c r="AM19" s="55">
        <v>0</v>
      </c>
      <c r="AN19" s="55" t="s">
        <v>139</v>
      </c>
      <c r="AO19" s="55">
        <v>0</v>
      </c>
      <c r="AP19" s="55" t="s">
        <v>139</v>
      </c>
      <c r="AQ19" s="55" t="s">
        <v>139</v>
      </c>
      <c r="AR19" s="55">
        <v>0</v>
      </c>
      <c r="AS19" s="55" t="s">
        <v>139</v>
      </c>
      <c r="AT19" s="55">
        <v>0</v>
      </c>
      <c r="AU19" s="55" t="s">
        <v>139</v>
      </c>
      <c r="AV19" s="55">
        <v>0</v>
      </c>
      <c r="AW19" s="55">
        <v>0</v>
      </c>
      <c r="AX19" s="55" t="s">
        <v>139</v>
      </c>
      <c r="AY19" s="55" t="s">
        <v>139</v>
      </c>
      <c r="AZ19" s="55" t="s">
        <v>139</v>
      </c>
      <c r="BA19" s="55" t="s">
        <v>139</v>
      </c>
      <c r="BB19" s="55" t="s">
        <v>139</v>
      </c>
      <c r="BC19" s="55" t="s">
        <v>139</v>
      </c>
      <c r="BD19" s="55" t="s">
        <v>139</v>
      </c>
      <c r="BE19" s="55" t="s">
        <v>139</v>
      </c>
      <c r="BF19" s="55">
        <v>0</v>
      </c>
      <c r="BG19" s="55" t="s">
        <v>139</v>
      </c>
      <c r="BH19" s="55">
        <v>0</v>
      </c>
      <c r="BI19" s="55" t="s">
        <v>139</v>
      </c>
      <c r="BJ19" s="55">
        <v>0</v>
      </c>
      <c r="BK19" s="55">
        <v>0</v>
      </c>
      <c r="BL19" s="55" t="s">
        <v>139</v>
      </c>
      <c r="BM19" s="55" t="s">
        <v>139</v>
      </c>
    </row>
    <row r="20" spans="1:65" ht="15" customHeight="1" x14ac:dyDescent="0.2">
      <c r="A20" s="55" t="s">
        <v>155</v>
      </c>
      <c r="B20" s="55" t="s">
        <v>139</v>
      </c>
      <c r="C20" s="55">
        <v>0</v>
      </c>
      <c r="D20" s="55" t="s">
        <v>139</v>
      </c>
      <c r="E20" s="55">
        <v>1</v>
      </c>
      <c r="F20" s="55">
        <v>0</v>
      </c>
      <c r="G20" s="55" t="s">
        <v>139</v>
      </c>
      <c r="H20" s="55" t="s">
        <v>139</v>
      </c>
      <c r="I20" s="55">
        <v>0</v>
      </c>
      <c r="J20" s="55" t="s">
        <v>139</v>
      </c>
      <c r="K20" s="55" t="s">
        <v>139</v>
      </c>
      <c r="L20" s="55" t="s">
        <v>139</v>
      </c>
      <c r="M20" s="55" t="s">
        <v>139</v>
      </c>
      <c r="N20" s="55" t="s">
        <v>139</v>
      </c>
      <c r="O20" s="55" t="s">
        <v>139</v>
      </c>
      <c r="P20" s="55" t="s">
        <v>139</v>
      </c>
      <c r="Q20" s="55" t="s">
        <v>139</v>
      </c>
      <c r="R20" s="55" t="s">
        <v>139</v>
      </c>
      <c r="S20" s="55">
        <v>0</v>
      </c>
      <c r="T20" s="55">
        <v>3</v>
      </c>
      <c r="U20" s="55" t="s">
        <v>139</v>
      </c>
      <c r="V20" s="55" t="s">
        <v>139</v>
      </c>
      <c r="W20" s="55">
        <v>0</v>
      </c>
      <c r="X20" s="55" t="s">
        <v>139</v>
      </c>
      <c r="Y20" s="55">
        <v>0</v>
      </c>
      <c r="Z20" s="55" t="s">
        <v>139</v>
      </c>
      <c r="AA20" s="55" t="s">
        <v>139</v>
      </c>
      <c r="AB20" s="55" t="s">
        <v>139</v>
      </c>
      <c r="AC20" s="55" t="s">
        <v>139</v>
      </c>
      <c r="AD20" s="55" t="s">
        <v>139</v>
      </c>
      <c r="AE20" s="55" t="s">
        <v>139</v>
      </c>
      <c r="AF20" s="55" t="s">
        <v>139</v>
      </c>
      <c r="AG20" s="55" t="s">
        <v>139</v>
      </c>
      <c r="AH20" s="55">
        <v>2</v>
      </c>
      <c r="AI20" s="55" t="s">
        <v>139</v>
      </c>
      <c r="AJ20" s="55" t="s">
        <v>139</v>
      </c>
      <c r="AK20" s="55">
        <v>0</v>
      </c>
      <c r="AL20" s="55" t="s">
        <v>139</v>
      </c>
      <c r="AM20" s="55">
        <v>0</v>
      </c>
      <c r="AN20" s="55" t="s">
        <v>139</v>
      </c>
      <c r="AO20" s="55">
        <v>0</v>
      </c>
      <c r="AP20" s="55" t="s">
        <v>139</v>
      </c>
      <c r="AQ20" s="55" t="s">
        <v>139</v>
      </c>
      <c r="AR20" s="55">
        <v>1</v>
      </c>
      <c r="AS20" s="55" t="s">
        <v>139</v>
      </c>
      <c r="AT20" s="55">
        <v>2</v>
      </c>
      <c r="AU20" s="55" t="s">
        <v>139</v>
      </c>
      <c r="AV20" s="55">
        <v>0</v>
      </c>
      <c r="AW20" s="55">
        <v>0</v>
      </c>
      <c r="AX20" s="55" t="s">
        <v>139</v>
      </c>
      <c r="AY20" s="55" t="s">
        <v>139</v>
      </c>
      <c r="AZ20" s="55" t="s">
        <v>139</v>
      </c>
      <c r="BA20" s="55" t="s">
        <v>139</v>
      </c>
      <c r="BB20" s="55" t="s">
        <v>139</v>
      </c>
      <c r="BC20" s="55" t="s">
        <v>139</v>
      </c>
      <c r="BD20" s="55" t="s">
        <v>139</v>
      </c>
      <c r="BE20" s="55" t="s">
        <v>139</v>
      </c>
      <c r="BF20" s="55">
        <v>0</v>
      </c>
      <c r="BG20" s="55" t="s">
        <v>139</v>
      </c>
      <c r="BH20" s="55">
        <v>1</v>
      </c>
      <c r="BI20" s="55" t="s">
        <v>139</v>
      </c>
      <c r="BJ20" s="55">
        <v>0</v>
      </c>
      <c r="BK20" s="55">
        <v>0</v>
      </c>
      <c r="BL20" s="55" t="s">
        <v>139</v>
      </c>
      <c r="BM20" s="55" t="s">
        <v>139</v>
      </c>
    </row>
    <row r="21" spans="1:65" ht="15" customHeight="1" x14ac:dyDescent="0.2">
      <c r="A21" s="55" t="s">
        <v>154</v>
      </c>
      <c r="B21" s="55" t="s">
        <v>139</v>
      </c>
      <c r="C21" s="55">
        <v>0</v>
      </c>
      <c r="D21" s="55" t="s">
        <v>139</v>
      </c>
      <c r="E21" s="55">
        <v>1</v>
      </c>
      <c r="F21" s="55">
        <v>1</v>
      </c>
      <c r="G21" s="55" t="s">
        <v>139</v>
      </c>
      <c r="H21" s="55" t="s">
        <v>139</v>
      </c>
      <c r="I21" s="55">
        <v>0</v>
      </c>
      <c r="J21" s="55" t="s">
        <v>139</v>
      </c>
      <c r="K21" s="55" t="s">
        <v>139</v>
      </c>
      <c r="L21" s="55" t="s">
        <v>139</v>
      </c>
      <c r="M21" s="55" t="s">
        <v>139</v>
      </c>
      <c r="N21" s="55" t="s">
        <v>139</v>
      </c>
      <c r="O21" s="55" t="s">
        <v>139</v>
      </c>
      <c r="P21" s="55" t="s">
        <v>139</v>
      </c>
      <c r="Q21" s="55" t="s">
        <v>139</v>
      </c>
      <c r="R21" s="55" t="s">
        <v>139</v>
      </c>
      <c r="S21" s="55">
        <v>0</v>
      </c>
      <c r="T21" s="55">
        <v>3</v>
      </c>
      <c r="U21" s="55" t="s">
        <v>139</v>
      </c>
      <c r="V21" s="55" t="s">
        <v>139</v>
      </c>
      <c r="W21" s="55">
        <v>0</v>
      </c>
      <c r="X21" s="55" t="s">
        <v>139</v>
      </c>
      <c r="Y21" s="55">
        <v>0</v>
      </c>
      <c r="Z21" s="55" t="s">
        <v>139</v>
      </c>
      <c r="AA21" s="55" t="s">
        <v>139</v>
      </c>
      <c r="AB21" s="55" t="s">
        <v>139</v>
      </c>
      <c r="AC21" s="55" t="s">
        <v>139</v>
      </c>
      <c r="AD21" s="55" t="s">
        <v>139</v>
      </c>
      <c r="AE21" s="55" t="s">
        <v>139</v>
      </c>
      <c r="AF21" s="55" t="s">
        <v>139</v>
      </c>
      <c r="AG21" s="55" t="s">
        <v>139</v>
      </c>
      <c r="AH21" s="55">
        <v>0</v>
      </c>
      <c r="AI21" s="55" t="s">
        <v>139</v>
      </c>
      <c r="AJ21" s="55" t="s">
        <v>139</v>
      </c>
      <c r="AK21" s="55">
        <v>0</v>
      </c>
      <c r="AL21" s="55" t="s">
        <v>139</v>
      </c>
      <c r="AM21" s="55">
        <v>0</v>
      </c>
      <c r="AN21" s="55" t="s">
        <v>139</v>
      </c>
      <c r="AO21" s="55">
        <v>0</v>
      </c>
      <c r="AP21" s="55" t="s">
        <v>139</v>
      </c>
      <c r="AQ21" s="55" t="s">
        <v>139</v>
      </c>
      <c r="AR21" s="55">
        <v>1</v>
      </c>
      <c r="AS21" s="55" t="s">
        <v>139</v>
      </c>
      <c r="AT21" s="55">
        <v>0</v>
      </c>
      <c r="AU21" s="55" t="s">
        <v>139</v>
      </c>
      <c r="AV21" s="55">
        <v>0</v>
      </c>
      <c r="AW21" s="55">
        <v>0</v>
      </c>
      <c r="AX21" s="55" t="s">
        <v>139</v>
      </c>
      <c r="AY21" s="55" t="s">
        <v>139</v>
      </c>
      <c r="AZ21" s="55" t="s">
        <v>139</v>
      </c>
      <c r="BA21" s="55" t="s">
        <v>139</v>
      </c>
      <c r="BB21" s="55" t="s">
        <v>139</v>
      </c>
      <c r="BC21" s="55" t="s">
        <v>139</v>
      </c>
      <c r="BD21" s="55" t="s">
        <v>139</v>
      </c>
      <c r="BE21" s="55" t="s">
        <v>139</v>
      </c>
      <c r="BF21" s="55">
        <v>0</v>
      </c>
      <c r="BG21" s="55" t="s">
        <v>139</v>
      </c>
      <c r="BH21" s="55">
        <v>1</v>
      </c>
      <c r="BI21" s="55" t="s">
        <v>139</v>
      </c>
      <c r="BJ21" s="55">
        <v>0</v>
      </c>
      <c r="BK21" s="55">
        <v>1</v>
      </c>
      <c r="BL21" s="55" t="s">
        <v>139</v>
      </c>
      <c r="BM21" s="55" t="s">
        <v>139</v>
      </c>
    </row>
    <row r="22" spans="1:65" ht="15" customHeight="1" x14ac:dyDescent="0.2">
      <c r="A22" s="55" t="s">
        <v>153</v>
      </c>
      <c r="B22" s="55" t="s">
        <v>139</v>
      </c>
      <c r="C22" s="55">
        <v>0</v>
      </c>
      <c r="D22" s="55" t="s">
        <v>139</v>
      </c>
      <c r="E22" s="55">
        <v>0</v>
      </c>
      <c r="F22" s="55">
        <v>3</v>
      </c>
      <c r="G22" s="55" t="s">
        <v>139</v>
      </c>
      <c r="H22" s="55" t="s">
        <v>139</v>
      </c>
      <c r="I22" s="55">
        <v>0</v>
      </c>
      <c r="J22" s="55" t="s">
        <v>139</v>
      </c>
      <c r="K22" s="55" t="s">
        <v>139</v>
      </c>
      <c r="L22" s="55" t="s">
        <v>139</v>
      </c>
      <c r="M22" s="55" t="s">
        <v>139</v>
      </c>
      <c r="N22" s="55" t="s">
        <v>139</v>
      </c>
      <c r="O22" s="55" t="s">
        <v>139</v>
      </c>
      <c r="P22" s="55" t="s">
        <v>139</v>
      </c>
      <c r="Q22" s="55" t="s">
        <v>139</v>
      </c>
      <c r="R22" s="55" t="s">
        <v>139</v>
      </c>
      <c r="S22" s="55">
        <v>0</v>
      </c>
      <c r="T22" s="55">
        <v>1</v>
      </c>
      <c r="U22" s="55" t="s">
        <v>139</v>
      </c>
      <c r="V22" s="55" t="s">
        <v>139</v>
      </c>
      <c r="W22" s="55">
        <v>0</v>
      </c>
      <c r="X22" s="55" t="s">
        <v>139</v>
      </c>
      <c r="Y22" s="55">
        <v>0</v>
      </c>
      <c r="Z22" s="55" t="s">
        <v>139</v>
      </c>
      <c r="AA22" s="55" t="s">
        <v>139</v>
      </c>
      <c r="AB22" s="55" t="s">
        <v>139</v>
      </c>
      <c r="AC22" s="55" t="s">
        <v>139</v>
      </c>
      <c r="AD22" s="55" t="s">
        <v>139</v>
      </c>
      <c r="AE22" s="55" t="s">
        <v>139</v>
      </c>
      <c r="AF22" s="55" t="s">
        <v>139</v>
      </c>
      <c r="AG22" s="55" t="s">
        <v>139</v>
      </c>
      <c r="AH22" s="55">
        <v>0</v>
      </c>
      <c r="AI22" s="55" t="s">
        <v>139</v>
      </c>
      <c r="AJ22" s="55" t="s">
        <v>139</v>
      </c>
      <c r="AK22" s="55">
        <v>0</v>
      </c>
      <c r="AL22" s="55" t="s">
        <v>139</v>
      </c>
      <c r="AM22" s="55">
        <v>0</v>
      </c>
      <c r="AN22" s="55" t="s">
        <v>139</v>
      </c>
      <c r="AO22" s="55">
        <v>0</v>
      </c>
      <c r="AP22" s="55" t="s">
        <v>139</v>
      </c>
      <c r="AQ22" s="55" t="s">
        <v>139</v>
      </c>
      <c r="AR22" s="55">
        <v>2</v>
      </c>
      <c r="AS22" s="55" t="s">
        <v>139</v>
      </c>
      <c r="AT22" s="55">
        <v>1</v>
      </c>
      <c r="AU22" s="55" t="s">
        <v>139</v>
      </c>
      <c r="AV22" s="55">
        <v>0</v>
      </c>
      <c r="AW22" s="55">
        <v>0</v>
      </c>
      <c r="AX22" s="55" t="s">
        <v>139</v>
      </c>
      <c r="AY22" s="55" t="s">
        <v>139</v>
      </c>
      <c r="AZ22" s="55" t="s">
        <v>139</v>
      </c>
      <c r="BA22" s="55" t="s">
        <v>139</v>
      </c>
      <c r="BB22" s="55" t="s">
        <v>139</v>
      </c>
      <c r="BC22" s="55" t="s">
        <v>139</v>
      </c>
      <c r="BD22" s="55" t="s">
        <v>139</v>
      </c>
      <c r="BE22" s="55" t="s">
        <v>139</v>
      </c>
      <c r="BF22" s="55">
        <v>0</v>
      </c>
      <c r="BG22" s="55" t="s">
        <v>139</v>
      </c>
      <c r="BH22" s="55">
        <v>0</v>
      </c>
      <c r="BI22" s="55" t="s">
        <v>139</v>
      </c>
      <c r="BJ22" s="55">
        <v>0</v>
      </c>
      <c r="BK22" s="55">
        <v>0</v>
      </c>
      <c r="BL22" s="55" t="s">
        <v>139</v>
      </c>
      <c r="BM22" s="55" t="s">
        <v>139</v>
      </c>
    </row>
    <row r="23" spans="1:65" ht="15" customHeight="1" x14ac:dyDescent="0.2">
      <c r="A23" s="55" t="s">
        <v>152</v>
      </c>
      <c r="B23" s="55" t="s">
        <v>139</v>
      </c>
      <c r="C23" s="55">
        <v>0</v>
      </c>
      <c r="D23" s="55" t="s">
        <v>139</v>
      </c>
      <c r="E23" s="55">
        <v>1</v>
      </c>
      <c r="F23" s="55">
        <v>1</v>
      </c>
      <c r="G23" s="55" t="s">
        <v>139</v>
      </c>
      <c r="H23" s="55" t="s">
        <v>139</v>
      </c>
      <c r="I23" s="55">
        <v>0</v>
      </c>
      <c r="J23" s="55" t="s">
        <v>139</v>
      </c>
      <c r="K23" s="55" t="s">
        <v>139</v>
      </c>
      <c r="L23" s="55" t="s">
        <v>139</v>
      </c>
      <c r="M23" s="55" t="s">
        <v>139</v>
      </c>
      <c r="N23" s="55" t="s">
        <v>139</v>
      </c>
      <c r="O23" s="55" t="s">
        <v>139</v>
      </c>
      <c r="P23" s="55" t="s">
        <v>139</v>
      </c>
      <c r="Q23" s="55" t="s">
        <v>139</v>
      </c>
      <c r="R23" s="55" t="s">
        <v>139</v>
      </c>
      <c r="S23" s="55">
        <v>0</v>
      </c>
      <c r="T23" s="55">
        <v>1</v>
      </c>
      <c r="U23" s="55" t="s">
        <v>139</v>
      </c>
      <c r="V23" s="55" t="s">
        <v>139</v>
      </c>
      <c r="W23" s="55">
        <v>0</v>
      </c>
      <c r="X23" s="55" t="s">
        <v>139</v>
      </c>
      <c r="Y23" s="55">
        <v>0</v>
      </c>
      <c r="Z23" s="55" t="s">
        <v>139</v>
      </c>
      <c r="AA23" s="55" t="s">
        <v>139</v>
      </c>
      <c r="AB23" s="55" t="s">
        <v>139</v>
      </c>
      <c r="AC23" s="55" t="s">
        <v>139</v>
      </c>
      <c r="AD23" s="55" t="s">
        <v>139</v>
      </c>
      <c r="AE23" s="55" t="s">
        <v>139</v>
      </c>
      <c r="AF23" s="55" t="s">
        <v>139</v>
      </c>
      <c r="AG23" s="55" t="s">
        <v>139</v>
      </c>
      <c r="AH23" s="55">
        <v>0</v>
      </c>
      <c r="AI23" s="55" t="s">
        <v>139</v>
      </c>
      <c r="AJ23" s="55" t="s">
        <v>139</v>
      </c>
      <c r="AK23" s="55">
        <v>0</v>
      </c>
      <c r="AL23" s="55" t="s">
        <v>139</v>
      </c>
      <c r="AM23" s="55">
        <v>0</v>
      </c>
      <c r="AN23" s="55" t="s">
        <v>139</v>
      </c>
      <c r="AO23" s="55">
        <v>0</v>
      </c>
      <c r="AP23" s="55" t="s">
        <v>139</v>
      </c>
      <c r="AQ23" s="55" t="s">
        <v>139</v>
      </c>
      <c r="AR23" s="55">
        <v>1</v>
      </c>
      <c r="AS23" s="55" t="s">
        <v>139</v>
      </c>
      <c r="AT23" s="55">
        <v>1</v>
      </c>
      <c r="AU23" s="55" t="s">
        <v>139</v>
      </c>
      <c r="AV23" s="55">
        <v>0</v>
      </c>
      <c r="AW23" s="55">
        <v>0</v>
      </c>
      <c r="AX23" s="55" t="s">
        <v>139</v>
      </c>
      <c r="AY23" s="55" t="s">
        <v>139</v>
      </c>
      <c r="AZ23" s="55" t="s">
        <v>139</v>
      </c>
      <c r="BA23" s="55" t="s">
        <v>139</v>
      </c>
      <c r="BB23" s="55" t="s">
        <v>139</v>
      </c>
      <c r="BC23" s="55" t="s">
        <v>139</v>
      </c>
      <c r="BD23" s="55" t="s">
        <v>139</v>
      </c>
      <c r="BE23" s="55" t="s">
        <v>139</v>
      </c>
      <c r="BF23" s="55">
        <v>0</v>
      </c>
      <c r="BG23" s="55" t="s">
        <v>139</v>
      </c>
      <c r="BH23" s="55">
        <v>0</v>
      </c>
      <c r="BI23" s="55" t="s">
        <v>139</v>
      </c>
      <c r="BJ23" s="55">
        <v>0</v>
      </c>
      <c r="BK23" s="55">
        <v>0</v>
      </c>
      <c r="BL23" s="55" t="s">
        <v>139</v>
      </c>
      <c r="BM23" s="55" t="s">
        <v>139</v>
      </c>
    </row>
    <row r="24" spans="1:65" ht="15" customHeight="1" x14ac:dyDescent="0.2">
      <c r="A24" s="55" t="s">
        <v>151</v>
      </c>
      <c r="B24" s="55" t="s">
        <v>139</v>
      </c>
      <c r="C24" s="55">
        <v>0</v>
      </c>
      <c r="D24" s="55" t="s">
        <v>139</v>
      </c>
      <c r="E24" s="55">
        <v>0</v>
      </c>
      <c r="F24" s="55">
        <v>0</v>
      </c>
      <c r="G24" s="55" t="s">
        <v>139</v>
      </c>
      <c r="H24" s="55" t="s">
        <v>139</v>
      </c>
      <c r="I24" s="55">
        <v>0</v>
      </c>
      <c r="J24" s="55" t="s">
        <v>139</v>
      </c>
      <c r="K24" s="55" t="s">
        <v>139</v>
      </c>
      <c r="L24" s="55" t="s">
        <v>139</v>
      </c>
      <c r="M24" s="55" t="s">
        <v>139</v>
      </c>
      <c r="N24" s="55" t="s">
        <v>139</v>
      </c>
      <c r="O24" s="55" t="s">
        <v>139</v>
      </c>
      <c r="P24" s="55" t="s">
        <v>139</v>
      </c>
      <c r="Q24" s="55" t="s">
        <v>139</v>
      </c>
      <c r="R24" s="55" t="s">
        <v>139</v>
      </c>
      <c r="S24" s="55">
        <v>0</v>
      </c>
      <c r="T24" s="55">
        <v>1</v>
      </c>
      <c r="U24" s="55" t="s">
        <v>139</v>
      </c>
      <c r="V24" s="55" t="s">
        <v>139</v>
      </c>
      <c r="W24" s="55">
        <v>0</v>
      </c>
      <c r="X24" s="55" t="s">
        <v>139</v>
      </c>
      <c r="Y24" s="55">
        <v>0</v>
      </c>
      <c r="Z24" s="55" t="s">
        <v>139</v>
      </c>
      <c r="AA24" s="55" t="s">
        <v>139</v>
      </c>
      <c r="AB24" s="55" t="s">
        <v>139</v>
      </c>
      <c r="AC24" s="55" t="s">
        <v>139</v>
      </c>
      <c r="AD24" s="55" t="s">
        <v>139</v>
      </c>
      <c r="AE24" s="55" t="s">
        <v>139</v>
      </c>
      <c r="AF24" s="55" t="s">
        <v>139</v>
      </c>
      <c r="AG24" s="55" t="s">
        <v>139</v>
      </c>
      <c r="AH24" s="55">
        <v>0</v>
      </c>
      <c r="AI24" s="55" t="s">
        <v>139</v>
      </c>
      <c r="AJ24" s="55" t="s">
        <v>139</v>
      </c>
      <c r="AK24" s="55">
        <v>0</v>
      </c>
      <c r="AL24" s="55" t="s">
        <v>139</v>
      </c>
      <c r="AM24" s="55">
        <v>0</v>
      </c>
      <c r="AN24" s="55" t="s">
        <v>139</v>
      </c>
      <c r="AO24" s="55">
        <v>0</v>
      </c>
      <c r="AP24" s="55" t="s">
        <v>139</v>
      </c>
      <c r="AQ24" s="55" t="s">
        <v>139</v>
      </c>
      <c r="AR24" s="55">
        <v>2</v>
      </c>
      <c r="AS24" s="55" t="s">
        <v>139</v>
      </c>
      <c r="AT24" s="55">
        <v>2</v>
      </c>
      <c r="AU24" s="55" t="s">
        <v>139</v>
      </c>
      <c r="AV24" s="55">
        <v>0</v>
      </c>
      <c r="AW24" s="55">
        <v>0</v>
      </c>
      <c r="AX24" s="55" t="s">
        <v>139</v>
      </c>
      <c r="AY24" s="55" t="s">
        <v>139</v>
      </c>
      <c r="AZ24" s="55" t="s">
        <v>139</v>
      </c>
      <c r="BA24" s="55" t="s">
        <v>139</v>
      </c>
      <c r="BB24" s="55" t="s">
        <v>139</v>
      </c>
      <c r="BC24" s="55" t="s">
        <v>139</v>
      </c>
      <c r="BD24" s="55" t="s">
        <v>139</v>
      </c>
      <c r="BE24" s="55" t="s">
        <v>139</v>
      </c>
      <c r="BF24" s="55">
        <v>0</v>
      </c>
      <c r="BG24" s="55" t="s">
        <v>139</v>
      </c>
      <c r="BH24" s="55">
        <v>0</v>
      </c>
      <c r="BI24" s="55" t="s">
        <v>139</v>
      </c>
      <c r="BJ24" s="55">
        <v>0</v>
      </c>
      <c r="BK24" s="55">
        <v>0</v>
      </c>
      <c r="BL24" s="55" t="s">
        <v>139</v>
      </c>
      <c r="BM24" s="55" t="s">
        <v>139</v>
      </c>
    </row>
    <row r="25" spans="1:65" ht="15" customHeight="1" x14ac:dyDescent="0.2">
      <c r="A25" s="55" t="s">
        <v>150</v>
      </c>
      <c r="B25" s="55" t="s">
        <v>139</v>
      </c>
      <c r="C25" s="55">
        <v>0</v>
      </c>
      <c r="D25" s="55" t="s">
        <v>139</v>
      </c>
      <c r="E25" s="55">
        <v>0</v>
      </c>
      <c r="F25" s="55">
        <v>3</v>
      </c>
      <c r="G25" s="55" t="s">
        <v>139</v>
      </c>
      <c r="H25" s="55" t="s">
        <v>139</v>
      </c>
      <c r="I25" s="55">
        <v>0</v>
      </c>
      <c r="J25" s="55" t="s">
        <v>139</v>
      </c>
      <c r="K25" s="55" t="s">
        <v>139</v>
      </c>
      <c r="L25" s="55" t="s">
        <v>139</v>
      </c>
      <c r="M25" s="55" t="s">
        <v>139</v>
      </c>
      <c r="N25" s="55" t="s">
        <v>139</v>
      </c>
      <c r="O25" s="55" t="s">
        <v>139</v>
      </c>
      <c r="P25" s="55" t="s">
        <v>139</v>
      </c>
      <c r="Q25" s="55" t="s">
        <v>139</v>
      </c>
      <c r="R25" s="55" t="s">
        <v>139</v>
      </c>
      <c r="S25" s="55">
        <v>1</v>
      </c>
      <c r="T25" s="55">
        <v>1</v>
      </c>
      <c r="U25" s="55" t="s">
        <v>139</v>
      </c>
      <c r="V25" s="55" t="s">
        <v>139</v>
      </c>
      <c r="W25" s="55">
        <v>0</v>
      </c>
      <c r="X25" s="55" t="s">
        <v>139</v>
      </c>
      <c r="Y25" s="55">
        <v>0</v>
      </c>
      <c r="Z25" s="55" t="s">
        <v>139</v>
      </c>
      <c r="AA25" s="55" t="s">
        <v>139</v>
      </c>
      <c r="AB25" s="55" t="s">
        <v>139</v>
      </c>
      <c r="AC25" s="55" t="s">
        <v>139</v>
      </c>
      <c r="AD25" s="55" t="s">
        <v>139</v>
      </c>
      <c r="AE25" s="55" t="s">
        <v>139</v>
      </c>
      <c r="AF25" s="55" t="s">
        <v>139</v>
      </c>
      <c r="AG25" s="55" t="s">
        <v>139</v>
      </c>
      <c r="AH25" s="55">
        <v>0</v>
      </c>
      <c r="AI25" s="55" t="s">
        <v>139</v>
      </c>
      <c r="AJ25" s="55" t="s">
        <v>139</v>
      </c>
      <c r="AK25" s="55">
        <v>1</v>
      </c>
      <c r="AL25" s="55" t="s">
        <v>139</v>
      </c>
      <c r="AM25" s="55">
        <v>0</v>
      </c>
      <c r="AN25" s="55" t="s">
        <v>139</v>
      </c>
      <c r="AO25" s="55">
        <v>0</v>
      </c>
      <c r="AP25" s="55" t="s">
        <v>139</v>
      </c>
      <c r="AQ25" s="55" t="s">
        <v>139</v>
      </c>
      <c r="AR25" s="55">
        <v>2</v>
      </c>
      <c r="AS25" s="55" t="s">
        <v>139</v>
      </c>
      <c r="AT25" s="55">
        <v>1</v>
      </c>
      <c r="AU25" s="55" t="s">
        <v>139</v>
      </c>
      <c r="AV25" s="55">
        <v>0</v>
      </c>
      <c r="AW25" s="55">
        <v>0</v>
      </c>
      <c r="AX25" s="55" t="s">
        <v>139</v>
      </c>
      <c r="AY25" s="55" t="s">
        <v>139</v>
      </c>
      <c r="AZ25" s="55" t="s">
        <v>139</v>
      </c>
      <c r="BA25" s="55" t="s">
        <v>139</v>
      </c>
      <c r="BB25" s="55" t="s">
        <v>139</v>
      </c>
      <c r="BC25" s="55" t="s">
        <v>139</v>
      </c>
      <c r="BD25" s="55" t="s">
        <v>139</v>
      </c>
      <c r="BE25" s="55" t="s">
        <v>139</v>
      </c>
      <c r="BF25" s="55">
        <v>0</v>
      </c>
      <c r="BG25" s="55" t="s">
        <v>139</v>
      </c>
      <c r="BH25" s="55">
        <v>0</v>
      </c>
      <c r="BI25" s="55" t="s">
        <v>139</v>
      </c>
      <c r="BJ25" s="55">
        <v>0</v>
      </c>
      <c r="BK25" s="55">
        <v>1</v>
      </c>
      <c r="BL25" s="55" t="s">
        <v>139</v>
      </c>
      <c r="BM25" s="55" t="s">
        <v>139</v>
      </c>
    </row>
    <row r="26" spans="1:65" ht="15" customHeight="1" x14ac:dyDescent="0.2">
      <c r="A26" s="55" t="s">
        <v>149</v>
      </c>
      <c r="B26" s="55" t="s">
        <v>139</v>
      </c>
      <c r="C26" s="55">
        <v>0</v>
      </c>
      <c r="D26" s="55" t="s">
        <v>139</v>
      </c>
      <c r="E26" s="55">
        <v>0</v>
      </c>
      <c r="F26" s="55">
        <v>2</v>
      </c>
      <c r="G26" s="55" t="s">
        <v>139</v>
      </c>
      <c r="H26" s="55" t="s">
        <v>139</v>
      </c>
      <c r="I26" s="55">
        <v>0</v>
      </c>
      <c r="J26" s="55" t="s">
        <v>139</v>
      </c>
      <c r="K26" s="55" t="s">
        <v>139</v>
      </c>
      <c r="L26" s="55" t="s">
        <v>139</v>
      </c>
      <c r="M26" s="55" t="s">
        <v>139</v>
      </c>
      <c r="N26" s="55" t="s">
        <v>139</v>
      </c>
      <c r="O26" s="55" t="s">
        <v>139</v>
      </c>
      <c r="P26" s="55" t="s">
        <v>139</v>
      </c>
      <c r="Q26" s="55" t="s">
        <v>139</v>
      </c>
      <c r="R26" s="55" t="s">
        <v>139</v>
      </c>
      <c r="S26" s="55">
        <v>0</v>
      </c>
      <c r="T26" s="55">
        <v>1</v>
      </c>
      <c r="U26" s="55" t="s">
        <v>139</v>
      </c>
      <c r="V26" s="55" t="s">
        <v>139</v>
      </c>
      <c r="W26" s="55">
        <v>0</v>
      </c>
      <c r="X26" s="55" t="s">
        <v>139</v>
      </c>
      <c r="Y26" s="55">
        <v>0</v>
      </c>
      <c r="Z26" s="55" t="s">
        <v>139</v>
      </c>
      <c r="AA26" s="55" t="s">
        <v>139</v>
      </c>
      <c r="AB26" s="55" t="s">
        <v>139</v>
      </c>
      <c r="AC26" s="55" t="s">
        <v>139</v>
      </c>
      <c r="AD26" s="55" t="s">
        <v>139</v>
      </c>
      <c r="AE26" s="55" t="s">
        <v>139</v>
      </c>
      <c r="AF26" s="55" t="s">
        <v>139</v>
      </c>
      <c r="AG26" s="55" t="s">
        <v>139</v>
      </c>
      <c r="AH26" s="55">
        <v>0</v>
      </c>
      <c r="AI26" s="55" t="s">
        <v>139</v>
      </c>
      <c r="AJ26" s="55" t="s">
        <v>139</v>
      </c>
      <c r="AK26" s="55">
        <v>0</v>
      </c>
      <c r="AL26" s="55" t="s">
        <v>139</v>
      </c>
      <c r="AM26" s="55">
        <v>0</v>
      </c>
      <c r="AN26" s="55" t="s">
        <v>139</v>
      </c>
      <c r="AO26" s="55">
        <v>0</v>
      </c>
      <c r="AP26" s="55" t="s">
        <v>139</v>
      </c>
      <c r="AQ26" s="55" t="s">
        <v>139</v>
      </c>
      <c r="AR26" s="55">
        <v>2</v>
      </c>
      <c r="AS26" s="55" t="s">
        <v>139</v>
      </c>
      <c r="AT26" s="55">
        <v>2</v>
      </c>
      <c r="AU26" s="55" t="s">
        <v>139</v>
      </c>
      <c r="AV26" s="55">
        <v>0</v>
      </c>
      <c r="AW26" s="55">
        <v>0</v>
      </c>
      <c r="AX26" s="55" t="s">
        <v>139</v>
      </c>
      <c r="AY26" s="55" t="s">
        <v>139</v>
      </c>
      <c r="AZ26" s="55" t="s">
        <v>139</v>
      </c>
      <c r="BA26" s="55" t="s">
        <v>139</v>
      </c>
      <c r="BB26" s="55" t="s">
        <v>139</v>
      </c>
      <c r="BC26" s="55" t="s">
        <v>139</v>
      </c>
      <c r="BD26" s="55" t="s">
        <v>139</v>
      </c>
      <c r="BE26" s="55" t="s">
        <v>139</v>
      </c>
      <c r="BF26" s="55">
        <v>0</v>
      </c>
      <c r="BG26" s="55" t="s">
        <v>139</v>
      </c>
      <c r="BH26" s="55">
        <v>0</v>
      </c>
      <c r="BI26" s="55" t="s">
        <v>139</v>
      </c>
      <c r="BJ26" s="55">
        <v>0</v>
      </c>
      <c r="BK26" s="55">
        <v>2</v>
      </c>
      <c r="BL26" s="55" t="s">
        <v>139</v>
      </c>
      <c r="BM26" s="55" t="s">
        <v>139</v>
      </c>
    </row>
    <row r="27" spans="1:65" ht="15" customHeight="1" x14ac:dyDescent="0.2">
      <c r="A27" s="55" t="s">
        <v>148</v>
      </c>
      <c r="B27" s="55" t="s">
        <v>139</v>
      </c>
      <c r="C27" s="55">
        <v>0</v>
      </c>
      <c r="D27" s="55" t="s">
        <v>139</v>
      </c>
      <c r="E27" s="55">
        <v>0</v>
      </c>
      <c r="F27" s="55">
        <v>0</v>
      </c>
      <c r="G27" s="55" t="s">
        <v>139</v>
      </c>
      <c r="H27" s="55" t="s">
        <v>139</v>
      </c>
      <c r="I27" s="55">
        <v>0</v>
      </c>
      <c r="J27" s="55" t="s">
        <v>139</v>
      </c>
      <c r="K27" s="55" t="s">
        <v>139</v>
      </c>
      <c r="L27" s="55" t="s">
        <v>139</v>
      </c>
      <c r="M27" s="55" t="s">
        <v>139</v>
      </c>
      <c r="N27" s="55" t="s">
        <v>139</v>
      </c>
      <c r="O27" s="55" t="s">
        <v>139</v>
      </c>
      <c r="P27" s="55" t="s">
        <v>139</v>
      </c>
      <c r="Q27" s="55" t="s">
        <v>139</v>
      </c>
      <c r="R27" s="55" t="s">
        <v>139</v>
      </c>
      <c r="S27" s="55">
        <v>0</v>
      </c>
      <c r="T27" s="55">
        <v>0</v>
      </c>
      <c r="U27" s="55" t="s">
        <v>139</v>
      </c>
      <c r="V27" s="55" t="s">
        <v>139</v>
      </c>
      <c r="W27" s="55">
        <v>0</v>
      </c>
      <c r="X27" s="55" t="s">
        <v>139</v>
      </c>
      <c r="Y27" s="55">
        <v>0</v>
      </c>
      <c r="Z27" s="55" t="s">
        <v>139</v>
      </c>
      <c r="AA27" s="55" t="s">
        <v>139</v>
      </c>
      <c r="AB27" s="55" t="s">
        <v>139</v>
      </c>
      <c r="AC27" s="55" t="s">
        <v>139</v>
      </c>
      <c r="AD27" s="55" t="s">
        <v>139</v>
      </c>
      <c r="AE27" s="55" t="s">
        <v>139</v>
      </c>
      <c r="AF27" s="55" t="s">
        <v>139</v>
      </c>
      <c r="AG27" s="55" t="s">
        <v>139</v>
      </c>
      <c r="AH27" s="55">
        <v>0</v>
      </c>
      <c r="AI27" s="55" t="s">
        <v>139</v>
      </c>
      <c r="AJ27" s="55" t="s">
        <v>139</v>
      </c>
      <c r="AK27" s="55">
        <v>0</v>
      </c>
      <c r="AL27" s="55" t="s">
        <v>139</v>
      </c>
      <c r="AM27" s="55">
        <v>0</v>
      </c>
      <c r="AN27" s="55" t="s">
        <v>139</v>
      </c>
      <c r="AO27" s="55">
        <v>0</v>
      </c>
      <c r="AP27" s="55" t="s">
        <v>139</v>
      </c>
      <c r="AQ27" s="55" t="s">
        <v>139</v>
      </c>
      <c r="AR27" s="55">
        <v>0</v>
      </c>
      <c r="AS27" s="55" t="s">
        <v>139</v>
      </c>
      <c r="AT27" s="55">
        <v>0</v>
      </c>
      <c r="AU27" s="55" t="s">
        <v>139</v>
      </c>
      <c r="AV27" s="55">
        <v>0</v>
      </c>
      <c r="AW27" s="55">
        <v>0</v>
      </c>
      <c r="AX27" s="55" t="s">
        <v>139</v>
      </c>
      <c r="AY27" s="55" t="s">
        <v>139</v>
      </c>
      <c r="AZ27" s="55" t="s">
        <v>139</v>
      </c>
      <c r="BA27" s="55" t="s">
        <v>139</v>
      </c>
      <c r="BB27" s="55" t="s">
        <v>139</v>
      </c>
      <c r="BC27" s="55" t="s">
        <v>139</v>
      </c>
      <c r="BD27" s="55" t="s">
        <v>139</v>
      </c>
      <c r="BE27" s="55" t="s">
        <v>139</v>
      </c>
      <c r="BF27" s="55">
        <v>0</v>
      </c>
      <c r="BG27" s="55" t="s">
        <v>139</v>
      </c>
      <c r="BH27" s="55">
        <v>0</v>
      </c>
      <c r="BI27" s="55" t="s">
        <v>139</v>
      </c>
      <c r="BJ27" s="55">
        <v>0</v>
      </c>
      <c r="BK27" s="55">
        <v>0</v>
      </c>
      <c r="BL27" s="55" t="s">
        <v>139</v>
      </c>
      <c r="BM27" s="55" t="s">
        <v>139</v>
      </c>
    </row>
    <row r="28" spans="1:65" ht="15" customHeight="1" x14ac:dyDescent="0.2">
      <c r="A28" s="55" t="s">
        <v>147</v>
      </c>
      <c r="B28" s="55" t="s">
        <v>139</v>
      </c>
      <c r="C28" s="55">
        <v>0</v>
      </c>
      <c r="D28" s="55" t="s">
        <v>139</v>
      </c>
      <c r="E28" s="55">
        <v>0</v>
      </c>
      <c r="F28" s="55">
        <v>0</v>
      </c>
      <c r="G28" s="55" t="s">
        <v>139</v>
      </c>
      <c r="H28" s="55" t="s">
        <v>139</v>
      </c>
      <c r="I28" s="55">
        <v>0</v>
      </c>
      <c r="J28" s="55" t="s">
        <v>139</v>
      </c>
      <c r="K28" s="55" t="s">
        <v>139</v>
      </c>
      <c r="L28" s="55" t="s">
        <v>139</v>
      </c>
      <c r="M28" s="55" t="s">
        <v>139</v>
      </c>
      <c r="N28" s="55" t="s">
        <v>139</v>
      </c>
      <c r="O28" s="55" t="s">
        <v>139</v>
      </c>
      <c r="P28" s="55" t="s">
        <v>139</v>
      </c>
      <c r="Q28" s="55" t="s">
        <v>139</v>
      </c>
      <c r="R28" s="55" t="s">
        <v>139</v>
      </c>
      <c r="S28" s="55">
        <v>0</v>
      </c>
      <c r="T28" s="55">
        <v>1</v>
      </c>
      <c r="U28" s="55" t="s">
        <v>139</v>
      </c>
      <c r="V28" s="55" t="s">
        <v>139</v>
      </c>
      <c r="W28" s="55">
        <v>0</v>
      </c>
      <c r="X28" s="55" t="s">
        <v>139</v>
      </c>
      <c r="Y28" s="55">
        <v>0</v>
      </c>
      <c r="Z28" s="55" t="s">
        <v>139</v>
      </c>
      <c r="AA28" s="55" t="s">
        <v>139</v>
      </c>
      <c r="AB28" s="55" t="s">
        <v>139</v>
      </c>
      <c r="AC28" s="55" t="s">
        <v>139</v>
      </c>
      <c r="AD28" s="55" t="s">
        <v>139</v>
      </c>
      <c r="AE28" s="55" t="s">
        <v>139</v>
      </c>
      <c r="AF28" s="55" t="s">
        <v>139</v>
      </c>
      <c r="AG28" s="55" t="s">
        <v>139</v>
      </c>
      <c r="AH28" s="55">
        <v>0</v>
      </c>
      <c r="AI28" s="55" t="s">
        <v>139</v>
      </c>
      <c r="AJ28" s="55" t="s">
        <v>139</v>
      </c>
      <c r="AK28" s="55">
        <v>0</v>
      </c>
      <c r="AL28" s="55" t="s">
        <v>139</v>
      </c>
      <c r="AM28" s="55">
        <v>0</v>
      </c>
      <c r="AN28" s="55" t="s">
        <v>139</v>
      </c>
      <c r="AO28" s="55">
        <v>0</v>
      </c>
      <c r="AP28" s="55" t="s">
        <v>139</v>
      </c>
      <c r="AQ28" s="55" t="s">
        <v>139</v>
      </c>
      <c r="AR28" s="55">
        <v>0</v>
      </c>
      <c r="AS28" s="55" t="s">
        <v>139</v>
      </c>
      <c r="AT28" s="55">
        <v>2</v>
      </c>
      <c r="AU28" s="55" t="s">
        <v>139</v>
      </c>
      <c r="AV28" s="55">
        <v>1</v>
      </c>
      <c r="AW28" s="55">
        <v>0</v>
      </c>
      <c r="AX28" s="55" t="s">
        <v>139</v>
      </c>
      <c r="AY28" s="55" t="s">
        <v>139</v>
      </c>
      <c r="AZ28" s="55" t="s">
        <v>139</v>
      </c>
      <c r="BA28" s="55" t="s">
        <v>139</v>
      </c>
      <c r="BB28" s="55" t="s">
        <v>139</v>
      </c>
      <c r="BC28" s="55" t="s">
        <v>139</v>
      </c>
      <c r="BD28" s="55" t="s">
        <v>139</v>
      </c>
      <c r="BE28" s="55" t="s">
        <v>139</v>
      </c>
      <c r="BF28" s="55">
        <v>0</v>
      </c>
      <c r="BG28" s="55" t="s">
        <v>139</v>
      </c>
      <c r="BH28" s="55">
        <v>0</v>
      </c>
      <c r="BI28" s="55" t="s">
        <v>139</v>
      </c>
      <c r="BJ28" s="55">
        <v>0</v>
      </c>
      <c r="BK28" s="55">
        <v>0</v>
      </c>
      <c r="BL28" s="55" t="s">
        <v>139</v>
      </c>
      <c r="BM28" s="55" t="s">
        <v>139</v>
      </c>
    </row>
    <row r="29" spans="1:65" ht="15" customHeight="1" x14ac:dyDescent="0.2">
      <c r="A29" s="55" t="s">
        <v>146</v>
      </c>
      <c r="B29" s="55" t="s">
        <v>139</v>
      </c>
      <c r="C29" s="55">
        <v>0</v>
      </c>
      <c r="D29" s="55" t="s">
        <v>139</v>
      </c>
      <c r="E29" s="55">
        <v>0</v>
      </c>
      <c r="F29" s="55">
        <v>1</v>
      </c>
      <c r="G29" s="55" t="s">
        <v>139</v>
      </c>
      <c r="H29" s="55" t="s">
        <v>139</v>
      </c>
      <c r="I29" s="55">
        <v>0</v>
      </c>
      <c r="J29" s="55" t="s">
        <v>139</v>
      </c>
      <c r="K29" s="55" t="s">
        <v>139</v>
      </c>
      <c r="L29" s="55" t="s">
        <v>139</v>
      </c>
      <c r="M29" s="55" t="s">
        <v>139</v>
      </c>
      <c r="N29" s="55" t="s">
        <v>139</v>
      </c>
      <c r="O29" s="55" t="s">
        <v>139</v>
      </c>
      <c r="P29" s="55" t="s">
        <v>139</v>
      </c>
      <c r="Q29" s="55" t="s">
        <v>139</v>
      </c>
      <c r="R29" s="55" t="s">
        <v>139</v>
      </c>
      <c r="S29" s="55">
        <v>0</v>
      </c>
      <c r="T29" s="55">
        <v>1</v>
      </c>
      <c r="U29" s="55" t="s">
        <v>139</v>
      </c>
      <c r="V29" s="55" t="s">
        <v>139</v>
      </c>
      <c r="W29" s="55">
        <v>0</v>
      </c>
      <c r="X29" s="55" t="s">
        <v>139</v>
      </c>
      <c r="Y29" s="55">
        <v>0</v>
      </c>
      <c r="Z29" s="55" t="s">
        <v>139</v>
      </c>
      <c r="AA29" s="55" t="s">
        <v>139</v>
      </c>
      <c r="AB29" s="55" t="s">
        <v>139</v>
      </c>
      <c r="AC29" s="55" t="s">
        <v>139</v>
      </c>
      <c r="AD29" s="55" t="s">
        <v>139</v>
      </c>
      <c r="AE29" s="55" t="s">
        <v>139</v>
      </c>
      <c r="AF29" s="55" t="s">
        <v>139</v>
      </c>
      <c r="AG29" s="55" t="s">
        <v>139</v>
      </c>
      <c r="AH29" s="55">
        <v>0</v>
      </c>
      <c r="AI29" s="55" t="s">
        <v>139</v>
      </c>
      <c r="AJ29" s="55" t="s">
        <v>139</v>
      </c>
      <c r="AK29" s="55">
        <v>0</v>
      </c>
      <c r="AL29" s="55" t="s">
        <v>139</v>
      </c>
      <c r="AM29" s="55">
        <v>0</v>
      </c>
      <c r="AN29" s="55" t="s">
        <v>139</v>
      </c>
      <c r="AO29" s="55">
        <v>0</v>
      </c>
      <c r="AP29" s="55" t="s">
        <v>139</v>
      </c>
      <c r="AQ29" s="55" t="s">
        <v>139</v>
      </c>
      <c r="AR29" s="55">
        <v>2</v>
      </c>
      <c r="AS29" s="55" t="s">
        <v>139</v>
      </c>
      <c r="AT29" s="55">
        <v>1</v>
      </c>
      <c r="AU29" s="55" t="s">
        <v>139</v>
      </c>
      <c r="AV29" s="55">
        <v>0</v>
      </c>
      <c r="AW29" s="55">
        <v>0</v>
      </c>
      <c r="AX29" s="55" t="s">
        <v>139</v>
      </c>
      <c r="AY29" s="55" t="s">
        <v>139</v>
      </c>
      <c r="AZ29" s="55" t="s">
        <v>139</v>
      </c>
      <c r="BA29" s="55" t="s">
        <v>139</v>
      </c>
      <c r="BB29" s="55" t="s">
        <v>139</v>
      </c>
      <c r="BC29" s="55" t="s">
        <v>139</v>
      </c>
      <c r="BD29" s="55" t="s">
        <v>139</v>
      </c>
      <c r="BE29" s="55" t="s">
        <v>139</v>
      </c>
      <c r="BF29" s="55">
        <v>0</v>
      </c>
      <c r="BG29" s="55" t="s">
        <v>139</v>
      </c>
      <c r="BH29" s="55">
        <v>0</v>
      </c>
      <c r="BI29" s="55" t="s">
        <v>139</v>
      </c>
      <c r="BJ29" s="55">
        <v>0</v>
      </c>
      <c r="BK29" s="55">
        <v>0</v>
      </c>
      <c r="BL29" s="55" t="s">
        <v>139</v>
      </c>
      <c r="BM29" s="55" t="s">
        <v>139</v>
      </c>
    </row>
    <row r="30" spans="1:65" ht="15" customHeight="1" x14ac:dyDescent="0.2">
      <c r="A30" s="55" t="s">
        <v>145</v>
      </c>
      <c r="B30" s="55" t="s">
        <v>139</v>
      </c>
      <c r="C30" s="55">
        <v>0</v>
      </c>
      <c r="D30" s="55" t="s">
        <v>139</v>
      </c>
      <c r="E30" s="55">
        <v>1</v>
      </c>
      <c r="F30" s="55">
        <v>1</v>
      </c>
      <c r="G30" s="55" t="s">
        <v>139</v>
      </c>
      <c r="H30" s="55" t="s">
        <v>139</v>
      </c>
      <c r="I30" s="55">
        <v>0</v>
      </c>
      <c r="J30" s="55" t="s">
        <v>139</v>
      </c>
      <c r="K30" s="55" t="s">
        <v>139</v>
      </c>
      <c r="L30" s="55" t="s">
        <v>139</v>
      </c>
      <c r="M30" s="55" t="s">
        <v>139</v>
      </c>
      <c r="N30" s="55" t="s">
        <v>139</v>
      </c>
      <c r="O30" s="55" t="s">
        <v>139</v>
      </c>
      <c r="P30" s="55" t="s">
        <v>139</v>
      </c>
      <c r="Q30" s="55" t="s">
        <v>139</v>
      </c>
      <c r="R30" s="55" t="s">
        <v>139</v>
      </c>
      <c r="S30" s="55">
        <v>0</v>
      </c>
      <c r="T30" s="55">
        <v>3</v>
      </c>
      <c r="U30" s="55" t="s">
        <v>139</v>
      </c>
      <c r="V30" s="55" t="s">
        <v>139</v>
      </c>
      <c r="W30" s="55">
        <v>1</v>
      </c>
      <c r="X30" s="55" t="s">
        <v>139</v>
      </c>
      <c r="Y30" s="55">
        <v>0</v>
      </c>
      <c r="Z30" s="55" t="s">
        <v>139</v>
      </c>
      <c r="AA30" s="55" t="s">
        <v>139</v>
      </c>
      <c r="AB30" s="55" t="s">
        <v>139</v>
      </c>
      <c r="AC30" s="55" t="s">
        <v>139</v>
      </c>
      <c r="AD30" s="55" t="s">
        <v>139</v>
      </c>
      <c r="AE30" s="55" t="s">
        <v>139</v>
      </c>
      <c r="AF30" s="55" t="s">
        <v>139</v>
      </c>
      <c r="AG30" s="55" t="s">
        <v>139</v>
      </c>
      <c r="AH30" s="55">
        <v>0</v>
      </c>
      <c r="AI30" s="55" t="s">
        <v>139</v>
      </c>
      <c r="AJ30" s="55" t="s">
        <v>139</v>
      </c>
      <c r="AK30" s="55">
        <v>1</v>
      </c>
      <c r="AL30" s="55" t="s">
        <v>139</v>
      </c>
      <c r="AM30" s="55">
        <v>0</v>
      </c>
      <c r="AN30" s="55" t="s">
        <v>139</v>
      </c>
      <c r="AO30" s="55">
        <v>0</v>
      </c>
      <c r="AP30" s="55" t="s">
        <v>139</v>
      </c>
      <c r="AQ30" s="55" t="s">
        <v>139</v>
      </c>
      <c r="AR30" s="55">
        <v>1</v>
      </c>
      <c r="AS30" s="55" t="s">
        <v>139</v>
      </c>
      <c r="AT30" s="55">
        <v>1</v>
      </c>
      <c r="AU30" s="55" t="s">
        <v>139</v>
      </c>
      <c r="AV30" s="55">
        <v>0</v>
      </c>
      <c r="AW30" s="55">
        <v>0</v>
      </c>
      <c r="AX30" s="55" t="s">
        <v>139</v>
      </c>
      <c r="AY30" s="55" t="s">
        <v>139</v>
      </c>
      <c r="AZ30" s="55" t="s">
        <v>139</v>
      </c>
      <c r="BA30" s="55" t="s">
        <v>139</v>
      </c>
      <c r="BB30" s="55" t="s">
        <v>139</v>
      </c>
      <c r="BC30" s="55" t="s">
        <v>139</v>
      </c>
      <c r="BD30" s="55" t="s">
        <v>139</v>
      </c>
      <c r="BE30" s="55" t="s">
        <v>139</v>
      </c>
      <c r="BF30" s="55">
        <v>1</v>
      </c>
      <c r="BG30" s="55" t="s">
        <v>139</v>
      </c>
      <c r="BH30" s="55">
        <v>0</v>
      </c>
      <c r="BI30" s="55" t="s">
        <v>139</v>
      </c>
      <c r="BJ30" s="55">
        <v>0</v>
      </c>
      <c r="BK30" s="55">
        <v>0</v>
      </c>
      <c r="BL30" s="55" t="s">
        <v>139</v>
      </c>
      <c r="BM30" s="55" t="s">
        <v>139</v>
      </c>
    </row>
    <row r="31" spans="1:65" ht="15" customHeight="1" x14ac:dyDescent="0.2">
      <c r="A31" s="55" t="s">
        <v>144</v>
      </c>
      <c r="B31" s="55" t="s">
        <v>139</v>
      </c>
      <c r="C31" s="55">
        <v>0</v>
      </c>
      <c r="D31" s="55" t="s">
        <v>139</v>
      </c>
      <c r="E31" s="55">
        <v>0</v>
      </c>
      <c r="F31" s="55">
        <v>1</v>
      </c>
      <c r="G31" s="55" t="s">
        <v>139</v>
      </c>
      <c r="H31" s="55" t="s">
        <v>139</v>
      </c>
      <c r="I31" s="55">
        <v>0</v>
      </c>
      <c r="J31" s="55" t="s">
        <v>139</v>
      </c>
      <c r="K31" s="55" t="s">
        <v>139</v>
      </c>
      <c r="L31" s="55" t="s">
        <v>139</v>
      </c>
      <c r="M31" s="55" t="s">
        <v>139</v>
      </c>
      <c r="N31" s="55" t="s">
        <v>139</v>
      </c>
      <c r="O31" s="55" t="s">
        <v>139</v>
      </c>
      <c r="P31" s="55" t="s">
        <v>139</v>
      </c>
      <c r="Q31" s="55" t="s">
        <v>139</v>
      </c>
      <c r="R31" s="55" t="s">
        <v>139</v>
      </c>
      <c r="S31" s="55">
        <v>0</v>
      </c>
      <c r="T31" s="55">
        <v>1</v>
      </c>
      <c r="U31" s="55" t="s">
        <v>139</v>
      </c>
      <c r="V31" s="55" t="s">
        <v>139</v>
      </c>
      <c r="W31" s="55">
        <v>0</v>
      </c>
      <c r="X31" s="55" t="s">
        <v>139</v>
      </c>
      <c r="Y31" s="55">
        <v>0</v>
      </c>
      <c r="Z31" s="55" t="s">
        <v>139</v>
      </c>
      <c r="AA31" s="55" t="s">
        <v>139</v>
      </c>
      <c r="AB31" s="55" t="s">
        <v>139</v>
      </c>
      <c r="AC31" s="55" t="s">
        <v>139</v>
      </c>
      <c r="AD31" s="55" t="s">
        <v>139</v>
      </c>
      <c r="AE31" s="55" t="s">
        <v>139</v>
      </c>
      <c r="AF31" s="55" t="s">
        <v>139</v>
      </c>
      <c r="AG31" s="55" t="s">
        <v>139</v>
      </c>
      <c r="AH31" s="55">
        <v>0</v>
      </c>
      <c r="AI31" s="55" t="s">
        <v>139</v>
      </c>
      <c r="AJ31" s="55" t="s">
        <v>139</v>
      </c>
      <c r="AK31" s="55">
        <v>0</v>
      </c>
      <c r="AL31" s="55" t="s">
        <v>139</v>
      </c>
      <c r="AM31" s="55">
        <v>0</v>
      </c>
      <c r="AN31" s="55" t="s">
        <v>139</v>
      </c>
      <c r="AO31" s="55">
        <v>0</v>
      </c>
      <c r="AP31" s="55" t="s">
        <v>139</v>
      </c>
      <c r="AQ31" s="55" t="s">
        <v>139</v>
      </c>
      <c r="AR31" s="55">
        <v>2</v>
      </c>
      <c r="AS31" s="55" t="s">
        <v>139</v>
      </c>
      <c r="AT31" s="55">
        <v>2</v>
      </c>
      <c r="AU31" s="55" t="s">
        <v>139</v>
      </c>
      <c r="AV31" s="55">
        <v>1</v>
      </c>
      <c r="AW31" s="55">
        <v>0</v>
      </c>
      <c r="AX31" s="55" t="s">
        <v>139</v>
      </c>
      <c r="AY31" s="55" t="s">
        <v>139</v>
      </c>
      <c r="AZ31" s="55" t="s">
        <v>139</v>
      </c>
      <c r="BA31" s="55" t="s">
        <v>139</v>
      </c>
      <c r="BB31" s="55" t="s">
        <v>139</v>
      </c>
      <c r="BC31" s="55" t="s">
        <v>139</v>
      </c>
      <c r="BD31" s="55" t="s">
        <v>139</v>
      </c>
      <c r="BE31" s="55" t="s">
        <v>139</v>
      </c>
      <c r="BF31" s="55">
        <v>0</v>
      </c>
      <c r="BG31" s="55" t="s">
        <v>139</v>
      </c>
      <c r="BH31" s="55">
        <v>0</v>
      </c>
      <c r="BI31" s="55" t="s">
        <v>139</v>
      </c>
      <c r="BJ31" s="55">
        <v>0</v>
      </c>
      <c r="BK31" s="55">
        <v>0</v>
      </c>
      <c r="BL31" s="55" t="s">
        <v>139</v>
      </c>
      <c r="BM31" s="55" t="s">
        <v>139</v>
      </c>
    </row>
    <row r="32" spans="1:65" ht="15" customHeight="1" x14ac:dyDescent="0.2">
      <c r="A32" s="55" t="s">
        <v>143</v>
      </c>
      <c r="B32" s="55" t="s">
        <v>139</v>
      </c>
      <c r="C32" s="55">
        <v>0</v>
      </c>
      <c r="D32" s="55" t="s">
        <v>139</v>
      </c>
      <c r="E32" s="55">
        <v>0</v>
      </c>
      <c r="F32" s="55">
        <v>0</v>
      </c>
      <c r="G32" s="55" t="s">
        <v>139</v>
      </c>
      <c r="H32" s="55" t="s">
        <v>139</v>
      </c>
      <c r="I32" s="55">
        <v>0</v>
      </c>
      <c r="J32" s="55" t="s">
        <v>139</v>
      </c>
      <c r="K32" s="55" t="s">
        <v>139</v>
      </c>
      <c r="L32" s="55" t="s">
        <v>139</v>
      </c>
      <c r="M32" s="55" t="s">
        <v>139</v>
      </c>
      <c r="N32" s="55" t="s">
        <v>139</v>
      </c>
      <c r="O32" s="55" t="s">
        <v>139</v>
      </c>
      <c r="P32" s="55" t="s">
        <v>139</v>
      </c>
      <c r="Q32" s="55" t="s">
        <v>139</v>
      </c>
      <c r="R32" s="55" t="s">
        <v>139</v>
      </c>
      <c r="S32" s="55">
        <v>0</v>
      </c>
      <c r="T32" s="55">
        <v>1</v>
      </c>
      <c r="U32" s="55" t="s">
        <v>139</v>
      </c>
      <c r="V32" s="55" t="s">
        <v>139</v>
      </c>
      <c r="W32" s="55">
        <v>0</v>
      </c>
      <c r="X32" s="55" t="s">
        <v>139</v>
      </c>
      <c r="Y32" s="55">
        <v>0</v>
      </c>
      <c r="Z32" s="55" t="s">
        <v>139</v>
      </c>
      <c r="AA32" s="55" t="s">
        <v>139</v>
      </c>
      <c r="AB32" s="55" t="s">
        <v>139</v>
      </c>
      <c r="AC32" s="55" t="s">
        <v>139</v>
      </c>
      <c r="AD32" s="55" t="s">
        <v>139</v>
      </c>
      <c r="AE32" s="55" t="s">
        <v>139</v>
      </c>
      <c r="AF32" s="55" t="s">
        <v>139</v>
      </c>
      <c r="AG32" s="55" t="s">
        <v>139</v>
      </c>
      <c r="AH32" s="55">
        <v>0</v>
      </c>
      <c r="AI32" s="55" t="s">
        <v>139</v>
      </c>
      <c r="AJ32" s="55" t="s">
        <v>139</v>
      </c>
      <c r="AK32" s="55">
        <v>0</v>
      </c>
      <c r="AL32" s="55" t="s">
        <v>139</v>
      </c>
      <c r="AM32" s="55">
        <v>0</v>
      </c>
      <c r="AN32" s="55" t="s">
        <v>139</v>
      </c>
      <c r="AO32" s="55">
        <v>0</v>
      </c>
      <c r="AP32" s="55" t="s">
        <v>139</v>
      </c>
      <c r="AQ32" s="55" t="s">
        <v>139</v>
      </c>
      <c r="AR32" s="55">
        <v>1</v>
      </c>
      <c r="AS32" s="55" t="s">
        <v>139</v>
      </c>
      <c r="AT32" s="55">
        <v>1</v>
      </c>
      <c r="AU32" s="55" t="s">
        <v>139</v>
      </c>
      <c r="AV32" s="55">
        <v>1</v>
      </c>
      <c r="AW32" s="55">
        <v>0</v>
      </c>
      <c r="AX32" s="55" t="s">
        <v>139</v>
      </c>
      <c r="AY32" s="55" t="s">
        <v>139</v>
      </c>
      <c r="AZ32" s="55" t="s">
        <v>139</v>
      </c>
      <c r="BA32" s="55" t="s">
        <v>139</v>
      </c>
      <c r="BB32" s="55" t="s">
        <v>139</v>
      </c>
      <c r="BC32" s="55" t="s">
        <v>139</v>
      </c>
      <c r="BD32" s="55" t="s">
        <v>139</v>
      </c>
      <c r="BE32" s="55" t="s">
        <v>139</v>
      </c>
      <c r="BF32" s="55">
        <v>0</v>
      </c>
      <c r="BG32" s="55" t="s">
        <v>139</v>
      </c>
      <c r="BH32" s="55">
        <v>0</v>
      </c>
      <c r="BI32" s="55" t="s">
        <v>139</v>
      </c>
      <c r="BJ32" s="55">
        <v>0</v>
      </c>
      <c r="BK32" s="55">
        <v>0</v>
      </c>
      <c r="BL32" s="55" t="s">
        <v>139</v>
      </c>
      <c r="BM32" s="55" t="s">
        <v>139</v>
      </c>
    </row>
    <row r="33" spans="1:65" ht="15" customHeight="1" x14ac:dyDescent="0.2">
      <c r="A33" s="55" t="s">
        <v>142</v>
      </c>
      <c r="B33" s="55" t="s">
        <v>139</v>
      </c>
      <c r="C33" s="55">
        <v>0</v>
      </c>
      <c r="D33" s="55" t="s">
        <v>139</v>
      </c>
      <c r="E33" s="55">
        <v>0</v>
      </c>
      <c r="F33" s="55">
        <v>1</v>
      </c>
      <c r="G33" s="55" t="s">
        <v>139</v>
      </c>
      <c r="H33" s="55" t="s">
        <v>139</v>
      </c>
      <c r="I33" s="55">
        <v>0</v>
      </c>
      <c r="J33" s="55" t="s">
        <v>139</v>
      </c>
      <c r="K33" s="55" t="s">
        <v>139</v>
      </c>
      <c r="L33" s="55" t="s">
        <v>139</v>
      </c>
      <c r="M33" s="55" t="s">
        <v>139</v>
      </c>
      <c r="N33" s="55" t="s">
        <v>139</v>
      </c>
      <c r="O33" s="55" t="s">
        <v>139</v>
      </c>
      <c r="P33" s="55" t="s">
        <v>139</v>
      </c>
      <c r="Q33" s="55" t="s">
        <v>139</v>
      </c>
      <c r="R33" s="55" t="s">
        <v>139</v>
      </c>
      <c r="S33" s="55">
        <v>0</v>
      </c>
      <c r="T33" s="55">
        <v>1</v>
      </c>
      <c r="U33" s="55" t="s">
        <v>139</v>
      </c>
      <c r="V33" s="55" t="s">
        <v>139</v>
      </c>
      <c r="W33" s="55">
        <v>0</v>
      </c>
      <c r="X33" s="55" t="s">
        <v>139</v>
      </c>
      <c r="Y33" s="55">
        <v>0</v>
      </c>
      <c r="Z33" s="55" t="s">
        <v>139</v>
      </c>
      <c r="AA33" s="55" t="s">
        <v>139</v>
      </c>
      <c r="AB33" s="55" t="s">
        <v>139</v>
      </c>
      <c r="AC33" s="55" t="s">
        <v>139</v>
      </c>
      <c r="AD33" s="55" t="s">
        <v>139</v>
      </c>
      <c r="AE33" s="55" t="s">
        <v>139</v>
      </c>
      <c r="AF33" s="55" t="s">
        <v>139</v>
      </c>
      <c r="AG33" s="55" t="s">
        <v>139</v>
      </c>
      <c r="AH33" s="55">
        <v>0</v>
      </c>
      <c r="AI33" s="55" t="s">
        <v>139</v>
      </c>
      <c r="AJ33" s="55" t="s">
        <v>139</v>
      </c>
      <c r="AK33" s="55">
        <v>0</v>
      </c>
      <c r="AL33" s="55" t="s">
        <v>139</v>
      </c>
      <c r="AM33" s="55">
        <v>0</v>
      </c>
      <c r="AN33" s="55" t="s">
        <v>139</v>
      </c>
      <c r="AO33" s="55">
        <v>0</v>
      </c>
      <c r="AP33" s="55" t="s">
        <v>139</v>
      </c>
      <c r="AQ33" s="55" t="s">
        <v>139</v>
      </c>
      <c r="AR33" s="55">
        <v>2</v>
      </c>
      <c r="AS33" s="55" t="s">
        <v>139</v>
      </c>
      <c r="AT33" s="55">
        <v>2</v>
      </c>
      <c r="AU33" s="55" t="s">
        <v>139</v>
      </c>
      <c r="AV33" s="55">
        <v>0</v>
      </c>
      <c r="AW33" s="55">
        <v>0</v>
      </c>
      <c r="AX33" s="55" t="s">
        <v>139</v>
      </c>
      <c r="AY33" s="55" t="s">
        <v>139</v>
      </c>
      <c r="AZ33" s="55" t="s">
        <v>139</v>
      </c>
      <c r="BA33" s="55" t="s">
        <v>139</v>
      </c>
      <c r="BB33" s="55" t="s">
        <v>139</v>
      </c>
      <c r="BC33" s="55" t="s">
        <v>139</v>
      </c>
      <c r="BD33" s="55" t="s">
        <v>139</v>
      </c>
      <c r="BE33" s="55" t="s">
        <v>139</v>
      </c>
      <c r="BF33" s="55">
        <v>0</v>
      </c>
      <c r="BG33" s="55" t="s">
        <v>139</v>
      </c>
      <c r="BH33" s="55">
        <v>0</v>
      </c>
      <c r="BI33" s="55" t="s">
        <v>139</v>
      </c>
      <c r="BJ33" s="55">
        <v>0</v>
      </c>
      <c r="BK33" s="55">
        <v>0</v>
      </c>
      <c r="BL33" s="55" t="s">
        <v>139</v>
      </c>
      <c r="BM33" s="55" t="s">
        <v>139</v>
      </c>
    </row>
    <row r="34" spans="1:65" ht="15" customHeight="1" x14ac:dyDescent="0.2">
      <c r="A34" s="55" t="s">
        <v>141</v>
      </c>
      <c r="B34" s="55" t="s">
        <v>139</v>
      </c>
      <c r="C34" s="55">
        <v>0</v>
      </c>
      <c r="D34" s="55" t="s">
        <v>139</v>
      </c>
      <c r="E34" s="55">
        <v>0</v>
      </c>
      <c r="F34" s="55">
        <v>1</v>
      </c>
      <c r="G34" s="55" t="s">
        <v>139</v>
      </c>
      <c r="H34" s="55" t="s">
        <v>139</v>
      </c>
      <c r="I34" s="55">
        <v>0</v>
      </c>
      <c r="J34" s="55" t="s">
        <v>139</v>
      </c>
      <c r="K34" s="55" t="s">
        <v>139</v>
      </c>
      <c r="L34" s="55" t="s">
        <v>139</v>
      </c>
      <c r="M34" s="55" t="s">
        <v>139</v>
      </c>
      <c r="N34" s="55" t="s">
        <v>139</v>
      </c>
      <c r="O34" s="55" t="s">
        <v>139</v>
      </c>
      <c r="P34" s="55" t="s">
        <v>139</v>
      </c>
      <c r="Q34" s="55" t="s">
        <v>139</v>
      </c>
      <c r="R34" s="55" t="s">
        <v>139</v>
      </c>
      <c r="S34" s="55">
        <v>0</v>
      </c>
      <c r="T34" s="55">
        <v>1</v>
      </c>
      <c r="U34" s="55" t="s">
        <v>139</v>
      </c>
      <c r="V34" s="55" t="s">
        <v>139</v>
      </c>
      <c r="W34" s="55">
        <v>0</v>
      </c>
      <c r="X34" s="55" t="s">
        <v>139</v>
      </c>
      <c r="Y34" s="55">
        <v>0</v>
      </c>
      <c r="Z34" s="55" t="s">
        <v>139</v>
      </c>
      <c r="AA34" s="55" t="s">
        <v>139</v>
      </c>
      <c r="AB34" s="55" t="s">
        <v>139</v>
      </c>
      <c r="AC34" s="55" t="s">
        <v>139</v>
      </c>
      <c r="AD34" s="55" t="s">
        <v>139</v>
      </c>
      <c r="AE34" s="55" t="s">
        <v>139</v>
      </c>
      <c r="AF34" s="55" t="s">
        <v>139</v>
      </c>
      <c r="AG34" s="55" t="s">
        <v>139</v>
      </c>
      <c r="AH34" s="55">
        <v>0</v>
      </c>
      <c r="AI34" s="55" t="s">
        <v>139</v>
      </c>
      <c r="AJ34" s="55" t="s">
        <v>139</v>
      </c>
      <c r="AK34" s="55">
        <v>1</v>
      </c>
      <c r="AL34" s="55" t="s">
        <v>139</v>
      </c>
      <c r="AM34" s="55">
        <v>0</v>
      </c>
      <c r="AN34" s="55" t="s">
        <v>139</v>
      </c>
      <c r="AO34" s="55">
        <v>0</v>
      </c>
      <c r="AP34" s="55" t="s">
        <v>139</v>
      </c>
      <c r="AQ34" s="55" t="s">
        <v>139</v>
      </c>
      <c r="AR34" s="55">
        <v>0</v>
      </c>
      <c r="AS34" s="55" t="s">
        <v>139</v>
      </c>
      <c r="AT34" s="55">
        <v>1</v>
      </c>
      <c r="AU34" s="55" t="s">
        <v>139</v>
      </c>
      <c r="AV34" s="55">
        <v>0</v>
      </c>
      <c r="AW34" s="55">
        <v>0</v>
      </c>
      <c r="AX34" s="55" t="s">
        <v>139</v>
      </c>
      <c r="AY34" s="55" t="s">
        <v>139</v>
      </c>
      <c r="AZ34" s="55" t="s">
        <v>139</v>
      </c>
      <c r="BA34" s="55" t="s">
        <v>139</v>
      </c>
      <c r="BB34" s="55" t="s">
        <v>139</v>
      </c>
      <c r="BC34" s="55" t="s">
        <v>139</v>
      </c>
      <c r="BD34" s="55" t="s">
        <v>139</v>
      </c>
      <c r="BE34" s="55" t="s">
        <v>139</v>
      </c>
      <c r="BF34" s="55">
        <v>0</v>
      </c>
      <c r="BG34" s="55" t="s">
        <v>139</v>
      </c>
      <c r="BH34" s="55">
        <v>0</v>
      </c>
      <c r="BI34" s="55" t="s">
        <v>139</v>
      </c>
      <c r="BJ34" s="55">
        <v>0</v>
      </c>
      <c r="BK34" s="55">
        <v>0</v>
      </c>
      <c r="BL34" s="55" t="s">
        <v>139</v>
      </c>
      <c r="BM34" s="55" t="s">
        <v>139</v>
      </c>
    </row>
    <row r="35" spans="1:65" ht="15" customHeight="1" x14ac:dyDescent="0.2">
      <c r="A35" s="55" t="s">
        <v>140</v>
      </c>
      <c r="B35" s="55" t="s">
        <v>139</v>
      </c>
      <c r="C35" s="55">
        <v>0</v>
      </c>
      <c r="D35" s="55" t="s">
        <v>139</v>
      </c>
      <c r="E35" s="55">
        <v>0</v>
      </c>
      <c r="F35" s="55">
        <v>0</v>
      </c>
      <c r="G35" s="55" t="s">
        <v>139</v>
      </c>
      <c r="H35" s="55" t="s">
        <v>139</v>
      </c>
      <c r="I35" s="55">
        <v>0</v>
      </c>
      <c r="J35" s="55" t="s">
        <v>139</v>
      </c>
      <c r="K35" s="55" t="s">
        <v>139</v>
      </c>
      <c r="L35" s="55" t="s">
        <v>139</v>
      </c>
      <c r="M35" s="55" t="s">
        <v>139</v>
      </c>
      <c r="N35" s="55" t="s">
        <v>139</v>
      </c>
      <c r="O35" s="55" t="s">
        <v>139</v>
      </c>
      <c r="P35" s="55" t="s">
        <v>139</v>
      </c>
      <c r="Q35" s="55" t="s">
        <v>139</v>
      </c>
      <c r="R35" s="55" t="s">
        <v>139</v>
      </c>
      <c r="S35" s="55">
        <v>0</v>
      </c>
      <c r="T35" s="55">
        <v>1</v>
      </c>
      <c r="U35" s="55" t="s">
        <v>139</v>
      </c>
      <c r="V35" s="55" t="s">
        <v>139</v>
      </c>
      <c r="W35" s="55">
        <v>0</v>
      </c>
      <c r="X35" s="55" t="s">
        <v>139</v>
      </c>
      <c r="Y35" s="55">
        <v>0</v>
      </c>
      <c r="Z35" s="55" t="s">
        <v>139</v>
      </c>
      <c r="AA35" s="55" t="s">
        <v>139</v>
      </c>
      <c r="AB35" s="55" t="s">
        <v>139</v>
      </c>
      <c r="AC35" s="55" t="s">
        <v>139</v>
      </c>
      <c r="AD35" s="55" t="s">
        <v>139</v>
      </c>
      <c r="AE35" s="55" t="s">
        <v>139</v>
      </c>
      <c r="AF35" s="55" t="s">
        <v>139</v>
      </c>
      <c r="AG35" s="55" t="s">
        <v>139</v>
      </c>
      <c r="AH35" s="55">
        <v>0</v>
      </c>
      <c r="AI35" s="55" t="s">
        <v>139</v>
      </c>
      <c r="AJ35" s="55" t="s">
        <v>139</v>
      </c>
      <c r="AK35" s="55">
        <v>0</v>
      </c>
      <c r="AL35" s="55" t="s">
        <v>139</v>
      </c>
      <c r="AM35" s="55">
        <v>0</v>
      </c>
      <c r="AN35" s="55" t="s">
        <v>139</v>
      </c>
      <c r="AO35" s="55">
        <v>0</v>
      </c>
      <c r="AP35" s="55" t="s">
        <v>139</v>
      </c>
      <c r="AQ35" s="55" t="s">
        <v>139</v>
      </c>
      <c r="AR35" s="55">
        <v>1</v>
      </c>
      <c r="AS35" s="55" t="s">
        <v>139</v>
      </c>
      <c r="AT35" s="55">
        <v>2</v>
      </c>
      <c r="AU35" s="55" t="s">
        <v>139</v>
      </c>
      <c r="AV35" s="55">
        <v>1</v>
      </c>
      <c r="AW35" s="55">
        <v>0</v>
      </c>
      <c r="AX35" s="55" t="s">
        <v>139</v>
      </c>
      <c r="AY35" s="55" t="s">
        <v>139</v>
      </c>
      <c r="AZ35" s="55" t="s">
        <v>139</v>
      </c>
      <c r="BA35" s="55" t="s">
        <v>139</v>
      </c>
      <c r="BB35" s="55" t="s">
        <v>139</v>
      </c>
      <c r="BC35" s="55" t="s">
        <v>139</v>
      </c>
      <c r="BD35" s="55" t="s">
        <v>139</v>
      </c>
      <c r="BE35" s="55" t="s">
        <v>139</v>
      </c>
      <c r="BF35" s="55">
        <v>0</v>
      </c>
      <c r="BG35" s="55" t="s">
        <v>139</v>
      </c>
      <c r="BH35" s="55">
        <v>0</v>
      </c>
      <c r="BI35" s="55" t="s">
        <v>139</v>
      </c>
      <c r="BJ35" s="55">
        <v>0</v>
      </c>
      <c r="BK35" s="55">
        <v>0</v>
      </c>
      <c r="BL35" s="55" t="s">
        <v>139</v>
      </c>
      <c r="BM35" s="55" t="s">
        <v>139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A4186-1FE2-429C-A315-137BC9915183}">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191</v>
      </c>
      <c r="B1" s="64"/>
      <c r="C1" s="63" t="s">
        <v>190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189</v>
      </c>
      <c r="B2" s="64"/>
      <c r="C2" s="63" t="s">
        <v>188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187</v>
      </c>
      <c r="B4" s="64"/>
      <c r="C4" s="63" t="s">
        <v>139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186</v>
      </c>
      <c r="B5" s="64"/>
      <c r="C5" s="63" t="s">
        <v>139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139</v>
      </c>
      <c r="B6" s="64"/>
      <c r="C6" s="63" t="s">
        <v>139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139</v>
      </c>
      <c r="B7" s="64"/>
      <c r="C7" s="63" t="s">
        <v>139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139</v>
      </c>
      <c r="B8" s="64"/>
      <c r="C8" s="63" t="s">
        <v>139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139</v>
      </c>
      <c r="B9" s="64"/>
      <c r="C9" s="63" t="s">
        <v>139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185</v>
      </c>
      <c r="B10" s="64"/>
      <c r="C10" s="63" t="s">
        <v>184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183</v>
      </c>
      <c r="B11" s="64"/>
      <c r="C11" s="63" t="s">
        <v>192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139</v>
      </c>
      <c r="B12" s="62" t="s">
        <v>181</v>
      </c>
      <c r="C12" s="61"/>
      <c r="D12" s="61"/>
      <c r="E12" s="61"/>
      <c r="F12" s="61"/>
      <c r="G12" s="61"/>
      <c r="H12" s="61"/>
      <c r="I12" s="60"/>
      <c r="J12" s="62" t="s">
        <v>177</v>
      </c>
      <c r="K12" s="61"/>
      <c r="L12" s="61"/>
      <c r="M12" s="61"/>
      <c r="N12" s="61"/>
      <c r="O12" s="61"/>
      <c r="P12" s="61"/>
      <c r="Q12" s="60"/>
      <c r="R12" s="62" t="s">
        <v>180</v>
      </c>
      <c r="S12" s="61"/>
      <c r="T12" s="61"/>
      <c r="U12" s="61"/>
      <c r="V12" s="61"/>
      <c r="W12" s="61"/>
      <c r="X12" s="61"/>
      <c r="Y12" s="60"/>
      <c r="Z12" s="62" t="s">
        <v>177</v>
      </c>
      <c r="AA12" s="61"/>
      <c r="AB12" s="61"/>
      <c r="AC12" s="61"/>
      <c r="AD12" s="61"/>
      <c r="AE12" s="61"/>
      <c r="AF12" s="61"/>
      <c r="AG12" s="60"/>
      <c r="AH12" s="62" t="s">
        <v>179</v>
      </c>
      <c r="AI12" s="61"/>
      <c r="AJ12" s="61"/>
      <c r="AK12" s="61"/>
      <c r="AL12" s="61"/>
      <c r="AM12" s="61"/>
      <c r="AN12" s="61"/>
      <c r="AO12" s="60"/>
      <c r="AP12" s="62" t="s">
        <v>178</v>
      </c>
      <c r="AQ12" s="61"/>
      <c r="AR12" s="61"/>
      <c r="AS12" s="61"/>
      <c r="AT12" s="61"/>
      <c r="AU12" s="61"/>
      <c r="AV12" s="61"/>
      <c r="AW12" s="60"/>
      <c r="AX12" s="62" t="s">
        <v>177</v>
      </c>
      <c r="AY12" s="61"/>
      <c r="AZ12" s="61"/>
      <c r="BA12" s="61"/>
      <c r="BB12" s="61"/>
      <c r="BC12" s="61"/>
      <c r="BD12" s="61"/>
      <c r="BE12" s="60"/>
      <c r="BF12" s="62" t="s">
        <v>176</v>
      </c>
      <c r="BG12" s="61"/>
      <c r="BH12" s="61"/>
      <c r="BI12" s="61"/>
      <c r="BJ12" s="61"/>
      <c r="BK12" s="61"/>
      <c r="BL12" s="61"/>
      <c r="BM12" s="60"/>
    </row>
    <row r="13" spans="1:65" ht="15" customHeight="1" x14ac:dyDescent="0.2">
      <c r="A13" s="55" t="s">
        <v>139</v>
      </c>
      <c r="B13" s="59" t="s">
        <v>175</v>
      </c>
      <c r="C13" s="58"/>
      <c r="D13" s="58"/>
      <c r="E13" s="58"/>
      <c r="F13" s="58"/>
      <c r="G13" s="58"/>
      <c r="H13" s="58"/>
      <c r="I13" s="57"/>
      <c r="J13" s="59" t="s">
        <v>174</v>
      </c>
      <c r="K13" s="58"/>
      <c r="L13" s="58"/>
      <c r="M13" s="58"/>
      <c r="N13" s="58"/>
      <c r="O13" s="58"/>
      <c r="P13" s="58"/>
      <c r="Q13" s="57"/>
      <c r="R13" s="59" t="s">
        <v>173</v>
      </c>
      <c r="S13" s="58"/>
      <c r="T13" s="58"/>
      <c r="U13" s="58"/>
      <c r="V13" s="58"/>
      <c r="W13" s="58"/>
      <c r="X13" s="58"/>
      <c r="Y13" s="57"/>
      <c r="Z13" s="59" t="s">
        <v>172</v>
      </c>
      <c r="AA13" s="58"/>
      <c r="AB13" s="58"/>
      <c r="AC13" s="58"/>
      <c r="AD13" s="58"/>
      <c r="AE13" s="58"/>
      <c r="AF13" s="58"/>
      <c r="AG13" s="57"/>
      <c r="AH13" s="59" t="s">
        <v>171</v>
      </c>
      <c r="AI13" s="58"/>
      <c r="AJ13" s="58"/>
      <c r="AK13" s="58"/>
      <c r="AL13" s="58"/>
      <c r="AM13" s="58"/>
      <c r="AN13" s="58"/>
      <c r="AO13" s="57"/>
      <c r="AP13" s="59" t="s">
        <v>170</v>
      </c>
      <c r="AQ13" s="58"/>
      <c r="AR13" s="58"/>
      <c r="AS13" s="58"/>
      <c r="AT13" s="58"/>
      <c r="AU13" s="58"/>
      <c r="AV13" s="58"/>
      <c r="AW13" s="57"/>
      <c r="AX13" s="59" t="s">
        <v>169</v>
      </c>
      <c r="AY13" s="58"/>
      <c r="AZ13" s="58"/>
      <c r="BA13" s="58"/>
      <c r="BB13" s="58"/>
      <c r="BC13" s="58"/>
      <c r="BD13" s="58"/>
      <c r="BE13" s="57"/>
      <c r="BF13" s="59" t="s">
        <v>168</v>
      </c>
      <c r="BG13" s="58"/>
      <c r="BH13" s="58"/>
      <c r="BI13" s="58"/>
      <c r="BJ13" s="58"/>
      <c r="BK13" s="58"/>
      <c r="BL13" s="58"/>
      <c r="BM13" s="57"/>
    </row>
    <row r="14" spans="1:65" ht="15" customHeight="1" x14ac:dyDescent="0.2">
      <c r="A14" s="56" t="s">
        <v>9</v>
      </c>
      <c r="B14" s="56" t="s">
        <v>167</v>
      </c>
      <c r="C14" s="56" t="s">
        <v>166</v>
      </c>
      <c r="D14" s="56" t="s">
        <v>165</v>
      </c>
      <c r="E14" s="56" t="s">
        <v>164</v>
      </c>
      <c r="F14" s="56" t="s">
        <v>163</v>
      </c>
      <c r="G14" s="56" t="s">
        <v>162</v>
      </c>
      <c r="H14" s="56" t="s">
        <v>161</v>
      </c>
      <c r="I14" s="56" t="s">
        <v>92</v>
      </c>
      <c r="J14" s="56" t="s">
        <v>167</v>
      </c>
      <c r="K14" s="56" t="s">
        <v>166</v>
      </c>
      <c r="L14" s="56" t="s">
        <v>165</v>
      </c>
      <c r="M14" s="56" t="s">
        <v>164</v>
      </c>
      <c r="N14" s="56" t="s">
        <v>163</v>
      </c>
      <c r="O14" s="56" t="s">
        <v>162</v>
      </c>
      <c r="P14" s="56" t="s">
        <v>161</v>
      </c>
      <c r="Q14" s="56" t="s">
        <v>92</v>
      </c>
      <c r="R14" s="56" t="s">
        <v>167</v>
      </c>
      <c r="S14" s="56" t="s">
        <v>166</v>
      </c>
      <c r="T14" s="56" t="s">
        <v>165</v>
      </c>
      <c r="U14" s="56" t="s">
        <v>164</v>
      </c>
      <c r="V14" s="56" t="s">
        <v>163</v>
      </c>
      <c r="W14" s="56" t="s">
        <v>162</v>
      </c>
      <c r="X14" s="56" t="s">
        <v>161</v>
      </c>
      <c r="Y14" s="56" t="s">
        <v>92</v>
      </c>
      <c r="Z14" s="56" t="s">
        <v>167</v>
      </c>
      <c r="AA14" s="56" t="s">
        <v>166</v>
      </c>
      <c r="AB14" s="56" t="s">
        <v>165</v>
      </c>
      <c r="AC14" s="56" t="s">
        <v>164</v>
      </c>
      <c r="AD14" s="56" t="s">
        <v>163</v>
      </c>
      <c r="AE14" s="56" t="s">
        <v>162</v>
      </c>
      <c r="AF14" s="56" t="s">
        <v>161</v>
      </c>
      <c r="AG14" s="56" t="s">
        <v>92</v>
      </c>
      <c r="AH14" s="56" t="s">
        <v>167</v>
      </c>
      <c r="AI14" s="56" t="s">
        <v>166</v>
      </c>
      <c r="AJ14" s="56" t="s">
        <v>165</v>
      </c>
      <c r="AK14" s="56" t="s">
        <v>164</v>
      </c>
      <c r="AL14" s="56" t="s">
        <v>163</v>
      </c>
      <c r="AM14" s="56" t="s">
        <v>162</v>
      </c>
      <c r="AN14" s="56" t="s">
        <v>161</v>
      </c>
      <c r="AO14" s="56" t="s">
        <v>92</v>
      </c>
      <c r="AP14" s="56" t="s">
        <v>167</v>
      </c>
      <c r="AQ14" s="56" t="s">
        <v>166</v>
      </c>
      <c r="AR14" s="56" t="s">
        <v>165</v>
      </c>
      <c r="AS14" s="56" t="s">
        <v>164</v>
      </c>
      <c r="AT14" s="56" t="s">
        <v>163</v>
      </c>
      <c r="AU14" s="56" t="s">
        <v>162</v>
      </c>
      <c r="AV14" s="56" t="s">
        <v>161</v>
      </c>
      <c r="AW14" s="56" t="s">
        <v>92</v>
      </c>
      <c r="AX14" s="56" t="s">
        <v>167</v>
      </c>
      <c r="AY14" s="56" t="s">
        <v>166</v>
      </c>
      <c r="AZ14" s="56" t="s">
        <v>165</v>
      </c>
      <c r="BA14" s="56" t="s">
        <v>164</v>
      </c>
      <c r="BB14" s="56" t="s">
        <v>163</v>
      </c>
      <c r="BC14" s="56" t="s">
        <v>162</v>
      </c>
      <c r="BD14" s="56" t="s">
        <v>161</v>
      </c>
      <c r="BE14" s="56" t="s">
        <v>92</v>
      </c>
      <c r="BF14" s="56" t="s">
        <v>167</v>
      </c>
      <c r="BG14" s="56" t="s">
        <v>166</v>
      </c>
      <c r="BH14" s="56" t="s">
        <v>165</v>
      </c>
      <c r="BI14" s="56" t="s">
        <v>164</v>
      </c>
      <c r="BJ14" s="56" t="s">
        <v>163</v>
      </c>
      <c r="BK14" s="56" t="s">
        <v>162</v>
      </c>
      <c r="BL14" s="56" t="s">
        <v>161</v>
      </c>
      <c r="BM14" s="56" t="s">
        <v>92</v>
      </c>
    </row>
    <row r="15" spans="1:65" ht="15" customHeight="1" x14ac:dyDescent="0.2">
      <c r="A15" s="55" t="s">
        <v>160</v>
      </c>
      <c r="B15" s="55" t="s">
        <v>139</v>
      </c>
      <c r="C15" s="55">
        <v>0</v>
      </c>
      <c r="D15" s="55" t="s">
        <v>139</v>
      </c>
      <c r="E15" s="55">
        <v>0</v>
      </c>
      <c r="F15" s="55">
        <v>0</v>
      </c>
      <c r="G15" s="55" t="s">
        <v>139</v>
      </c>
      <c r="H15" s="55" t="s">
        <v>139</v>
      </c>
      <c r="I15" s="55">
        <v>0</v>
      </c>
      <c r="J15" s="55" t="s">
        <v>139</v>
      </c>
      <c r="K15" s="55" t="s">
        <v>139</v>
      </c>
      <c r="L15" s="55" t="s">
        <v>139</v>
      </c>
      <c r="M15" s="55" t="s">
        <v>139</v>
      </c>
      <c r="N15" s="55" t="s">
        <v>139</v>
      </c>
      <c r="O15" s="55" t="s">
        <v>139</v>
      </c>
      <c r="P15" s="55" t="s">
        <v>139</v>
      </c>
      <c r="Q15" s="55" t="s">
        <v>139</v>
      </c>
      <c r="R15" s="55" t="s">
        <v>139</v>
      </c>
      <c r="S15" s="55">
        <v>0</v>
      </c>
      <c r="T15" s="55">
        <v>0</v>
      </c>
      <c r="U15" s="55" t="s">
        <v>139</v>
      </c>
      <c r="V15" s="55" t="s">
        <v>139</v>
      </c>
      <c r="W15" s="55">
        <v>0</v>
      </c>
      <c r="X15" s="55" t="s">
        <v>139</v>
      </c>
      <c r="Y15" s="55">
        <v>0</v>
      </c>
      <c r="Z15" s="55" t="s">
        <v>139</v>
      </c>
      <c r="AA15" s="55" t="s">
        <v>139</v>
      </c>
      <c r="AB15" s="55" t="s">
        <v>139</v>
      </c>
      <c r="AC15" s="55" t="s">
        <v>139</v>
      </c>
      <c r="AD15" s="55" t="s">
        <v>139</v>
      </c>
      <c r="AE15" s="55" t="s">
        <v>139</v>
      </c>
      <c r="AF15" s="55" t="s">
        <v>139</v>
      </c>
      <c r="AG15" s="55" t="s">
        <v>139</v>
      </c>
      <c r="AH15" s="55">
        <v>1</v>
      </c>
      <c r="AI15" s="55" t="s">
        <v>139</v>
      </c>
      <c r="AJ15" s="55" t="s">
        <v>139</v>
      </c>
      <c r="AK15" s="55">
        <v>0</v>
      </c>
      <c r="AL15" s="55" t="s">
        <v>139</v>
      </c>
      <c r="AM15" s="55">
        <v>0</v>
      </c>
      <c r="AN15" s="55" t="s">
        <v>139</v>
      </c>
      <c r="AO15" s="55">
        <v>0</v>
      </c>
      <c r="AP15" s="55" t="s">
        <v>139</v>
      </c>
      <c r="AQ15" s="55" t="s">
        <v>139</v>
      </c>
      <c r="AR15" s="55">
        <v>0</v>
      </c>
      <c r="AS15" s="55" t="s">
        <v>139</v>
      </c>
      <c r="AT15" s="55">
        <v>1</v>
      </c>
      <c r="AU15" s="55" t="s">
        <v>139</v>
      </c>
      <c r="AV15" s="55">
        <v>0</v>
      </c>
      <c r="AW15" s="55">
        <v>0</v>
      </c>
      <c r="AX15" s="55" t="s">
        <v>139</v>
      </c>
      <c r="AY15" s="55" t="s">
        <v>139</v>
      </c>
      <c r="AZ15" s="55" t="s">
        <v>139</v>
      </c>
      <c r="BA15" s="55" t="s">
        <v>139</v>
      </c>
      <c r="BB15" s="55" t="s">
        <v>139</v>
      </c>
      <c r="BC15" s="55" t="s">
        <v>139</v>
      </c>
      <c r="BD15" s="55" t="s">
        <v>139</v>
      </c>
      <c r="BE15" s="55" t="s">
        <v>139</v>
      </c>
      <c r="BF15" s="55">
        <v>0</v>
      </c>
      <c r="BG15" s="55" t="s">
        <v>139</v>
      </c>
      <c r="BH15" s="55">
        <v>0</v>
      </c>
      <c r="BI15" s="55" t="s">
        <v>139</v>
      </c>
      <c r="BJ15" s="55">
        <v>0</v>
      </c>
      <c r="BK15" s="55">
        <v>0</v>
      </c>
      <c r="BL15" s="55" t="s">
        <v>139</v>
      </c>
      <c r="BM15" s="55" t="s">
        <v>139</v>
      </c>
    </row>
    <row r="16" spans="1:65" ht="15" customHeight="1" x14ac:dyDescent="0.2">
      <c r="A16" s="55" t="s">
        <v>159</v>
      </c>
      <c r="B16" s="55" t="s">
        <v>139</v>
      </c>
      <c r="C16" s="55">
        <v>0</v>
      </c>
      <c r="D16" s="55" t="s">
        <v>139</v>
      </c>
      <c r="E16" s="55">
        <v>0</v>
      </c>
      <c r="F16" s="55">
        <v>0</v>
      </c>
      <c r="G16" s="55" t="s">
        <v>139</v>
      </c>
      <c r="H16" s="55" t="s">
        <v>139</v>
      </c>
      <c r="I16" s="55">
        <v>0</v>
      </c>
      <c r="J16" s="55" t="s">
        <v>139</v>
      </c>
      <c r="K16" s="55" t="s">
        <v>139</v>
      </c>
      <c r="L16" s="55" t="s">
        <v>139</v>
      </c>
      <c r="M16" s="55" t="s">
        <v>139</v>
      </c>
      <c r="N16" s="55" t="s">
        <v>139</v>
      </c>
      <c r="O16" s="55" t="s">
        <v>139</v>
      </c>
      <c r="P16" s="55" t="s">
        <v>139</v>
      </c>
      <c r="Q16" s="55" t="s">
        <v>139</v>
      </c>
      <c r="R16" s="55" t="s">
        <v>139</v>
      </c>
      <c r="S16" s="55">
        <v>0</v>
      </c>
      <c r="T16" s="55">
        <v>0</v>
      </c>
      <c r="U16" s="55" t="s">
        <v>139</v>
      </c>
      <c r="V16" s="55" t="s">
        <v>139</v>
      </c>
      <c r="W16" s="55">
        <v>0</v>
      </c>
      <c r="X16" s="55" t="s">
        <v>139</v>
      </c>
      <c r="Y16" s="55">
        <v>0</v>
      </c>
      <c r="Z16" s="55" t="s">
        <v>139</v>
      </c>
      <c r="AA16" s="55" t="s">
        <v>139</v>
      </c>
      <c r="AB16" s="55" t="s">
        <v>139</v>
      </c>
      <c r="AC16" s="55" t="s">
        <v>139</v>
      </c>
      <c r="AD16" s="55" t="s">
        <v>139</v>
      </c>
      <c r="AE16" s="55" t="s">
        <v>139</v>
      </c>
      <c r="AF16" s="55" t="s">
        <v>139</v>
      </c>
      <c r="AG16" s="55" t="s">
        <v>139</v>
      </c>
      <c r="AH16" s="55">
        <v>3</v>
      </c>
      <c r="AI16" s="55" t="s">
        <v>139</v>
      </c>
      <c r="AJ16" s="55" t="s">
        <v>139</v>
      </c>
      <c r="AK16" s="55">
        <v>0</v>
      </c>
      <c r="AL16" s="55" t="s">
        <v>139</v>
      </c>
      <c r="AM16" s="55">
        <v>0</v>
      </c>
      <c r="AN16" s="55" t="s">
        <v>139</v>
      </c>
      <c r="AO16" s="55">
        <v>0</v>
      </c>
      <c r="AP16" s="55" t="s">
        <v>139</v>
      </c>
      <c r="AQ16" s="55" t="s">
        <v>139</v>
      </c>
      <c r="AR16" s="55">
        <v>1</v>
      </c>
      <c r="AS16" s="55" t="s">
        <v>139</v>
      </c>
      <c r="AT16" s="55">
        <v>0</v>
      </c>
      <c r="AU16" s="55" t="s">
        <v>139</v>
      </c>
      <c r="AV16" s="55">
        <v>0</v>
      </c>
      <c r="AW16" s="55">
        <v>0</v>
      </c>
      <c r="AX16" s="55" t="s">
        <v>139</v>
      </c>
      <c r="AY16" s="55" t="s">
        <v>139</v>
      </c>
      <c r="AZ16" s="55" t="s">
        <v>139</v>
      </c>
      <c r="BA16" s="55" t="s">
        <v>139</v>
      </c>
      <c r="BB16" s="55" t="s">
        <v>139</v>
      </c>
      <c r="BC16" s="55" t="s">
        <v>139</v>
      </c>
      <c r="BD16" s="55" t="s">
        <v>139</v>
      </c>
      <c r="BE16" s="55" t="s">
        <v>139</v>
      </c>
      <c r="BF16" s="55">
        <v>1</v>
      </c>
      <c r="BG16" s="55" t="s">
        <v>139</v>
      </c>
      <c r="BH16" s="55">
        <v>0</v>
      </c>
      <c r="BI16" s="55" t="s">
        <v>139</v>
      </c>
      <c r="BJ16" s="55">
        <v>0</v>
      </c>
      <c r="BK16" s="55">
        <v>0</v>
      </c>
      <c r="BL16" s="55" t="s">
        <v>139</v>
      </c>
      <c r="BM16" s="55" t="s">
        <v>139</v>
      </c>
    </row>
    <row r="17" spans="1:65" ht="15" customHeight="1" x14ac:dyDescent="0.2">
      <c r="A17" s="55" t="s">
        <v>158</v>
      </c>
      <c r="B17" s="55" t="s">
        <v>139</v>
      </c>
      <c r="C17" s="55">
        <v>0</v>
      </c>
      <c r="D17" s="55" t="s">
        <v>139</v>
      </c>
      <c r="E17" s="55">
        <v>1</v>
      </c>
      <c r="F17" s="55">
        <v>0</v>
      </c>
      <c r="G17" s="55" t="s">
        <v>139</v>
      </c>
      <c r="H17" s="55" t="s">
        <v>139</v>
      </c>
      <c r="I17" s="55">
        <v>0</v>
      </c>
      <c r="J17" s="55" t="s">
        <v>139</v>
      </c>
      <c r="K17" s="55" t="s">
        <v>139</v>
      </c>
      <c r="L17" s="55" t="s">
        <v>139</v>
      </c>
      <c r="M17" s="55" t="s">
        <v>139</v>
      </c>
      <c r="N17" s="55" t="s">
        <v>139</v>
      </c>
      <c r="O17" s="55" t="s">
        <v>139</v>
      </c>
      <c r="P17" s="55" t="s">
        <v>139</v>
      </c>
      <c r="Q17" s="55" t="s">
        <v>139</v>
      </c>
      <c r="R17" s="55" t="s">
        <v>139</v>
      </c>
      <c r="S17" s="55">
        <v>0</v>
      </c>
      <c r="T17" s="55">
        <v>0</v>
      </c>
      <c r="U17" s="55" t="s">
        <v>139</v>
      </c>
      <c r="V17" s="55" t="s">
        <v>139</v>
      </c>
      <c r="W17" s="55">
        <v>0</v>
      </c>
      <c r="X17" s="55" t="s">
        <v>139</v>
      </c>
      <c r="Y17" s="55">
        <v>0</v>
      </c>
      <c r="Z17" s="55" t="s">
        <v>139</v>
      </c>
      <c r="AA17" s="55" t="s">
        <v>139</v>
      </c>
      <c r="AB17" s="55" t="s">
        <v>139</v>
      </c>
      <c r="AC17" s="55" t="s">
        <v>139</v>
      </c>
      <c r="AD17" s="55" t="s">
        <v>139</v>
      </c>
      <c r="AE17" s="55" t="s">
        <v>139</v>
      </c>
      <c r="AF17" s="55" t="s">
        <v>139</v>
      </c>
      <c r="AG17" s="55" t="s">
        <v>139</v>
      </c>
      <c r="AH17" s="55">
        <v>1</v>
      </c>
      <c r="AI17" s="55" t="s">
        <v>139</v>
      </c>
      <c r="AJ17" s="55" t="s">
        <v>139</v>
      </c>
      <c r="AK17" s="55">
        <v>0</v>
      </c>
      <c r="AL17" s="55" t="s">
        <v>139</v>
      </c>
      <c r="AM17" s="55">
        <v>0</v>
      </c>
      <c r="AN17" s="55" t="s">
        <v>139</v>
      </c>
      <c r="AO17" s="55">
        <v>0</v>
      </c>
      <c r="AP17" s="55" t="s">
        <v>139</v>
      </c>
      <c r="AQ17" s="55" t="s">
        <v>139</v>
      </c>
      <c r="AR17" s="55">
        <v>0</v>
      </c>
      <c r="AS17" s="55" t="s">
        <v>139</v>
      </c>
      <c r="AT17" s="55">
        <v>0</v>
      </c>
      <c r="AU17" s="55" t="s">
        <v>139</v>
      </c>
      <c r="AV17" s="55">
        <v>0</v>
      </c>
      <c r="AW17" s="55">
        <v>0</v>
      </c>
      <c r="AX17" s="55" t="s">
        <v>139</v>
      </c>
      <c r="AY17" s="55" t="s">
        <v>139</v>
      </c>
      <c r="AZ17" s="55" t="s">
        <v>139</v>
      </c>
      <c r="BA17" s="55" t="s">
        <v>139</v>
      </c>
      <c r="BB17" s="55" t="s">
        <v>139</v>
      </c>
      <c r="BC17" s="55" t="s">
        <v>139</v>
      </c>
      <c r="BD17" s="55" t="s">
        <v>139</v>
      </c>
      <c r="BE17" s="55" t="s">
        <v>139</v>
      </c>
      <c r="BF17" s="55">
        <v>0</v>
      </c>
      <c r="BG17" s="55" t="s">
        <v>139</v>
      </c>
      <c r="BH17" s="55">
        <v>0</v>
      </c>
      <c r="BI17" s="55" t="s">
        <v>139</v>
      </c>
      <c r="BJ17" s="55">
        <v>0</v>
      </c>
      <c r="BK17" s="55">
        <v>0</v>
      </c>
      <c r="BL17" s="55" t="s">
        <v>139</v>
      </c>
      <c r="BM17" s="55" t="s">
        <v>139</v>
      </c>
    </row>
    <row r="18" spans="1:65" ht="15" customHeight="1" x14ac:dyDescent="0.2">
      <c r="A18" s="55" t="s">
        <v>157</v>
      </c>
      <c r="B18" s="55" t="s">
        <v>139</v>
      </c>
      <c r="C18" s="55">
        <v>0</v>
      </c>
      <c r="D18" s="55" t="s">
        <v>139</v>
      </c>
      <c r="E18" s="55">
        <v>0</v>
      </c>
      <c r="F18" s="55">
        <v>1</v>
      </c>
      <c r="G18" s="55" t="s">
        <v>139</v>
      </c>
      <c r="H18" s="55" t="s">
        <v>139</v>
      </c>
      <c r="I18" s="55">
        <v>0</v>
      </c>
      <c r="J18" s="55" t="s">
        <v>139</v>
      </c>
      <c r="K18" s="55" t="s">
        <v>139</v>
      </c>
      <c r="L18" s="55" t="s">
        <v>139</v>
      </c>
      <c r="M18" s="55" t="s">
        <v>139</v>
      </c>
      <c r="N18" s="55" t="s">
        <v>139</v>
      </c>
      <c r="O18" s="55" t="s">
        <v>139</v>
      </c>
      <c r="P18" s="55" t="s">
        <v>139</v>
      </c>
      <c r="Q18" s="55" t="s">
        <v>139</v>
      </c>
      <c r="R18" s="55" t="s">
        <v>139</v>
      </c>
      <c r="S18" s="55">
        <v>0</v>
      </c>
      <c r="T18" s="55">
        <v>1</v>
      </c>
      <c r="U18" s="55" t="s">
        <v>139</v>
      </c>
      <c r="V18" s="55" t="s">
        <v>139</v>
      </c>
      <c r="W18" s="55">
        <v>0</v>
      </c>
      <c r="X18" s="55" t="s">
        <v>139</v>
      </c>
      <c r="Y18" s="55">
        <v>0</v>
      </c>
      <c r="Z18" s="55" t="s">
        <v>139</v>
      </c>
      <c r="AA18" s="55" t="s">
        <v>139</v>
      </c>
      <c r="AB18" s="55" t="s">
        <v>139</v>
      </c>
      <c r="AC18" s="55" t="s">
        <v>139</v>
      </c>
      <c r="AD18" s="55" t="s">
        <v>139</v>
      </c>
      <c r="AE18" s="55" t="s">
        <v>139</v>
      </c>
      <c r="AF18" s="55" t="s">
        <v>139</v>
      </c>
      <c r="AG18" s="55" t="s">
        <v>139</v>
      </c>
      <c r="AH18" s="55">
        <v>0</v>
      </c>
      <c r="AI18" s="55" t="s">
        <v>139</v>
      </c>
      <c r="AJ18" s="55" t="s">
        <v>139</v>
      </c>
      <c r="AK18" s="55">
        <v>1</v>
      </c>
      <c r="AL18" s="55" t="s">
        <v>139</v>
      </c>
      <c r="AM18" s="55">
        <v>0</v>
      </c>
      <c r="AN18" s="55" t="s">
        <v>139</v>
      </c>
      <c r="AO18" s="55">
        <v>0</v>
      </c>
      <c r="AP18" s="55" t="s">
        <v>139</v>
      </c>
      <c r="AQ18" s="55" t="s">
        <v>139</v>
      </c>
      <c r="AR18" s="55">
        <v>0</v>
      </c>
      <c r="AS18" s="55" t="s">
        <v>139</v>
      </c>
      <c r="AT18" s="55">
        <v>0</v>
      </c>
      <c r="AU18" s="55" t="s">
        <v>139</v>
      </c>
      <c r="AV18" s="55">
        <v>0</v>
      </c>
      <c r="AW18" s="55">
        <v>0</v>
      </c>
      <c r="AX18" s="55" t="s">
        <v>139</v>
      </c>
      <c r="AY18" s="55" t="s">
        <v>139</v>
      </c>
      <c r="AZ18" s="55" t="s">
        <v>139</v>
      </c>
      <c r="BA18" s="55" t="s">
        <v>139</v>
      </c>
      <c r="BB18" s="55" t="s">
        <v>139</v>
      </c>
      <c r="BC18" s="55" t="s">
        <v>139</v>
      </c>
      <c r="BD18" s="55" t="s">
        <v>139</v>
      </c>
      <c r="BE18" s="55" t="s">
        <v>139</v>
      </c>
      <c r="BF18" s="55">
        <v>1</v>
      </c>
      <c r="BG18" s="55" t="s">
        <v>139</v>
      </c>
      <c r="BH18" s="55">
        <v>0</v>
      </c>
      <c r="BI18" s="55" t="s">
        <v>139</v>
      </c>
      <c r="BJ18" s="55">
        <v>0</v>
      </c>
      <c r="BK18" s="55">
        <v>0</v>
      </c>
      <c r="BL18" s="55" t="s">
        <v>139</v>
      </c>
      <c r="BM18" s="55" t="s">
        <v>139</v>
      </c>
    </row>
    <row r="19" spans="1:65" ht="15" customHeight="1" x14ac:dyDescent="0.2">
      <c r="A19" s="55" t="s">
        <v>156</v>
      </c>
      <c r="B19" s="55" t="s">
        <v>139</v>
      </c>
      <c r="C19" s="55">
        <v>0</v>
      </c>
      <c r="D19" s="55" t="s">
        <v>139</v>
      </c>
      <c r="E19" s="55">
        <v>0</v>
      </c>
      <c r="F19" s="55">
        <v>0</v>
      </c>
      <c r="G19" s="55" t="s">
        <v>139</v>
      </c>
      <c r="H19" s="55" t="s">
        <v>139</v>
      </c>
      <c r="I19" s="55">
        <v>0</v>
      </c>
      <c r="J19" s="55" t="s">
        <v>139</v>
      </c>
      <c r="K19" s="55" t="s">
        <v>139</v>
      </c>
      <c r="L19" s="55" t="s">
        <v>139</v>
      </c>
      <c r="M19" s="55" t="s">
        <v>139</v>
      </c>
      <c r="N19" s="55" t="s">
        <v>139</v>
      </c>
      <c r="O19" s="55" t="s">
        <v>139</v>
      </c>
      <c r="P19" s="55" t="s">
        <v>139</v>
      </c>
      <c r="Q19" s="55" t="s">
        <v>139</v>
      </c>
      <c r="R19" s="55" t="s">
        <v>139</v>
      </c>
      <c r="S19" s="55">
        <v>0</v>
      </c>
      <c r="T19" s="55">
        <v>0</v>
      </c>
      <c r="U19" s="55" t="s">
        <v>139</v>
      </c>
      <c r="V19" s="55" t="s">
        <v>139</v>
      </c>
      <c r="W19" s="55">
        <v>1</v>
      </c>
      <c r="X19" s="55" t="s">
        <v>139</v>
      </c>
      <c r="Y19" s="55">
        <v>0</v>
      </c>
      <c r="Z19" s="55" t="s">
        <v>139</v>
      </c>
      <c r="AA19" s="55" t="s">
        <v>139</v>
      </c>
      <c r="AB19" s="55" t="s">
        <v>139</v>
      </c>
      <c r="AC19" s="55" t="s">
        <v>139</v>
      </c>
      <c r="AD19" s="55" t="s">
        <v>139</v>
      </c>
      <c r="AE19" s="55" t="s">
        <v>139</v>
      </c>
      <c r="AF19" s="55" t="s">
        <v>139</v>
      </c>
      <c r="AG19" s="55" t="s">
        <v>139</v>
      </c>
      <c r="AH19" s="55">
        <v>1</v>
      </c>
      <c r="AI19" s="55" t="s">
        <v>139</v>
      </c>
      <c r="AJ19" s="55" t="s">
        <v>139</v>
      </c>
      <c r="AK19" s="55">
        <v>1</v>
      </c>
      <c r="AL19" s="55" t="s">
        <v>139</v>
      </c>
      <c r="AM19" s="55">
        <v>0</v>
      </c>
      <c r="AN19" s="55" t="s">
        <v>139</v>
      </c>
      <c r="AO19" s="55">
        <v>0</v>
      </c>
      <c r="AP19" s="55" t="s">
        <v>139</v>
      </c>
      <c r="AQ19" s="55" t="s">
        <v>139</v>
      </c>
      <c r="AR19" s="55">
        <v>0</v>
      </c>
      <c r="AS19" s="55" t="s">
        <v>139</v>
      </c>
      <c r="AT19" s="55">
        <v>1</v>
      </c>
      <c r="AU19" s="55" t="s">
        <v>139</v>
      </c>
      <c r="AV19" s="55">
        <v>0</v>
      </c>
      <c r="AW19" s="55">
        <v>0</v>
      </c>
      <c r="AX19" s="55" t="s">
        <v>139</v>
      </c>
      <c r="AY19" s="55" t="s">
        <v>139</v>
      </c>
      <c r="AZ19" s="55" t="s">
        <v>139</v>
      </c>
      <c r="BA19" s="55" t="s">
        <v>139</v>
      </c>
      <c r="BB19" s="55" t="s">
        <v>139</v>
      </c>
      <c r="BC19" s="55" t="s">
        <v>139</v>
      </c>
      <c r="BD19" s="55" t="s">
        <v>139</v>
      </c>
      <c r="BE19" s="55" t="s">
        <v>139</v>
      </c>
      <c r="BF19" s="55">
        <v>0</v>
      </c>
      <c r="BG19" s="55" t="s">
        <v>139</v>
      </c>
      <c r="BH19" s="55">
        <v>0</v>
      </c>
      <c r="BI19" s="55" t="s">
        <v>139</v>
      </c>
      <c r="BJ19" s="55">
        <v>0</v>
      </c>
      <c r="BK19" s="55">
        <v>0</v>
      </c>
      <c r="BL19" s="55" t="s">
        <v>139</v>
      </c>
      <c r="BM19" s="55" t="s">
        <v>139</v>
      </c>
    </row>
    <row r="20" spans="1:65" ht="15" customHeight="1" x14ac:dyDescent="0.2">
      <c r="A20" s="55" t="s">
        <v>155</v>
      </c>
      <c r="B20" s="55" t="s">
        <v>139</v>
      </c>
      <c r="C20" s="55">
        <v>0</v>
      </c>
      <c r="D20" s="55" t="s">
        <v>139</v>
      </c>
      <c r="E20" s="55">
        <v>0</v>
      </c>
      <c r="F20" s="55">
        <v>0</v>
      </c>
      <c r="G20" s="55" t="s">
        <v>139</v>
      </c>
      <c r="H20" s="55" t="s">
        <v>139</v>
      </c>
      <c r="I20" s="55">
        <v>0</v>
      </c>
      <c r="J20" s="55" t="s">
        <v>139</v>
      </c>
      <c r="K20" s="55" t="s">
        <v>139</v>
      </c>
      <c r="L20" s="55" t="s">
        <v>139</v>
      </c>
      <c r="M20" s="55" t="s">
        <v>139</v>
      </c>
      <c r="N20" s="55" t="s">
        <v>139</v>
      </c>
      <c r="O20" s="55" t="s">
        <v>139</v>
      </c>
      <c r="P20" s="55" t="s">
        <v>139</v>
      </c>
      <c r="Q20" s="55" t="s">
        <v>139</v>
      </c>
      <c r="R20" s="55" t="s">
        <v>139</v>
      </c>
      <c r="S20" s="55">
        <v>0</v>
      </c>
      <c r="T20" s="55">
        <v>0</v>
      </c>
      <c r="U20" s="55" t="s">
        <v>139</v>
      </c>
      <c r="V20" s="55" t="s">
        <v>139</v>
      </c>
      <c r="W20" s="55">
        <v>0</v>
      </c>
      <c r="X20" s="55" t="s">
        <v>139</v>
      </c>
      <c r="Y20" s="55">
        <v>0</v>
      </c>
      <c r="Z20" s="55" t="s">
        <v>139</v>
      </c>
      <c r="AA20" s="55" t="s">
        <v>139</v>
      </c>
      <c r="AB20" s="55" t="s">
        <v>139</v>
      </c>
      <c r="AC20" s="55" t="s">
        <v>139</v>
      </c>
      <c r="AD20" s="55" t="s">
        <v>139</v>
      </c>
      <c r="AE20" s="55" t="s">
        <v>139</v>
      </c>
      <c r="AF20" s="55" t="s">
        <v>139</v>
      </c>
      <c r="AG20" s="55" t="s">
        <v>139</v>
      </c>
      <c r="AH20" s="55">
        <v>0</v>
      </c>
      <c r="AI20" s="55" t="s">
        <v>139</v>
      </c>
      <c r="AJ20" s="55" t="s">
        <v>139</v>
      </c>
      <c r="AK20" s="55">
        <v>1</v>
      </c>
      <c r="AL20" s="55" t="s">
        <v>139</v>
      </c>
      <c r="AM20" s="55">
        <v>0</v>
      </c>
      <c r="AN20" s="55" t="s">
        <v>139</v>
      </c>
      <c r="AO20" s="55">
        <v>0</v>
      </c>
      <c r="AP20" s="55" t="s">
        <v>139</v>
      </c>
      <c r="AQ20" s="55" t="s">
        <v>139</v>
      </c>
      <c r="AR20" s="55">
        <v>1</v>
      </c>
      <c r="AS20" s="55" t="s">
        <v>139</v>
      </c>
      <c r="AT20" s="55">
        <v>1</v>
      </c>
      <c r="AU20" s="55" t="s">
        <v>139</v>
      </c>
      <c r="AV20" s="55">
        <v>0</v>
      </c>
      <c r="AW20" s="55">
        <v>0</v>
      </c>
      <c r="AX20" s="55" t="s">
        <v>139</v>
      </c>
      <c r="AY20" s="55" t="s">
        <v>139</v>
      </c>
      <c r="AZ20" s="55" t="s">
        <v>139</v>
      </c>
      <c r="BA20" s="55" t="s">
        <v>139</v>
      </c>
      <c r="BB20" s="55" t="s">
        <v>139</v>
      </c>
      <c r="BC20" s="55" t="s">
        <v>139</v>
      </c>
      <c r="BD20" s="55" t="s">
        <v>139</v>
      </c>
      <c r="BE20" s="55" t="s">
        <v>139</v>
      </c>
      <c r="BF20" s="55">
        <v>0</v>
      </c>
      <c r="BG20" s="55" t="s">
        <v>139</v>
      </c>
      <c r="BH20" s="55">
        <v>0</v>
      </c>
      <c r="BI20" s="55" t="s">
        <v>139</v>
      </c>
      <c r="BJ20" s="55">
        <v>0</v>
      </c>
      <c r="BK20" s="55">
        <v>0</v>
      </c>
      <c r="BL20" s="55" t="s">
        <v>139</v>
      </c>
      <c r="BM20" s="55" t="s">
        <v>139</v>
      </c>
    </row>
    <row r="21" spans="1:65" ht="15" customHeight="1" x14ac:dyDescent="0.2">
      <c r="A21" s="55" t="s">
        <v>154</v>
      </c>
      <c r="B21" s="55" t="s">
        <v>139</v>
      </c>
      <c r="C21" s="55">
        <v>0</v>
      </c>
      <c r="D21" s="55" t="s">
        <v>139</v>
      </c>
      <c r="E21" s="55">
        <v>0</v>
      </c>
      <c r="F21" s="55">
        <v>0</v>
      </c>
      <c r="G21" s="55" t="s">
        <v>139</v>
      </c>
      <c r="H21" s="55" t="s">
        <v>139</v>
      </c>
      <c r="I21" s="55">
        <v>0</v>
      </c>
      <c r="J21" s="55" t="s">
        <v>139</v>
      </c>
      <c r="K21" s="55" t="s">
        <v>139</v>
      </c>
      <c r="L21" s="55" t="s">
        <v>139</v>
      </c>
      <c r="M21" s="55" t="s">
        <v>139</v>
      </c>
      <c r="N21" s="55" t="s">
        <v>139</v>
      </c>
      <c r="O21" s="55" t="s">
        <v>139</v>
      </c>
      <c r="P21" s="55" t="s">
        <v>139</v>
      </c>
      <c r="Q21" s="55" t="s">
        <v>139</v>
      </c>
      <c r="R21" s="55" t="s">
        <v>139</v>
      </c>
      <c r="S21" s="55">
        <v>0</v>
      </c>
      <c r="T21" s="55">
        <v>0</v>
      </c>
      <c r="U21" s="55" t="s">
        <v>139</v>
      </c>
      <c r="V21" s="55" t="s">
        <v>139</v>
      </c>
      <c r="W21" s="55">
        <v>0</v>
      </c>
      <c r="X21" s="55" t="s">
        <v>139</v>
      </c>
      <c r="Y21" s="55">
        <v>0</v>
      </c>
      <c r="Z21" s="55" t="s">
        <v>139</v>
      </c>
      <c r="AA21" s="55" t="s">
        <v>139</v>
      </c>
      <c r="AB21" s="55" t="s">
        <v>139</v>
      </c>
      <c r="AC21" s="55" t="s">
        <v>139</v>
      </c>
      <c r="AD21" s="55" t="s">
        <v>139</v>
      </c>
      <c r="AE21" s="55" t="s">
        <v>139</v>
      </c>
      <c r="AF21" s="55" t="s">
        <v>139</v>
      </c>
      <c r="AG21" s="55" t="s">
        <v>139</v>
      </c>
      <c r="AH21" s="55">
        <v>0</v>
      </c>
      <c r="AI21" s="55" t="s">
        <v>139</v>
      </c>
      <c r="AJ21" s="55" t="s">
        <v>139</v>
      </c>
      <c r="AK21" s="55">
        <v>0</v>
      </c>
      <c r="AL21" s="55" t="s">
        <v>139</v>
      </c>
      <c r="AM21" s="55">
        <v>0</v>
      </c>
      <c r="AN21" s="55" t="s">
        <v>139</v>
      </c>
      <c r="AO21" s="55">
        <v>0</v>
      </c>
      <c r="AP21" s="55" t="s">
        <v>139</v>
      </c>
      <c r="AQ21" s="55" t="s">
        <v>139</v>
      </c>
      <c r="AR21" s="55">
        <v>1</v>
      </c>
      <c r="AS21" s="55" t="s">
        <v>139</v>
      </c>
      <c r="AT21" s="55">
        <v>0</v>
      </c>
      <c r="AU21" s="55" t="s">
        <v>139</v>
      </c>
      <c r="AV21" s="55">
        <v>0</v>
      </c>
      <c r="AW21" s="55">
        <v>0</v>
      </c>
      <c r="AX21" s="55" t="s">
        <v>139</v>
      </c>
      <c r="AY21" s="55" t="s">
        <v>139</v>
      </c>
      <c r="AZ21" s="55" t="s">
        <v>139</v>
      </c>
      <c r="BA21" s="55" t="s">
        <v>139</v>
      </c>
      <c r="BB21" s="55" t="s">
        <v>139</v>
      </c>
      <c r="BC21" s="55" t="s">
        <v>139</v>
      </c>
      <c r="BD21" s="55" t="s">
        <v>139</v>
      </c>
      <c r="BE21" s="55" t="s">
        <v>139</v>
      </c>
      <c r="BF21" s="55">
        <v>0</v>
      </c>
      <c r="BG21" s="55" t="s">
        <v>139</v>
      </c>
      <c r="BH21" s="55">
        <v>0</v>
      </c>
      <c r="BI21" s="55" t="s">
        <v>139</v>
      </c>
      <c r="BJ21" s="55">
        <v>0</v>
      </c>
      <c r="BK21" s="55">
        <v>0</v>
      </c>
      <c r="BL21" s="55" t="s">
        <v>139</v>
      </c>
      <c r="BM21" s="55" t="s">
        <v>139</v>
      </c>
    </row>
    <row r="22" spans="1:65" ht="15" customHeight="1" x14ac:dyDescent="0.2">
      <c r="A22" s="55" t="s">
        <v>153</v>
      </c>
      <c r="B22" s="55" t="s">
        <v>139</v>
      </c>
      <c r="C22" s="55">
        <v>0</v>
      </c>
      <c r="D22" s="55" t="s">
        <v>139</v>
      </c>
      <c r="E22" s="55">
        <v>0</v>
      </c>
      <c r="F22" s="55">
        <v>1</v>
      </c>
      <c r="G22" s="55" t="s">
        <v>139</v>
      </c>
      <c r="H22" s="55" t="s">
        <v>139</v>
      </c>
      <c r="I22" s="55">
        <v>0</v>
      </c>
      <c r="J22" s="55" t="s">
        <v>139</v>
      </c>
      <c r="K22" s="55" t="s">
        <v>139</v>
      </c>
      <c r="L22" s="55" t="s">
        <v>139</v>
      </c>
      <c r="M22" s="55" t="s">
        <v>139</v>
      </c>
      <c r="N22" s="55" t="s">
        <v>139</v>
      </c>
      <c r="O22" s="55" t="s">
        <v>139</v>
      </c>
      <c r="P22" s="55" t="s">
        <v>139</v>
      </c>
      <c r="Q22" s="55" t="s">
        <v>139</v>
      </c>
      <c r="R22" s="55" t="s">
        <v>139</v>
      </c>
      <c r="S22" s="55">
        <v>0</v>
      </c>
      <c r="T22" s="55">
        <v>0</v>
      </c>
      <c r="U22" s="55" t="s">
        <v>139</v>
      </c>
      <c r="V22" s="55" t="s">
        <v>139</v>
      </c>
      <c r="W22" s="55">
        <v>0</v>
      </c>
      <c r="X22" s="55" t="s">
        <v>139</v>
      </c>
      <c r="Y22" s="55">
        <v>0</v>
      </c>
      <c r="Z22" s="55" t="s">
        <v>139</v>
      </c>
      <c r="AA22" s="55" t="s">
        <v>139</v>
      </c>
      <c r="AB22" s="55" t="s">
        <v>139</v>
      </c>
      <c r="AC22" s="55" t="s">
        <v>139</v>
      </c>
      <c r="AD22" s="55" t="s">
        <v>139</v>
      </c>
      <c r="AE22" s="55" t="s">
        <v>139</v>
      </c>
      <c r="AF22" s="55" t="s">
        <v>139</v>
      </c>
      <c r="AG22" s="55" t="s">
        <v>139</v>
      </c>
      <c r="AH22" s="55">
        <v>0</v>
      </c>
      <c r="AI22" s="55" t="s">
        <v>139</v>
      </c>
      <c r="AJ22" s="55" t="s">
        <v>139</v>
      </c>
      <c r="AK22" s="55">
        <v>1</v>
      </c>
      <c r="AL22" s="55" t="s">
        <v>139</v>
      </c>
      <c r="AM22" s="55">
        <v>0</v>
      </c>
      <c r="AN22" s="55" t="s">
        <v>139</v>
      </c>
      <c r="AO22" s="55">
        <v>0</v>
      </c>
      <c r="AP22" s="55" t="s">
        <v>139</v>
      </c>
      <c r="AQ22" s="55" t="s">
        <v>139</v>
      </c>
      <c r="AR22" s="55">
        <v>1</v>
      </c>
      <c r="AS22" s="55" t="s">
        <v>139</v>
      </c>
      <c r="AT22" s="55">
        <v>1</v>
      </c>
      <c r="AU22" s="55" t="s">
        <v>139</v>
      </c>
      <c r="AV22" s="55">
        <v>0</v>
      </c>
      <c r="AW22" s="55">
        <v>0</v>
      </c>
      <c r="AX22" s="55" t="s">
        <v>139</v>
      </c>
      <c r="AY22" s="55" t="s">
        <v>139</v>
      </c>
      <c r="AZ22" s="55" t="s">
        <v>139</v>
      </c>
      <c r="BA22" s="55" t="s">
        <v>139</v>
      </c>
      <c r="BB22" s="55" t="s">
        <v>139</v>
      </c>
      <c r="BC22" s="55" t="s">
        <v>139</v>
      </c>
      <c r="BD22" s="55" t="s">
        <v>139</v>
      </c>
      <c r="BE22" s="55" t="s">
        <v>139</v>
      </c>
      <c r="BF22" s="55">
        <v>0</v>
      </c>
      <c r="BG22" s="55" t="s">
        <v>139</v>
      </c>
      <c r="BH22" s="55">
        <v>0</v>
      </c>
      <c r="BI22" s="55" t="s">
        <v>139</v>
      </c>
      <c r="BJ22" s="55">
        <v>0</v>
      </c>
      <c r="BK22" s="55">
        <v>0</v>
      </c>
      <c r="BL22" s="55" t="s">
        <v>139</v>
      </c>
      <c r="BM22" s="55" t="s">
        <v>139</v>
      </c>
    </row>
    <row r="23" spans="1:65" ht="15" customHeight="1" x14ac:dyDescent="0.2">
      <c r="A23" s="55" t="s">
        <v>152</v>
      </c>
      <c r="B23" s="55" t="s">
        <v>139</v>
      </c>
      <c r="C23" s="55">
        <v>0</v>
      </c>
      <c r="D23" s="55" t="s">
        <v>139</v>
      </c>
      <c r="E23" s="55">
        <v>0</v>
      </c>
      <c r="F23" s="55">
        <v>0</v>
      </c>
      <c r="G23" s="55" t="s">
        <v>139</v>
      </c>
      <c r="H23" s="55" t="s">
        <v>139</v>
      </c>
      <c r="I23" s="55">
        <v>0</v>
      </c>
      <c r="J23" s="55" t="s">
        <v>139</v>
      </c>
      <c r="K23" s="55" t="s">
        <v>139</v>
      </c>
      <c r="L23" s="55" t="s">
        <v>139</v>
      </c>
      <c r="M23" s="55" t="s">
        <v>139</v>
      </c>
      <c r="N23" s="55" t="s">
        <v>139</v>
      </c>
      <c r="O23" s="55" t="s">
        <v>139</v>
      </c>
      <c r="P23" s="55" t="s">
        <v>139</v>
      </c>
      <c r="Q23" s="55" t="s">
        <v>139</v>
      </c>
      <c r="R23" s="55" t="s">
        <v>139</v>
      </c>
      <c r="S23" s="55">
        <v>0</v>
      </c>
      <c r="T23" s="55">
        <v>0</v>
      </c>
      <c r="U23" s="55" t="s">
        <v>139</v>
      </c>
      <c r="V23" s="55" t="s">
        <v>139</v>
      </c>
      <c r="W23" s="55">
        <v>0</v>
      </c>
      <c r="X23" s="55" t="s">
        <v>139</v>
      </c>
      <c r="Y23" s="55">
        <v>0</v>
      </c>
      <c r="Z23" s="55" t="s">
        <v>139</v>
      </c>
      <c r="AA23" s="55" t="s">
        <v>139</v>
      </c>
      <c r="AB23" s="55" t="s">
        <v>139</v>
      </c>
      <c r="AC23" s="55" t="s">
        <v>139</v>
      </c>
      <c r="AD23" s="55" t="s">
        <v>139</v>
      </c>
      <c r="AE23" s="55" t="s">
        <v>139</v>
      </c>
      <c r="AF23" s="55" t="s">
        <v>139</v>
      </c>
      <c r="AG23" s="55" t="s">
        <v>139</v>
      </c>
      <c r="AH23" s="55">
        <v>0</v>
      </c>
      <c r="AI23" s="55" t="s">
        <v>139</v>
      </c>
      <c r="AJ23" s="55" t="s">
        <v>139</v>
      </c>
      <c r="AK23" s="55">
        <v>0</v>
      </c>
      <c r="AL23" s="55" t="s">
        <v>139</v>
      </c>
      <c r="AM23" s="55">
        <v>0</v>
      </c>
      <c r="AN23" s="55" t="s">
        <v>139</v>
      </c>
      <c r="AO23" s="55">
        <v>0</v>
      </c>
      <c r="AP23" s="55" t="s">
        <v>139</v>
      </c>
      <c r="AQ23" s="55" t="s">
        <v>139</v>
      </c>
      <c r="AR23" s="55">
        <v>1</v>
      </c>
      <c r="AS23" s="55" t="s">
        <v>139</v>
      </c>
      <c r="AT23" s="55">
        <v>0</v>
      </c>
      <c r="AU23" s="55" t="s">
        <v>139</v>
      </c>
      <c r="AV23" s="55">
        <v>0</v>
      </c>
      <c r="AW23" s="55">
        <v>0</v>
      </c>
      <c r="AX23" s="55" t="s">
        <v>139</v>
      </c>
      <c r="AY23" s="55" t="s">
        <v>139</v>
      </c>
      <c r="AZ23" s="55" t="s">
        <v>139</v>
      </c>
      <c r="BA23" s="55" t="s">
        <v>139</v>
      </c>
      <c r="BB23" s="55" t="s">
        <v>139</v>
      </c>
      <c r="BC23" s="55" t="s">
        <v>139</v>
      </c>
      <c r="BD23" s="55" t="s">
        <v>139</v>
      </c>
      <c r="BE23" s="55" t="s">
        <v>139</v>
      </c>
      <c r="BF23" s="55">
        <v>1</v>
      </c>
      <c r="BG23" s="55" t="s">
        <v>139</v>
      </c>
      <c r="BH23" s="55">
        <v>0</v>
      </c>
      <c r="BI23" s="55" t="s">
        <v>139</v>
      </c>
      <c r="BJ23" s="55">
        <v>0</v>
      </c>
      <c r="BK23" s="55">
        <v>0</v>
      </c>
      <c r="BL23" s="55" t="s">
        <v>139</v>
      </c>
      <c r="BM23" s="55" t="s">
        <v>139</v>
      </c>
    </row>
    <row r="24" spans="1:65" ht="15" customHeight="1" x14ac:dyDescent="0.2">
      <c r="A24" s="55" t="s">
        <v>151</v>
      </c>
      <c r="B24" s="55" t="s">
        <v>139</v>
      </c>
      <c r="C24" s="55">
        <v>0</v>
      </c>
      <c r="D24" s="55" t="s">
        <v>139</v>
      </c>
      <c r="E24" s="55">
        <v>2</v>
      </c>
      <c r="F24" s="55">
        <v>0</v>
      </c>
      <c r="G24" s="55" t="s">
        <v>139</v>
      </c>
      <c r="H24" s="55" t="s">
        <v>139</v>
      </c>
      <c r="I24" s="55">
        <v>0</v>
      </c>
      <c r="J24" s="55" t="s">
        <v>139</v>
      </c>
      <c r="K24" s="55" t="s">
        <v>139</v>
      </c>
      <c r="L24" s="55" t="s">
        <v>139</v>
      </c>
      <c r="M24" s="55" t="s">
        <v>139</v>
      </c>
      <c r="N24" s="55" t="s">
        <v>139</v>
      </c>
      <c r="O24" s="55" t="s">
        <v>139</v>
      </c>
      <c r="P24" s="55" t="s">
        <v>139</v>
      </c>
      <c r="Q24" s="55" t="s">
        <v>139</v>
      </c>
      <c r="R24" s="55" t="s">
        <v>139</v>
      </c>
      <c r="S24" s="55">
        <v>0</v>
      </c>
      <c r="T24" s="55">
        <v>0</v>
      </c>
      <c r="U24" s="55" t="s">
        <v>139</v>
      </c>
      <c r="V24" s="55" t="s">
        <v>139</v>
      </c>
      <c r="W24" s="55">
        <v>0</v>
      </c>
      <c r="X24" s="55" t="s">
        <v>139</v>
      </c>
      <c r="Y24" s="55">
        <v>0</v>
      </c>
      <c r="Z24" s="55" t="s">
        <v>139</v>
      </c>
      <c r="AA24" s="55" t="s">
        <v>139</v>
      </c>
      <c r="AB24" s="55" t="s">
        <v>139</v>
      </c>
      <c r="AC24" s="55" t="s">
        <v>139</v>
      </c>
      <c r="AD24" s="55" t="s">
        <v>139</v>
      </c>
      <c r="AE24" s="55" t="s">
        <v>139</v>
      </c>
      <c r="AF24" s="55" t="s">
        <v>139</v>
      </c>
      <c r="AG24" s="55" t="s">
        <v>139</v>
      </c>
      <c r="AH24" s="55">
        <v>0</v>
      </c>
      <c r="AI24" s="55" t="s">
        <v>139</v>
      </c>
      <c r="AJ24" s="55" t="s">
        <v>139</v>
      </c>
      <c r="AK24" s="55">
        <v>0</v>
      </c>
      <c r="AL24" s="55" t="s">
        <v>139</v>
      </c>
      <c r="AM24" s="55">
        <v>0</v>
      </c>
      <c r="AN24" s="55" t="s">
        <v>139</v>
      </c>
      <c r="AO24" s="55">
        <v>0</v>
      </c>
      <c r="AP24" s="55" t="s">
        <v>139</v>
      </c>
      <c r="AQ24" s="55" t="s">
        <v>139</v>
      </c>
      <c r="AR24" s="55">
        <v>0</v>
      </c>
      <c r="AS24" s="55" t="s">
        <v>139</v>
      </c>
      <c r="AT24" s="55">
        <v>1</v>
      </c>
      <c r="AU24" s="55" t="s">
        <v>139</v>
      </c>
      <c r="AV24" s="55">
        <v>1</v>
      </c>
      <c r="AW24" s="55">
        <v>0</v>
      </c>
      <c r="AX24" s="55" t="s">
        <v>139</v>
      </c>
      <c r="AY24" s="55" t="s">
        <v>139</v>
      </c>
      <c r="AZ24" s="55" t="s">
        <v>139</v>
      </c>
      <c r="BA24" s="55" t="s">
        <v>139</v>
      </c>
      <c r="BB24" s="55" t="s">
        <v>139</v>
      </c>
      <c r="BC24" s="55" t="s">
        <v>139</v>
      </c>
      <c r="BD24" s="55" t="s">
        <v>139</v>
      </c>
      <c r="BE24" s="55" t="s">
        <v>139</v>
      </c>
      <c r="BF24" s="55">
        <v>0</v>
      </c>
      <c r="BG24" s="55" t="s">
        <v>139</v>
      </c>
      <c r="BH24" s="55">
        <v>0</v>
      </c>
      <c r="BI24" s="55" t="s">
        <v>139</v>
      </c>
      <c r="BJ24" s="55">
        <v>0</v>
      </c>
      <c r="BK24" s="55">
        <v>0</v>
      </c>
      <c r="BL24" s="55" t="s">
        <v>139</v>
      </c>
      <c r="BM24" s="55" t="s">
        <v>139</v>
      </c>
    </row>
    <row r="25" spans="1:65" ht="15" customHeight="1" x14ac:dyDescent="0.2">
      <c r="A25" s="55" t="s">
        <v>150</v>
      </c>
      <c r="B25" s="55" t="s">
        <v>139</v>
      </c>
      <c r="C25" s="55">
        <v>0</v>
      </c>
      <c r="D25" s="55" t="s">
        <v>139</v>
      </c>
      <c r="E25" s="55">
        <v>0</v>
      </c>
      <c r="F25" s="55">
        <v>0</v>
      </c>
      <c r="G25" s="55" t="s">
        <v>139</v>
      </c>
      <c r="H25" s="55" t="s">
        <v>139</v>
      </c>
      <c r="I25" s="55">
        <v>0</v>
      </c>
      <c r="J25" s="55" t="s">
        <v>139</v>
      </c>
      <c r="K25" s="55" t="s">
        <v>139</v>
      </c>
      <c r="L25" s="55" t="s">
        <v>139</v>
      </c>
      <c r="M25" s="55" t="s">
        <v>139</v>
      </c>
      <c r="N25" s="55" t="s">
        <v>139</v>
      </c>
      <c r="O25" s="55" t="s">
        <v>139</v>
      </c>
      <c r="P25" s="55" t="s">
        <v>139</v>
      </c>
      <c r="Q25" s="55" t="s">
        <v>139</v>
      </c>
      <c r="R25" s="55" t="s">
        <v>139</v>
      </c>
      <c r="S25" s="55">
        <v>1</v>
      </c>
      <c r="T25" s="55">
        <v>0</v>
      </c>
      <c r="U25" s="55" t="s">
        <v>139</v>
      </c>
      <c r="V25" s="55" t="s">
        <v>139</v>
      </c>
      <c r="W25" s="55">
        <v>0</v>
      </c>
      <c r="X25" s="55" t="s">
        <v>139</v>
      </c>
      <c r="Y25" s="55">
        <v>0</v>
      </c>
      <c r="Z25" s="55" t="s">
        <v>139</v>
      </c>
      <c r="AA25" s="55" t="s">
        <v>139</v>
      </c>
      <c r="AB25" s="55" t="s">
        <v>139</v>
      </c>
      <c r="AC25" s="55" t="s">
        <v>139</v>
      </c>
      <c r="AD25" s="55" t="s">
        <v>139</v>
      </c>
      <c r="AE25" s="55" t="s">
        <v>139</v>
      </c>
      <c r="AF25" s="55" t="s">
        <v>139</v>
      </c>
      <c r="AG25" s="55" t="s">
        <v>139</v>
      </c>
      <c r="AH25" s="55">
        <v>0</v>
      </c>
      <c r="AI25" s="55" t="s">
        <v>139</v>
      </c>
      <c r="AJ25" s="55" t="s">
        <v>139</v>
      </c>
      <c r="AK25" s="55">
        <v>0</v>
      </c>
      <c r="AL25" s="55" t="s">
        <v>139</v>
      </c>
      <c r="AM25" s="55">
        <v>0</v>
      </c>
      <c r="AN25" s="55" t="s">
        <v>139</v>
      </c>
      <c r="AO25" s="55">
        <v>0</v>
      </c>
      <c r="AP25" s="55" t="s">
        <v>139</v>
      </c>
      <c r="AQ25" s="55" t="s">
        <v>139</v>
      </c>
      <c r="AR25" s="55">
        <v>0</v>
      </c>
      <c r="AS25" s="55" t="s">
        <v>139</v>
      </c>
      <c r="AT25" s="55">
        <v>0</v>
      </c>
      <c r="AU25" s="55" t="s">
        <v>139</v>
      </c>
      <c r="AV25" s="55">
        <v>0</v>
      </c>
      <c r="AW25" s="55">
        <v>0</v>
      </c>
      <c r="AX25" s="55" t="s">
        <v>139</v>
      </c>
      <c r="AY25" s="55" t="s">
        <v>139</v>
      </c>
      <c r="AZ25" s="55" t="s">
        <v>139</v>
      </c>
      <c r="BA25" s="55" t="s">
        <v>139</v>
      </c>
      <c r="BB25" s="55" t="s">
        <v>139</v>
      </c>
      <c r="BC25" s="55" t="s">
        <v>139</v>
      </c>
      <c r="BD25" s="55" t="s">
        <v>139</v>
      </c>
      <c r="BE25" s="55" t="s">
        <v>139</v>
      </c>
      <c r="BF25" s="55">
        <v>0</v>
      </c>
      <c r="BG25" s="55" t="s">
        <v>139</v>
      </c>
      <c r="BH25" s="55">
        <v>0</v>
      </c>
      <c r="BI25" s="55" t="s">
        <v>139</v>
      </c>
      <c r="BJ25" s="55">
        <v>0</v>
      </c>
      <c r="BK25" s="55">
        <v>0</v>
      </c>
      <c r="BL25" s="55" t="s">
        <v>139</v>
      </c>
      <c r="BM25" s="55" t="s">
        <v>139</v>
      </c>
    </row>
    <row r="26" spans="1:65" ht="15" customHeight="1" x14ac:dyDescent="0.2">
      <c r="A26" s="55" t="s">
        <v>149</v>
      </c>
      <c r="B26" s="55" t="s">
        <v>139</v>
      </c>
      <c r="C26" s="55">
        <v>0</v>
      </c>
      <c r="D26" s="55" t="s">
        <v>139</v>
      </c>
      <c r="E26" s="55">
        <v>0</v>
      </c>
      <c r="F26" s="55">
        <v>0</v>
      </c>
      <c r="G26" s="55" t="s">
        <v>139</v>
      </c>
      <c r="H26" s="55" t="s">
        <v>139</v>
      </c>
      <c r="I26" s="55">
        <v>0</v>
      </c>
      <c r="J26" s="55" t="s">
        <v>139</v>
      </c>
      <c r="K26" s="55" t="s">
        <v>139</v>
      </c>
      <c r="L26" s="55" t="s">
        <v>139</v>
      </c>
      <c r="M26" s="55" t="s">
        <v>139</v>
      </c>
      <c r="N26" s="55" t="s">
        <v>139</v>
      </c>
      <c r="O26" s="55" t="s">
        <v>139</v>
      </c>
      <c r="P26" s="55" t="s">
        <v>139</v>
      </c>
      <c r="Q26" s="55" t="s">
        <v>139</v>
      </c>
      <c r="R26" s="55" t="s">
        <v>139</v>
      </c>
      <c r="S26" s="55">
        <v>0</v>
      </c>
      <c r="T26" s="55">
        <v>1</v>
      </c>
      <c r="U26" s="55" t="s">
        <v>139</v>
      </c>
      <c r="V26" s="55" t="s">
        <v>139</v>
      </c>
      <c r="W26" s="55">
        <v>0</v>
      </c>
      <c r="X26" s="55" t="s">
        <v>139</v>
      </c>
      <c r="Y26" s="55">
        <v>0</v>
      </c>
      <c r="Z26" s="55" t="s">
        <v>139</v>
      </c>
      <c r="AA26" s="55" t="s">
        <v>139</v>
      </c>
      <c r="AB26" s="55" t="s">
        <v>139</v>
      </c>
      <c r="AC26" s="55" t="s">
        <v>139</v>
      </c>
      <c r="AD26" s="55" t="s">
        <v>139</v>
      </c>
      <c r="AE26" s="55" t="s">
        <v>139</v>
      </c>
      <c r="AF26" s="55" t="s">
        <v>139</v>
      </c>
      <c r="AG26" s="55" t="s">
        <v>139</v>
      </c>
      <c r="AH26" s="55">
        <v>0</v>
      </c>
      <c r="AI26" s="55" t="s">
        <v>139</v>
      </c>
      <c r="AJ26" s="55" t="s">
        <v>139</v>
      </c>
      <c r="AK26" s="55">
        <v>0</v>
      </c>
      <c r="AL26" s="55" t="s">
        <v>139</v>
      </c>
      <c r="AM26" s="55">
        <v>0</v>
      </c>
      <c r="AN26" s="55" t="s">
        <v>139</v>
      </c>
      <c r="AO26" s="55">
        <v>0</v>
      </c>
      <c r="AP26" s="55" t="s">
        <v>139</v>
      </c>
      <c r="AQ26" s="55" t="s">
        <v>139</v>
      </c>
      <c r="AR26" s="55">
        <v>2</v>
      </c>
      <c r="AS26" s="55" t="s">
        <v>139</v>
      </c>
      <c r="AT26" s="55">
        <v>0</v>
      </c>
      <c r="AU26" s="55" t="s">
        <v>139</v>
      </c>
      <c r="AV26" s="55">
        <v>0</v>
      </c>
      <c r="AW26" s="55">
        <v>0</v>
      </c>
      <c r="AX26" s="55" t="s">
        <v>139</v>
      </c>
      <c r="AY26" s="55" t="s">
        <v>139</v>
      </c>
      <c r="AZ26" s="55" t="s">
        <v>139</v>
      </c>
      <c r="BA26" s="55" t="s">
        <v>139</v>
      </c>
      <c r="BB26" s="55" t="s">
        <v>139</v>
      </c>
      <c r="BC26" s="55" t="s">
        <v>139</v>
      </c>
      <c r="BD26" s="55" t="s">
        <v>139</v>
      </c>
      <c r="BE26" s="55" t="s">
        <v>139</v>
      </c>
      <c r="BF26" s="55">
        <v>0</v>
      </c>
      <c r="BG26" s="55" t="s">
        <v>139</v>
      </c>
      <c r="BH26" s="55">
        <v>0</v>
      </c>
      <c r="BI26" s="55" t="s">
        <v>139</v>
      </c>
      <c r="BJ26" s="55">
        <v>0</v>
      </c>
      <c r="BK26" s="55">
        <v>0</v>
      </c>
      <c r="BL26" s="55" t="s">
        <v>139</v>
      </c>
      <c r="BM26" s="55" t="s">
        <v>139</v>
      </c>
    </row>
    <row r="27" spans="1:65" ht="15" customHeight="1" x14ac:dyDescent="0.2">
      <c r="A27" s="55" t="s">
        <v>148</v>
      </c>
      <c r="B27" s="55" t="s">
        <v>139</v>
      </c>
      <c r="C27" s="55">
        <v>0</v>
      </c>
      <c r="D27" s="55" t="s">
        <v>139</v>
      </c>
      <c r="E27" s="55">
        <v>0</v>
      </c>
      <c r="F27" s="55">
        <v>0</v>
      </c>
      <c r="G27" s="55" t="s">
        <v>139</v>
      </c>
      <c r="H27" s="55" t="s">
        <v>139</v>
      </c>
      <c r="I27" s="55">
        <v>0</v>
      </c>
      <c r="J27" s="55" t="s">
        <v>139</v>
      </c>
      <c r="K27" s="55" t="s">
        <v>139</v>
      </c>
      <c r="L27" s="55" t="s">
        <v>139</v>
      </c>
      <c r="M27" s="55" t="s">
        <v>139</v>
      </c>
      <c r="N27" s="55" t="s">
        <v>139</v>
      </c>
      <c r="O27" s="55" t="s">
        <v>139</v>
      </c>
      <c r="P27" s="55" t="s">
        <v>139</v>
      </c>
      <c r="Q27" s="55" t="s">
        <v>139</v>
      </c>
      <c r="R27" s="55" t="s">
        <v>139</v>
      </c>
      <c r="S27" s="55">
        <v>0</v>
      </c>
      <c r="T27" s="55">
        <v>0</v>
      </c>
      <c r="U27" s="55" t="s">
        <v>139</v>
      </c>
      <c r="V27" s="55" t="s">
        <v>139</v>
      </c>
      <c r="W27" s="55">
        <v>0</v>
      </c>
      <c r="X27" s="55" t="s">
        <v>139</v>
      </c>
      <c r="Y27" s="55">
        <v>0</v>
      </c>
      <c r="Z27" s="55" t="s">
        <v>139</v>
      </c>
      <c r="AA27" s="55" t="s">
        <v>139</v>
      </c>
      <c r="AB27" s="55" t="s">
        <v>139</v>
      </c>
      <c r="AC27" s="55" t="s">
        <v>139</v>
      </c>
      <c r="AD27" s="55" t="s">
        <v>139</v>
      </c>
      <c r="AE27" s="55" t="s">
        <v>139</v>
      </c>
      <c r="AF27" s="55" t="s">
        <v>139</v>
      </c>
      <c r="AG27" s="55" t="s">
        <v>139</v>
      </c>
      <c r="AH27" s="55">
        <v>0</v>
      </c>
      <c r="AI27" s="55" t="s">
        <v>139</v>
      </c>
      <c r="AJ27" s="55" t="s">
        <v>139</v>
      </c>
      <c r="AK27" s="55">
        <v>0</v>
      </c>
      <c r="AL27" s="55" t="s">
        <v>139</v>
      </c>
      <c r="AM27" s="55">
        <v>0</v>
      </c>
      <c r="AN27" s="55" t="s">
        <v>139</v>
      </c>
      <c r="AO27" s="55">
        <v>0</v>
      </c>
      <c r="AP27" s="55" t="s">
        <v>139</v>
      </c>
      <c r="AQ27" s="55" t="s">
        <v>139</v>
      </c>
      <c r="AR27" s="55">
        <v>0</v>
      </c>
      <c r="AS27" s="55" t="s">
        <v>139</v>
      </c>
      <c r="AT27" s="55">
        <v>0</v>
      </c>
      <c r="AU27" s="55" t="s">
        <v>139</v>
      </c>
      <c r="AV27" s="55">
        <v>0</v>
      </c>
      <c r="AW27" s="55">
        <v>0</v>
      </c>
      <c r="AX27" s="55" t="s">
        <v>139</v>
      </c>
      <c r="AY27" s="55" t="s">
        <v>139</v>
      </c>
      <c r="AZ27" s="55" t="s">
        <v>139</v>
      </c>
      <c r="BA27" s="55" t="s">
        <v>139</v>
      </c>
      <c r="BB27" s="55" t="s">
        <v>139</v>
      </c>
      <c r="BC27" s="55" t="s">
        <v>139</v>
      </c>
      <c r="BD27" s="55" t="s">
        <v>139</v>
      </c>
      <c r="BE27" s="55" t="s">
        <v>139</v>
      </c>
      <c r="BF27" s="55">
        <v>0</v>
      </c>
      <c r="BG27" s="55" t="s">
        <v>139</v>
      </c>
      <c r="BH27" s="55">
        <v>0</v>
      </c>
      <c r="BI27" s="55" t="s">
        <v>139</v>
      </c>
      <c r="BJ27" s="55">
        <v>0</v>
      </c>
      <c r="BK27" s="55">
        <v>0</v>
      </c>
      <c r="BL27" s="55" t="s">
        <v>139</v>
      </c>
      <c r="BM27" s="55" t="s">
        <v>139</v>
      </c>
    </row>
    <row r="28" spans="1:65" ht="15" customHeight="1" x14ac:dyDescent="0.2">
      <c r="A28" s="55" t="s">
        <v>147</v>
      </c>
      <c r="B28" s="55" t="s">
        <v>139</v>
      </c>
      <c r="C28" s="55">
        <v>0</v>
      </c>
      <c r="D28" s="55" t="s">
        <v>139</v>
      </c>
      <c r="E28" s="55">
        <v>0</v>
      </c>
      <c r="F28" s="55">
        <v>0</v>
      </c>
      <c r="G28" s="55" t="s">
        <v>139</v>
      </c>
      <c r="H28" s="55" t="s">
        <v>139</v>
      </c>
      <c r="I28" s="55">
        <v>0</v>
      </c>
      <c r="J28" s="55" t="s">
        <v>139</v>
      </c>
      <c r="K28" s="55" t="s">
        <v>139</v>
      </c>
      <c r="L28" s="55" t="s">
        <v>139</v>
      </c>
      <c r="M28" s="55" t="s">
        <v>139</v>
      </c>
      <c r="N28" s="55" t="s">
        <v>139</v>
      </c>
      <c r="O28" s="55" t="s">
        <v>139</v>
      </c>
      <c r="P28" s="55" t="s">
        <v>139</v>
      </c>
      <c r="Q28" s="55" t="s">
        <v>139</v>
      </c>
      <c r="R28" s="55" t="s">
        <v>139</v>
      </c>
      <c r="S28" s="55">
        <v>0</v>
      </c>
      <c r="T28" s="55">
        <v>0</v>
      </c>
      <c r="U28" s="55" t="s">
        <v>139</v>
      </c>
      <c r="V28" s="55" t="s">
        <v>139</v>
      </c>
      <c r="W28" s="55">
        <v>0</v>
      </c>
      <c r="X28" s="55" t="s">
        <v>139</v>
      </c>
      <c r="Y28" s="55">
        <v>0</v>
      </c>
      <c r="Z28" s="55" t="s">
        <v>139</v>
      </c>
      <c r="AA28" s="55" t="s">
        <v>139</v>
      </c>
      <c r="AB28" s="55" t="s">
        <v>139</v>
      </c>
      <c r="AC28" s="55" t="s">
        <v>139</v>
      </c>
      <c r="AD28" s="55" t="s">
        <v>139</v>
      </c>
      <c r="AE28" s="55" t="s">
        <v>139</v>
      </c>
      <c r="AF28" s="55" t="s">
        <v>139</v>
      </c>
      <c r="AG28" s="55" t="s">
        <v>139</v>
      </c>
      <c r="AH28" s="55">
        <v>0</v>
      </c>
      <c r="AI28" s="55" t="s">
        <v>139</v>
      </c>
      <c r="AJ28" s="55" t="s">
        <v>139</v>
      </c>
      <c r="AK28" s="55">
        <v>0</v>
      </c>
      <c r="AL28" s="55" t="s">
        <v>139</v>
      </c>
      <c r="AM28" s="55">
        <v>0</v>
      </c>
      <c r="AN28" s="55" t="s">
        <v>139</v>
      </c>
      <c r="AO28" s="55">
        <v>0</v>
      </c>
      <c r="AP28" s="55" t="s">
        <v>139</v>
      </c>
      <c r="AQ28" s="55" t="s">
        <v>139</v>
      </c>
      <c r="AR28" s="55">
        <v>0</v>
      </c>
      <c r="AS28" s="55" t="s">
        <v>139</v>
      </c>
      <c r="AT28" s="55">
        <v>0</v>
      </c>
      <c r="AU28" s="55" t="s">
        <v>139</v>
      </c>
      <c r="AV28" s="55">
        <v>0</v>
      </c>
      <c r="AW28" s="55">
        <v>0</v>
      </c>
      <c r="AX28" s="55" t="s">
        <v>139</v>
      </c>
      <c r="AY28" s="55" t="s">
        <v>139</v>
      </c>
      <c r="AZ28" s="55" t="s">
        <v>139</v>
      </c>
      <c r="BA28" s="55" t="s">
        <v>139</v>
      </c>
      <c r="BB28" s="55" t="s">
        <v>139</v>
      </c>
      <c r="BC28" s="55" t="s">
        <v>139</v>
      </c>
      <c r="BD28" s="55" t="s">
        <v>139</v>
      </c>
      <c r="BE28" s="55" t="s">
        <v>139</v>
      </c>
      <c r="BF28" s="55">
        <v>1</v>
      </c>
      <c r="BG28" s="55" t="s">
        <v>139</v>
      </c>
      <c r="BH28" s="55">
        <v>0</v>
      </c>
      <c r="BI28" s="55" t="s">
        <v>139</v>
      </c>
      <c r="BJ28" s="55">
        <v>0</v>
      </c>
      <c r="BK28" s="55">
        <v>0</v>
      </c>
      <c r="BL28" s="55" t="s">
        <v>139</v>
      </c>
      <c r="BM28" s="55" t="s">
        <v>139</v>
      </c>
    </row>
    <row r="29" spans="1:65" ht="15" customHeight="1" x14ac:dyDescent="0.2">
      <c r="A29" s="55" t="s">
        <v>146</v>
      </c>
      <c r="B29" s="55" t="s">
        <v>139</v>
      </c>
      <c r="C29" s="55">
        <v>0</v>
      </c>
      <c r="D29" s="55" t="s">
        <v>139</v>
      </c>
      <c r="E29" s="55">
        <v>0</v>
      </c>
      <c r="F29" s="55">
        <v>0</v>
      </c>
      <c r="G29" s="55" t="s">
        <v>139</v>
      </c>
      <c r="H29" s="55" t="s">
        <v>139</v>
      </c>
      <c r="I29" s="55">
        <v>0</v>
      </c>
      <c r="J29" s="55" t="s">
        <v>139</v>
      </c>
      <c r="K29" s="55" t="s">
        <v>139</v>
      </c>
      <c r="L29" s="55" t="s">
        <v>139</v>
      </c>
      <c r="M29" s="55" t="s">
        <v>139</v>
      </c>
      <c r="N29" s="55" t="s">
        <v>139</v>
      </c>
      <c r="O29" s="55" t="s">
        <v>139</v>
      </c>
      <c r="P29" s="55" t="s">
        <v>139</v>
      </c>
      <c r="Q29" s="55" t="s">
        <v>139</v>
      </c>
      <c r="R29" s="55" t="s">
        <v>139</v>
      </c>
      <c r="S29" s="55">
        <v>0</v>
      </c>
      <c r="T29" s="55">
        <v>0</v>
      </c>
      <c r="U29" s="55" t="s">
        <v>139</v>
      </c>
      <c r="V29" s="55" t="s">
        <v>139</v>
      </c>
      <c r="W29" s="55">
        <v>0</v>
      </c>
      <c r="X29" s="55" t="s">
        <v>139</v>
      </c>
      <c r="Y29" s="55">
        <v>0</v>
      </c>
      <c r="Z29" s="55" t="s">
        <v>139</v>
      </c>
      <c r="AA29" s="55" t="s">
        <v>139</v>
      </c>
      <c r="AB29" s="55" t="s">
        <v>139</v>
      </c>
      <c r="AC29" s="55" t="s">
        <v>139</v>
      </c>
      <c r="AD29" s="55" t="s">
        <v>139</v>
      </c>
      <c r="AE29" s="55" t="s">
        <v>139</v>
      </c>
      <c r="AF29" s="55" t="s">
        <v>139</v>
      </c>
      <c r="AG29" s="55" t="s">
        <v>139</v>
      </c>
      <c r="AH29" s="55">
        <v>0</v>
      </c>
      <c r="AI29" s="55" t="s">
        <v>139</v>
      </c>
      <c r="AJ29" s="55" t="s">
        <v>139</v>
      </c>
      <c r="AK29" s="55">
        <v>0</v>
      </c>
      <c r="AL29" s="55" t="s">
        <v>139</v>
      </c>
      <c r="AM29" s="55">
        <v>0</v>
      </c>
      <c r="AN29" s="55" t="s">
        <v>139</v>
      </c>
      <c r="AO29" s="55">
        <v>0</v>
      </c>
      <c r="AP29" s="55" t="s">
        <v>139</v>
      </c>
      <c r="AQ29" s="55" t="s">
        <v>139</v>
      </c>
      <c r="AR29" s="55">
        <v>1</v>
      </c>
      <c r="AS29" s="55" t="s">
        <v>139</v>
      </c>
      <c r="AT29" s="55">
        <v>0</v>
      </c>
      <c r="AU29" s="55" t="s">
        <v>139</v>
      </c>
      <c r="AV29" s="55">
        <v>1</v>
      </c>
      <c r="AW29" s="55">
        <v>0</v>
      </c>
      <c r="AX29" s="55" t="s">
        <v>139</v>
      </c>
      <c r="AY29" s="55" t="s">
        <v>139</v>
      </c>
      <c r="AZ29" s="55" t="s">
        <v>139</v>
      </c>
      <c r="BA29" s="55" t="s">
        <v>139</v>
      </c>
      <c r="BB29" s="55" t="s">
        <v>139</v>
      </c>
      <c r="BC29" s="55" t="s">
        <v>139</v>
      </c>
      <c r="BD29" s="55" t="s">
        <v>139</v>
      </c>
      <c r="BE29" s="55" t="s">
        <v>139</v>
      </c>
      <c r="BF29" s="55">
        <v>0</v>
      </c>
      <c r="BG29" s="55" t="s">
        <v>139</v>
      </c>
      <c r="BH29" s="55">
        <v>0</v>
      </c>
      <c r="BI29" s="55" t="s">
        <v>139</v>
      </c>
      <c r="BJ29" s="55">
        <v>0</v>
      </c>
      <c r="BK29" s="55">
        <v>0</v>
      </c>
      <c r="BL29" s="55" t="s">
        <v>139</v>
      </c>
      <c r="BM29" s="55" t="s">
        <v>139</v>
      </c>
    </row>
    <row r="30" spans="1:65" ht="15" customHeight="1" x14ac:dyDescent="0.2">
      <c r="A30" s="55" t="s">
        <v>145</v>
      </c>
      <c r="B30" s="55" t="s">
        <v>139</v>
      </c>
      <c r="C30" s="55">
        <v>0</v>
      </c>
      <c r="D30" s="55" t="s">
        <v>139</v>
      </c>
      <c r="E30" s="55">
        <v>1</v>
      </c>
      <c r="F30" s="55">
        <v>0</v>
      </c>
      <c r="G30" s="55" t="s">
        <v>139</v>
      </c>
      <c r="H30" s="55" t="s">
        <v>139</v>
      </c>
      <c r="I30" s="55">
        <v>0</v>
      </c>
      <c r="J30" s="55" t="s">
        <v>139</v>
      </c>
      <c r="K30" s="55" t="s">
        <v>139</v>
      </c>
      <c r="L30" s="55" t="s">
        <v>139</v>
      </c>
      <c r="M30" s="55" t="s">
        <v>139</v>
      </c>
      <c r="N30" s="55" t="s">
        <v>139</v>
      </c>
      <c r="O30" s="55" t="s">
        <v>139</v>
      </c>
      <c r="P30" s="55" t="s">
        <v>139</v>
      </c>
      <c r="Q30" s="55" t="s">
        <v>139</v>
      </c>
      <c r="R30" s="55" t="s">
        <v>139</v>
      </c>
      <c r="S30" s="55">
        <v>0</v>
      </c>
      <c r="T30" s="55">
        <v>0</v>
      </c>
      <c r="U30" s="55" t="s">
        <v>139</v>
      </c>
      <c r="V30" s="55" t="s">
        <v>139</v>
      </c>
      <c r="W30" s="55">
        <v>0</v>
      </c>
      <c r="X30" s="55" t="s">
        <v>139</v>
      </c>
      <c r="Y30" s="55">
        <v>0</v>
      </c>
      <c r="Z30" s="55" t="s">
        <v>139</v>
      </c>
      <c r="AA30" s="55" t="s">
        <v>139</v>
      </c>
      <c r="AB30" s="55" t="s">
        <v>139</v>
      </c>
      <c r="AC30" s="55" t="s">
        <v>139</v>
      </c>
      <c r="AD30" s="55" t="s">
        <v>139</v>
      </c>
      <c r="AE30" s="55" t="s">
        <v>139</v>
      </c>
      <c r="AF30" s="55" t="s">
        <v>139</v>
      </c>
      <c r="AG30" s="55" t="s">
        <v>139</v>
      </c>
      <c r="AH30" s="55">
        <v>1</v>
      </c>
      <c r="AI30" s="55" t="s">
        <v>139</v>
      </c>
      <c r="AJ30" s="55" t="s">
        <v>139</v>
      </c>
      <c r="AK30" s="55">
        <v>0</v>
      </c>
      <c r="AL30" s="55" t="s">
        <v>139</v>
      </c>
      <c r="AM30" s="55">
        <v>0</v>
      </c>
      <c r="AN30" s="55" t="s">
        <v>139</v>
      </c>
      <c r="AO30" s="55">
        <v>0</v>
      </c>
      <c r="AP30" s="55" t="s">
        <v>139</v>
      </c>
      <c r="AQ30" s="55" t="s">
        <v>139</v>
      </c>
      <c r="AR30" s="55">
        <v>0</v>
      </c>
      <c r="AS30" s="55" t="s">
        <v>139</v>
      </c>
      <c r="AT30" s="55">
        <v>0</v>
      </c>
      <c r="AU30" s="55" t="s">
        <v>139</v>
      </c>
      <c r="AV30" s="55">
        <v>0</v>
      </c>
      <c r="AW30" s="55">
        <v>0</v>
      </c>
      <c r="AX30" s="55" t="s">
        <v>139</v>
      </c>
      <c r="AY30" s="55" t="s">
        <v>139</v>
      </c>
      <c r="AZ30" s="55" t="s">
        <v>139</v>
      </c>
      <c r="BA30" s="55" t="s">
        <v>139</v>
      </c>
      <c r="BB30" s="55" t="s">
        <v>139</v>
      </c>
      <c r="BC30" s="55" t="s">
        <v>139</v>
      </c>
      <c r="BD30" s="55" t="s">
        <v>139</v>
      </c>
      <c r="BE30" s="55" t="s">
        <v>139</v>
      </c>
      <c r="BF30" s="55">
        <v>0</v>
      </c>
      <c r="BG30" s="55" t="s">
        <v>139</v>
      </c>
      <c r="BH30" s="55">
        <v>0</v>
      </c>
      <c r="BI30" s="55" t="s">
        <v>139</v>
      </c>
      <c r="BJ30" s="55">
        <v>0</v>
      </c>
      <c r="BK30" s="55">
        <v>0</v>
      </c>
      <c r="BL30" s="55" t="s">
        <v>139</v>
      </c>
      <c r="BM30" s="55" t="s">
        <v>139</v>
      </c>
    </row>
    <row r="31" spans="1:65" ht="15" customHeight="1" x14ac:dyDescent="0.2">
      <c r="A31" s="55" t="s">
        <v>144</v>
      </c>
      <c r="B31" s="55" t="s">
        <v>139</v>
      </c>
      <c r="C31" s="55">
        <v>0</v>
      </c>
      <c r="D31" s="55" t="s">
        <v>139</v>
      </c>
      <c r="E31" s="55">
        <v>0</v>
      </c>
      <c r="F31" s="55">
        <v>1</v>
      </c>
      <c r="G31" s="55" t="s">
        <v>139</v>
      </c>
      <c r="H31" s="55" t="s">
        <v>139</v>
      </c>
      <c r="I31" s="55">
        <v>0</v>
      </c>
      <c r="J31" s="55" t="s">
        <v>139</v>
      </c>
      <c r="K31" s="55" t="s">
        <v>139</v>
      </c>
      <c r="L31" s="55" t="s">
        <v>139</v>
      </c>
      <c r="M31" s="55" t="s">
        <v>139</v>
      </c>
      <c r="N31" s="55" t="s">
        <v>139</v>
      </c>
      <c r="O31" s="55" t="s">
        <v>139</v>
      </c>
      <c r="P31" s="55" t="s">
        <v>139</v>
      </c>
      <c r="Q31" s="55" t="s">
        <v>139</v>
      </c>
      <c r="R31" s="55" t="s">
        <v>139</v>
      </c>
      <c r="S31" s="55">
        <v>0</v>
      </c>
      <c r="T31" s="55">
        <v>0</v>
      </c>
      <c r="U31" s="55" t="s">
        <v>139</v>
      </c>
      <c r="V31" s="55" t="s">
        <v>139</v>
      </c>
      <c r="W31" s="55">
        <v>0</v>
      </c>
      <c r="X31" s="55" t="s">
        <v>139</v>
      </c>
      <c r="Y31" s="55">
        <v>0</v>
      </c>
      <c r="Z31" s="55" t="s">
        <v>139</v>
      </c>
      <c r="AA31" s="55" t="s">
        <v>139</v>
      </c>
      <c r="AB31" s="55" t="s">
        <v>139</v>
      </c>
      <c r="AC31" s="55" t="s">
        <v>139</v>
      </c>
      <c r="AD31" s="55" t="s">
        <v>139</v>
      </c>
      <c r="AE31" s="55" t="s">
        <v>139</v>
      </c>
      <c r="AF31" s="55" t="s">
        <v>139</v>
      </c>
      <c r="AG31" s="55" t="s">
        <v>139</v>
      </c>
      <c r="AH31" s="55">
        <v>0</v>
      </c>
      <c r="AI31" s="55" t="s">
        <v>139</v>
      </c>
      <c r="AJ31" s="55" t="s">
        <v>139</v>
      </c>
      <c r="AK31" s="55">
        <v>0</v>
      </c>
      <c r="AL31" s="55" t="s">
        <v>139</v>
      </c>
      <c r="AM31" s="55">
        <v>0</v>
      </c>
      <c r="AN31" s="55" t="s">
        <v>139</v>
      </c>
      <c r="AO31" s="55">
        <v>0</v>
      </c>
      <c r="AP31" s="55" t="s">
        <v>139</v>
      </c>
      <c r="AQ31" s="55" t="s">
        <v>139</v>
      </c>
      <c r="AR31" s="55">
        <v>1</v>
      </c>
      <c r="AS31" s="55" t="s">
        <v>139</v>
      </c>
      <c r="AT31" s="55">
        <v>1</v>
      </c>
      <c r="AU31" s="55" t="s">
        <v>139</v>
      </c>
      <c r="AV31" s="55">
        <v>0</v>
      </c>
      <c r="AW31" s="55">
        <v>0</v>
      </c>
      <c r="AX31" s="55" t="s">
        <v>139</v>
      </c>
      <c r="AY31" s="55" t="s">
        <v>139</v>
      </c>
      <c r="AZ31" s="55" t="s">
        <v>139</v>
      </c>
      <c r="BA31" s="55" t="s">
        <v>139</v>
      </c>
      <c r="BB31" s="55" t="s">
        <v>139</v>
      </c>
      <c r="BC31" s="55" t="s">
        <v>139</v>
      </c>
      <c r="BD31" s="55" t="s">
        <v>139</v>
      </c>
      <c r="BE31" s="55" t="s">
        <v>139</v>
      </c>
      <c r="BF31" s="55">
        <v>0</v>
      </c>
      <c r="BG31" s="55" t="s">
        <v>139</v>
      </c>
      <c r="BH31" s="55">
        <v>0</v>
      </c>
      <c r="BI31" s="55" t="s">
        <v>139</v>
      </c>
      <c r="BJ31" s="55">
        <v>0</v>
      </c>
      <c r="BK31" s="55">
        <v>0</v>
      </c>
      <c r="BL31" s="55" t="s">
        <v>139</v>
      </c>
      <c r="BM31" s="55" t="s">
        <v>139</v>
      </c>
    </row>
    <row r="32" spans="1:65" ht="15" customHeight="1" x14ac:dyDescent="0.2">
      <c r="A32" s="55" t="s">
        <v>143</v>
      </c>
      <c r="B32" s="55" t="s">
        <v>139</v>
      </c>
      <c r="C32" s="55">
        <v>0</v>
      </c>
      <c r="D32" s="55" t="s">
        <v>139</v>
      </c>
      <c r="E32" s="55">
        <v>0</v>
      </c>
      <c r="F32" s="55">
        <v>0</v>
      </c>
      <c r="G32" s="55" t="s">
        <v>139</v>
      </c>
      <c r="H32" s="55" t="s">
        <v>139</v>
      </c>
      <c r="I32" s="55">
        <v>0</v>
      </c>
      <c r="J32" s="55" t="s">
        <v>139</v>
      </c>
      <c r="K32" s="55" t="s">
        <v>139</v>
      </c>
      <c r="L32" s="55" t="s">
        <v>139</v>
      </c>
      <c r="M32" s="55" t="s">
        <v>139</v>
      </c>
      <c r="N32" s="55" t="s">
        <v>139</v>
      </c>
      <c r="O32" s="55" t="s">
        <v>139</v>
      </c>
      <c r="P32" s="55" t="s">
        <v>139</v>
      </c>
      <c r="Q32" s="55" t="s">
        <v>139</v>
      </c>
      <c r="R32" s="55" t="s">
        <v>139</v>
      </c>
      <c r="S32" s="55">
        <v>0</v>
      </c>
      <c r="T32" s="55">
        <v>0</v>
      </c>
      <c r="U32" s="55" t="s">
        <v>139</v>
      </c>
      <c r="V32" s="55" t="s">
        <v>139</v>
      </c>
      <c r="W32" s="55">
        <v>0</v>
      </c>
      <c r="X32" s="55" t="s">
        <v>139</v>
      </c>
      <c r="Y32" s="55">
        <v>0</v>
      </c>
      <c r="Z32" s="55" t="s">
        <v>139</v>
      </c>
      <c r="AA32" s="55" t="s">
        <v>139</v>
      </c>
      <c r="AB32" s="55" t="s">
        <v>139</v>
      </c>
      <c r="AC32" s="55" t="s">
        <v>139</v>
      </c>
      <c r="AD32" s="55" t="s">
        <v>139</v>
      </c>
      <c r="AE32" s="55" t="s">
        <v>139</v>
      </c>
      <c r="AF32" s="55" t="s">
        <v>139</v>
      </c>
      <c r="AG32" s="55" t="s">
        <v>139</v>
      </c>
      <c r="AH32" s="55">
        <v>0</v>
      </c>
      <c r="AI32" s="55" t="s">
        <v>139</v>
      </c>
      <c r="AJ32" s="55" t="s">
        <v>139</v>
      </c>
      <c r="AK32" s="55">
        <v>1</v>
      </c>
      <c r="AL32" s="55" t="s">
        <v>139</v>
      </c>
      <c r="AM32" s="55">
        <v>0</v>
      </c>
      <c r="AN32" s="55" t="s">
        <v>139</v>
      </c>
      <c r="AO32" s="55">
        <v>0</v>
      </c>
      <c r="AP32" s="55" t="s">
        <v>139</v>
      </c>
      <c r="AQ32" s="55" t="s">
        <v>139</v>
      </c>
      <c r="AR32" s="55">
        <v>4</v>
      </c>
      <c r="AS32" s="55" t="s">
        <v>139</v>
      </c>
      <c r="AT32" s="55">
        <v>1</v>
      </c>
      <c r="AU32" s="55" t="s">
        <v>139</v>
      </c>
      <c r="AV32" s="55">
        <v>0</v>
      </c>
      <c r="AW32" s="55">
        <v>0</v>
      </c>
      <c r="AX32" s="55" t="s">
        <v>139</v>
      </c>
      <c r="AY32" s="55" t="s">
        <v>139</v>
      </c>
      <c r="AZ32" s="55" t="s">
        <v>139</v>
      </c>
      <c r="BA32" s="55" t="s">
        <v>139</v>
      </c>
      <c r="BB32" s="55" t="s">
        <v>139</v>
      </c>
      <c r="BC32" s="55" t="s">
        <v>139</v>
      </c>
      <c r="BD32" s="55" t="s">
        <v>139</v>
      </c>
      <c r="BE32" s="55" t="s">
        <v>139</v>
      </c>
      <c r="BF32" s="55">
        <v>0</v>
      </c>
      <c r="BG32" s="55" t="s">
        <v>139</v>
      </c>
      <c r="BH32" s="55">
        <v>0</v>
      </c>
      <c r="BI32" s="55" t="s">
        <v>139</v>
      </c>
      <c r="BJ32" s="55">
        <v>0</v>
      </c>
      <c r="BK32" s="55">
        <v>0</v>
      </c>
      <c r="BL32" s="55" t="s">
        <v>139</v>
      </c>
      <c r="BM32" s="55" t="s">
        <v>139</v>
      </c>
    </row>
    <row r="33" spans="1:65" ht="15" customHeight="1" x14ac:dyDescent="0.2">
      <c r="A33" s="55" t="s">
        <v>142</v>
      </c>
      <c r="B33" s="55" t="s">
        <v>139</v>
      </c>
      <c r="C33" s="55">
        <v>0</v>
      </c>
      <c r="D33" s="55" t="s">
        <v>139</v>
      </c>
      <c r="E33" s="55">
        <v>0</v>
      </c>
      <c r="F33" s="55">
        <v>0</v>
      </c>
      <c r="G33" s="55" t="s">
        <v>139</v>
      </c>
      <c r="H33" s="55" t="s">
        <v>139</v>
      </c>
      <c r="I33" s="55">
        <v>0</v>
      </c>
      <c r="J33" s="55" t="s">
        <v>139</v>
      </c>
      <c r="K33" s="55" t="s">
        <v>139</v>
      </c>
      <c r="L33" s="55" t="s">
        <v>139</v>
      </c>
      <c r="M33" s="55" t="s">
        <v>139</v>
      </c>
      <c r="N33" s="55" t="s">
        <v>139</v>
      </c>
      <c r="O33" s="55" t="s">
        <v>139</v>
      </c>
      <c r="P33" s="55" t="s">
        <v>139</v>
      </c>
      <c r="Q33" s="55" t="s">
        <v>139</v>
      </c>
      <c r="R33" s="55" t="s">
        <v>139</v>
      </c>
      <c r="S33" s="55">
        <v>0</v>
      </c>
      <c r="T33" s="55">
        <v>0</v>
      </c>
      <c r="U33" s="55" t="s">
        <v>139</v>
      </c>
      <c r="V33" s="55" t="s">
        <v>139</v>
      </c>
      <c r="W33" s="55">
        <v>0</v>
      </c>
      <c r="X33" s="55" t="s">
        <v>139</v>
      </c>
      <c r="Y33" s="55">
        <v>0</v>
      </c>
      <c r="Z33" s="55" t="s">
        <v>139</v>
      </c>
      <c r="AA33" s="55" t="s">
        <v>139</v>
      </c>
      <c r="AB33" s="55" t="s">
        <v>139</v>
      </c>
      <c r="AC33" s="55" t="s">
        <v>139</v>
      </c>
      <c r="AD33" s="55" t="s">
        <v>139</v>
      </c>
      <c r="AE33" s="55" t="s">
        <v>139</v>
      </c>
      <c r="AF33" s="55" t="s">
        <v>139</v>
      </c>
      <c r="AG33" s="55" t="s">
        <v>139</v>
      </c>
      <c r="AH33" s="55">
        <v>0</v>
      </c>
      <c r="AI33" s="55" t="s">
        <v>139</v>
      </c>
      <c r="AJ33" s="55" t="s">
        <v>139</v>
      </c>
      <c r="AK33" s="55">
        <v>0</v>
      </c>
      <c r="AL33" s="55" t="s">
        <v>139</v>
      </c>
      <c r="AM33" s="55">
        <v>0</v>
      </c>
      <c r="AN33" s="55" t="s">
        <v>139</v>
      </c>
      <c r="AO33" s="55">
        <v>0</v>
      </c>
      <c r="AP33" s="55" t="s">
        <v>139</v>
      </c>
      <c r="AQ33" s="55" t="s">
        <v>139</v>
      </c>
      <c r="AR33" s="55">
        <v>0</v>
      </c>
      <c r="AS33" s="55" t="s">
        <v>139</v>
      </c>
      <c r="AT33" s="55">
        <v>1</v>
      </c>
      <c r="AU33" s="55" t="s">
        <v>139</v>
      </c>
      <c r="AV33" s="55">
        <v>0</v>
      </c>
      <c r="AW33" s="55">
        <v>0</v>
      </c>
      <c r="AX33" s="55" t="s">
        <v>139</v>
      </c>
      <c r="AY33" s="55" t="s">
        <v>139</v>
      </c>
      <c r="AZ33" s="55" t="s">
        <v>139</v>
      </c>
      <c r="BA33" s="55" t="s">
        <v>139</v>
      </c>
      <c r="BB33" s="55" t="s">
        <v>139</v>
      </c>
      <c r="BC33" s="55" t="s">
        <v>139</v>
      </c>
      <c r="BD33" s="55" t="s">
        <v>139</v>
      </c>
      <c r="BE33" s="55" t="s">
        <v>139</v>
      </c>
      <c r="BF33" s="55">
        <v>0</v>
      </c>
      <c r="BG33" s="55" t="s">
        <v>139</v>
      </c>
      <c r="BH33" s="55">
        <v>0</v>
      </c>
      <c r="BI33" s="55" t="s">
        <v>139</v>
      </c>
      <c r="BJ33" s="55">
        <v>0</v>
      </c>
      <c r="BK33" s="55">
        <v>0</v>
      </c>
      <c r="BL33" s="55" t="s">
        <v>139</v>
      </c>
      <c r="BM33" s="55" t="s">
        <v>139</v>
      </c>
    </row>
    <row r="34" spans="1:65" ht="15" customHeight="1" x14ac:dyDescent="0.2">
      <c r="A34" s="55" t="s">
        <v>141</v>
      </c>
      <c r="B34" s="55" t="s">
        <v>139</v>
      </c>
      <c r="C34" s="55">
        <v>0</v>
      </c>
      <c r="D34" s="55" t="s">
        <v>139</v>
      </c>
      <c r="E34" s="55">
        <v>0</v>
      </c>
      <c r="F34" s="55">
        <v>3</v>
      </c>
      <c r="G34" s="55" t="s">
        <v>139</v>
      </c>
      <c r="H34" s="55" t="s">
        <v>139</v>
      </c>
      <c r="I34" s="55">
        <v>0</v>
      </c>
      <c r="J34" s="55" t="s">
        <v>139</v>
      </c>
      <c r="K34" s="55" t="s">
        <v>139</v>
      </c>
      <c r="L34" s="55" t="s">
        <v>139</v>
      </c>
      <c r="M34" s="55" t="s">
        <v>139</v>
      </c>
      <c r="N34" s="55" t="s">
        <v>139</v>
      </c>
      <c r="O34" s="55" t="s">
        <v>139</v>
      </c>
      <c r="P34" s="55" t="s">
        <v>139</v>
      </c>
      <c r="Q34" s="55" t="s">
        <v>139</v>
      </c>
      <c r="R34" s="55" t="s">
        <v>139</v>
      </c>
      <c r="S34" s="55">
        <v>0</v>
      </c>
      <c r="T34" s="55">
        <v>0</v>
      </c>
      <c r="U34" s="55" t="s">
        <v>139</v>
      </c>
      <c r="V34" s="55" t="s">
        <v>139</v>
      </c>
      <c r="W34" s="55">
        <v>0</v>
      </c>
      <c r="X34" s="55" t="s">
        <v>139</v>
      </c>
      <c r="Y34" s="55">
        <v>0</v>
      </c>
      <c r="Z34" s="55" t="s">
        <v>139</v>
      </c>
      <c r="AA34" s="55" t="s">
        <v>139</v>
      </c>
      <c r="AB34" s="55" t="s">
        <v>139</v>
      </c>
      <c r="AC34" s="55" t="s">
        <v>139</v>
      </c>
      <c r="AD34" s="55" t="s">
        <v>139</v>
      </c>
      <c r="AE34" s="55" t="s">
        <v>139</v>
      </c>
      <c r="AF34" s="55" t="s">
        <v>139</v>
      </c>
      <c r="AG34" s="55" t="s">
        <v>139</v>
      </c>
      <c r="AH34" s="55">
        <v>2</v>
      </c>
      <c r="AI34" s="55" t="s">
        <v>139</v>
      </c>
      <c r="AJ34" s="55" t="s">
        <v>139</v>
      </c>
      <c r="AK34" s="55">
        <v>0</v>
      </c>
      <c r="AL34" s="55" t="s">
        <v>139</v>
      </c>
      <c r="AM34" s="55">
        <v>0</v>
      </c>
      <c r="AN34" s="55" t="s">
        <v>139</v>
      </c>
      <c r="AO34" s="55">
        <v>0</v>
      </c>
      <c r="AP34" s="55" t="s">
        <v>139</v>
      </c>
      <c r="AQ34" s="55" t="s">
        <v>139</v>
      </c>
      <c r="AR34" s="55">
        <v>3</v>
      </c>
      <c r="AS34" s="55" t="s">
        <v>139</v>
      </c>
      <c r="AT34" s="55">
        <v>0</v>
      </c>
      <c r="AU34" s="55" t="s">
        <v>139</v>
      </c>
      <c r="AV34" s="55">
        <v>2</v>
      </c>
      <c r="AW34" s="55">
        <v>0</v>
      </c>
      <c r="AX34" s="55" t="s">
        <v>139</v>
      </c>
      <c r="AY34" s="55" t="s">
        <v>139</v>
      </c>
      <c r="AZ34" s="55" t="s">
        <v>139</v>
      </c>
      <c r="BA34" s="55" t="s">
        <v>139</v>
      </c>
      <c r="BB34" s="55" t="s">
        <v>139</v>
      </c>
      <c r="BC34" s="55" t="s">
        <v>139</v>
      </c>
      <c r="BD34" s="55" t="s">
        <v>139</v>
      </c>
      <c r="BE34" s="55" t="s">
        <v>139</v>
      </c>
      <c r="BF34" s="55">
        <v>0</v>
      </c>
      <c r="BG34" s="55" t="s">
        <v>139</v>
      </c>
      <c r="BH34" s="55">
        <v>0</v>
      </c>
      <c r="BI34" s="55" t="s">
        <v>139</v>
      </c>
      <c r="BJ34" s="55">
        <v>1</v>
      </c>
      <c r="BK34" s="55">
        <v>0</v>
      </c>
      <c r="BL34" s="55" t="s">
        <v>139</v>
      </c>
      <c r="BM34" s="55" t="s">
        <v>139</v>
      </c>
    </row>
    <row r="35" spans="1:65" ht="15" customHeight="1" x14ac:dyDescent="0.2">
      <c r="A35" s="55" t="s">
        <v>140</v>
      </c>
      <c r="B35" s="55" t="s">
        <v>139</v>
      </c>
      <c r="C35" s="55">
        <v>0</v>
      </c>
      <c r="D35" s="55" t="s">
        <v>139</v>
      </c>
      <c r="E35" s="55">
        <v>0</v>
      </c>
      <c r="F35" s="55">
        <v>0</v>
      </c>
      <c r="G35" s="55" t="s">
        <v>139</v>
      </c>
      <c r="H35" s="55" t="s">
        <v>139</v>
      </c>
      <c r="I35" s="55">
        <v>0</v>
      </c>
      <c r="J35" s="55" t="s">
        <v>139</v>
      </c>
      <c r="K35" s="55" t="s">
        <v>139</v>
      </c>
      <c r="L35" s="55" t="s">
        <v>139</v>
      </c>
      <c r="M35" s="55" t="s">
        <v>139</v>
      </c>
      <c r="N35" s="55" t="s">
        <v>139</v>
      </c>
      <c r="O35" s="55" t="s">
        <v>139</v>
      </c>
      <c r="P35" s="55" t="s">
        <v>139</v>
      </c>
      <c r="Q35" s="55" t="s">
        <v>139</v>
      </c>
      <c r="R35" s="55" t="s">
        <v>139</v>
      </c>
      <c r="S35" s="55">
        <v>0</v>
      </c>
      <c r="T35" s="55">
        <v>0</v>
      </c>
      <c r="U35" s="55" t="s">
        <v>139</v>
      </c>
      <c r="V35" s="55" t="s">
        <v>139</v>
      </c>
      <c r="W35" s="55">
        <v>0</v>
      </c>
      <c r="X35" s="55" t="s">
        <v>139</v>
      </c>
      <c r="Y35" s="55">
        <v>0</v>
      </c>
      <c r="Z35" s="55" t="s">
        <v>139</v>
      </c>
      <c r="AA35" s="55" t="s">
        <v>139</v>
      </c>
      <c r="AB35" s="55" t="s">
        <v>139</v>
      </c>
      <c r="AC35" s="55" t="s">
        <v>139</v>
      </c>
      <c r="AD35" s="55" t="s">
        <v>139</v>
      </c>
      <c r="AE35" s="55" t="s">
        <v>139</v>
      </c>
      <c r="AF35" s="55" t="s">
        <v>139</v>
      </c>
      <c r="AG35" s="55" t="s">
        <v>139</v>
      </c>
      <c r="AH35" s="55">
        <v>0</v>
      </c>
      <c r="AI35" s="55" t="s">
        <v>139</v>
      </c>
      <c r="AJ35" s="55" t="s">
        <v>139</v>
      </c>
      <c r="AK35" s="55">
        <v>0</v>
      </c>
      <c r="AL35" s="55" t="s">
        <v>139</v>
      </c>
      <c r="AM35" s="55">
        <v>0</v>
      </c>
      <c r="AN35" s="55" t="s">
        <v>139</v>
      </c>
      <c r="AO35" s="55">
        <v>0</v>
      </c>
      <c r="AP35" s="55" t="s">
        <v>139</v>
      </c>
      <c r="AQ35" s="55" t="s">
        <v>139</v>
      </c>
      <c r="AR35" s="55">
        <v>3</v>
      </c>
      <c r="AS35" s="55" t="s">
        <v>139</v>
      </c>
      <c r="AT35" s="55">
        <v>1</v>
      </c>
      <c r="AU35" s="55" t="s">
        <v>139</v>
      </c>
      <c r="AV35" s="55">
        <v>0</v>
      </c>
      <c r="AW35" s="55">
        <v>0</v>
      </c>
      <c r="AX35" s="55" t="s">
        <v>139</v>
      </c>
      <c r="AY35" s="55" t="s">
        <v>139</v>
      </c>
      <c r="AZ35" s="55" t="s">
        <v>139</v>
      </c>
      <c r="BA35" s="55" t="s">
        <v>139</v>
      </c>
      <c r="BB35" s="55" t="s">
        <v>139</v>
      </c>
      <c r="BC35" s="55" t="s">
        <v>139</v>
      </c>
      <c r="BD35" s="55" t="s">
        <v>139</v>
      </c>
      <c r="BE35" s="55" t="s">
        <v>139</v>
      </c>
      <c r="BF35" s="55">
        <v>0</v>
      </c>
      <c r="BG35" s="55" t="s">
        <v>139</v>
      </c>
      <c r="BH35" s="55">
        <v>0</v>
      </c>
      <c r="BI35" s="55" t="s">
        <v>139</v>
      </c>
      <c r="BJ35" s="55">
        <v>0</v>
      </c>
      <c r="BK35" s="55">
        <v>0</v>
      </c>
      <c r="BL35" s="55" t="s">
        <v>139</v>
      </c>
      <c r="BM35" s="55" t="s">
        <v>139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D5B55-B47C-4A76-A5EC-6104D6330AB0}">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191</v>
      </c>
      <c r="B1" s="64"/>
      <c r="C1" s="63" t="s">
        <v>190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189</v>
      </c>
      <c r="B2" s="64"/>
      <c r="C2" s="63" t="s">
        <v>188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187</v>
      </c>
      <c r="B4" s="64"/>
      <c r="C4" s="63" t="s">
        <v>139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186</v>
      </c>
      <c r="B5" s="64"/>
      <c r="C5" s="63" t="s">
        <v>139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139</v>
      </c>
      <c r="B6" s="64"/>
      <c r="C6" s="63" t="s">
        <v>139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139</v>
      </c>
      <c r="B7" s="64"/>
      <c r="C7" s="63" t="s">
        <v>139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139</v>
      </c>
      <c r="B8" s="64"/>
      <c r="C8" s="63" t="s">
        <v>139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139</v>
      </c>
      <c r="B9" s="64"/>
      <c r="C9" s="63" t="s">
        <v>139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185</v>
      </c>
      <c r="B10" s="64"/>
      <c r="C10" s="63" t="s">
        <v>184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183</v>
      </c>
      <c r="B11" s="64"/>
      <c r="C11" s="63" t="s">
        <v>193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139</v>
      </c>
      <c r="B12" s="62" t="s">
        <v>181</v>
      </c>
      <c r="C12" s="61"/>
      <c r="D12" s="61"/>
      <c r="E12" s="61"/>
      <c r="F12" s="61"/>
      <c r="G12" s="61"/>
      <c r="H12" s="61"/>
      <c r="I12" s="60"/>
      <c r="J12" s="62" t="s">
        <v>177</v>
      </c>
      <c r="K12" s="61"/>
      <c r="L12" s="61"/>
      <c r="M12" s="61"/>
      <c r="N12" s="61"/>
      <c r="O12" s="61"/>
      <c r="P12" s="61"/>
      <c r="Q12" s="60"/>
      <c r="R12" s="62" t="s">
        <v>180</v>
      </c>
      <c r="S12" s="61"/>
      <c r="T12" s="61"/>
      <c r="U12" s="61"/>
      <c r="V12" s="61"/>
      <c r="W12" s="61"/>
      <c r="X12" s="61"/>
      <c r="Y12" s="60"/>
      <c r="Z12" s="62" t="s">
        <v>177</v>
      </c>
      <c r="AA12" s="61"/>
      <c r="AB12" s="61"/>
      <c r="AC12" s="61"/>
      <c r="AD12" s="61"/>
      <c r="AE12" s="61"/>
      <c r="AF12" s="61"/>
      <c r="AG12" s="60"/>
      <c r="AH12" s="62" t="s">
        <v>179</v>
      </c>
      <c r="AI12" s="61"/>
      <c r="AJ12" s="61"/>
      <c r="AK12" s="61"/>
      <c r="AL12" s="61"/>
      <c r="AM12" s="61"/>
      <c r="AN12" s="61"/>
      <c r="AO12" s="60"/>
      <c r="AP12" s="62" t="s">
        <v>178</v>
      </c>
      <c r="AQ12" s="61"/>
      <c r="AR12" s="61"/>
      <c r="AS12" s="61"/>
      <c r="AT12" s="61"/>
      <c r="AU12" s="61"/>
      <c r="AV12" s="61"/>
      <c r="AW12" s="60"/>
      <c r="AX12" s="62" t="s">
        <v>177</v>
      </c>
      <c r="AY12" s="61"/>
      <c r="AZ12" s="61"/>
      <c r="BA12" s="61"/>
      <c r="BB12" s="61"/>
      <c r="BC12" s="61"/>
      <c r="BD12" s="61"/>
      <c r="BE12" s="60"/>
      <c r="BF12" s="62" t="s">
        <v>176</v>
      </c>
      <c r="BG12" s="61"/>
      <c r="BH12" s="61"/>
      <c r="BI12" s="61"/>
      <c r="BJ12" s="61"/>
      <c r="BK12" s="61"/>
      <c r="BL12" s="61"/>
      <c r="BM12" s="60"/>
    </row>
    <row r="13" spans="1:65" ht="15" customHeight="1" x14ac:dyDescent="0.2">
      <c r="A13" s="55" t="s">
        <v>139</v>
      </c>
      <c r="B13" s="59" t="s">
        <v>175</v>
      </c>
      <c r="C13" s="58"/>
      <c r="D13" s="58"/>
      <c r="E13" s="58"/>
      <c r="F13" s="58"/>
      <c r="G13" s="58"/>
      <c r="H13" s="58"/>
      <c r="I13" s="57"/>
      <c r="J13" s="59" t="s">
        <v>174</v>
      </c>
      <c r="K13" s="58"/>
      <c r="L13" s="58"/>
      <c r="M13" s="58"/>
      <c r="N13" s="58"/>
      <c r="O13" s="58"/>
      <c r="P13" s="58"/>
      <c r="Q13" s="57"/>
      <c r="R13" s="59" t="s">
        <v>173</v>
      </c>
      <c r="S13" s="58"/>
      <c r="T13" s="58"/>
      <c r="U13" s="58"/>
      <c r="V13" s="58"/>
      <c r="W13" s="58"/>
      <c r="X13" s="58"/>
      <c r="Y13" s="57"/>
      <c r="Z13" s="59" t="s">
        <v>172</v>
      </c>
      <c r="AA13" s="58"/>
      <c r="AB13" s="58"/>
      <c r="AC13" s="58"/>
      <c r="AD13" s="58"/>
      <c r="AE13" s="58"/>
      <c r="AF13" s="58"/>
      <c r="AG13" s="57"/>
      <c r="AH13" s="59" t="s">
        <v>171</v>
      </c>
      <c r="AI13" s="58"/>
      <c r="AJ13" s="58"/>
      <c r="AK13" s="58"/>
      <c r="AL13" s="58"/>
      <c r="AM13" s="58"/>
      <c r="AN13" s="58"/>
      <c r="AO13" s="57"/>
      <c r="AP13" s="59" t="s">
        <v>170</v>
      </c>
      <c r="AQ13" s="58"/>
      <c r="AR13" s="58"/>
      <c r="AS13" s="58"/>
      <c r="AT13" s="58"/>
      <c r="AU13" s="58"/>
      <c r="AV13" s="58"/>
      <c r="AW13" s="57"/>
      <c r="AX13" s="59" t="s">
        <v>169</v>
      </c>
      <c r="AY13" s="58"/>
      <c r="AZ13" s="58"/>
      <c r="BA13" s="58"/>
      <c r="BB13" s="58"/>
      <c r="BC13" s="58"/>
      <c r="BD13" s="58"/>
      <c r="BE13" s="57"/>
      <c r="BF13" s="59" t="s">
        <v>168</v>
      </c>
      <c r="BG13" s="58"/>
      <c r="BH13" s="58"/>
      <c r="BI13" s="58"/>
      <c r="BJ13" s="58"/>
      <c r="BK13" s="58"/>
      <c r="BL13" s="58"/>
      <c r="BM13" s="57"/>
    </row>
    <row r="14" spans="1:65" ht="15" customHeight="1" x14ac:dyDescent="0.2">
      <c r="A14" s="56" t="s">
        <v>9</v>
      </c>
      <c r="B14" s="56" t="s">
        <v>167</v>
      </c>
      <c r="C14" s="56" t="s">
        <v>166</v>
      </c>
      <c r="D14" s="56" t="s">
        <v>165</v>
      </c>
      <c r="E14" s="56" t="s">
        <v>164</v>
      </c>
      <c r="F14" s="56" t="s">
        <v>163</v>
      </c>
      <c r="G14" s="56" t="s">
        <v>162</v>
      </c>
      <c r="H14" s="56" t="s">
        <v>161</v>
      </c>
      <c r="I14" s="56" t="s">
        <v>92</v>
      </c>
      <c r="J14" s="56" t="s">
        <v>167</v>
      </c>
      <c r="K14" s="56" t="s">
        <v>166</v>
      </c>
      <c r="L14" s="56" t="s">
        <v>165</v>
      </c>
      <c r="M14" s="56" t="s">
        <v>164</v>
      </c>
      <c r="N14" s="56" t="s">
        <v>163</v>
      </c>
      <c r="O14" s="56" t="s">
        <v>162</v>
      </c>
      <c r="P14" s="56" t="s">
        <v>161</v>
      </c>
      <c r="Q14" s="56" t="s">
        <v>92</v>
      </c>
      <c r="R14" s="56" t="s">
        <v>167</v>
      </c>
      <c r="S14" s="56" t="s">
        <v>166</v>
      </c>
      <c r="T14" s="56" t="s">
        <v>165</v>
      </c>
      <c r="U14" s="56" t="s">
        <v>164</v>
      </c>
      <c r="V14" s="56" t="s">
        <v>163</v>
      </c>
      <c r="W14" s="56" t="s">
        <v>162</v>
      </c>
      <c r="X14" s="56" t="s">
        <v>161</v>
      </c>
      <c r="Y14" s="56" t="s">
        <v>92</v>
      </c>
      <c r="Z14" s="56" t="s">
        <v>167</v>
      </c>
      <c r="AA14" s="56" t="s">
        <v>166</v>
      </c>
      <c r="AB14" s="56" t="s">
        <v>165</v>
      </c>
      <c r="AC14" s="56" t="s">
        <v>164</v>
      </c>
      <c r="AD14" s="56" t="s">
        <v>163</v>
      </c>
      <c r="AE14" s="56" t="s">
        <v>162</v>
      </c>
      <c r="AF14" s="56" t="s">
        <v>161</v>
      </c>
      <c r="AG14" s="56" t="s">
        <v>92</v>
      </c>
      <c r="AH14" s="56" t="s">
        <v>167</v>
      </c>
      <c r="AI14" s="56" t="s">
        <v>166</v>
      </c>
      <c r="AJ14" s="56" t="s">
        <v>165</v>
      </c>
      <c r="AK14" s="56" t="s">
        <v>164</v>
      </c>
      <c r="AL14" s="56" t="s">
        <v>163</v>
      </c>
      <c r="AM14" s="56" t="s">
        <v>162</v>
      </c>
      <c r="AN14" s="56" t="s">
        <v>161</v>
      </c>
      <c r="AO14" s="56" t="s">
        <v>92</v>
      </c>
      <c r="AP14" s="56" t="s">
        <v>167</v>
      </c>
      <c r="AQ14" s="56" t="s">
        <v>166</v>
      </c>
      <c r="AR14" s="56" t="s">
        <v>165</v>
      </c>
      <c r="AS14" s="56" t="s">
        <v>164</v>
      </c>
      <c r="AT14" s="56" t="s">
        <v>163</v>
      </c>
      <c r="AU14" s="56" t="s">
        <v>162</v>
      </c>
      <c r="AV14" s="56" t="s">
        <v>161</v>
      </c>
      <c r="AW14" s="56" t="s">
        <v>92</v>
      </c>
      <c r="AX14" s="56" t="s">
        <v>167</v>
      </c>
      <c r="AY14" s="56" t="s">
        <v>166</v>
      </c>
      <c r="AZ14" s="56" t="s">
        <v>165</v>
      </c>
      <c r="BA14" s="56" t="s">
        <v>164</v>
      </c>
      <c r="BB14" s="56" t="s">
        <v>163</v>
      </c>
      <c r="BC14" s="56" t="s">
        <v>162</v>
      </c>
      <c r="BD14" s="56" t="s">
        <v>161</v>
      </c>
      <c r="BE14" s="56" t="s">
        <v>92</v>
      </c>
      <c r="BF14" s="56" t="s">
        <v>167</v>
      </c>
      <c r="BG14" s="56" t="s">
        <v>166</v>
      </c>
      <c r="BH14" s="56" t="s">
        <v>165</v>
      </c>
      <c r="BI14" s="56" t="s">
        <v>164</v>
      </c>
      <c r="BJ14" s="56" t="s">
        <v>163</v>
      </c>
      <c r="BK14" s="56" t="s">
        <v>162</v>
      </c>
      <c r="BL14" s="56" t="s">
        <v>161</v>
      </c>
      <c r="BM14" s="56" t="s">
        <v>92</v>
      </c>
    </row>
    <row r="15" spans="1:65" ht="15" customHeight="1" x14ac:dyDescent="0.2">
      <c r="A15" s="55" t="s">
        <v>160</v>
      </c>
      <c r="B15" s="55" t="s">
        <v>139</v>
      </c>
      <c r="C15" s="55">
        <v>0</v>
      </c>
      <c r="D15" s="55" t="s">
        <v>139</v>
      </c>
      <c r="E15" s="55">
        <v>0</v>
      </c>
      <c r="F15" s="55">
        <v>57</v>
      </c>
      <c r="G15" s="55" t="s">
        <v>139</v>
      </c>
      <c r="H15" s="55" t="s">
        <v>139</v>
      </c>
      <c r="I15" s="55">
        <v>0</v>
      </c>
      <c r="J15" s="55" t="s">
        <v>139</v>
      </c>
      <c r="K15" s="55" t="s">
        <v>139</v>
      </c>
      <c r="L15" s="55" t="s">
        <v>139</v>
      </c>
      <c r="M15" s="55" t="s">
        <v>139</v>
      </c>
      <c r="N15" s="55" t="s">
        <v>139</v>
      </c>
      <c r="O15" s="55" t="s">
        <v>139</v>
      </c>
      <c r="P15" s="55" t="s">
        <v>139</v>
      </c>
      <c r="Q15" s="55" t="s">
        <v>139</v>
      </c>
      <c r="R15" s="55" t="s">
        <v>139</v>
      </c>
      <c r="S15" s="55">
        <v>0</v>
      </c>
      <c r="T15" s="55">
        <v>10</v>
      </c>
      <c r="U15" s="55" t="s">
        <v>139</v>
      </c>
      <c r="V15" s="55" t="s">
        <v>139</v>
      </c>
      <c r="W15" s="55">
        <v>1</v>
      </c>
      <c r="X15" s="55" t="s">
        <v>139</v>
      </c>
      <c r="Y15" s="55">
        <v>0</v>
      </c>
      <c r="Z15" s="55" t="s">
        <v>139</v>
      </c>
      <c r="AA15" s="55" t="s">
        <v>139</v>
      </c>
      <c r="AB15" s="55" t="s">
        <v>139</v>
      </c>
      <c r="AC15" s="55" t="s">
        <v>139</v>
      </c>
      <c r="AD15" s="55" t="s">
        <v>139</v>
      </c>
      <c r="AE15" s="55" t="s">
        <v>139</v>
      </c>
      <c r="AF15" s="55" t="s">
        <v>139</v>
      </c>
      <c r="AG15" s="55" t="s">
        <v>139</v>
      </c>
      <c r="AH15" s="55">
        <v>15</v>
      </c>
      <c r="AI15" s="55" t="s">
        <v>139</v>
      </c>
      <c r="AJ15" s="55" t="s">
        <v>139</v>
      </c>
      <c r="AK15" s="55">
        <v>4</v>
      </c>
      <c r="AL15" s="55" t="s">
        <v>139</v>
      </c>
      <c r="AM15" s="55">
        <v>0</v>
      </c>
      <c r="AN15" s="55" t="s">
        <v>139</v>
      </c>
      <c r="AO15" s="55">
        <v>0</v>
      </c>
      <c r="AP15" s="55" t="s">
        <v>139</v>
      </c>
      <c r="AQ15" s="55" t="s">
        <v>139</v>
      </c>
      <c r="AR15" s="55">
        <v>16</v>
      </c>
      <c r="AS15" s="55" t="s">
        <v>139</v>
      </c>
      <c r="AT15" s="55">
        <v>7</v>
      </c>
      <c r="AU15" s="55" t="s">
        <v>139</v>
      </c>
      <c r="AV15" s="55">
        <v>3</v>
      </c>
      <c r="AW15" s="55">
        <v>0</v>
      </c>
      <c r="AX15" s="55" t="s">
        <v>139</v>
      </c>
      <c r="AY15" s="55" t="s">
        <v>139</v>
      </c>
      <c r="AZ15" s="55" t="s">
        <v>139</v>
      </c>
      <c r="BA15" s="55" t="s">
        <v>139</v>
      </c>
      <c r="BB15" s="55" t="s">
        <v>139</v>
      </c>
      <c r="BC15" s="55" t="s">
        <v>139</v>
      </c>
      <c r="BD15" s="55" t="s">
        <v>139</v>
      </c>
      <c r="BE15" s="55" t="s">
        <v>139</v>
      </c>
      <c r="BF15" s="55">
        <v>1</v>
      </c>
      <c r="BG15" s="55" t="s">
        <v>139</v>
      </c>
      <c r="BH15" s="55">
        <v>1</v>
      </c>
      <c r="BI15" s="55" t="s">
        <v>139</v>
      </c>
      <c r="BJ15" s="55">
        <v>1</v>
      </c>
      <c r="BK15" s="55">
        <v>17</v>
      </c>
      <c r="BL15" s="55" t="s">
        <v>139</v>
      </c>
      <c r="BM15" s="55" t="s">
        <v>139</v>
      </c>
    </row>
    <row r="16" spans="1:65" ht="15" customHeight="1" x14ac:dyDescent="0.2">
      <c r="A16" s="55" t="s">
        <v>159</v>
      </c>
      <c r="B16" s="55" t="s">
        <v>139</v>
      </c>
      <c r="C16" s="55">
        <v>1</v>
      </c>
      <c r="D16" s="55" t="s">
        <v>139</v>
      </c>
      <c r="E16" s="55">
        <v>7</v>
      </c>
      <c r="F16" s="55">
        <v>51</v>
      </c>
      <c r="G16" s="55" t="s">
        <v>139</v>
      </c>
      <c r="H16" s="55" t="s">
        <v>139</v>
      </c>
      <c r="I16" s="55">
        <v>0</v>
      </c>
      <c r="J16" s="55" t="s">
        <v>139</v>
      </c>
      <c r="K16" s="55" t="s">
        <v>139</v>
      </c>
      <c r="L16" s="55" t="s">
        <v>139</v>
      </c>
      <c r="M16" s="55" t="s">
        <v>139</v>
      </c>
      <c r="N16" s="55" t="s">
        <v>139</v>
      </c>
      <c r="O16" s="55" t="s">
        <v>139</v>
      </c>
      <c r="P16" s="55" t="s">
        <v>139</v>
      </c>
      <c r="Q16" s="55" t="s">
        <v>139</v>
      </c>
      <c r="R16" s="55" t="s">
        <v>139</v>
      </c>
      <c r="S16" s="55">
        <v>0</v>
      </c>
      <c r="T16" s="55">
        <v>7</v>
      </c>
      <c r="U16" s="55" t="s">
        <v>139</v>
      </c>
      <c r="V16" s="55" t="s">
        <v>139</v>
      </c>
      <c r="W16" s="55">
        <v>0</v>
      </c>
      <c r="X16" s="55" t="s">
        <v>139</v>
      </c>
      <c r="Y16" s="55">
        <v>0</v>
      </c>
      <c r="Z16" s="55" t="s">
        <v>139</v>
      </c>
      <c r="AA16" s="55" t="s">
        <v>139</v>
      </c>
      <c r="AB16" s="55" t="s">
        <v>139</v>
      </c>
      <c r="AC16" s="55" t="s">
        <v>139</v>
      </c>
      <c r="AD16" s="55" t="s">
        <v>139</v>
      </c>
      <c r="AE16" s="55" t="s">
        <v>139</v>
      </c>
      <c r="AF16" s="55" t="s">
        <v>139</v>
      </c>
      <c r="AG16" s="55" t="s">
        <v>139</v>
      </c>
      <c r="AH16" s="55">
        <v>15</v>
      </c>
      <c r="AI16" s="55" t="s">
        <v>139</v>
      </c>
      <c r="AJ16" s="55" t="s">
        <v>139</v>
      </c>
      <c r="AK16" s="55">
        <v>9</v>
      </c>
      <c r="AL16" s="55" t="s">
        <v>139</v>
      </c>
      <c r="AM16" s="55">
        <v>0</v>
      </c>
      <c r="AN16" s="55" t="s">
        <v>139</v>
      </c>
      <c r="AO16" s="55">
        <v>0</v>
      </c>
      <c r="AP16" s="55" t="s">
        <v>139</v>
      </c>
      <c r="AQ16" s="55" t="s">
        <v>139</v>
      </c>
      <c r="AR16" s="55">
        <v>28</v>
      </c>
      <c r="AS16" s="55" t="s">
        <v>139</v>
      </c>
      <c r="AT16" s="55">
        <v>7</v>
      </c>
      <c r="AU16" s="55" t="s">
        <v>139</v>
      </c>
      <c r="AV16" s="55">
        <v>7</v>
      </c>
      <c r="AW16" s="55">
        <v>0</v>
      </c>
      <c r="AX16" s="55" t="s">
        <v>139</v>
      </c>
      <c r="AY16" s="55" t="s">
        <v>139</v>
      </c>
      <c r="AZ16" s="55" t="s">
        <v>139</v>
      </c>
      <c r="BA16" s="55" t="s">
        <v>139</v>
      </c>
      <c r="BB16" s="55" t="s">
        <v>139</v>
      </c>
      <c r="BC16" s="55" t="s">
        <v>139</v>
      </c>
      <c r="BD16" s="55" t="s">
        <v>139</v>
      </c>
      <c r="BE16" s="55" t="s">
        <v>139</v>
      </c>
      <c r="BF16" s="55">
        <v>3</v>
      </c>
      <c r="BG16" s="55" t="s">
        <v>139</v>
      </c>
      <c r="BH16" s="55">
        <v>0</v>
      </c>
      <c r="BI16" s="55" t="s">
        <v>139</v>
      </c>
      <c r="BJ16" s="55">
        <v>4</v>
      </c>
      <c r="BK16" s="55">
        <v>8</v>
      </c>
      <c r="BL16" s="55" t="s">
        <v>139</v>
      </c>
      <c r="BM16" s="55" t="s">
        <v>139</v>
      </c>
    </row>
    <row r="17" spans="1:65" ht="15" customHeight="1" x14ac:dyDescent="0.2">
      <c r="A17" s="55" t="s">
        <v>158</v>
      </c>
      <c r="B17" s="55" t="s">
        <v>139</v>
      </c>
      <c r="C17" s="55">
        <v>1</v>
      </c>
      <c r="D17" s="55" t="s">
        <v>139</v>
      </c>
      <c r="E17" s="55">
        <v>4</v>
      </c>
      <c r="F17" s="55">
        <v>71</v>
      </c>
      <c r="G17" s="55" t="s">
        <v>139</v>
      </c>
      <c r="H17" s="55" t="s">
        <v>139</v>
      </c>
      <c r="I17" s="55">
        <v>0</v>
      </c>
      <c r="J17" s="55" t="s">
        <v>139</v>
      </c>
      <c r="K17" s="55" t="s">
        <v>139</v>
      </c>
      <c r="L17" s="55" t="s">
        <v>139</v>
      </c>
      <c r="M17" s="55" t="s">
        <v>139</v>
      </c>
      <c r="N17" s="55" t="s">
        <v>139</v>
      </c>
      <c r="O17" s="55" t="s">
        <v>139</v>
      </c>
      <c r="P17" s="55" t="s">
        <v>139</v>
      </c>
      <c r="Q17" s="55" t="s">
        <v>139</v>
      </c>
      <c r="R17" s="55" t="s">
        <v>139</v>
      </c>
      <c r="S17" s="55">
        <v>0</v>
      </c>
      <c r="T17" s="55">
        <v>11</v>
      </c>
      <c r="U17" s="55" t="s">
        <v>139</v>
      </c>
      <c r="V17" s="55" t="s">
        <v>139</v>
      </c>
      <c r="W17" s="55">
        <v>0</v>
      </c>
      <c r="X17" s="55" t="s">
        <v>139</v>
      </c>
      <c r="Y17" s="55">
        <v>0</v>
      </c>
      <c r="Z17" s="55" t="s">
        <v>139</v>
      </c>
      <c r="AA17" s="55" t="s">
        <v>139</v>
      </c>
      <c r="AB17" s="55" t="s">
        <v>139</v>
      </c>
      <c r="AC17" s="55" t="s">
        <v>139</v>
      </c>
      <c r="AD17" s="55" t="s">
        <v>139</v>
      </c>
      <c r="AE17" s="55" t="s">
        <v>139</v>
      </c>
      <c r="AF17" s="55" t="s">
        <v>139</v>
      </c>
      <c r="AG17" s="55" t="s">
        <v>139</v>
      </c>
      <c r="AH17" s="55">
        <v>29</v>
      </c>
      <c r="AI17" s="55" t="s">
        <v>139</v>
      </c>
      <c r="AJ17" s="55" t="s">
        <v>139</v>
      </c>
      <c r="AK17" s="55">
        <v>13</v>
      </c>
      <c r="AL17" s="55" t="s">
        <v>139</v>
      </c>
      <c r="AM17" s="55">
        <v>0</v>
      </c>
      <c r="AN17" s="55" t="s">
        <v>139</v>
      </c>
      <c r="AO17" s="55">
        <v>0</v>
      </c>
      <c r="AP17" s="55" t="s">
        <v>139</v>
      </c>
      <c r="AQ17" s="55" t="s">
        <v>139</v>
      </c>
      <c r="AR17" s="55">
        <v>21</v>
      </c>
      <c r="AS17" s="55" t="s">
        <v>139</v>
      </c>
      <c r="AT17" s="55">
        <v>5</v>
      </c>
      <c r="AU17" s="55" t="s">
        <v>139</v>
      </c>
      <c r="AV17" s="55">
        <v>8</v>
      </c>
      <c r="AW17" s="55">
        <v>0</v>
      </c>
      <c r="AX17" s="55" t="s">
        <v>139</v>
      </c>
      <c r="AY17" s="55" t="s">
        <v>139</v>
      </c>
      <c r="AZ17" s="55" t="s">
        <v>139</v>
      </c>
      <c r="BA17" s="55" t="s">
        <v>139</v>
      </c>
      <c r="BB17" s="55" t="s">
        <v>139</v>
      </c>
      <c r="BC17" s="55" t="s">
        <v>139</v>
      </c>
      <c r="BD17" s="55" t="s">
        <v>139</v>
      </c>
      <c r="BE17" s="55" t="s">
        <v>139</v>
      </c>
      <c r="BF17" s="55">
        <v>3</v>
      </c>
      <c r="BG17" s="55" t="s">
        <v>139</v>
      </c>
      <c r="BH17" s="55">
        <v>2</v>
      </c>
      <c r="BI17" s="55" t="s">
        <v>139</v>
      </c>
      <c r="BJ17" s="55">
        <v>2</v>
      </c>
      <c r="BK17" s="55">
        <v>18</v>
      </c>
      <c r="BL17" s="55" t="s">
        <v>139</v>
      </c>
      <c r="BM17" s="55" t="s">
        <v>139</v>
      </c>
    </row>
    <row r="18" spans="1:65" ht="15" customHeight="1" x14ac:dyDescent="0.2">
      <c r="A18" s="55" t="s">
        <v>157</v>
      </c>
      <c r="B18" s="55" t="s">
        <v>139</v>
      </c>
      <c r="C18" s="55">
        <v>3</v>
      </c>
      <c r="D18" s="55" t="s">
        <v>139</v>
      </c>
      <c r="E18" s="55">
        <v>2</v>
      </c>
      <c r="F18" s="55">
        <v>60</v>
      </c>
      <c r="G18" s="55" t="s">
        <v>139</v>
      </c>
      <c r="H18" s="55" t="s">
        <v>139</v>
      </c>
      <c r="I18" s="55">
        <v>0</v>
      </c>
      <c r="J18" s="55" t="s">
        <v>139</v>
      </c>
      <c r="K18" s="55" t="s">
        <v>139</v>
      </c>
      <c r="L18" s="55" t="s">
        <v>139</v>
      </c>
      <c r="M18" s="55" t="s">
        <v>139</v>
      </c>
      <c r="N18" s="55" t="s">
        <v>139</v>
      </c>
      <c r="O18" s="55" t="s">
        <v>139</v>
      </c>
      <c r="P18" s="55" t="s">
        <v>139</v>
      </c>
      <c r="Q18" s="55" t="s">
        <v>139</v>
      </c>
      <c r="R18" s="55" t="s">
        <v>139</v>
      </c>
      <c r="S18" s="55">
        <v>0</v>
      </c>
      <c r="T18" s="55">
        <v>10</v>
      </c>
      <c r="U18" s="55" t="s">
        <v>139</v>
      </c>
      <c r="V18" s="55" t="s">
        <v>139</v>
      </c>
      <c r="W18" s="55">
        <v>2</v>
      </c>
      <c r="X18" s="55" t="s">
        <v>139</v>
      </c>
      <c r="Y18" s="55">
        <v>0</v>
      </c>
      <c r="Z18" s="55" t="s">
        <v>139</v>
      </c>
      <c r="AA18" s="55" t="s">
        <v>139</v>
      </c>
      <c r="AB18" s="55" t="s">
        <v>139</v>
      </c>
      <c r="AC18" s="55" t="s">
        <v>139</v>
      </c>
      <c r="AD18" s="55" t="s">
        <v>139</v>
      </c>
      <c r="AE18" s="55" t="s">
        <v>139</v>
      </c>
      <c r="AF18" s="55" t="s">
        <v>139</v>
      </c>
      <c r="AG18" s="55" t="s">
        <v>139</v>
      </c>
      <c r="AH18" s="55">
        <v>23</v>
      </c>
      <c r="AI18" s="55" t="s">
        <v>139</v>
      </c>
      <c r="AJ18" s="55" t="s">
        <v>139</v>
      </c>
      <c r="AK18" s="55">
        <v>8</v>
      </c>
      <c r="AL18" s="55" t="s">
        <v>139</v>
      </c>
      <c r="AM18" s="55">
        <v>0</v>
      </c>
      <c r="AN18" s="55" t="s">
        <v>139</v>
      </c>
      <c r="AO18" s="55">
        <v>0</v>
      </c>
      <c r="AP18" s="55" t="s">
        <v>139</v>
      </c>
      <c r="AQ18" s="55" t="s">
        <v>139</v>
      </c>
      <c r="AR18" s="55">
        <v>31</v>
      </c>
      <c r="AS18" s="55" t="s">
        <v>139</v>
      </c>
      <c r="AT18" s="55">
        <v>7</v>
      </c>
      <c r="AU18" s="55" t="s">
        <v>139</v>
      </c>
      <c r="AV18" s="55">
        <v>13</v>
      </c>
      <c r="AW18" s="55">
        <v>0</v>
      </c>
      <c r="AX18" s="55" t="s">
        <v>139</v>
      </c>
      <c r="AY18" s="55" t="s">
        <v>139</v>
      </c>
      <c r="AZ18" s="55" t="s">
        <v>139</v>
      </c>
      <c r="BA18" s="55" t="s">
        <v>139</v>
      </c>
      <c r="BB18" s="55" t="s">
        <v>139</v>
      </c>
      <c r="BC18" s="55" t="s">
        <v>139</v>
      </c>
      <c r="BD18" s="55" t="s">
        <v>139</v>
      </c>
      <c r="BE18" s="55" t="s">
        <v>139</v>
      </c>
      <c r="BF18" s="55">
        <v>7</v>
      </c>
      <c r="BG18" s="55" t="s">
        <v>139</v>
      </c>
      <c r="BH18" s="55">
        <v>3</v>
      </c>
      <c r="BI18" s="55" t="s">
        <v>139</v>
      </c>
      <c r="BJ18" s="55">
        <v>5</v>
      </c>
      <c r="BK18" s="55">
        <v>8</v>
      </c>
      <c r="BL18" s="55" t="s">
        <v>139</v>
      </c>
      <c r="BM18" s="55" t="s">
        <v>139</v>
      </c>
    </row>
    <row r="19" spans="1:65" ht="15" customHeight="1" x14ac:dyDescent="0.2">
      <c r="A19" s="55" t="s">
        <v>156</v>
      </c>
      <c r="B19" s="55" t="s">
        <v>139</v>
      </c>
      <c r="C19" s="55">
        <v>0</v>
      </c>
      <c r="D19" s="55" t="s">
        <v>139</v>
      </c>
      <c r="E19" s="55">
        <v>7</v>
      </c>
      <c r="F19" s="55">
        <v>64</v>
      </c>
      <c r="G19" s="55" t="s">
        <v>139</v>
      </c>
      <c r="H19" s="55" t="s">
        <v>139</v>
      </c>
      <c r="I19" s="55">
        <v>0</v>
      </c>
      <c r="J19" s="55" t="s">
        <v>139</v>
      </c>
      <c r="K19" s="55" t="s">
        <v>139</v>
      </c>
      <c r="L19" s="55" t="s">
        <v>139</v>
      </c>
      <c r="M19" s="55" t="s">
        <v>139</v>
      </c>
      <c r="N19" s="55" t="s">
        <v>139</v>
      </c>
      <c r="O19" s="55" t="s">
        <v>139</v>
      </c>
      <c r="P19" s="55" t="s">
        <v>139</v>
      </c>
      <c r="Q19" s="55" t="s">
        <v>139</v>
      </c>
      <c r="R19" s="55" t="s">
        <v>139</v>
      </c>
      <c r="S19" s="55">
        <v>0</v>
      </c>
      <c r="T19" s="55">
        <v>11</v>
      </c>
      <c r="U19" s="55" t="s">
        <v>139</v>
      </c>
      <c r="V19" s="55" t="s">
        <v>139</v>
      </c>
      <c r="W19" s="55">
        <v>4</v>
      </c>
      <c r="X19" s="55" t="s">
        <v>139</v>
      </c>
      <c r="Y19" s="55">
        <v>0</v>
      </c>
      <c r="Z19" s="55" t="s">
        <v>139</v>
      </c>
      <c r="AA19" s="55" t="s">
        <v>139</v>
      </c>
      <c r="AB19" s="55" t="s">
        <v>139</v>
      </c>
      <c r="AC19" s="55" t="s">
        <v>139</v>
      </c>
      <c r="AD19" s="55" t="s">
        <v>139</v>
      </c>
      <c r="AE19" s="55" t="s">
        <v>139</v>
      </c>
      <c r="AF19" s="55" t="s">
        <v>139</v>
      </c>
      <c r="AG19" s="55" t="s">
        <v>139</v>
      </c>
      <c r="AH19" s="55">
        <v>21</v>
      </c>
      <c r="AI19" s="55" t="s">
        <v>139</v>
      </c>
      <c r="AJ19" s="55" t="s">
        <v>139</v>
      </c>
      <c r="AK19" s="55">
        <v>19</v>
      </c>
      <c r="AL19" s="55" t="s">
        <v>139</v>
      </c>
      <c r="AM19" s="55">
        <v>0</v>
      </c>
      <c r="AN19" s="55" t="s">
        <v>139</v>
      </c>
      <c r="AO19" s="55">
        <v>0</v>
      </c>
      <c r="AP19" s="55" t="s">
        <v>139</v>
      </c>
      <c r="AQ19" s="55" t="s">
        <v>139</v>
      </c>
      <c r="AR19" s="55">
        <v>35</v>
      </c>
      <c r="AS19" s="55" t="s">
        <v>139</v>
      </c>
      <c r="AT19" s="55">
        <v>6</v>
      </c>
      <c r="AU19" s="55" t="s">
        <v>139</v>
      </c>
      <c r="AV19" s="55">
        <v>8</v>
      </c>
      <c r="AW19" s="55">
        <v>0</v>
      </c>
      <c r="AX19" s="55" t="s">
        <v>139</v>
      </c>
      <c r="AY19" s="55" t="s">
        <v>139</v>
      </c>
      <c r="AZ19" s="55" t="s">
        <v>139</v>
      </c>
      <c r="BA19" s="55" t="s">
        <v>139</v>
      </c>
      <c r="BB19" s="55" t="s">
        <v>139</v>
      </c>
      <c r="BC19" s="55" t="s">
        <v>139</v>
      </c>
      <c r="BD19" s="55" t="s">
        <v>139</v>
      </c>
      <c r="BE19" s="55" t="s">
        <v>139</v>
      </c>
      <c r="BF19" s="55">
        <v>3</v>
      </c>
      <c r="BG19" s="55" t="s">
        <v>139</v>
      </c>
      <c r="BH19" s="55">
        <v>1</v>
      </c>
      <c r="BI19" s="55" t="s">
        <v>139</v>
      </c>
      <c r="BJ19" s="55">
        <v>6</v>
      </c>
      <c r="BK19" s="55">
        <v>12</v>
      </c>
      <c r="BL19" s="55" t="s">
        <v>139</v>
      </c>
      <c r="BM19" s="55" t="s">
        <v>139</v>
      </c>
    </row>
    <row r="20" spans="1:65" ht="15" customHeight="1" x14ac:dyDescent="0.2">
      <c r="A20" s="55" t="s">
        <v>155</v>
      </c>
      <c r="B20" s="55" t="s">
        <v>139</v>
      </c>
      <c r="C20" s="55">
        <v>0</v>
      </c>
      <c r="D20" s="55" t="s">
        <v>139</v>
      </c>
      <c r="E20" s="55">
        <v>14</v>
      </c>
      <c r="F20" s="55">
        <v>80</v>
      </c>
      <c r="G20" s="55" t="s">
        <v>139</v>
      </c>
      <c r="H20" s="55" t="s">
        <v>139</v>
      </c>
      <c r="I20" s="55">
        <v>1</v>
      </c>
      <c r="J20" s="55" t="s">
        <v>139</v>
      </c>
      <c r="K20" s="55" t="s">
        <v>139</v>
      </c>
      <c r="L20" s="55" t="s">
        <v>139</v>
      </c>
      <c r="M20" s="55" t="s">
        <v>139</v>
      </c>
      <c r="N20" s="55" t="s">
        <v>139</v>
      </c>
      <c r="O20" s="55" t="s">
        <v>139</v>
      </c>
      <c r="P20" s="55" t="s">
        <v>139</v>
      </c>
      <c r="Q20" s="55" t="s">
        <v>139</v>
      </c>
      <c r="R20" s="55" t="s">
        <v>139</v>
      </c>
      <c r="S20" s="55">
        <v>1</v>
      </c>
      <c r="T20" s="55">
        <v>11</v>
      </c>
      <c r="U20" s="55" t="s">
        <v>139</v>
      </c>
      <c r="V20" s="55" t="s">
        <v>139</v>
      </c>
      <c r="W20" s="55">
        <v>3</v>
      </c>
      <c r="X20" s="55" t="s">
        <v>139</v>
      </c>
      <c r="Y20" s="55">
        <v>0</v>
      </c>
      <c r="Z20" s="55" t="s">
        <v>139</v>
      </c>
      <c r="AA20" s="55" t="s">
        <v>139</v>
      </c>
      <c r="AB20" s="55" t="s">
        <v>139</v>
      </c>
      <c r="AC20" s="55" t="s">
        <v>139</v>
      </c>
      <c r="AD20" s="55" t="s">
        <v>139</v>
      </c>
      <c r="AE20" s="55" t="s">
        <v>139</v>
      </c>
      <c r="AF20" s="55" t="s">
        <v>139</v>
      </c>
      <c r="AG20" s="55" t="s">
        <v>139</v>
      </c>
      <c r="AH20" s="55">
        <v>18</v>
      </c>
      <c r="AI20" s="55" t="s">
        <v>139</v>
      </c>
      <c r="AJ20" s="55" t="s">
        <v>139</v>
      </c>
      <c r="AK20" s="55">
        <v>34</v>
      </c>
      <c r="AL20" s="55" t="s">
        <v>139</v>
      </c>
      <c r="AM20" s="55">
        <v>0</v>
      </c>
      <c r="AN20" s="55" t="s">
        <v>139</v>
      </c>
      <c r="AO20" s="55">
        <v>0</v>
      </c>
      <c r="AP20" s="55" t="s">
        <v>139</v>
      </c>
      <c r="AQ20" s="55" t="s">
        <v>139</v>
      </c>
      <c r="AR20" s="55">
        <v>51</v>
      </c>
      <c r="AS20" s="55" t="s">
        <v>139</v>
      </c>
      <c r="AT20" s="55">
        <v>11</v>
      </c>
      <c r="AU20" s="55" t="s">
        <v>139</v>
      </c>
      <c r="AV20" s="55">
        <v>19</v>
      </c>
      <c r="AW20" s="55">
        <v>0</v>
      </c>
      <c r="AX20" s="55" t="s">
        <v>139</v>
      </c>
      <c r="AY20" s="55" t="s">
        <v>139</v>
      </c>
      <c r="AZ20" s="55" t="s">
        <v>139</v>
      </c>
      <c r="BA20" s="55" t="s">
        <v>139</v>
      </c>
      <c r="BB20" s="55" t="s">
        <v>139</v>
      </c>
      <c r="BC20" s="55" t="s">
        <v>139</v>
      </c>
      <c r="BD20" s="55" t="s">
        <v>139</v>
      </c>
      <c r="BE20" s="55" t="s">
        <v>139</v>
      </c>
      <c r="BF20" s="55">
        <v>11</v>
      </c>
      <c r="BG20" s="55" t="s">
        <v>139</v>
      </c>
      <c r="BH20" s="55">
        <v>7</v>
      </c>
      <c r="BI20" s="55" t="s">
        <v>139</v>
      </c>
      <c r="BJ20" s="55">
        <v>16</v>
      </c>
      <c r="BK20" s="55">
        <v>21</v>
      </c>
      <c r="BL20" s="55" t="s">
        <v>139</v>
      </c>
      <c r="BM20" s="55" t="s">
        <v>139</v>
      </c>
    </row>
    <row r="21" spans="1:65" ht="15" customHeight="1" x14ac:dyDescent="0.2">
      <c r="A21" s="55" t="s">
        <v>154</v>
      </c>
      <c r="B21" s="55" t="s">
        <v>139</v>
      </c>
      <c r="C21" s="55">
        <v>0</v>
      </c>
      <c r="D21" s="55" t="s">
        <v>139</v>
      </c>
      <c r="E21" s="55">
        <v>20</v>
      </c>
      <c r="F21" s="55">
        <v>94</v>
      </c>
      <c r="G21" s="55" t="s">
        <v>139</v>
      </c>
      <c r="H21" s="55" t="s">
        <v>139</v>
      </c>
      <c r="I21" s="55">
        <v>0</v>
      </c>
      <c r="J21" s="55" t="s">
        <v>139</v>
      </c>
      <c r="K21" s="55" t="s">
        <v>139</v>
      </c>
      <c r="L21" s="55" t="s">
        <v>139</v>
      </c>
      <c r="M21" s="55" t="s">
        <v>139</v>
      </c>
      <c r="N21" s="55" t="s">
        <v>139</v>
      </c>
      <c r="O21" s="55" t="s">
        <v>139</v>
      </c>
      <c r="P21" s="55" t="s">
        <v>139</v>
      </c>
      <c r="Q21" s="55" t="s">
        <v>139</v>
      </c>
      <c r="R21" s="55" t="s">
        <v>139</v>
      </c>
      <c r="S21" s="55">
        <v>2</v>
      </c>
      <c r="T21" s="55">
        <v>23</v>
      </c>
      <c r="U21" s="55" t="s">
        <v>139</v>
      </c>
      <c r="V21" s="55" t="s">
        <v>139</v>
      </c>
      <c r="W21" s="55">
        <v>5</v>
      </c>
      <c r="X21" s="55" t="s">
        <v>139</v>
      </c>
      <c r="Y21" s="55">
        <v>0</v>
      </c>
      <c r="Z21" s="55" t="s">
        <v>139</v>
      </c>
      <c r="AA21" s="55" t="s">
        <v>139</v>
      </c>
      <c r="AB21" s="55" t="s">
        <v>139</v>
      </c>
      <c r="AC21" s="55" t="s">
        <v>139</v>
      </c>
      <c r="AD21" s="55" t="s">
        <v>139</v>
      </c>
      <c r="AE21" s="55" t="s">
        <v>139</v>
      </c>
      <c r="AF21" s="55" t="s">
        <v>139</v>
      </c>
      <c r="AG21" s="55" t="s">
        <v>139</v>
      </c>
      <c r="AH21" s="55">
        <v>25</v>
      </c>
      <c r="AI21" s="55" t="s">
        <v>139</v>
      </c>
      <c r="AJ21" s="55" t="s">
        <v>139</v>
      </c>
      <c r="AK21" s="55">
        <v>21</v>
      </c>
      <c r="AL21" s="55" t="s">
        <v>139</v>
      </c>
      <c r="AM21" s="55">
        <v>0</v>
      </c>
      <c r="AN21" s="55" t="s">
        <v>139</v>
      </c>
      <c r="AO21" s="55">
        <v>0</v>
      </c>
      <c r="AP21" s="55" t="s">
        <v>139</v>
      </c>
      <c r="AQ21" s="55" t="s">
        <v>139</v>
      </c>
      <c r="AR21" s="55">
        <v>48</v>
      </c>
      <c r="AS21" s="55" t="s">
        <v>139</v>
      </c>
      <c r="AT21" s="55">
        <v>14</v>
      </c>
      <c r="AU21" s="55" t="s">
        <v>139</v>
      </c>
      <c r="AV21" s="55">
        <v>23</v>
      </c>
      <c r="AW21" s="55">
        <v>0</v>
      </c>
      <c r="AX21" s="55" t="s">
        <v>139</v>
      </c>
      <c r="AY21" s="55" t="s">
        <v>139</v>
      </c>
      <c r="AZ21" s="55" t="s">
        <v>139</v>
      </c>
      <c r="BA21" s="55" t="s">
        <v>139</v>
      </c>
      <c r="BB21" s="55" t="s">
        <v>139</v>
      </c>
      <c r="BC21" s="55" t="s">
        <v>139</v>
      </c>
      <c r="BD21" s="55" t="s">
        <v>139</v>
      </c>
      <c r="BE21" s="55" t="s">
        <v>139</v>
      </c>
      <c r="BF21" s="55">
        <v>9</v>
      </c>
      <c r="BG21" s="55" t="s">
        <v>139</v>
      </c>
      <c r="BH21" s="55">
        <v>4</v>
      </c>
      <c r="BI21" s="55" t="s">
        <v>139</v>
      </c>
      <c r="BJ21" s="55">
        <v>16</v>
      </c>
      <c r="BK21" s="55">
        <v>14</v>
      </c>
      <c r="BL21" s="55" t="s">
        <v>139</v>
      </c>
      <c r="BM21" s="55" t="s">
        <v>139</v>
      </c>
    </row>
    <row r="22" spans="1:65" ht="15" customHeight="1" x14ac:dyDescent="0.2">
      <c r="A22" s="55" t="s">
        <v>153</v>
      </c>
      <c r="B22" s="55" t="s">
        <v>139</v>
      </c>
      <c r="C22" s="55">
        <v>1</v>
      </c>
      <c r="D22" s="55" t="s">
        <v>139</v>
      </c>
      <c r="E22" s="55">
        <v>8</v>
      </c>
      <c r="F22" s="55">
        <v>68</v>
      </c>
      <c r="G22" s="55" t="s">
        <v>139</v>
      </c>
      <c r="H22" s="55" t="s">
        <v>139</v>
      </c>
      <c r="I22" s="55">
        <v>0</v>
      </c>
      <c r="J22" s="55" t="s">
        <v>139</v>
      </c>
      <c r="K22" s="55" t="s">
        <v>139</v>
      </c>
      <c r="L22" s="55" t="s">
        <v>139</v>
      </c>
      <c r="M22" s="55" t="s">
        <v>139</v>
      </c>
      <c r="N22" s="55" t="s">
        <v>139</v>
      </c>
      <c r="O22" s="55" t="s">
        <v>139</v>
      </c>
      <c r="P22" s="55" t="s">
        <v>139</v>
      </c>
      <c r="Q22" s="55" t="s">
        <v>139</v>
      </c>
      <c r="R22" s="55" t="s">
        <v>139</v>
      </c>
      <c r="S22" s="55">
        <v>1</v>
      </c>
      <c r="T22" s="55">
        <v>10</v>
      </c>
      <c r="U22" s="55" t="s">
        <v>139</v>
      </c>
      <c r="V22" s="55" t="s">
        <v>139</v>
      </c>
      <c r="W22" s="55">
        <v>1</v>
      </c>
      <c r="X22" s="55" t="s">
        <v>139</v>
      </c>
      <c r="Y22" s="55">
        <v>0</v>
      </c>
      <c r="Z22" s="55" t="s">
        <v>139</v>
      </c>
      <c r="AA22" s="55" t="s">
        <v>139</v>
      </c>
      <c r="AB22" s="55" t="s">
        <v>139</v>
      </c>
      <c r="AC22" s="55" t="s">
        <v>139</v>
      </c>
      <c r="AD22" s="55" t="s">
        <v>139</v>
      </c>
      <c r="AE22" s="55" t="s">
        <v>139</v>
      </c>
      <c r="AF22" s="55" t="s">
        <v>139</v>
      </c>
      <c r="AG22" s="55" t="s">
        <v>139</v>
      </c>
      <c r="AH22" s="55">
        <v>18</v>
      </c>
      <c r="AI22" s="55" t="s">
        <v>139</v>
      </c>
      <c r="AJ22" s="55" t="s">
        <v>139</v>
      </c>
      <c r="AK22" s="55">
        <v>11</v>
      </c>
      <c r="AL22" s="55" t="s">
        <v>139</v>
      </c>
      <c r="AM22" s="55">
        <v>0</v>
      </c>
      <c r="AN22" s="55" t="s">
        <v>139</v>
      </c>
      <c r="AO22" s="55">
        <v>0</v>
      </c>
      <c r="AP22" s="55" t="s">
        <v>139</v>
      </c>
      <c r="AQ22" s="55" t="s">
        <v>139</v>
      </c>
      <c r="AR22" s="55">
        <v>45</v>
      </c>
      <c r="AS22" s="55" t="s">
        <v>139</v>
      </c>
      <c r="AT22" s="55">
        <v>18</v>
      </c>
      <c r="AU22" s="55" t="s">
        <v>139</v>
      </c>
      <c r="AV22" s="55">
        <v>19</v>
      </c>
      <c r="AW22" s="55">
        <v>1</v>
      </c>
      <c r="AX22" s="55" t="s">
        <v>139</v>
      </c>
      <c r="AY22" s="55" t="s">
        <v>139</v>
      </c>
      <c r="AZ22" s="55" t="s">
        <v>139</v>
      </c>
      <c r="BA22" s="55" t="s">
        <v>139</v>
      </c>
      <c r="BB22" s="55" t="s">
        <v>139</v>
      </c>
      <c r="BC22" s="55" t="s">
        <v>139</v>
      </c>
      <c r="BD22" s="55" t="s">
        <v>139</v>
      </c>
      <c r="BE22" s="55" t="s">
        <v>139</v>
      </c>
      <c r="BF22" s="55">
        <v>7</v>
      </c>
      <c r="BG22" s="55" t="s">
        <v>139</v>
      </c>
      <c r="BH22" s="55">
        <v>7</v>
      </c>
      <c r="BI22" s="55" t="s">
        <v>139</v>
      </c>
      <c r="BJ22" s="55">
        <v>11</v>
      </c>
      <c r="BK22" s="55">
        <v>10</v>
      </c>
      <c r="BL22" s="55" t="s">
        <v>139</v>
      </c>
      <c r="BM22" s="55" t="s">
        <v>139</v>
      </c>
    </row>
    <row r="23" spans="1:65" ht="15" customHeight="1" x14ac:dyDescent="0.2">
      <c r="A23" s="55" t="s">
        <v>152</v>
      </c>
      <c r="B23" s="55" t="s">
        <v>139</v>
      </c>
      <c r="C23" s="55">
        <v>0</v>
      </c>
      <c r="D23" s="55" t="s">
        <v>139</v>
      </c>
      <c r="E23" s="55">
        <v>6</v>
      </c>
      <c r="F23" s="55">
        <v>48</v>
      </c>
      <c r="G23" s="55" t="s">
        <v>139</v>
      </c>
      <c r="H23" s="55" t="s">
        <v>139</v>
      </c>
      <c r="I23" s="55">
        <v>0</v>
      </c>
      <c r="J23" s="55" t="s">
        <v>139</v>
      </c>
      <c r="K23" s="55" t="s">
        <v>139</v>
      </c>
      <c r="L23" s="55" t="s">
        <v>139</v>
      </c>
      <c r="M23" s="55" t="s">
        <v>139</v>
      </c>
      <c r="N23" s="55" t="s">
        <v>139</v>
      </c>
      <c r="O23" s="55" t="s">
        <v>139</v>
      </c>
      <c r="P23" s="55" t="s">
        <v>139</v>
      </c>
      <c r="Q23" s="55" t="s">
        <v>139</v>
      </c>
      <c r="R23" s="55" t="s">
        <v>139</v>
      </c>
      <c r="S23" s="55">
        <v>2</v>
      </c>
      <c r="T23" s="55">
        <v>16</v>
      </c>
      <c r="U23" s="55" t="s">
        <v>139</v>
      </c>
      <c r="V23" s="55" t="s">
        <v>139</v>
      </c>
      <c r="W23" s="55">
        <v>3</v>
      </c>
      <c r="X23" s="55" t="s">
        <v>139</v>
      </c>
      <c r="Y23" s="55">
        <v>0</v>
      </c>
      <c r="Z23" s="55" t="s">
        <v>139</v>
      </c>
      <c r="AA23" s="55" t="s">
        <v>139</v>
      </c>
      <c r="AB23" s="55" t="s">
        <v>139</v>
      </c>
      <c r="AC23" s="55" t="s">
        <v>139</v>
      </c>
      <c r="AD23" s="55" t="s">
        <v>139</v>
      </c>
      <c r="AE23" s="55" t="s">
        <v>139</v>
      </c>
      <c r="AF23" s="55" t="s">
        <v>139</v>
      </c>
      <c r="AG23" s="55" t="s">
        <v>139</v>
      </c>
      <c r="AH23" s="55">
        <v>28</v>
      </c>
      <c r="AI23" s="55" t="s">
        <v>139</v>
      </c>
      <c r="AJ23" s="55" t="s">
        <v>139</v>
      </c>
      <c r="AK23" s="55">
        <v>10</v>
      </c>
      <c r="AL23" s="55" t="s">
        <v>139</v>
      </c>
      <c r="AM23" s="55">
        <v>0</v>
      </c>
      <c r="AN23" s="55" t="s">
        <v>139</v>
      </c>
      <c r="AO23" s="55">
        <v>0</v>
      </c>
      <c r="AP23" s="55" t="s">
        <v>139</v>
      </c>
      <c r="AQ23" s="55" t="s">
        <v>139</v>
      </c>
      <c r="AR23" s="55">
        <v>55</v>
      </c>
      <c r="AS23" s="55" t="s">
        <v>139</v>
      </c>
      <c r="AT23" s="55">
        <v>18</v>
      </c>
      <c r="AU23" s="55" t="s">
        <v>139</v>
      </c>
      <c r="AV23" s="55">
        <v>15</v>
      </c>
      <c r="AW23" s="55">
        <v>0</v>
      </c>
      <c r="AX23" s="55" t="s">
        <v>139</v>
      </c>
      <c r="AY23" s="55" t="s">
        <v>139</v>
      </c>
      <c r="AZ23" s="55" t="s">
        <v>139</v>
      </c>
      <c r="BA23" s="55" t="s">
        <v>139</v>
      </c>
      <c r="BB23" s="55" t="s">
        <v>139</v>
      </c>
      <c r="BC23" s="55" t="s">
        <v>139</v>
      </c>
      <c r="BD23" s="55" t="s">
        <v>139</v>
      </c>
      <c r="BE23" s="55" t="s">
        <v>139</v>
      </c>
      <c r="BF23" s="55">
        <v>9</v>
      </c>
      <c r="BG23" s="55" t="s">
        <v>139</v>
      </c>
      <c r="BH23" s="55">
        <v>5</v>
      </c>
      <c r="BI23" s="55" t="s">
        <v>139</v>
      </c>
      <c r="BJ23" s="55">
        <v>4</v>
      </c>
      <c r="BK23" s="55">
        <v>8</v>
      </c>
      <c r="BL23" s="55" t="s">
        <v>139</v>
      </c>
      <c r="BM23" s="55" t="s">
        <v>139</v>
      </c>
    </row>
    <row r="24" spans="1:65" ht="15" customHeight="1" x14ac:dyDescent="0.2">
      <c r="A24" s="55" t="s">
        <v>151</v>
      </c>
      <c r="B24" s="55" t="s">
        <v>139</v>
      </c>
      <c r="C24" s="55">
        <v>3</v>
      </c>
      <c r="D24" s="55" t="s">
        <v>139</v>
      </c>
      <c r="E24" s="55">
        <v>4</v>
      </c>
      <c r="F24" s="55">
        <v>53</v>
      </c>
      <c r="G24" s="55" t="s">
        <v>139</v>
      </c>
      <c r="H24" s="55" t="s">
        <v>139</v>
      </c>
      <c r="I24" s="55">
        <v>0</v>
      </c>
      <c r="J24" s="55" t="s">
        <v>139</v>
      </c>
      <c r="K24" s="55" t="s">
        <v>139</v>
      </c>
      <c r="L24" s="55" t="s">
        <v>139</v>
      </c>
      <c r="M24" s="55" t="s">
        <v>139</v>
      </c>
      <c r="N24" s="55" t="s">
        <v>139</v>
      </c>
      <c r="O24" s="55" t="s">
        <v>139</v>
      </c>
      <c r="P24" s="55" t="s">
        <v>139</v>
      </c>
      <c r="Q24" s="55" t="s">
        <v>139</v>
      </c>
      <c r="R24" s="55" t="s">
        <v>139</v>
      </c>
      <c r="S24" s="55">
        <v>0</v>
      </c>
      <c r="T24" s="55">
        <v>12</v>
      </c>
      <c r="U24" s="55" t="s">
        <v>139</v>
      </c>
      <c r="V24" s="55" t="s">
        <v>139</v>
      </c>
      <c r="W24" s="55">
        <v>4</v>
      </c>
      <c r="X24" s="55" t="s">
        <v>139</v>
      </c>
      <c r="Y24" s="55">
        <v>0</v>
      </c>
      <c r="Z24" s="55" t="s">
        <v>139</v>
      </c>
      <c r="AA24" s="55" t="s">
        <v>139</v>
      </c>
      <c r="AB24" s="55" t="s">
        <v>139</v>
      </c>
      <c r="AC24" s="55" t="s">
        <v>139</v>
      </c>
      <c r="AD24" s="55" t="s">
        <v>139</v>
      </c>
      <c r="AE24" s="55" t="s">
        <v>139</v>
      </c>
      <c r="AF24" s="55" t="s">
        <v>139</v>
      </c>
      <c r="AG24" s="55" t="s">
        <v>139</v>
      </c>
      <c r="AH24" s="55">
        <v>21</v>
      </c>
      <c r="AI24" s="55" t="s">
        <v>139</v>
      </c>
      <c r="AJ24" s="55" t="s">
        <v>139</v>
      </c>
      <c r="AK24" s="55">
        <v>4</v>
      </c>
      <c r="AL24" s="55" t="s">
        <v>139</v>
      </c>
      <c r="AM24" s="55">
        <v>3</v>
      </c>
      <c r="AN24" s="55" t="s">
        <v>139</v>
      </c>
      <c r="AO24" s="55">
        <v>0</v>
      </c>
      <c r="AP24" s="55" t="s">
        <v>139</v>
      </c>
      <c r="AQ24" s="55" t="s">
        <v>139</v>
      </c>
      <c r="AR24" s="55">
        <v>70</v>
      </c>
      <c r="AS24" s="55" t="s">
        <v>139</v>
      </c>
      <c r="AT24" s="55">
        <v>20</v>
      </c>
      <c r="AU24" s="55" t="s">
        <v>139</v>
      </c>
      <c r="AV24" s="55">
        <v>16</v>
      </c>
      <c r="AW24" s="55">
        <v>0</v>
      </c>
      <c r="AX24" s="55" t="s">
        <v>139</v>
      </c>
      <c r="AY24" s="55" t="s">
        <v>139</v>
      </c>
      <c r="AZ24" s="55" t="s">
        <v>139</v>
      </c>
      <c r="BA24" s="55" t="s">
        <v>139</v>
      </c>
      <c r="BB24" s="55" t="s">
        <v>139</v>
      </c>
      <c r="BC24" s="55" t="s">
        <v>139</v>
      </c>
      <c r="BD24" s="55" t="s">
        <v>139</v>
      </c>
      <c r="BE24" s="55" t="s">
        <v>139</v>
      </c>
      <c r="BF24" s="55">
        <v>11</v>
      </c>
      <c r="BG24" s="55" t="s">
        <v>139</v>
      </c>
      <c r="BH24" s="55">
        <v>8</v>
      </c>
      <c r="BI24" s="55" t="s">
        <v>139</v>
      </c>
      <c r="BJ24" s="55">
        <v>6</v>
      </c>
      <c r="BK24" s="55">
        <v>7</v>
      </c>
      <c r="BL24" s="55" t="s">
        <v>139</v>
      </c>
      <c r="BM24" s="55" t="s">
        <v>139</v>
      </c>
    </row>
    <row r="25" spans="1:65" ht="15" customHeight="1" x14ac:dyDescent="0.2">
      <c r="A25" s="55" t="s">
        <v>150</v>
      </c>
      <c r="B25" s="55" t="s">
        <v>139</v>
      </c>
      <c r="C25" s="55">
        <v>0</v>
      </c>
      <c r="D25" s="55" t="s">
        <v>139</v>
      </c>
      <c r="E25" s="55">
        <v>5</v>
      </c>
      <c r="F25" s="55">
        <v>54</v>
      </c>
      <c r="G25" s="55" t="s">
        <v>139</v>
      </c>
      <c r="H25" s="55" t="s">
        <v>139</v>
      </c>
      <c r="I25" s="55">
        <v>0</v>
      </c>
      <c r="J25" s="55" t="s">
        <v>139</v>
      </c>
      <c r="K25" s="55" t="s">
        <v>139</v>
      </c>
      <c r="L25" s="55" t="s">
        <v>139</v>
      </c>
      <c r="M25" s="55" t="s">
        <v>139</v>
      </c>
      <c r="N25" s="55" t="s">
        <v>139</v>
      </c>
      <c r="O25" s="55" t="s">
        <v>139</v>
      </c>
      <c r="P25" s="55" t="s">
        <v>139</v>
      </c>
      <c r="Q25" s="55" t="s">
        <v>139</v>
      </c>
      <c r="R25" s="55" t="s">
        <v>139</v>
      </c>
      <c r="S25" s="55">
        <v>2</v>
      </c>
      <c r="T25" s="55">
        <v>12</v>
      </c>
      <c r="U25" s="55" t="s">
        <v>139</v>
      </c>
      <c r="V25" s="55" t="s">
        <v>139</v>
      </c>
      <c r="W25" s="55">
        <v>6</v>
      </c>
      <c r="X25" s="55" t="s">
        <v>139</v>
      </c>
      <c r="Y25" s="55">
        <v>0</v>
      </c>
      <c r="Z25" s="55" t="s">
        <v>139</v>
      </c>
      <c r="AA25" s="55" t="s">
        <v>139</v>
      </c>
      <c r="AB25" s="55" t="s">
        <v>139</v>
      </c>
      <c r="AC25" s="55" t="s">
        <v>139</v>
      </c>
      <c r="AD25" s="55" t="s">
        <v>139</v>
      </c>
      <c r="AE25" s="55" t="s">
        <v>139</v>
      </c>
      <c r="AF25" s="55" t="s">
        <v>139</v>
      </c>
      <c r="AG25" s="55" t="s">
        <v>139</v>
      </c>
      <c r="AH25" s="55">
        <v>21</v>
      </c>
      <c r="AI25" s="55" t="s">
        <v>139</v>
      </c>
      <c r="AJ25" s="55" t="s">
        <v>139</v>
      </c>
      <c r="AK25" s="55">
        <v>5</v>
      </c>
      <c r="AL25" s="55" t="s">
        <v>139</v>
      </c>
      <c r="AM25" s="55">
        <v>1</v>
      </c>
      <c r="AN25" s="55" t="s">
        <v>139</v>
      </c>
      <c r="AO25" s="55">
        <v>0</v>
      </c>
      <c r="AP25" s="55" t="s">
        <v>139</v>
      </c>
      <c r="AQ25" s="55" t="s">
        <v>139</v>
      </c>
      <c r="AR25" s="55">
        <v>53</v>
      </c>
      <c r="AS25" s="55" t="s">
        <v>139</v>
      </c>
      <c r="AT25" s="55">
        <v>27</v>
      </c>
      <c r="AU25" s="55" t="s">
        <v>139</v>
      </c>
      <c r="AV25" s="55">
        <v>18</v>
      </c>
      <c r="AW25" s="55">
        <v>0</v>
      </c>
      <c r="AX25" s="55" t="s">
        <v>139</v>
      </c>
      <c r="AY25" s="55" t="s">
        <v>139</v>
      </c>
      <c r="AZ25" s="55" t="s">
        <v>139</v>
      </c>
      <c r="BA25" s="55" t="s">
        <v>139</v>
      </c>
      <c r="BB25" s="55" t="s">
        <v>139</v>
      </c>
      <c r="BC25" s="55" t="s">
        <v>139</v>
      </c>
      <c r="BD25" s="55" t="s">
        <v>139</v>
      </c>
      <c r="BE25" s="55" t="s">
        <v>139</v>
      </c>
      <c r="BF25" s="55">
        <v>5</v>
      </c>
      <c r="BG25" s="55" t="s">
        <v>139</v>
      </c>
      <c r="BH25" s="55">
        <v>3</v>
      </c>
      <c r="BI25" s="55" t="s">
        <v>139</v>
      </c>
      <c r="BJ25" s="55">
        <v>4</v>
      </c>
      <c r="BK25" s="55">
        <v>6</v>
      </c>
      <c r="BL25" s="55" t="s">
        <v>139</v>
      </c>
      <c r="BM25" s="55" t="s">
        <v>139</v>
      </c>
    </row>
    <row r="26" spans="1:65" ht="15" customHeight="1" x14ac:dyDescent="0.2">
      <c r="A26" s="55" t="s">
        <v>149</v>
      </c>
      <c r="B26" s="55" t="s">
        <v>139</v>
      </c>
      <c r="C26" s="55">
        <v>0</v>
      </c>
      <c r="D26" s="55" t="s">
        <v>139</v>
      </c>
      <c r="E26" s="55">
        <v>8</v>
      </c>
      <c r="F26" s="55">
        <v>38</v>
      </c>
      <c r="G26" s="55" t="s">
        <v>139</v>
      </c>
      <c r="H26" s="55" t="s">
        <v>139</v>
      </c>
      <c r="I26" s="55">
        <v>0</v>
      </c>
      <c r="J26" s="55" t="s">
        <v>139</v>
      </c>
      <c r="K26" s="55" t="s">
        <v>139</v>
      </c>
      <c r="L26" s="55" t="s">
        <v>139</v>
      </c>
      <c r="M26" s="55" t="s">
        <v>139</v>
      </c>
      <c r="N26" s="55" t="s">
        <v>139</v>
      </c>
      <c r="O26" s="55" t="s">
        <v>139</v>
      </c>
      <c r="P26" s="55" t="s">
        <v>139</v>
      </c>
      <c r="Q26" s="55" t="s">
        <v>139</v>
      </c>
      <c r="R26" s="55" t="s">
        <v>139</v>
      </c>
      <c r="S26" s="55">
        <v>0</v>
      </c>
      <c r="T26" s="55">
        <v>12</v>
      </c>
      <c r="U26" s="55" t="s">
        <v>139</v>
      </c>
      <c r="V26" s="55" t="s">
        <v>139</v>
      </c>
      <c r="W26" s="55">
        <v>2</v>
      </c>
      <c r="X26" s="55" t="s">
        <v>139</v>
      </c>
      <c r="Y26" s="55">
        <v>1</v>
      </c>
      <c r="Z26" s="55" t="s">
        <v>139</v>
      </c>
      <c r="AA26" s="55" t="s">
        <v>139</v>
      </c>
      <c r="AB26" s="55" t="s">
        <v>139</v>
      </c>
      <c r="AC26" s="55" t="s">
        <v>139</v>
      </c>
      <c r="AD26" s="55" t="s">
        <v>139</v>
      </c>
      <c r="AE26" s="55" t="s">
        <v>139</v>
      </c>
      <c r="AF26" s="55" t="s">
        <v>139</v>
      </c>
      <c r="AG26" s="55" t="s">
        <v>139</v>
      </c>
      <c r="AH26" s="55">
        <v>20</v>
      </c>
      <c r="AI26" s="55" t="s">
        <v>139</v>
      </c>
      <c r="AJ26" s="55" t="s">
        <v>139</v>
      </c>
      <c r="AK26" s="55">
        <v>7</v>
      </c>
      <c r="AL26" s="55" t="s">
        <v>139</v>
      </c>
      <c r="AM26" s="55">
        <v>0</v>
      </c>
      <c r="AN26" s="55" t="s">
        <v>139</v>
      </c>
      <c r="AO26" s="55">
        <v>0</v>
      </c>
      <c r="AP26" s="55" t="s">
        <v>139</v>
      </c>
      <c r="AQ26" s="55" t="s">
        <v>139</v>
      </c>
      <c r="AR26" s="55">
        <v>56</v>
      </c>
      <c r="AS26" s="55" t="s">
        <v>139</v>
      </c>
      <c r="AT26" s="55">
        <v>22</v>
      </c>
      <c r="AU26" s="55" t="s">
        <v>139</v>
      </c>
      <c r="AV26" s="55">
        <v>19</v>
      </c>
      <c r="AW26" s="55">
        <v>0</v>
      </c>
      <c r="AX26" s="55" t="s">
        <v>139</v>
      </c>
      <c r="AY26" s="55" t="s">
        <v>139</v>
      </c>
      <c r="AZ26" s="55" t="s">
        <v>139</v>
      </c>
      <c r="BA26" s="55" t="s">
        <v>139</v>
      </c>
      <c r="BB26" s="55" t="s">
        <v>139</v>
      </c>
      <c r="BC26" s="55" t="s">
        <v>139</v>
      </c>
      <c r="BD26" s="55" t="s">
        <v>139</v>
      </c>
      <c r="BE26" s="55" t="s">
        <v>139</v>
      </c>
      <c r="BF26" s="55">
        <v>7</v>
      </c>
      <c r="BG26" s="55" t="s">
        <v>139</v>
      </c>
      <c r="BH26" s="55">
        <v>3</v>
      </c>
      <c r="BI26" s="55" t="s">
        <v>139</v>
      </c>
      <c r="BJ26" s="55">
        <v>5</v>
      </c>
      <c r="BK26" s="55">
        <v>8</v>
      </c>
      <c r="BL26" s="55" t="s">
        <v>139</v>
      </c>
      <c r="BM26" s="55" t="s">
        <v>139</v>
      </c>
    </row>
    <row r="27" spans="1:65" ht="15" customHeight="1" x14ac:dyDescent="0.2">
      <c r="A27" s="55" t="s">
        <v>148</v>
      </c>
      <c r="B27" s="55" t="s">
        <v>139</v>
      </c>
      <c r="C27" s="55">
        <v>0</v>
      </c>
      <c r="D27" s="55" t="s">
        <v>139</v>
      </c>
      <c r="E27" s="55">
        <v>0</v>
      </c>
      <c r="F27" s="55">
        <v>0</v>
      </c>
      <c r="G27" s="55" t="s">
        <v>139</v>
      </c>
      <c r="H27" s="55" t="s">
        <v>139</v>
      </c>
      <c r="I27" s="55">
        <v>0</v>
      </c>
      <c r="J27" s="55" t="s">
        <v>139</v>
      </c>
      <c r="K27" s="55" t="s">
        <v>139</v>
      </c>
      <c r="L27" s="55" t="s">
        <v>139</v>
      </c>
      <c r="M27" s="55" t="s">
        <v>139</v>
      </c>
      <c r="N27" s="55" t="s">
        <v>139</v>
      </c>
      <c r="O27" s="55" t="s">
        <v>139</v>
      </c>
      <c r="P27" s="55" t="s">
        <v>139</v>
      </c>
      <c r="Q27" s="55" t="s">
        <v>139</v>
      </c>
      <c r="R27" s="55" t="s">
        <v>139</v>
      </c>
      <c r="S27" s="55">
        <v>0</v>
      </c>
      <c r="T27" s="55">
        <v>0</v>
      </c>
      <c r="U27" s="55" t="s">
        <v>139</v>
      </c>
      <c r="V27" s="55" t="s">
        <v>139</v>
      </c>
      <c r="W27" s="55">
        <v>0</v>
      </c>
      <c r="X27" s="55" t="s">
        <v>139</v>
      </c>
      <c r="Y27" s="55">
        <v>0</v>
      </c>
      <c r="Z27" s="55" t="s">
        <v>139</v>
      </c>
      <c r="AA27" s="55" t="s">
        <v>139</v>
      </c>
      <c r="AB27" s="55" t="s">
        <v>139</v>
      </c>
      <c r="AC27" s="55" t="s">
        <v>139</v>
      </c>
      <c r="AD27" s="55" t="s">
        <v>139</v>
      </c>
      <c r="AE27" s="55" t="s">
        <v>139</v>
      </c>
      <c r="AF27" s="55" t="s">
        <v>139</v>
      </c>
      <c r="AG27" s="55" t="s">
        <v>139</v>
      </c>
      <c r="AH27" s="55">
        <v>0</v>
      </c>
      <c r="AI27" s="55" t="s">
        <v>139</v>
      </c>
      <c r="AJ27" s="55" t="s">
        <v>139</v>
      </c>
      <c r="AK27" s="55">
        <v>0</v>
      </c>
      <c r="AL27" s="55" t="s">
        <v>139</v>
      </c>
      <c r="AM27" s="55">
        <v>0</v>
      </c>
      <c r="AN27" s="55" t="s">
        <v>139</v>
      </c>
      <c r="AO27" s="55">
        <v>0</v>
      </c>
      <c r="AP27" s="55" t="s">
        <v>139</v>
      </c>
      <c r="AQ27" s="55" t="s">
        <v>139</v>
      </c>
      <c r="AR27" s="55">
        <v>0</v>
      </c>
      <c r="AS27" s="55" t="s">
        <v>139</v>
      </c>
      <c r="AT27" s="55">
        <v>0</v>
      </c>
      <c r="AU27" s="55" t="s">
        <v>139</v>
      </c>
      <c r="AV27" s="55">
        <v>0</v>
      </c>
      <c r="AW27" s="55">
        <v>0</v>
      </c>
      <c r="AX27" s="55" t="s">
        <v>139</v>
      </c>
      <c r="AY27" s="55" t="s">
        <v>139</v>
      </c>
      <c r="AZ27" s="55" t="s">
        <v>139</v>
      </c>
      <c r="BA27" s="55" t="s">
        <v>139</v>
      </c>
      <c r="BB27" s="55" t="s">
        <v>139</v>
      </c>
      <c r="BC27" s="55" t="s">
        <v>139</v>
      </c>
      <c r="BD27" s="55" t="s">
        <v>139</v>
      </c>
      <c r="BE27" s="55" t="s">
        <v>139</v>
      </c>
      <c r="BF27" s="55">
        <v>0</v>
      </c>
      <c r="BG27" s="55" t="s">
        <v>139</v>
      </c>
      <c r="BH27" s="55">
        <v>0</v>
      </c>
      <c r="BI27" s="55" t="s">
        <v>139</v>
      </c>
      <c r="BJ27" s="55">
        <v>1</v>
      </c>
      <c r="BK27" s="55">
        <v>0</v>
      </c>
      <c r="BL27" s="55" t="s">
        <v>139</v>
      </c>
      <c r="BM27" s="55" t="s">
        <v>139</v>
      </c>
    </row>
    <row r="28" spans="1:65" ht="15" customHeight="1" x14ac:dyDescent="0.2">
      <c r="A28" s="55" t="s">
        <v>147</v>
      </c>
      <c r="B28" s="55" t="s">
        <v>139</v>
      </c>
      <c r="C28" s="55">
        <v>0</v>
      </c>
      <c r="D28" s="55" t="s">
        <v>139</v>
      </c>
      <c r="E28" s="55">
        <v>11</v>
      </c>
      <c r="F28" s="55">
        <v>62</v>
      </c>
      <c r="G28" s="55" t="s">
        <v>139</v>
      </c>
      <c r="H28" s="55" t="s">
        <v>139</v>
      </c>
      <c r="I28" s="55">
        <v>0</v>
      </c>
      <c r="J28" s="55" t="s">
        <v>139</v>
      </c>
      <c r="K28" s="55" t="s">
        <v>139</v>
      </c>
      <c r="L28" s="55" t="s">
        <v>139</v>
      </c>
      <c r="M28" s="55" t="s">
        <v>139</v>
      </c>
      <c r="N28" s="55" t="s">
        <v>139</v>
      </c>
      <c r="O28" s="55" t="s">
        <v>139</v>
      </c>
      <c r="P28" s="55" t="s">
        <v>139</v>
      </c>
      <c r="Q28" s="55" t="s">
        <v>139</v>
      </c>
      <c r="R28" s="55" t="s">
        <v>139</v>
      </c>
      <c r="S28" s="55">
        <v>0</v>
      </c>
      <c r="T28" s="55">
        <v>12</v>
      </c>
      <c r="U28" s="55" t="s">
        <v>139</v>
      </c>
      <c r="V28" s="55" t="s">
        <v>139</v>
      </c>
      <c r="W28" s="55">
        <v>5</v>
      </c>
      <c r="X28" s="55" t="s">
        <v>139</v>
      </c>
      <c r="Y28" s="55">
        <v>0</v>
      </c>
      <c r="Z28" s="55" t="s">
        <v>139</v>
      </c>
      <c r="AA28" s="55" t="s">
        <v>139</v>
      </c>
      <c r="AB28" s="55" t="s">
        <v>139</v>
      </c>
      <c r="AC28" s="55" t="s">
        <v>139</v>
      </c>
      <c r="AD28" s="55" t="s">
        <v>139</v>
      </c>
      <c r="AE28" s="55" t="s">
        <v>139</v>
      </c>
      <c r="AF28" s="55" t="s">
        <v>139</v>
      </c>
      <c r="AG28" s="55" t="s">
        <v>139</v>
      </c>
      <c r="AH28" s="55">
        <v>20</v>
      </c>
      <c r="AI28" s="55" t="s">
        <v>139</v>
      </c>
      <c r="AJ28" s="55" t="s">
        <v>139</v>
      </c>
      <c r="AK28" s="55">
        <v>14</v>
      </c>
      <c r="AL28" s="55" t="s">
        <v>139</v>
      </c>
      <c r="AM28" s="55">
        <v>1</v>
      </c>
      <c r="AN28" s="55" t="s">
        <v>139</v>
      </c>
      <c r="AO28" s="55">
        <v>0</v>
      </c>
      <c r="AP28" s="55" t="s">
        <v>139</v>
      </c>
      <c r="AQ28" s="55" t="s">
        <v>139</v>
      </c>
      <c r="AR28" s="55">
        <v>97</v>
      </c>
      <c r="AS28" s="55" t="s">
        <v>139</v>
      </c>
      <c r="AT28" s="55">
        <v>27</v>
      </c>
      <c r="AU28" s="55" t="s">
        <v>139</v>
      </c>
      <c r="AV28" s="55">
        <v>23</v>
      </c>
      <c r="AW28" s="55">
        <v>1</v>
      </c>
      <c r="AX28" s="55" t="s">
        <v>139</v>
      </c>
      <c r="AY28" s="55" t="s">
        <v>139</v>
      </c>
      <c r="AZ28" s="55" t="s">
        <v>139</v>
      </c>
      <c r="BA28" s="55" t="s">
        <v>139</v>
      </c>
      <c r="BB28" s="55" t="s">
        <v>139</v>
      </c>
      <c r="BC28" s="55" t="s">
        <v>139</v>
      </c>
      <c r="BD28" s="55" t="s">
        <v>139</v>
      </c>
      <c r="BE28" s="55" t="s">
        <v>139</v>
      </c>
      <c r="BF28" s="55">
        <v>27</v>
      </c>
      <c r="BG28" s="55" t="s">
        <v>139</v>
      </c>
      <c r="BH28" s="55">
        <v>10</v>
      </c>
      <c r="BI28" s="55" t="s">
        <v>139</v>
      </c>
      <c r="BJ28" s="55">
        <v>8</v>
      </c>
      <c r="BK28" s="55">
        <v>11</v>
      </c>
      <c r="BL28" s="55" t="s">
        <v>139</v>
      </c>
      <c r="BM28" s="55" t="s">
        <v>139</v>
      </c>
    </row>
    <row r="29" spans="1:65" ht="15" customHeight="1" x14ac:dyDescent="0.2">
      <c r="A29" s="55" t="s">
        <v>146</v>
      </c>
      <c r="B29" s="55" t="s">
        <v>139</v>
      </c>
      <c r="C29" s="55">
        <v>0</v>
      </c>
      <c r="D29" s="55" t="s">
        <v>139</v>
      </c>
      <c r="E29" s="55">
        <v>15</v>
      </c>
      <c r="F29" s="55">
        <v>48</v>
      </c>
      <c r="G29" s="55" t="s">
        <v>139</v>
      </c>
      <c r="H29" s="55" t="s">
        <v>139</v>
      </c>
      <c r="I29" s="55">
        <v>0</v>
      </c>
      <c r="J29" s="55" t="s">
        <v>139</v>
      </c>
      <c r="K29" s="55" t="s">
        <v>139</v>
      </c>
      <c r="L29" s="55" t="s">
        <v>139</v>
      </c>
      <c r="M29" s="55" t="s">
        <v>139</v>
      </c>
      <c r="N29" s="55" t="s">
        <v>139</v>
      </c>
      <c r="O29" s="55" t="s">
        <v>139</v>
      </c>
      <c r="P29" s="55" t="s">
        <v>139</v>
      </c>
      <c r="Q29" s="55" t="s">
        <v>139</v>
      </c>
      <c r="R29" s="55" t="s">
        <v>139</v>
      </c>
      <c r="S29" s="55">
        <v>0</v>
      </c>
      <c r="T29" s="55">
        <v>14</v>
      </c>
      <c r="U29" s="55" t="s">
        <v>139</v>
      </c>
      <c r="V29" s="55" t="s">
        <v>139</v>
      </c>
      <c r="W29" s="55">
        <v>2</v>
      </c>
      <c r="X29" s="55" t="s">
        <v>139</v>
      </c>
      <c r="Y29" s="55">
        <v>0</v>
      </c>
      <c r="Z29" s="55" t="s">
        <v>139</v>
      </c>
      <c r="AA29" s="55" t="s">
        <v>139</v>
      </c>
      <c r="AB29" s="55" t="s">
        <v>139</v>
      </c>
      <c r="AC29" s="55" t="s">
        <v>139</v>
      </c>
      <c r="AD29" s="55" t="s">
        <v>139</v>
      </c>
      <c r="AE29" s="55" t="s">
        <v>139</v>
      </c>
      <c r="AF29" s="55" t="s">
        <v>139</v>
      </c>
      <c r="AG29" s="55" t="s">
        <v>139</v>
      </c>
      <c r="AH29" s="55">
        <v>22</v>
      </c>
      <c r="AI29" s="55" t="s">
        <v>139</v>
      </c>
      <c r="AJ29" s="55" t="s">
        <v>139</v>
      </c>
      <c r="AK29" s="55">
        <v>11</v>
      </c>
      <c r="AL29" s="55" t="s">
        <v>139</v>
      </c>
      <c r="AM29" s="55">
        <v>0</v>
      </c>
      <c r="AN29" s="55" t="s">
        <v>139</v>
      </c>
      <c r="AO29" s="55">
        <v>0</v>
      </c>
      <c r="AP29" s="55" t="s">
        <v>139</v>
      </c>
      <c r="AQ29" s="55" t="s">
        <v>139</v>
      </c>
      <c r="AR29" s="55">
        <v>115</v>
      </c>
      <c r="AS29" s="55" t="s">
        <v>139</v>
      </c>
      <c r="AT29" s="55">
        <v>30</v>
      </c>
      <c r="AU29" s="55" t="s">
        <v>139</v>
      </c>
      <c r="AV29" s="55">
        <v>19</v>
      </c>
      <c r="AW29" s="55">
        <v>1</v>
      </c>
      <c r="AX29" s="55" t="s">
        <v>139</v>
      </c>
      <c r="AY29" s="55" t="s">
        <v>139</v>
      </c>
      <c r="AZ29" s="55" t="s">
        <v>139</v>
      </c>
      <c r="BA29" s="55" t="s">
        <v>139</v>
      </c>
      <c r="BB29" s="55" t="s">
        <v>139</v>
      </c>
      <c r="BC29" s="55" t="s">
        <v>139</v>
      </c>
      <c r="BD29" s="55" t="s">
        <v>139</v>
      </c>
      <c r="BE29" s="55" t="s">
        <v>139</v>
      </c>
      <c r="BF29" s="55">
        <v>14</v>
      </c>
      <c r="BG29" s="55" t="s">
        <v>139</v>
      </c>
      <c r="BH29" s="55">
        <v>15</v>
      </c>
      <c r="BI29" s="55" t="s">
        <v>139</v>
      </c>
      <c r="BJ29" s="55">
        <v>10</v>
      </c>
      <c r="BK29" s="55">
        <v>12</v>
      </c>
      <c r="BL29" s="55" t="s">
        <v>139</v>
      </c>
      <c r="BM29" s="55" t="s">
        <v>139</v>
      </c>
    </row>
    <row r="30" spans="1:65" ht="15" customHeight="1" x14ac:dyDescent="0.2">
      <c r="A30" s="55" t="s">
        <v>145</v>
      </c>
      <c r="B30" s="55" t="s">
        <v>139</v>
      </c>
      <c r="C30" s="55">
        <v>6</v>
      </c>
      <c r="D30" s="55" t="s">
        <v>139</v>
      </c>
      <c r="E30" s="55">
        <v>10</v>
      </c>
      <c r="F30" s="55">
        <v>69</v>
      </c>
      <c r="G30" s="55" t="s">
        <v>139</v>
      </c>
      <c r="H30" s="55" t="s">
        <v>139</v>
      </c>
      <c r="I30" s="55">
        <v>0</v>
      </c>
      <c r="J30" s="55" t="s">
        <v>139</v>
      </c>
      <c r="K30" s="55" t="s">
        <v>139</v>
      </c>
      <c r="L30" s="55" t="s">
        <v>139</v>
      </c>
      <c r="M30" s="55" t="s">
        <v>139</v>
      </c>
      <c r="N30" s="55" t="s">
        <v>139</v>
      </c>
      <c r="O30" s="55" t="s">
        <v>139</v>
      </c>
      <c r="P30" s="55" t="s">
        <v>139</v>
      </c>
      <c r="Q30" s="55" t="s">
        <v>139</v>
      </c>
      <c r="R30" s="55" t="s">
        <v>139</v>
      </c>
      <c r="S30" s="55">
        <v>1</v>
      </c>
      <c r="T30" s="55">
        <v>22</v>
      </c>
      <c r="U30" s="55" t="s">
        <v>139</v>
      </c>
      <c r="V30" s="55" t="s">
        <v>139</v>
      </c>
      <c r="W30" s="55">
        <v>11</v>
      </c>
      <c r="X30" s="55" t="s">
        <v>139</v>
      </c>
      <c r="Y30" s="55">
        <v>0</v>
      </c>
      <c r="Z30" s="55" t="s">
        <v>139</v>
      </c>
      <c r="AA30" s="55" t="s">
        <v>139</v>
      </c>
      <c r="AB30" s="55" t="s">
        <v>139</v>
      </c>
      <c r="AC30" s="55" t="s">
        <v>139</v>
      </c>
      <c r="AD30" s="55" t="s">
        <v>139</v>
      </c>
      <c r="AE30" s="55" t="s">
        <v>139</v>
      </c>
      <c r="AF30" s="55" t="s">
        <v>139</v>
      </c>
      <c r="AG30" s="55" t="s">
        <v>139</v>
      </c>
      <c r="AH30" s="55">
        <v>24</v>
      </c>
      <c r="AI30" s="55" t="s">
        <v>139</v>
      </c>
      <c r="AJ30" s="55" t="s">
        <v>139</v>
      </c>
      <c r="AK30" s="55">
        <v>18</v>
      </c>
      <c r="AL30" s="55" t="s">
        <v>139</v>
      </c>
      <c r="AM30" s="55">
        <v>2</v>
      </c>
      <c r="AN30" s="55" t="s">
        <v>139</v>
      </c>
      <c r="AO30" s="55">
        <v>0</v>
      </c>
      <c r="AP30" s="55" t="s">
        <v>139</v>
      </c>
      <c r="AQ30" s="55" t="s">
        <v>139</v>
      </c>
      <c r="AR30" s="55">
        <v>98</v>
      </c>
      <c r="AS30" s="55" t="s">
        <v>139</v>
      </c>
      <c r="AT30" s="55">
        <v>36</v>
      </c>
      <c r="AU30" s="55" t="s">
        <v>139</v>
      </c>
      <c r="AV30" s="55">
        <v>22</v>
      </c>
      <c r="AW30" s="55">
        <v>0</v>
      </c>
      <c r="AX30" s="55" t="s">
        <v>139</v>
      </c>
      <c r="AY30" s="55" t="s">
        <v>139</v>
      </c>
      <c r="AZ30" s="55" t="s">
        <v>139</v>
      </c>
      <c r="BA30" s="55" t="s">
        <v>139</v>
      </c>
      <c r="BB30" s="55" t="s">
        <v>139</v>
      </c>
      <c r="BC30" s="55" t="s">
        <v>139</v>
      </c>
      <c r="BD30" s="55" t="s">
        <v>139</v>
      </c>
      <c r="BE30" s="55" t="s">
        <v>139</v>
      </c>
      <c r="BF30" s="55">
        <v>8</v>
      </c>
      <c r="BG30" s="55" t="s">
        <v>139</v>
      </c>
      <c r="BH30" s="55">
        <v>9</v>
      </c>
      <c r="BI30" s="55" t="s">
        <v>139</v>
      </c>
      <c r="BJ30" s="55">
        <v>13</v>
      </c>
      <c r="BK30" s="55">
        <v>8</v>
      </c>
      <c r="BL30" s="55" t="s">
        <v>139</v>
      </c>
      <c r="BM30" s="55" t="s">
        <v>139</v>
      </c>
    </row>
    <row r="31" spans="1:65" ht="15" customHeight="1" x14ac:dyDescent="0.2">
      <c r="A31" s="55" t="s">
        <v>144</v>
      </c>
      <c r="B31" s="55" t="s">
        <v>139</v>
      </c>
      <c r="C31" s="55">
        <v>2</v>
      </c>
      <c r="D31" s="55" t="s">
        <v>139</v>
      </c>
      <c r="E31" s="55">
        <v>13</v>
      </c>
      <c r="F31" s="55">
        <v>54</v>
      </c>
      <c r="G31" s="55" t="s">
        <v>139</v>
      </c>
      <c r="H31" s="55" t="s">
        <v>139</v>
      </c>
      <c r="I31" s="55">
        <v>0</v>
      </c>
      <c r="J31" s="55" t="s">
        <v>139</v>
      </c>
      <c r="K31" s="55" t="s">
        <v>139</v>
      </c>
      <c r="L31" s="55" t="s">
        <v>139</v>
      </c>
      <c r="M31" s="55" t="s">
        <v>139</v>
      </c>
      <c r="N31" s="55" t="s">
        <v>139</v>
      </c>
      <c r="O31" s="55" t="s">
        <v>139</v>
      </c>
      <c r="P31" s="55" t="s">
        <v>139</v>
      </c>
      <c r="Q31" s="55" t="s">
        <v>139</v>
      </c>
      <c r="R31" s="55" t="s">
        <v>139</v>
      </c>
      <c r="S31" s="55">
        <v>0</v>
      </c>
      <c r="T31" s="55">
        <v>19</v>
      </c>
      <c r="U31" s="55" t="s">
        <v>139</v>
      </c>
      <c r="V31" s="55" t="s">
        <v>139</v>
      </c>
      <c r="W31" s="55">
        <v>6</v>
      </c>
      <c r="X31" s="55" t="s">
        <v>139</v>
      </c>
      <c r="Y31" s="55">
        <v>0</v>
      </c>
      <c r="Z31" s="55" t="s">
        <v>139</v>
      </c>
      <c r="AA31" s="55" t="s">
        <v>139</v>
      </c>
      <c r="AB31" s="55" t="s">
        <v>139</v>
      </c>
      <c r="AC31" s="55" t="s">
        <v>139</v>
      </c>
      <c r="AD31" s="55" t="s">
        <v>139</v>
      </c>
      <c r="AE31" s="55" t="s">
        <v>139</v>
      </c>
      <c r="AF31" s="55" t="s">
        <v>139</v>
      </c>
      <c r="AG31" s="55" t="s">
        <v>139</v>
      </c>
      <c r="AH31" s="55">
        <v>26</v>
      </c>
      <c r="AI31" s="55" t="s">
        <v>139</v>
      </c>
      <c r="AJ31" s="55" t="s">
        <v>139</v>
      </c>
      <c r="AK31" s="55">
        <v>20</v>
      </c>
      <c r="AL31" s="55" t="s">
        <v>139</v>
      </c>
      <c r="AM31" s="55">
        <v>0</v>
      </c>
      <c r="AN31" s="55" t="s">
        <v>139</v>
      </c>
      <c r="AO31" s="55">
        <v>0</v>
      </c>
      <c r="AP31" s="55" t="s">
        <v>139</v>
      </c>
      <c r="AQ31" s="55" t="s">
        <v>139</v>
      </c>
      <c r="AR31" s="55">
        <v>121</v>
      </c>
      <c r="AS31" s="55" t="s">
        <v>139</v>
      </c>
      <c r="AT31" s="55">
        <v>28</v>
      </c>
      <c r="AU31" s="55" t="s">
        <v>139</v>
      </c>
      <c r="AV31" s="55">
        <v>21</v>
      </c>
      <c r="AW31" s="55">
        <v>0</v>
      </c>
      <c r="AX31" s="55" t="s">
        <v>139</v>
      </c>
      <c r="AY31" s="55" t="s">
        <v>139</v>
      </c>
      <c r="AZ31" s="55" t="s">
        <v>139</v>
      </c>
      <c r="BA31" s="55" t="s">
        <v>139</v>
      </c>
      <c r="BB31" s="55" t="s">
        <v>139</v>
      </c>
      <c r="BC31" s="55" t="s">
        <v>139</v>
      </c>
      <c r="BD31" s="55" t="s">
        <v>139</v>
      </c>
      <c r="BE31" s="55" t="s">
        <v>139</v>
      </c>
      <c r="BF31" s="55">
        <v>15</v>
      </c>
      <c r="BG31" s="55" t="s">
        <v>139</v>
      </c>
      <c r="BH31" s="55">
        <v>9</v>
      </c>
      <c r="BI31" s="55" t="s">
        <v>139</v>
      </c>
      <c r="BJ31" s="55">
        <v>8</v>
      </c>
      <c r="BK31" s="55">
        <v>7</v>
      </c>
      <c r="BL31" s="55" t="s">
        <v>139</v>
      </c>
      <c r="BM31" s="55" t="s">
        <v>139</v>
      </c>
    </row>
    <row r="32" spans="1:65" ht="15" customHeight="1" x14ac:dyDescent="0.2">
      <c r="A32" s="55" t="s">
        <v>143</v>
      </c>
      <c r="B32" s="55" t="s">
        <v>139</v>
      </c>
      <c r="C32" s="55">
        <v>4</v>
      </c>
      <c r="D32" s="55" t="s">
        <v>139</v>
      </c>
      <c r="E32" s="55">
        <v>8</v>
      </c>
      <c r="F32" s="55">
        <v>68</v>
      </c>
      <c r="G32" s="55" t="s">
        <v>139</v>
      </c>
      <c r="H32" s="55" t="s">
        <v>139</v>
      </c>
      <c r="I32" s="55">
        <v>1</v>
      </c>
      <c r="J32" s="55" t="s">
        <v>139</v>
      </c>
      <c r="K32" s="55" t="s">
        <v>139</v>
      </c>
      <c r="L32" s="55" t="s">
        <v>139</v>
      </c>
      <c r="M32" s="55" t="s">
        <v>139</v>
      </c>
      <c r="N32" s="55" t="s">
        <v>139</v>
      </c>
      <c r="O32" s="55" t="s">
        <v>139</v>
      </c>
      <c r="P32" s="55" t="s">
        <v>139</v>
      </c>
      <c r="Q32" s="55" t="s">
        <v>139</v>
      </c>
      <c r="R32" s="55" t="s">
        <v>139</v>
      </c>
      <c r="S32" s="55">
        <v>0</v>
      </c>
      <c r="T32" s="55">
        <v>26</v>
      </c>
      <c r="U32" s="55" t="s">
        <v>139</v>
      </c>
      <c r="V32" s="55" t="s">
        <v>139</v>
      </c>
      <c r="W32" s="55">
        <v>7</v>
      </c>
      <c r="X32" s="55" t="s">
        <v>139</v>
      </c>
      <c r="Y32" s="55">
        <v>0</v>
      </c>
      <c r="Z32" s="55" t="s">
        <v>139</v>
      </c>
      <c r="AA32" s="55" t="s">
        <v>139</v>
      </c>
      <c r="AB32" s="55" t="s">
        <v>139</v>
      </c>
      <c r="AC32" s="55" t="s">
        <v>139</v>
      </c>
      <c r="AD32" s="55" t="s">
        <v>139</v>
      </c>
      <c r="AE32" s="55" t="s">
        <v>139</v>
      </c>
      <c r="AF32" s="55" t="s">
        <v>139</v>
      </c>
      <c r="AG32" s="55" t="s">
        <v>139</v>
      </c>
      <c r="AH32" s="55">
        <v>33</v>
      </c>
      <c r="AI32" s="55" t="s">
        <v>139</v>
      </c>
      <c r="AJ32" s="55" t="s">
        <v>139</v>
      </c>
      <c r="AK32" s="55">
        <v>13</v>
      </c>
      <c r="AL32" s="55" t="s">
        <v>139</v>
      </c>
      <c r="AM32" s="55">
        <v>0</v>
      </c>
      <c r="AN32" s="55" t="s">
        <v>139</v>
      </c>
      <c r="AO32" s="55">
        <v>0</v>
      </c>
      <c r="AP32" s="55" t="s">
        <v>139</v>
      </c>
      <c r="AQ32" s="55" t="s">
        <v>139</v>
      </c>
      <c r="AR32" s="55">
        <v>120</v>
      </c>
      <c r="AS32" s="55" t="s">
        <v>139</v>
      </c>
      <c r="AT32" s="55">
        <v>36</v>
      </c>
      <c r="AU32" s="55" t="s">
        <v>139</v>
      </c>
      <c r="AV32" s="55">
        <v>26</v>
      </c>
      <c r="AW32" s="55">
        <v>0</v>
      </c>
      <c r="AX32" s="55" t="s">
        <v>139</v>
      </c>
      <c r="AY32" s="55" t="s">
        <v>139</v>
      </c>
      <c r="AZ32" s="55" t="s">
        <v>139</v>
      </c>
      <c r="BA32" s="55" t="s">
        <v>139</v>
      </c>
      <c r="BB32" s="55" t="s">
        <v>139</v>
      </c>
      <c r="BC32" s="55" t="s">
        <v>139</v>
      </c>
      <c r="BD32" s="55" t="s">
        <v>139</v>
      </c>
      <c r="BE32" s="55" t="s">
        <v>139</v>
      </c>
      <c r="BF32" s="55">
        <v>22</v>
      </c>
      <c r="BG32" s="55" t="s">
        <v>139</v>
      </c>
      <c r="BH32" s="55">
        <v>8</v>
      </c>
      <c r="BI32" s="55" t="s">
        <v>139</v>
      </c>
      <c r="BJ32" s="55">
        <v>18</v>
      </c>
      <c r="BK32" s="55">
        <v>6</v>
      </c>
      <c r="BL32" s="55" t="s">
        <v>139</v>
      </c>
      <c r="BM32" s="55" t="s">
        <v>139</v>
      </c>
    </row>
    <row r="33" spans="1:65" ht="15" customHeight="1" x14ac:dyDescent="0.2">
      <c r="A33" s="55" t="s">
        <v>142</v>
      </c>
      <c r="B33" s="55" t="s">
        <v>139</v>
      </c>
      <c r="C33" s="55">
        <v>1</v>
      </c>
      <c r="D33" s="55" t="s">
        <v>139</v>
      </c>
      <c r="E33" s="55">
        <v>12</v>
      </c>
      <c r="F33" s="55">
        <v>59</v>
      </c>
      <c r="G33" s="55" t="s">
        <v>139</v>
      </c>
      <c r="H33" s="55" t="s">
        <v>139</v>
      </c>
      <c r="I33" s="55">
        <v>0</v>
      </c>
      <c r="J33" s="55" t="s">
        <v>139</v>
      </c>
      <c r="K33" s="55" t="s">
        <v>139</v>
      </c>
      <c r="L33" s="55" t="s">
        <v>139</v>
      </c>
      <c r="M33" s="55" t="s">
        <v>139</v>
      </c>
      <c r="N33" s="55" t="s">
        <v>139</v>
      </c>
      <c r="O33" s="55" t="s">
        <v>139</v>
      </c>
      <c r="P33" s="55" t="s">
        <v>139</v>
      </c>
      <c r="Q33" s="55" t="s">
        <v>139</v>
      </c>
      <c r="R33" s="55" t="s">
        <v>139</v>
      </c>
      <c r="S33" s="55">
        <v>0</v>
      </c>
      <c r="T33" s="55">
        <v>18</v>
      </c>
      <c r="U33" s="55" t="s">
        <v>139</v>
      </c>
      <c r="V33" s="55" t="s">
        <v>139</v>
      </c>
      <c r="W33" s="55">
        <v>4</v>
      </c>
      <c r="X33" s="55" t="s">
        <v>139</v>
      </c>
      <c r="Y33" s="55">
        <v>0</v>
      </c>
      <c r="Z33" s="55" t="s">
        <v>139</v>
      </c>
      <c r="AA33" s="55" t="s">
        <v>139</v>
      </c>
      <c r="AB33" s="55" t="s">
        <v>139</v>
      </c>
      <c r="AC33" s="55" t="s">
        <v>139</v>
      </c>
      <c r="AD33" s="55" t="s">
        <v>139</v>
      </c>
      <c r="AE33" s="55" t="s">
        <v>139</v>
      </c>
      <c r="AF33" s="55" t="s">
        <v>139</v>
      </c>
      <c r="AG33" s="55" t="s">
        <v>139</v>
      </c>
      <c r="AH33" s="55">
        <v>17</v>
      </c>
      <c r="AI33" s="55" t="s">
        <v>139</v>
      </c>
      <c r="AJ33" s="55" t="s">
        <v>139</v>
      </c>
      <c r="AK33" s="55">
        <v>10</v>
      </c>
      <c r="AL33" s="55" t="s">
        <v>139</v>
      </c>
      <c r="AM33" s="55">
        <v>1</v>
      </c>
      <c r="AN33" s="55" t="s">
        <v>139</v>
      </c>
      <c r="AO33" s="55">
        <v>0</v>
      </c>
      <c r="AP33" s="55" t="s">
        <v>139</v>
      </c>
      <c r="AQ33" s="55" t="s">
        <v>139</v>
      </c>
      <c r="AR33" s="55">
        <v>115</v>
      </c>
      <c r="AS33" s="55" t="s">
        <v>139</v>
      </c>
      <c r="AT33" s="55">
        <v>26</v>
      </c>
      <c r="AU33" s="55" t="s">
        <v>139</v>
      </c>
      <c r="AV33" s="55">
        <v>31</v>
      </c>
      <c r="AW33" s="55">
        <v>0</v>
      </c>
      <c r="AX33" s="55" t="s">
        <v>139</v>
      </c>
      <c r="AY33" s="55" t="s">
        <v>139</v>
      </c>
      <c r="AZ33" s="55" t="s">
        <v>139</v>
      </c>
      <c r="BA33" s="55" t="s">
        <v>139</v>
      </c>
      <c r="BB33" s="55" t="s">
        <v>139</v>
      </c>
      <c r="BC33" s="55" t="s">
        <v>139</v>
      </c>
      <c r="BD33" s="55" t="s">
        <v>139</v>
      </c>
      <c r="BE33" s="55" t="s">
        <v>139</v>
      </c>
      <c r="BF33" s="55">
        <v>22</v>
      </c>
      <c r="BG33" s="55" t="s">
        <v>139</v>
      </c>
      <c r="BH33" s="55">
        <v>9</v>
      </c>
      <c r="BI33" s="55" t="s">
        <v>139</v>
      </c>
      <c r="BJ33" s="55">
        <v>16</v>
      </c>
      <c r="BK33" s="55">
        <v>9</v>
      </c>
      <c r="BL33" s="55" t="s">
        <v>139</v>
      </c>
      <c r="BM33" s="55" t="s">
        <v>139</v>
      </c>
    </row>
    <row r="34" spans="1:65" ht="15" customHeight="1" x14ac:dyDescent="0.2">
      <c r="A34" s="55" t="s">
        <v>141</v>
      </c>
      <c r="B34" s="55" t="s">
        <v>139</v>
      </c>
      <c r="C34" s="55">
        <v>6</v>
      </c>
      <c r="D34" s="55" t="s">
        <v>139</v>
      </c>
      <c r="E34" s="55">
        <v>12</v>
      </c>
      <c r="F34" s="55">
        <v>61</v>
      </c>
      <c r="G34" s="55" t="s">
        <v>139</v>
      </c>
      <c r="H34" s="55" t="s">
        <v>139</v>
      </c>
      <c r="I34" s="55">
        <v>2</v>
      </c>
      <c r="J34" s="55" t="s">
        <v>139</v>
      </c>
      <c r="K34" s="55" t="s">
        <v>139</v>
      </c>
      <c r="L34" s="55" t="s">
        <v>139</v>
      </c>
      <c r="M34" s="55" t="s">
        <v>139</v>
      </c>
      <c r="N34" s="55" t="s">
        <v>139</v>
      </c>
      <c r="O34" s="55" t="s">
        <v>139</v>
      </c>
      <c r="P34" s="55" t="s">
        <v>139</v>
      </c>
      <c r="Q34" s="55" t="s">
        <v>139</v>
      </c>
      <c r="R34" s="55" t="s">
        <v>139</v>
      </c>
      <c r="S34" s="55">
        <v>0</v>
      </c>
      <c r="T34" s="55">
        <v>14</v>
      </c>
      <c r="U34" s="55" t="s">
        <v>139</v>
      </c>
      <c r="V34" s="55" t="s">
        <v>139</v>
      </c>
      <c r="W34" s="55">
        <v>3</v>
      </c>
      <c r="X34" s="55" t="s">
        <v>139</v>
      </c>
      <c r="Y34" s="55">
        <v>0</v>
      </c>
      <c r="Z34" s="55" t="s">
        <v>139</v>
      </c>
      <c r="AA34" s="55" t="s">
        <v>139</v>
      </c>
      <c r="AB34" s="55" t="s">
        <v>139</v>
      </c>
      <c r="AC34" s="55" t="s">
        <v>139</v>
      </c>
      <c r="AD34" s="55" t="s">
        <v>139</v>
      </c>
      <c r="AE34" s="55" t="s">
        <v>139</v>
      </c>
      <c r="AF34" s="55" t="s">
        <v>139</v>
      </c>
      <c r="AG34" s="55" t="s">
        <v>139</v>
      </c>
      <c r="AH34" s="55">
        <v>41</v>
      </c>
      <c r="AI34" s="55" t="s">
        <v>139</v>
      </c>
      <c r="AJ34" s="55" t="s">
        <v>139</v>
      </c>
      <c r="AK34" s="55">
        <v>10</v>
      </c>
      <c r="AL34" s="55" t="s">
        <v>139</v>
      </c>
      <c r="AM34" s="55">
        <v>0</v>
      </c>
      <c r="AN34" s="55" t="s">
        <v>139</v>
      </c>
      <c r="AO34" s="55">
        <v>0</v>
      </c>
      <c r="AP34" s="55" t="s">
        <v>139</v>
      </c>
      <c r="AQ34" s="55" t="s">
        <v>139</v>
      </c>
      <c r="AR34" s="55">
        <v>118</v>
      </c>
      <c r="AS34" s="55" t="s">
        <v>139</v>
      </c>
      <c r="AT34" s="55">
        <v>33</v>
      </c>
      <c r="AU34" s="55" t="s">
        <v>139</v>
      </c>
      <c r="AV34" s="55">
        <v>34</v>
      </c>
      <c r="AW34" s="55">
        <v>0</v>
      </c>
      <c r="AX34" s="55" t="s">
        <v>139</v>
      </c>
      <c r="AY34" s="55" t="s">
        <v>139</v>
      </c>
      <c r="AZ34" s="55" t="s">
        <v>139</v>
      </c>
      <c r="BA34" s="55" t="s">
        <v>139</v>
      </c>
      <c r="BB34" s="55" t="s">
        <v>139</v>
      </c>
      <c r="BC34" s="55" t="s">
        <v>139</v>
      </c>
      <c r="BD34" s="55" t="s">
        <v>139</v>
      </c>
      <c r="BE34" s="55" t="s">
        <v>139</v>
      </c>
      <c r="BF34" s="55">
        <v>19</v>
      </c>
      <c r="BG34" s="55" t="s">
        <v>139</v>
      </c>
      <c r="BH34" s="55">
        <v>10</v>
      </c>
      <c r="BI34" s="55" t="s">
        <v>139</v>
      </c>
      <c r="BJ34" s="55">
        <v>12</v>
      </c>
      <c r="BK34" s="55">
        <v>11</v>
      </c>
      <c r="BL34" s="55" t="s">
        <v>139</v>
      </c>
      <c r="BM34" s="55" t="s">
        <v>139</v>
      </c>
    </row>
    <row r="35" spans="1:65" ht="15" customHeight="1" x14ac:dyDescent="0.2">
      <c r="A35" s="55" t="s">
        <v>140</v>
      </c>
      <c r="B35" s="55" t="s">
        <v>139</v>
      </c>
      <c r="C35" s="55">
        <v>2</v>
      </c>
      <c r="D35" s="55" t="s">
        <v>139</v>
      </c>
      <c r="E35" s="55">
        <v>12</v>
      </c>
      <c r="F35" s="55">
        <v>47</v>
      </c>
      <c r="G35" s="55" t="s">
        <v>139</v>
      </c>
      <c r="H35" s="55" t="s">
        <v>139</v>
      </c>
      <c r="I35" s="55">
        <v>0</v>
      </c>
      <c r="J35" s="55" t="s">
        <v>139</v>
      </c>
      <c r="K35" s="55" t="s">
        <v>139</v>
      </c>
      <c r="L35" s="55" t="s">
        <v>139</v>
      </c>
      <c r="M35" s="55" t="s">
        <v>139</v>
      </c>
      <c r="N35" s="55" t="s">
        <v>139</v>
      </c>
      <c r="O35" s="55" t="s">
        <v>139</v>
      </c>
      <c r="P35" s="55" t="s">
        <v>139</v>
      </c>
      <c r="Q35" s="55" t="s">
        <v>139</v>
      </c>
      <c r="R35" s="55" t="s">
        <v>139</v>
      </c>
      <c r="S35" s="55">
        <v>0</v>
      </c>
      <c r="T35" s="55">
        <v>13</v>
      </c>
      <c r="U35" s="55" t="s">
        <v>139</v>
      </c>
      <c r="V35" s="55" t="s">
        <v>139</v>
      </c>
      <c r="W35" s="55">
        <v>4</v>
      </c>
      <c r="X35" s="55" t="s">
        <v>139</v>
      </c>
      <c r="Y35" s="55">
        <v>0</v>
      </c>
      <c r="Z35" s="55" t="s">
        <v>139</v>
      </c>
      <c r="AA35" s="55" t="s">
        <v>139</v>
      </c>
      <c r="AB35" s="55" t="s">
        <v>139</v>
      </c>
      <c r="AC35" s="55" t="s">
        <v>139</v>
      </c>
      <c r="AD35" s="55" t="s">
        <v>139</v>
      </c>
      <c r="AE35" s="55" t="s">
        <v>139</v>
      </c>
      <c r="AF35" s="55" t="s">
        <v>139</v>
      </c>
      <c r="AG35" s="55" t="s">
        <v>139</v>
      </c>
      <c r="AH35" s="55">
        <v>21</v>
      </c>
      <c r="AI35" s="55" t="s">
        <v>139</v>
      </c>
      <c r="AJ35" s="55" t="s">
        <v>139</v>
      </c>
      <c r="AK35" s="55">
        <v>8</v>
      </c>
      <c r="AL35" s="55" t="s">
        <v>139</v>
      </c>
      <c r="AM35" s="55">
        <v>1</v>
      </c>
      <c r="AN35" s="55" t="s">
        <v>139</v>
      </c>
      <c r="AO35" s="55">
        <v>0</v>
      </c>
      <c r="AP35" s="55" t="s">
        <v>139</v>
      </c>
      <c r="AQ35" s="55" t="s">
        <v>139</v>
      </c>
      <c r="AR35" s="55">
        <v>108</v>
      </c>
      <c r="AS35" s="55" t="s">
        <v>139</v>
      </c>
      <c r="AT35" s="55">
        <v>33</v>
      </c>
      <c r="AU35" s="55" t="s">
        <v>139</v>
      </c>
      <c r="AV35" s="55">
        <v>30</v>
      </c>
      <c r="AW35" s="55">
        <v>0</v>
      </c>
      <c r="AX35" s="55" t="s">
        <v>139</v>
      </c>
      <c r="AY35" s="55" t="s">
        <v>139</v>
      </c>
      <c r="AZ35" s="55" t="s">
        <v>139</v>
      </c>
      <c r="BA35" s="55" t="s">
        <v>139</v>
      </c>
      <c r="BB35" s="55" t="s">
        <v>139</v>
      </c>
      <c r="BC35" s="55" t="s">
        <v>139</v>
      </c>
      <c r="BD35" s="55" t="s">
        <v>139</v>
      </c>
      <c r="BE35" s="55" t="s">
        <v>139</v>
      </c>
      <c r="BF35" s="55">
        <v>12</v>
      </c>
      <c r="BG35" s="55" t="s">
        <v>139</v>
      </c>
      <c r="BH35" s="55">
        <v>14</v>
      </c>
      <c r="BI35" s="55" t="s">
        <v>139</v>
      </c>
      <c r="BJ35" s="55">
        <v>15</v>
      </c>
      <c r="BK35" s="55">
        <v>4</v>
      </c>
      <c r="BL35" s="55" t="s">
        <v>139</v>
      </c>
      <c r="BM35" s="55" t="s">
        <v>139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2022-05-12T03:47:20Z</dcterms:modified>
</cp:coreProperties>
</file>