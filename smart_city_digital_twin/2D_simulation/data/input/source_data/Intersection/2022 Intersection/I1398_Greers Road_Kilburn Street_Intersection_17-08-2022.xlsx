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52485875-0C62-4ACF-8355-84E2C9AEE3E6}"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Q150" i="6" s="1"/>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67" i="6"/>
  <c r="Q282" i="6"/>
  <c r="Q250" i="6"/>
  <c r="Q202" i="6"/>
  <c r="Q162" i="6"/>
  <c r="Q106" i="6"/>
  <c r="Q90" i="6"/>
  <c r="Q50" i="6"/>
  <c r="Q280" i="6"/>
  <c r="Q268" i="6"/>
  <c r="Q216" i="6"/>
  <c r="Q177" i="6"/>
  <c r="Q140" i="6"/>
  <c r="Q88" i="6"/>
  <c r="Q276" i="6"/>
  <c r="Q110" i="6"/>
  <c r="Q71" i="6"/>
  <c r="Q300" i="6"/>
  <c r="Q73" i="6"/>
  <c r="Q48" i="6"/>
  <c r="Q302" i="6"/>
  <c r="Q263" i="6"/>
  <c r="Q238" i="6"/>
  <c r="Q199" i="6"/>
  <c r="Q135" i="6"/>
  <c r="Q96" i="6"/>
  <c r="Q57" i="6"/>
  <c r="Q248" i="6"/>
  <c r="Q303" i="6"/>
  <c r="Q278" i="6"/>
  <c r="Q239" i="6"/>
  <c r="Q225" i="6"/>
  <c r="Q200" i="6"/>
  <c r="Q175" i="6"/>
  <c r="Q111" i="6"/>
  <c r="Q97" i="6"/>
  <c r="Q86" i="6"/>
  <c r="Q224" i="6"/>
  <c r="Q185" i="6"/>
  <c r="Q46" i="6"/>
  <c r="Q272" i="6"/>
  <c r="Q244" i="6"/>
  <c r="Q81" i="6"/>
  <c r="Q233" i="6"/>
  <c r="Q183" i="6"/>
  <c r="Q132" i="6"/>
  <c r="Q105" i="6"/>
  <c r="Q286" i="6"/>
  <c r="Q256" i="6"/>
  <c r="Q94" i="6"/>
  <c r="Q168" i="6"/>
  <c r="Q118" i="6"/>
  <c r="Q246" i="6"/>
  <c r="Q116" i="6"/>
  <c r="Q64" i="6"/>
  <c r="Q223" i="6"/>
  <c r="Q296" i="6"/>
  <c r="Q78" i="6"/>
  <c r="Q206" i="6"/>
  <c r="Q54" i="6"/>
  <c r="Q180" i="6"/>
  <c r="Q104" i="6"/>
  <c r="H8" i="6"/>
  <c r="B4" i="7" s="1"/>
  <c r="O6" i="6"/>
  <c r="I6" i="4" l="1"/>
  <c r="I166" i="4"/>
  <c r="I26" i="4"/>
  <c r="I266" i="4"/>
  <c r="I226" i="4"/>
  <c r="I66" i="4"/>
  <c r="I206" i="4"/>
  <c r="I286" i="4"/>
  <c r="I306" i="4"/>
  <c r="I106" i="4"/>
  <c r="I86" i="4"/>
  <c r="I246" i="4"/>
  <c r="I126" i="4"/>
  <c r="I46" i="4"/>
  <c r="I146" i="4"/>
  <c r="I186" i="4"/>
  <c r="I326" i="4"/>
  <c r="I346" i="4"/>
  <c r="I198" i="4"/>
  <c r="I98" i="4"/>
  <c r="I78" i="4"/>
  <c r="I238" i="4"/>
  <c r="I138" i="4"/>
  <c r="I18" i="4"/>
  <c r="I38" i="4"/>
  <c r="I118" i="4"/>
  <c r="I58" i="4"/>
  <c r="I298" i="4"/>
  <c r="I158" i="4"/>
  <c r="I318" i="4"/>
  <c r="I338" i="4"/>
  <c r="I218" i="4"/>
  <c r="I178" i="4"/>
  <c r="I358" i="4"/>
  <c r="I278" i="4"/>
  <c r="I258" i="4"/>
  <c r="I3" i="4"/>
  <c r="I83" i="4"/>
  <c r="I163" i="4"/>
  <c r="I243" i="4"/>
  <c r="I323" i="4"/>
  <c r="I23" i="4"/>
  <c r="I103" i="4"/>
  <c r="I183" i="4"/>
  <c r="I263" i="4"/>
  <c r="I283" i="4"/>
  <c r="I43" i="4"/>
  <c r="I123" i="4"/>
  <c r="I203" i="4"/>
  <c r="I63" i="4"/>
  <c r="I143" i="4"/>
  <c r="I223" i="4"/>
  <c r="I303" i="4"/>
  <c r="I343" i="4"/>
  <c r="I5" i="4"/>
  <c r="I85" i="4"/>
  <c r="I165" i="4"/>
  <c r="I245" i="4"/>
  <c r="I325" i="4"/>
  <c r="I25" i="4"/>
  <c r="I105" i="4"/>
  <c r="I185" i="4"/>
  <c r="I265" i="4"/>
  <c r="I45" i="4"/>
  <c r="I125" i="4"/>
  <c r="I205" i="4"/>
  <c r="I285" i="4"/>
  <c r="I65" i="4"/>
  <c r="I145" i="4"/>
  <c r="I225" i="4"/>
  <c r="I305" i="4"/>
  <c r="I345" i="4"/>
  <c r="I53" i="4"/>
  <c r="I133" i="4"/>
  <c r="I213" i="4"/>
  <c r="I293" i="4"/>
  <c r="I73" i="4"/>
  <c r="I153" i="4"/>
  <c r="I233" i="4"/>
  <c r="I313" i="4"/>
  <c r="I353" i="4"/>
  <c r="I13" i="4"/>
  <c r="I93" i="4"/>
  <c r="I173" i="4"/>
  <c r="I253" i="4"/>
  <c r="I333" i="4"/>
  <c r="I33" i="4"/>
  <c r="I113" i="4"/>
  <c r="I193" i="4"/>
  <c r="I273" i="4"/>
  <c r="I50" i="4"/>
  <c r="I70" i="4"/>
  <c r="I230" i="4"/>
  <c r="I330" i="4"/>
  <c r="I130" i="4"/>
  <c r="I110" i="4"/>
  <c r="I170" i="4"/>
  <c r="I150" i="4"/>
  <c r="I270" i="4"/>
  <c r="I290" i="4"/>
  <c r="I190" i="4"/>
  <c r="I10" i="4"/>
  <c r="I90" i="4"/>
  <c r="I30" i="4"/>
  <c r="I210" i="4"/>
  <c r="I310" i="4"/>
  <c r="I350" i="4"/>
  <c r="I250" i="4"/>
  <c r="I67" i="4"/>
  <c r="I147" i="4"/>
  <c r="I227" i="4"/>
  <c r="I287" i="4"/>
  <c r="I7" i="4"/>
  <c r="I87" i="4"/>
  <c r="I167" i="4"/>
  <c r="I247" i="4"/>
  <c r="I307" i="4"/>
  <c r="I27" i="4"/>
  <c r="I107" i="4"/>
  <c r="I187" i="4"/>
  <c r="I347" i="4"/>
  <c r="I47" i="4"/>
  <c r="I127" i="4"/>
  <c r="I207" i="4"/>
  <c r="I267" i="4"/>
  <c r="I327" i="4"/>
  <c r="I40" i="4"/>
  <c r="I220" i="4"/>
  <c r="I300" i="4"/>
  <c r="I280" i="4"/>
  <c r="I360" i="4"/>
  <c r="I80" i="4"/>
  <c r="I240" i="4"/>
  <c r="I60" i="4"/>
  <c r="I100" i="4"/>
  <c r="I120" i="4"/>
  <c r="I140" i="4"/>
  <c r="I160" i="4"/>
  <c r="I340" i="4"/>
  <c r="I20" i="4"/>
  <c r="I180" i="4"/>
  <c r="I200" i="4"/>
  <c r="I260" i="4"/>
  <c r="I320" i="4"/>
  <c r="I102" i="4"/>
  <c r="I302" i="4"/>
  <c r="I62" i="4"/>
  <c r="I162" i="4"/>
  <c r="I2" i="4"/>
  <c r="I22" i="4"/>
  <c r="I142" i="4"/>
  <c r="I42" i="4"/>
  <c r="I202" i="4"/>
  <c r="I262" i="4"/>
  <c r="I182" i="4"/>
  <c r="I322" i="4"/>
  <c r="I222" i="4"/>
  <c r="I282" i="4"/>
  <c r="I82" i="4"/>
  <c r="I242" i="4"/>
  <c r="I342" i="4"/>
  <c r="I122" i="4"/>
  <c r="I134" i="4"/>
  <c r="I194" i="4"/>
  <c r="I174" i="4"/>
  <c r="I314" i="4"/>
  <c r="I14" i="4"/>
  <c r="I74" i="4"/>
  <c r="I234" i="4"/>
  <c r="I274" i="4"/>
  <c r="I214" i="4"/>
  <c r="I334" i="4"/>
  <c r="I34" i="4"/>
  <c r="I54" i="4"/>
  <c r="I94" i="4"/>
  <c r="I254" i="4"/>
  <c r="I154" i="4"/>
  <c r="I294" i="4"/>
  <c r="I354" i="4"/>
  <c r="I114" i="4"/>
  <c r="I51" i="4"/>
  <c r="I131" i="4"/>
  <c r="I211" i="4"/>
  <c r="I71" i="4"/>
  <c r="I151" i="4"/>
  <c r="I231" i="4"/>
  <c r="I271" i="4"/>
  <c r="I11" i="4"/>
  <c r="I91" i="4"/>
  <c r="I171" i="4"/>
  <c r="I251" i="4"/>
  <c r="I291" i="4"/>
  <c r="I31" i="4"/>
  <c r="I111" i="4"/>
  <c r="I191" i="4"/>
  <c r="I351" i="4"/>
  <c r="I331" i="4"/>
  <c r="I311" i="4"/>
  <c r="I8" i="4"/>
  <c r="I188" i="4"/>
  <c r="I208" i="4"/>
  <c r="I308" i="4"/>
  <c r="I28" i="4"/>
  <c r="I228" i="4"/>
  <c r="I328" i="4"/>
  <c r="I348" i="4"/>
  <c r="I88" i="4"/>
  <c r="I248" i="4"/>
  <c r="I48" i="4"/>
  <c r="I108" i="4"/>
  <c r="I128" i="4"/>
  <c r="I68" i="4"/>
  <c r="I148" i="4"/>
  <c r="I168" i="4"/>
  <c r="I268" i="4"/>
  <c r="I288" i="4"/>
  <c r="I24" i="4"/>
  <c r="I124" i="4"/>
  <c r="I344" i="4"/>
  <c r="I144" i="4"/>
  <c r="I284" i="4"/>
  <c r="I44" i="4"/>
  <c r="I164" i="4"/>
  <c r="I264" i="4"/>
  <c r="I184" i="4"/>
  <c r="I64" i="4"/>
  <c r="I204" i="4"/>
  <c r="I224" i="4"/>
  <c r="I4" i="4"/>
  <c r="I84" i="4"/>
  <c r="I244" i="4"/>
  <c r="I104" i="4"/>
  <c r="I324" i="4"/>
  <c r="I304" i="4"/>
  <c r="I92" i="4"/>
  <c r="I252" i="4"/>
  <c r="I112" i="4"/>
  <c r="I12" i="4"/>
  <c r="I132" i="4"/>
  <c r="I152" i="4"/>
  <c r="I292" i="4"/>
  <c r="I32" i="4"/>
  <c r="I172" i="4"/>
  <c r="I332" i="4"/>
  <c r="I312" i="4"/>
  <c r="I352" i="4"/>
  <c r="I192" i="4"/>
  <c r="I52" i="4"/>
  <c r="I212" i="4"/>
  <c r="I72" i="4"/>
  <c r="I232" i="4"/>
  <c r="I272" i="4"/>
  <c r="I35" i="4"/>
  <c r="I115" i="4"/>
  <c r="I195" i="4"/>
  <c r="I355" i="4"/>
  <c r="I55" i="4"/>
  <c r="I135" i="4"/>
  <c r="I215" i="4"/>
  <c r="I335" i="4"/>
  <c r="I75" i="4"/>
  <c r="I155" i="4"/>
  <c r="I235" i="4"/>
  <c r="I255" i="4"/>
  <c r="I15" i="4"/>
  <c r="I95" i="4"/>
  <c r="I175" i="4"/>
  <c r="I275" i="4"/>
  <c r="I315" i="4"/>
  <c r="I295" i="4"/>
  <c r="I69" i="4"/>
  <c r="I149" i="4"/>
  <c r="I229" i="4"/>
  <c r="I309" i="4"/>
  <c r="I349" i="4"/>
  <c r="I9" i="4"/>
  <c r="I89" i="4"/>
  <c r="I169" i="4"/>
  <c r="I249" i="4"/>
  <c r="I329" i="4"/>
  <c r="I29" i="4"/>
  <c r="I109" i="4"/>
  <c r="I189" i="4"/>
  <c r="I269" i="4"/>
  <c r="I49" i="4"/>
  <c r="I129" i="4"/>
  <c r="I209" i="4"/>
  <c r="I289" i="4"/>
  <c r="I21" i="4"/>
  <c r="I101" i="4"/>
  <c r="I181" i="4"/>
  <c r="I261" i="4"/>
  <c r="I341" i="4"/>
  <c r="I41" i="4"/>
  <c r="I121" i="4"/>
  <c r="I201" i="4"/>
  <c r="I281" i="4"/>
  <c r="I61" i="4"/>
  <c r="I141" i="4"/>
  <c r="I221" i="4"/>
  <c r="I301" i="4"/>
  <c r="I361" i="4"/>
  <c r="I81" i="4"/>
  <c r="I161" i="4"/>
  <c r="I241" i="4"/>
  <c r="I321" i="4"/>
  <c r="I37" i="4"/>
  <c r="I117" i="4"/>
  <c r="I197" i="4"/>
  <c r="I277" i="4"/>
  <c r="I57" i="4"/>
  <c r="I137" i="4"/>
  <c r="I217" i="4"/>
  <c r="I297" i="4"/>
  <c r="I357" i="4"/>
  <c r="I77" i="4"/>
  <c r="I157" i="4"/>
  <c r="I237" i="4"/>
  <c r="I317" i="4"/>
  <c r="I17" i="4"/>
  <c r="I97" i="4"/>
  <c r="I177" i="4"/>
  <c r="I257" i="4"/>
  <c r="I337" i="4"/>
  <c r="I56" i="4"/>
  <c r="I156" i="4"/>
  <c r="I176" i="4"/>
  <c r="I196" i="4"/>
  <c r="I316" i="4"/>
  <c r="I216" i="4"/>
  <c r="I16" i="4"/>
  <c r="I76" i="4"/>
  <c r="I236" i="4"/>
  <c r="I96" i="4"/>
  <c r="I276" i="4"/>
  <c r="I36" i="4"/>
  <c r="I116" i="4"/>
  <c r="I296" i="4"/>
  <c r="I356" i="4"/>
  <c r="I136" i="4"/>
  <c r="I256" i="4"/>
  <c r="I336" i="4"/>
  <c r="I19" i="4"/>
  <c r="I99" i="4"/>
  <c r="I179" i="4"/>
  <c r="I259" i="4"/>
  <c r="I39" i="4"/>
  <c r="I119" i="4"/>
  <c r="I199" i="4"/>
  <c r="I59" i="4"/>
  <c r="I139" i="4"/>
  <c r="I219" i="4"/>
  <c r="I319" i="4"/>
  <c r="I79" i="4"/>
  <c r="I159" i="4"/>
  <c r="I239" i="4"/>
  <c r="I339" i="4"/>
  <c r="I279" i="4"/>
  <c r="I35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<sst xmlns="http://schemas.openxmlformats.org/spreadsheetml/2006/main" count="7495" uniqueCount="168">
  <si>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</si>
  <si>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</si>
  <si>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</si>
  <si>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</si>
  <si>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</si>
  <si>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</si>
  <si>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</si>
  <si>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</si>
  <si>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</si>
  <si>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</si>
  <si>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</si>
  <si>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</si>
  <si>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</si>
  <si>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</si>
  <si>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</si>
  <si>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</si>
  <si>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</si>
  <si>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</si>
  <si>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</si>
  <si>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</si>
  <si>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</si>
  <si>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</si>
  <si>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</si>
  <si>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</si>
  <si>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</si>
  <si>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</si>
  <si>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</si>
  <si>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</si>
  <si>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</si>
  <si>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</si>
  <si>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</si>
  <si>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</si>
  <si>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</si>
  <si>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</si>
  <si>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</si>
  <si>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</si>
  <si>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</si>
  <si>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</si>
  <si>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</si>
  <si>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</si>
  <si>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</si>
  <si>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</si>
  <si>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</si>
  <si>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</si>
  <si>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</si>
  <si>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</si>
  <si>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</si>
  <si>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</si>
  <si>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</si>
  <si>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</si>
  <si>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</si>
  <si>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</si>
  <si>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</si>
  <si>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</si>
  <si>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</si>
  <si>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</si>
  <si>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</si>
  <si>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</si>
  <si>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</si>
  <si>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</si>
  <si>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</si>
  <si>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</si>
  <si>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</si>
  <si>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</si>
  <si>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</si>
  <si>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</si>
  <si>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</si>
  <si>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</si>
  <si>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</si>
  <si>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</si>
  <si>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</si>
  <si>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</si>
  <si>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</si>
  <si>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</si>
  <si>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</si>
  <si>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</si>
  <si>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</si>
  <si>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</si>
  <si>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</si>
  <si>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</si>
  <si>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</si>
  <si>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</si>
  <si>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</si>
  <si>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</si>
  <si>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</si>
  <si>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</si>
  <si>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</si>
  <si>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</si>
  <si>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</si>
  <si>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</si>
  <si>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</si>
  <si>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</si>
  <si>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Greers Road North</t>
  </si>
  <si>
    <t>Greers Road South</t>
  </si>
  <si>
    <t>Thru to Greers Road South</t>
  </si>
  <si>
    <t>Thru to Greers Road North</t>
  </si>
  <si>
    <t>Greers Road_Kilburn Street_Intersection</t>
  </si>
  <si>
    <t>Kilburn Street West</t>
  </si>
  <si>
    <t>Right into Kilburn Street West</t>
  </si>
  <si>
    <t>Left into Kilburn Street West</t>
  </si>
  <si>
    <t>Left into Greers Road North</t>
  </si>
  <si>
    <t>Right into Greers Road South</t>
  </si>
  <si>
    <t>Greers Road_Kilburn Street_Intersection      Fine      17/08/2022</t>
  </si>
  <si>
    <t>Greers Road North Total</t>
  </si>
  <si>
    <t>Greers Road South Total</t>
  </si>
  <si>
    <t>Kilburn Street West Total</t>
  </si>
  <si>
    <t>Thru to Greers Road South Total</t>
  </si>
  <si>
    <t>Right into Kilburn Street West Total</t>
  </si>
  <si>
    <t>Left into Kilburn Street West Total</t>
  </si>
  <si>
    <t>Thru to Greers Road North Total</t>
  </si>
  <si>
    <t>Left into Greers Road North Total</t>
  </si>
  <si>
    <t>Right into Greers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</si>
  <si>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</si>
  <si>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</si>
  <si>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</si>
  <si>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</si>
  <si>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</si>
  <si>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</si>
  <si>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</si>
  <si>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</si>
  <si>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</si>
  <si>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</si>
  <si>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</si>
  <si>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</si>
  <si>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</si>
  <si>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</si>
  <si>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</si>
  <si>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</si>
  <si>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</si>
  <si>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</si>
  <si>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</si>
  <si>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</si>
  <si>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</si>
  <si>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</si>
  <si>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</si>
  <si>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</si>
  <si>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</si>
  <si>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</si>
  <si>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</si>
  <si>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</si>
  <si>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</si>
  <si>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</si>
  <si>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</si>
  <si>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</si>
  <si>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</si>
  <si>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</si>
  <si>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</si>
  <si>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</si>
  <si>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</si>
  <si>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</si>
  <si>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</si>
  <si>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</si>
  <si>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Kilburn St</t>
  </si>
  <si>
    <t>n/a</t>
  </si>
  <si>
    <t>Greers Rd Northbound</t>
  </si>
  <si>
    <t>Greers Rd Southbound</t>
  </si>
  <si>
    <t>Lights</t>
  </si>
  <si>
    <t>Classification</t>
  </si>
  <si>
    <t>Road</t>
  </si>
  <si>
    <t>Type</t>
  </si>
  <si>
    <t>Project</t>
  </si>
  <si>
    <t>Site Code</t>
  </si>
  <si>
    <t>08/17/2022</t>
  </si>
  <si>
    <t>Start Date</t>
  </si>
  <si>
    <t>CCC I1398 Greers Rd - Kilburn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</si>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</sst>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EA83E98-E694-4A90-986E-BD37EC21BA9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[I1398_Greers Road_Kilburn Street_Intersection_17-08-2022.xlsx]Graphs!pvtGraphApproach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Greers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196</c:v>
                </c:pt>
                <c:pt idx="1">
                  <c:v>214</c:v>
                </c:pt>
                <c:pt idx="2">
                  <c:v>265</c:v>
                </c:pt>
                <c:pt idx="3">
                  <c:v>277</c:v>
                </c:pt>
                <c:pt idx="4">
                  <c:v>237</c:v>
                </c:pt>
                <c:pt idx="5">
                  <c:v>243</c:v>
                </c:pt>
                <c:pt idx="6">
                  <c:v>232</c:v>
                </c:pt>
                <c:pt idx="7">
                  <c:v>218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76</c:v>
                </c:pt>
                <c:pt idx="1">
                  <c:v>103</c:v>
                </c:pt>
                <c:pt idx="2">
                  <c:v>111</c:v>
                </c:pt>
                <c:pt idx="3">
                  <c:v>168</c:v>
                </c:pt>
                <c:pt idx="4">
                  <c:v>163</c:v>
                </c:pt>
                <c:pt idx="5">
                  <c:v>157</c:v>
                </c:pt>
                <c:pt idx="6">
                  <c:v>169</c:v>
                </c:pt>
                <c:pt idx="7">
                  <c:v>184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Kilburn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c:v>
                </c:pt>
                <c:pt idx="1">
                  <c:v>17</c:v>
                </c:pt>
                <c:pt idx="2">
                  <c:v>9</c:v>
                </c:pt>
                <c:pt idx="3">
                  <c:v>18</c:v>
                </c:pt>
                <c:pt idx="4">
                  <c:v>15</c:v>
                </c:pt>
                <c:pt idx="5">
                  <c:v>11</c:v>
                </c:pt>
                <c:pt idx="6">
                  <c:v>8</c:v>
                </c:pt>
                <c:pt idx="7">
                  <c:v>14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[I1398_Greers Road_Kilburn Street_Intersection_17-08-2022.xlsx]Graphs!pvtGraphExit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Greers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73</c:v>
                </c:pt>
                <c:pt idx="1">
                  <c:v>106</c:v>
                </c:pt>
                <c:pt idx="2">
                  <c:v>115</c:v>
                </c:pt>
                <c:pt idx="3">
                  <c:v>172</c:v>
                </c:pt>
                <c:pt idx="4">
                  <c:v>163</c:v>
                </c:pt>
                <c:pt idx="5">
                  <c:v>154</c:v>
                </c:pt>
                <c:pt idx="6">
                  <c:v>169</c:v>
                </c:pt>
                <c:pt idx="7">
                  <c:v>186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201</c:v>
                </c:pt>
                <c:pt idx="1">
                  <c:v>224</c:v>
                </c:pt>
                <c:pt idx="2">
                  <c:v>265</c:v>
                </c:pt>
                <c:pt idx="3">
                  <c:v>281</c:v>
                </c:pt>
                <c:pt idx="4">
                  <c:v>244</c:v>
                </c:pt>
                <c:pt idx="5">
                  <c:v>243</c:v>
                </c:pt>
                <c:pt idx="6">
                  <c:v>224</c:v>
                </c:pt>
                <c:pt idx="7">
                  <c:v>218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Kilburn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4</c:v>
                </c:pt>
                <c:pt idx="2">
                  <c:v>5</c:v>
                </c:pt>
                <c:pt idx="3">
                  <c:v>10</c:v>
                </c:pt>
                <c:pt idx="4">
                  <c:v>8</c:v>
                </c:pt>
                <c:pt idx="5">
                  <c:v>14</c:v>
                </c:pt>
                <c:pt idx="6">
                  <c:v>16</c:v>
                </c:pt>
                <c:pt idx="7">
                  <c:v>12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[I1398_Greers Road_Kilburn Street_Intersection_17-08-2022.xlsx]GraphData!PivotTable2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281</c:v>
                </c:pt>
                <c:pt idx="1">
                  <c:v>334</c:v>
                </c:pt>
                <c:pt idx="2">
                  <c:v>385</c:v>
                </c:pt>
                <c:pt idx="3">
                  <c:v>463</c:v>
                </c:pt>
                <c:pt idx="4">
                  <c:v>415</c:v>
                </c:pt>
                <c:pt idx="5">
                  <c:v>411</c:v>
                </c:pt>
                <c:pt idx="6">
                  <c:v>409</c:v>
                </c:pt>
                <c:pt idx="7">
                  <c:v>416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[I1398_Greers Road_Kilburn Street_Intersection_17-08-2022.xlsx]PeakCalc!pvtPeak2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281</c:v>
                </c:pt>
                <c:pt idx="1">
                  <c:v>334</c:v>
                </c:pt>
                <c:pt idx="2">
                  <c:v>385</c:v>
                </c:pt>
                <c:pt idx="3">
                  <c:v>463</c:v>
                </c:pt>
                <c:pt idx="4">
                  <c:v>415</c:v>
                </c:pt>
                <c:pt idx="5">
                  <c:v>411</c:v>
                </c:pt>
                <c:pt idx="6">
                  <c:v>409</c:v>
                </c:pt>
                <c:pt idx="7">
                  <c:v>416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463</c:v>
                </c:pt>
                <c:pt idx="4">
                  <c:v>415</c:v>
                </c:pt>
                <c:pt idx="5">
                  <c:v>411</c:v>
                </c:pt>
                <c:pt idx="6">
                  <c:v>409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236059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351367</xdr:colOff>
      <xdr:row>5</xdr:row>
      <xdr:rowOff>3175</xdr:rowOff>
    </xdr:from>
    <xdr:to>
      <xdr:col>21</xdr:col>
      <xdr:colOff>335542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657224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171449</xdr:colOff>
      <xdr:row>9</xdr:row>
      <xdr:rowOff>66673</xdr:rowOff>
    </xdr:from>
    <xdr:to>
      <xdr:col>20</xdr:col>
      <xdr:colOff>570149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7.55614155092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63"/>
    </cacheField>
    <cacheField name="Peak" numFmtId="0">
      <sharedItems containsSemiMixedTypes="0" containsString="0" containsNumber="1" containsInteger="1" minValue="0" maxValue="46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7.556235185184" createdVersion="5" refreshedVersion="8" minRefreshableVersion="3" recordCount="360" xr:uid="{00000000-000A-0000-FFFF-FFFF01000000}">
  <cacheSource type="worksheet">
    <worksheetSource name="tblPivotData"/>
  </cacheSource>
  <cacheFields count="9">
    <cacheField name="Approach" numFmtId="0">
      <sharedItems count="6">
        <s v="Greers Road North"/>
        <s v="Greers Road South"/>
        <s v="Kilburn Street West"/>
        <s v="Great south Rd (North)" u="1"/>
        <s v="Great south Rd (South)" u="1"/>
        <s v="Grange Rd" u="1"/>
      </sharedItems>
    </cacheField>
    <cacheField name="Movement" numFmtId="0">
      <sharedItems count="14">
        <s v="Thru to Greers Road South"/>
        <s v="Right into Kilburn Street West"/>
        <s v="Left into Kilburn Street West"/>
        <s v="Thru to Greers Road North"/>
        <s v="Left into Greers Road North"/>
        <s v="Right into Greer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Greers Road South"/>
        <s v="Kilburn Street West"/>
        <s v="Greer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5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81"/>
    <n v="0"/>
  </r>
  <r>
    <x v="0"/>
    <x v="1"/>
    <n v="334"/>
    <n v="0"/>
  </r>
  <r>
    <x v="0"/>
    <x v="2"/>
    <n v="385"/>
    <n v="0"/>
  </r>
  <r>
    <x v="0"/>
    <x v="3"/>
    <n v="463"/>
    <n v="463"/>
  </r>
  <r>
    <x v="0"/>
    <x v="4"/>
    <n v="415"/>
    <n v="415"/>
  </r>
  <r>
    <x v="0"/>
    <x v="5"/>
    <n v="411"/>
    <n v="411"/>
  </r>
  <r>
    <x v="0"/>
    <x v="6"/>
    <n v="409"/>
    <n v="409"/>
  </r>
  <r>
    <x v="0"/>
    <x v="7"/>
    <n v="416"/>
    <n v="0"/>
  </r>
  <r>
    <x v="1"/>
    <x v="8"/>
    <n v="309"/>
    <n v="309"/>
  </r>
  <r>
    <x v="1"/>
    <x v="9"/>
    <n v="300"/>
    <n v="300"/>
  </r>
  <r>
    <x v="1"/>
    <x v="10"/>
    <n v="320"/>
    <n v="320"/>
  </r>
  <r>
    <x v="1"/>
    <x v="11"/>
    <n v="324"/>
    <n v="324"/>
  </r>
  <r>
    <x v="2"/>
    <x v="12"/>
    <n v="414"/>
    <n v="0"/>
  </r>
  <r>
    <x v="2"/>
    <x v="13"/>
    <n v="414"/>
    <n v="0"/>
  </r>
  <r>
    <x v="2"/>
    <x v="14"/>
    <n v="399"/>
    <n v="0"/>
  </r>
  <r>
    <x v="2"/>
    <x v="15"/>
    <n v="379"/>
    <n v="379"/>
  </r>
  <r>
    <x v="2"/>
    <x v="16"/>
    <n v="402"/>
    <n v="402"/>
  </r>
  <r>
    <x v="2"/>
    <x v="17"/>
    <n v="412"/>
    <n v="412"/>
  </r>
  <r>
    <x v="2"/>
    <x v="18"/>
    <n v="425"/>
    <n v="425"/>
  </r>
  <r>
    <x v="2"/>
    <x v="19"/>
    <n v="37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90"/>
    <x v="0"/>
    <x v="0"/>
  </r>
  <r>
    <x v="0"/>
    <x v="0"/>
    <x v="0"/>
    <x v="0"/>
    <x v="0"/>
    <x v="1"/>
    <n v="203"/>
    <x v="1"/>
    <x v="0"/>
  </r>
  <r>
    <x v="0"/>
    <x v="0"/>
    <x v="0"/>
    <x v="0"/>
    <x v="0"/>
    <x v="2"/>
    <n v="257"/>
    <x v="2"/>
    <x v="0"/>
  </r>
  <r>
    <x v="0"/>
    <x v="0"/>
    <x v="0"/>
    <x v="0"/>
    <x v="0"/>
    <x v="3"/>
    <n v="255"/>
    <x v="3"/>
    <x v="1"/>
  </r>
  <r>
    <x v="0"/>
    <x v="0"/>
    <x v="0"/>
    <x v="0"/>
    <x v="0"/>
    <x v="4"/>
    <n v="227"/>
    <x v="4"/>
    <x v="1"/>
  </r>
  <r>
    <x v="0"/>
    <x v="0"/>
    <x v="0"/>
    <x v="0"/>
    <x v="0"/>
    <x v="5"/>
    <n v="226"/>
    <x v="5"/>
    <x v="1"/>
  </r>
  <r>
    <x v="0"/>
    <x v="0"/>
    <x v="0"/>
    <x v="0"/>
    <x v="0"/>
    <x v="6"/>
    <n v="216"/>
    <x v="6"/>
    <x v="1"/>
  </r>
  <r>
    <x v="0"/>
    <x v="0"/>
    <x v="0"/>
    <x v="0"/>
    <x v="0"/>
    <x v="7"/>
    <n v="205"/>
    <x v="7"/>
    <x v="0"/>
  </r>
  <r>
    <x v="0"/>
    <x v="0"/>
    <x v="0"/>
    <x v="0"/>
    <x v="1"/>
    <x v="8"/>
    <n v="145"/>
    <x v="8"/>
    <x v="1"/>
  </r>
  <r>
    <x v="0"/>
    <x v="0"/>
    <x v="0"/>
    <x v="0"/>
    <x v="1"/>
    <x v="9"/>
    <n v="146"/>
    <x v="9"/>
    <x v="1"/>
  </r>
  <r>
    <x v="0"/>
    <x v="0"/>
    <x v="0"/>
    <x v="0"/>
    <x v="1"/>
    <x v="10"/>
    <n v="151"/>
    <x v="10"/>
    <x v="1"/>
  </r>
  <r>
    <x v="0"/>
    <x v="0"/>
    <x v="0"/>
    <x v="0"/>
    <x v="1"/>
    <x v="11"/>
    <n v="169"/>
    <x v="11"/>
    <x v="1"/>
  </r>
  <r>
    <x v="0"/>
    <x v="0"/>
    <x v="0"/>
    <x v="0"/>
    <x v="2"/>
    <x v="12"/>
    <n v="190"/>
    <x v="12"/>
    <x v="0"/>
  </r>
  <r>
    <x v="0"/>
    <x v="0"/>
    <x v="0"/>
    <x v="0"/>
    <x v="2"/>
    <x v="13"/>
    <n v="219"/>
    <x v="13"/>
    <x v="0"/>
  </r>
  <r>
    <x v="0"/>
    <x v="0"/>
    <x v="0"/>
    <x v="0"/>
    <x v="2"/>
    <x v="14"/>
    <n v="212"/>
    <x v="14"/>
    <x v="0"/>
  </r>
  <r>
    <x v="0"/>
    <x v="0"/>
    <x v="0"/>
    <x v="0"/>
    <x v="2"/>
    <x v="15"/>
    <n v="183"/>
    <x v="15"/>
    <x v="1"/>
  </r>
  <r>
    <x v="0"/>
    <x v="0"/>
    <x v="0"/>
    <x v="0"/>
    <x v="2"/>
    <x v="16"/>
    <n v="197"/>
    <x v="16"/>
    <x v="1"/>
  </r>
  <r>
    <x v="0"/>
    <x v="0"/>
    <x v="0"/>
    <x v="0"/>
    <x v="2"/>
    <x v="17"/>
    <n v="216"/>
    <x v="17"/>
    <x v="1"/>
  </r>
  <r>
    <x v="0"/>
    <x v="0"/>
    <x v="0"/>
    <x v="0"/>
    <x v="2"/>
    <x v="18"/>
    <n v="206"/>
    <x v="18"/>
    <x v="1"/>
  </r>
  <r>
    <x v="0"/>
    <x v="0"/>
    <x v="0"/>
    <x v="0"/>
    <x v="2"/>
    <x v="19"/>
    <n v="171"/>
    <x v="19"/>
    <x v="0"/>
  </r>
  <r>
    <x v="0"/>
    <x v="0"/>
    <x v="0"/>
    <x v="1"/>
    <x v="0"/>
    <x v="0"/>
    <n v="3"/>
    <x v="0"/>
    <x v="0"/>
  </r>
  <r>
    <x v="0"/>
    <x v="0"/>
    <x v="0"/>
    <x v="1"/>
    <x v="0"/>
    <x v="1"/>
    <n v="8"/>
    <x v="1"/>
    <x v="0"/>
  </r>
  <r>
    <x v="0"/>
    <x v="0"/>
    <x v="0"/>
    <x v="1"/>
    <x v="0"/>
    <x v="2"/>
    <n v="4"/>
    <x v="2"/>
    <x v="0"/>
  </r>
  <r>
    <x v="0"/>
    <x v="0"/>
    <x v="0"/>
    <x v="1"/>
    <x v="0"/>
    <x v="3"/>
    <n v="11"/>
    <x v="3"/>
    <x v="1"/>
  </r>
  <r>
    <x v="0"/>
    <x v="0"/>
    <x v="0"/>
    <x v="1"/>
    <x v="0"/>
    <x v="4"/>
    <n v="3"/>
    <x v="4"/>
    <x v="1"/>
  </r>
  <r>
    <x v="0"/>
    <x v="0"/>
    <x v="0"/>
    <x v="1"/>
    <x v="0"/>
    <x v="5"/>
    <n v="8"/>
    <x v="5"/>
    <x v="1"/>
  </r>
  <r>
    <x v="0"/>
    <x v="0"/>
    <x v="0"/>
    <x v="1"/>
    <x v="0"/>
    <x v="6"/>
    <n v="4"/>
    <x v="6"/>
    <x v="1"/>
  </r>
  <r>
    <x v="0"/>
    <x v="0"/>
    <x v="0"/>
    <x v="1"/>
    <x v="0"/>
    <x v="7"/>
    <n v="7"/>
    <x v="7"/>
    <x v="0"/>
  </r>
  <r>
    <x v="0"/>
    <x v="0"/>
    <x v="0"/>
    <x v="1"/>
    <x v="1"/>
    <x v="8"/>
    <n v="9"/>
    <x v="8"/>
    <x v="1"/>
  </r>
  <r>
    <x v="0"/>
    <x v="0"/>
    <x v="0"/>
    <x v="1"/>
    <x v="1"/>
    <x v="9"/>
    <n v="5"/>
    <x v="9"/>
    <x v="1"/>
  </r>
  <r>
    <x v="0"/>
    <x v="0"/>
    <x v="0"/>
    <x v="1"/>
    <x v="1"/>
    <x v="10"/>
    <n v="2"/>
    <x v="10"/>
    <x v="1"/>
  </r>
  <r>
    <x v="0"/>
    <x v="0"/>
    <x v="0"/>
    <x v="1"/>
    <x v="1"/>
    <x v="11"/>
    <n v="8"/>
    <x v="11"/>
    <x v="1"/>
  </r>
  <r>
    <x v="0"/>
    <x v="0"/>
    <x v="0"/>
    <x v="1"/>
    <x v="2"/>
    <x v="12"/>
    <n v="4"/>
    <x v="12"/>
    <x v="0"/>
  </r>
  <r>
    <x v="0"/>
    <x v="0"/>
    <x v="0"/>
    <x v="1"/>
    <x v="2"/>
    <x v="13"/>
    <n v="4"/>
    <x v="13"/>
    <x v="0"/>
  </r>
  <r>
    <x v="0"/>
    <x v="0"/>
    <x v="0"/>
    <x v="1"/>
    <x v="2"/>
    <x v="14"/>
    <n v="2"/>
    <x v="14"/>
    <x v="0"/>
  </r>
  <r>
    <x v="0"/>
    <x v="0"/>
    <x v="0"/>
    <x v="1"/>
    <x v="2"/>
    <x v="15"/>
    <n v="4"/>
    <x v="15"/>
    <x v="1"/>
  </r>
  <r>
    <x v="0"/>
    <x v="0"/>
    <x v="0"/>
    <x v="1"/>
    <x v="2"/>
    <x v="16"/>
    <n v="4"/>
    <x v="16"/>
    <x v="1"/>
  </r>
  <r>
    <x v="0"/>
    <x v="0"/>
    <x v="0"/>
    <x v="1"/>
    <x v="2"/>
    <x v="17"/>
    <n v="3"/>
    <x v="17"/>
    <x v="1"/>
  </r>
  <r>
    <x v="0"/>
    <x v="0"/>
    <x v="0"/>
    <x v="1"/>
    <x v="2"/>
    <x v="18"/>
    <n v="0"/>
    <x v="18"/>
    <x v="1"/>
  </r>
  <r>
    <x v="0"/>
    <x v="0"/>
    <x v="0"/>
    <x v="1"/>
    <x v="2"/>
    <x v="19"/>
    <n v="1"/>
    <x v="19"/>
    <x v="0"/>
  </r>
  <r>
    <x v="0"/>
    <x v="0"/>
    <x v="0"/>
    <x v="2"/>
    <x v="0"/>
    <x v="0"/>
    <n v="1"/>
    <x v="0"/>
    <x v="0"/>
  </r>
  <r>
    <x v="0"/>
    <x v="0"/>
    <x v="0"/>
    <x v="2"/>
    <x v="0"/>
    <x v="1"/>
    <n v="1"/>
    <x v="1"/>
    <x v="0"/>
  </r>
  <r>
    <x v="0"/>
    <x v="0"/>
    <x v="0"/>
    <x v="2"/>
    <x v="0"/>
    <x v="2"/>
    <n v="2"/>
    <x v="2"/>
    <x v="0"/>
  </r>
  <r>
    <x v="0"/>
    <x v="0"/>
    <x v="0"/>
    <x v="2"/>
    <x v="0"/>
    <x v="3"/>
    <n v="6"/>
    <x v="3"/>
    <x v="1"/>
  </r>
  <r>
    <x v="0"/>
    <x v="0"/>
    <x v="0"/>
    <x v="2"/>
    <x v="0"/>
    <x v="4"/>
    <n v="5"/>
    <x v="4"/>
    <x v="1"/>
  </r>
  <r>
    <x v="0"/>
    <x v="0"/>
    <x v="0"/>
    <x v="2"/>
    <x v="0"/>
    <x v="5"/>
    <n v="3"/>
    <x v="5"/>
    <x v="1"/>
  </r>
  <r>
    <x v="0"/>
    <x v="0"/>
    <x v="0"/>
    <x v="2"/>
    <x v="0"/>
    <x v="6"/>
    <n v="1"/>
    <x v="6"/>
    <x v="1"/>
  </r>
  <r>
    <x v="0"/>
    <x v="0"/>
    <x v="0"/>
    <x v="2"/>
    <x v="0"/>
    <x v="7"/>
    <n v="0"/>
    <x v="7"/>
    <x v="0"/>
  </r>
  <r>
    <x v="0"/>
    <x v="0"/>
    <x v="0"/>
    <x v="2"/>
    <x v="1"/>
    <x v="8"/>
    <n v="1"/>
    <x v="8"/>
    <x v="1"/>
  </r>
  <r>
    <x v="0"/>
    <x v="0"/>
    <x v="0"/>
    <x v="2"/>
    <x v="1"/>
    <x v="9"/>
    <n v="1"/>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1"/>
    <x v="15"/>
    <x v="1"/>
  </r>
  <r>
    <x v="0"/>
    <x v="0"/>
    <x v="0"/>
    <x v="2"/>
    <x v="2"/>
    <x v="16"/>
    <n v="1"/>
    <x v="16"/>
    <x v="1"/>
  </r>
  <r>
    <x v="0"/>
    <x v="0"/>
    <x v="0"/>
    <x v="2"/>
    <x v="2"/>
    <x v="17"/>
    <n v="0"/>
    <x v="17"/>
    <x v="1"/>
  </r>
  <r>
    <x v="0"/>
    <x v="0"/>
    <x v="0"/>
    <x v="2"/>
    <x v="2"/>
    <x v="18"/>
    <n v="0"/>
    <x v="18"/>
    <x v="1"/>
  </r>
  <r>
    <x v="0"/>
    <x v="0"/>
    <x v="0"/>
    <x v="2"/>
    <x v="2"/>
    <x v="19"/>
    <n v="0"/>
    <x v="19"/>
    <x v="0"/>
  </r>
  <r>
    <x v="0"/>
    <x v="1"/>
    <x v="1"/>
    <x v="0"/>
    <x v="0"/>
    <x v="0"/>
    <n v="2"/>
    <x v="0"/>
    <x v="0"/>
  </r>
  <r>
    <x v="0"/>
    <x v="1"/>
    <x v="1"/>
    <x v="0"/>
    <x v="0"/>
    <x v="1"/>
    <n v="2"/>
    <x v="1"/>
    <x v="0"/>
  </r>
  <r>
    <x v="0"/>
    <x v="1"/>
    <x v="1"/>
    <x v="0"/>
    <x v="0"/>
    <x v="2"/>
    <n v="2"/>
    <x v="2"/>
    <x v="0"/>
  </r>
  <r>
    <x v="0"/>
    <x v="1"/>
    <x v="1"/>
    <x v="0"/>
    <x v="0"/>
    <x v="3"/>
    <n v="5"/>
    <x v="3"/>
    <x v="1"/>
  </r>
  <r>
    <x v="0"/>
    <x v="1"/>
    <x v="1"/>
    <x v="0"/>
    <x v="0"/>
    <x v="4"/>
    <n v="2"/>
    <x v="4"/>
    <x v="1"/>
  </r>
  <r>
    <x v="0"/>
    <x v="1"/>
    <x v="1"/>
    <x v="0"/>
    <x v="0"/>
    <x v="5"/>
    <n v="6"/>
    <x v="5"/>
    <x v="1"/>
  </r>
  <r>
    <x v="0"/>
    <x v="1"/>
    <x v="1"/>
    <x v="0"/>
    <x v="0"/>
    <x v="6"/>
    <n v="11"/>
    <x v="6"/>
    <x v="1"/>
  </r>
  <r>
    <x v="0"/>
    <x v="1"/>
    <x v="1"/>
    <x v="0"/>
    <x v="0"/>
    <x v="7"/>
    <n v="6"/>
    <x v="7"/>
    <x v="0"/>
  </r>
  <r>
    <x v="0"/>
    <x v="1"/>
    <x v="1"/>
    <x v="0"/>
    <x v="1"/>
    <x v="8"/>
    <n v="5"/>
    <x v="8"/>
    <x v="1"/>
  </r>
  <r>
    <x v="0"/>
    <x v="1"/>
    <x v="1"/>
    <x v="0"/>
    <x v="1"/>
    <x v="9"/>
    <n v="5"/>
    <x v="9"/>
    <x v="1"/>
  </r>
  <r>
    <x v="0"/>
    <x v="1"/>
    <x v="1"/>
    <x v="0"/>
    <x v="1"/>
    <x v="10"/>
    <n v="2"/>
    <x v="10"/>
    <x v="1"/>
  </r>
  <r>
    <x v="0"/>
    <x v="1"/>
    <x v="1"/>
    <x v="0"/>
    <x v="1"/>
    <x v="11"/>
    <n v="4"/>
    <x v="11"/>
    <x v="1"/>
  </r>
  <r>
    <x v="0"/>
    <x v="1"/>
    <x v="1"/>
    <x v="0"/>
    <x v="2"/>
    <x v="12"/>
    <n v="7"/>
    <x v="12"/>
    <x v="0"/>
  </r>
  <r>
    <x v="0"/>
    <x v="1"/>
    <x v="1"/>
    <x v="0"/>
    <x v="2"/>
    <x v="13"/>
    <n v="7"/>
    <x v="13"/>
    <x v="0"/>
  </r>
  <r>
    <x v="0"/>
    <x v="1"/>
    <x v="1"/>
    <x v="0"/>
    <x v="2"/>
    <x v="14"/>
    <n v="9"/>
    <x v="14"/>
    <x v="0"/>
  </r>
  <r>
    <x v="0"/>
    <x v="1"/>
    <x v="1"/>
    <x v="0"/>
    <x v="2"/>
    <x v="15"/>
    <n v="8"/>
    <x v="15"/>
    <x v="1"/>
  </r>
  <r>
    <x v="0"/>
    <x v="1"/>
    <x v="1"/>
    <x v="0"/>
    <x v="2"/>
    <x v="16"/>
    <n v="9"/>
    <x v="16"/>
    <x v="1"/>
  </r>
  <r>
    <x v="0"/>
    <x v="1"/>
    <x v="1"/>
    <x v="0"/>
    <x v="2"/>
    <x v="17"/>
    <n v="11"/>
    <x v="17"/>
    <x v="1"/>
  </r>
  <r>
    <x v="0"/>
    <x v="1"/>
    <x v="1"/>
    <x v="0"/>
    <x v="2"/>
    <x v="18"/>
    <n v="12"/>
    <x v="18"/>
    <x v="1"/>
  </r>
  <r>
    <x v="0"/>
    <x v="1"/>
    <x v="1"/>
    <x v="0"/>
    <x v="2"/>
    <x v="19"/>
    <n v="13"/>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1"/>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1"/>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1"/>
    <x v="16"/>
    <x v="1"/>
  </r>
  <r>
    <x v="0"/>
    <x v="1"/>
    <x v="1"/>
    <x v="2"/>
    <x v="2"/>
    <x v="17"/>
    <n v="0"/>
    <x v="17"/>
    <x v="1"/>
  </r>
  <r>
    <x v="0"/>
    <x v="1"/>
    <x v="1"/>
    <x v="2"/>
    <x v="2"/>
    <x v="18"/>
    <n v="0"/>
    <x v="18"/>
    <x v="1"/>
  </r>
  <r>
    <x v="0"/>
    <x v="1"/>
    <x v="1"/>
    <x v="2"/>
    <x v="2"/>
    <x v="19"/>
    <n v="0"/>
    <x v="19"/>
    <x v="0"/>
  </r>
  <r>
    <x v="1"/>
    <x v="2"/>
    <x v="1"/>
    <x v="0"/>
    <x v="0"/>
    <x v="0"/>
    <n v="5"/>
    <x v="0"/>
    <x v="0"/>
  </r>
  <r>
    <x v="1"/>
    <x v="2"/>
    <x v="1"/>
    <x v="0"/>
    <x v="0"/>
    <x v="1"/>
    <n v="2"/>
    <x v="1"/>
    <x v="0"/>
  </r>
  <r>
    <x v="1"/>
    <x v="2"/>
    <x v="1"/>
    <x v="0"/>
    <x v="0"/>
    <x v="2"/>
    <n v="3"/>
    <x v="2"/>
    <x v="0"/>
  </r>
  <r>
    <x v="1"/>
    <x v="2"/>
    <x v="1"/>
    <x v="0"/>
    <x v="0"/>
    <x v="3"/>
    <n v="5"/>
    <x v="3"/>
    <x v="1"/>
  </r>
  <r>
    <x v="1"/>
    <x v="2"/>
    <x v="1"/>
    <x v="0"/>
    <x v="0"/>
    <x v="4"/>
    <n v="6"/>
    <x v="4"/>
    <x v="1"/>
  </r>
  <r>
    <x v="1"/>
    <x v="2"/>
    <x v="1"/>
    <x v="0"/>
    <x v="0"/>
    <x v="5"/>
    <n v="7"/>
    <x v="5"/>
    <x v="1"/>
  </r>
  <r>
    <x v="1"/>
    <x v="2"/>
    <x v="1"/>
    <x v="0"/>
    <x v="0"/>
    <x v="6"/>
    <n v="5"/>
    <x v="6"/>
    <x v="1"/>
  </r>
  <r>
    <x v="1"/>
    <x v="2"/>
    <x v="1"/>
    <x v="0"/>
    <x v="0"/>
    <x v="7"/>
    <n v="6"/>
    <x v="7"/>
    <x v="0"/>
  </r>
  <r>
    <x v="1"/>
    <x v="2"/>
    <x v="1"/>
    <x v="0"/>
    <x v="1"/>
    <x v="8"/>
    <n v="5"/>
    <x v="8"/>
    <x v="1"/>
  </r>
  <r>
    <x v="1"/>
    <x v="2"/>
    <x v="1"/>
    <x v="0"/>
    <x v="1"/>
    <x v="9"/>
    <n v="6"/>
    <x v="9"/>
    <x v="1"/>
  </r>
  <r>
    <x v="1"/>
    <x v="2"/>
    <x v="1"/>
    <x v="0"/>
    <x v="1"/>
    <x v="10"/>
    <n v="5"/>
    <x v="10"/>
    <x v="1"/>
  </r>
  <r>
    <x v="1"/>
    <x v="2"/>
    <x v="1"/>
    <x v="0"/>
    <x v="1"/>
    <x v="11"/>
    <n v="3"/>
    <x v="11"/>
    <x v="1"/>
  </r>
  <r>
    <x v="1"/>
    <x v="2"/>
    <x v="1"/>
    <x v="0"/>
    <x v="2"/>
    <x v="12"/>
    <n v="18"/>
    <x v="12"/>
    <x v="0"/>
  </r>
  <r>
    <x v="1"/>
    <x v="2"/>
    <x v="1"/>
    <x v="0"/>
    <x v="2"/>
    <x v="13"/>
    <n v="9"/>
    <x v="13"/>
    <x v="0"/>
  </r>
  <r>
    <x v="1"/>
    <x v="2"/>
    <x v="1"/>
    <x v="0"/>
    <x v="2"/>
    <x v="14"/>
    <n v="7"/>
    <x v="14"/>
    <x v="0"/>
  </r>
  <r>
    <x v="1"/>
    <x v="2"/>
    <x v="1"/>
    <x v="0"/>
    <x v="2"/>
    <x v="15"/>
    <n v="7"/>
    <x v="15"/>
    <x v="1"/>
  </r>
  <r>
    <x v="1"/>
    <x v="2"/>
    <x v="1"/>
    <x v="0"/>
    <x v="2"/>
    <x v="16"/>
    <n v="11"/>
    <x v="16"/>
    <x v="1"/>
  </r>
  <r>
    <x v="1"/>
    <x v="2"/>
    <x v="1"/>
    <x v="0"/>
    <x v="2"/>
    <x v="17"/>
    <n v="8"/>
    <x v="17"/>
    <x v="1"/>
  </r>
  <r>
    <x v="1"/>
    <x v="2"/>
    <x v="1"/>
    <x v="0"/>
    <x v="2"/>
    <x v="18"/>
    <n v="15"/>
    <x v="18"/>
    <x v="1"/>
  </r>
  <r>
    <x v="1"/>
    <x v="2"/>
    <x v="1"/>
    <x v="0"/>
    <x v="2"/>
    <x v="19"/>
    <n v="15"/>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0"/>
    <x v="5"/>
    <x v="1"/>
  </r>
  <r>
    <x v="1"/>
    <x v="2"/>
    <x v="1"/>
    <x v="1"/>
    <x v="0"/>
    <x v="6"/>
    <n v="0"/>
    <x v="6"/>
    <x v="1"/>
  </r>
  <r>
    <x v="1"/>
    <x v="2"/>
    <x v="1"/>
    <x v="1"/>
    <x v="0"/>
    <x v="7"/>
    <n v="0"/>
    <x v="7"/>
    <x v="0"/>
  </r>
  <r>
    <x v="1"/>
    <x v="2"/>
    <x v="1"/>
    <x v="1"/>
    <x v="1"/>
    <x v="8"/>
    <n v="0"/>
    <x v="8"/>
    <x v="1"/>
  </r>
  <r>
    <x v="1"/>
    <x v="2"/>
    <x v="1"/>
    <x v="1"/>
    <x v="1"/>
    <x v="9"/>
    <n v="0"/>
    <x v="9"/>
    <x v="1"/>
  </r>
  <r>
    <x v="1"/>
    <x v="2"/>
    <x v="1"/>
    <x v="1"/>
    <x v="1"/>
    <x v="10"/>
    <n v="1"/>
    <x v="10"/>
    <x v="1"/>
  </r>
  <r>
    <x v="1"/>
    <x v="2"/>
    <x v="1"/>
    <x v="1"/>
    <x v="1"/>
    <x v="11"/>
    <n v="0"/>
    <x v="11"/>
    <x v="1"/>
  </r>
  <r>
    <x v="1"/>
    <x v="2"/>
    <x v="1"/>
    <x v="1"/>
    <x v="2"/>
    <x v="12"/>
    <n v="0"/>
    <x v="12"/>
    <x v="0"/>
  </r>
  <r>
    <x v="1"/>
    <x v="2"/>
    <x v="1"/>
    <x v="1"/>
    <x v="2"/>
    <x v="13"/>
    <n v="0"/>
    <x v="13"/>
    <x v="0"/>
  </r>
  <r>
    <x v="1"/>
    <x v="2"/>
    <x v="1"/>
    <x v="1"/>
    <x v="2"/>
    <x v="14"/>
    <n v="1"/>
    <x v="14"/>
    <x v="0"/>
  </r>
  <r>
    <x v="1"/>
    <x v="2"/>
    <x v="1"/>
    <x v="1"/>
    <x v="2"/>
    <x v="15"/>
    <n v="0"/>
    <x v="15"/>
    <x v="1"/>
  </r>
  <r>
    <x v="1"/>
    <x v="2"/>
    <x v="1"/>
    <x v="1"/>
    <x v="2"/>
    <x v="16"/>
    <n v="0"/>
    <x v="16"/>
    <x v="1"/>
  </r>
  <r>
    <x v="1"/>
    <x v="2"/>
    <x v="1"/>
    <x v="1"/>
    <x v="2"/>
    <x v="17"/>
    <n v="0"/>
    <x v="17"/>
    <x v="1"/>
  </r>
  <r>
    <x v="1"/>
    <x v="2"/>
    <x v="1"/>
    <x v="1"/>
    <x v="2"/>
    <x v="18"/>
    <n v="0"/>
    <x v="18"/>
    <x v="1"/>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1"/>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0"/>
  </r>
  <r>
    <x v="1"/>
    <x v="2"/>
    <x v="1"/>
    <x v="2"/>
    <x v="2"/>
    <x v="14"/>
    <n v="2"/>
    <x v="14"/>
    <x v="0"/>
  </r>
  <r>
    <x v="1"/>
    <x v="2"/>
    <x v="1"/>
    <x v="2"/>
    <x v="2"/>
    <x v="15"/>
    <n v="0"/>
    <x v="15"/>
    <x v="1"/>
  </r>
  <r>
    <x v="1"/>
    <x v="2"/>
    <x v="1"/>
    <x v="2"/>
    <x v="2"/>
    <x v="16"/>
    <n v="1"/>
    <x v="16"/>
    <x v="1"/>
  </r>
  <r>
    <x v="1"/>
    <x v="2"/>
    <x v="1"/>
    <x v="2"/>
    <x v="2"/>
    <x v="17"/>
    <n v="0"/>
    <x v="17"/>
    <x v="1"/>
  </r>
  <r>
    <x v="1"/>
    <x v="2"/>
    <x v="1"/>
    <x v="2"/>
    <x v="2"/>
    <x v="18"/>
    <n v="3"/>
    <x v="18"/>
    <x v="1"/>
  </r>
  <r>
    <x v="1"/>
    <x v="2"/>
    <x v="1"/>
    <x v="2"/>
    <x v="2"/>
    <x v="19"/>
    <n v="1"/>
    <x v="19"/>
    <x v="0"/>
  </r>
  <r>
    <x v="1"/>
    <x v="3"/>
    <x v="2"/>
    <x v="0"/>
    <x v="0"/>
    <x v="0"/>
    <n v="70"/>
    <x v="0"/>
    <x v="0"/>
  </r>
  <r>
    <x v="1"/>
    <x v="3"/>
    <x v="2"/>
    <x v="0"/>
    <x v="0"/>
    <x v="1"/>
    <n v="97"/>
    <x v="1"/>
    <x v="0"/>
  </r>
  <r>
    <x v="1"/>
    <x v="3"/>
    <x v="2"/>
    <x v="0"/>
    <x v="0"/>
    <x v="2"/>
    <n v="99"/>
    <x v="2"/>
    <x v="0"/>
  </r>
  <r>
    <x v="1"/>
    <x v="3"/>
    <x v="2"/>
    <x v="0"/>
    <x v="0"/>
    <x v="3"/>
    <n v="158"/>
    <x v="3"/>
    <x v="1"/>
  </r>
  <r>
    <x v="1"/>
    <x v="3"/>
    <x v="2"/>
    <x v="0"/>
    <x v="0"/>
    <x v="4"/>
    <n v="152"/>
    <x v="4"/>
    <x v="1"/>
  </r>
  <r>
    <x v="1"/>
    <x v="3"/>
    <x v="2"/>
    <x v="0"/>
    <x v="0"/>
    <x v="5"/>
    <n v="144"/>
    <x v="5"/>
    <x v="1"/>
  </r>
  <r>
    <x v="1"/>
    <x v="3"/>
    <x v="2"/>
    <x v="0"/>
    <x v="0"/>
    <x v="6"/>
    <n v="158"/>
    <x v="6"/>
    <x v="1"/>
  </r>
  <r>
    <x v="1"/>
    <x v="3"/>
    <x v="2"/>
    <x v="0"/>
    <x v="0"/>
    <x v="7"/>
    <n v="169"/>
    <x v="7"/>
    <x v="0"/>
  </r>
  <r>
    <x v="1"/>
    <x v="3"/>
    <x v="2"/>
    <x v="0"/>
    <x v="1"/>
    <x v="8"/>
    <n v="132"/>
    <x v="8"/>
    <x v="1"/>
  </r>
  <r>
    <x v="1"/>
    <x v="3"/>
    <x v="2"/>
    <x v="0"/>
    <x v="1"/>
    <x v="9"/>
    <n v="118"/>
    <x v="9"/>
    <x v="1"/>
  </r>
  <r>
    <x v="1"/>
    <x v="3"/>
    <x v="2"/>
    <x v="0"/>
    <x v="1"/>
    <x v="10"/>
    <n v="141"/>
    <x v="10"/>
    <x v="1"/>
  </r>
  <r>
    <x v="1"/>
    <x v="3"/>
    <x v="2"/>
    <x v="0"/>
    <x v="1"/>
    <x v="11"/>
    <n v="126"/>
    <x v="11"/>
    <x v="1"/>
  </r>
  <r>
    <x v="1"/>
    <x v="3"/>
    <x v="2"/>
    <x v="0"/>
    <x v="2"/>
    <x v="12"/>
    <n v="181"/>
    <x v="12"/>
    <x v="0"/>
  </r>
  <r>
    <x v="1"/>
    <x v="3"/>
    <x v="2"/>
    <x v="0"/>
    <x v="2"/>
    <x v="13"/>
    <n v="165"/>
    <x v="13"/>
    <x v="0"/>
  </r>
  <r>
    <x v="1"/>
    <x v="3"/>
    <x v="2"/>
    <x v="0"/>
    <x v="2"/>
    <x v="14"/>
    <n v="152"/>
    <x v="14"/>
    <x v="0"/>
  </r>
  <r>
    <x v="1"/>
    <x v="3"/>
    <x v="2"/>
    <x v="0"/>
    <x v="2"/>
    <x v="15"/>
    <n v="161"/>
    <x v="15"/>
    <x v="1"/>
  </r>
  <r>
    <x v="1"/>
    <x v="3"/>
    <x v="2"/>
    <x v="0"/>
    <x v="2"/>
    <x v="16"/>
    <n v="163"/>
    <x v="16"/>
    <x v="1"/>
  </r>
  <r>
    <x v="1"/>
    <x v="3"/>
    <x v="2"/>
    <x v="0"/>
    <x v="2"/>
    <x v="17"/>
    <n v="167"/>
    <x v="17"/>
    <x v="1"/>
  </r>
  <r>
    <x v="1"/>
    <x v="3"/>
    <x v="2"/>
    <x v="0"/>
    <x v="2"/>
    <x v="18"/>
    <n v="175"/>
    <x v="18"/>
    <x v="1"/>
  </r>
  <r>
    <x v="1"/>
    <x v="3"/>
    <x v="2"/>
    <x v="0"/>
    <x v="2"/>
    <x v="19"/>
    <n v="166"/>
    <x v="19"/>
    <x v="0"/>
  </r>
  <r>
    <x v="1"/>
    <x v="3"/>
    <x v="2"/>
    <x v="1"/>
    <x v="0"/>
    <x v="0"/>
    <n v="1"/>
    <x v="0"/>
    <x v="0"/>
  </r>
  <r>
    <x v="1"/>
    <x v="3"/>
    <x v="2"/>
    <x v="1"/>
    <x v="0"/>
    <x v="1"/>
    <n v="4"/>
    <x v="1"/>
    <x v="0"/>
  </r>
  <r>
    <x v="1"/>
    <x v="3"/>
    <x v="2"/>
    <x v="1"/>
    <x v="0"/>
    <x v="2"/>
    <n v="8"/>
    <x v="2"/>
    <x v="0"/>
  </r>
  <r>
    <x v="1"/>
    <x v="3"/>
    <x v="2"/>
    <x v="1"/>
    <x v="0"/>
    <x v="3"/>
    <n v="5"/>
    <x v="3"/>
    <x v="1"/>
  </r>
  <r>
    <x v="1"/>
    <x v="3"/>
    <x v="2"/>
    <x v="1"/>
    <x v="0"/>
    <x v="4"/>
    <n v="4"/>
    <x v="4"/>
    <x v="1"/>
  </r>
  <r>
    <x v="1"/>
    <x v="3"/>
    <x v="2"/>
    <x v="1"/>
    <x v="0"/>
    <x v="5"/>
    <n v="5"/>
    <x v="5"/>
    <x v="1"/>
  </r>
  <r>
    <x v="1"/>
    <x v="3"/>
    <x v="2"/>
    <x v="1"/>
    <x v="0"/>
    <x v="6"/>
    <n v="6"/>
    <x v="6"/>
    <x v="1"/>
  </r>
  <r>
    <x v="1"/>
    <x v="3"/>
    <x v="2"/>
    <x v="1"/>
    <x v="0"/>
    <x v="7"/>
    <n v="8"/>
    <x v="7"/>
    <x v="0"/>
  </r>
  <r>
    <x v="1"/>
    <x v="3"/>
    <x v="2"/>
    <x v="1"/>
    <x v="1"/>
    <x v="8"/>
    <n v="6"/>
    <x v="8"/>
    <x v="1"/>
  </r>
  <r>
    <x v="1"/>
    <x v="3"/>
    <x v="2"/>
    <x v="1"/>
    <x v="1"/>
    <x v="9"/>
    <n v="6"/>
    <x v="9"/>
    <x v="1"/>
  </r>
  <r>
    <x v="1"/>
    <x v="3"/>
    <x v="2"/>
    <x v="1"/>
    <x v="1"/>
    <x v="10"/>
    <n v="6"/>
    <x v="10"/>
    <x v="1"/>
  </r>
  <r>
    <x v="1"/>
    <x v="3"/>
    <x v="2"/>
    <x v="1"/>
    <x v="1"/>
    <x v="11"/>
    <n v="5"/>
    <x v="11"/>
    <x v="1"/>
  </r>
  <r>
    <x v="1"/>
    <x v="3"/>
    <x v="2"/>
    <x v="1"/>
    <x v="2"/>
    <x v="12"/>
    <n v="4"/>
    <x v="12"/>
    <x v="0"/>
  </r>
  <r>
    <x v="1"/>
    <x v="3"/>
    <x v="2"/>
    <x v="1"/>
    <x v="2"/>
    <x v="13"/>
    <n v="2"/>
    <x v="13"/>
    <x v="0"/>
  </r>
  <r>
    <x v="1"/>
    <x v="3"/>
    <x v="2"/>
    <x v="1"/>
    <x v="2"/>
    <x v="14"/>
    <n v="2"/>
    <x v="14"/>
    <x v="0"/>
  </r>
  <r>
    <x v="1"/>
    <x v="3"/>
    <x v="2"/>
    <x v="1"/>
    <x v="2"/>
    <x v="15"/>
    <n v="4"/>
    <x v="15"/>
    <x v="1"/>
  </r>
  <r>
    <x v="1"/>
    <x v="3"/>
    <x v="2"/>
    <x v="1"/>
    <x v="2"/>
    <x v="16"/>
    <n v="2"/>
    <x v="16"/>
    <x v="1"/>
  </r>
  <r>
    <x v="1"/>
    <x v="3"/>
    <x v="2"/>
    <x v="1"/>
    <x v="2"/>
    <x v="17"/>
    <n v="0"/>
    <x v="17"/>
    <x v="1"/>
  </r>
  <r>
    <x v="1"/>
    <x v="3"/>
    <x v="2"/>
    <x v="1"/>
    <x v="2"/>
    <x v="18"/>
    <n v="2"/>
    <x v="18"/>
    <x v="1"/>
  </r>
  <r>
    <x v="1"/>
    <x v="3"/>
    <x v="2"/>
    <x v="1"/>
    <x v="2"/>
    <x v="19"/>
    <n v="1"/>
    <x v="19"/>
    <x v="0"/>
  </r>
  <r>
    <x v="1"/>
    <x v="3"/>
    <x v="2"/>
    <x v="2"/>
    <x v="0"/>
    <x v="0"/>
    <n v="0"/>
    <x v="0"/>
    <x v="0"/>
  </r>
  <r>
    <x v="1"/>
    <x v="3"/>
    <x v="2"/>
    <x v="2"/>
    <x v="0"/>
    <x v="1"/>
    <n v="0"/>
    <x v="1"/>
    <x v="0"/>
  </r>
  <r>
    <x v="1"/>
    <x v="3"/>
    <x v="2"/>
    <x v="2"/>
    <x v="0"/>
    <x v="2"/>
    <n v="1"/>
    <x v="2"/>
    <x v="0"/>
  </r>
  <r>
    <x v="1"/>
    <x v="3"/>
    <x v="2"/>
    <x v="2"/>
    <x v="0"/>
    <x v="3"/>
    <n v="0"/>
    <x v="3"/>
    <x v="1"/>
  </r>
  <r>
    <x v="1"/>
    <x v="3"/>
    <x v="2"/>
    <x v="2"/>
    <x v="0"/>
    <x v="4"/>
    <n v="1"/>
    <x v="4"/>
    <x v="1"/>
  </r>
  <r>
    <x v="1"/>
    <x v="3"/>
    <x v="2"/>
    <x v="2"/>
    <x v="0"/>
    <x v="5"/>
    <n v="0"/>
    <x v="5"/>
    <x v="1"/>
  </r>
  <r>
    <x v="1"/>
    <x v="3"/>
    <x v="2"/>
    <x v="2"/>
    <x v="0"/>
    <x v="6"/>
    <n v="0"/>
    <x v="6"/>
    <x v="1"/>
  </r>
  <r>
    <x v="1"/>
    <x v="3"/>
    <x v="2"/>
    <x v="2"/>
    <x v="0"/>
    <x v="7"/>
    <n v="1"/>
    <x v="7"/>
    <x v="0"/>
  </r>
  <r>
    <x v="1"/>
    <x v="3"/>
    <x v="2"/>
    <x v="2"/>
    <x v="1"/>
    <x v="8"/>
    <n v="1"/>
    <x v="8"/>
    <x v="1"/>
  </r>
  <r>
    <x v="1"/>
    <x v="3"/>
    <x v="2"/>
    <x v="2"/>
    <x v="1"/>
    <x v="9"/>
    <n v="0"/>
    <x v="9"/>
    <x v="1"/>
  </r>
  <r>
    <x v="1"/>
    <x v="3"/>
    <x v="2"/>
    <x v="2"/>
    <x v="1"/>
    <x v="10"/>
    <n v="1"/>
    <x v="10"/>
    <x v="1"/>
  </r>
  <r>
    <x v="1"/>
    <x v="3"/>
    <x v="2"/>
    <x v="2"/>
    <x v="1"/>
    <x v="11"/>
    <n v="0"/>
    <x v="11"/>
    <x v="1"/>
  </r>
  <r>
    <x v="1"/>
    <x v="3"/>
    <x v="2"/>
    <x v="2"/>
    <x v="2"/>
    <x v="12"/>
    <n v="0"/>
    <x v="12"/>
    <x v="0"/>
  </r>
  <r>
    <x v="1"/>
    <x v="3"/>
    <x v="2"/>
    <x v="2"/>
    <x v="2"/>
    <x v="13"/>
    <n v="0"/>
    <x v="13"/>
    <x v="0"/>
  </r>
  <r>
    <x v="1"/>
    <x v="3"/>
    <x v="2"/>
    <x v="2"/>
    <x v="2"/>
    <x v="14"/>
    <n v="0"/>
    <x v="14"/>
    <x v="0"/>
  </r>
  <r>
    <x v="1"/>
    <x v="3"/>
    <x v="2"/>
    <x v="2"/>
    <x v="2"/>
    <x v="15"/>
    <n v="5"/>
    <x v="15"/>
    <x v="1"/>
  </r>
  <r>
    <x v="1"/>
    <x v="3"/>
    <x v="2"/>
    <x v="2"/>
    <x v="2"/>
    <x v="16"/>
    <n v="3"/>
    <x v="16"/>
    <x v="1"/>
  </r>
  <r>
    <x v="1"/>
    <x v="3"/>
    <x v="2"/>
    <x v="2"/>
    <x v="2"/>
    <x v="17"/>
    <n v="2"/>
    <x v="17"/>
    <x v="1"/>
  </r>
  <r>
    <x v="1"/>
    <x v="3"/>
    <x v="2"/>
    <x v="2"/>
    <x v="2"/>
    <x v="18"/>
    <n v="4"/>
    <x v="18"/>
    <x v="1"/>
  </r>
  <r>
    <x v="1"/>
    <x v="3"/>
    <x v="2"/>
    <x v="2"/>
    <x v="2"/>
    <x v="19"/>
    <n v="1"/>
    <x v="19"/>
    <x v="0"/>
  </r>
  <r>
    <x v="2"/>
    <x v="4"/>
    <x v="2"/>
    <x v="0"/>
    <x v="0"/>
    <x v="0"/>
    <n v="2"/>
    <x v="0"/>
    <x v="0"/>
  </r>
  <r>
    <x v="2"/>
    <x v="4"/>
    <x v="2"/>
    <x v="0"/>
    <x v="0"/>
    <x v="1"/>
    <n v="5"/>
    <x v="1"/>
    <x v="0"/>
  </r>
  <r>
    <x v="2"/>
    <x v="4"/>
    <x v="2"/>
    <x v="0"/>
    <x v="0"/>
    <x v="2"/>
    <n v="7"/>
    <x v="2"/>
    <x v="0"/>
  </r>
  <r>
    <x v="2"/>
    <x v="4"/>
    <x v="2"/>
    <x v="0"/>
    <x v="0"/>
    <x v="3"/>
    <n v="9"/>
    <x v="3"/>
    <x v="1"/>
  </r>
  <r>
    <x v="2"/>
    <x v="4"/>
    <x v="2"/>
    <x v="0"/>
    <x v="0"/>
    <x v="4"/>
    <n v="5"/>
    <x v="4"/>
    <x v="1"/>
  </r>
  <r>
    <x v="2"/>
    <x v="4"/>
    <x v="2"/>
    <x v="0"/>
    <x v="0"/>
    <x v="5"/>
    <n v="5"/>
    <x v="5"/>
    <x v="1"/>
  </r>
  <r>
    <x v="2"/>
    <x v="4"/>
    <x v="2"/>
    <x v="0"/>
    <x v="0"/>
    <x v="6"/>
    <n v="5"/>
    <x v="6"/>
    <x v="1"/>
  </r>
  <r>
    <x v="2"/>
    <x v="4"/>
    <x v="2"/>
    <x v="0"/>
    <x v="0"/>
    <x v="7"/>
    <n v="8"/>
    <x v="7"/>
    <x v="0"/>
  </r>
  <r>
    <x v="2"/>
    <x v="4"/>
    <x v="2"/>
    <x v="0"/>
    <x v="1"/>
    <x v="8"/>
    <n v="1"/>
    <x v="8"/>
    <x v="1"/>
  </r>
  <r>
    <x v="2"/>
    <x v="4"/>
    <x v="2"/>
    <x v="0"/>
    <x v="1"/>
    <x v="9"/>
    <n v="5"/>
    <x v="9"/>
    <x v="1"/>
  </r>
  <r>
    <x v="2"/>
    <x v="4"/>
    <x v="2"/>
    <x v="0"/>
    <x v="1"/>
    <x v="10"/>
    <n v="6"/>
    <x v="10"/>
    <x v="1"/>
  </r>
  <r>
    <x v="2"/>
    <x v="4"/>
    <x v="2"/>
    <x v="0"/>
    <x v="1"/>
    <x v="11"/>
    <n v="4"/>
    <x v="11"/>
    <x v="1"/>
  </r>
  <r>
    <x v="2"/>
    <x v="4"/>
    <x v="2"/>
    <x v="0"/>
    <x v="2"/>
    <x v="12"/>
    <n v="5"/>
    <x v="12"/>
    <x v="0"/>
  </r>
  <r>
    <x v="2"/>
    <x v="4"/>
    <x v="2"/>
    <x v="0"/>
    <x v="2"/>
    <x v="13"/>
    <n v="3"/>
    <x v="13"/>
    <x v="0"/>
  </r>
  <r>
    <x v="2"/>
    <x v="4"/>
    <x v="2"/>
    <x v="0"/>
    <x v="2"/>
    <x v="14"/>
    <n v="5"/>
    <x v="14"/>
    <x v="0"/>
  </r>
  <r>
    <x v="2"/>
    <x v="4"/>
    <x v="2"/>
    <x v="0"/>
    <x v="2"/>
    <x v="15"/>
    <n v="3"/>
    <x v="15"/>
    <x v="1"/>
  </r>
  <r>
    <x v="2"/>
    <x v="4"/>
    <x v="2"/>
    <x v="0"/>
    <x v="2"/>
    <x v="16"/>
    <n v="2"/>
    <x v="16"/>
    <x v="1"/>
  </r>
  <r>
    <x v="2"/>
    <x v="4"/>
    <x v="2"/>
    <x v="0"/>
    <x v="2"/>
    <x v="17"/>
    <n v="3"/>
    <x v="17"/>
    <x v="1"/>
  </r>
  <r>
    <x v="2"/>
    <x v="4"/>
    <x v="2"/>
    <x v="0"/>
    <x v="2"/>
    <x v="18"/>
    <n v="4"/>
    <x v="18"/>
    <x v="1"/>
  </r>
  <r>
    <x v="2"/>
    <x v="4"/>
    <x v="2"/>
    <x v="0"/>
    <x v="2"/>
    <x v="19"/>
    <n v="3"/>
    <x v="19"/>
    <x v="0"/>
  </r>
  <r>
    <x v="2"/>
    <x v="4"/>
    <x v="2"/>
    <x v="1"/>
    <x v="0"/>
    <x v="0"/>
    <n v="0"/>
    <x v="0"/>
    <x v="0"/>
  </r>
  <r>
    <x v="2"/>
    <x v="4"/>
    <x v="2"/>
    <x v="1"/>
    <x v="0"/>
    <x v="1"/>
    <n v="0"/>
    <x v="1"/>
    <x v="0"/>
  </r>
  <r>
    <x v="2"/>
    <x v="4"/>
    <x v="2"/>
    <x v="1"/>
    <x v="0"/>
    <x v="2"/>
    <n v="0"/>
    <x v="2"/>
    <x v="0"/>
  </r>
  <r>
    <x v="2"/>
    <x v="4"/>
    <x v="2"/>
    <x v="1"/>
    <x v="0"/>
    <x v="3"/>
    <n v="0"/>
    <x v="3"/>
    <x v="1"/>
  </r>
  <r>
    <x v="2"/>
    <x v="4"/>
    <x v="2"/>
    <x v="1"/>
    <x v="0"/>
    <x v="4"/>
    <n v="0"/>
    <x v="4"/>
    <x v="1"/>
  </r>
  <r>
    <x v="2"/>
    <x v="4"/>
    <x v="2"/>
    <x v="1"/>
    <x v="0"/>
    <x v="5"/>
    <n v="0"/>
    <x v="5"/>
    <x v="1"/>
  </r>
  <r>
    <x v="2"/>
    <x v="4"/>
    <x v="2"/>
    <x v="1"/>
    <x v="0"/>
    <x v="6"/>
    <n v="0"/>
    <x v="6"/>
    <x v="1"/>
  </r>
  <r>
    <x v="2"/>
    <x v="4"/>
    <x v="2"/>
    <x v="1"/>
    <x v="0"/>
    <x v="7"/>
    <n v="0"/>
    <x v="7"/>
    <x v="0"/>
  </r>
  <r>
    <x v="2"/>
    <x v="4"/>
    <x v="2"/>
    <x v="1"/>
    <x v="1"/>
    <x v="8"/>
    <n v="0"/>
    <x v="8"/>
    <x v="1"/>
  </r>
  <r>
    <x v="2"/>
    <x v="4"/>
    <x v="2"/>
    <x v="1"/>
    <x v="1"/>
    <x v="9"/>
    <n v="0"/>
    <x v="9"/>
    <x v="1"/>
  </r>
  <r>
    <x v="2"/>
    <x v="4"/>
    <x v="2"/>
    <x v="1"/>
    <x v="1"/>
    <x v="10"/>
    <n v="1"/>
    <x v="10"/>
    <x v="1"/>
  </r>
  <r>
    <x v="2"/>
    <x v="4"/>
    <x v="2"/>
    <x v="1"/>
    <x v="1"/>
    <x v="11"/>
    <n v="0"/>
    <x v="11"/>
    <x v="1"/>
  </r>
  <r>
    <x v="2"/>
    <x v="4"/>
    <x v="2"/>
    <x v="1"/>
    <x v="2"/>
    <x v="12"/>
    <n v="0"/>
    <x v="12"/>
    <x v="0"/>
  </r>
  <r>
    <x v="2"/>
    <x v="4"/>
    <x v="2"/>
    <x v="1"/>
    <x v="2"/>
    <x v="13"/>
    <n v="0"/>
    <x v="13"/>
    <x v="0"/>
  </r>
  <r>
    <x v="2"/>
    <x v="4"/>
    <x v="2"/>
    <x v="1"/>
    <x v="2"/>
    <x v="14"/>
    <n v="0"/>
    <x v="14"/>
    <x v="0"/>
  </r>
  <r>
    <x v="2"/>
    <x v="4"/>
    <x v="2"/>
    <x v="1"/>
    <x v="2"/>
    <x v="15"/>
    <n v="0"/>
    <x v="15"/>
    <x v="1"/>
  </r>
  <r>
    <x v="2"/>
    <x v="4"/>
    <x v="2"/>
    <x v="1"/>
    <x v="2"/>
    <x v="16"/>
    <n v="0"/>
    <x v="16"/>
    <x v="1"/>
  </r>
  <r>
    <x v="2"/>
    <x v="4"/>
    <x v="2"/>
    <x v="1"/>
    <x v="2"/>
    <x v="17"/>
    <n v="0"/>
    <x v="17"/>
    <x v="1"/>
  </r>
  <r>
    <x v="2"/>
    <x v="4"/>
    <x v="2"/>
    <x v="1"/>
    <x v="2"/>
    <x v="18"/>
    <n v="0"/>
    <x v="18"/>
    <x v="1"/>
  </r>
  <r>
    <x v="2"/>
    <x v="4"/>
    <x v="2"/>
    <x v="1"/>
    <x v="2"/>
    <x v="19"/>
    <n v="0"/>
    <x v="19"/>
    <x v="0"/>
  </r>
  <r>
    <x v="2"/>
    <x v="4"/>
    <x v="2"/>
    <x v="2"/>
    <x v="0"/>
    <x v="0"/>
    <n v="0"/>
    <x v="0"/>
    <x v="0"/>
  </r>
  <r>
    <x v="2"/>
    <x v="4"/>
    <x v="2"/>
    <x v="2"/>
    <x v="0"/>
    <x v="1"/>
    <n v="0"/>
    <x v="1"/>
    <x v="0"/>
  </r>
  <r>
    <x v="2"/>
    <x v="4"/>
    <x v="2"/>
    <x v="2"/>
    <x v="0"/>
    <x v="2"/>
    <n v="0"/>
    <x v="2"/>
    <x v="0"/>
  </r>
  <r>
    <x v="2"/>
    <x v="4"/>
    <x v="2"/>
    <x v="2"/>
    <x v="0"/>
    <x v="3"/>
    <n v="0"/>
    <x v="3"/>
    <x v="1"/>
  </r>
  <r>
    <x v="2"/>
    <x v="4"/>
    <x v="2"/>
    <x v="2"/>
    <x v="0"/>
    <x v="4"/>
    <n v="1"/>
    <x v="4"/>
    <x v="1"/>
  </r>
  <r>
    <x v="2"/>
    <x v="4"/>
    <x v="2"/>
    <x v="2"/>
    <x v="0"/>
    <x v="5"/>
    <n v="0"/>
    <x v="5"/>
    <x v="1"/>
  </r>
  <r>
    <x v="2"/>
    <x v="4"/>
    <x v="2"/>
    <x v="2"/>
    <x v="0"/>
    <x v="6"/>
    <n v="0"/>
    <x v="6"/>
    <x v="1"/>
  </r>
  <r>
    <x v="2"/>
    <x v="4"/>
    <x v="2"/>
    <x v="2"/>
    <x v="0"/>
    <x v="7"/>
    <n v="0"/>
    <x v="7"/>
    <x v="0"/>
  </r>
  <r>
    <x v="2"/>
    <x v="4"/>
    <x v="2"/>
    <x v="2"/>
    <x v="1"/>
    <x v="8"/>
    <n v="1"/>
    <x v="8"/>
    <x v="1"/>
  </r>
  <r>
    <x v="2"/>
    <x v="4"/>
    <x v="2"/>
    <x v="2"/>
    <x v="1"/>
    <x v="9"/>
    <n v="0"/>
    <x v="9"/>
    <x v="1"/>
  </r>
  <r>
    <x v="2"/>
    <x v="4"/>
    <x v="2"/>
    <x v="2"/>
    <x v="1"/>
    <x v="10"/>
    <n v="0"/>
    <x v="10"/>
    <x v="1"/>
  </r>
  <r>
    <x v="2"/>
    <x v="4"/>
    <x v="2"/>
    <x v="2"/>
    <x v="1"/>
    <x v="11"/>
    <n v="0"/>
    <x v="11"/>
    <x v="1"/>
  </r>
  <r>
    <x v="2"/>
    <x v="4"/>
    <x v="2"/>
    <x v="2"/>
    <x v="2"/>
    <x v="12"/>
    <n v="0"/>
    <x v="12"/>
    <x v="0"/>
  </r>
  <r>
    <x v="2"/>
    <x v="4"/>
    <x v="2"/>
    <x v="2"/>
    <x v="2"/>
    <x v="13"/>
    <n v="1"/>
    <x v="13"/>
    <x v="0"/>
  </r>
  <r>
    <x v="2"/>
    <x v="4"/>
    <x v="2"/>
    <x v="2"/>
    <x v="2"/>
    <x v="14"/>
    <n v="0"/>
    <x v="14"/>
    <x v="0"/>
  </r>
  <r>
    <x v="2"/>
    <x v="4"/>
    <x v="2"/>
    <x v="2"/>
    <x v="2"/>
    <x v="15"/>
    <n v="0"/>
    <x v="15"/>
    <x v="1"/>
  </r>
  <r>
    <x v="2"/>
    <x v="4"/>
    <x v="2"/>
    <x v="2"/>
    <x v="2"/>
    <x v="16"/>
    <n v="0"/>
    <x v="16"/>
    <x v="1"/>
  </r>
  <r>
    <x v="2"/>
    <x v="4"/>
    <x v="2"/>
    <x v="2"/>
    <x v="2"/>
    <x v="17"/>
    <n v="0"/>
    <x v="17"/>
    <x v="1"/>
  </r>
  <r>
    <x v="2"/>
    <x v="4"/>
    <x v="2"/>
    <x v="2"/>
    <x v="2"/>
    <x v="18"/>
    <n v="0"/>
    <x v="18"/>
    <x v="1"/>
  </r>
  <r>
    <x v="2"/>
    <x v="4"/>
    <x v="2"/>
    <x v="2"/>
    <x v="2"/>
    <x v="19"/>
    <n v="0"/>
    <x v="19"/>
    <x v="0"/>
  </r>
  <r>
    <x v="2"/>
    <x v="5"/>
    <x v="0"/>
    <x v="0"/>
    <x v="0"/>
    <x v="0"/>
    <n v="7"/>
    <x v="0"/>
    <x v="0"/>
  </r>
  <r>
    <x v="2"/>
    <x v="5"/>
    <x v="0"/>
    <x v="0"/>
    <x v="0"/>
    <x v="1"/>
    <n v="12"/>
    <x v="1"/>
    <x v="0"/>
  </r>
  <r>
    <x v="2"/>
    <x v="5"/>
    <x v="0"/>
    <x v="0"/>
    <x v="0"/>
    <x v="2"/>
    <n v="2"/>
    <x v="2"/>
    <x v="0"/>
  </r>
  <r>
    <x v="2"/>
    <x v="5"/>
    <x v="0"/>
    <x v="0"/>
    <x v="0"/>
    <x v="3"/>
    <n v="9"/>
    <x v="3"/>
    <x v="1"/>
  </r>
  <r>
    <x v="2"/>
    <x v="5"/>
    <x v="0"/>
    <x v="0"/>
    <x v="0"/>
    <x v="4"/>
    <n v="9"/>
    <x v="4"/>
    <x v="1"/>
  </r>
  <r>
    <x v="2"/>
    <x v="5"/>
    <x v="0"/>
    <x v="0"/>
    <x v="0"/>
    <x v="5"/>
    <n v="5"/>
    <x v="5"/>
    <x v="1"/>
  </r>
  <r>
    <x v="2"/>
    <x v="5"/>
    <x v="0"/>
    <x v="0"/>
    <x v="0"/>
    <x v="6"/>
    <n v="2"/>
    <x v="6"/>
    <x v="1"/>
  </r>
  <r>
    <x v="2"/>
    <x v="5"/>
    <x v="0"/>
    <x v="0"/>
    <x v="0"/>
    <x v="7"/>
    <n v="5"/>
    <x v="7"/>
    <x v="0"/>
  </r>
  <r>
    <x v="2"/>
    <x v="5"/>
    <x v="0"/>
    <x v="0"/>
    <x v="1"/>
    <x v="8"/>
    <n v="1"/>
    <x v="8"/>
    <x v="1"/>
  </r>
  <r>
    <x v="2"/>
    <x v="5"/>
    <x v="0"/>
    <x v="0"/>
    <x v="1"/>
    <x v="9"/>
    <n v="8"/>
    <x v="9"/>
    <x v="1"/>
  </r>
  <r>
    <x v="2"/>
    <x v="5"/>
    <x v="0"/>
    <x v="0"/>
    <x v="1"/>
    <x v="10"/>
    <n v="4"/>
    <x v="10"/>
    <x v="1"/>
  </r>
  <r>
    <x v="2"/>
    <x v="5"/>
    <x v="0"/>
    <x v="0"/>
    <x v="1"/>
    <x v="11"/>
    <n v="5"/>
    <x v="11"/>
    <x v="1"/>
  </r>
  <r>
    <x v="2"/>
    <x v="5"/>
    <x v="0"/>
    <x v="0"/>
    <x v="2"/>
    <x v="12"/>
    <n v="4"/>
    <x v="12"/>
    <x v="0"/>
  </r>
  <r>
    <x v="2"/>
    <x v="5"/>
    <x v="0"/>
    <x v="0"/>
    <x v="2"/>
    <x v="13"/>
    <n v="4"/>
    <x v="13"/>
    <x v="0"/>
  </r>
  <r>
    <x v="2"/>
    <x v="5"/>
    <x v="0"/>
    <x v="0"/>
    <x v="2"/>
    <x v="14"/>
    <n v="7"/>
    <x v="14"/>
    <x v="0"/>
  </r>
  <r>
    <x v="2"/>
    <x v="5"/>
    <x v="0"/>
    <x v="0"/>
    <x v="2"/>
    <x v="15"/>
    <n v="3"/>
    <x v="15"/>
    <x v="1"/>
  </r>
  <r>
    <x v="2"/>
    <x v="5"/>
    <x v="0"/>
    <x v="0"/>
    <x v="2"/>
    <x v="16"/>
    <n v="8"/>
    <x v="16"/>
    <x v="1"/>
  </r>
  <r>
    <x v="2"/>
    <x v="5"/>
    <x v="0"/>
    <x v="0"/>
    <x v="2"/>
    <x v="17"/>
    <n v="2"/>
    <x v="17"/>
    <x v="1"/>
  </r>
  <r>
    <x v="2"/>
    <x v="5"/>
    <x v="0"/>
    <x v="0"/>
    <x v="2"/>
    <x v="18"/>
    <n v="4"/>
    <x v="18"/>
    <x v="1"/>
  </r>
  <r>
    <x v="2"/>
    <x v="5"/>
    <x v="0"/>
    <x v="0"/>
    <x v="2"/>
    <x v="19"/>
    <n v="5"/>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1"/>
    <x v="5"/>
    <x v="1"/>
  </r>
  <r>
    <x v="2"/>
    <x v="5"/>
    <x v="0"/>
    <x v="1"/>
    <x v="0"/>
    <x v="6"/>
    <n v="1"/>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0"/>
  </r>
  <r>
    <x v="2"/>
    <x v="5"/>
    <x v="0"/>
    <x v="1"/>
    <x v="2"/>
    <x v="15"/>
    <n v="0"/>
    <x v="15"/>
    <x v="1"/>
  </r>
  <r>
    <x v="2"/>
    <x v="5"/>
    <x v="0"/>
    <x v="1"/>
    <x v="2"/>
    <x v="16"/>
    <n v="0"/>
    <x v="16"/>
    <x v="1"/>
  </r>
  <r>
    <x v="2"/>
    <x v="5"/>
    <x v="0"/>
    <x v="1"/>
    <x v="2"/>
    <x v="17"/>
    <n v="0"/>
    <x v="17"/>
    <x v="1"/>
  </r>
  <r>
    <x v="2"/>
    <x v="5"/>
    <x v="0"/>
    <x v="1"/>
    <x v="2"/>
    <x v="18"/>
    <n v="0"/>
    <x v="18"/>
    <x v="1"/>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1"/>
    <x v="7"/>
    <x v="0"/>
  </r>
  <r>
    <x v="2"/>
    <x v="5"/>
    <x v="0"/>
    <x v="2"/>
    <x v="1"/>
    <x v="8"/>
    <n v="1"/>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1"/>
  </r>
  <r>
    <x v="2"/>
    <x v="5"/>
    <x v="0"/>
    <x v="2"/>
    <x v="2"/>
    <x v="16"/>
    <n v="0"/>
    <x v="16"/>
    <x v="1"/>
  </r>
  <r>
    <x v="2"/>
    <x v="5"/>
    <x v="0"/>
    <x v="2"/>
    <x v="2"/>
    <x v="17"/>
    <n v="0"/>
    <x v="17"/>
    <x v="1"/>
  </r>
  <r>
    <x v="2"/>
    <x v="5"/>
    <x v="0"/>
    <x v="2"/>
    <x v="2"/>
    <x v="18"/>
    <n v="0"/>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0"/>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3" sqref="E4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44790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94</v>
      </c>
      <c r="D22" t="s">
        <v>27</v>
      </c>
      <c r="E22" s="1" t="s">
        <v>93</v>
      </c>
    </row>
    <row r="23" spans="2:10" x14ac:dyDescent="0.25">
      <c r="B23" t="s">
        <v>21</v>
      </c>
      <c r="C23" s="1" t="s">
        <v>98</v>
      </c>
      <c r="D23" t="s">
        <v>27</v>
      </c>
      <c r="E23" s="1" t="s">
        <v>97</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97</v>
      </c>
    </row>
    <row r="34" spans="2:5" x14ac:dyDescent="0.25">
      <c r="B34" t="s">
        <v>21</v>
      </c>
      <c r="C34" s="1" t="s">
        <v>95</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100</v>
      </c>
      <c r="D44" t="s">
        <v>27</v>
      </c>
      <c r="E44" s="1" t="s">
        <v>92</v>
      </c>
    </row>
    <row r="45" spans="2:5" x14ac:dyDescent="0.25">
      <c r="B45" t="s">
        <v>21</v>
      </c>
      <c r="C45" s="1" t="s">
        <v>101</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Greers Road North</v>
      </c>
      <c r="C4" s="1" t="str">
        <f>Input!C31</f>
        <v>Greers Road South</v>
      </c>
      <c r="D4" s="1" t="str">
        <f>Input!C42</f>
        <v>Kilburn Street West</v>
      </c>
      <c r="E4" s="1">
        <f>Input!C53</f>
        <v>0</v>
      </c>
      <c r="F4" s="1">
        <f>Input!C64</f>
        <v>0</v>
      </c>
      <c r="G4" s="1">
        <f>Input!C75</f>
        <v>0</v>
      </c>
      <c r="H4" s="1">
        <f>Input!C86</f>
        <v>0</v>
      </c>
    </row>
    <row r="6" spans="2:8" x14ac:dyDescent="0.25">
      <c r="B6" t="s">
        <v>18</v>
      </c>
    </row>
    <row r="8" spans="2:8" x14ac:dyDescent="0.25">
      <c r="B8" s="1" t="str">
        <f>Input!C22</f>
        <v>Thru to Greers Road South</v>
      </c>
      <c r="C8" s="1" t="str">
        <f>Input!C33</f>
        <v>Left into Kilburn Street West</v>
      </c>
      <c r="D8" s="1" t="str">
        <f>Input!C44</f>
        <v>Left into Greers Road North</v>
      </c>
      <c r="E8" s="1">
        <f>Input!C55</f>
        <v>0</v>
      </c>
      <c r="F8" s="1">
        <f>Input!C66</f>
        <v>0</v>
      </c>
      <c r="G8" s="1">
        <f>Input!C77</f>
        <v>0</v>
      </c>
      <c r="H8" s="1">
        <f>Input!C88</f>
        <v>0</v>
      </c>
    </row>
    <row r="9" spans="2:8" x14ac:dyDescent="0.25">
      <c r="B9" s="1" t="str">
        <f>Input!C23</f>
        <v>Right into Kilburn Street West</v>
      </c>
      <c r="C9" s="1" t="str">
        <f>Input!C34</f>
        <v>Thru to Greers Road North</v>
      </c>
      <c r="D9" s="1" t="str">
        <f>Input!C45</f>
        <v>Right into Greers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Greers Road South</v>
      </c>
      <c r="C18" s="1" t="str">
        <f>Input!E33</f>
        <v>Kilburn Street West</v>
      </c>
      <c r="D18" s="1" t="str">
        <f>Input!E44</f>
        <v>Greers Road North</v>
      </c>
      <c r="E18" s="1">
        <f>Input!E55</f>
        <v>0</v>
      </c>
      <c r="F18" s="1">
        <f>Input!E66</f>
        <v>0</v>
      </c>
      <c r="G18" s="1">
        <f>Input!E77</f>
        <v>0</v>
      </c>
      <c r="H18" s="1">
        <f>Input!E88</f>
        <v>0</v>
      </c>
    </row>
    <row r="19" spans="2:8" x14ac:dyDescent="0.25">
      <c r="B19" s="1" t="str">
        <f>Input!E23</f>
        <v>Kilburn Street West</v>
      </c>
      <c r="C19" s="1" t="str">
        <f>Input!E34</f>
        <v>Greers Road North</v>
      </c>
      <c r="D19" s="1" t="str">
        <f>Input!E45</f>
        <v>Greers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92</v>
      </c>
      <c r="D5" s="16"/>
      <c r="E5" s="18"/>
      <c r="F5" s="26"/>
      <c r="G5" s="16"/>
      <c r="H5" s="18"/>
      <c r="I5" s="29" t="s">
        <v>93</v>
      </c>
      <c r="J5" s="16"/>
      <c r="K5" s="18"/>
      <c r="L5" s="26"/>
      <c r="M5" s="16"/>
      <c r="N5" s="18"/>
      <c r="O5" s="29" t="s">
        <v>97</v>
      </c>
      <c r="P5" s="16"/>
      <c r="Q5" s="18"/>
      <c r="R5" s="26"/>
      <c r="S5" s="16"/>
      <c r="T5" s="32"/>
    </row>
    <row r="6" spans="1:20" x14ac:dyDescent="0.25">
      <c r="C6" s="30" t="s">
        <v>94</v>
      </c>
      <c r="D6" s="17"/>
      <c r="E6" s="19"/>
      <c r="F6" s="27" t="s">
        <v>98</v>
      </c>
      <c r="G6" s="17"/>
      <c r="H6" s="19"/>
      <c r="I6" s="30" t="s">
        <v>99</v>
      </c>
      <c r="J6" s="17"/>
      <c r="K6" s="19"/>
      <c r="L6" s="27" t="s">
        <v>95</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190</v>
      </c>
      <c r="D8">
        <v>3</v>
      </c>
      <c r="E8">
        <v>1</v>
      </c>
      <c r="F8" s="28">
        <v>2</v>
      </c>
      <c r="G8">
        <v>0</v>
      </c>
      <c r="H8">
        <v>0</v>
      </c>
      <c r="I8" s="31">
        <v>5</v>
      </c>
      <c r="J8">
        <v>0</v>
      </c>
      <c r="K8">
        <v>0</v>
      </c>
      <c r="L8" s="28">
        <v>70</v>
      </c>
      <c r="M8">
        <v>1</v>
      </c>
      <c r="N8">
        <v>0</v>
      </c>
      <c r="O8" s="31">
        <v>2</v>
      </c>
      <c r="P8">
        <v>0</v>
      </c>
      <c r="Q8">
        <v>0</v>
      </c>
      <c r="R8" s="28">
        <v>7</v>
      </c>
      <c r="S8">
        <v>0</v>
      </c>
      <c r="T8" s="34">
        <v>0</v>
      </c>
    </row>
    <row r="9" spans="1:20" x14ac:dyDescent="0.25">
      <c r="A9" s="2" t="s">
        <v>43</v>
      </c>
      <c r="B9" s="7">
        <v>0.30208333333333331</v>
      </c>
      <c r="C9" s="31">
        <v>203</v>
      </c>
      <c r="D9">
        <v>8</v>
      </c>
      <c r="E9">
        <v>1</v>
      </c>
      <c r="F9" s="28">
        <v>2</v>
      </c>
      <c r="G9">
        <v>0</v>
      </c>
      <c r="H9">
        <v>0</v>
      </c>
      <c r="I9" s="31">
        <v>2</v>
      </c>
      <c r="J9">
        <v>0</v>
      </c>
      <c r="K9">
        <v>0</v>
      </c>
      <c r="L9" s="28">
        <v>97</v>
      </c>
      <c r="M9">
        <v>4</v>
      </c>
      <c r="N9">
        <v>0</v>
      </c>
      <c r="O9" s="31">
        <v>5</v>
      </c>
      <c r="P9">
        <v>0</v>
      </c>
      <c r="Q9">
        <v>0</v>
      </c>
      <c r="R9" s="28">
        <v>12</v>
      </c>
      <c r="S9">
        <v>0</v>
      </c>
      <c r="T9" s="34">
        <v>0</v>
      </c>
    </row>
    <row r="10" spans="1:20" x14ac:dyDescent="0.25">
      <c r="A10" s="2" t="s">
        <v>43</v>
      </c>
      <c r="B10" s="7">
        <v>0.3125</v>
      </c>
      <c r="C10" s="31">
        <v>257</v>
      </c>
      <c r="D10">
        <v>4</v>
      </c>
      <c r="E10">
        <v>2</v>
      </c>
      <c r="F10" s="28">
        <v>2</v>
      </c>
      <c r="G10">
        <v>0</v>
      </c>
      <c r="H10">
        <v>0</v>
      </c>
      <c r="I10" s="31">
        <v>3</v>
      </c>
      <c r="J10">
        <v>0</v>
      </c>
      <c r="K10">
        <v>0</v>
      </c>
      <c r="L10" s="28">
        <v>99</v>
      </c>
      <c r="M10">
        <v>8</v>
      </c>
      <c r="N10">
        <v>1</v>
      </c>
      <c r="O10" s="31">
        <v>7</v>
      </c>
      <c r="P10">
        <v>0</v>
      </c>
      <c r="Q10">
        <v>0</v>
      </c>
      <c r="R10" s="28">
        <v>2</v>
      </c>
      <c r="S10">
        <v>0</v>
      </c>
      <c r="T10" s="34">
        <v>0</v>
      </c>
    </row>
    <row r="11" spans="1:20" x14ac:dyDescent="0.25">
      <c r="A11" s="2" t="s">
        <v>43</v>
      </c>
      <c r="B11" s="7">
        <v>0.32291666666666669</v>
      </c>
      <c r="C11" s="31">
        <v>255</v>
      </c>
      <c r="D11">
        <v>11</v>
      </c>
      <c r="E11">
        <v>6</v>
      </c>
      <c r="F11" s="28">
        <v>5</v>
      </c>
      <c r="G11">
        <v>0</v>
      </c>
      <c r="H11">
        <v>0</v>
      </c>
      <c r="I11" s="31">
        <v>5</v>
      </c>
      <c r="J11">
        <v>0</v>
      </c>
      <c r="K11">
        <v>0</v>
      </c>
      <c r="L11" s="28">
        <v>158</v>
      </c>
      <c r="M11">
        <v>5</v>
      </c>
      <c r="N11">
        <v>0</v>
      </c>
      <c r="O11" s="31">
        <v>9</v>
      </c>
      <c r="P11">
        <v>0</v>
      </c>
      <c r="Q11">
        <v>0</v>
      </c>
      <c r="R11" s="28">
        <v>9</v>
      </c>
      <c r="S11">
        <v>0</v>
      </c>
      <c r="T11" s="34">
        <v>0</v>
      </c>
    </row>
    <row r="12" spans="1:20" x14ac:dyDescent="0.25">
      <c r="A12" s="2" t="s">
        <v>43</v>
      </c>
      <c r="B12" s="7">
        <v>0.33333333333333331</v>
      </c>
      <c r="C12" s="31">
        <v>227</v>
      </c>
      <c r="D12">
        <v>3</v>
      </c>
      <c r="E12">
        <v>5</v>
      </c>
      <c r="F12" s="28">
        <v>2</v>
      </c>
      <c r="G12">
        <v>0</v>
      </c>
      <c r="H12">
        <v>0</v>
      </c>
      <c r="I12" s="31">
        <v>6</v>
      </c>
      <c r="J12">
        <v>0</v>
      </c>
      <c r="K12">
        <v>0</v>
      </c>
      <c r="L12" s="28">
        <v>152</v>
      </c>
      <c r="M12">
        <v>4</v>
      </c>
      <c r="N12">
        <v>1</v>
      </c>
      <c r="O12" s="31">
        <v>5</v>
      </c>
      <c r="P12">
        <v>0</v>
      </c>
      <c r="Q12">
        <v>1</v>
      </c>
      <c r="R12" s="28">
        <v>9</v>
      </c>
      <c r="S12">
        <v>0</v>
      </c>
      <c r="T12" s="34">
        <v>0</v>
      </c>
    </row>
    <row r="13" spans="1:20" x14ac:dyDescent="0.25">
      <c r="A13" s="2" t="s">
        <v>43</v>
      </c>
      <c r="B13" s="7">
        <v>0.34375</v>
      </c>
      <c r="C13" s="31">
        <v>226</v>
      </c>
      <c r="D13">
        <v>8</v>
      </c>
      <c r="E13">
        <v>3</v>
      </c>
      <c r="F13" s="28">
        <v>6</v>
      </c>
      <c r="G13">
        <v>0</v>
      </c>
      <c r="H13">
        <v>0</v>
      </c>
      <c r="I13" s="31">
        <v>7</v>
      </c>
      <c r="J13">
        <v>0</v>
      </c>
      <c r="K13">
        <v>1</v>
      </c>
      <c r="L13" s="28">
        <v>144</v>
      </c>
      <c r="M13">
        <v>5</v>
      </c>
      <c r="N13">
        <v>0</v>
      </c>
      <c r="O13" s="31">
        <v>5</v>
      </c>
      <c r="P13">
        <v>0</v>
      </c>
      <c r="Q13">
        <v>0</v>
      </c>
      <c r="R13" s="28">
        <v>5</v>
      </c>
      <c r="S13">
        <v>1</v>
      </c>
      <c r="T13" s="34">
        <v>0</v>
      </c>
    </row>
    <row r="14" spans="1:20" x14ac:dyDescent="0.25">
      <c r="A14" s="2" t="s">
        <v>43</v>
      </c>
      <c r="B14" s="7">
        <v>0.35416666666666669</v>
      </c>
      <c r="C14" s="31">
        <v>216</v>
      </c>
      <c r="D14">
        <v>4</v>
      </c>
      <c r="E14">
        <v>1</v>
      </c>
      <c r="F14" s="28">
        <v>11</v>
      </c>
      <c r="G14">
        <v>0</v>
      </c>
      <c r="H14">
        <v>0</v>
      </c>
      <c r="I14" s="31">
        <v>5</v>
      </c>
      <c r="J14">
        <v>0</v>
      </c>
      <c r="K14">
        <v>0</v>
      </c>
      <c r="L14" s="28">
        <v>158</v>
      </c>
      <c r="M14">
        <v>6</v>
      </c>
      <c r="N14">
        <v>0</v>
      </c>
      <c r="O14" s="31">
        <v>5</v>
      </c>
      <c r="P14">
        <v>0</v>
      </c>
      <c r="Q14">
        <v>0</v>
      </c>
      <c r="R14" s="28">
        <v>2</v>
      </c>
      <c r="S14">
        <v>1</v>
      </c>
      <c r="T14" s="34">
        <v>0</v>
      </c>
    </row>
    <row r="15" spans="1:20" ht="15.75" thickBot="1" x14ac:dyDescent="0.3">
      <c r="A15" s="2" t="s">
        <v>43</v>
      </c>
      <c r="B15" s="7">
        <v>0.36458333333333331</v>
      </c>
      <c r="C15" s="31">
        <v>205</v>
      </c>
      <c r="D15">
        <v>7</v>
      </c>
      <c r="E15">
        <v>0</v>
      </c>
      <c r="F15" s="28">
        <v>6</v>
      </c>
      <c r="G15">
        <v>0</v>
      </c>
      <c r="H15">
        <v>0</v>
      </c>
      <c r="I15" s="31">
        <v>6</v>
      </c>
      <c r="J15">
        <v>0</v>
      </c>
      <c r="K15">
        <v>0</v>
      </c>
      <c r="L15" s="28">
        <v>169</v>
      </c>
      <c r="M15">
        <v>8</v>
      </c>
      <c r="N15">
        <v>1</v>
      </c>
      <c r="O15" s="31">
        <v>8</v>
      </c>
      <c r="P15">
        <v>0</v>
      </c>
      <c r="Q15">
        <v>0</v>
      </c>
      <c r="R15" s="28">
        <v>5</v>
      </c>
      <c r="S15">
        <v>0</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145</v>
      </c>
      <c r="D17">
        <v>9</v>
      </c>
      <c r="E17">
        <v>1</v>
      </c>
      <c r="F17" s="28">
        <v>5</v>
      </c>
      <c r="G17">
        <v>1</v>
      </c>
      <c r="H17">
        <v>0</v>
      </c>
      <c r="I17" s="31">
        <v>5</v>
      </c>
      <c r="J17">
        <v>0</v>
      </c>
      <c r="K17">
        <v>0</v>
      </c>
      <c r="L17" s="28">
        <v>132</v>
      </c>
      <c r="M17">
        <v>6</v>
      </c>
      <c r="N17">
        <v>1</v>
      </c>
      <c r="O17" s="31">
        <v>1</v>
      </c>
      <c r="P17">
        <v>0</v>
      </c>
      <c r="Q17">
        <v>1</v>
      </c>
      <c r="R17" s="28">
        <v>1</v>
      </c>
      <c r="S17">
        <v>0</v>
      </c>
      <c r="T17" s="34">
        <v>1</v>
      </c>
    </row>
    <row r="18" spans="1:20" x14ac:dyDescent="0.25">
      <c r="A18" s="2" t="s">
        <v>91</v>
      </c>
      <c r="B18" s="7">
        <v>0.55208333333333337</v>
      </c>
      <c r="C18" s="31">
        <v>146</v>
      </c>
      <c r="D18">
        <v>5</v>
      </c>
      <c r="E18">
        <v>1</v>
      </c>
      <c r="F18" s="28">
        <v>5</v>
      </c>
      <c r="G18">
        <v>0</v>
      </c>
      <c r="H18">
        <v>0</v>
      </c>
      <c r="I18" s="31">
        <v>6</v>
      </c>
      <c r="J18">
        <v>0</v>
      </c>
      <c r="K18">
        <v>0</v>
      </c>
      <c r="L18" s="28">
        <v>118</v>
      </c>
      <c r="M18">
        <v>6</v>
      </c>
      <c r="N18">
        <v>0</v>
      </c>
      <c r="O18" s="31">
        <v>5</v>
      </c>
      <c r="P18">
        <v>0</v>
      </c>
      <c r="Q18">
        <v>0</v>
      </c>
      <c r="R18" s="28">
        <v>8</v>
      </c>
      <c r="S18">
        <v>0</v>
      </c>
      <c r="T18" s="34">
        <v>0</v>
      </c>
    </row>
    <row r="19" spans="1:20" x14ac:dyDescent="0.25">
      <c r="A19" s="2" t="s">
        <v>91</v>
      </c>
      <c r="B19" s="7">
        <v>0.5625</v>
      </c>
      <c r="C19" s="31">
        <v>151</v>
      </c>
      <c r="D19">
        <v>2</v>
      </c>
      <c r="E19">
        <v>0</v>
      </c>
      <c r="F19" s="28">
        <v>2</v>
      </c>
      <c r="G19">
        <v>0</v>
      </c>
      <c r="H19">
        <v>0</v>
      </c>
      <c r="I19" s="31">
        <v>5</v>
      </c>
      <c r="J19">
        <v>1</v>
      </c>
      <c r="K19">
        <v>0</v>
      </c>
      <c r="L19" s="28">
        <v>141</v>
      </c>
      <c r="M19">
        <v>6</v>
      </c>
      <c r="N19">
        <v>1</v>
      </c>
      <c r="O19" s="31">
        <v>6</v>
      </c>
      <c r="P19">
        <v>1</v>
      </c>
      <c r="Q19">
        <v>0</v>
      </c>
      <c r="R19" s="28">
        <v>4</v>
      </c>
      <c r="S19">
        <v>0</v>
      </c>
      <c r="T19" s="34">
        <v>0</v>
      </c>
    </row>
    <row r="20" spans="1:20" ht="15.75" thickBot="1" x14ac:dyDescent="0.3">
      <c r="A20" s="2" t="s">
        <v>91</v>
      </c>
      <c r="B20" s="7">
        <v>0.57291666666666663</v>
      </c>
      <c r="C20" s="31">
        <v>169</v>
      </c>
      <c r="D20">
        <v>8</v>
      </c>
      <c r="E20">
        <v>0</v>
      </c>
      <c r="F20" s="28">
        <v>4</v>
      </c>
      <c r="G20">
        <v>0</v>
      </c>
      <c r="H20">
        <v>0</v>
      </c>
      <c r="I20" s="31">
        <v>3</v>
      </c>
      <c r="J20">
        <v>0</v>
      </c>
      <c r="K20">
        <v>0</v>
      </c>
      <c r="L20" s="28">
        <v>126</v>
      </c>
      <c r="M20">
        <v>5</v>
      </c>
      <c r="N20">
        <v>0</v>
      </c>
      <c r="O20" s="31">
        <v>4</v>
      </c>
      <c r="P20">
        <v>0</v>
      </c>
      <c r="Q20">
        <v>0</v>
      </c>
      <c r="R20" s="28">
        <v>5</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190</v>
      </c>
      <c r="D22">
        <v>4</v>
      </c>
      <c r="E22">
        <v>0</v>
      </c>
      <c r="F22" s="28">
        <v>7</v>
      </c>
      <c r="G22">
        <v>0</v>
      </c>
      <c r="H22">
        <v>0</v>
      </c>
      <c r="I22" s="31">
        <v>18</v>
      </c>
      <c r="J22">
        <v>0</v>
      </c>
      <c r="K22">
        <v>1</v>
      </c>
      <c r="L22" s="28">
        <v>181</v>
      </c>
      <c r="M22">
        <v>4</v>
      </c>
      <c r="N22">
        <v>0</v>
      </c>
      <c r="O22" s="31">
        <v>5</v>
      </c>
      <c r="P22">
        <v>0</v>
      </c>
      <c r="Q22">
        <v>0</v>
      </c>
      <c r="R22" s="28">
        <v>4</v>
      </c>
      <c r="S22">
        <v>0</v>
      </c>
      <c r="T22" s="34">
        <v>0</v>
      </c>
    </row>
    <row r="23" spans="1:20" x14ac:dyDescent="0.25">
      <c r="A23" s="2" t="s">
        <v>44</v>
      </c>
      <c r="B23" s="7">
        <v>0.67708333333333337</v>
      </c>
      <c r="C23" s="31">
        <v>219</v>
      </c>
      <c r="D23">
        <v>4</v>
      </c>
      <c r="E23">
        <v>0</v>
      </c>
      <c r="F23" s="28">
        <v>7</v>
      </c>
      <c r="G23">
        <v>0</v>
      </c>
      <c r="H23">
        <v>0</v>
      </c>
      <c r="I23" s="31">
        <v>9</v>
      </c>
      <c r="J23">
        <v>0</v>
      </c>
      <c r="K23">
        <v>0</v>
      </c>
      <c r="L23" s="28">
        <v>165</v>
      </c>
      <c r="M23">
        <v>2</v>
      </c>
      <c r="N23">
        <v>0</v>
      </c>
      <c r="O23" s="31">
        <v>3</v>
      </c>
      <c r="P23">
        <v>0</v>
      </c>
      <c r="Q23">
        <v>1</v>
      </c>
      <c r="R23" s="28">
        <v>4</v>
      </c>
      <c r="S23">
        <v>0</v>
      </c>
      <c r="T23" s="34">
        <v>0</v>
      </c>
    </row>
    <row r="24" spans="1:20" x14ac:dyDescent="0.25">
      <c r="A24" s="2" t="s">
        <v>44</v>
      </c>
      <c r="B24" s="7">
        <v>0.6875</v>
      </c>
      <c r="C24" s="31">
        <v>212</v>
      </c>
      <c r="D24">
        <v>2</v>
      </c>
      <c r="E24">
        <v>0</v>
      </c>
      <c r="F24" s="28">
        <v>9</v>
      </c>
      <c r="G24">
        <v>0</v>
      </c>
      <c r="H24">
        <v>0</v>
      </c>
      <c r="I24" s="31">
        <v>7</v>
      </c>
      <c r="J24">
        <v>1</v>
      </c>
      <c r="K24">
        <v>2</v>
      </c>
      <c r="L24" s="28">
        <v>152</v>
      </c>
      <c r="M24">
        <v>2</v>
      </c>
      <c r="N24">
        <v>0</v>
      </c>
      <c r="O24" s="31">
        <v>5</v>
      </c>
      <c r="P24">
        <v>0</v>
      </c>
      <c r="Q24">
        <v>0</v>
      </c>
      <c r="R24" s="28">
        <v>7</v>
      </c>
      <c r="S24">
        <v>0</v>
      </c>
      <c r="T24" s="34">
        <v>0</v>
      </c>
    </row>
    <row r="25" spans="1:20" x14ac:dyDescent="0.25">
      <c r="A25" s="2" t="s">
        <v>44</v>
      </c>
      <c r="B25" s="7">
        <v>0.69791666666666663</v>
      </c>
      <c r="C25" s="31">
        <v>183</v>
      </c>
      <c r="D25">
        <v>4</v>
      </c>
      <c r="E25">
        <v>1</v>
      </c>
      <c r="F25" s="28">
        <v>8</v>
      </c>
      <c r="G25">
        <v>0</v>
      </c>
      <c r="H25">
        <v>0</v>
      </c>
      <c r="I25" s="31">
        <v>7</v>
      </c>
      <c r="J25">
        <v>0</v>
      </c>
      <c r="K25">
        <v>0</v>
      </c>
      <c r="L25" s="28">
        <v>161</v>
      </c>
      <c r="M25">
        <v>4</v>
      </c>
      <c r="N25">
        <v>5</v>
      </c>
      <c r="O25" s="31">
        <v>3</v>
      </c>
      <c r="P25">
        <v>0</v>
      </c>
      <c r="Q25">
        <v>0</v>
      </c>
      <c r="R25" s="28">
        <v>3</v>
      </c>
      <c r="S25">
        <v>0</v>
      </c>
      <c r="T25" s="34">
        <v>0</v>
      </c>
    </row>
    <row r="26" spans="1:20" x14ac:dyDescent="0.25">
      <c r="A26" s="2" t="s">
        <v>44</v>
      </c>
      <c r="B26" s="7">
        <v>0.70833333333333337</v>
      </c>
      <c r="C26" s="31">
        <v>197</v>
      </c>
      <c r="D26">
        <v>4</v>
      </c>
      <c r="E26">
        <v>1</v>
      </c>
      <c r="F26" s="28">
        <v>9</v>
      </c>
      <c r="G26">
        <v>0</v>
      </c>
      <c r="H26">
        <v>1</v>
      </c>
      <c r="I26" s="31">
        <v>11</v>
      </c>
      <c r="J26">
        <v>0</v>
      </c>
      <c r="K26">
        <v>1</v>
      </c>
      <c r="L26" s="28">
        <v>163</v>
      </c>
      <c r="M26">
        <v>2</v>
      </c>
      <c r="N26">
        <v>3</v>
      </c>
      <c r="O26" s="31">
        <v>2</v>
      </c>
      <c r="P26">
        <v>0</v>
      </c>
      <c r="Q26">
        <v>0</v>
      </c>
      <c r="R26" s="28">
        <v>8</v>
      </c>
      <c r="S26">
        <v>0</v>
      </c>
      <c r="T26" s="34">
        <v>0</v>
      </c>
    </row>
    <row r="27" spans="1:20" x14ac:dyDescent="0.25">
      <c r="A27" s="2" t="s">
        <v>44</v>
      </c>
      <c r="B27" s="7">
        <v>0.71875</v>
      </c>
      <c r="C27" s="31">
        <v>216</v>
      </c>
      <c r="D27">
        <v>3</v>
      </c>
      <c r="E27">
        <v>0</v>
      </c>
      <c r="F27" s="28">
        <v>11</v>
      </c>
      <c r="G27">
        <v>0</v>
      </c>
      <c r="H27">
        <v>0</v>
      </c>
      <c r="I27" s="31">
        <v>8</v>
      </c>
      <c r="J27">
        <v>0</v>
      </c>
      <c r="K27">
        <v>0</v>
      </c>
      <c r="L27" s="28">
        <v>167</v>
      </c>
      <c r="M27">
        <v>0</v>
      </c>
      <c r="N27">
        <v>2</v>
      </c>
      <c r="O27" s="31">
        <v>3</v>
      </c>
      <c r="P27">
        <v>0</v>
      </c>
      <c r="Q27">
        <v>0</v>
      </c>
      <c r="R27" s="28">
        <v>2</v>
      </c>
      <c r="S27">
        <v>0</v>
      </c>
      <c r="T27" s="34">
        <v>0</v>
      </c>
    </row>
    <row r="28" spans="1:20" x14ac:dyDescent="0.25">
      <c r="A28" s="2" t="s">
        <v>44</v>
      </c>
      <c r="B28" s="7">
        <v>0.72916666666666663</v>
      </c>
      <c r="C28" s="31">
        <v>206</v>
      </c>
      <c r="D28">
        <v>0</v>
      </c>
      <c r="E28">
        <v>0</v>
      </c>
      <c r="F28" s="28">
        <v>12</v>
      </c>
      <c r="G28">
        <v>0</v>
      </c>
      <c r="H28">
        <v>0</v>
      </c>
      <c r="I28" s="31">
        <v>15</v>
      </c>
      <c r="J28">
        <v>0</v>
      </c>
      <c r="K28">
        <v>3</v>
      </c>
      <c r="L28" s="28">
        <v>175</v>
      </c>
      <c r="M28">
        <v>2</v>
      </c>
      <c r="N28">
        <v>4</v>
      </c>
      <c r="O28" s="31">
        <v>4</v>
      </c>
      <c r="P28">
        <v>0</v>
      </c>
      <c r="Q28">
        <v>0</v>
      </c>
      <c r="R28" s="28">
        <v>4</v>
      </c>
      <c r="S28">
        <v>0</v>
      </c>
      <c r="T28" s="34">
        <v>0</v>
      </c>
    </row>
    <row r="29" spans="1:20" ht="15.75" thickBot="1" x14ac:dyDescent="0.3">
      <c r="A29" s="21" t="s">
        <v>44</v>
      </c>
      <c r="B29" s="48">
        <v>0.73958333333333337</v>
      </c>
      <c r="C29" s="39">
        <v>171</v>
      </c>
      <c r="D29" s="38">
        <v>1</v>
      </c>
      <c r="E29" s="38">
        <v>0</v>
      </c>
      <c r="F29" s="40">
        <v>13</v>
      </c>
      <c r="G29" s="38">
        <v>1</v>
      </c>
      <c r="H29" s="38">
        <v>0</v>
      </c>
      <c r="I29" s="39">
        <v>15</v>
      </c>
      <c r="J29" s="38">
        <v>0</v>
      </c>
      <c r="K29" s="38">
        <v>1</v>
      </c>
      <c r="L29" s="40">
        <v>166</v>
      </c>
      <c r="M29" s="38">
        <v>1</v>
      </c>
      <c r="N29" s="38">
        <v>1</v>
      </c>
      <c r="O29" s="39">
        <v>3</v>
      </c>
      <c r="P29" s="38">
        <v>0</v>
      </c>
      <c r="Q29" s="38">
        <v>0</v>
      </c>
      <c r="R29" s="40">
        <v>5</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94</v>
      </c>
      <c r="C2" t="s">
        <v>93</v>
      </c>
      <c r="D2" t="s">
        <v>79</v>
      </c>
      <c r="E2" t="s">
        <v>43</v>
      </c>
      <c r="F2" s="6">
        <v>0.29166666666666669</v>
      </c>
      <c r="G2">
        <v>190</v>
      </c>
      <c r="H2" s="6">
        <f>FLOOR(tblPivotData[[#This Row],[Time]],Summary!$B$6/1440)</f>
        <v>0.29166666666666663</v>
      </c>
      <c r="I2" s="49">
        <f>INDEX(PeakCalc!$L$10:$L$303,MATCH(tblPivotData[[#This Row],[Time]],PeakCalc!$G$10:$G$303,0))</f>
        <v>0</v>
      </c>
    </row>
    <row r="3" spans="1:9" x14ac:dyDescent="0.25">
      <c r="A3" t="s">
        <v>92</v>
      </c>
      <c r="B3" t="s">
        <v>94</v>
      </c>
      <c r="C3" t="s">
        <v>93</v>
      </c>
      <c r="D3" t="s">
        <v>79</v>
      </c>
      <c r="E3" t="s">
        <v>43</v>
      </c>
      <c r="F3" s="6">
        <v>0.30208333333333331</v>
      </c>
      <c r="G3">
        <v>203</v>
      </c>
      <c r="H3" s="6">
        <f>FLOOR(tblPivotData[[#This Row],[Time]],Summary!$B$6/1440)</f>
        <v>0.30208333333333331</v>
      </c>
      <c r="I3" s="49">
        <f>INDEX(PeakCalc!$L$10:$L$303,MATCH(tblPivotData[[#This Row],[Time]],PeakCalc!$G$10:$G$303,0))</f>
        <v>0</v>
      </c>
    </row>
    <row r="4" spans="1:9" x14ac:dyDescent="0.25">
      <c r="A4" t="s">
        <v>92</v>
      </c>
      <c r="B4" t="s">
        <v>94</v>
      </c>
      <c r="C4" t="s">
        <v>93</v>
      </c>
      <c r="D4" t="s">
        <v>79</v>
      </c>
      <c r="E4" t="s">
        <v>43</v>
      </c>
      <c r="F4" s="6">
        <v>0.3125</v>
      </c>
      <c r="G4">
        <v>257</v>
      </c>
      <c r="H4" s="6">
        <f>FLOOR(tblPivotData[[#This Row],[Time]],Summary!$B$6/1440)</f>
        <v>0.3125</v>
      </c>
      <c r="I4" s="49">
        <f>INDEX(PeakCalc!$L$10:$L$303,MATCH(tblPivotData[[#This Row],[Time]],PeakCalc!$G$10:$G$303,0))</f>
        <v>0</v>
      </c>
    </row>
    <row r="5" spans="1:9" x14ac:dyDescent="0.25">
      <c r="A5" t="s">
        <v>92</v>
      </c>
      <c r="B5" t="s">
        <v>94</v>
      </c>
      <c r="C5" t="s">
        <v>93</v>
      </c>
      <c r="D5" t="s">
        <v>79</v>
      </c>
      <c r="E5" t="s">
        <v>43</v>
      </c>
      <c r="F5" s="6">
        <v>0.32291666666666669</v>
      </c>
      <c r="G5">
        <v>255</v>
      </c>
      <c r="H5" s="6">
        <f>FLOOR(tblPivotData[[#This Row],[Time]],Summary!$B$6/1440)</f>
        <v>0.32291666666666663</v>
      </c>
      <c r="I5" s="49">
        <f>INDEX(PeakCalc!$L$10:$L$303,MATCH(tblPivotData[[#This Row],[Time]],PeakCalc!$G$10:$G$303,0))</f>
        <v>1</v>
      </c>
    </row>
    <row r="6" spans="1:9" x14ac:dyDescent="0.25">
      <c r="A6" t="s">
        <v>92</v>
      </c>
      <c r="B6" t="s">
        <v>94</v>
      </c>
      <c r="C6" t="s">
        <v>93</v>
      </c>
      <c r="D6" t="s">
        <v>79</v>
      </c>
      <c r="E6" t="s">
        <v>43</v>
      </c>
      <c r="F6" s="6">
        <v>0.33333333333333331</v>
      </c>
      <c r="G6">
        <v>227</v>
      </c>
      <c r="H6" s="6">
        <f>FLOOR(tblPivotData[[#This Row],[Time]],Summary!$B$6/1440)</f>
        <v>0.33333333333333331</v>
      </c>
      <c r="I6" s="49">
        <f>INDEX(PeakCalc!$L$10:$L$303,MATCH(tblPivotData[[#This Row],[Time]],PeakCalc!$G$10:$G$303,0))</f>
        <v>1</v>
      </c>
    </row>
    <row r="7" spans="1:9" x14ac:dyDescent="0.25">
      <c r="A7" t="s">
        <v>92</v>
      </c>
      <c r="B7" t="s">
        <v>94</v>
      </c>
      <c r="C7" t="s">
        <v>93</v>
      </c>
      <c r="D7" t="s">
        <v>79</v>
      </c>
      <c r="E7" t="s">
        <v>43</v>
      </c>
      <c r="F7" s="6">
        <v>0.34375</v>
      </c>
      <c r="G7">
        <v>226</v>
      </c>
      <c r="H7" s="6">
        <f>FLOOR(tblPivotData[[#This Row],[Time]],Summary!$B$6/1440)</f>
        <v>0.34375</v>
      </c>
      <c r="I7" s="49">
        <f>INDEX(PeakCalc!$L$10:$L$303,MATCH(tblPivotData[[#This Row],[Time]],PeakCalc!$G$10:$G$303,0))</f>
        <v>1</v>
      </c>
    </row>
    <row r="8" spans="1:9" x14ac:dyDescent="0.25">
      <c r="A8" t="s">
        <v>92</v>
      </c>
      <c r="B8" t="s">
        <v>94</v>
      </c>
      <c r="C8" t="s">
        <v>93</v>
      </c>
      <c r="D8" t="s">
        <v>79</v>
      </c>
      <c r="E8" t="s">
        <v>43</v>
      </c>
      <c r="F8" s="6">
        <v>0.35416666666666669</v>
      </c>
      <c r="G8">
        <v>216</v>
      </c>
      <c r="H8" s="6">
        <f>FLOOR(tblPivotData[[#This Row],[Time]],Summary!$B$6/1440)</f>
        <v>0.35416666666666663</v>
      </c>
      <c r="I8" s="49">
        <f>INDEX(PeakCalc!$L$10:$L$303,MATCH(tblPivotData[[#This Row],[Time]],PeakCalc!$G$10:$G$303,0))</f>
        <v>1</v>
      </c>
    </row>
    <row r="9" spans="1:9" x14ac:dyDescent="0.25">
      <c r="A9" t="s">
        <v>92</v>
      </c>
      <c r="B9" t="s">
        <v>94</v>
      </c>
      <c r="C9" t="s">
        <v>93</v>
      </c>
      <c r="D9" t="s">
        <v>79</v>
      </c>
      <c r="E9" t="s">
        <v>43</v>
      </c>
      <c r="F9" s="6">
        <v>0.36458333333333331</v>
      </c>
      <c r="G9">
        <v>205</v>
      </c>
      <c r="H9" s="6">
        <f>FLOOR(tblPivotData[[#This Row],[Time]],Summary!$B$6/1440)</f>
        <v>0.36458333333333331</v>
      </c>
      <c r="I9" s="49">
        <f>INDEX(PeakCalc!$L$10:$L$303,MATCH(tblPivotData[[#This Row],[Time]],PeakCalc!$G$10:$G$303,0))</f>
        <v>0</v>
      </c>
    </row>
    <row r="10" spans="1:9" x14ac:dyDescent="0.25">
      <c r="A10" t="s">
        <v>92</v>
      </c>
      <c r="B10" t="s">
        <v>94</v>
      </c>
      <c r="C10" t="s">
        <v>93</v>
      </c>
      <c r="D10" t="s">
        <v>79</v>
      </c>
      <c r="E10" t="s">
        <v>91</v>
      </c>
      <c r="F10" s="6">
        <v>0.54166666666666663</v>
      </c>
      <c r="G10">
        <v>145</v>
      </c>
      <c r="H10" s="6">
        <f>FLOOR(tblPivotData[[#This Row],[Time]],Summary!$B$6/1440)</f>
        <v>0.54166666666666663</v>
      </c>
      <c r="I10" s="49">
        <f>INDEX(PeakCalc!$L$10:$L$303,MATCH(tblPivotData[[#This Row],[Time]],PeakCalc!$G$10:$G$303,0))</f>
        <v>1</v>
      </c>
    </row>
    <row r="11" spans="1:9" x14ac:dyDescent="0.25">
      <c r="A11" t="s">
        <v>92</v>
      </c>
      <c r="B11" t="s">
        <v>94</v>
      </c>
      <c r="C11" t="s">
        <v>93</v>
      </c>
      <c r="D11" t="s">
        <v>79</v>
      </c>
      <c r="E11" t="s">
        <v>91</v>
      </c>
      <c r="F11" s="6">
        <v>0.55208333333333337</v>
      </c>
      <c r="G11">
        <v>146</v>
      </c>
      <c r="H11" s="6">
        <f>FLOOR(tblPivotData[[#This Row],[Time]],Summary!$B$6/1440)</f>
        <v>0.55208333333333326</v>
      </c>
      <c r="I11" s="49">
        <f>INDEX(PeakCalc!$L$10:$L$303,MATCH(tblPivotData[[#This Row],[Time]],PeakCalc!$G$10:$G$303,0))</f>
        <v>1</v>
      </c>
    </row>
    <row r="12" spans="1:9" x14ac:dyDescent="0.25">
      <c r="A12" t="s">
        <v>92</v>
      </c>
      <c r="B12" t="s">
        <v>94</v>
      </c>
      <c r="C12" t="s">
        <v>93</v>
      </c>
      <c r="D12" t="s">
        <v>79</v>
      </c>
      <c r="E12" t="s">
        <v>91</v>
      </c>
      <c r="F12" s="6">
        <v>0.5625</v>
      </c>
      <c r="G12">
        <v>151</v>
      </c>
      <c r="H12" s="6">
        <f>FLOOR(tblPivotData[[#This Row],[Time]],Summary!$B$6/1440)</f>
        <v>0.5625</v>
      </c>
      <c r="I12" s="49">
        <f>INDEX(PeakCalc!$L$10:$L$303,MATCH(tblPivotData[[#This Row],[Time]],PeakCalc!$G$10:$G$303,0))</f>
        <v>1</v>
      </c>
    </row>
    <row r="13" spans="1:9" x14ac:dyDescent="0.25">
      <c r="A13" t="s">
        <v>92</v>
      </c>
      <c r="B13" t="s">
        <v>94</v>
      </c>
      <c r="C13" t="s">
        <v>93</v>
      </c>
      <c r="D13" t="s">
        <v>79</v>
      </c>
      <c r="E13" t="s">
        <v>91</v>
      </c>
      <c r="F13" s="6">
        <v>0.57291666666666663</v>
      </c>
      <c r="G13">
        <v>169</v>
      </c>
      <c r="H13" s="6">
        <f>FLOOR(tblPivotData[[#This Row],[Time]],Summary!$B$6/1440)</f>
        <v>0.57291666666666663</v>
      </c>
      <c r="I13" s="49">
        <f>INDEX(PeakCalc!$L$10:$L$303,MATCH(tblPivotData[[#This Row],[Time]],PeakCalc!$G$10:$G$303,0))</f>
        <v>1</v>
      </c>
    </row>
    <row r="14" spans="1:9" x14ac:dyDescent="0.25">
      <c r="A14" t="s">
        <v>92</v>
      </c>
      <c r="B14" t="s">
        <v>94</v>
      </c>
      <c r="C14" t="s">
        <v>93</v>
      </c>
      <c r="D14" t="s">
        <v>79</v>
      </c>
      <c r="E14" t="s">
        <v>44</v>
      </c>
      <c r="F14" s="6">
        <v>0.66666666666666663</v>
      </c>
      <c r="G14">
        <v>190</v>
      </c>
      <c r="H14" s="6">
        <f>FLOOR(tblPivotData[[#This Row],[Time]],Summary!$B$6/1440)</f>
        <v>0.66666666666666663</v>
      </c>
      <c r="I14" s="49">
        <f>INDEX(PeakCalc!$L$10:$L$303,MATCH(tblPivotData[[#This Row],[Time]],PeakCalc!$G$10:$G$303,0))</f>
        <v>0</v>
      </c>
    </row>
    <row r="15" spans="1:9" x14ac:dyDescent="0.25">
      <c r="A15" t="s">
        <v>92</v>
      </c>
      <c r="B15" t="s">
        <v>94</v>
      </c>
      <c r="C15" t="s">
        <v>93</v>
      </c>
      <c r="D15" t="s">
        <v>79</v>
      </c>
      <c r="E15" t="s">
        <v>44</v>
      </c>
      <c r="F15" s="6">
        <v>0.67708333333333337</v>
      </c>
      <c r="G15">
        <v>219</v>
      </c>
      <c r="H15" s="6">
        <f>FLOOR(tblPivotData[[#This Row],[Time]],Summary!$B$6/1440)</f>
        <v>0.67708333333333326</v>
      </c>
      <c r="I15" s="49">
        <f>INDEX(PeakCalc!$L$10:$L$303,MATCH(tblPivotData[[#This Row],[Time]],PeakCalc!$G$10:$G$303,0))</f>
        <v>0</v>
      </c>
    </row>
    <row r="16" spans="1:9" x14ac:dyDescent="0.25">
      <c r="A16" t="s">
        <v>92</v>
      </c>
      <c r="B16" t="s">
        <v>94</v>
      </c>
      <c r="C16" t="s">
        <v>93</v>
      </c>
      <c r="D16" t="s">
        <v>79</v>
      </c>
      <c r="E16" t="s">
        <v>44</v>
      </c>
      <c r="F16" s="6">
        <v>0.6875</v>
      </c>
      <c r="G16">
        <v>212</v>
      </c>
      <c r="H16" s="6">
        <f>FLOOR(tblPivotData[[#This Row],[Time]],Summary!$B$6/1440)</f>
        <v>0.6875</v>
      </c>
      <c r="I16" s="49">
        <f>INDEX(PeakCalc!$L$10:$L$303,MATCH(tblPivotData[[#This Row],[Time]],PeakCalc!$G$10:$G$303,0))</f>
        <v>0</v>
      </c>
    </row>
    <row r="17" spans="1:9" x14ac:dyDescent="0.25">
      <c r="A17" t="s">
        <v>92</v>
      </c>
      <c r="B17" t="s">
        <v>94</v>
      </c>
      <c r="C17" t="s">
        <v>93</v>
      </c>
      <c r="D17" t="s">
        <v>79</v>
      </c>
      <c r="E17" t="s">
        <v>44</v>
      </c>
      <c r="F17" s="6">
        <v>0.69791666666666663</v>
      </c>
      <c r="G17">
        <v>183</v>
      </c>
      <c r="H17" s="6">
        <f>FLOOR(tblPivotData[[#This Row],[Time]],Summary!$B$6/1440)</f>
        <v>0.69791666666666663</v>
      </c>
      <c r="I17" s="49">
        <f>INDEX(PeakCalc!$L$10:$L$303,MATCH(tblPivotData[[#This Row],[Time]],PeakCalc!$G$10:$G$303,0))</f>
        <v>1</v>
      </c>
    </row>
    <row r="18" spans="1:9" x14ac:dyDescent="0.25">
      <c r="A18" t="s">
        <v>92</v>
      </c>
      <c r="B18" t="s">
        <v>94</v>
      </c>
      <c r="C18" t="s">
        <v>93</v>
      </c>
      <c r="D18" t="s">
        <v>79</v>
      </c>
      <c r="E18" t="s">
        <v>44</v>
      </c>
      <c r="F18" s="6">
        <v>0.70833333333333337</v>
      </c>
      <c r="G18">
        <v>197</v>
      </c>
      <c r="H18" s="6">
        <f>FLOOR(tblPivotData[[#This Row],[Time]],Summary!$B$6/1440)</f>
        <v>0.70833333333333326</v>
      </c>
      <c r="I18" s="49">
        <f>INDEX(PeakCalc!$L$10:$L$303,MATCH(tblPivotData[[#This Row],[Time]],PeakCalc!$G$10:$G$303,0))</f>
        <v>1</v>
      </c>
    </row>
    <row r="19" spans="1:9" x14ac:dyDescent="0.25">
      <c r="A19" t="s">
        <v>92</v>
      </c>
      <c r="B19" t="s">
        <v>94</v>
      </c>
      <c r="C19" t="s">
        <v>93</v>
      </c>
      <c r="D19" t="s">
        <v>79</v>
      </c>
      <c r="E19" t="s">
        <v>44</v>
      </c>
      <c r="F19" s="6">
        <v>0.71875</v>
      </c>
      <c r="G19">
        <v>216</v>
      </c>
      <c r="H19" s="6">
        <f>FLOOR(tblPivotData[[#This Row],[Time]],Summary!$B$6/1440)</f>
        <v>0.71875</v>
      </c>
      <c r="I19" s="49">
        <f>INDEX(PeakCalc!$L$10:$L$303,MATCH(tblPivotData[[#This Row],[Time]],PeakCalc!$G$10:$G$303,0))</f>
        <v>1</v>
      </c>
    </row>
    <row r="20" spans="1:9" x14ac:dyDescent="0.25">
      <c r="A20" t="s">
        <v>92</v>
      </c>
      <c r="B20" t="s">
        <v>94</v>
      </c>
      <c r="C20" t="s">
        <v>93</v>
      </c>
      <c r="D20" t="s">
        <v>79</v>
      </c>
      <c r="E20" t="s">
        <v>44</v>
      </c>
      <c r="F20" s="6">
        <v>0.72916666666666663</v>
      </c>
      <c r="G20">
        <v>206</v>
      </c>
      <c r="H20" s="6">
        <f>FLOOR(tblPivotData[[#This Row],[Time]],Summary!$B$6/1440)</f>
        <v>0.72916666666666663</v>
      </c>
      <c r="I20" s="49">
        <f>INDEX(PeakCalc!$L$10:$L$303,MATCH(tblPivotData[[#This Row],[Time]],PeakCalc!$G$10:$G$303,0))</f>
        <v>1</v>
      </c>
    </row>
    <row r="21" spans="1:9" x14ac:dyDescent="0.25">
      <c r="A21" t="s">
        <v>92</v>
      </c>
      <c r="B21" t="s">
        <v>94</v>
      </c>
      <c r="C21" t="s">
        <v>93</v>
      </c>
      <c r="D21" t="s">
        <v>79</v>
      </c>
      <c r="E21" t="s">
        <v>44</v>
      </c>
      <c r="F21" s="6">
        <v>0.73958333333333337</v>
      </c>
      <c r="G21">
        <v>171</v>
      </c>
      <c r="H21" s="6">
        <f>FLOOR(tblPivotData[[#This Row],[Time]],Summary!$B$6/1440)</f>
        <v>0.73958333333333326</v>
      </c>
      <c r="I21" s="49">
        <f>INDEX(PeakCalc!$L$10:$L$303,MATCH(tblPivotData[[#This Row],[Time]],PeakCalc!$G$10:$G$303,0))</f>
        <v>0</v>
      </c>
    </row>
    <row r="22" spans="1:9" x14ac:dyDescent="0.25">
      <c r="A22" t="s">
        <v>92</v>
      </c>
      <c r="B22" t="s">
        <v>94</v>
      </c>
      <c r="C22" t="s">
        <v>93</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92</v>
      </c>
      <c r="B23" t="s">
        <v>94</v>
      </c>
      <c r="C23" t="s">
        <v>93</v>
      </c>
      <c r="D23" t="s">
        <v>89</v>
      </c>
      <c r="E23" t="s">
        <v>43</v>
      </c>
      <c r="F23" s="6">
        <v>0.30208333333333331</v>
      </c>
      <c r="G23">
        <v>8</v>
      </c>
      <c r="H23" s="6">
        <f>FLOOR(tblPivotData[[#This Row],[Time]],Summary!$B$6/1440)</f>
        <v>0.30208333333333331</v>
      </c>
      <c r="I23" s="49">
        <f>INDEX(PeakCalc!$L$10:$L$303,MATCH(tblPivotData[[#This Row],[Time]],PeakCalc!$G$10:$G$303,0))</f>
        <v>0</v>
      </c>
    </row>
    <row r="24" spans="1:9" x14ac:dyDescent="0.25">
      <c r="A24" t="s">
        <v>92</v>
      </c>
      <c r="B24" t="s">
        <v>94</v>
      </c>
      <c r="C24" t="s">
        <v>93</v>
      </c>
      <c r="D24" t="s">
        <v>89</v>
      </c>
      <c r="E24" t="s">
        <v>43</v>
      </c>
      <c r="F24" s="6">
        <v>0.3125</v>
      </c>
      <c r="G24">
        <v>4</v>
      </c>
      <c r="H24" s="6">
        <f>FLOOR(tblPivotData[[#This Row],[Time]],Summary!$B$6/1440)</f>
        <v>0.3125</v>
      </c>
      <c r="I24" s="49">
        <f>INDEX(PeakCalc!$L$10:$L$303,MATCH(tblPivotData[[#This Row],[Time]],PeakCalc!$G$10:$G$303,0))</f>
        <v>0</v>
      </c>
    </row>
    <row r="25" spans="1:9" x14ac:dyDescent="0.25">
      <c r="A25" t="s">
        <v>92</v>
      </c>
      <c r="B25" t="s">
        <v>94</v>
      </c>
      <c r="C25" t="s">
        <v>93</v>
      </c>
      <c r="D25" t="s">
        <v>89</v>
      </c>
      <c r="E25" t="s">
        <v>43</v>
      </c>
      <c r="F25" s="6">
        <v>0.32291666666666669</v>
      </c>
      <c r="G25">
        <v>11</v>
      </c>
      <c r="H25" s="6">
        <f>FLOOR(tblPivotData[[#This Row],[Time]],Summary!$B$6/1440)</f>
        <v>0.32291666666666663</v>
      </c>
      <c r="I25" s="49">
        <f>INDEX(PeakCalc!$L$10:$L$303,MATCH(tblPivotData[[#This Row],[Time]],PeakCalc!$G$10:$G$303,0))</f>
        <v>1</v>
      </c>
    </row>
    <row r="26" spans="1:9" x14ac:dyDescent="0.25">
      <c r="A26" t="s">
        <v>92</v>
      </c>
      <c r="B26" t="s">
        <v>94</v>
      </c>
      <c r="C26" t="s">
        <v>93</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92</v>
      </c>
      <c r="B27" t="s">
        <v>94</v>
      </c>
      <c r="C27" t="s">
        <v>93</v>
      </c>
      <c r="D27" t="s">
        <v>89</v>
      </c>
      <c r="E27" t="s">
        <v>43</v>
      </c>
      <c r="F27" s="6">
        <v>0.34375</v>
      </c>
      <c r="G27">
        <v>8</v>
      </c>
      <c r="H27" s="6">
        <f>FLOOR(tblPivotData[[#This Row],[Time]],Summary!$B$6/1440)</f>
        <v>0.34375</v>
      </c>
      <c r="I27" s="49">
        <f>INDEX(PeakCalc!$L$10:$L$303,MATCH(tblPivotData[[#This Row],[Time]],PeakCalc!$G$10:$G$303,0))</f>
        <v>1</v>
      </c>
    </row>
    <row r="28" spans="1:9" x14ac:dyDescent="0.25">
      <c r="A28" t="s">
        <v>92</v>
      </c>
      <c r="B28" t="s">
        <v>94</v>
      </c>
      <c r="C28" t="s">
        <v>93</v>
      </c>
      <c r="D28" t="s">
        <v>89</v>
      </c>
      <c r="E28" t="s">
        <v>43</v>
      </c>
      <c r="F28" s="6">
        <v>0.35416666666666669</v>
      </c>
      <c r="G28">
        <v>4</v>
      </c>
      <c r="H28" s="6">
        <f>FLOOR(tblPivotData[[#This Row],[Time]],Summary!$B$6/1440)</f>
        <v>0.35416666666666663</v>
      </c>
      <c r="I28" s="49">
        <f>INDEX(PeakCalc!$L$10:$L$303,MATCH(tblPivotData[[#This Row],[Time]],PeakCalc!$G$10:$G$303,0))</f>
        <v>1</v>
      </c>
    </row>
    <row r="29" spans="1:9" x14ac:dyDescent="0.25">
      <c r="A29" t="s">
        <v>92</v>
      </c>
      <c r="B29" t="s">
        <v>94</v>
      </c>
      <c r="C29" t="s">
        <v>93</v>
      </c>
      <c r="D29" t="s">
        <v>89</v>
      </c>
      <c r="E29" t="s">
        <v>43</v>
      </c>
      <c r="F29" s="6">
        <v>0.36458333333333331</v>
      </c>
      <c r="G29">
        <v>7</v>
      </c>
      <c r="H29" s="6">
        <f>FLOOR(tblPivotData[[#This Row],[Time]],Summary!$B$6/1440)</f>
        <v>0.36458333333333331</v>
      </c>
      <c r="I29" s="49">
        <f>INDEX(PeakCalc!$L$10:$L$303,MATCH(tblPivotData[[#This Row],[Time]],PeakCalc!$G$10:$G$303,0))</f>
        <v>0</v>
      </c>
    </row>
    <row r="30" spans="1:9" x14ac:dyDescent="0.25">
      <c r="A30" t="s">
        <v>92</v>
      </c>
      <c r="B30" t="s">
        <v>94</v>
      </c>
      <c r="C30" t="s">
        <v>93</v>
      </c>
      <c r="D30" t="s">
        <v>89</v>
      </c>
      <c r="E30" t="s">
        <v>91</v>
      </c>
      <c r="F30" s="6">
        <v>0.54166666666666663</v>
      </c>
      <c r="G30">
        <v>9</v>
      </c>
      <c r="H30" s="6">
        <f>FLOOR(tblPivotData[[#This Row],[Time]],Summary!$B$6/1440)</f>
        <v>0.54166666666666663</v>
      </c>
      <c r="I30" s="49">
        <f>INDEX(PeakCalc!$L$10:$L$303,MATCH(tblPivotData[[#This Row],[Time]],PeakCalc!$G$10:$G$303,0))</f>
        <v>1</v>
      </c>
    </row>
    <row r="31" spans="1:9" x14ac:dyDescent="0.25">
      <c r="A31" t="s">
        <v>92</v>
      </c>
      <c r="B31" t="s">
        <v>94</v>
      </c>
      <c r="C31" t="s">
        <v>93</v>
      </c>
      <c r="D31" t="s">
        <v>89</v>
      </c>
      <c r="E31" t="s">
        <v>91</v>
      </c>
      <c r="F31" s="6">
        <v>0.55208333333333337</v>
      </c>
      <c r="G31">
        <v>5</v>
      </c>
      <c r="H31" s="6">
        <f>FLOOR(tblPivotData[[#This Row],[Time]],Summary!$B$6/1440)</f>
        <v>0.55208333333333326</v>
      </c>
      <c r="I31" s="49">
        <f>INDEX(PeakCalc!$L$10:$L$303,MATCH(tblPivotData[[#This Row],[Time]],PeakCalc!$G$10:$G$303,0))</f>
        <v>1</v>
      </c>
    </row>
    <row r="32" spans="1:9" x14ac:dyDescent="0.25">
      <c r="A32" t="s">
        <v>92</v>
      </c>
      <c r="B32" t="s">
        <v>94</v>
      </c>
      <c r="C32" t="s">
        <v>93</v>
      </c>
      <c r="D32" t="s">
        <v>89</v>
      </c>
      <c r="E32" t="s">
        <v>91</v>
      </c>
      <c r="F32" s="6">
        <v>0.5625</v>
      </c>
      <c r="G32">
        <v>2</v>
      </c>
      <c r="H32" s="6">
        <f>FLOOR(tblPivotData[[#This Row],[Time]],Summary!$B$6/1440)</f>
        <v>0.5625</v>
      </c>
      <c r="I32" s="49">
        <f>INDEX(PeakCalc!$L$10:$L$303,MATCH(tblPivotData[[#This Row],[Time]],PeakCalc!$G$10:$G$303,0))</f>
        <v>1</v>
      </c>
    </row>
    <row r="33" spans="1:9" x14ac:dyDescent="0.25">
      <c r="A33" t="s">
        <v>92</v>
      </c>
      <c r="B33" t="s">
        <v>94</v>
      </c>
      <c r="C33" t="s">
        <v>93</v>
      </c>
      <c r="D33" t="s">
        <v>89</v>
      </c>
      <c r="E33" t="s">
        <v>91</v>
      </c>
      <c r="F33" s="6">
        <v>0.57291666666666663</v>
      </c>
      <c r="G33">
        <v>8</v>
      </c>
      <c r="H33" s="6">
        <f>FLOOR(tblPivotData[[#This Row],[Time]],Summary!$B$6/1440)</f>
        <v>0.57291666666666663</v>
      </c>
      <c r="I33" s="49">
        <f>INDEX(PeakCalc!$L$10:$L$303,MATCH(tblPivotData[[#This Row],[Time]],PeakCalc!$G$10:$G$303,0))</f>
        <v>1</v>
      </c>
    </row>
    <row r="34" spans="1:9" x14ac:dyDescent="0.25">
      <c r="A34" t="s">
        <v>92</v>
      </c>
      <c r="B34" t="s">
        <v>94</v>
      </c>
      <c r="C34" t="s">
        <v>93</v>
      </c>
      <c r="D34" t="s">
        <v>89</v>
      </c>
      <c r="E34" t="s">
        <v>44</v>
      </c>
      <c r="F34" s="6">
        <v>0.66666666666666663</v>
      </c>
      <c r="G34">
        <v>4</v>
      </c>
      <c r="H34" s="6">
        <f>FLOOR(tblPivotData[[#This Row],[Time]],Summary!$B$6/1440)</f>
        <v>0.66666666666666663</v>
      </c>
      <c r="I34" s="49">
        <f>INDEX(PeakCalc!$L$10:$L$303,MATCH(tblPivotData[[#This Row],[Time]],PeakCalc!$G$10:$G$303,0))</f>
        <v>0</v>
      </c>
    </row>
    <row r="35" spans="1:9" x14ac:dyDescent="0.25">
      <c r="A35" t="s">
        <v>92</v>
      </c>
      <c r="B35" t="s">
        <v>94</v>
      </c>
      <c r="C35" t="s">
        <v>93</v>
      </c>
      <c r="D35" t="s">
        <v>89</v>
      </c>
      <c r="E35" t="s">
        <v>44</v>
      </c>
      <c r="F35" s="6">
        <v>0.67708333333333337</v>
      </c>
      <c r="G35">
        <v>4</v>
      </c>
      <c r="H35" s="6">
        <f>FLOOR(tblPivotData[[#This Row],[Time]],Summary!$B$6/1440)</f>
        <v>0.67708333333333326</v>
      </c>
      <c r="I35" s="49">
        <f>INDEX(PeakCalc!$L$10:$L$303,MATCH(tblPivotData[[#This Row],[Time]],PeakCalc!$G$10:$G$303,0))</f>
        <v>0</v>
      </c>
    </row>
    <row r="36" spans="1:9" x14ac:dyDescent="0.25">
      <c r="A36" t="s">
        <v>92</v>
      </c>
      <c r="B36" t="s">
        <v>94</v>
      </c>
      <c r="C36" t="s">
        <v>93</v>
      </c>
      <c r="D36" t="s">
        <v>89</v>
      </c>
      <c r="E36" t="s">
        <v>44</v>
      </c>
      <c r="F36" s="6">
        <v>0.6875</v>
      </c>
      <c r="G36">
        <v>2</v>
      </c>
      <c r="H36" s="6">
        <f>FLOOR(tblPivotData[[#This Row],[Time]],Summary!$B$6/1440)</f>
        <v>0.6875</v>
      </c>
      <c r="I36" s="49">
        <f>INDEX(PeakCalc!$L$10:$L$303,MATCH(tblPivotData[[#This Row],[Time]],PeakCalc!$G$10:$G$303,0))</f>
        <v>0</v>
      </c>
    </row>
    <row r="37" spans="1:9" x14ac:dyDescent="0.25">
      <c r="A37" t="s">
        <v>92</v>
      </c>
      <c r="B37" t="s">
        <v>94</v>
      </c>
      <c r="C37" t="s">
        <v>93</v>
      </c>
      <c r="D37" t="s">
        <v>89</v>
      </c>
      <c r="E37" t="s">
        <v>44</v>
      </c>
      <c r="F37" s="6">
        <v>0.69791666666666663</v>
      </c>
      <c r="G37">
        <v>4</v>
      </c>
      <c r="H37" s="6">
        <f>FLOOR(tblPivotData[[#This Row],[Time]],Summary!$B$6/1440)</f>
        <v>0.69791666666666663</v>
      </c>
      <c r="I37" s="49">
        <f>INDEX(PeakCalc!$L$10:$L$303,MATCH(tblPivotData[[#This Row],[Time]],PeakCalc!$G$10:$G$303,0))</f>
        <v>1</v>
      </c>
    </row>
    <row r="38" spans="1:9" x14ac:dyDescent="0.25">
      <c r="A38" t="s">
        <v>92</v>
      </c>
      <c r="B38" t="s">
        <v>94</v>
      </c>
      <c r="C38" t="s">
        <v>93</v>
      </c>
      <c r="D38" t="s">
        <v>89</v>
      </c>
      <c r="E38" t="s">
        <v>44</v>
      </c>
      <c r="F38" s="6">
        <v>0.70833333333333337</v>
      </c>
      <c r="G38">
        <v>4</v>
      </c>
      <c r="H38" s="6">
        <f>FLOOR(tblPivotData[[#This Row],[Time]],Summary!$B$6/1440)</f>
        <v>0.70833333333333326</v>
      </c>
      <c r="I38" s="49">
        <f>INDEX(PeakCalc!$L$10:$L$303,MATCH(tblPivotData[[#This Row],[Time]],PeakCalc!$G$10:$G$303,0))</f>
        <v>1</v>
      </c>
    </row>
    <row r="39" spans="1:9" x14ac:dyDescent="0.25">
      <c r="A39" t="s">
        <v>92</v>
      </c>
      <c r="B39" t="s">
        <v>94</v>
      </c>
      <c r="C39" t="s">
        <v>93</v>
      </c>
      <c r="D39" t="s">
        <v>89</v>
      </c>
      <c r="E39" t="s">
        <v>44</v>
      </c>
      <c r="F39" s="6">
        <v>0.71875</v>
      </c>
      <c r="G39">
        <v>3</v>
      </c>
      <c r="H39" s="6">
        <f>FLOOR(tblPivotData[[#This Row],[Time]],Summary!$B$6/1440)</f>
        <v>0.71875</v>
      </c>
      <c r="I39" s="49">
        <f>INDEX(PeakCalc!$L$10:$L$303,MATCH(tblPivotData[[#This Row],[Time]],PeakCalc!$G$10:$G$303,0))</f>
        <v>1</v>
      </c>
    </row>
    <row r="40" spans="1:9" x14ac:dyDescent="0.25">
      <c r="A40" t="s">
        <v>92</v>
      </c>
      <c r="B40" t="s">
        <v>94</v>
      </c>
      <c r="C40" t="s">
        <v>93</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92</v>
      </c>
      <c r="B41" t="s">
        <v>94</v>
      </c>
      <c r="C41" t="s">
        <v>93</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92</v>
      </c>
      <c r="B42" t="s">
        <v>94</v>
      </c>
      <c r="C42" t="s">
        <v>93</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92</v>
      </c>
      <c r="B43" t="s">
        <v>94</v>
      </c>
      <c r="C43" t="s">
        <v>93</v>
      </c>
      <c r="D43" t="s">
        <v>90</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92</v>
      </c>
      <c r="B44" t="s">
        <v>94</v>
      </c>
      <c r="C44" t="s">
        <v>93</v>
      </c>
      <c r="D44" t="s">
        <v>90</v>
      </c>
      <c r="E44" t="s">
        <v>43</v>
      </c>
      <c r="F44" s="6">
        <v>0.3125</v>
      </c>
      <c r="G44">
        <v>2</v>
      </c>
      <c r="H44" s="6">
        <f>FLOOR(tblPivotData[[#This Row],[Time]],Summary!$B$6/1440)</f>
        <v>0.3125</v>
      </c>
      <c r="I44" s="49">
        <f>INDEX(PeakCalc!$L$10:$L$303,MATCH(tblPivotData[[#This Row],[Time]],PeakCalc!$G$10:$G$303,0))</f>
        <v>0</v>
      </c>
    </row>
    <row r="45" spans="1:9" x14ac:dyDescent="0.25">
      <c r="A45" t="s">
        <v>92</v>
      </c>
      <c r="B45" t="s">
        <v>94</v>
      </c>
      <c r="C45" t="s">
        <v>93</v>
      </c>
      <c r="D45" t="s">
        <v>90</v>
      </c>
      <c r="E45" t="s">
        <v>43</v>
      </c>
      <c r="F45" s="6">
        <v>0.32291666666666669</v>
      </c>
      <c r="G45">
        <v>6</v>
      </c>
      <c r="H45" s="6">
        <f>FLOOR(tblPivotData[[#This Row],[Time]],Summary!$B$6/1440)</f>
        <v>0.32291666666666663</v>
      </c>
      <c r="I45" s="49">
        <f>INDEX(PeakCalc!$L$10:$L$303,MATCH(tblPivotData[[#This Row],[Time]],PeakCalc!$G$10:$G$303,0))</f>
        <v>1</v>
      </c>
    </row>
    <row r="46" spans="1:9" x14ac:dyDescent="0.25">
      <c r="A46" t="s">
        <v>92</v>
      </c>
      <c r="B46" t="s">
        <v>94</v>
      </c>
      <c r="C46" t="s">
        <v>93</v>
      </c>
      <c r="D46" t="s">
        <v>90</v>
      </c>
      <c r="E46" t="s">
        <v>43</v>
      </c>
      <c r="F46" s="6">
        <v>0.33333333333333331</v>
      </c>
      <c r="G46">
        <v>5</v>
      </c>
      <c r="H46" s="6">
        <f>FLOOR(tblPivotData[[#This Row],[Time]],Summary!$B$6/1440)</f>
        <v>0.33333333333333331</v>
      </c>
      <c r="I46" s="49">
        <f>INDEX(PeakCalc!$L$10:$L$303,MATCH(tblPivotData[[#This Row],[Time]],PeakCalc!$G$10:$G$303,0))</f>
        <v>1</v>
      </c>
    </row>
    <row r="47" spans="1:9" x14ac:dyDescent="0.25">
      <c r="A47" t="s">
        <v>92</v>
      </c>
      <c r="B47" t="s">
        <v>94</v>
      </c>
      <c r="C47" t="s">
        <v>93</v>
      </c>
      <c r="D47" t="s">
        <v>90</v>
      </c>
      <c r="E47" t="s">
        <v>43</v>
      </c>
      <c r="F47" s="6">
        <v>0.34375</v>
      </c>
      <c r="G47">
        <v>3</v>
      </c>
      <c r="H47" s="6">
        <f>FLOOR(tblPivotData[[#This Row],[Time]],Summary!$B$6/1440)</f>
        <v>0.34375</v>
      </c>
      <c r="I47" s="49">
        <f>INDEX(PeakCalc!$L$10:$L$303,MATCH(tblPivotData[[#This Row],[Time]],PeakCalc!$G$10:$G$303,0))</f>
        <v>1</v>
      </c>
    </row>
    <row r="48" spans="1:9" x14ac:dyDescent="0.25">
      <c r="A48" t="s">
        <v>92</v>
      </c>
      <c r="B48" t="s">
        <v>94</v>
      </c>
      <c r="C48" t="s">
        <v>93</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92</v>
      </c>
      <c r="B49" t="s">
        <v>94</v>
      </c>
      <c r="C49" t="s">
        <v>93</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94</v>
      </c>
      <c r="C50" t="s">
        <v>93</v>
      </c>
      <c r="D50" t="s">
        <v>90</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92</v>
      </c>
      <c r="B51" t="s">
        <v>94</v>
      </c>
      <c r="C51" t="s">
        <v>93</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92</v>
      </c>
      <c r="B52" t="s">
        <v>94</v>
      </c>
      <c r="C52" t="s">
        <v>93</v>
      </c>
      <c r="D52" t="s">
        <v>90</v>
      </c>
      <c r="E52" t="s">
        <v>91</v>
      </c>
      <c r="F52" s="6">
        <v>0.5625</v>
      </c>
      <c r="G52">
        <v>0</v>
      </c>
      <c r="H52" s="6">
        <f>FLOOR(tblPivotData[[#This Row],[Time]],Summary!$B$6/1440)</f>
        <v>0.5625</v>
      </c>
      <c r="I52" s="49">
        <f>INDEX(PeakCalc!$L$10:$L$303,MATCH(tblPivotData[[#This Row],[Time]],PeakCalc!$G$10:$G$303,0))</f>
        <v>1</v>
      </c>
    </row>
    <row r="53" spans="1:9" x14ac:dyDescent="0.25">
      <c r="A53" t="s">
        <v>92</v>
      </c>
      <c r="B53" t="s">
        <v>94</v>
      </c>
      <c r="C53" t="s">
        <v>93</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94</v>
      </c>
      <c r="C54" t="s">
        <v>93</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94</v>
      </c>
      <c r="C55" t="s">
        <v>93</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94</v>
      </c>
      <c r="C56" t="s">
        <v>93</v>
      </c>
      <c r="D56" t="s">
        <v>90</v>
      </c>
      <c r="E56" t="s">
        <v>44</v>
      </c>
      <c r="F56" s="6">
        <v>0.6875</v>
      </c>
      <c r="G56">
        <v>0</v>
      </c>
      <c r="H56" s="6">
        <f>FLOOR(tblPivotData[[#This Row],[Time]],Summary!$B$6/1440)</f>
        <v>0.6875</v>
      </c>
      <c r="I56" s="49">
        <f>INDEX(PeakCalc!$L$10:$L$303,MATCH(tblPivotData[[#This Row],[Time]],PeakCalc!$G$10:$G$303,0))</f>
        <v>0</v>
      </c>
    </row>
    <row r="57" spans="1:9" x14ac:dyDescent="0.25">
      <c r="A57" t="s">
        <v>92</v>
      </c>
      <c r="B57" t="s">
        <v>94</v>
      </c>
      <c r="C57" t="s">
        <v>93</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92</v>
      </c>
      <c r="B58" t="s">
        <v>94</v>
      </c>
      <c r="C58" t="s">
        <v>93</v>
      </c>
      <c r="D58" t="s">
        <v>90</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92</v>
      </c>
      <c r="B59" t="s">
        <v>94</v>
      </c>
      <c r="C59" t="s">
        <v>93</v>
      </c>
      <c r="D59" t="s">
        <v>90</v>
      </c>
      <c r="E59" t="s">
        <v>44</v>
      </c>
      <c r="F59" s="6">
        <v>0.71875</v>
      </c>
      <c r="G59">
        <v>0</v>
      </c>
      <c r="H59" s="6">
        <f>FLOOR(tblPivotData[[#This Row],[Time]],Summary!$B$6/1440)</f>
        <v>0.71875</v>
      </c>
      <c r="I59" s="49">
        <f>INDEX(PeakCalc!$L$10:$L$303,MATCH(tblPivotData[[#This Row],[Time]],PeakCalc!$G$10:$G$303,0))</f>
        <v>1</v>
      </c>
    </row>
    <row r="60" spans="1:9" x14ac:dyDescent="0.25">
      <c r="A60" t="s">
        <v>92</v>
      </c>
      <c r="B60" t="s">
        <v>94</v>
      </c>
      <c r="C60" t="s">
        <v>93</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92</v>
      </c>
      <c r="B61" t="s">
        <v>94</v>
      </c>
      <c r="C61" t="s">
        <v>93</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98</v>
      </c>
      <c r="C62" t="s">
        <v>97</v>
      </c>
      <c r="D62" t="s">
        <v>79</v>
      </c>
      <c r="E62" t="s">
        <v>43</v>
      </c>
      <c r="F62" s="6">
        <v>0.29166666666666669</v>
      </c>
      <c r="G62">
        <v>2</v>
      </c>
      <c r="H62" s="6">
        <f>FLOOR(tblPivotData[[#This Row],[Time]],Summary!$B$6/1440)</f>
        <v>0.29166666666666663</v>
      </c>
      <c r="I62" s="49">
        <f>INDEX(PeakCalc!$L$10:$L$303,MATCH(tblPivotData[[#This Row],[Time]],PeakCalc!$G$10:$G$303,0))</f>
        <v>0</v>
      </c>
    </row>
    <row r="63" spans="1:9" x14ac:dyDescent="0.25">
      <c r="A63" t="s">
        <v>92</v>
      </c>
      <c r="B63" t="s">
        <v>98</v>
      </c>
      <c r="C63" t="s">
        <v>97</v>
      </c>
      <c r="D63" t="s">
        <v>79</v>
      </c>
      <c r="E63" t="s">
        <v>43</v>
      </c>
      <c r="F63" s="6">
        <v>0.30208333333333331</v>
      </c>
      <c r="G63">
        <v>2</v>
      </c>
      <c r="H63" s="6">
        <f>FLOOR(tblPivotData[[#This Row],[Time]],Summary!$B$6/1440)</f>
        <v>0.30208333333333331</v>
      </c>
      <c r="I63" s="49">
        <f>INDEX(PeakCalc!$L$10:$L$303,MATCH(tblPivotData[[#This Row],[Time]],PeakCalc!$G$10:$G$303,0))</f>
        <v>0</v>
      </c>
    </row>
    <row r="64" spans="1:9" x14ac:dyDescent="0.25">
      <c r="A64" t="s">
        <v>92</v>
      </c>
      <c r="B64" t="s">
        <v>98</v>
      </c>
      <c r="C64" t="s">
        <v>97</v>
      </c>
      <c r="D64" t="s">
        <v>79</v>
      </c>
      <c r="E64" t="s">
        <v>43</v>
      </c>
      <c r="F64" s="6">
        <v>0.3125</v>
      </c>
      <c r="G64">
        <v>2</v>
      </c>
      <c r="H64" s="6">
        <f>FLOOR(tblPivotData[[#This Row],[Time]],Summary!$B$6/1440)</f>
        <v>0.3125</v>
      </c>
      <c r="I64" s="49">
        <f>INDEX(PeakCalc!$L$10:$L$303,MATCH(tblPivotData[[#This Row],[Time]],PeakCalc!$G$10:$G$303,0))</f>
        <v>0</v>
      </c>
    </row>
    <row r="65" spans="1:9" x14ac:dyDescent="0.25">
      <c r="A65" t="s">
        <v>92</v>
      </c>
      <c r="B65" t="s">
        <v>98</v>
      </c>
      <c r="C65" t="s">
        <v>97</v>
      </c>
      <c r="D65" t="s">
        <v>79</v>
      </c>
      <c r="E65" t="s">
        <v>43</v>
      </c>
      <c r="F65" s="6">
        <v>0.32291666666666669</v>
      </c>
      <c r="G65">
        <v>5</v>
      </c>
      <c r="H65" s="6">
        <f>FLOOR(tblPivotData[[#This Row],[Time]],Summary!$B$6/1440)</f>
        <v>0.32291666666666663</v>
      </c>
      <c r="I65" s="49">
        <f>INDEX(PeakCalc!$L$10:$L$303,MATCH(tblPivotData[[#This Row],[Time]],PeakCalc!$G$10:$G$303,0))</f>
        <v>1</v>
      </c>
    </row>
    <row r="66" spans="1:9" x14ac:dyDescent="0.25">
      <c r="A66" t="s">
        <v>92</v>
      </c>
      <c r="B66" t="s">
        <v>98</v>
      </c>
      <c r="C66" t="s">
        <v>97</v>
      </c>
      <c r="D66" t="s">
        <v>79</v>
      </c>
      <c r="E66" t="s">
        <v>43</v>
      </c>
      <c r="F66" s="6">
        <v>0.33333333333333331</v>
      </c>
      <c r="G66">
        <v>2</v>
      </c>
      <c r="H66" s="6">
        <f>FLOOR(tblPivotData[[#This Row],[Time]],Summary!$B$6/1440)</f>
        <v>0.33333333333333331</v>
      </c>
      <c r="I66" s="49">
        <f>INDEX(PeakCalc!$L$10:$L$303,MATCH(tblPivotData[[#This Row],[Time]],PeakCalc!$G$10:$G$303,0))</f>
        <v>1</v>
      </c>
    </row>
    <row r="67" spans="1:9" x14ac:dyDescent="0.25">
      <c r="A67" t="s">
        <v>92</v>
      </c>
      <c r="B67" t="s">
        <v>98</v>
      </c>
      <c r="C67" t="s">
        <v>97</v>
      </c>
      <c r="D67" t="s">
        <v>79</v>
      </c>
      <c r="E67" t="s">
        <v>43</v>
      </c>
      <c r="F67" s="6">
        <v>0.34375</v>
      </c>
      <c r="G67">
        <v>6</v>
      </c>
      <c r="H67" s="6">
        <f>FLOOR(tblPivotData[[#This Row],[Time]],Summary!$B$6/1440)</f>
        <v>0.34375</v>
      </c>
      <c r="I67" s="49">
        <f>INDEX(PeakCalc!$L$10:$L$303,MATCH(tblPivotData[[#This Row],[Time]],PeakCalc!$G$10:$G$303,0))</f>
        <v>1</v>
      </c>
    </row>
    <row r="68" spans="1:9" x14ac:dyDescent="0.25">
      <c r="A68" t="s">
        <v>92</v>
      </c>
      <c r="B68" t="s">
        <v>98</v>
      </c>
      <c r="C68" t="s">
        <v>97</v>
      </c>
      <c r="D68" t="s">
        <v>79</v>
      </c>
      <c r="E68" t="s">
        <v>43</v>
      </c>
      <c r="F68" s="6">
        <v>0.35416666666666669</v>
      </c>
      <c r="G68">
        <v>11</v>
      </c>
      <c r="H68" s="6">
        <f>FLOOR(tblPivotData[[#This Row],[Time]],Summary!$B$6/1440)</f>
        <v>0.35416666666666663</v>
      </c>
      <c r="I68" s="49">
        <f>INDEX(PeakCalc!$L$10:$L$303,MATCH(tblPivotData[[#This Row],[Time]],PeakCalc!$G$10:$G$303,0))</f>
        <v>1</v>
      </c>
    </row>
    <row r="69" spans="1:9" x14ac:dyDescent="0.25">
      <c r="A69" t="s">
        <v>92</v>
      </c>
      <c r="B69" t="s">
        <v>98</v>
      </c>
      <c r="C69" t="s">
        <v>97</v>
      </c>
      <c r="D69" t="s">
        <v>79</v>
      </c>
      <c r="E69" t="s">
        <v>43</v>
      </c>
      <c r="F69" s="6">
        <v>0.36458333333333331</v>
      </c>
      <c r="G69">
        <v>6</v>
      </c>
      <c r="H69" s="6">
        <f>FLOOR(tblPivotData[[#This Row],[Time]],Summary!$B$6/1440)</f>
        <v>0.36458333333333331</v>
      </c>
      <c r="I69" s="49">
        <f>INDEX(PeakCalc!$L$10:$L$303,MATCH(tblPivotData[[#This Row],[Time]],PeakCalc!$G$10:$G$303,0))</f>
        <v>0</v>
      </c>
    </row>
    <row r="70" spans="1:9" x14ac:dyDescent="0.25">
      <c r="A70" t="s">
        <v>92</v>
      </c>
      <c r="B70" t="s">
        <v>98</v>
      </c>
      <c r="C70" t="s">
        <v>97</v>
      </c>
      <c r="D70" t="s">
        <v>79</v>
      </c>
      <c r="E70" t="s">
        <v>91</v>
      </c>
      <c r="F70" s="6">
        <v>0.54166666666666663</v>
      </c>
      <c r="G70">
        <v>5</v>
      </c>
      <c r="H70" s="6">
        <f>FLOOR(tblPivotData[[#This Row],[Time]],Summary!$B$6/1440)</f>
        <v>0.54166666666666663</v>
      </c>
      <c r="I70" s="49">
        <f>INDEX(PeakCalc!$L$10:$L$303,MATCH(tblPivotData[[#This Row],[Time]],PeakCalc!$G$10:$G$303,0))</f>
        <v>1</v>
      </c>
    </row>
    <row r="71" spans="1:9" x14ac:dyDescent="0.25">
      <c r="A71" t="s">
        <v>92</v>
      </c>
      <c r="B71" t="s">
        <v>98</v>
      </c>
      <c r="C71" t="s">
        <v>97</v>
      </c>
      <c r="D71" t="s">
        <v>79</v>
      </c>
      <c r="E71" t="s">
        <v>91</v>
      </c>
      <c r="F71" s="6">
        <v>0.55208333333333337</v>
      </c>
      <c r="G71">
        <v>5</v>
      </c>
      <c r="H71" s="6">
        <f>FLOOR(tblPivotData[[#This Row],[Time]],Summary!$B$6/1440)</f>
        <v>0.55208333333333326</v>
      </c>
      <c r="I71" s="49">
        <f>INDEX(PeakCalc!$L$10:$L$303,MATCH(tblPivotData[[#This Row],[Time]],PeakCalc!$G$10:$G$303,0))</f>
        <v>1</v>
      </c>
    </row>
    <row r="72" spans="1:9" x14ac:dyDescent="0.25">
      <c r="A72" t="s">
        <v>92</v>
      </c>
      <c r="B72" t="s">
        <v>98</v>
      </c>
      <c r="C72" t="s">
        <v>97</v>
      </c>
      <c r="D72" t="s">
        <v>79</v>
      </c>
      <c r="E72" t="s">
        <v>91</v>
      </c>
      <c r="F72" s="6">
        <v>0.5625</v>
      </c>
      <c r="G72">
        <v>2</v>
      </c>
      <c r="H72" s="6">
        <f>FLOOR(tblPivotData[[#This Row],[Time]],Summary!$B$6/1440)</f>
        <v>0.5625</v>
      </c>
      <c r="I72" s="49">
        <f>INDEX(PeakCalc!$L$10:$L$303,MATCH(tblPivotData[[#This Row],[Time]],PeakCalc!$G$10:$G$303,0))</f>
        <v>1</v>
      </c>
    </row>
    <row r="73" spans="1:9" x14ac:dyDescent="0.25">
      <c r="A73" t="s">
        <v>92</v>
      </c>
      <c r="B73" t="s">
        <v>98</v>
      </c>
      <c r="C73" t="s">
        <v>97</v>
      </c>
      <c r="D73" t="s">
        <v>79</v>
      </c>
      <c r="E73" t="s">
        <v>91</v>
      </c>
      <c r="F73" s="6">
        <v>0.57291666666666663</v>
      </c>
      <c r="G73">
        <v>4</v>
      </c>
      <c r="H73" s="6">
        <f>FLOOR(tblPivotData[[#This Row],[Time]],Summary!$B$6/1440)</f>
        <v>0.57291666666666663</v>
      </c>
      <c r="I73" s="49">
        <f>INDEX(PeakCalc!$L$10:$L$303,MATCH(tblPivotData[[#This Row],[Time]],PeakCalc!$G$10:$G$303,0))</f>
        <v>1</v>
      </c>
    </row>
    <row r="74" spans="1:9" x14ac:dyDescent="0.25">
      <c r="A74" t="s">
        <v>92</v>
      </c>
      <c r="B74" t="s">
        <v>98</v>
      </c>
      <c r="C74" t="s">
        <v>97</v>
      </c>
      <c r="D74" t="s">
        <v>79</v>
      </c>
      <c r="E74" t="s">
        <v>44</v>
      </c>
      <c r="F74" s="6">
        <v>0.66666666666666663</v>
      </c>
      <c r="G74">
        <v>7</v>
      </c>
      <c r="H74" s="6">
        <f>FLOOR(tblPivotData[[#This Row],[Time]],Summary!$B$6/1440)</f>
        <v>0.66666666666666663</v>
      </c>
      <c r="I74" s="49">
        <f>INDEX(PeakCalc!$L$10:$L$303,MATCH(tblPivotData[[#This Row],[Time]],PeakCalc!$G$10:$G$303,0))</f>
        <v>0</v>
      </c>
    </row>
    <row r="75" spans="1:9" x14ac:dyDescent="0.25">
      <c r="A75" t="s">
        <v>92</v>
      </c>
      <c r="B75" t="s">
        <v>98</v>
      </c>
      <c r="C75" t="s">
        <v>97</v>
      </c>
      <c r="D75" t="s">
        <v>79</v>
      </c>
      <c r="E75" t="s">
        <v>44</v>
      </c>
      <c r="F75" s="6">
        <v>0.67708333333333337</v>
      </c>
      <c r="G75">
        <v>7</v>
      </c>
      <c r="H75" s="6">
        <f>FLOOR(tblPivotData[[#This Row],[Time]],Summary!$B$6/1440)</f>
        <v>0.67708333333333326</v>
      </c>
      <c r="I75" s="49">
        <f>INDEX(PeakCalc!$L$10:$L$303,MATCH(tblPivotData[[#This Row],[Time]],PeakCalc!$G$10:$G$303,0))</f>
        <v>0</v>
      </c>
    </row>
    <row r="76" spans="1:9" x14ac:dyDescent="0.25">
      <c r="A76" t="s">
        <v>92</v>
      </c>
      <c r="B76" t="s">
        <v>98</v>
      </c>
      <c r="C76" t="s">
        <v>97</v>
      </c>
      <c r="D76" t="s">
        <v>79</v>
      </c>
      <c r="E76" t="s">
        <v>44</v>
      </c>
      <c r="F76" s="6">
        <v>0.6875</v>
      </c>
      <c r="G76">
        <v>9</v>
      </c>
      <c r="H76" s="6">
        <f>FLOOR(tblPivotData[[#This Row],[Time]],Summary!$B$6/1440)</f>
        <v>0.6875</v>
      </c>
      <c r="I76" s="49">
        <f>INDEX(PeakCalc!$L$10:$L$303,MATCH(tblPivotData[[#This Row],[Time]],PeakCalc!$G$10:$G$303,0))</f>
        <v>0</v>
      </c>
    </row>
    <row r="77" spans="1:9" x14ac:dyDescent="0.25">
      <c r="A77" t="s">
        <v>92</v>
      </c>
      <c r="B77" t="s">
        <v>98</v>
      </c>
      <c r="C77" t="s">
        <v>97</v>
      </c>
      <c r="D77" t="s">
        <v>79</v>
      </c>
      <c r="E77" t="s">
        <v>44</v>
      </c>
      <c r="F77" s="6">
        <v>0.69791666666666663</v>
      </c>
      <c r="G77">
        <v>8</v>
      </c>
      <c r="H77" s="6">
        <f>FLOOR(tblPivotData[[#This Row],[Time]],Summary!$B$6/1440)</f>
        <v>0.69791666666666663</v>
      </c>
      <c r="I77" s="49">
        <f>INDEX(PeakCalc!$L$10:$L$303,MATCH(tblPivotData[[#This Row],[Time]],PeakCalc!$G$10:$G$303,0))</f>
        <v>1</v>
      </c>
    </row>
    <row r="78" spans="1:9" x14ac:dyDescent="0.25">
      <c r="A78" t="s">
        <v>92</v>
      </c>
      <c r="B78" t="s">
        <v>98</v>
      </c>
      <c r="C78" t="s">
        <v>97</v>
      </c>
      <c r="D78" t="s">
        <v>79</v>
      </c>
      <c r="E78" t="s">
        <v>44</v>
      </c>
      <c r="F78" s="6">
        <v>0.70833333333333337</v>
      </c>
      <c r="G78">
        <v>9</v>
      </c>
      <c r="H78" s="6">
        <f>FLOOR(tblPivotData[[#This Row],[Time]],Summary!$B$6/1440)</f>
        <v>0.70833333333333326</v>
      </c>
      <c r="I78" s="49">
        <f>INDEX(PeakCalc!$L$10:$L$303,MATCH(tblPivotData[[#This Row],[Time]],PeakCalc!$G$10:$G$303,0))</f>
        <v>1</v>
      </c>
    </row>
    <row r="79" spans="1:9" x14ac:dyDescent="0.25">
      <c r="A79" t="s">
        <v>92</v>
      </c>
      <c r="B79" t="s">
        <v>98</v>
      </c>
      <c r="C79" t="s">
        <v>97</v>
      </c>
      <c r="D79" t="s">
        <v>79</v>
      </c>
      <c r="E79" t="s">
        <v>44</v>
      </c>
      <c r="F79" s="6">
        <v>0.71875</v>
      </c>
      <c r="G79">
        <v>11</v>
      </c>
      <c r="H79" s="6">
        <f>FLOOR(tblPivotData[[#This Row],[Time]],Summary!$B$6/1440)</f>
        <v>0.71875</v>
      </c>
      <c r="I79" s="49">
        <f>INDEX(PeakCalc!$L$10:$L$303,MATCH(tblPivotData[[#This Row],[Time]],PeakCalc!$G$10:$G$303,0))</f>
        <v>1</v>
      </c>
    </row>
    <row r="80" spans="1:9" x14ac:dyDescent="0.25">
      <c r="A80" t="s">
        <v>92</v>
      </c>
      <c r="B80" t="s">
        <v>98</v>
      </c>
      <c r="C80" t="s">
        <v>97</v>
      </c>
      <c r="D80" t="s">
        <v>79</v>
      </c>
      <c r="E80" t="s">
        <v>44</v>
      </c>
      <c r="F80" s="6">
        <v>0.72916666666666663</v>
      </c>
      <c r="G80">
        <v>12</v>
      </c>
      <c r="H80" s="6">
        <f>FLOOR(tblPivotData[[#This Row],[Time]],Summary!$B$6/1440)</f>
        <v>0.72916666666666663</v>
      </c>
      <c r="I80" s="49">
        <f>INDEX(PeakCalc!$L$10:$L$303,MATCH(tblPivotData[[#This Row],[Time]],PeakCalc!$G$10:$G$303,0))</f>
        <v>1</v>
      </c>
    </row>
    <row r="81" spans="1:9" x14ac:dyDescent="0.25">
      <c r="A81" t="s">
        <v>92</v>
      </c>
      <c r="B81" t="s">
        <v>98</v>
      </c>
      <c r="C81" t="s">
        <v>97</v>
      </c>
      <c r="D81" t="s">
        <v>79</v>
      </c>
      <c r="E81" t="s">
        <v>44</v>
      </c>
      <c r="F81" s="6">
        <v>0.73958333333333337</v>
      </c>
      <c r="G81">
        <v>13</v>
      </c>
      <c r="H81" s="6">
        <f>FLOOR(tblPivotData[[#This Row],[Time]],Summary!$B$6/1440)</f>
        <v>0.73958333333333326</v>
      </c>
      <c r="I81" s="49">
        <f>INDEX(PeakCalc!$L$10:$L$303,MATCH(tblPivotData[[#This Row],[Time]],PeakCalc!$G$10:$G$303,0))</f>
        <v>0</v>
      </c>
    </row>
    <row r="82" spans="1:9" x14ac:dyDescent="0.25">
      <c r="A82" t="s">
        <v>92</v>
      </c>
      <c r="B82" t="s">
        <v>98</v>
      </c>
      <c r="C82" t="s">
        <v>97</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92</v>
      </c>
      <c r="B83" t="s">
        <v>98</v>
      </c>
      <c r="C83" t="s">
        <v>97</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92</v>
      </c>
      <c r="B84" t="s">
        <v>98</v>
      </c>
      <c r="C84" t="s">
        <v>97</v>
      </c>
      <c r="D84" t="s">
        <v>89</v>
      </c>
      <c r="E84" t="s">
        <v>43</v>
      </c>
      <c r="F84" s="6">
        <v>0.3125</v>
      </c>
      <c r="G84">
        <v>0</v>
      </c>
      <c r="H84" s="6">
        <f>FLOOR(tblPivotData[[#This Row],[Time]],Summary!$B$6/1440)</f>
        <v>0.3125</v>
      </c>
      <c r="I84" s="49">
        <f>INDEX(PeakCalc!$L$10:$L$303,MATCH(tblPivotData[[#This Row],[Time]],PeakCalc!$G$10:$G$303,0))</f>
        <v>0</v>
      </c>
    </row>
    <row r="85" spans="1:9" x14ac:dyDescent="0.25">
      <c r="A85" t="s">
        <v>92</v>
      </c>
      <c r="B85" t="s">
        <v>98</v>
      </c>
      <c r="C85" t="s">
        <v>97</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92</v>
      </c>
      <c r="B86" t="s">
        <v>98</v>
      </c>
      <c r="C86" t="s">
        <v>97</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92</v>
      </c>
      <c r="B87" t="s">
        <v>98</v>
      </c>
      <c r="C87" t="s">
        <v>97</v>
      </c>
      <c r="D87" t="s">
        <v>89</v>
      </c>
      <c r="E87" t="s">
        <v>43</v>
      </c>
      <c r="F87" s="6">
        <v>0.34375</v>
      </c>
      <c r="G87">
        <v>0</v>
      </c>
      <c r="H87" s="6">
        <f>FLOOR(tblPivotData[[#This Row],[Time]],Summary!$B$6/1440)</f>
        <v>0.34375</v>
      </c>
      <c r="I87" s="49">
        <f>INDEX(PeakCalc!$L$10:$L$303,MATCH(tblPivotData[[#This Row],[Time]],PeakCalc!$G$10:$G$303,0))</f>
        <v>1</v>
      </c>
    </row>
    <row r="88" spans="1:9" x14ac:dyDescent="0.25">
      <c r="A88" t="s">
        <v>92</v>
      </c>
      <c r="B88" t="s">
        <v>98</v>
      </c>
      <c r="C88" t="s">
        <v>97</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92</v>
      </c>
      <c r="B89" t="s">
        <v>98</v>
      </c>
      <c r="C89" t="s">
        <v>97</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92</v>
      </c>
      <c r="B90" t="s">
        <v>98</v>
      </c>
      <c r="C90" t="s">
        <v>97</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92</v>
      </c>
      <c r="B91" t="s">
        <v>98</v>
      </c>
      <c r="C91" t="s">
        <v>97</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92</v>
      </c>
      <c r="B92" t="s">
        <v>98</v>
      </c>
      <c r="C92" t="s">
        <v>97</v>
      </c>
      <c r="D92" t="s">
        <v>89</v>
      </c>
      <c r="E92" t="s">
        <v>91</v>
      </c>
      <c r="F92" s="6">
        <v>0.5625</v>
      </c>
      <c r="G92">
        <v>0</v>
      </c>
      <c r="H92" s="6">
        <f>FLOOR(tblPivotData[[#This Row],[Time]],Summary!$B$6/1440)</f>
        <v>0.5625</v>
      </c>
      <c r="I92" s="49">
        <f>INDEX(PeakCalc!$L$10:$L$303,MATCH(tblPivotData[[#This Row],[Time]],PeakCalc!$G$10:$G$303,0))</f>
        <v>1</v>
      </c>
    </row>
    <row r="93" spans="1:9" x14ac:dyDescent="0.25">
      <c r="A93" t="s">
        <v>92</v>
      </c>
      <c r="B93" t="s">
        <v>98</v>
      </c>
      <c r="C93" t="s">
        <v>97</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92</v>
      </c>
      <c r="B94" t="s">
        <v>98</v>
      </c>
      <c r="C94" t="s">
        <v>97</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92</v>
      </c>
      <c r="B95" t="s">
        <v>98</v>
      </c>
      <c r="C95" t="s">
        <v>97</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92</v>
      </c>
      <c r="B96" t="s">
        <v>98</v>
      </c>
      <c r="C96" t="s">
        <v>97</v>
      </c>
      <c r="D96" t="s">
        <v>89</v>
      </c>
      <c r="E96" t="s">
        <v>44</v>
      </c>
      <c r="F96" s="6">
        <v>0.6875</v>
      </c>
      <c r="G96">
        <v>0</v>
      </c>
      <c r="H96" s="6">
        <f>FLOOR(tblPivotData[[#This Row],[Time]],Summary!$B$6/1440)</f>
        <v>0.6875</v>
      </c>
      <c r="I96" s="49">
        <f>INDEX(PeakCalc!$L$10:$L$303,MATCH(tblPivotData[[#This Row],[Time]],PeakCalc!$G$10:$G$303,0))</f>
        <v>0</v>
      </c>
    </row>
    <row r="97" spans="1:9" x14ac:dyDescent="0.25">
      <c r="A97" t="s">
        <v>92</v>
      </c>
      <c r="B97" t="s">
        <v>98</v>
      </c>
      <c r="C97" t="s">
        <v>97</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92</v>
      </c>
      <c r="B98" t="s">
        <v>98</v>
      </c>
      <c r="C98" t="s">
        <v>97</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92</v>
      </c>
      <c r="B99" t="s">
        <v>98</v>
      </c>
      <c r="C99" t="s">
        <v>97</v>
      </c>
      <c r="D99" t="s">
        <v>89</v>
      </c>
      <c r="E99" t="s">
        <v>44</v>
      </c>
      <c r="F99" s="6">
        <v>0.71875</v>
      </c>
      <c r="G99">
        <v>0</v>
      </c>
      <c r="H99" s="6">
        <f>FLOOR(tblPivotData[[#This Row],[Time]],Summary!$B$6/1440)</f>
        <v>0.71875</v>
      </c>
      <c r="I99" s="49">
        <f>INDEX(PeakCalc!$L$10:$L$303,MATCH(tblPivotData[[#This Row],[Time]],PeakCalc!$G$10:$G$303,0))</f>
        <v>1</v>
      </c>
    </row>
    <row r="100" spans="1:9" x14ac:dyDescent="0.25">
      <c r="A100" t="s">
        <v>92</v>
      </c>
      <c r="B100" t="s">
        <v>98</v>
      </c>
      <c r="C100" t="s">
        <v>97</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92</v>
      </c>
      <c r="B101" t="s">
        <v>98</v>
      </c>
      <c r="C101" t="s">
        <v>97</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92</v>
      </c>
      <c r="B102" t="s">
        <v>98</v>
      </c>
      <c r="C102" t="s">
        <v>97</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98</v>
      </c>
      <c r="C103" t="s">
        <v>97</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92</v>
      </c>
      <c r="B104" t="s">
        <v>98</v>
      </c>
      <c r="C104" t="s">
        <v>97</v>
      </c>
      <c r="D104" t="s">
        <v>90</v>
      </c>
      <c r="E104" t="s">
        <v>43</v>
      </c>
      <c r="F104" s="6">
        <v>0.3125</v>
      </c>
      <c r="G104">
        <v>0</v>
      </c>
      <c r="H104" s="6">
        <f>FLOOR(tblPivotData[[#This Row],[Time]],Summary!$B$6/1440)</f>
        <v>0.3125</v>
      </c>
      <c r="I104" s="49">
        <f>INDEX(PeakCalc!$L$10:$L$303,MATCH(tblPivotData[[#This Row],[Time]],PeakCalc!$G$10:$G$303,0))</f>
        <v>0</v>
      </c>
    </row>
    <row r="105" spans="1:9" x14ac:dyDescent="0.25">
      <c r="A105" t="s">
        <v>92</v>
      </c>
      <c r="B105" t="s">
        <v>98</v>
      </c>
      <c r="C105" t="s">
        <v>97</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92</v>
      </c>
      <c r="B106" t="s">
        <v>98</v>
      </c>
      <c r="C106" t="s">
        <v>97</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92</v>
      </c>
      <c r="B107" t="s">
        <v>98</v>
      </c>
      <c r="C107" t="s">
        <v>97</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92</v>
      </c>
      <c r="B108" t="s">
        <v>98</v>
      </c>
      <c r="C108" t="s">
        <v>97</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92</v>
      </c>
      <c r="B109" t="s">
        <v>98</v>
      </c>
      <c r="C109" t="s">
        <v>97</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92</v>
      </c>
      <c r="B110" t="s">
        <v>98</v>
      </c>
      <c r="C110" t="s">
        <v>97</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98</v>
      </c>
      <c r="C111" t="s">
        <v>97</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98</v>
      </c>
      <c r="C112" t="s">
        <v>97</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98</v>
      </c>
      <c r="C113" t="s">
        <v>97</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98</v>
      </c>
      <c r="C114" t="s">
        <v>97</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98</v>
      </c>
      <c r="C115" t="s">
        <v>97</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92</v>
      </c>
      <c r="B116" t="s">
        <v>98</v>
      </c>
      <c r="C116" t="s">
        <v>97</v>
      </c>
      <c r="D116" t="s">
        <v>90</v>
      </c>
      <c r="E116" t="s">
        <v>44</v>
      </c>
      <c r="F116" s="6">
        <v>0.6875</v>
      </c>
      <c r="G116">
        <v>0</v>
      </c>
      <c r="H116" s="6">
        <f>FLOOR(tblPivotData[[#This Row],[Time]],Summary!$B$6/1440)</f>
        <v>0.6875</v>
      </c>
      <c r="I116" s="49">
        <f>INDEX(PeakCalc!$L$10:$L$303,MATCH(tblPivotData[[#This Row],[Time]],PeakCalc!$G$10:$G$303,0))</f>
        <v>0</v>
      </c>
    </row>
    <row r="117" spans="1:9" x14ac:dyDescent="0.25">
      <c r="A117" t="s">
        <v>92</v>
      </c>
      <c r="B117" t="s">
        <v>98</v>
      </c>
      <c r="C117" t="s">
        <v>97</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92</v>
      </c>
      <c r="B118" t="s">
        <v>98</v>
      </c>
      <c r="C118" t="s">
        <v>97</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92</v>
      </c>
      <c r="B119" t="s">
        <v>98</v>
      </c>
      <c r="C119" t="s">
        <v>97</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98</v>
      </c>
      <c r="C120" t="s">
        <v>97</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92</v>
      </c>
      <c r="B121" t="s">
        <v>98</v>
      </c>
      <c r="C121" t="s">
        <v>97</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97</v>
      </c>
      <c r="D122" t="s">
        <v>79</v>
      </c>
      <c r="E122" t="s">
        <v>43</v>
      </c>
      <c r="F122" s="6">
        <v>0.29166666666666669</v>
      </c>
      <c r="G122">
        <v>5</v>
      </c>
      <c r="H122" s="6">
        <f>FLOOR(tblPivotData[[#This Row],[Time]],Summary!$B$6/1440)</f>
        <v>0.29166666666666663</v>
      </c>
      <c r="I122" s="49">
        <f>INDEX(PeakCalc!$L$10:$L$303,MATCH(tblPivotData[[#This Row],[Time]],PeakCalc!$G$10:$G$303,0))</f>
        <v>0</v>
      </c>
    </row>
    <row r="123" spans="1:9" x14ac:dyDescent="0.25">
      <c r="A123" t="s">
        <v>93</v>
      </c>
      <c r="B123" t="s">
        <v>99</v>
      </c>
      <c r="C123" t="s">
        <v>97</v>
      </c>
      <c r="D123" t="s">
        <v>79</v>
      </c>
      <c r="E123" t="s">
        <v>43</v>
      </c>
      <c r="F123" s="6">
        <v>0.30208333333333331</v>
      </c>
      <c r="G123">
        <v>2</v>
      </c>
      <c r="H123" s="6">
        <f>FLOOR(tblPivotData[[#This Row],[Time]],Summary!$B$6/1440)</f>
        <v>0.30208333333333331</v>
      </c>
      <c r="I123" s="49">
        <f>INDEX(PeakCalc!$L$10:$L$303,MATCH(tblPivotData[[#This Row],[Time]],PeakCalc!$G$10:$G$303,0))</f>
        <v>0</v>
      </c>
    </row>
    <row r="124" spans="1:9" x14ac:dyDescent="0.25">
      <c r="A124" t="s">
        <v>93</v>
      </c>
      <c r="B124" t="s">
        <v>99</v>
      </c>
      <c r="C124" t="s">
        <v>97</v>
      </c>
      <c r="D124" t="s">
        <v>79</v>
      </c>
      <c r="E124" t="s">
        <v>43</v>
      </c>
      <c r="F124" s="6">
        <v>0.3125</v>
      </c>
      <c r="G124">
        <v>3</v>
      </c>
      <c r="H124" s="6">
        <f>FLOOR(tblPivotData[[#This Row],[Time]],Summary!$B$6/1440)</f>
        <v>0.3125</v>
      </c>
      <c r="I124" s="49">
        <f>INDEX(PeakCalc!$L$10:$L$303,MATCH(tblPivotData[[#This Row],[Time]],PeakCalc!$G$10:$G$303,0))</f>
        <v>0</v>
      </c>
    </row>
    <row r="125" spans="1:9" x14ac:dyDescent="0.25">
      <c r="A125" t="s">
        <v>93</v>
      </c>
      <c r="B125" t="s">
        <v>99</v>
      </c>
      <c r="C125" t="s">
        <v>97</v>
      </c>
      <c r="D125" t="s">
        <v>79</v>
      </c>
      <c r="E125" t="s">
        <v>43</v>
      </c>
      <c r="F125" s="6">
        <v>0.32291666666666669</v>
      </c>
      <c r="G125">
        <v>5</v>
      </c>
      <c r="H125" s="6">
        <f>FLOOR(tblPivotData[[#This Row],[Time]],Summary!$B$6/1440)</f>
        <v>0.32291666666666663</v>
      </c>
      <c r="I125" s="49">
        <f>INDEX(PeakCalc!$L$10:$L$303,MATCH(tblPivotData[[#This Row],[Time]],PeakCalc!$G$10:$G$303,0))</f>
        <v>1</v>
      </c>
    </row>
    <row r="126" spans="1:9" x14ac:dyDescent="0.25">
      <c r="A126" t="s">
        <v>93</v>
      </c>
      <c r="B126" t="s">
        <v>99</v>
      </c>
      <c r="C126" t="s">
        <v>97</v>
      </c>
      <c r="D126" t="s">
        <v>79</v>
      </c>
      <c r="E126" t="s">
        <v>43</v>
      </c>
      <c r="F126" s="6">
        <v>0.33333333333333331</v>
      </c>
      <c r="G126">
        <v>6</v>
      </c>
      <c r="H126" s="6">
        <f>FLOOR(tblPivotData[[#This Row],[Time]],Summary!$B$6/1440)</f>
        <v>0.33333333333333331</v>
      </c>
      <c r="I126" s="49">
        <f>INDEX(PeakCalc!$L$10:$L$303,MATCH(tblPivotData[[#This Row],[Time]],PeakCalc!$G$10:$G$303,0))</f>
        <v>1</v>
      </c>
    </row>
    <row r="127" spans="1:9" x14ac:dyDescent="0.25">
      <c r="A127" t="s">
        <v>93</v>
      </c>
      <c r="B127" t="s">
        <v>99</v>
      </c>
      <c r="C127" t="s">
        <v>97</v>
      </c>
      <c r="D127" t="s">
        <v>79</v>
      </c>
      <c r="E127" t="s">
        <v>43</v>
      </c>
      <c r="F127" s="6">
        <v>0.34375</v>
      </c>
      <c r="G127">
        <v>7</v>
      </c>
      <c r="H127" s="6">
        <f>FLOOR(tblPivotData[[#This Row],[Time]],Summary!$B$6/1440)</f>
        <v>0.34375</v>
      </c>
      <c r="I127" s="49">
        <f>INDEX(PeakCalc!$L$10:$L$303,MATCH(tblPivotData[[#This Row],[Time]],PeakCalc!$G$10:$G$303,0))</f>
        <v>1</v>
      </c>
    </row>
    <row r="128" spans="1:9" x14ac:dyDescent="0.25">
      <c r="A128" t="s">
        <v>93</v>
      </c>
      <c r="B128" t="s">
        <v>99</v>
      </c>
      <c r="C128" t="s">
        <v>97</v>
      </c>
      <c r="D128" t="s">
        <v>79</v>
      </c>
      <c r="E128" t="s">
        <v>43</v>
      </c>
      <c r="F128" s="6">
        <v>0.35416666666666669</v>
      </c>
      <c r="G128">
        <v>5</v>
      </c>
      <c r="H128" s="6">
        <f>FLOOR(tblPivotData[[#This Row],[Time]],Summary!$B$6/1440)</f>
        <v>0.35416666666666663</v>
      </c>
      <c r="I128" s="49">
        <f>INDEX(PeakCalc!$L$10:$L$303,MATCH(tblPivotData[[#This Row],[Time]],PeakCalc!$G$10:$G$303,0))</f>
        <v>1</v>
      </c>
    </row>
    <row r="129" spans="1:9" x14ac:dyDescent="0.25">
      <c r="A129" t="s">
        <v>93</v>
      </c>
      <c r="B129" t="s">
        <v>99</v>
      </c>
      <c r="C129" t="s">
        <v>97</v>
      </c>
      <c r="D129" t="s">
        <v>79</v>
      </c>
      <c r="E129" t="s">
        <v>43</v>
      </c>
      <c r="F129" s="6">
        <v>0.36458333333333331</v>
      </c>
      <c r="G129">
        <v>6</v>
      </c>
      <c r="H129" s="6">
        <f>FLOOR(tblPivotData[[#This Row],[Time]],Summary!$B$6/1440)</f>
        <v>0.36458333333333331</v>
      </c>
      <c r="I129" s="49">
        <f>INDEX(PeakCalc!$L$10:$L$303,MATCH(tblPivotData[[#This Row],[Time]],PeakCalc!$G$10:$G$303,0))</f>
        <v>0</v>
      </c>
    </row>
    <row r="130" spans="1:9" x14ac:dyDescent="0.25">
      <c r="A130" t="s">
        <v>93</v>
      </c>
      <c r="B130" t="s">
        <v>99</v>
      </c>
      <c r="C130" t="s">
        <v>97</v>
      </c>
      <c r="D130" t="s">
        <v>79</v>
      </c>
      <c r="E130" t="s">
        <v>91</v>
      </c>
      <c r="F130" s="6">
        <v>0.54166666666666663</v>
      </c>
      <c r="G130">
        <v>5</v>
      </c>
      <c r="H130" s="6">
        <f>FLOOR(tblPivotData[[#This Row],[Time]],Summary!$B$6/1440)</f>
        <v>0.54166666666666663</v>
      </c>
      <c r="I130" s="49">
        <f>INDEX(PeakCalc!$L$10:$L$303,MATCH(tblPivotData[[#This Row],[Time]],PeakCalc!$G$10:$G$303,0))</f>
        <v>1</v>
      </c>
    </row>
    <row r="131" spans="1:9" x14ac:dyDescent="0.25">
      <c r="A131" t="s">
        <v>93</v>
      </c>
      <c r="B131" t="s">
        <v>99</v>
      </c>
      <c r="C131" t="s">
        <v>97</v>
      </c>
      <c r="D131" t="s">
        <v>79</v>
      </c>
      <c r="E131" t="s">
        <v>91</v>
      </c>
      <c r="F131" s="6">
        <v>0.55208333333333337</v>
      </c>
      <c r="G131">
        <v>6</v>
      </c>
      <c r="H131" s="6">
        <f>FLOOR(tblPivotData[[#This Row],[Time]],Summary!$B$6/1440)</f>
        <v>0.55208333333333326</v>
      </c>
      <c r="I131" s="49">
        <f>INDEX(PeakCalc!$L$10:$L$303,MATCH(tblPivotData[[#This Row],[Time]],PeakCalc!$G$10:$G$303,0))</f>
        <v>1</v>
      </c>
    </row>
    <row r="132" spans="1:9" x14ac:dyDescent="0.25">
      <c r="A132" t="s">
        <v>93</v>
      </c>
      <c r="B132" t="s">
        <v>99</v>
      </c>
      <c r="C132" t="s">
        <v>97</v>
      </c>
      <c r="D132" t="s">
        <v>79</v>
      </c>
      <c r="E132" t="s">
        <v>91</v>
      </c>
      <c r="F132" s="6">
        <v>0.5625</v>
      </c>
      <c r="G132">
        <v>5</v>
      </c>
      <c r="H132" s="6">
        <f>FLOOR(tblPivotData[[#This Row],[Time]],Summary!$B$6/1440)</f>
        <v>0.5625</v>
      </c>
      <c r="I132" s="49">
        <f>INDEX(PeakCalc!$L$10:$L$303,MATCH(tblPivotData[[#This Row],[Time]],PeakCalc!$G$10:$G$303,0))</f>
        <v>1</v>
      </c>
    </row>
    <row r="133" spans="1:9" x14ac:dyDescent="0.25">
      <c r="A133" t="s">
        <v>93</v>
      </c>
      <c r="B133" t="s">
        <v>99</v>
      </c>
      <c r="C133" t="s">
        <v>97</v>
      </c>
      <c r="D133" t="s">
        <v>79</v>
      </c>
      <c r="E133" t="s">
        <v>91</v>
      </c>
      <c r="F133" s="6">
        <v>0.57291666666666663</v>
      </c>
      <c r="G133">
        <v>3</v>
      </c>
      <c r="H133" s="6">
        <f>FLOOR(tblPivotData[[#This Row],[Time]],Summary!$B$6/1440)</f>
        <v>0.57291666666666663</v>
      </c>
      <c r="I133" s="49">
        <f>INDEX(PeakCalc!$L$10:$L$303,MATCH(tblPivotData[[#This Row],[Time]],PeakCalc!$G$10:$G$303,0))</f>
        <v>1</v>
      </c>
    </row>
    <row r="134" spans="1:9" x14ac:dyDescent="0.25">
      <c r="A134" t="s">
        <v>93</v>
      </c>
      <c r="B134" t="s">
        <v>99</v>
      </c>
      <c r="C134" t="s">
        <v>97</v>
      </c>
      <c r="D134" t="s">
        <v>79</v>
      </c>
      <c r="E134" t="s">
        <v>44</v>
      </c>
      <c r="F134" s="6">
        <v>0.66666666666666663</v>
      </c>
      <c r="G134">
        <v>18</v>
      </c>
      <c r="H134" s="6">
        <f>FLOOR(tblPivotData[[#This Row],[Time]],Summary!$B$6/1440)</f>
        <v>0.66666666666666663</v>
      </c>
      <c r="I134" s="49">
        <f>INDEX(PeakCalc!$L$10:$L$303,MATCH(tblPivotData[[#This Row],[Time]],PeakCalc!$G$10:$G$303,0))</f>
        <v>0</v>
      </c>
    </row>
    <row r="135" spans="1:9" x14ac:dyDescent="0.25">
      <c r="A135" t="s">
        <v>93</v>
      </c>
      <c r="B135" t="s">
        <v>99</v>
      </c>
      <c r="C135" t="s">
        <v>97</v>
      </c>
      <c r="D135" t="s">
        <v>79</v>
      </c>
      <c r="E135" t="s">
        <v>44</v>
      </c>
      <c r="F135" s="6">
        <v>0.67708333333333337</v>
      </c>
      <c r="G135">
        <v>9</v>
      </c>
      <c r="H135" s="6">
        <f>FLOOR(tblPivotData[[#This Row],[Time]],Summary!$B$6/1440)</f>
        <v>0.67708333333333326</v>
      </c>
      <c r="I135" s="49">
        <f>INDEX(PeakCalc!$L$10:$L$303,MATCH(tblPivotData[[#This Row],[Time]],PeakCalc!$G$10:$G$303,0))</f>
        <v>0</v>
      </c>
    </row>
    <row r="136" spans="1:9" x14ac:dyDescent="0.25">
      <c r="A136" t="s">
        <v>93</v>
      </c>
      <c r="B136" t="s">
        <v>99</v>
      </c>
      <c r="C136" t="s">
        <v>97</v>
      </c>
      <c r="D136" t="s">
        <v>79</v>
      </c>
      <c r="E136" t="s">
        <v>44</v>
      </c>
      <c r="F136" s="6">
        <v>0.6875</v>
      </c>
      <c r="G136">
        <v>7</v>
      </c>
      <c r="H136" s="6">
        <f>FLOOR(tblPivotData[[#This Row],[Time]],Summary!$B$6/1440)</f>
        <v>0.6875</v>
      </c>
      <c r="I136" s="49">
        <f>INDEX(PeakCalc!$L$10:$L$303,MATCH(tblPivotData[[#This Row],[Time]],PeakCalc!$G$10:$G$303,0))</f>
        <v>0</v>
      </c>
    </row>
    <row r="137" spans="1:9" x14ac:dyDescent="0.25">
      <c r="A137" t="s">
        <v>93</v>
      </c>
      <c r="B137" t="s">
        <v>99</v>
      </c>
      <c r="C137" t="s">
        <v>97</v>
      </c>
      <c r="D137" t="s">
        <v>79</v>
      </c>
      <c r="E137" t="s">
        <v>44</v>
      </c>
      <c r="F137" s="6">
        <v>0.69791666666666663</v>
      </c>
      <c r="G137">
        <v>7</v>
      </c>
      <c r="H137" s="6">
        <f>FLOOR(tblPivotData[[#This Row],[Time]],Summary!$B$6/1440)</f>
        <v>0.69791666666666663</v>
      </c>
      <c r="I137" s="49">
        <f>INDEX(PeakCalc!$L$10:$L$303,MATCH(tblPivotData[[#This Row],[Time]],PeakCalc!$G$10:$G$303,0))</f>
        <v>1</v>
      </c>
    </row>
    <row r="138" spans="1:9" x14ac:dyDescent="0.25">
      <c r="A138" t="s">
        <v>93</v>
      </c>
      <c r="B138" t="s">
        <v>99</v>
      </c>
      <c r="C138" t="s">
        <v>97</v>
      </c>
      <c r="D138" t="s">
        <v>79</v>
      </c>
      <c r="E138" t="s">
        <v>44</v>
      </c>
      <c r="F138" s="6">
        <v>0.70833333333333337</v>
      </c>
      <c r="G138">
        <v>11</v>
      </c>
      <c r="H138" s="6">
        <f>FLOOR(tblPivotData[[#This Row],[Time]],Summary!$B$6/1440)</f>
        <v>0.70833333333333326</v>
      </c>
      <c r="I138" s="49">
        <f>INDEX(PeakCalc!$L$10:$L$303,MATCH(tblPivotData[[#This Row],[Time]],PeakCalc!$G$10:$G$303,0))</f>
        <v>1</v>
      </c>
    </row>
    <row r="139" spans="1:9" x14ac:dyDescent="0.25">
      <c r="A139" t="s">
        <v>93</v>
      </c>
      <c r="B139" t="s">
        <v>99</v>
      </c>
      <c r="C139" t="s">
        <v>97</v>
      </c>
      <c r="D139" t="s">
        <v>79</v>
      </c>
      <c r="E139" t="s">
        <v>44</v>
      </c>
      <c r="F139" s="6">
        <v>0.71875</v>
      </c>
      <c r="G139">
        <v>8</v>
      </c>
      <c r="H139" s="6">
        <f>FLOOR(tblPivotData[[#This Row],[Time]],Summary!$B$6/1440)</f>
        <v>0.71875</v>
      </c>
      <c r="I139" s="49">
        <f>INDEX(PeakCalc!$L$10:$L$303,MATCH(tblPivotData[[#This Row],[Time]],PeakCalc!$G$10:$G$303,0))</f>
        <v>1</v>
      </c>
    </row>
    <row r="140" spans="1:9" x14ac:dyDescent="0.25">
      <c r="A140" t="s">
        <v>93</v>
      </c>
      <c r="B140" t="s">
        <v>99</v>
      </c>
      <c r="C140" t="s">
        <v>97</v>
      </c>
      <c r="D140" t="s">
        <v>79</v>
      </c>
      <c r="E140" t="s">
        <v>44</v>
      </c>
      <c r="F140" s="6">
        <v>0.72916666666666663</v>
      </c>
      <c r="G140">
        <v>15</v>
      </c>
      <c r="H140" s="6">
        <f>FLOOR(tblPivotData[[#This Row],[Time]],Summary!$B$6/1440)</f>
        <v>0.72916666666666663</v>
      </c>
      <c r="I140" s="49">
        <f>INDEX(PeakCalc!$L$10:$L$303,MATCH(tblPivotData[[#This Row],[Time]],PeakCalc!$G$10:$G$303,0))</f>
        <v>1</v>
      </c>
    </row>
    <row r="141" spans="1:9" x14ac:dyDescent="0.25">
      <c r="A141" t="s">
        <v>93</v>
      </c>
      <c r="B141" t="s">
        <v>99</v>
      </c>
      <c r="C141" t="s">
        <v>97</v>
      </c>
      <c r="D141" t="s">
        <v>79</v>
      </c>
      <c r="E141" t="s">
        <v>44</v>
      </c>
      <c r="F141" s="6">
        <v>0.73958333333333337</v>
      </c>
      <c r="G141">
        <v>15</v>
      </c>
      <c r="H141" s="6">
        <f>FLOOR(tblPivotData[[#This Row],[Time]],Summary!$B$6/1440)</f>
        <v>0.73958333333333326</v>
      </c>
      <c r="I141" s="49">
        <f>INDEX(PeakCalc!$L$10:$L$303,MATCH(tblPivotData[[#This Row],[Time]],PeakCalc!$G$10:$G$303,0))</f>
        <v>0</v>
      </c>
    </row>
    <row r="142" spans="1:9" x14ac:dyDescent="0.25">
      <c r="A142" t="s">
        <v>93</v>
      </c>
      <c r="B142" t="s">
        <v>99</v>
      </c>
      <c r="C142" t="s">
        <v>97</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97</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97</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97</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97</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97</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97</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97</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97</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97</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97</v>
      </c>
      <c r="D152" t="s">
        <v>89</v>
      </c>
      <c r="E152" t="s">
        <v>91</v>
      </c>
      <c r="F152" s="6">
        <v>0.5625</v>
      </c>
      <c r="G152">
        <v>1</v>
      </c>
      <c r="H152" s="6">
        <f>FLOOR(tblPivotData[[#This Row],[Time]],Summary!$B$6/1440)</f>
        <v>0.5625</v>
      </c>
      <c r="I152" s="49">
        <f>INDEX(PeakCalc!$L$10:$L$303,MATCH(tblPivotData[[#This Row],[Time]],PeakCalc!$G$10:$G$303,0))</f>
        <v>1</v>
      </c>
    </row>
    <row r="153" spans="1:9" x14ac:dyDescent="0.25">
      <c r="A153" t="s">
        <v>93</v>
      </c>
      <c r="B153" t="s">
        <v>99</v>
      </c>
      <c r="C153" t="s">
        <v>97</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97</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97</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97</v>
      </c>
      <c r="D156" t="s">
        <v>89</v>
      </c>
      <c r="E156" t="s">
        <v>44</v>
      </c>
      <c r="F156" s="6">
        <v>0.6875</v>
      </c>
      <c r="G156">
        <v>1</v>
      </c>
      <c r="H156" s="6">
        <f>FLOOR(tblPivotData[[#This Row],[Time]],Summary!$B$6/1440)</f>
        <v>0.6875</v>
      </c>
      <c r="I156" s="49">
        <f>INDEX(PeakCalc!$L$10:$L$303,MATCH(tblPivotData[[#This Row],[Time]],PeakCalc!$G$10:$G$303,0))</f>
        <v>0</v>
      </c>
    </row>
    <row r="157" spans="1:9" x14ac:dyDescent="0.25">
      <c r="A157" t="s">
        <v>93</v>
      </c>
      <c r="B157" t="s">
        <v>99</v>
      </c>
      <c r="C157" t="s">
        <v>97</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97</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97</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97</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97</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97</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97</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97</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97</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97</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97</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99</v>
      </c>
      <c r="C168" t="s">
        <v>97</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97</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97</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97</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97</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97</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97</v>
      </c>
      <c r="D174" t="s">
        <v>90</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93</v>
      </c>
      <c r="B175" t="s">
        <v>99</v>
      </c>
      <c r="C175" t="s">
        <v>97</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97</v>
      </c>
      <c r="D176" t="s">
        <v>90</v>
      </c>
      <c r="E176" t="s">
        <v>44</v>
      </c>
      <c r="F176" s="6">
        <v>0.6875</v>
      </c>
      <c r="G176">
        <v>2</v>
      </c>
      <c r="H176" s="6">
        <f>FLOOR(tblPivotData[[#This Row],[Time]],Summary!$B$6/1440)</f>
        <v>0.6875</v>
      </c>
      <c r="I176" s="49">
        <f>INDEX(PeakCalc!$L$10:$L$303,MATCH(tblPivotData[[#This Row],[Time]],PeakCalc!$G$10:$G$303,0))</f>
        <v>0</v>
      </c>
    </row>
    <row r="177" spans="1:9" x14ac:dyDescent="0.25">
      <c r="A177" t="s">
        <v>93</v>
      </c>
      <c r="B177" t="s">
        <v>99</v>
      </c>
      <c r="C177" t="s">
        <v>97</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97</v>
      </c>
      <c r="D178" t="s">
        <v>90</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93</v>
      </c>
      <c r="B179" t="s">
        <v>99</v>
      </c>
      <c r="C179" t="s">
        <v>97</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97</v>
      </c>
      <c r="D180" t="s">
        <v>90</v>
      </c>
      <c r="E180" t="s">
        <v>44</v>
      </c>
      <c r="F180" s="6">
        <v>0.72916666666666663</v>
      </c>
      <c r="G180">
        <v>3</v>
      </c>
      <c r="H180" s="6">
        <f>FLOOR(tblPivotData[[#This Row],[Time]],Summary!$B$6/1440)</f>
        <v>0.72916666666666663</v>
      </c>
      <c r="I180" s="49">
        <f>INDEX(PeakCalc!$L$10:$L$303,MATCH(tblPivotData[[#This Row],[Time]],PeakCalc!$G$10:$G$303,0))</f>
        <v>1</v>
      </c>
    </row>
    <row r="181" spans="1:9" x14ac:dyDescent="0.25">
      <c r="A181" t="s">
        <v>93</v>
      </c>
      <c r="B181" t="s">
        <v>99</v>
      </c>
      <c r="C181" t="s">
        <v>97</v>
      </c>
      <c r="D181" t="s">
        <v>90</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93</v>
      </c>
      <c r="B182" t="s">
        <v>95</v>
      </c>
      <c r="C182" t="s">
        <v>92</v>
      </c>
      <c r="D182" t="s">
        <v>79</v>
      </c>
      <c r="E182" t="s">
        <v>43</v>
      </c>
      <c r="F182" s="6">
        <v>0.29166666666666669</v>
      </c>
      <c r="G182">
        <v>70</v>
      </c>
      <c r="H182" s="6">
        <f>FLOOR(tblPivotData[[#This Row],[Time]],Summary!$B$6/1440)</f>
        <v>0.29166666666666663</v>
      </c>
      <c r="I182" s="49">
        <f>INDEX(PeakCalc!$L$10:$L$303,MATCH(tblPivotData[[#This Row],[Time]],PeakCalc!$G$10:$G$303,0))</f>
        <v>0</v>
      </c>
    </row>
    <row r="183" spans="1:9" x14ac:dyDescent="0.25">
      <c r="A183" t="s">
        <v>93</v>
      </c>
      <c r="B183" t="s">
        <v>95</v>
      </c>
      <c r="C183" t="s">
        <v>92</v>
      </c>
      <c r="D183" t="s">
        <v>79</v>
      </c>
      <c r="E183" t="s">
        <v>43</v>
      </c>
      <c r="F183" s="6">
        <v>0.30208333333333331</v>
      </c>
      <c r="G183">
        <v>97</v>
      </c>
      <c r="H183" s="6">
        <f>FLOOR(tblPivotData[[#This Row],[Time]],Summary!$B$6/1440)</f>
        <v>0.30208333333333331</v>
      </c>
      <c r="I183" s="49">
        <f>INDEX(PeakCalc!$L$10:$L$303,MATCH(tblPivotData[[#This Row],[Time]],PeakCalc!$G$10:$G$303,0))</f>
        <v>0</v>
      </c>
    </row>
    <row r="184" spans="1:9" x14ac:dyDescent="0.25">
      <c r="A184" t="s">
        <v>93</v>
      </c>
      <c r="B184" t="s">
        <v>95</v>
      </c>
      <c r="C184" t="s">
        <v>92</v>
      </c>
      <c r="D184" t="s">
        <v>79</v>
      </c>
      <c r="E184" t="s">
        <v>43</v>
      </c>
      <c r="F184" s="6">
        <v>0.3125</v>
      </c>
      <c r="G184">
        <v>99</v>
      </c>
      <c r="H184" s="6">
        <f>FLOOR(tblPivotData[[#This Row],[Time]],Summary!$B$6/1440)</f>
        <v>0.3125</v>
      </c>
      <c r="I184" s="49">
        <f>INDEX(PeakCalc!$L$10:$L$303,MATCH(tblPivotData[[#This Row],[Time]],PeakCalc!$G$10:$G$303,0))</f>
        <v>0</v>
      </c>
    </row>
    <row r="185" spans="1:9" x14ac:dyDescent="0.25">
      <c r="A185" t="s">
        <v>93</v>
      </c>
      <c r="B185" t="s">
        <v>95</v>
      </c>
      <c r="C185" t="s">
        <v>92</v>
      </c>
      <c r="D185" t="s">
        <v>79</v>
      </c>
      <c r="E185" t="s">
        <v>43</v>
      </c>
      <c r="F185" s="6">
        <v>0.32291666666666669</v>
      </c>
      <c r="G185">
        <v>158</v>
      </c>
      <c r="H185" s="6">
        <f>FLOOR(tblPivotData[[#This Row],[Time]],Summary!$B$6/1440)</f>
        <v>0.32291666666666663</v>
      </c>
      <c r="I185" s="49">
        <f>INDEX(PeakCalc!$L$10:$L$303,MATCH(tblPivotData[[#This Row],[Time]],PeakCalc!$G$10:$G$303,0))</f>
        <v>1</v>
      </c>
    </row>
    <row r="186" spans="1:9" x14ac:dyDescent="0.25">
      <c r="A186" t="s">
        <v>93</v>
      </c>
      <c r="B186" t="s">
        <v>95</v>
      </c>
      <c r="C186" t="s">
        <v>92</v>
      </c>
      <c r="D186" t="s">
        <v>79</v>
      </c>
      <c r="E186" t="s">
        <v>43</v>
      </c>
      <c r="F186" s="6">
        <v>0.33333333333333331</v>
      </c>
      <c r="G186">
        <v>152</v>
      </c>
      <c r="H186" s="6">
        <f>FLOOR(tblPivotData[[#This Row],[Time]],Summary!$B$6/1440)</f>
        <v>0.33333333333333331</v>
      </c>
      <c r="I186" s="49">
        <f>INDEX(PeakCalc!$L$10:$L$303,MATCH(tblPivotData[[#This Row],[Time]],PeakCalc!$G$10:$G$303,0))</f>
        <v>1</v>
      </c>
    </row>
    <row r="187" spans="1:9" x14ac:dyDescent="0.25">
      <c r="A187" t="s">
        <v>93</v>
      </c>
      <c r="B187" t="s">
        <v>95</v>
      </c>
      <c r="C187" t="s">
        <v>92</v>
      </c>
      <c r="D187" t="s">
        <v>79</v>
      </c>
      <c r="E187" t="s">
        <v>43</v>
      </c>
      <c r="F187" s="6">
        <v>0.34375</v>
      </c>
      <c r="G187">
        <v>144</v>
      </c>
      <c r="H187" s="6">
        <f>FLOOR(tblPivotData[[#This Row],[Time]],Summary!$B$6/1440)</f>
        <v>0.34375</v>
      </c>
      <c r="I187" s="49">
        <f>INDEX(PeakCalc!$L$10:$L$303,MATCH(tblPivotData[[#This Row],[Time]],PeakCalc!$G$10:$G$303,0))</f>
        <v>1</v>
      </c>
    </row>
    <row r="188" spans="1:9" x14ac:dyDescent="0.25">
      <c r="A188" t="s">
        <v>93</v>
      </c>
      <c r="B188" t="s">
        <v>95</v>
      </c>
      <c r="C188" t="s">
        <v>92</v>
      </c>
      <c r="D188" t="s">
        <v>79</v>
      </c>
      <c r="E188" t="s">
        <v>43</v>
      </c>
      <c r="F188" s="6">
        <v>0.35416666666666669</v>
      </c>
      <c r="G188">
        <v>158</v>
      </c>
      <c r="H188" s="6">
        <f>FLOOR(tblPivotData[[#This Row],[Time]],Summary!$B$6/1440)</f>
        <v>0.35416666666666663</v>
      </c>
      <c r="I188" s="49">
        <f>INDEX(PeakCalc!$L$10:$L$303,MATCH(tblPivotData[[#This Row],[Time]],PeakCalc!$G$10:$G$303,0))</f>
        <v>1</v>
      </c>
    </row>
    <row r="189" spans="1:9" x14ac:dyDescent="0.25">
      <c r="A189" t="s">
        <v>93</v>
      </c>
      <c r="B189" t="s">
        <v>95</v>
      </c>
      <c r="C189" t="s">
        <v>92</v>
      </c>
      <c r="D189" t="s">
        <v>79</v>
      </c>
      <c r="E189" t="s">
        <v>43</v>
      </c>
      <c r="F189" s="6">
        <v>0.36458333333333331</v>
      </c>
      <c r="G189">
        <v>169</v>
      </c>
      <c r="H189" s="6">
        <f>FLOOR(tblPivotData[[#This Row],[Time]],Summary!$B$6/1440)</f>
        <v>0.36458333333333331</v>
      </c>
      <c r="I189" s="49">
        <f>INDEX(PeakCalc!$L$10:$L$303,MATCH(tblPivotData[[#This Row],[Time]],PeakCalc!$G$10:$G$303,0))</f>
        <v>0</v>
      </c>
    </row>
    <row r="190" spans="1:9" x14ac:dyDescent="0.25">
      <c r="A190" t="s">
        <v>93</v>
      </c>
      <c r="B190" t="s">
        <v>95</v>
      </c>
      <c r="C190" t="s">
        <v>92</v>
      </c>
      <c r="D190" t="s">
        <v>79</v>
      </c>
      <c r="E190" t="s">
        <v>91</v>
      </c>
      <c r="F190" s="6">
        <v>0.54166666666666663</v>
      </c>
      <c r="G190">
        <v>132</v>
      </c>
      <c r="H190" s="6">
        <f>FLOOR(tblPivotData[[#This Row],[Time]],Summary!$B$6/1440)</f>
        <v>0.54166666666666663</v>
      </c>
      <c r="I190" s="49">
        <f>INDEX(PeakCalc!$L$10:$L$303,MATCH(tblPivotData[[#This Row],[Time]],PeakCalc!$G$10:$G$303,0))</f>
        <v>1</v>
      </c>
    </row>
    <row r="191" spans="1:9" x14ac:dyDescent="0.25">
      <c r="A191" t="s">
        <v>93</v>
      </c>
      <c r="B191" t="s">
        <v>95</v>
      </c>
      <c r="C191" t="s">
        <v>92</v>
      </c>
      <c r="D191" t="s">
        <v>79</v>
      </c>
      <c r="E191" t="s">
        <v>91</v>
      </c>
      <c r="F191" s="6">
        <v>0.55208333333333337</v>
      </c>
      <c r="G191">
        <v>118</v>
      </c>
      <c r="H191" s="6">
        <f>FLOOR(tblPivotData[[#This Row],[Time]],Summary!$B$6/1440)</f>
        <v>0.55208333333333326</v>
      </c>
      <c r="I191" s="49">
        <f>INDEX(PeakCalc!$L$10:$L$303,MATCH(tblPivotData[[#This Row],[Time]],PeakCalc!$G$10:$G$303,0))</f>
        <v>1</v>
      </c>
    </row>
    <row r="192" spans="1:9" x14ac:dyDescent="0.25">
      <c r="A192" t="s">
        <v>93</v>
      </c>
      <c r="B192" t="s">
        <v>95</v>
      </c>
      <c r="C192" t="s">
        <v>92</v>
      </c>
      <c r="D192" t="s">
        <v>79</v>
      </c>
      <c r="E192" t="s">
        <v>91</v>
      </c>
      <c r="F192" s="6">
        <v>0.5625</v>
      </c>
      <c r="G192">
        <v>141</v>
      </c>
      <c r="H192" s="6">
        <f>FLOOR(tblPivotData[[#This Row],[Time]],Summary!$B$6/1440)</f>
        <v>0.5625</v>
      </c>
      <c r="I192" s="49">
        <f>INDEX(PeakCalc!$L$10:$L$303,MATCH(tblPivotData[[#This Row],[Time]],PeakCalc!$G$10:$G$303,0))</f>
        <v>1</v>
      </c>
    </row>
    <row r="193" spans="1:9" x14ac:dyDescent="0.25">
      <c r="A193" t="s">
        <v>93</v>
      </c>
      <c r="B193" t="s">
        <v>95</v>
      </c>
      <c r="C193" t="s">
        <v>92</v>
      </c>
      <c r="D193" t="s">
        <v>79</v>
      </c>
      <c r="E193" t="s">
        <v>91</v>
      </c>
      <c r="F193" s="6">
        <v>0.57291666666666663</v>
      </c>
      <c r="G193">
        <v>126</v>
      </c>
      <c r="H193" s="6">
        <f>FLOOR(tblPivotData[[#This Row],[Time]],Summary!$B$6/1440)</f>
        <v>0.57291666666666663</v>
      </c>
      <c r="I193" s="49">
        <f>INDEX(PeakCalc!$L$10:$L$303,MATCH(tblPivotData[[#This Row],[Time]],PeakCalc!$G$10:$G$303,0))</f>
        <v>1</v>
      </c>
    </row>
    <row r="194" spans="1:9" x14ac:dyDescent="0.25">
      <c r="A194" t="s">
        <v>93</v>
      </c>
      <c r="B194" t="s">
        <v>95</v>
      </c>
      <c r="C194" t="s">
        <v>92</v>
      </c>
      <c r="D194" t="s">
        <v>79</v>
      </c>
      <c r="E194" t="s">
        <v>44</v>
      </c>
      <c r="F194" s="6">
        <v>0.66666666666666663</v>
      </c>
      <c r="G194">
        <v>181</v>
      </c>
      <c r="H194" s="6">
        <f>FLOOR(tblPivotData[[#This Row],[Time]],Summary!$B$6/1440)</f>
        <v>0.66666666666666663</v>
      </c>
      <c r="I194" s="49">
        <f>INDEX(PeakCalc!$L$10:$L$303,MATCH(tblPivotData[[#This Row],[Time]],PeakCalc!$G$10:$G$303,0))</f>
        <v>0</v>
      </c>
    </row>
    <row r="195" spans="1:9" x14ac:dyDescent="0.25">
      <c r="A195" t="s">
        <v>93</v>
      </c>
      <c r="B195" t="s">
        <v>95</v>
      </c>
      <c r="C195" t="s">
        <v>92</v>
      </c>
      <c r="D195" t="s">
        <v>79</v>
      </c>
      <c r="E195" t="s">
        <v>44</v>
      </c>
      <c r="F195" s="6">
        <v>0.67708333333333337</v>
      </c>
      <c r="G195">
        <v>165</v>
      </c>
      <c r="H195" s="6">
        <f>FLOOR(tblPivotData[[#This Row],[Time]],Summary!$B$6/1440)</f>
        <v>0.67708333333333326</v>
      </c>
      <c r="I195" s="49">
        <f>INDEX(PeakCalc!$L$10:$L$303,MATCH(tblPivotData[[#This Row],[Time]],PeakCalc!$G$10:$G$303,0))</f>
        <v>0</v>
      </c>
    </row>
    <row r="196" spans="1:9" x14ac:dyDescent="0.25">
      <c r="A196" t="s">
        <v>93</v>
      </c>
      <c r="B196" t="s">
        <v>95</v>
      </c>
      <c r="C196" t="s">
        <v>92</v>
      </c>
      <c r="D196" t="s">
        <v>79</v>
      </c>
      <c r="E196" t="s">
        <v>44</v>
      </c>
      <c r="F196" s="6">
        <v>0.6875</v>
      </c>
      <c r="G196">
        <v>152</v>
      </c>
      <c r="H196" s="6">
        <f>FLOOR(tblPivotData[[#This Row],[Time]],Summary!$B$6/1440)</f>
        <v>0.6875</v>
      </c>
      <c r="I196" s="49">
        <f>INDEX(PeakCalc!$L$10:$L$303,MATCH(tblPivotData[[#This Row],[Time]],PeakCalc!$G$10:$G$303,0))</f>
        <v>0</v>
      </c>
    </row>
    <row r="197" spans="1:9" x14ac:dyDescent="0.25">
      <c r="A197" t="s">
        <v>93</v>
      </c>
      <c r="B197" t="s">
        <v>95</v>
      </c>
      <c r="C197" t="s">
        <v>92</v>
      </c>
      <c r="D197" t="s">
        <v>79</v>
      </c>
      <c r="E197" t="s">
        <v>44</v>
      </c>
      <c r="F197" s="6">
        <v>0.69791666666666663</v>
      </c>
      <c r="G197">
        <v>161</v>
      </c>
      <c r="H197" s="6">
        <f>FLOOR(tblPivotData[[#This Row],[Time]],Summary!$B$6/1440)</f>
        <v>0.69791666666666663</v>
      </c>
      <c r="I197" s="49">
        <f>INDEX(PeakCalc!$L$10:$L$303,MATCH(tblPivotData[[#This Row],[Time]],PeakCalc!$G$10:$G$303,0))</f>
        <v>1</v>
      </c>
    </row>
    <row r="198" spans="1:9" x14ac:dyDescent="0.25">
      <c r="A198" t="s">
        <v>93</v>
      </c>
      <c r="B198" t="s">
        <v>95</v>
      </c>
      <c r="C198" t="s">
        <v>92</v>
      </c>
      <c r="D198" t="s">
        <v>79</v>
      </c>
      <c r="E198" t="s">
        <v>44</v>
      </c>
      <c r="F198" s="6">
        <v>0.70833333333333337</v>
      </c>
      <c r="G198">
        <v>163</v>
      </c>
      <c r="H198" s="6">
        <f>FLOOR(tblPivotData[[#This Row],[Time]],Summary!$B$6/1440)</f>
        <v>0.70833333333333326</v>
      </c>
      <c r="I198" s="49">
        <f>INDEX(PeakCalc!$L$10:$L$303,MATCH(tblPivotData[[#This Row],[Time]],PeakCalc!$G$10:$G$303,0))</f>
        <v>1</v>
      </c>
    </row>
    <row r="199" spans="1:9" x14ac:dyDescent="0.25">
      <c r="A199" t="s">
        <v>93</v>
      </c>
      <c r="B199" t="s">
        <v>95</v>
      </c>
      <c r="C199" t="s">
        <v>92</v>
      </c>
      <c r="D199" t="s">
        <v>79</v>
      </c>
      <c r="E199" t="s">
        <v>44</v>
      </c>
      <c r="F199" s="6">
        <v>0.71875</v>
      </c>
      <c r="G199">
        <v>167</v>
      </c>
      <c r="H199" s="6">
        <f>FLOOR(tblPivotData[[#This Row],[Time]],Summary!$B$6/1440)</f>
        <v>0.71875</v>
      </c>
      <c r="I199" s="49">
        <f>INDEX(PeakCalc!$L$10:$L$303,MATCH(tblPivotData[[#This Row],[Time]],PeakCalc!$G$10:$G$303,0))</f>
        <v>1</v>
      </c>
    </row>
    <row r="200" spans="1:9" x14ac:dyDescent="0.25">
      <c r="A200" t="s">
        <v>93</v>
      </c>
      <c r="B200" t="s">
        <v>95</v>
      </c>
      <c r="C200" t="s">
        <v>92</v>
      </c>
      <c r="D200" t="s">
        <v>79</v>
      </c>
      <c r="E200" t="s">
        <v>44</v>
      </c>
      <c r="F200" s="6">
        <v>0.72916666666666663</v>
      </c>
      <c r="G200">
        <v>175</v>
      </c>
      <c r="H200" s="6">
        <f>FLOOR(tblPivotData[[#This Row],[Time]],Summary!$B$6/1440)</f>
        <v>0.72916666666666663</v>
      </c>
      <c r="I200" s="49">
        <f>INDEX(PeakCalc!$L$10:$L$303,MATCH(tblPivotData[[#This Row],[Time]],PeakCalc!$G$10:$G$303,0))</f>
        <v>1</v>
      </c>
    </row>
    <row r="201" spans="1:9" x14ac:dyDescent="0.25">
      <c r="A201" t="s">
        <v>93</v>
      </c>
      <c r="B201" t="s">
        <v>95</v>
      </c>
      <c r="C201" t="s">
        <v>92</v>
      </c>
      <c r="D201" t="s">
        <v>79</v>
      </c>
      <c r="E201" t="s">
        <v>44</v>
      </c>
      <c r="F201" s="6">
        <v>0.73958333333333337</v>
      </c>
      <c r="G201">
        <v>166</v>
      </c>
      <c r="H201" s="6">
        <f>FLOOR(tblPivotData[[#This Row],[Time]],Summary!$B$6/1440)</f>
        <v>0.73958333333333326</v>
      </c>
      <c r="I201" s="49">
        <f>INDEX(PeakCalc!$L$10:$L$303,MATCH(tblPivotData[[#This Row],[Time]],PeakCalc!$G$10:$G$303,0))</f>
        <v>0</v>
      </c>
    </row>
    <row r="202" spans="1:9" x14ac:dyDescent="0.25">
      <c r="A202" t="s">
        <v>93</v>
      </c>
      <c r="B202" t="s">
        <v>95</v>
      </c>
      <c r="C202" t="s">
        <v>92</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93</v>
      </c>
      <c r="B203" t="s">
        <v>95</v>
      </c>
      <c r="C203" t="s">
        <v>92</v>
      </c>
      <c r="D203" t="s">
        <v>89</v>
      </c>
      <c r="E203" t="s">
        <v>43</v>
      </c>
      <c r="F203" s="6">
        <v>0.30208333333333331</v>
      </c>
      <c r="G203">
        <v>4</v>
      </c>
      <c r="H203" s="6">
        <f>FLOOR(tblPivotData[[#This Row],[Time]],Summary!$B$6/1440)</f>
        <v>0.30208333333333331</v>
      </c>
      <c r="I203" s="49">
        <f>INDEX(PeakCalc!$L$10:$L$303,MATCH(tblPivotData[[#This Row],[Time]],PeakCalc!$G$10:$G$303,0))</f>
        <v>0</v>
      </c>
    </row>
    <row r="204" spans="1:9" x14ac:dyDescent="0.25">
      <c r="A204" t="s">
        <v>93</v>
      </c>
      <c r="B204" t="s">
        <v>95</v>
      </c>
      <c r="C204" t="s">
        <v>92</v>
      </c>
      <c r="D204" t="s">
        <v>89</v>
      </c>
      <c r="E204" t="s">
        <v>43</v>
      </c>
      <c r="F204" s="6">
        <v>0.3125</v>
      </c>
      <c r="G204">
        <v>8</v>
      </c>
      <c r="H204" s="6">
        <f>FLOOR(tblPivotData[[#This Row],[Time]],Summary!$B$6/1440)</f>
        <v>0.3125</v>
      </c>
      <c r="I204" s="49">
        <f>INDEX(PeakCalc!$L$10:$L$303,MATCH(tblPivotData[[#This Row],[Time]],PeakCalc!$G$10:$G$303,0))</f>
        <v>0</v>
      </c>
    </row>
    <row r="205" spans="1:9" x14ac:dyDescent="0.25">
      <c r="A205" t="s">
        <v>93</v>
      </c>
      <c r="B205" t="s">
        <v>95</v>
      </c>
      <c r="C205" t="s">
        <v>92</v>
      </c>
      <c r="D205" t="s">
        <v>89</v>
      </c>
      <c r="E205" t="s">
        <v>43</v>
      </c>
      <c r="F205" s="6">
        <v>0.32291666666666669</v>
      </c>
      <c r="G205">
        <v>5</v>
      </c>
      <c r="H205" s="6">
        <f>FLOOR(tblPivotData[[#This Row],[Time]],Summary!$B$6/1440)</f>
        <v>0.32291666666666663</v>
      </c>
      <c r="I205" s="49">
        <f>INDEX(PeakCalc!$L$10:$L$303,MATCH(tblPivotData[[#This Row],[Time]],PeakCalc!$G$10:$G$303,0))</f>
        <v>1</v>
      </c>
    </row>
    <row r="206" spans="1:9" x14ac:dyDescent="0.25">
      <c r="A206" t="s">
        <v>93</v>
      </c>
      <c r="B206" t="s">
        <v>95</v>
      </c>
      <c r="C206" t="s">
        <v>92</v>
      </c>
      <c r="D206" t="s">
        <v>89</v>
      </c>
      <c r="E206" t="s">
        <v>43</v>
      </c>
      <c r="F206" s="6">
        <v>0.33333333333333331</v>
      </c>
      <c r="G206">
        <v>4</v>
      </c>
      <c r="H206" s="6">
        <f>FLOOR(tblPivotData[[#This Row],[Time]],Summary!$B$6/1440)</f>
        <v>0.33333333333333331</v>
      </c>
      <c r="I206" s="49">
        <f>INDEX(PeakCalc!$L$10:$L$303,MATCH(tblPivotData[[#This Row],[Time]],PeakCalc!$G$10:$G$303,0))</f>
        <v>1</v>
      </c>
    </row>
    <row r="207" spans="1:9" x14ac:dyDescent="0.25">
      <c r="A207" t="s">
        <v>93</v>
      </c>
      <c r="B207" t="s">
        <v>95</v>
      </c>
      <c r="C207" t="s">
        <v>92</v>
      </c>
      <c r="D207" t="s">
        <v>89</v>
      </c>
      <c r="E207" t="s">
        <v>43</v>
      </c>
      <c r="F207" s="6">
        <v>0.34375</v>
      </c>
      <c r="G207">
        <v>5</v>
      </c>
      <c r="H207" s="6">
        <f>FLOOR(tblPivotData[[#This Row],[Time]],Summary!$B$6/1440)</f>
        <v>0.34375</v>
      </c>
      <c r="I207" s="49">
        <f>INDEX(PeakCalc!$L$10:$L$303,MATCH(tblPivotData[[#This Row],[Time]],PeakCalc!$G$10:$G$303,0))</f>
        <v>1</v>
      </c>
    </row>
    <row r="208" spans="1:9" x14ac:dyDescent="0.25">
      <c r="A208" t="s">
        <v>93</v>
      </c>
      <c r="B208" t="s">
        <v>95</v>
      </c>
      <c r="C208" t="s">
        <v>92</v>
      </c>
      <c r="D208" t="s">
        <v>89</v>
      </c>
      <c r="E208" t="s">
        <v>43</v>
      </c>
      <c r="F208" s="6">
        <v>0.35416666666666669</v>
      </c>
      <c r="G208">
        <v>6</v>
      </c>
      <c r="H208" s="6">
        <f>FLOOR(tblPivotData[[#This Row],[Time]],Summary!$B$6/1440)</f>
        <v>0.35416666666666663</v>
      </c>
      <c r="I208" s="49">
        <f>INDEX(PeakCalc!$L$10:$L$303,MATCH(tblPivotData[[#This Row],[Time]],PeakCalc!$G$10:$G$303,0))</f>
        <v>1</v>
      </c>
    </row>
    <row r="209" spans="1:9" x14ac:dyDescent="0.25">
      <c r="A209" t="s">
        <v>93</v>
      </c>
      <c r="B209" t="s">
        <v>95</v>
      </c>
      <c r="C209" t="s">
        <v>92</v>
      </c>
      <c r="D209" t="s">
        <v>89</v>
      </c>
      <c r="E209" t="s">
        <v>43</v>
      </c>
      <c r="F209" s="6">
        <v>0.36458333333333331</v>
      </c>
      <c r="G209">
        <v>8</v>
      </c>
      <c r="H209" s="6">
        <f>FLOOR(tblPivotData[[#This Row],[Time]],Summary!$B$6/1440)</f>
        <v>0.36458333333333331</v>
      </c>
      <c r="I209" s="49">
        <f>INDEX(PeakCalc!$L$10:$L$303,MATCH(tblPivotData[[#This Row],[Time]],PeakCalc!$G$10:$G$303,0))</f>
        <v>0</v>
      </c>
    </row>
    <row r="210" spans="1:9" x14ac:dyDescent="0.25">
      <c r="A210" t="s">
        <v>93</v>
      </c>
      <c r="B210" t="s">
        <v>95</v>
      </c>
      <c r="C210" t="s">
        <v>92</v>
      </c>
      <c r="D210" t="s">
        <v>89</v>
      </c>
      <c r="E210" t="s">
        <v>91</v>
      </c>
      <c r="F210" s="6">
        <v>0.54166666666666663</v>
      </c>
      <c r="G210">
        <v>6</v>
      </c>
      <c r="H210" s="6">
        <f>FLOOR(tblPivotData[[#This Row],[Time]],Summary!$B$6/1440)</f>
        <v>0.54166666666666663</v>
      </c>
      <c r="I210" s="49">
        <f>INDEX(PeakCalc!$L$10:$L$303,MATCH(tblPivotData[[#This Row],[Time]],PeakCalc!$G$10:$G$303,0))</f>
        <v>1</v>
      </c>
    </row>
    <row r="211" spans="1:9" x14ac:dyDescent="0.25">
      <c r="A211" t="s">
        <v>93</v>
      </c>
      <c r="B211" t="s">
        <v>95</v>
      </c>
      <c r="C211" t="s">
        <v>92</v>
      </c>
      <c r="D211" t="s">
        <v>89</v>
      </c>
      <c r="E211" t="s">
        <v>91</v>
      </c>
      <c r="F211" s="6">
        <v>0.55208333333333337</v>
      </c>
      <c r="G211">
        <v>6</v>
      </c>
      <c r="H211" s="6">
        <f>FLOOR(tblPivotData[[#This Row],[Time]],Summary!$B$6/1440)</f>
        <v>0.55208333333333326</v>
      </c>
      <c r="I211" s="49">
        <f>INDEX(PeakCalc!$L$10:$L$303,MATCH(tblPivotData[[#This Row],[Time]],PeakCalc!$G$10:$G$303,0))</f>
        <v>1</v>
      </c>
    </row>
    <row r="212" spans="1:9" x14ac:dyDescent="0.25">
      <c r="A212" t="s">
        <v>93</v>
      </c>
      <c r="B212" t="s">
        <v>95</v>
      </c>
      <c r="C212" t="s">
        <v>92</v>
      </c>
      <c r="D212" t="s">
        <v>89</v>
      </c>
      <c r="E212" t="s">
        <v>91</v>
      </c>
      <c r="F212" s="6">
        <v>0.5625</v>
      </c>
      <c r="G212">
        <v>6</v>
      </c>
      <c r="H212" s="6">
        <f>FLOOR(tblPivotData[[#This Row],[Time]],Summary!$B$6/1440)</f>
        <v>0.5625</v>
      </c>
      <c r="I212" s="49">
        <f>INDEX(PeakCalc!$L$10:$L$303,MATCH(tblPivotData[[#This Row],[Time]],PeakCalc!$G$10:$G$303,0))</f>
        <v>1</v>
      </c>
    </row>
    <row r="213" spans="1:9" x14ac:dyDescent="0.25">
      <c r="A213" t="s">
        <v>93</v>
      </c>
      <c r="B213" t="s">
        <v>95</v>
      </c>
      <c r="C213" t="s">
        <v>92</v>
      </c>
      <c r="D213" t="s">
        <v>89</v>
      </c>
      <c r="E213" t="s">
        <v>91</v>
      </c>
      <c r="F213" s="6">
        <v>0.57291666666666663</v>
      </c>
      <c r="G213">
        <v>5</v>
      </c>
      <c r="H213" s="6">
        <f>FLOOR(tblPivotData[[#This Row],[Time]],Summary!$B$6/1440)</f>
        <v>0.57291666666666663</v>
      </c>
      <c r="I213" s="49">
        <f>INDEX(PeakCalc!$L$10:$L$303,MATCH(tblPivotData[[#This Row],[Time]],PeakCalc!$G$10:$G$303,0))</f>
        <v>1</v>
      </c>
    </row>
    <row r="214" spans="1:9" x14ac:dyDescent="0.25">
      <c r="A214" t="s">
        <v>93</v>
      </c>
      <c r="B214" t="s">
        <v>95</v>
      </c>
      <c r="C214" t="s">
        <v>92</v>
      </c>
      <c r="D214" t="s">
        <v>89</v>
      </c>
      <c r="E214" t="s">
        <v>44</v>
      </c>
      <c r="F214" s="6">
        <v>0.66666666666666663</v>
      </c>
      <c r="G214">
        <v>4</v>
      </c>
      <c r="H214" s="6">
        <f>FLOOR(tblPivotData[[#This Row],[Time]],Summary!$B$6/1440)</f>
        <v>0.66666666666666663</v>
      </c>
      <c r="I214" s="49">
        <f>INDEX(PeakCalc!$L$10:$L$303,MATCH(tblPivotData[[#This Row],[Time]],PeakCalc!$G$10:$G$303,0))</f>
        <v>0</v>
      </c>
    </row>
    <row r="215" spans="1:9" x14ac:dyDescent="0.25">
      <c r="A215" t="s">
        <v>93</v>
      </c>
      <c r="B215" t="s">
        <v>95</v>
      </c>
      <c r="C215" t="s">
        <v>92</v>
      </c>
      <c r="D215" t="s">
        <v>89</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93</v>
      </c>
      <c r="B216" t="s">
        <v>95</v>
      </c>
      <c r="C216" t="s">
        <v>92</v>
      </c>
      <c r="D216" t="s">
        <v>89</v>
      </c>
      <c r="E216" t="s">
        <v>44</v>
      </c>
      <c r="F216" s="6">
        <v>0.6875</v>
      </c>
      <c r="G216">
        <v>2</v>
      </c>
      <c r="H216" s="6">
        <f>FLOOR(tblPivotData[[#This Row],[Time]],Summary!$B$6/1440)</f>
        <v>0.6875</v>
      </c>
      <c r="I216" s="49">
        <f>INDEX(PeakCalc!$L$10:$L$303,MATCH(tblPivotData[[#This Row],[Time]],PeakCalc!$G$10:$G$303,0))</f>
        <v>0</v>
      </c>
    </row>
    <row r="217" spans="1:9" x14ac:dyDescent="0.25">
      <c r="A217" t="s">
        <v>93</v>
      </c>
      <c r="B217" t="s">
        <v>95</v>
      </c>
      <c r="C217" t="s">
        <v>92</v>
      </c>
      <c r="D217" t="s">
        <v>89</v>
      </c>
      <c r="E217" t="s">
        <v>44</v>
      </c>
      <c r="F217" s="6">
        <v>0.69791666666666663</v>
      </c>
      <c r="G217">
        <v>4</v>
      </c>
      <c r="H217" s="6">
        <f>FLOOR(tblPivotData[[#This Row],[Time]],Summary!$B$6/1440)</f>
        <v>0.69791666666666663</v>
      </c>
      <c r="I217" s="49">
        <f>INDEX(PeakCalc!$L$10:$L$303,MATCH(tblPivotData[[#This Row],[Time]],PeakCalc!$G$10:$G$303,0))</f>
        <v>1</v>
      </c>
    </row>
    <row r="218" spans="1:9" x14ac:dyDescent="0.25">
      <c r="A218" t="s">
        <v>93</v>
      </c>
      <c r="B218" t="s">
        <v>95</v>
      </c>
      <c r="C218" t="s">
        <v>92</v>
      </c>
      <c r="D218" t="s">
        <v>89</v>
      </c>
      <c r="E218" t="s">
        <v>44</v>
      </c>
      <c r="F218" s="6">
        <v>0.70833333333333337</v>
      </c>
      <c r="G218">
        <v>2</v>
      </c>
      <c r="H218" s="6">
        <f>FLOOR(tblPivotData[[#This Row],[Time]],Summary!$B$6/1440)</f>
        <v>0.70833333333333326</v>
      </c>
      <c r="I218" s="49">
        <f>INDEX(PeakCalc!$L$10:$L$303,MATCH(tblPivotData[[#This Row],[Time]],PeakCalc!$G$10:$G$303,0))</f>
        <v>1</v>
      </c>
    </row>
    <row r="219" spans="1:9" x14ac:dyDescent="0.25">
      <c r="A219" t="s">
        <v>93</v>
      </c>
      <c r="B219" t="s">
        <v>95</v>
      </c>
      <c r="C219" t="s">
        <v>92</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95</v>
      </c>
      <c r="C220" t="s">
        <v>92</v>
      </c>
      <c r="D220" t="s">
        <v>89</v>
      </c>
      <c r="E220" t="s">
        <v>44</v>
      </c>
      <c r="F220" s="6">
        <v>0.72916666666666663</v>
      </c>
      <c r="G220">
        <v>2</v>
      </c>
      <c r="H220" s="6">
        <f>FLOOR(tblPivotData[[#This Row],[Time]],Summary!$B$6/1440)</f>
        <v>0.72916666666666663</v>
      </c>
      <c r="I220" s="49">
        <f>INDEX(PeakCalc!$L$10:$L$303,MATCH(tblPivotData[[#This Row],[Time]],PeakCalc!$G$10:$G$303,0))</f>
        <v>1</v>
      </c>
    </row>
    <row r="221" spans="1:9" x14ac:dyDescent="0.25">
      <c r="A221" t="s">
        <v>93</v>
      </c>
      <c r="B221" t="s">
        <v>95</v>
      </c>
      <c r="C221" t="s">
        <v>92</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93</v>
      </c>
      <c r="B222" t="s">
        <v>95</v>
      </c>
      <c r="C222" t="s">
        <v>92</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95</v>
      </c>
      <c r="C223" t="s">
        <v>92</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95</v>
      </c>
      <c r="C224" t="s">
        <v>92</v>
      </c>
      <c r="D224" t="s">
        <v>90</v>
      </c>
      <c r="E224" t="s">
        <v>43</v>
      </c>
      <c r="F224" s="6">
        <v>0.3125</v>
      </c>
      <c r="G224">
        <v>1</v>
      </c>
      <c r="H224" s="6">
        <f>FLOOR(tblPivotData[[#This Row],[Time]],Summary!$B$6/1440)</f>
        <v>0.3125</v>
      </c>
      <c r="I224" s="49">
        <f>INDEX(PeakCalc!$L$10:$L$303,MATCH(tblPivotData[[#This Row],[Time]],PeakCalc!$G$10:$G$303,0))</f>
        <v>0</v>
      </c>
    </row>
    <row r="225" spans="1:9" x14ac:dyDescent="0.25">
      <c r="A225" t="s">
        <v>93</v>
      </c>
      <c r="B225" t="s">
        <v>95</v>
      </c>
      <c r="C225" t="s">
        <v>92</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95</v>
      </c>
      <c r="C226" t="s">
        <v>92</v>
      </c>
      <c r="D226" t="s">
        <v>90</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93</v>
      </c>
      <c r="B227" t="s">
        <v>95</v>
      </c>
      <c r="C227" t="s">
        <v>92</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95</v>
      </c>
      <c r="C228" t="s">
        <v>92</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95</v>
      </c>
      <c r="C229" t="s">
        <v>92</v>
      </c>
      <c r="D229" t="s">
        <v>90</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93</v>
      </c>
      <c r="B230" t="s">
        <v>95</v>
      </c>
      <c r="C230" t="s">
        <v>92</v>
      </c>
      <c r="D230" t="s">
        <v>90</v>
      </c>
      <c r="E230" t="s">
        <v>91</v>
      </c>
      <c r="F230" s="6">
        <v>0.54166666666666663</v>
      </c>
      <c r="G230">
        <v>1</v>
      </c>
      <c r="H230" s="6">
        <f>FLOOR(tblPivotData[[#This Row],[Time]],Summary!$B$6/1440)</f>
        <v>0.54166666666666663</v>
      </c>
      <c r="I230" s="49">
        <f>INDEX(PeakCalc!$L$10:$L$303,MATCH(tblPivotData[[#This Row],[Time]],PeakCalc!$G$10:$G$303,0))</f>
        <v>1</v>
      </c>
    </row>
    <row r="231" spans="1:9" x14ac:dyDescent="0.25">
      <c r="A231" t="s">
        <v>93</v>
      </c>
      <c r="B231" t="s">
        <v>95</v>
      </c>
      <c r="C231" t="s">
        <v>92</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95</v>
      </c>
      <c r="C232" t="s">
        <v>92</v>
      </c>
      <c r="D232" t="s">
        <v>90</v>
      </c>
      <c r="E232" t="s">
        <v>91</v>
      </c>
      <c r="F232" s="6">
        <v>0.5625</v>
      </c>
      <c r="G232">
        <v>1</v>
      </c>
      <c r="H232" s="6">
        <f>FLOOR(tblPivotData[[#This Row],[Time]],Summary!$B$6/1440)</f>
        <v>0.5625</v>
      </c>
      <c r="I232" s="49">
        <f>INDEX(PeakCalc!$L$10:$L$303,MATCH(tblPivotData[[#This Row],[Time]],PeakCalc!$G$10:$G$303,0))</f>
        <v>1</v>
      </c>
    </row>
    <row r="233" spans="1:9" x14ac:dyDescent="0.25">
      <c r="A233" t="s">
        <v>93</v>
      </c>
      <c r="B233" t="s">
        <v>95</v>
      </c>
      <c r="C233" t="s">
        <v>92</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95</v>
      </c>
      <c r="C234" t="s">
        <v>92</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95</v>
      </c>
      <c r="C235" t="s">
        <v>92</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95</v>
      </c>
      <c r="C236" t="s">
        <v>92</v>
      </c>
      <c r="D236" t="s">
        <v>90</v>
      </c>
      <c r="E236" t="s">
        <v>44</v>
      </c>
      <c r="F236" s="6">
        <v>0.6875</v>
      </c>
      <c r="G236">
        <v>0</v>
      </c>
      <c r="H236" s="6">
        <f>FLOOR(tblPivotData[[#This Row],[Time]],Summary!$B$6/1440)</f>
        <v>0.6875</v>
      </c>
      <c r="I236" s="49">
        <f>INDEX(PeakCalc!$L$10:$L$303,MATCH(tblPivotData[[#This Row],[Time]],PeakCalc!$G$10:$G$303,0))</f>
        <v>0</v>
      </c>
    </row>
    <row r="237" spans="1:9" x14ac:dyDescent="0.25">
      <c r="A237" t="s">
        <v>93</v>
      </c>
      <c r="B237" t="s">
        <v>95</v>
      </c>
      <c r="C237" t="s">
        <v>92</v>
      </c>
      <c r="D237" t="s">
        <v>90</v>
      </c>
      <c r="E237" t="s">
        <v>44</v>
      </c>
      <c r="F237" s="6">
        <v>0.69791666666666663</v>
      </c>
      <c r="G237">
        <v>5</v>
      </c>
      <c r="H237" s="6">
        <f>FLOOR(tblPivotData[[#This Row],[Time]],Summary!$B$6/1440)</f>
        <v>0.69791666666666663</v>
      </c>
      <c r="I237" s="49">
        <f>INDEX(PeakCalc!$L$10:$L$303,MATCH(tblPivotData[[#This Row],[Time]],PeakCalc!$G$10:$G$303,0))</f>
        <v>1</v>
      </c>
    </row>
    <row r="238" spans="1:9" x14ac:dyDescent="0.25">
      <c r="A238" t="s">
        <v>93</v>
      </c>
      <c r="B238" t="s">
        <v>95</v>
      </c>
      <c r="C238" t="s">
        <v>92</v>
      </c>
      <c r="D238" t="s">
        <v>90</v>
      </c>
      <c r="E238" t="s">
        <v>44</v>
      </c>
      <c r="F238" s="6">
        <v>0.70833333333333337</v>
      </c>
      <c r="G238">
        <v>3</v>
      </c>
      <c r="H238" s="6">
        <f>FLOOR(tblPivotData[[#This Row],[Time]],Summary!$B$6/1440)</f>
        <v>0.70833333333333326</v>
      </c>
      <c r="I238" s="49">
        <f>INDEX(PeakCalc!$L$10:$L$303,MATCH(tblPivotData[[#This Row],[Time]],PeakCalc!$G$10:$G$303,0))</f>
        <v>1</v>
      </c>
    </row>
    <row r="239" spans="1:9" x14ac:dyDescent="0.25">
      <c r="A239" t="s">
        <v>93</v>
      </c>
      <c r="B239" t="s">
        <v>95</v>
      </c>
      <c r="C239" t="s">
        <v>92</v>
      </c>
      <c r="D239" t="s">
        <v>90</v>
      </c>
      <c r="E239" t="s">
        <v>44</v>
      </c>
      <c r="F239" s="6">
        <v>0.71875</v>
      </c>
      <c r="G239">
        <v>2</v>
      </c>
      <c r="H239" s="6">
        <f>FLOOR(tblPivotData[[#This Row],[Time]],Summary!$B$6/1440)</f>
        <v>0.71875</v>
      </c>
      <c r="I239" s="49">
        <f>INDEX(PeakCalc!$L$10:$L$303,MATCH(tblPivotData[[#This Row],[Time]],PeakCalc!$G$10:$G$303,0))</f>
        <v>1</v>
      </c>
    </row>
    <row r="240" spans="1:9" x14ac:dyDescent="0.25">
      <c r="A240" t="s">
        <v>93</v>
      </c>
      <c r="B240" t="s">
        <v>95</v>
      </c>
      <c r="C240" t="s">
        <v>92</v>
      </c>
      <c r="D240" t="s">
        <v>90</v>
      </c>
      <c r="E240" t="s">
        <v>44</v>
      </c>
      <c r="F240" s="6">
        <v>0.72916666666666663</v>
      </c>
      <c r="G240">
        <v>4</v>
      </c>
      <c r="H240" s="6">
        <f>FLOOR(tblPivotData[[#This Row],[Time]],Summary!$B$6/1440)</f>
        <v>0.72916666666666663</v>
      </c>
      <c r="I240" s="49">
        <f>INDEX(PeakCalc!$L$10:$L$303,MATCH(tblPivotData[[#This Row],[Time]],PeakCalc!$G$10:$G$303,0))</f>
        <v>1</v>
      </c>
    </row>
    <row r="241" spans="1:9" x14ac:dyDescent="0.25">
      <c r="A241" t="s">
        <v>93</v>
      </c>
      <c r="B241" t="s">
        <v>95</v>
      </c>
      <c r="C241" t="s">
        <v>92</v>
      </c>
      <c r="D241" t="s">
        <v>90</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97</v>
      </c>
      <c r="B242" t="s">
        <v>100</v>
      </c>
      <c r="C242" t="s">
        <v>92</v>
      </c>
      <c r="D242" t="s">
        <v>79</v>
      </c>
      <c r="E242" t="s">
        <v>43</v>
      </c>
      <c r="F242" s="6">
        <v>0.29166666666666669</v>
      </c>
      <c r="G242">
        <v>2</v>
      </c>
      <c r="H242" s="6">
        <f>FLOOR(tblPivotData[[#This Row],[Time]],Summary!$B$6/1440)</f>
        <v>0.29166666666666663</v>
      </c>
      <c r="I242" s="49">
        <f>INDEX(PeakCalc!$L$10:$L$303,MATCH(tblPivotData[[#This Row],[Time]],PeakCalc!$G$10:$G$303,0))</f>
        <v>0</v>
      </c>
    </row>
    <row r="243" spans="1:9" x14ac:dyDescent="0.25">
      <c r="A243" t="s">
        <v>97</v>
      </c>
      <c r="B243" t="s">
        <v>100</v>
      </c>
      <c r="C243" t="s">
        <v>92</v>
      </c>
      <c r="D243" t="s">
        <v>79</v>
      </c>
      <c r="E243" t="s">
        <v>43</v>
      </c>
      <c r="F243" s="6">
        <v>0.30208333333333331</v>
      </c>
      <c r="G243">
        <v>5</v>
      </c>
      <c r="H243" s="6">
        <f>FLOOR(tblPivotData[[#This Row],[Time]],Summary!$B$6/1440)</f>
        <v>0.30208333333333331</v>
      </c>
      <c r="I243" s="49">
        <f>INDEX(PeakCalc!$L$10:$L$303,MATCH(tblPivotData[[#This Row],[Time]],PeakCalc!$G$10:$G$303,0))</f>
        <v>0</v>
      </c>
    </row>
    <row r="244" spans="1:9" x14ac:dyDescent="0.25">
      <c r="A244" t="s">
        <v>97</v>
      </c>
      <c r="B244" t="s">
        <v>100</v>
      </c>
      <c r="C244" t="s">
        <v>92</v>
      </c>
      <c r="D244" t="s">
        <v>79</v>
      </c>
      <c r="E244" t="s">
        <v>43</v>
      </c>
      <c r="F244" s="6">
        <v>0.3125</v>
      </c>
      <c r="G244">
        <v>7</v>
      </c>
      <c r="H244" s="6">
        <f>FLOOR(tblPivotData[[#This Row],[Time]],Summary!$B$6/1440)</f>
        <v>0.3125</v>
      </c>
      <c r="I244" s="49">
        <f>INDEX(PeakCalc!$L$10:$L$303,MATCH(tblPivotData[[#This Row],[Time]],PeakCalc!$G$10:$G$303,0))</f>
        <v>0</v>
      </c>
    </row>
    <row r="245" spans="1:9" x14ac:dyDescent="0.25">
      <c r="A245" t="s">
        <v>97</v>
      </c>
      <c r="B245" t="s">
        <v>100</v>
      </c>
      <c r="C245" t="s">
        <v>92</v>
      </c>
      <c r="D245" t="s">
        <v>79</v>
      </c>
      <c r="E245" t="s">
        <v>43</v>
      </c>
      <c r="F245" s="6">
        <v>0.32291666666666669</v>
      </c>
      <c r="G245">
        <v>9</v>
      </c>
      <c r="H245" s="6">
        <f>FLOOR(tblPivotData[[#This Row],[Time]],Summary!$B$6/1440)</f>
        <v>0.32291666666666663</v>
      </c>
      <c r="I245" s="49">
        <f>INDEX(PeakCalc!$L$10:$L$303,MATCH(tblPivotData[[#This Row],[Time]],PeakCalc!$G$10:$G$303,0))</f>
        <v>1</v>
      </c>
    </row>
    <row r="246" spans="1:9" x14ac:dyDescent="0.25">
      <c r="A246" t="s">
        <v>97</v>
      </c>
      <c r="B246" t="s">
        <v>100</v>
      </c>
      <c r="C246" t="s">
        <v>92</v>
      </c>
      <c r="D246" t="s">
        <v>79</v>
      </c>
      <c r="E246" t="s">
        <v>43</v>
      </c>
      <c r="F246" s="6">
        <v>0.33333333333333331</v>
      </c>
      <c r="G246">
        <v>5</v>
      </c>
      <c r="H246" s="6">
        <f>FLOOR(tblPivotData[[#This Row],[Time]],Summary!$B$6/1440)</f>
        <v>0.33333333333333331</v>
      </c>
      <c r="I246" s="49">
        <f>INDEX(PeakCalc!$L$10:$L$303,MATCH(tblPivotData[[#This Row],[Time]],PeakCalc!$G$10:$G$303,0))</f>
        <v>1</v>
      </c>
    </row>
    <row r="247" spans="1:9" x14ac:dyDescent="0.25">
      <c r="A247" t="s">
        <v>97</v>
      </c>
      <c r="B247" t="s">
        <v>100</v>
      </c>
      <c r="C247" t="s">
        <v>92</v>
      </c>
      <c r="D247" t="s">
        <v>79</v>
      </c>
      <c r="E247" t="s">
        <v>43</v>
      </c>
      <c r="F247" s="6">
        <v>0.34375</v>
      </c>
      <c r="G247">
        <v>5</v>
      </c>
      <c r="H247" s="6">
        <f>FLOOR(tblPivotData[[#This Row],[Time]],Summary!$B$6/1440)</f>
        <v>0.34375</v>
      </c>
      <c r="I247" s="49">
        <f>INDEX(PeakCalc!$L$10:$L$303,MATCH(tblPivotData[[#This Row],[Time]],PeakCalc!$G$10:$G$303,0))</f>
        <v>1</v>
      </c>
    </row>
    <row r="248" spans="1:9" x14ac:dyDescent="0.25">
      <c r="A248" t="s">
        <v>97</v>
      </c>
      <c r="B248" t="s">
        <v>100</v>
      </c>
      <c r="C248" t="s">
        <v>92</v>
      </c>
      <c r="D248" t="s">
        <v>79</v>
      </c>
      <c r="E248" t="s">
        <v>43</v>
      </c>
      <c r="F248" s="6">
        <v>0.35416666666666669</v>
      </c>
      <c r="G248">
        <v>5</v>
      </c>
      <c r="H248" s="6">
        <f>FLOOR(tblPivotData[[#This Row],[Time]],Summary!$B$6/1440)</f>
        <v>0.35416666666666663</v>
      </c>
      <c r="I248" s="49">
        <f>INDEX(PeakCalc!$L$10:$L$303,MATCH(tblPivotData[[#This Row],[Time]],PeakCalc!$G$10:$G$303,0))</f>
        <v>1</v>
      </c>
    </row>
    <row r="249" spans="1:9" x14ac:dyDescent="0.25">
      <c r="A249" t="s">
        <v>97</v>
      </c>
      <c r="B249" t="s">
        <v>100</v>
      </c>
      <c r="C249" t="s">
        <v>92</v>
      </c>
      <c r="D249" t="s">
        <v>79</v>
      </c>
      <c r="E249" t="s">
        <v>43</v>
      </c>
      <c r="F249" s="6">
        <v>0.36458333333333331</v>
      </c>
      <c r="G249">
        <v>8</v>
      </c>
      <c r="H249" s="6">
        <f>FLOOR(tblPivotData[[#This Row],[Time]],Summary!$B$6/1440)</f>
        <v>0.36458333333333331</v>
      </c>
      <c r="I249" s="49">
        <f>INDEX(PeakCalc!$L$10:$L$303,MATCH(tblPivotData[[#This Row],[Time]],PeakCalc!$G$10:$G$303,0))</f>
        <v>0</v>
      </c>
    </row>
    <row r="250" spans="1:9" x14ac:dyDescent="0.25">
      <c r="A250" t="s">
        <v>97</v>
      </c>
      <c r="B250" t="s">
        <v>100</v>
      </c>
      <c r="C250" t="s">
        <v>92</v>
      </c>
      <c r="D250" t="s">
        <v>79</v>
      </c>
      <c r="E250" t="s">
        <v>91</v>
      </c>
      <c r="F250" s="6">
        <v>0.54166666666666663</v>
      </c>
      <c r="G250">
        <v>1</v>
      </c>
      <c r="H250" s="6">
        <f>FLOOR(tblPivotData[[#This Row],[Time]],Summary!$B$6/1440)</f>
        <v>0.54166666666666663</v>
      </c>
      <c r="I250" s="49">
        <f>INDEX(PeakCalc!$L$10:$L$303,MATCH(tblPivotData[[#This Row],[Time]],PeakCalc!$G$10:$G$303,0))</f>
        <v>1</v>
      </c>
    </row>
    <row r="251" spans="1:9" x14ac:dyDescent="0.25">
      <c r="A251" t="s">
        <v>97</v>
      </c>
      <c r="B251" t="s">
        <v>100</v>
      </c>
      <c r="C251" t="s">
        <v>92</v>
      </c>
      <c r="D251" t="s">
        <v>79</v>
      </c>
      <c r="E251" t="s">
        <v>91</v>
      </c>
      <c r="F251" s="6">
        <v>0.55208333333333337</v>
      </c>
      <c r="G251">
        <v>5</v>
      </c>
      <c r="H251" s="6">
        <f>FLOOR(tblPivotData[[#This Row],[Time]],Summary!$B$6/1440)</f>
        <v>0.55208333333333326</v>
      </c>
      <c r="I251" s="49">
        <f>INDEX(PeakCalc!$L$10:$L$303,MATCH(tblPivotData[[#This Row],[Time]],PeakCalc!$G$10:$G$303,0))</f>
        <v>1</v>
      </c>
    </row>
    <row r="252" spans="1:9" x14ac:dyDescent="0.25">
      <c r="A252" t="s">
        <v>97</v>
      </c>
      <c r="B252" t="s">
        <v>100</v>
      </c>
      <c r="C252" t="s">
        <v>92</v>
      </c>
      <c r="D252" t="s">
        <v>79</v>
      </c>
      <c r="E252" t="s">
        <v>91</v>
      </c>
      <c r="F252" s="6">
        <v>0.5625</v>
      </c>
      <c r="G252">
        <v>6</v>
      </c>
      <c r="H252" s="6">
        <f>FLOOR(tblPivotData[[#This Row],[Time]],Summary!$B$6/1440)</f>
        <v>0.5625</v>
      </c>
      <c r="I252" s="49">
        <f>INDEX(PeakCalc!$L$10:$L$303,MATCH(tblPivotData[[#This Row],[Time]],PeakCalc!$G$10:$G$303,0))</f>
        <v>1</v>
      </c>
    </row>
    <row r="253" spans="1:9" x14ac:dyDescent="0.25">
      <c r="A253" t="s">
        <v>97</v>
      </c>
      <c r="B253" t="s">
        <v>100</v>
      </c>
      <c r="C253" t="s">
        <v>92</v>
      </c>
      <c r="D253" t="s">
        <v>79</v>
      </c>
      <c r="E253" t="s">
        <v>91</v>
      </c>
      <c r="F253" s="6">
        <v>0.57291666666666663</v>
      </c>
      <c r="G253">
        <v>4</v>
      </c>
      <c r="H253" s="6">
        <f>FLOOR(tblPivotData[[#This Row],[Time]],Summary!$B$6/1440)</f>
        <v>0.57291666666666663</v>
      </c>
      <c r="I253" s="49">
        <f>INDEX(PeakCalc!$L$10:$L$303,MATCH(tblPivotData[[#This Row],[Time]],PeakCalc!$G$10:$G$303,0))</f>
        <v>1</v>
      </c>
    </row>
    <row r="254" spans="1:9" x14ac:dyDescent="0.25">
      <c r="A254" t="s">
        <v>97</v>
      </c>
      <c r="B254" t="s">
        <v>100</v>
      </c>
      <c r="C254" t="s">
        <v>92</v>
      </c>
      <c r="D254" t="s">
        <v>79</v>
      </c>
      <c r="E254" t="s">
        <v>44</v>
      </c>
      <c r="F254" s="6">
        <v>0.66666666666666663</v>
      </c>
      <c r="G254">
        <v>5</v>
      </c>
      <c r="H254" s="6">
        <f>FLOOR(tblPivotData[[#This Row],[Time]],Summary!$B$6/1440)</f>
        <v>0.66666666666666663</v>
      </c>
      <c r="I254" s="49">
        <f>INDEX(PeakCalc!$L$10:$L$303,MATCH(tblPivotData[[#This Row],[Time]],PeakCalc!$G$10:$G$303,0))</f>
        <v>0</v>
      </c>
    </row>
    <row r="255" spans="1:9" x14ac:dyDescent="0.25">
      <c r="A255" t="s">
        <v>97</v>
      </c>
      <c r="B255" t="s">
        <v>100</v>
      </c>
      <c r="C255" t="s">
        <v>92</v>
      </c>
      <c r="D255" t="s">
        <v>79</v>
      </c>
      <c r="E255" t="s">
        <v>44</v>
      </c>
      <c r="F255" s="6">
        <v>0.67708333333333337</v>
      </c>
      <c r="G255">
        <v>3</v>
      </c>
      <c r="H255" s="6">
        <f>FLOOR(tblPivotData[[#This Row],[Time]],Summary!$B$6/1440)</f>
        <v>0.67708333333333326</v>
      </c>
      <c r="I255" s="49">
        <f>INDEX(PeakCalc!$L$10:$L$303,MATCH(tblPivotData[[#This Row],[Time]],PeakCalc!$G$10:$G$303,0))</f>
        <v>0</v>
      </c>
    </row>
    <row r="256" spans="1:9" x14ac:dyDescent="0.25">
      <c r="A256" t="s">
        <v>97</v>
      </c>
      <c r="B256" t="s">
        <v>100</v>
      </c>
      <c r="C256" t="s">
        <v>92</v>
      </c>
      <c r="D256" t="s">
        <v>79</v>
      </c>
      <c r="E256" t="s">
        <v>44</v>
      </c>
      <c r="F256" s="6">
        <v>0.6875</v>
      </c>
      <c r="G256">
        <v>5</v>
      </c>
      <c r="H256" s="6">
        <f>FLOOR(tblPivotData[[#This Row],[Time]],Summary!$B$6/1440)</f>
        <v>0.6875</v>
      </c>
      <c r="I256" s="49">
        <f>INDEX(PeakCalc!$L$10:$L$303,MATCH(tblPivotData[[#This Row],[Time]],PeakCalc!$G$10:$G$303,0))</f>
        <v>0</v>
      </c>
    </row>
    <row r="257" spans="1:9" x14ac:dyDescent="0.25">
      <c r="A257" t="s">
        <v>97</v>
      </c>
      <c r="B257" t="s">
        <v>100</v>
      </c>
      <c r="C257" t="s">
        <v>92</v>
      </c>
      <c r="D257" t="s">
        <v>79</v>
      </c>
      <c r="E257" t="s">
        <v>44</v>
      </c>
      <c r="F257" s="6">
        <v>0.69791666666666663</v>
      </c>
      <c r="G257">
        <v>3</v>
      </c>
      <c r="H257" s="6">
        <f>FLOOR(tblPivotData[[#This Row],[Time]],Summary!$B$6/1440)</f>
        <v>0.69791666666666663</v>
      </c>
      <c r="I257" s="49">
        <f>INDEX(PeakCalc!$L$10:$L$303,MATCH(tblPivotData[[#This Row],[Time]],PeakCalc!$G$10:$G$303,0))</f>
        <v>1</v>
      </c>
    </row>
    <row r="258" spans="1:9" x14ac:dyDescent="0.25">
      <c r="A258" t="s">
        <v>97</v>
      </c>
      <c r="B258" t="s">
        <v>100</v>
      </c>
      <c r="C258" t="s">
        <v>92</v>
      </c>
      <c r="D258" t="s">
        <v>79</v>
      </c>
      <c r="E258" t="s">
        <v>44</v>
      </c>
      <c r="F258" s="6">
        <v>0.70833333333333337</v>
      </c>
      <c r="G258">
        <v>2</v>
      </c>
      <c r="H258" s="6">
        <f>FLOOR(tblPivotData[[#This Row],[Time]],Summary!$B$6/1440)</f>
        <v>0.70833333333333326</v>
      </c>
      <c r="I258" s="49">
        <f>INDEX(PeakCalc!$L$10:$L$303,MATCH(tblPivotData[[#This Row],[Time]],PeakCalc!$G$10:$G$303,0))</f>
        <v>1</v>
      </c>
    </row>
    <row r="259" spans="1:9" x14ac:dyDescent="0.25">
      <c r="A259" t="s">
        <v>97</v>
      </c>
      <c r="B259" t="s">
        <v>100</v>
      </c>
      <c r="C259" t="s">
        <v>92</v>
      </c>
      <c r="D259" t="s">
        <v>79</v>
      </c>
      <c r="E259" t="s">
        <v>44</v>
      </c>
      <c r="F259" s="6">
        <v>0.71875</v>
      </c>
      <c r="G259">
        <v>3</v>
      </c>
      <c r="H259" s="6">
        <f>FLOOR(tblPivotData[[#This Row],[Time]],Summary!$B$6/1440)</f>
        <v>0.71875</v>
      </c>
      <c r="I259" s="49">
        <f>INDEX(PeakCalc!$L$10:$L$303,MATCH(tblPivotData[[#This Row],[Time]],PeakCalc!$G$10:$G$303,0))</f>
        <v>1</v>
      </c>
    </row>
    <row r="260" spans="1:9" x14ac:dyDescent="0.25">
      <c r="A260" t="s">
        <v>97</v>
      </c>
      <c r="B260" t="s">
        <v>100</v>
      </c>
      <c r="C260" t="s">
        <v>92</v>
      </c>
      <c r="D260" t="s">
        <v>79</v>
      </c>
      <c r="E260" t="s">
        <v>44</v>
      </c>
      <c r="F260" s="6">
        <v>0.72916666666666663</v>
      </c>
      <c r="G260">
        <v>4</v>
      </c>
      <c r="H260" s="6">
        <f>FLOOR(tblPivotData[[#This Row],[Time]],Summary!$B$6/1440)</f>
        <v>0.72916666666666663</v>
      </c>
      <c r="I260" s="49">
        <f>INDEX(PeakCalc!$L$10:$L$303,MATCH(tblPivotData[[#This Row],[Time]],PeakCalc!$G$10:$G$303,0))</f>
        <v>1</v>
      </c>
    </row>
    <row r="261" spans="1:9" x14ac:dyDescent="0.25">
      <c r="A261" t="s">
        <v>97</v>
      </c>
      <c r="B261" t="s">
        <v>100</v>
      </c>
      <c r="C261" t="s">
        <v>92</v>
      </c>
      <c r="D261" t="s">
        <v>79</v>
      </c>
      <c r="E261" t="s">
        <v>44</v>
      </c>
      <c r="F261" s="6">
        <v>0.73958333333333337</v>
      </c>
      <c r="G261">
        <v>3</v>
      </c>
      <c r="H261" s="6">
        <f>FLOOR(tblPivotData[[#This Row],[Time]],Summary!$B$6/1440)</f>
        <v>0.73958333333333326</v>
      </c>
      <c r="I261" s="49">
        <f>INDEX(PeakCalc!$L$10:$L$303,MATCH(tblPivotData[[#This Row],[Time]],PeakCalc!$G$10:$G$303,0))</f>
        <v>0</v>
      </c>
    </row>
    <row r="262" spans="1:9" x14ac:dyDescent="0.25">
      <c r="A262" t="s">
        <v>97</v>
      </c>
      <c r="B262" t="s">
        <v>100</v>
      </c>
      <c r="C262" t="s">
        <v>92</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97</v>
      </c>
      <c r="B263" t="s">
        <v>100</v>
      </c>
      <c r="C263" t="s">
        <v>92</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97</v>
      </c>
      <c r="B264" t="s">
        <v>100</v>
      </c>
      <c r="C264" t="s">
        <v>92</v>
      </c>
      <c r="D264" t="s">
        <v>89</v>
      </c>
      <c r="E264" t="s">
        <v>43</v>
      </c>
      <c r="F264" s="6">
        <v>0.3125</v>
      </c>
      <c r="G264">
        <v>0</v>
      </c>
      <c r="H264" s="6">
        <f>FLOOR(tblPivotData[[#This Row],[Time]],Summary!$B$6/1440)</f>
        <v>0.3125</v>
      </c>
      <c r="I264" s="49">
        <f>INDEX(PeakCalc!$L$10:$L$303,MATCH(tblPivotData[[#This Row],[Time]],PeakCalc!$G$10:$G$303,0))</f>
        <v>0</v>
      </c>
    </row>
    <row r="265" spans="1:9" x14ac:dyDescent="0.25">
      <c r="A265" t="s">
        <v>97</v>
      </c>
      <c r="B265" t="s">
        <v>100</v>
      </c>
      <c r="C265" t="s">
        <v>92</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97</v>
      </c>
      <c r="B266" t="s">
        <v>100</v>
      </c>
      <c r="C266" t="s">
        <v>92</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97</v>
      </c>
      <c r="B267" t="s">
        <v>100</v>
      </c>
      <c r="C267" t="s">
        <v>92</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97</v>
      </c>
      <c r="B268" t="s">
        <v>100</v>
      </c>
      <c r="C268" t="s">
        <v>92</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97</v>
      </c>
      <c r="B269" t="s">
        <v>100</v>
      </c>
      <c r="C269" t="s">
        <v>92</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97</v>
      </c>
      <c r="B270" t="s">
        <v>100</v>
      </c>
      <c r="C270" t="s">
        <v>92</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97</v>
      </c>
      <c r="B271" t="s">
        <v>100</v>
      </c>
      <c r="C271" t="s">
        <v>92</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97</v>
      </c>
      <c r="B272" t="s">
        <v>100</v>
      </c>
      <c r="C272" t="s">
        <v>92</v>
      </c>
      <c r="D272" t="s">
        <v>89</v>
      </c>
      <c r="E272" t="s">
        <v>91</v>
      </c>
      <c r="F272" s="6">
        <v>0.5625</v>
      </c>
      <c r="G272">
        <v>1</v>
      </c>
      <c r="H272" s="6">
        <f>FLOOR(tblPivotData[[#This Row],[Time]],Summary!$B$6/1440)</f>
        <v>0.5625</v>
      </c>
      <c r="I272" s="49">
        <f>INDEX(PeakCalc!$L$10:$L$303,MATCH(tblPivotData[[#This Row],[Time]],PeakCalc!$G$10:$G$303,0))</f>
        <v>1</v>
      </c>
    </row>
    <row r="273" spans="1:9" x14ac:dyDescent="0.25">
      <c r="A273" t="s">
        <v>97</v>
      </c>
      <c r="B273" t="s">
        <v>100</v>
      </c>
      <c r="C273" t="s">
        <v>92</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97</v>
      </c>
      <c r="B274" t="s">
        <v>100</v>
      </c>
      <c r="C274" t="s">
        <v>92</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97</v>
      </c>
      <c r="B275" t="s">
        <v>100</v>
      </c>
      <c r="C275" t="s">
        <v>92</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97</v>
      </c>
      <c r="B276" t="s">
        <v>100</v>
      </c>
      <c r="C276" t="s">
        <v>92</v>
      </c>
      <c r="D276" t="s">
        <v>89</v>
      </c>
      <c r="E276" t="s">
        <v>44</v>
      </c>
      <c r="F276" s="6">
        <v>0.6875</v>
      </c>
      <c r="G276">
        <v>0</v>
      </c>
      <c r="H276" s="6">
        <f>FLOOR(tblPivotData[[#This Row],[Time]],Summary!$B$6/1440)</f>
        <v>0.6875</v>
      </c>
      <c r="I276" s="49">
        <f>INDEX(PeakCalc!$L$10:$L$303,MATCH(tblPivotData[[#This Row],[Time]],PeakCalc!$G$10:$G$303,0))</f>
        <v>0</v>
      </c>
    </row>
    <row r="277" spans="1:9" x14ac:dyDescent="0.25">
      <c r="A277" t="s">
        <v>97</v>
      </c>
      <c r="B277" t="s">
        <v>100</v>
      </c>
      <c r="C277" t="s">
        <v>92</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97</v>
      </c>
      <c r="B278" t="s">
        <v>100</v>
      </c>
      <c r="C278" t="s">
        <v>92</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97</v>
      </c>
      <c r="B279" t="s">
        <v>100</v>
      </c>
      <c r="C279" t="s">
        <v>92</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97</v>
      </c>
      <c r="B280" t="s">
        <v>100</v>
      </c>
      <c r="C280" t="s">
        <v>92</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97</v>
      </c>
      <c r="B281" t="s">
        <v>100</v>
      </c>
      <c r="C281" t="s">
        <v>92</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97</v>
      </c>
      <c r="B282" t="s">
        <v>100</v>
      </c>
      <c r="C282" t="s">
        <v>92</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97</v>
      </c>
      <c r="B283" t="s">
        <v>100</v>
      </c>
      <c r="C283" t="s">
        <v>92</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97</v>
      </c>
      <c r="B284" t="s">
        <v>100</v>
      </c>
      <c r="C284" t="s">
        <v>92</v>
      </c>
      <c r="D284" t="s">
        <v>90</v>
      </c>
      <c r="E284" t="s">
        <v>43</v>
      </c>
      <c r="F284" s="6">
        <v>0.3125</v>
      </c>
      <c r="G284">
        <v>0</v>
      </c>
      <c r="H284" s="6">
        <f>FLOOR(tblPivotData[[#This Row],[Time]],Summary!$B$6/1440)</f>
        <v>0.3125</v>
      </c>
      <c r="I284" s="49">
        <f>INDEX(PeakCalc!$L$10:$L$303,MATCH(tblPivotData[[#This Row],[Time]],PeakCalc!$G$10:$G$303,0))</f>
        <v>0</v>
      </c>
    </row>
    <row r="285" spans="1:9" x14ac:dyDescent="0.25">
      <c r="A285" t="s">
        <v>97</v>
      </c>
      <c r="B285" t="s">
        <v>100</v>
      </c>
      <c r="C285" t="s">
        <v>92</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97</v>
      </c>
      <c r="B286" t="s">
        <v>100</v>
      </c>
      <c r="C286" t="s">
        <v>92</v>
      </c>
      <c r="D286" t="s">
        <v>90</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97</v>
      </c>
      <c r="B287" t="s">
        <v>100</v>
      </c>
      <c r="C287" t="s">
        <v>92</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97</v>
      </c>
      <c r="B288" t="s">
        <v>100</v>
      </c>
      <c r="C288" t="s">
        <v>92</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97</v>
      </c>
      <c r="B289" t="s">
        <v>100</v>
      </c>
      <c r="C289" t="s">
        <v>92</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97</v>
      </c>
      <c r="B290" t="s">
        <v>100</v>
      </c>
      <c r="C290" t="s">
        <v>92</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97</v>
      </c>
      <c r="B291" t="s">
        <v>100</v>
      </c>
      <c r="C291" t="s">
        <v>92</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97</v>
      </c>
      <c r="B292" t="s">
        <v>100</v>
      </c>
      <c r="C292" t="s">
        <v>92</v>
      </c>
      <c r="D292" t="s">
        <v>90</v>
      </c>
      <c r="E292" t="s">
        <v>91</v>
      </c>
      <c r="F292" s="6">
        <v>0.5625</v>
      </c>
      <c r="G292">
        <v>0</v>
      </c>
      <c r="H292" s="6">
        <f>FLOOR(tblPivotData[[#This Row],[Time]],Summary!$B$6/1440)</f>
        <v>0.5625</v>
      </c>
      <c r="I292" s="49">
        <f>INDEX(PeakCalc!$L$10:$L$303,MATCH(tblPivotData[[#This Row],[Time]],PeakCalc!$G$10:$G$303,0))</f>
        <v>1</v>
      </c>
    </row>
    <row r="293" spans="1:9" x14ac:dyDescent="0.25">
      <c r="A293" t="s">
        <v>97</v>
      </c>
      <c r="B293" t="s">
        <v>100</v>
      </c>
      <c r="C293" t="s">
        <v>92</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97</v>
      </c>
      <c r="B294" t="s">
        <v>100</v>
      </c>
      <c r="C294" t="s">
        <v>92</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97</v>
      </c>
      <c r="B295" t="s">
        <v>100</v>
      </c>
      <c r="C295" t="s">
        <v>92</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97</v>
      </c>
      <c r="B296" t="s">
        <v>100</v>
      </c>
      <c r="C296" t="s">
        <v>92</v>
      </c>
      <c r="D296" t="s">
        <v>90</v>
      </c>
      <c r="E296" t="s">
        <v>44</v>
      </c>
      <c r="F296" s="6">
        <v>0.6875</v>
      </c>
      <c r="G296">
        <v>0</v>
      </c>
      <c r="H296" s="6">
        <f>FLOOR(tblPivotData[[#This Row],[Time]],Summary!$B$6/1440)</f>
        <v>0.6875</v>
      </c>
      <c r="I296" s="49">
        <f>INDEX(PeakCalc!$L$10:$L$303,MATCH(tblPivotData[[#This Row],[Time]],PeakCalc!$G$10:$G$303,0))</f>
        <v>0</v>
      </c>
    </row>
    <row r="297" spans="1:9" x14ac:dyDescent="0.25">
      <c r="A297" t="s">
        <v>97</v>
      </c>
      <c r="B297" t="s">
        <v>100</v>
      </c>
      <c r="C297" t="s">
        <v>92</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97</v>
      </c>
      <c r="B298" t="s">
        <v>100</v>
      </c>
      <c r="C298" t="s">
        <v>92</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97</v>
      </c>
      <c r="B299" t="s">
        <v>100</v>
      </c>
      <c r="C299" t="s">
        <v>92</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97</v>
      </c>
      <c r="B300" t="s">
        <v>100</v>
      </c>
      <c r="C300" t="s">
        <v>92</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97</v>
      </c>
      <c r="B301" t="s">
        <v>100</v>
      </c>
      <c r="C301" t="s">
        <v>92</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97</v>
      </c>
      <c r="B302" t="s">
        <v>101</v>
      </c>
      <c r="C302" t="s">
        <v>93</v>
      </c>
      <c r="D302" t="s">
        <v>79</v>
      </c>
      <c r="E302" t="s">
        <v>43</v>
      </c>
      <c r="F302" s="6">
        <v>0.29166666666666669</v>
      </c>
      <c r="G302">
        <v>7</v>
      </c>
      <c r="H302" s="6">
        <f>FLOOR(tblPivotData[[#This Row],[Time]],Summary!$B$6/1440)</f>
        <v>0.29166666666666663</v>
      </c>
      <c r="I302" s="49">
        <f>INDEX(PeakCalc!$L$10:$L$303,MATCH(tblPivotData[[#This Row],[Time]],PeakCalc!$G$10:$G$303,0))</f>
        <v>0</v>
      </c>
    </row>
    <row r="303" spans="1:9" x14ac:dyDescent="0.25">
      <c r="A303" t="s">
        <v>97</v>
      </c>
      <c r="B303" t="s">
        <v>101</v>
      </c>
      <c r="C303" t="s">
        <v>93</v>
      </c>
      <c r="D303" t="s">
        <v>79</v>
      </c>
      <c r="E303" t="s">
        <v>43</v>
      </c>
      <c r="F303" s="6">
        <v>0.30208333333333331</v>
      </c>
      <c r="G303">
        <v>12</v>
      </c>
      <c r="H303" s="6">
        <f>FLOOR(tblPivotData[[#This Row],[Time]],Summary!$B$6/1440)</f>
        <v>0.30208333333333331</v>
      </c>
      <c r="I303" s="49">
        <f>INDEX(PeakCalc!$L$10:$L$303,MATCH(tblPivotData[[#This Row],[Time]],PeakCalc!$G$10:$G$303,0))</f>
        <v>0</v>
      </c>
    </row>
    <row r="304" spans="1:9" x14ac:dyDescent="0.25">
      <c r="A304" t="s">
        <v>97</v>
      </c>
      <c r="B304" t="s">
        <v>101</v>
      </c>
      <c r="C304" t="s">
        <v>93</v>
      </c>
      <c r="D304" t="s">
        <v>79</v>
      </c>
      <c r="E304" t="s">
        <v>43</v>
      </c>
      <c r="F304" s="6">
        <v>0.3125</v>
      </c>
      <c r="G304">
        <v>2</v>
      </c>
      <c r="H304" s="6">
        <f>FLOOR(tblPivotData[[#This Row],[Time]],Summary!$B$6/1440)</f>
        <v>0.3125</v>
      </c>
      <c r="I304" s="49">
        <f>INDEX(PeakCalc!$L$10:$L$303,MATCH(tblPivotData[[#This Row],[Time]],PeakCalc!$G$10:$G$303,0))</f>
        <v>0</v>
      </c>
    </row>
    <row r="305" spans="1:9" x14ac:dyDescent="0.25">
      <c r="A305" t="s">
        <v>97</v>
      </c>
      <c r="B305" t="s">
        <v>101</v>
      </c>
      <c r="C305" t="s">
        <v>93</v>
      </c>
      <c r="D305" t="s">
        <v>79</v>
      </c>
      <c r="E305" t="s">
        <v>43</v>
      </c>
      <c r="F305" s="6">
        <v>0.32291666666666669</v>
      </c>
      <c r="G305">
        <v>9</v>
      </c>
      <c r="H305" s="6">
        <f>FLOOR(tblPivotData[[#This Row],[Time]],Summary!$B$6/1440)</f>
        <v>0.32291666666666663</v>
      </c>
      <c r="I305" s="49">
        <f>INDEX(PeakCalc!$L$10:$L$303,MATCH(tblPivotData[[#This Row],[Time]],PeakCalc!$G$10:$G$303,0))</f>
        <v>1</v>
      </c>
    </row>
    <row r="306" spans="1:9" x14ac:dyDescent="0.25">
      <c r="A306" t="s">
        <v>97</v>
      </c>
      <c r="B306" t="s">
        <v>101</v>
      </c>
      <c r="C306" t="s">
        <v>93</v>
      </c>
      <c r="D306" t="s">
        <v>79</v>
      </c>
      <c r="E306" t="s">
        <v>43</v>
      </c>
      <c r="F306" s="6">
        <v>0.33333333333333331</v>
      </c>
      <c r="G306">
        <v>9</v>
      </c>
      <c r="H306" s="6">
        <f>FLOOR(tblPivotData[[#This Row],[Time]],Summary!$B$6/1440)</f>
        <v>0.33333333333333331</v>
      </c>
      <c r="I306" s="49">
        <f>INDEX(PeakCalc!$L$10:$L$303,MATCH(tblPivotData[[#This Row],[Time]],PeakCalc!$G$10:$G$303,0))</f>
        <v>1</v>
      </c>
    </row>
    <row r="307" spans="1:9" x14ac:dyDescent="0.25">
      <c r="A307" t="s">
        <v>97</v>
      </c>
      <c r="B307" t="s">
        <v>101</v>
      </c>
      <c r="C307" t="s">
        <v>93</v>
      </c>
      <c r="D307" t="s">
        <v>79</v>
      </c>
      <c r="E307" t="s">
        <v>43</v>
      </c>
      <c r="F307" s="6">
        <v>0.34375</v>
      </c>
      <c r="G307">
        <v>5</v>
      </c>
      <c r="H307" s="6">
        <f>FLOOR(tblPivotData[[#This Row],[Time]],Summary!$B$6/1440)</f>
        <v>0.34375</v>
      </c>
      <c r="I307" s="49">
        <f>INDEX(PeakCalc!$L$10:$L$303,MATCH(tblPivotData[[#This Row],[Time]],PeakCalc!$G$10:$G$303,0))</f>
        <v>1</v>
      </c>
    </row>
    <row r="308" spans="1:9" x14ac:dyDescent="0.25">
      <c r="A308" t="s">
        <v>97</v>
      </c>
      <c r="B308" t="s">
        <v>101</v>
      </c>
      <c r="C308" t="s">
        <v>93</v>
      </c>
      <c r="D308" t="s">
        <v>79</v>
      </c>
      <c r="E308" t="s">
        <v>43</v>
      </c>
      <c r="F308" s="6">
        <v>0.35416666666666669</v>
      </c>
      <c r="G308">
        <v>2</v>
      </c>
      <c r="H308" s="6">
        <f>FLOOR(tblPivotData[[#This Row],[Time]],Summary!$B$6/1440)</f>
        <v>0.35416666666666663</v>
      </c>
      <c r="I308" s="49">
        <f>INDEX(PeakCalc!$L$10:$L$303,MATCH(tblPivotData[[#This Row],[Time]],PeakCalc!$G$10:$G$303,0))</f>
        <v>1</v>
      </c>
    </row>
    <row r="309" spans="1:9" x14ac:dyDescent="0.25">
      <c r="A309" t="s">
        <v>97</v>
      </c>
      <c r="B309" t="s">
        <v>101</v>
      </c>
      <c r="C309" t="s">
        <v>93</v>
      </c>
      <c r="D309" t="s">
        <v>79</v>
      </c>
      <c r="E309" t="s">
        <v>43</v>
      </c>
      <c r="F309" s="6">
        <v>0.36458333333333331</v>
      </c>
      <c r="G309">
        <v>5</v>
      </c>
      <c r="H309" s="6">
        <f>FLOOR(tblPivotData[[#This Row],[Time]],Summary!$B$6/1440)</f>
        <v>0.36458333333333331</v>
      </c>
      <c r="I309" s="49">
        <f>INDEX(PeakCalc!$L$10:$L$303,MATCH(tblPivotData[[#This Row],[Time]],PeakCalc!$G$10:$G$303,0))</f>
        <v>0</v>
      </c>
    </row>
    <row r="310" spans="1:9" x14ac:dyDescent="0.25">
      <c r="A310" t="s">
        <v>97</v>
      </c>
      <c r="B310" t="s">
        <v>101</v>
      </c>
      <c r="C310" t="s">
        <v>93</v>
      </c>
      <c r="D310" t="s">
        <v>79</v>
      </c>
      <c r="E310" t="s">
        <v>91</v>
      </c>
      <c r="F310" s="6">
        <v>0.54166666666666663</v>
      </c>
      <c r="G310">
        <v>1</v>
      </c>
      <c r="H310" s="6">
        <f>FLOOR(tblPivotData[[#This Row],[Time]],Summary!$B$6/1440)</f>
        <v>0.54166666666666663</v>
      </c>
      <c r="I310" s="49">
        <f>INDEX(PeakCalc!$L$10:$L$303,MATCH(tblPivotData[[#This Row],[Time]],PeakCalc!$G$10:$G$303,0))</f>
        <v>1</v>
      </c>
    </row>
    <row r="311" spans="1:9" x14ac:dyDescent="0.25">
      <c r="A311" t="s">
        <v>97</v>
      </c>
      <c r="B311" t="s">
        <v>101</v>
      </c>
      <c r="C311" t="s">
        <v>93</v>
      </c>
      <c r="D311" t="s">
        <v>79</v>
      </c>
      <c r="E311" t="s">
        <v>91</v>
      </c>
      <c r="F311" s="6">
        <v>0.55208333333333337</v>
      </c>
      <c r="G311">
        <v>8</v>
      </c>
      <c r="H311" s="6">
        <f>FLOOR(tblPivotData[[#This Row],[Time]],Summary!$B$6/1440)</f>
        <v>0.55208333333333326</v>
      </c>
      <c r="I311" s="49">
        <f>INDEX(PeakCalc!$L$10:$L$303,MATCH(tblPivotData[[#This Row],[Time]],PeakCalc!$G$10:$G$303,0))</f>
        <v>1</v>
      </c>
    </row>
    <row r="312" spans="1:9" x14ac:dyDescent="0.25">
      <c r="A312" t="s">
        <v>97</v>
      </c>
      <c r="B312" t="s">
        <v>101</v>
      </c>
      <c r="C312" t="s">
        <v>93</v>
      </c>
      <c r="D312" t="s">
        <v>79</v>
      </c>
      <c r="E312" t="s">
        <v>91</v>
      </c>
      <c r="F312" s="6">
        <v>0.5625</v>
      </c>
      <c r="G312">
        <v>4</v>
      </c>
      <c r="H312" s="6">
        <f>FLOOR(tblPivotData[[#This Row],[Time]],Summary!$B$6/1440)</f>
        <v>0.5625</v>
      </c>
      <c r="I312" s="49">
        <f>INDEX(PeakCalc!$L$10:$L$303,MATCH(tblPivotData[[#This Row],[Time]],PeakCalc!$G$10:$G$303,0))</f>
        <v>1</v>
      </c>
    </row>
    <row r="313" spans="1:9" x14ac:dyDescent="0.25">
      <c r="A313" t="s">
        <v>97</v>
      </c>
      <c r="B313" t="s">
        <v>101</v>
      </c>
      <c r="C313" t="s">
        <v>93</v>
      </c>
      <c r="D313" t="s">
        <v>79</v>
      </c>
      <c r="E313" t="s">
        <v>91</v>
      </c>
      <c r="F313" s="6">
        <v>0.57291666666666663</v>
      </c>
      <c r="G313">
        <v>5</v>
      </c>
      <c r="H313" s="6">
        <f>FLOOR(tblPivotData[[#This Row],[Time]],Summary!$B$6/1440)</f>
        <v>0.57291666666666663</v>
      </c>
      <c r="I313" s="49">
        <f>INDEX(PeakCalc!$L$10:$L$303,MATCH(tblPivotData[[#This Row],[Time]],PeakCalc!$G$10:$G$303,0))</f>
        <v>1</v>
      </c>
    </row>
    <row r="314" spans="1:9" x14ac:dyDescent="0.25">
      <c r="A314" t="s">
        <v>97</v>
      </c>
      <c r="B314" t="s">
        <v>101</v>
      </c>
      <c r="C314" t="s">
        <v>93</v>
      </c>
      <c r="D314" t="s">
        <v>79</v>
      </c>
      <c r="E314" t="s">
        <v>44</v>
      </c>
      <c r="F314" s="6">
        <v>0.66666666666666663</v>
      </c>
      <c r="G314">
        <v>4</v>
      </c>
      <c r="H314" s="6">
        <f>FLOOR(tblPivotData[[#This Row],[Time]],Summary!$B$6/1440)</f>
        <v>0.66666666666666663</v>
      </c>
      <c r="I314" s="49">
        <f>INDEX(PeakCalc!$L$10:$L$303,MATCH(tblPivotData[[#This Row],[Time]],PeakCalc!$G$10:$G$303,0))</f>
        <v>0</v>
      </c>
    </row>
    <row r="315" spans="1:9" x14ac:dyDescent="0.25">
      <c r="A315" t="s">
        <v>97</v>
      </c>
      <c r="B315" t="s">
        <v>101</v>
      </c>
      <c r="C315" t="s">
        <v>93</v>
      </c>
      <c r="D315" t="s">
        <v>79</v>
      </c>
      <c r="E315" t="s">
        <v>44</v>
      </c>
      <c r="F315" s="6">
        <v>0.67708333333333337</v>
      </c>
      <c r="G315">
        <v>4</v>
      </c>
      <c r="H315" s="6">
        <f>FLOOR(tblPivotData[[#This Row],[Time]],Summary!$B$6/1440)</f>
        <v>0.67708333333333326</v>
      </c>
      <c r="I315" s="49">
        <f>INDEX(PeakCalc!$L$10:$L$303,MATCH(tblPivotData[[#This Row],[Time]],PeakCalc!$G$10:$G$303,0))</f>
        <v>0</v>
      </c>
    </row>
    <row r="316" spans="1:9" x14ac:dyDescent="0.25">
      <c r="A316" t="s">
        <v>97</v>
      </c>
      <c r="B316" t="s">
        <v>101</v>
      </c>
      <c r="C316" t="s">
        <v>93</v>
      </c>
      <c r="D316" t="s">
        <v>79</v>
      </c>
      <c r="E316" t="s">
        <v>44</v>
      </c>
      <c r="F316" s="6">
        <v>0.6875</v>
      </c>
      <c r="G316">
        <v>7</v>
      </c>
      <c r="H316" s="6">
        <f>FLOOR(tblPivotData[[#This Row],[Time]],Summary!$B$6/1440)</f>
        <v>0.6875</v>
      </c>
      <c r="I316" s="49">
        <f>INDEX(PeakCalc!$L$10:$L$303,MATCH(tblPivotData[[#This Row],[Time]],PeakCalc!$G$10:$G$303,0))</f>
        <v>0</v>
      </c>
    </row>
    <row r="317" spans="1:9" x14ac:dyDescent="0.25">
      <c r="A317" t="s">
        <v>97</v>
      </c>
      <c r="B317" t="s">
        <v>101</v>
      </c>
      <c r="C317" t="s">
        <v>93</v>
      </c>
      <c r="D317" t="s">
        <v>79</v>
      </c>
      <c r="E317" t="s">
        <v>44</v>
      </c>
      <c r="F317" s="6">
        <v>0.69791666666666663</v>
      </c>
      <c r="G317">
        <v>3</v>
      </c>
      <c r="H317" s="6">
        <f>FLOOR(tblPivotData[[#This Row],[Time]],Summary!$B$6/1440)</f>
        <v>0.69791666666666663</v>
      </c>
      <c r="I317" s="49">
        <f>INDEX(PeakCalc!$L$10:$L$303,MATCH(tblPivotData[[#This Row],[Time]],PeakCalc!$G$10:$G$303,0))</f>
        <v>1</v>
      </c>
    </row>
    <row r="318" spans="1:9" x14ac:dyDescent="0.25">
      <c r="A318" t="s">
        <v>97</v>
      </c>
      <c r="B318" t="s">
        <v>101</v>
      </c>
      <c r="C318" t="s">
        <v>93</v>
      </c>
      <c r="D318" t="s">
        <v>79</v>
      </c>
      <c r="E318" t="s">
        <v>44</v>
      </c>
      <c r="F318" s="6">
        <v>0.70833333333333337</v>
      </c>
      <c r="G318">
        <v>8</v>
      </c>
      <c r="H318" s="6">
        <f>FLOOR(tblPivotData[[#This Row],[Time]],Summary!$B$6/1440)</f>
        <v>0.70833333333333326</v>
      </c>
      <c r="I318" s="49">
        <f>INDEX(PeakCalc!$L$10:$L$303,MATCH(tblPivotData[[#This Row],[Time]],PeakCalc!$G$10:$G$303,0))</f>
        <v>1</v>
      </c>
    </row>
    <row r="319" spans="1:9" x14ac:dyDescent="0.25">
      <c r="A319" t="s">
        <v>97</v>
      </c>
      <c r="B319" t="s">
        <v>101</v>
      </c>
      <c r="C319" t="s">
        <v>93</v>
      </c>
      <c r="D319" t="s">
        <v>79</v>
      </c>
      <c r="E319" t="s">
        <v>44</v>
      </c>
      <c r="F319" s="6">
        <v>0.71875</v>
      </c>
      <c r="G319">
        <v>2</v>
      </c>
      <c r="H319" s="6">
        <f>FLOOR(tblPivotData[[#This Row],[Time]],Summary!$B$6/1440)</f>
        <v>0.71875</v>
      </c>
      <c r="I319" s="49">
        <f>INDEX(PeakCalc!$L$10:$L$303,MATCH(tblPivotData[[#This Row],[Time]],PeakCalc!$G$10:$G$303,0))</f>
        <v>1</v>
      </c>
    </row>
    <row r="320" spans="1:9" x14ac:dyDescent="0.25">
      <c r="A320" t="s">
        <v>97</v>
      </c>
      <c r="B320" t="s">
        <v>101</v>
      </c>
      <c r="C320" t="s">
        <v>93</v>
      </c>
      <c r="D320" t="s">
        <v>79</v>
      </c>
      <c r="E320" t="s">
        <v>44</v>
      </c>
      <c r="F320" s="6">
        <v>0.72916666666666663</v>
      </c>
      <c r="G320">
        <v>4</v>
      </c>
      <c r="H320" s="6">
        <f>FLOOR(tblPivotData[[#This Row],[Time]],Summary!$B$6/1440)</f>
        <v>0.72916666666666663</v>
      </c>
      <c r="I320" s="49">
        <f>INDEX(PeakCalc!$L$10:$L$303,MATCH(tblPivotData[[#This Row],[Time]],PeakCalc!$G$10:$G$303,0))</f>
        <v>1</v>
      </c>
    </row>
    <row r="321" spans="1:9" x14ac:dyDescent="0.25">
      <c r="A321" t="s">
        <v>97</v>
      </c>
      <c r="B321" t="s">
        <v>101</v>
      </c>
      <c r="C321" t="s">
        <v>93</v>
      </c>
      <c r="D321" t="s">
        <v>79</v>
      </c>
      <c r="E321" t="s">
        <v>44</v>
      </c>
      <c r="F321" s="6">
        <v>0.73958333333333337</v>
      </c>
      <c r="G321">
        <v>5</v>
      </c>
      <c r="H321" s="6">
        <f>FLOOR(tblPivotData[[#This Row],[Time]],Summary!$B$6/1440)</f>
        <v>0.73958333333333326</v>
      </c>
      <c r="I321" s="49">
        <f>INDEX(PeakCalc!$L$10:$L$303,MATCH(tblPivotData[[#This Row],[Time]],PeakCalc!$G$10:$G$303,0))</f>
        <v>0</v>
      </c>
    </row>
    <row r="322" spans="1:9" x14ac:dyDescent="0.25">
      <c r="A322" t="s">
        <v>97</v>
      </c>
      <c r="B322" t="s">
        <v>101</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97</v>
      </c>
      <c r="B323" t="s">
        <v>101</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97</v>
      </c>
      <c r="B324" t="s">
        <v>101</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97</v>
      </c>
      <c r="B325" t="s">
        <v>101</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97</v>
      </c>
      <c r="B326" t="s">
        <v>101</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97</v>
      </c>
      <c r="B327" t="s">
        <v>101</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97</v>
      </c>
      <c r="B328" t="s">
        <v>101</v>
      </c>
      <c r="C328" t="s">
        <v>93</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97</v>
      </c>
      <c r="B329" t="s">
        <v>101</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97</v>
      </c>
      <c r="B330" t="s">
        <v>101</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97</v>
      </c>
      <c r="B331" t="s">
        <v>101</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97</v>
      </c>
      <c r="B332" t="s">
        <v>101</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97</v>
      </c>
      <c r="B333" t="s">
        <v>101</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97</v>
      </c>
      <c r="B334" t="s">
        <v>101</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97</v>
      </c>
      <c r="B335" t="s">
        <v>101</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97</v>
      </c>
      <c r="B336" t="s">
        <v>101</v>
      </c>
      <c r="C336" t="s">
        <v>93</v>
      </c>
      <c r="D336" t="s">
        <v>89</v>
      </c>
      <c r="E336" t="s">
        <v>44</v>
      </c>
      <c r="F336" s="6">
        <v>0.6875</v>
      </c>
      <c r="G336">
        <v>0</v>
      </c>
      <c r="H336" s="6">
        <f>FLOOR(tblPivotData[[#This Row],[Time]],Summary!$B$6/1440)</f>
        <v>0.6875</v>
      </c>
      <c r="I336" s="49">
        <f>INDEX(PeakCalc!$L$10:$L$303,MATCH(tblPivotData[[#This Row],[Time]],PeakCalc!$G$10:$G$303,0))</f>
        <v>0</v>
      </c>
    </row>
    <row r="337" spans="1:9" x14ac:dyDescent="0.25">
      <c r="A337" t="s">
        <v>97</v>
      </c>
      <c r="B337" t="s">
        <v>101</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97</v>
      </c>
      <c r="B338" t="s">
        <v>101</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97</v>
      </c>
      <c r="B339" t="s">
        <v>101</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97</v>
      </c>
      <c r="B340" t="s">
        <v>101</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97</v>
      </c>
      <c r="B341" t="s">
        <v>101</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97</v>
      </c>
      <c r="B342" t="s">
        <v>101</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97</v>
      </c>
      <c r="B343" t="s">
        <v>101</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97</v>
      </c>
      <c r="B344" t="s">
        <v>101</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97</v>
      </c>
      <c r="B345" t="s">
        <v>101</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97</v>
      </c>
      <c r="B346" t="s">
        <v>101</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97</v>
      </c>
      <c r="B347" t="s">
        <v>101</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97</v>
      </c>
      <c r="B348" t="s">
        <v>101</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97</v>
      </c>
      <c r="B349" t="s">
        <v>101</v>
      </c>
      <c r="C349" t="s">
        <v>93</v>
      </c>
      <c r="D349" t="s">
        <v>90</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97</v>
      </c>
      <c r="B350" t="s">
        <v>101</v>
      </c>
      <c r="C350" t="s">
        <v>93</v>
      </c>
      <c r="D350" t="s">
        <v>90</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97</v>
      </c>
      <c r="B351" t="s">
        <v>101</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97</v>
      </c>
      <c r="B352" t="s">
        <v>101</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97</v>
      </c>
      <c r="B353" t="s">
        <v>101</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97</v>
      </c>
      <c r="B354" t="s">
        <v>101</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97</v>
      </c>
      <c r="B355" t="s">
        <v>101</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97</v>
      </c>
      <c r="B356" t="s">
        <v>101</v>
      </c>
      <c r="C356" t="s">
        <v>93</v>
      </c>
      <c r="D356" t="s">
        <v>90</v>
      </c>
      <c r="E356" t="s">
        <v>44</v>
      </c>
      <c r="F356" s="6">
        <v>0.6875</v>
      </c>
      <c r="G356">
        <v>0</v>
      </c>
      <c r="H356" s="6">
        <f>FLOOR(tblPivotData[[#This Row],[Time]],Summary!$B$6/1440)</f>
        <v>0.6875</v>
      </c>
      <c r="I356" s="49">
        <f>INDEX(PeakCalc!$L$10:$L$303,MATCH(tblPivotData[[#This Row],[Time]],PeakCalc!$G$10:$G$303,0))</f>
        <v>0</v>
      </c>
    </row>
    <row r="357" spans="1:9" x14ac:dyDescent="0.25">
      <c r="A357" t="s">
        <v>97</v>
      </c>
      <c r="B357" t="s">
        <v>101</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97</v>
      </c>
      <c r="B358" t="s">
        <v>101</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97</v>
      </c>
      <c r="B359" t="s">
        <v>101</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97</v>
      </c>
      <c r="B360" t="s">
        <v>101</v>
      </c>
      <c r="C360" t="s">
        <v>93</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97</v>
      </c>
      <c r="B361" t="s">
        <v>101</v>
      </c>
      <c r="C361" t="s">
        <v>93</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92</v>
      </c>
      <c r="D11" s="54"/>
      <c r="E11" s="54"/>
      <c r="F11" s="54"/>
      <c r="G11" s="54"/>
      <c r="H11" s="54"/>
      <c r="I11" s="54"/>
      <c r="J11" s="54"/>
      <c r="K11" s="51" t="s">
        <v>103</v>
      </c>
      <c r="L11" s="53" t="s">
        <v>93</v>
      </c>
      <c r="M11" s="54"/>
      <c r="N11" s="54"/>
      <c r="O11" s="54"/>
      <c r="P11" s="54"/>
      <c r="Q11" s="54"/>
      <c r="R11" s="54"/>
      <c r="S11" s="54"/>
      <c r="T11" s="51" t="s">
        <v>104</v>
      </c>
      <c r="U11" s="53" t="s">
        <v>97</v>
      </c>
      <c r="V11" s="54"/>
      <c r="W11" s="54"/>
      <c r="X11" s="54"/>
      <c r="Y11" s="54"/>
      <c r="Z11" s="54"/>
      <c r="AA11" s="54"/>
      <c r="AB11" s="54"/>
      <c r="AC11" s="51" t="s">
        <v>105</v>
      </c>
      <c r="AD11" s="51" t="s">
        <v>49</v>
      </c>
    </row>
    <row r="12" spans="2:30" x14ac:dyDescent="0.25">
      <c r="B12" s="25"/>
      <c r="C12" s="51" t="s">
        <v>94</v>
      </c>
      <c r="D12" s="52"/>
      <c r="E12" s="52"/>
      <c r="F12" s="51" t="s">
        <v>106</v>
      </c>
      <c r="G12" s="51" t="s">
        <v>98</v>
      </c>
      <c r="H12" s="52"/>
      <c r="I12" s="52"/>
      <c r="J12" s="51" t="s">
        <v>107</v>
      </c>
      <c r="K12" s="52"/>
      <c r="L12" s="51" t="s">
        <v>99</v>
      </c>
      <c r="M12" s="52"/>
      <c r="N12" s="52"/>
      <c r="O12" s="51" t="s">
        <v>108</v>
      </c>
      <c r="P12" s="51" t="s">
        <v>95</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1779</v>
      </c>
      <c r="D14" s="49">
        <v>48</v>
      </c>
      <c r="E14" s="49">
        <v>19</v>
      </c>
      <c r="F14" s="49">
        <v>1846</v>
      </c>
      <c r="G14" s="49">
        <v>36</v>
      </c>
      <c r="H14" s="49">
        <v>0</v>
      </c>
      <c r="I14" s="49">
        <v>0</v>
      </c>
      <c r="J14" s="49">
        <v>36</v>
      </c>
      <c r="K14" s="49">
        <v>1882</v>
      </c>
      <c r="L14" s="49">
        <v>39</v>
      </c>
      <c r="M14" s="49">
        <v>0</v>
      </c>
      <c r="N14" s="49">
        <v>1</v>
      </c>
      <c r="O14" s="49">
        <v>40</v>
      </c>
      <c r="P14" s="49">
        <v>1047</v>
      </c>
      <c r="Q14" s="49">
        <v>41</v>
      </c>
      <c r="R14" s="49">
        <v>3</v>
      </c>
      <c r="S14" s="49">
        <v>1091</v>
      </c>
      <c r="T14" s="49">
        <v>1131</v>
      </c>
      <c r="U14" s="49">
        <v>46</v>
      </c>
      <c r="V14" s="49">
        <v>0</v>
      </c>
      <c r="W14" s="49">
        <v>1</v>
      </c>
      <c r="X14" s="49">
        <v>47</v>
      </c>
      <c r="Y14" s="49">
        <v>51</v>
      </c>
      <c r="Z14" s="49">
        <v>2</v>
      </c>
      <c r="AA14" s="49">
        <v>1</v>
      </c>
      <c r="AB14" s="49">
        <v>54</v>
      </c>
      <c r="AC14" s="49">
        <v>101</v>
      </c>
      <c r="AD14" s="49">
        <v>3114</v>
      </c>
    </row>
    <row r="15" spans="2:30" x14ac:dyDescent="0.25">
      <c r="B15" s="11">
        <v>0.29166666666666669</v>
      </c>
      <c r="C15" s="49">
        <v>190</v>
      </c>
      <c r="D15" s="49">
        <v>3</v>
      </c>
      <c r="E15" s="49">
        <v>1</v>
      </c>
      <c r="F15" s="49">
        <v>194</v>
      </c>
      <c r="G15" s="49">
        <v>2</v>
      </c>
      <c r="H15" s="49">
        <v>0</v>
      </c>
      <c r="I15" s="49">
        <v>0</v>
      </c>
      <c r="J15" s="49">
        <v>2</v>
      </c>
      <c r="K15" s="49">
        <v>196</v>
      </c>
      <c r="L15" s="49">
        <v>5</v>
      </c>
      <c r="M15" s="49">
        <v>0</v>
      </c>
      <c r="N15" s="49">
        <v>0</v>
      </c>
      <c r="O15" s="49">
        <v>5</v>
      </c>
      <c r="P15" s="49">
        <v>70</v>
      </c>
      <c r="Q15" s="49">
        <v>1</v>
      </c>
      <c r="R15" s="49">
        <v>0</v>
      </c>
      <c r="S15" s="49">
        <v>71</v>
      </c>
      <c r="T15" s="49">
        <v>76</v>
      </c>
      <c r="U15" s="49">
        <v>2</v>
      </c>
      <c r="V15" s="49">
        <v>0</v>
      </c>
      <c r="W15" s="49">
        <v>0</v>
      </c>
      <c r="X15" s="49">
        <v>2</v>
      </c>
      <c r="Y15" s="49">
        <v>7</v>
      </c>
      <c r="Z15" s="49">
        <v>0</v>
      </c>
      <c r="AA15" s="49">
        <v>0</v>
      </c>
      <c r="AB15" s="49">
        <v>7</v>
      </c>
      <c r="AC15" s="49">
        <v>9</v>
      </c>
      <c r="AD15" s="49">
        <v>281</v>
      </c>
    </row>
    <row r="16" spans="2:30" x14ac:dyDescent="0.25">
      <c r="B16" s="11">
        <v>0.30208333333333331</v>
      </c>
      <c r="C16" s="49">
        <v>203</v>
      </c>
      <c r="D16" s="49">
        <v>8</v>
      </c>
      <c r="E16" s="49">
        <v>1</v>
      </c>
      <c r="F16" s="49">
        <v>212</v>
      </c>
      <c r="G16" s="49">
        <v>2</v>
      </c>
      <c r="H16" s="49">
        <v>0</v>
      </c>
      <c r="I16" s="49">
        <v>0</v>
      </c>
      <c r="J16" s="49">
        <v>2</v>
      </c>
      <c r="K16" s="49">
        <v>214</v>
      </c>
      <c r="L16" s="49">
        <v>2</v>
      </c>
      <c r="M16" s="49">
        <v>0</v>
      </c>
      <c r="N16" s="49">
        <v>0</v>
      </c>
      <c r="O16" s="49">
        <v>2</v>
      </c>
      <c r="P16" s="49">
        <v>97</v>
      </c>
      <c r="Q16" s="49">
        <v>4</v>
      </c>
      <c r="R16" s="49">
        <v>0</v>
      </c>
      <c r="S16" s="49">
        <v>101</v>
      </c>
      <c r="T16" s="49">
        <v>103</v>
      </c>
      <c r="U16" s="49">
        <v>5</v>
      </c>
      <c r="V16" s="49">
        <v>0</v>
      </c>
      <c r="W16" s="49">
        <v>0</v>
      </c>
      <c r="X16" s="49">
        <v>5</v>
      </c>
      <c r="Y16" s="49">
        <v>12</v>
      </c>
      <c r="Z16" s="49">
        <v>0</v>
      </c>
      <c r="AA16" s="49">
        <v>0</v>
      </c>
      <c r="AB16" s="49">
        <v>12</v>
      </c>
      <c r="AC16" s="49">
        <v>17</v>
      </c>
      <c r="AD16" s="49">
        <v>334</v>
      </c>
    </row>
    <row r="17" spans="2:30" x14ac:dyDescent="0.25">
      <c r="B17" s="11">
        <v>0.3125</v>
      </c>
      <c r="C17" s="49">
        <v>257</v>
      </c>
      <c r="D17" s="49">
        <v>4</v>
      </c>
      <c r="E17" s="49">
        <v>2</v>
      </c>
      <c r="F17" s="49">
        <v>263</v>
      </c>
      <c r="G17" s="49">
        <v>2</v>
      </c>
      <c r="H17" s="49">
        <v>0</v>
      </c>
      <c r="I17" s="49">
        <v>0</v>
      </c>
      <c r="J17" s="49">
        <v>2</v>
      </c>
      <c r="K17" s="49">
        <v>265</v>
      </c>
      <c r="L17" s="49">
        <v>3</v>
      </c>
      <c r="M17" s="49">
        <v>0</v>
      </c>
      <c r="N17" s="49">
        <v>0</v>
      </c>
      <c r="O17" s="49">
        <v>3</v>
      </c>
      <c r="P17" s="49">
        <v>99</v>
      </c>
      <c r="Q17" s="49">
        <v>8</v>
      </c>
      <c r="R17" s="49">
        <v>1</v>
      </c>
      <c r="S17" s="49">
        <v>108</v>
      </c>
      <c r="T17" s="49">
        <v>111</v>
      </c>
      <c r="U17" s="49">
        <v>7</v>
      </c>
      <c r="V17" s="49">
        <v>0</v>
      </c>
      <c r="W17" s="49">
        <v>0</v>
      </c>
      <c r="X17" s="49">
        <v>7</v>
      </c>
      <c r="Y17" s="49">
        <v>2</v>
      </c>
      <c r="Z17" s="49">
        <v>0</v>
      </c>
      <c r="AA17" s="49">
        <v>0</v>
      </c>
      <c r="AB17" s="49">
        <v>2</v>
      </c>
      <c r="AC17" s="49">
        <v>9</v>
      </c>
      <c r="AD17" s="49">
        <v>385</v>
      </c>
    </row>
    <row r="18" spans="2:30" x14ac:dyDescent="0.25">
      <c r="B18" s="11">
        <v>0.32291666666666669</v>
      </c>
      <c r="C18" s="49">
        <v>255</v>
      </c>
      <c r="D18" s="49">
        <v>11</v>
      </c>
      <c r="E18" s="49">
        <v>6</v>
      </c>
      <c r="F18" s="49">
        <v>272</v>
      </c>
      <c r="G18" s="49">
        <v>5</v>
      </c>
      <c r="H18" s="49">
        <v>0</v>
      </c>
      <c r="I18" s="49">
        <v>0</v>
      </c>
      <c r="J18" s="49">
        <v>5</v>
      </c>
      <c r="K18" s="49">
        <v>277</v>
      </c>
      <c r="L18" s="49">
        <v>5</v>
      </c>
      <c r="M18" s="49">
        <v>0</v>
      </c>
      <c r="N18" s="49">
        <v>0</v>
      </c>
      <c r="O18" s="49">
        <v>5</v>
      </c>
      <c r="P18" s="49">
        <v>158</v>
      </c>
      <c r="Q18" s="49">
        <v>5</v>
      </c>
      <c r="R18" s="49">
        <v>0</v>
      </c>
      <c r="S18" s="49">
        <v>163</v>
      </c>
      <c r="T18" s="49">
        <v>168</v>
      </c>
      <c r="U18" s="49">
        <v>9</v>
      </c>
      <c r="V18" s="49">
        <v>0</v>
      </c>
      <c r="W18" s="49">
        <v>0</v>
      </c>
      <c r="X18" s="49">
        <v>9</v>
      </c>
      <c r="Y18" s="49">
        <v>9</v>
      </c>
      <c r="Z18" s="49">
        <v>0</v>
      </c>
      <c r="AA18" s="49">
        <v>0</v>
      </c>
      <c r="AB18" s="49">
        <v>9</v>
      </c>
      <c r="AC18" s="49">
        <v>18</v>
      </c>
      <c r="AD18" s="49">
        <v>463</v>
      </c>
    </row>
    <row r="19" spans="2:30" x14ac:dyDescent="0.25">
      <c r="B19" s="11">
        <v>0.33333333333333331</v>
      </c>
      <c r="C19" s="49">
        <v>227</v>
      </c>
      <c r="D19" s="49">
        <v>3</v>
      </c>
      <c r="E19" s="49">
        <v>5</v>
      </c>
      <c r="F19" s="49">
        <v>235</v>
      </c>
      <c r="G19" s="49">
        <v>2</v>
      </c>
      <c r="H19" s="49">
        <v>0</v>
      </c>
      <c r="I19" s="49">
        <v>0</v>
      </c>
      <c r="J19" s="49">
        <v>2</v>
      </c>
      <c r="K19" s="49">
        <v>237</v>
      </c>
      <c r="L19" s="49">
        <v>6</v>
      </c>
      <c r="M19" s="49">
        <v>0</v>
      </c>
      <c r="N19" s="49">
        <v>0</v>
      </c>
      <c r="O19" s="49">
        <v>6</v>
      </c>
      <c r="P19" s="49">
        <v>152</v>
      </c>
      <c r="Q19" s="49">
        <v>4</v>
      </c>
      <c r="R19" s="49">
        <v>1</v>
      </c>
      <c r="S19" s="49">
        <v>157</v>
      </c>
      <c r="T19" s="49">
        <v>163</v>
      </c>
      <c r="U19" s="49">
        <v>5</v>
      </c>
      <c r="V19" s="49">
        <v>0</v>
      </c>
      <c r="W19" s="49">
        <v>1</v>
      </c>
      <c r="X19" s="49">
        <v>6</v>
      </c>
      <c r="Y19" s="49">
        <v>9</v>
      </c>
      <c r="Z19" s="49">
        <v>0</v>
      </c>
      <c r="AA19" s="49">
        <v>0</v>
      </c>
      <c r="AB19" s="49">
        <v>9</v>
      </c>
      <c r="AC19" s="49">
        <v>15</v>
      </c>
      <c r="AD19" s="49">
        <v>415</v>
      </c>
    </row>
    <row r="20" spans="2:30" x14ac:dyDescent="0.25">
      <c r="B20" s="11">
        <v>0.34375</v>
      </c>
      <c r="C20" s="49">
        <v>226</v>
      </c>
      <c r="D20" s="49">
        <v>8</v>
      </c>
      <c r="E20" s="49">
        <v>3</v>
      </c>
      <c r="F20" s="49">
        <v>237</v>
      </c>
      <c r="G20" s="49">
        <v>6</v>
      </c>
      <c r="H20" s="49">
        <v>0</v>
      </c>
      <c r="I20" s="49">
        <v>0</v>
      </c>
      <c r="J20" s="49">
        <v>6</v>
      </c>
      <c r="K20" s="49">
        <v>243</v>
      </c>
      <c r="L20" s="49">
        <v>7</v>
      </c>
      <c r="M20" s="49">
        <v>0</v>
      </c>
      <c r="N20" s="49">
        <v>1</v>
      </c>
      <c r="O20" s="49">
        <v>8</v>
      </c>
      <c r="P20" s="49">
        <v>144</v>
      </c>
      <c r="Q20" s="49">
        <v>5</v>
      </c>
      <c r="R20" s="49">
        <v>0</v>
      </c>
      <c r="S20" s="49">
        <v>149</v>
      </c>
      <c r="T20" s="49">
        <v>157</v>
      </c>
      <c r="U20" s="49">
        <v>5</v>
      </c>
      <c r="V20" s="49">
        <v>0</v>
      </c>
      <c r="W20" s="49">
        <v>0</v>
      </c>
      <c r="X20" s="49">
        <v>5</v>
      </c>
      <c r="Y20" s="49">
        <v>5</v>
      </c>
      <c r="Z20" s="49">
        <v>1</v>
      </c>
      <c r="AA20" s="49">
        <v>0</v>
      </c>
      <c r="AB20" s="49">
        <v>6</v>
      </c>
      <c r="AC20" s="49">
        <v>11</v>
      </c>
      <c r="AD20" s="49">
        <v>411</v>
      </c>
    </row>
    <row r="21" spans="2:30" x14ac:dyDescent="0.25">
      <c r="B21" s="11">
        <v>0.35416666666666669</v>
      </c>
      <c r="C21" s="49">
        <v>216</v>
      </c>
      <c r="D21" s="49">
        <v>4</v>
      </c>
      <c r="E21" s="49">
        <v>1</v>
      </c>
      <c r="F21" s="49">
        <v>221</v>
      </c>
      <c r="G21" s="49">
        <v>11</v>
      </c>
      <c r="H21" s="49">
        <v>0</v>
      </c>
      <c r="I21" s="49">
        <v>0</v>
      </c>
      <c r="J21" s="49">
        <v>11</v>
      </c>
      <c r="K21" s="49">
        <v>232</v>
      </c>
      <c r="L21" s="49">
        <v>5</v>
      </c>
      <c r="M21" s="49">
        <v>0</v>
      </c>
      <c r="N21" s="49">
        <v>0</v>
      </c>
      <c r="O21" s="49">
        <v>5</v>
      </c>
      <c r="P21" s="49">
        <v>158</v>
      </c>
      <c r="Q21" s="49">
        <v>6</v>
      </c>
      <c r="R21" s="49">
        <v>0</v>
      </c>
      <c r="S21" s="49">
        <v>164</v>
      </c>
      <c r="T21" s="49">
        <v>169</v>
      </c>
      <c r="U21" s="49">
        <v>5</v>
      </c>
      <c r="V21" s="49">
        <v>0</v>
      </c>
      <c r="W21" s="49">
        <v>0</v>
      </c>
      <c r="X21" s="49">
        <v>5</v>
      </c>
      <c r="Y21" s="49">
        <v>2</v>
      </c>
      <c r="Z21" s="49">
        <v>1</v>
      </c>
      <c r="AA21" s="49">
        <v>0</v>
      </c>
      <c r="AB21" s="49">
        <v>3</v>
      </c>
      <c r="AC21" s="49">
        <v>8</v>
      </c>
      <c r="AD21" s="49">
        <v>409</v>
      </c>
    </row>
    <row r="22" spans="2:30" x14ac:dyDescent="0.25">
      <c r="B22" s="11">
        <v>0.36458333333333331</v>
      </c>
      <c r="C22" s="49">
        <v>205</v>
      </c>
      <c r="D22" s="49">
        <v>7</v>
      </c>
      <c r="E22" s="49">
        <v>0</v>
      </c>
      <c r="F22" s="49">
        <v>212</v>
      </c>
      <c r="G22" s="49">
        <v>6</v>
      </c>
      <c r="H22" s="49">
        <v>0</v>
      </c>
      <c r="I22" s="49">
        <v>0</v>
      </c>
      <c r="J22" s="49">
        <v>6</v>
      </c>
      <c r="K22" s="49">
        <v>218</v>
      </c>
      <c r="L22" s="49">
        <v>6</v>
      </c>
      <c r="M22" s="49">
        <v>0</v>
      </c>
      <c r="N22" s="49">
        <v>0</v>
      </c>
      <c r="O22" s="49">
        <v>6</v>
      </c>
      <c r="P22" s="49">
        <v>169</v>
      </c>
      <c r="Q22" s="49">
        <v>8</v>
      </c>
      <c r="R22" s="49">
        <v>1</v>
      </c>
      <c r="S22" s="49">
        <v>178</v>
      </c>
      <c r="T22" s="49">
        <v>184</v>
      </c>
      <c r="U22" s="49">
        <v>8</v>
      </c>
      <c r="V22" s="49">
        <v>0</v>
      </c>
      <c r="W22" s="49">
        <v>0</v>
      </c>
      <c r="X22" s="49">
        <v>8</v>
      </c>
      <c r="Y22" s="49">
        <v>5</v>
      </c>
      <c r="Z22" s="49">
        <v>0</v>
      </c>
      <c r="AA22" s="49">
        <v>1</v>
      </c>
      <c r="AB22" s="49">
        <v>6</v>
      </c>
      <c r="AC22" s="49">
        <v>14</v>
      </c>
      <c r="AD22" s="49">
        <v>416</v>
      </c>
    </row>
    <row r="23" spans="2:30" x14ac:dyDescent="0.25">
      <c r="B23" s="10" t="s">
        <v>44</v>
      </c>
      <c r="C23" s="49">
        <v>1594</v>
      </c>
      <c r="D23" s="49">
        <v>22</v>
      </c>
      <c r="E23" s="49">
        <v>2</v>
      </c>
      <c r="F23" s="49">
        <v>1618</v>
      </c>
      <c r="G23" s="49">
        <v>76</v>
      </c>
      <c r="H23" s="49">
        <v>1</v>
      </c>
      <c r="I23" s="49">
        <v>1</v>
      </c>
      <c r="J23" s="49">
        <v>78</v>
      </c>
      <c r="K23" s="49">
        <v>1696</v>
      </c>
      <c r="L23" s="49">
        <v>90</v>
      </c>
      <c r="M23" s="49">
        <v>1</v>
      </c>
      <c r="N23" s="49">
        <v>8</v>
      </c>
      <c r="O23" s="49">
        <v>99</v>
      </c>
      <c r="P23" s="49">
        <v>1330</v>
      </c>
      <c r="Q23" s="49">
        <v>17</v>
      </c>
      <c r="R23" s="49">
        <v>15</v>
      </c>
      <c r="S23" s="49">
        <v>1362</v>
      </c>
      <c r="T23" s="49">
        <v>1461</v>
      </c>
      <c r="U23" s="49">
        <v>28</v>
      </c>
      <c r="V23" s="49">
        <v>0</v>
      </c>
      <c r="W23" s="49">
        <v>1</v>
      </c>
      <c r="X23" s="49">
        <v>29</v>
      </c>
      <c r="Y23" s="49">
        <v>37</v>
      </c>
      <c r="Z23" s="49">
        <v>0</v>
      </c>
      <c r="AA23" s="49">
        <v>0</v>
      </c>
      <c r="AB23" s="49">
        <v>37</v>
      </c>
      <c r="AC23" s="49">
        <v>66</v>
      </c>
      <c r="AD23" s="49">
        <v>3223</v>
      </c>
    </row>
    <row r="24" spans="2:30" x14ac:dyDescent="0.25">
      <c r="B24" s="11">
        <v>0.66666666666666663</v>
      </c>
      <c r="C24" s="49">
        <v>190</v>
      </c>
      <c r="D24" s="49">
        <v>4</v>
      </c>
      <c r="E24" s="49">
        <v>0</v>
      </c>
      <c r="F24" s="49">
        <v>194</v>
      </c>
      <c r="G24" s="49">
        <v>7</v>
      </c>
      <c r="H24" s="49">
        <v>0</v>
      </c>
      <c r="I24" s="49">
        <v>0</v>
      </c>
      <c r="J24" s="49">
        <v>7</v>
      </c>
      <c r="K24" s="49">
        <v>201</v>
      </c>
      <c r="L24" s="49">
        <v>18</v>
      </c>
      <c r="M24" s="49">
        <v>0</v>
      </c>
      <c r="N24" s="49">
        <v>1</v>
      </c>
      <c r="O24" s="49">
        <v>19</v>
      </c>
      <c r="P24" s="49">
        <v>181</v>
      </c>
      <c r="Q24" s="49">
        <v>4</v>
      </c>
      <c r="R24" s="49">
        <v>0</v>
      </c>
      <c r="S24" s="49">
        <v>185</v>
      </c>
      <c r="T24" s="49">
        <v>204</v>
      </c>
      <c r="U24" s="49">
        <v>5</v>
      </c>
      <c r="V24" s="49">
        <v>0</v>
      </c>
      <c r="W24" s="49">
        <v>0</v>
      </c>
      <c r="X24" s="49">
        <v>5</v>
      </c>
      <c r="Y24" s="49">
        <v>4</v>
      </c>
      <c r="Z24" s="49">
        <v>0</v>
      </c>
      <c r="AA24" s="49">
        <v>0</v>
      </c>
      <c r="AB24" s="49">
        <v>4</v>
      </c>
      <c r="AC24" s="49">
        <v>9</v>
      </c>
      <c r="AD24" s="49">
        <v>414</v>
      </c>
    </row>
    <row r="25" spans="2:30" x14ac:dyDescent="0.25">
      <c r="B25" s="11">
        <v>0.67708333333333337</v>
      </c>
      <c r="C25" s="49">
        <v>219</v>
      </c>
      <c r="D25" s="49">
        <v>4</v>
      </c>
      <c r="E25" s="49">
        <v>0</v>
      </c>
      <c r="F25" s="49">
        <v>223</v>
      </c>
      <c r="G25" s="49">
        <v>7</v>
      </c>
      <c r="H25" s="49">
        <v>0</v>
      </c>
      <c r="I25" s="49">
        <v>0</v>
      </c>
      <c r="J25" s="49">
        <v>7</v>
      </c>
      <c r="K25" s="49">
        <v>230</v>
      </c>
      <c r="L25" s="49">
        <v>9</v>
      </c>
      <c r="M25" s="49">
        <v>0</v>
      </c>
      <c r="N25" s="49">
        <v>0</v>
      </c>
      <c r="O25" s="49">
        <v>9</v>
      </c>
      <c r="P25" s="49">
        <v>165</v>
      </c>
      <c r="Q25" s="49">
        <v>2</v>
      </c>
      <c r="R25" s="49">
        <v>0</v>
      </c>
      <c r="S25" s="49">
        <v>167</v>
      </c>
      <c r="T25" s="49">
        <v>176</v>
      </c>
      <c r="U25" s="49">
        <v>3</v>
      </c>
      <c r="V25" s="49">
        <v>0</v>
      </c>
      <c r="W25" s="49">
        <v>1</v>
      </c>
      <c r="X25" s="49">
        <v>4</v>
      </c>
      <c r="Y25" s="49">
        <v>4</v>
      </c>
      <c r="Z25" s="49">
        <v>0</v>
      </c>
      <c r="AA25" s="49">
        <v>0</v>
      </c>
      <c r="AB25" s="49">
        <v>4</v>
      </c>
      <c r="AC25" s="49">
        <v>8</v>
      </c>
      <c r="AD25" s="49">
        <v>414</v>
      </c>
    </row>
    <row r="26" spans="2:30" x14ac:dyDescent="0.25">
      <c r="B26" s="11">
        <v>0.6875</v>
      </c>
      <c r="C26" s="49">
        <v>212</v>
      </c>
      <c r="D26" s="49">
        <v>2</v>
      </c>
      <c r="E26" s="49">
        <v>0</v>
      </c>
      <c r="F26" s="49">
        <v>214</v>
      </c>
      <c r="G26" s="49">
        <v>9</v>
      </c>
      <c r="H26" s="49">
        <v>0</v>
      </c>
      <c r="I26" s="49">
        <v>0</v>
      </c>
      <c r="J26" s="49">
        <v>9</v>
      </c>
      <c r="K26" s="49">
        <v>223</v>
      </c>
      <c r="L26" s="49">
        <v>7</v>
      </c>
      <c r="M26" s="49">
        <v>1</v>
      </c>
      <c r="N26" s="49">
        <v>2</v>
      </c>
      <c r="O26" s="49">
        <v>10</v>
      </c>
      <c r="P26" s="49">
        <v>152</v>
      </c>
      <c r="Q26" s="49">
        <v>2</v>
      </c>
      <c r="R26" s="49">
        <v>0</v>
      </c>
      <c r="S26" s="49">
        <v>154</v>
      </c>
      <c r="T26" s="49">
        <v>164</v>
      </c>
      <c r="U26" s="49">
        <v>5</v>
      </c>
      <c r="V26" s="49">
        <v>0</v>
      </c>
      <c r="W26" s="49">
        <v>0</v>
      </c>
      <c r="X26" s="49">
        <v>5</v>
      </c>
      <c r="Y26" s="49">
        <v>7</v>
      </c>
      <c r="Z26" s="49">
        <v>0</v>
      </c>
      <c r="AA26" s="49">
        <v>0</v>
      </c>
      <c r="AB26" s="49">
        <v>7</v>
      </c>
      <c r="AC26" s="49">
        <v>12</v>
      </c>
      <c r="AD26" s="49">
        <v>399</v>
      </c>
    </row>
    <row r="27" spans="2:30" x14ac:dyDescent="0.25">
      <c r="B27" s="11">
        <v>0.69791666666666663</v>
      </c>
      <c r="C27" s="49">
        <v>183</v>
      </c>
      <c r="D27" s="49">
        <v>4</v>
      </c>
      <c r="E27" s="49">
        <v>1</v>
      </c>
      <c r="F27" s="49">
        <v>188</v>
      </c>
      <c r="G27" s="49">
        <v>8</v>
      </c>
      <c r="H27" s="49">
        <v>0</v>
      </c>
      <c r="I27" s="49">
        <v>0</v>
      </c>
      <c r="J27" s="49">
        <v>8</v>
      </c>
      <c r="K27" s="49">
        <v>196</v>
      </c>
      <c r="L27" s="49">
        <v>7</v>
      </c>
      <c r="M27" s="49">
        <v>0</v>
      </c>
      <c r="N27" s="49">
        <v>0</v>
      </c>
      <c r="O27" s="49">
        <v>7</v>
      </c>
      <c r="P27" s="49">
        <v>161</v>
      </c>
      <c r="Q27" s="49">
        <v>4</v>
      </c>
      <c r="R27" s="49">
        <v>5</v>
      </c>
      <c r="S27" s="49">
        <v>170</v>
      </c>
      <c r="T27" s="49">
        <v>177</v>
      </c>
      <c r="U27" s="49">
        <v>3</v>
      </c>
      <c r="V27" s="49">
        <v>0</v>
      </c>
      <c r="W27" s="49">
        <v>0</v>
      </c>
      <c r="X27" s="49">
        <v>3</v>
      </c>
      <c r="Y27" s="49">
        <v>3</v>
      </c>
      <c r="Z27" s="49">
        <v>0</v>
      </c>
      <c r="AA27" s="49">
        <v>0</v>
      </c>
      <c r="AB27" s="49">
        <v>3</v>
      </c>
      <c r="AC27" s="49">
        <v>6</v>
      </c>
      <c r="AD27" s="49">
        <v>379</v>
      </c>
    </row>
    <row r="28" spans="2:30" x14ac:dyDescent="0.25">
      <c r="B28" s="11">
        <v>0.70833333333333337</v>
      </c>
      <c r="C28" s="49">
        <v>197</v>
      </c>
      <c r="D28" s="49">
        <v>4</v>
      </c>
      <c r="E28" s="49">
        <v>1</v>
      </c>
      <c r="F28" s="49">
        <v>202</v>
      </c>
      <c r="G28" s="49">
        <v>9</v>
      </c>
      <c r="H28" s="49">
        <v>0</v>
      </c>
      <c r="I28" s="49">
        <v>1</v>
      </c>
      <c r="J28" s="49">
        <v>10</v>
      </c>
      <c r="K28" s="49">
        <v>212</v>
      </c>
      <c r="L28" s="49">
        <v>11</v>
      </c>
      <c r="M28" s="49">
        <v>0</v>
      </c>
      <c r="N28" s="49">
        <v>1</v>
      </c>
      <c r="O28" s="49">
        <v>12</v>
      </c>
      <c r="P28" s="49">
        <v>163</v>
      </c>
      <c r="Q28" s="49">
        <v>2</v>
      </c>
      <c r="R28" s="49">
        <v>3</v>
      </c>
      <c r="S28" s="49">
        <v>168</v>
      </c>
      <c r="T28" s="49">
        <v>180</v>
      </c>
      <c r="U28" s="49">
        <v>2</v>
      </c>
      <c r="V28" s="49">
        <v>0</v>
      </c>
      <c r="W28" s="49">
        <v>0</v>
      </c>
      <c r="X28" s="49">
        <v>2</v>
      </c>
      <c r="Y28" s="49">
        <v>8</v>
      </c>
      <c r="Z28" s="49">
        <v>0</v>
      </c>
      <c r="AA28" s="49">
        <v>0</v>
      </c>
      <c r="AB28" s="49">
        <v>8</v>
      </c>
      <c r="AC28" s="49">
        <v>10</v>
      </c>
      <c r="AD28" s="49">
        <v>402</v>
      </c>
    </row>
    <row r="29" spans="2:30" x14ac:dyDescent="0.25">
      <c r="B29" s="11">
        <v>0.71875</v>
      </c>
      <c r="C29" s="49">
        <v>216</v>
      </c>
      <c r="D29" s="49">
        <v>3</v>
      </c>
      <c r="E29" s="49">
        <v>0</v>
      </c>
      <c r="F29" s="49">
        <v>219</v>
      </c>
      <c r="G29" s="49">
        <v>11</v>
      </c>
      <c r="H29" s="49">
        <v>0</v>
      </c>
      <c r="I29" s="49">
        <v>0</v>
      </c>
      <c r="J29" s="49">
        <v>11</v>
      </c>
      <c r="K29" s="49">
        <v>230</v>
      </c>
      <c r="L29" s="49">
        <v>8</v>
      </c>
      <c r="M29" s="49">
        <v>0</v>
      </c>
      <c r="N29" s="49">
        <v>0</v>
      </c>
      <c r="O29" s="49">
        <v>8</v>
      </c>
      <c r="P29" s="49">
        <v>167</v>
      </c>
      <c r="Q29" s="49">
        <v>0</v>
      </c>
      <c r="R29" s="49">
        <v>2</v>
      </c>
      <c r="S29" s="49">
        <v>169</v>
      </c>
      <c r="T29" s="49">
        <v>177</v>
      </c>
      <c r="U29" s="49">
        <v>3</v>
      </c>
      <c r="V29" s="49">
        <v>0</v>
      </c>
      <c r="W29" s="49">
        <v>0</v>
      </c>
      <c r="X29" s="49">
        <v>3</v>
      </c>
      <c r="Y29" s="49">
        <v>2</v>
      </c>
      <c r="Z29" s="49">
        <v>0</v>
      </c>
      <c r="AA29" s="49">
        <v>0</v>
      </c>
      <c r="AB29" s="49">
        <v>2</v>
      </c>
      <c r="AC29" s="49">
        <v>5</v>
      </c>
      <c r="AD29" s="49">
        <v>412</v>
      </c>
    </row>
    <row r="30" spans="2:30" x14ac:dyDescent="0.25">
      <c r="B30" s="11">
        <v>0.72916666666666663</v>
      </c>
      <c r="C30" s="49">
        <v>206</v>
      </c>
      <c r="D30" s="49">
        <v>0</v>
      </c>
      <c r="E30" s="49">
        <v>0</v>
      </c>
      <c r="F30" s="49">
        <v>206</v>
      </c>
      <c r="G30" s="49">
        <v>12</v>
      </c>
      <c r="H30" s="49">
        <v>0</v>
      </c>
      <c r="I30" s="49">
        <v>0</v>
      </c>
      <c r="J30" s="49">
        <v>12</v>
      </c>
      <c r="K30" s="49">
        <v>218</v>
      </c>
      <c r="L30" s="49">
        <v>15</v>
      </c>
      <c r="M30" s="49">
        <v>0</v>
      </c>
      <c r="N30" s="49">
        <v>3</v>
      </c>
      <c r="O30" s="49">
        <v>18</v>
      </c>
      <c r="P30" s="49">
        <v>175</v>
      </c>
      <c r="Q30" s="49">
        <v>2</v>
      </c>
      <c r="R30" s="49">
        <v>4</v>
      </c>
      <c r="S30" s="49">
        <v>181</v>
      </c>
      <c r="T30" s="49">
        <v>199</v>
      </c>
      <c r="U30" s="49">
        <v>4</v>
      </c>
      <c r="V30" s="49">
        <v>0</v>
      </c>
      <c r="W30" s="49">
        <v>0</v>
      </c>
      <c r="X30" s="49">
        <v>4</v>
      </c>
      <c r="Y30" s="49">
        <v>4</v>
      </c>
      <c r="Z30" s="49">
        <v>0</v>
      </c>
      <c r="AA30" s="49">
        <v>0</v>
      </c>
      <c r="AB30" s="49">
        <v>4</v>
      </c>
      <c r="AC30" s="49">
        <v>8</v>
      </c>
      <c r="AD30" s="49">
        <v>425</v>
      </c>
    </row>
    <row r="31" spans="2:30" x14ac:dyDescent="0.25">
      <c r="B31" s="11">
        <v>0.73958333333333337</v>
      </c>
      <c r="C31" s="49">
        <v>171</v>
      </c>
      <c r="D31" s="49">
        <v>1</v>
      </c>
      <c r="E31" s="49">
        <v>0</v>
      </c>
      <c r="F31" s="49">
        <v>172</v>
      </c>
      <c r="G31" s="49">
        <v>13</v>
      </c>
      <c r="H31" s="49">
        <v>1</v>
      </c>
      <c r="I31" s="49">
        <v>0</v>
      </c>
      <c r="J31" s="49">
        <v>14</v>
      </c>
      <c r="K31" s="49">
        <v>186</v>
      </c>
      <c r="L31" s="49">
        <v>15</v>
      </c>
      <c r="M31" s="49">
        <v>0</v>
      </c>
      <c r="N31" s="49">
        <v>1</v>
      </c>
      <c r="O31" s="49">
        <v>16</v>
      </c>
      <c r="P31" s="49">
        <v>166</v>
      </c>
      <c r="Q31" s="49">
        <v>1</v>
      </c>
      <c r="R31" s="49">
        <v>1</v>
      </c>
      <c r="S31" s="49">
        <v>168</v>
      </c>
      <c r="T31" s="49">
        <v>184</v>
      </c>
      <c r="U31" s="49">
        <v>3</v>
      </c>
      <c r="V31" s="49">
        <v>0</v>
      </c>
      <c r="W31" s="49">
        <v>0</v>
      </c>
      <c r="X31" s="49">
        <v>3</v>
      </c>
      <c r="Y31" s="49">
        <v>5</v>
      </c>
      <c r="Z31" s="49">
        <v>0</v>
      </c>
      <c r="AA31" s="49">
        <v>0</v>
      </c>
      <c r="AB31" s="49">
        <v>5</v>
      </c>
      <c r="AC31" s="49">
        <v>8</v>
      </c>
      <c r="AD31" s="49">
        <v>378</v>
      </c>
    </row>
    <row r="32" spans="2:30" x14ac:dyDescent="0.25">
      <c r="B32" s="10" t="s">
        <v>91</v>
      </c>
      <c r="C32" s="49">
        <v>611</v>
      </c>
      <c r="D32" s="49">
        <v>24</v>
      </c>
      <c r="E32" s="49">
        <v>2</v>
      </c>
      <c r="F32" s="49">
        <v>637</v>
      </c>
      <c r="G32" s="49">
        <v>16</v>
      </c>
      <c r="H32" s="49">
        <v>1</v>
      </c>
      <c r="I32" s="49">
        <v>0</v>
      </c>
      <c r="J32" s="49">
        <v>17</v>
      </c>
      <c r="K32" s="49">
        <v>654</v>
      </c>
      <c r="L32" s="49">
        <v>19</v>
      </c>
      <c r="M32" s="49">
        <v>1</v>
      </c>
      <c r="N32" s="49">
        <v>0</v>
      </c>
      <c r="O32" s="49">
        <v>20</v>
      </c>
      <c r="P32" s="49">
        <v>517</v>
      </c>
      <c r="Q32" s="49">
        <v>23</v>
      </c>
      <c r="R32" s="49">
        <v>2</v>
      </c>
      <c r="S32" s="49">
        <v>542</v>
      </c>
      <c r="T32" s="49">
        <v>562</v>
      </c>
      <c r="U32" s="49">
        <v>16</v>
      </c>
      <c r="V32" s="49">
        <v>1</v>
      </c>
      <c r="W32" s="49">
        <v>1</v>
      </c>
      <c r="X32" s="49">
        <v>18</v>
      </c>
      <c r="Y32" s="49">
        <v>18</v>
      </c>
      <c r="Z32" s="49">
        <v>0</v>
      </c>
      <c r="AA32" s="49">
        <v>1</v>
      </c>
      <c r="AB32" s="49">
        <v>19</v>
      </c>
      <c r="AC32" s="49">
        <v>37</v>
      </c>
      <c r="AD32" s="49">
        <v>1253</v>
      </c>
    </row>
    <row r="33" spans="2:30" x14ac:dyDescent="0.25">
      <c r="B33" s="11">
        <v>0.54166666666666663</v>
      </c>
      <c r="C33" s="49">
        <v>145</v>
      </c>
      <c r="D33" s="49">
        <v>9</v>
      </c>
      <c r="E33" s="49">
        <v>1</v>
      </c>
      <c r="F33" s="49">
        <v>155</v>
      </c>
      <c r="G33" s="49">
        <v>5</v>
      </c>
      <c r="H33" s="49">
        <v>1</v>
      </c>
      <c r="I33" s="49">
        <v>0</v>
      </c>
      <c r="J33" s="49">
        <v>6</v>
      </c>
      <c r="K33" s="49">
        <v>161</v>
      </c>
      <c r="L33" s="49">
        <v>5</v>
      </c>
      <c r="M33" s="49">
        <v>0</v>
      </c>
      <c r="N33" s="49">
        <v>0</v>
      </c>
      <c r="O33" s="49">
        <v>5</v>
      </c>
      <c r="P33" s="49">
        <v>132</v>
      </c>
      <c r="Q33" s="49">
        <v>6</v>
      </c>
      <c r="R33" s="49">
        <v>1</v>
      </c>
      <c r="S33" s="49">
        <v>139</v>
      </c>
      <c r="T33" s="49">
        <v>144</v>
      </c>
      <c r="U33" s="49">
        <v>1</v>
      </c>
      <c r="V33" s="49">
        <v>0</v>
      </c>
      <c r="W33" s="49">
        <v>1</v>
      </c>
      <c r="X33" s="49">
        <v>2</v>
      </c>
      <c r="Y33" s="49">
        <v>1</v>
      </c>
      <c r="Z33" s="49">
        <v>0</v>
      </c>
      <c r="AA33" s="49">
        <v>1</v>
      </c>
      <c r="AB33" s="49">
        <v>2</v>
      </c>
      <c r="AC33" s="49">
        <v>4</v>
      </c>
      <c r="AD33" s="49">
        <v>309</v>
      </c>
    </row>
    <row r="34" spans="2:30" x14ac:dyDescent="0.25">
      <c r="B34" s="11">
        <v>0.55208333333333337</v>
      </c>
      <c r="C34" s="49">
        <v>146</v>
      </c>
      <c r="D34" s="49">
        <v>5</v>
      </c>
      <c r="E34" s="49">
        <v>1</v>
      </c>
      <c r="F34" s="49">
        <v>152</v>
      </c>
      <c r="G34" s="49">
        <v>5</v>
      </c>
      <c r="H34" s="49">
        <v>0</v>
      </c>
      <c r="I34" s="49">
        <v>0</v>
      </c>
      <c r="J34" s="49">
        <v>5</v>
      </c>
      <c r="K34" s="49">
        <v>157</v>
      </c>
      <c r="L34" s="49">
        <v>6</v>
      </c>
      <c r="M34" s="49">
        <v>0</v>
      </c>
      <c r="N34" s="49">
        <v>0</v>
      </c>
      <c r="O34" s="49">
        <v>6</v>
      </c>
      <c r="P34" s="49">
        <v>118</v>
      </c>
      <c r="Q34" s="49">
        <v>6</v>
      </c>
      <c r="R34" s="49">
        <v>0</v>
      </c>
      <c r="S34" s="49">
        <v>124</v>
      </c>
      <c r="T34" s="49">
        <v>130</v>
      </c>
      <c r="U34" s="49">
        <v>5</v>
      </c>
      <c r="V34" s="49">
        <v>0</v>
      </c>
      <c r="W34" s="49">
        <v>0</v>
      </c>
      <c r="X34" s="49">
        <v>5</v>
      </c>
      <c r="Y34" s="49">
        <v>8</v>
      </c>
      <c r="Z34" s="49">
        <v>0</v>
      </c>
      <c r="AA34" s="49">
        <v>0</v>
      </c>
      <c r="AB34" s="49">
        <v>8</v>
      </c>
      <c r="AC34" s="49">
        <v>13</v>
      </c>
      <c r="AD34" s="49">
        <v>300</v>
      </c>
    </row>
    <row r="35" spans="2:30" x14ac:dyDescent="0.25">
      <c r="B35" s="11">
        <v>0.5625</v>
      </c>
      <c r="C35" s="49">
        <v>151</v>
      </c>
      <c r="D35" s="49">
        <v>2</v>
      </c>
      <c r="E35" s="49">
        <v>0</v>
      </c>
      <c r="F35" s="49">
        <v>153</v>
      </c>
      <c r="G35" s="49">
        <v>2</v>
      </c>
      <c r="H35" s="49">
        <v>0</v>
      </c>
      <c r="I35" s="49">
        <v>0</v>
      </c>
      <c r="J35" s="49">
        <v>2</v>
      </c>
      <c r="K35" s="49">
        <v>155</v>
      </c>
      <c r="L35" s="49">
        <v>5</v>
      </c>
      <c r="M35" s="49">
        <v>1</v>
      </c>
      <c r="N35" s="49">
        <v>0</v>
      </c>
      <c r="O35" s="49">
        <v>6</v>
      </c>
      <c r="P35" s="49">
        <v>141</v>
      </c>
      <c r="Q35" s="49">
        <v>6</v>
      </c>
      <c r="R35" s="49">
        <v>1</v>
      </c>
      <c r="S35" s="49">
        <v>148</v>
      </c>
      <c r="T35" s="49">
        <v>154</v>
      </c>
      <c r="U35" s="49">
        <v>6</v>
      </c>
      <c r="V35" s="49">
        <v>1</v>
      </c>
      <c r="W35" s="49">
        <v>0</v>
      </c>
      <c r="X35" s="49">
        <v>7</v>
      </c>
      <c r="Y35" s="49">
        <v>4</v>
      </c>
      <c r="Z35" s="49">
        <v>0</v>
      </c>
      <c r="AA35" s="49">
        <v>0</v>
      </c>
      <c r="AB35" s="49">
        <v>4</v>
      </c>
      <c r="AC35" s="49">
        <v>11</v>
      </c>
      <c r="AD35" s="49">
        <v>320</v>
      </c>
    </row>
    <row r="36" spans="2:30" x14ac:dyDescent="0.25">
      <c r="B36" s="11">
        <v>0.57291666666666663</v>
      </c>
      <c r="C36" s="49">
        <v>169</v>
      </c>
      <c r="D36" s="49">
        <v>8</v>
      </c>
      <c r="E36" s="49">
        <v>0</v>
      </c>
      <c r="F36" s="49">
        <v>177</v>
      </c>
      <c r="G36" s="49">
        <v>4</v>
      </c>
      <c r="H36" s="49">
        <v>0</v>
      </c>
      <c r="I36" s="49">
        <v>0</v>
      </c>
      <c r="J36" s="49">
        <v>4</v>
      </c>
      <c r="K36" s="49">
        <v>181</v>
      </c>
      <c r="L36" s="49">
        <v>3</v>
      </c>
      <c r="M36" s="49">
        <v>0</v>
      </c>
      <c r="N36" s="49">
        <v>0</v>
      </c>
      <c r="O36" s="49">
        <v>3</v>
      </c>
      <c r="P36" s="49">
        <v>126</v>
      </c>
      <c r="Q36" s="49">
        <v>5</v>
      </c>
      <c r="R36" s="49">
        <v>0</v>
      </c>
      <c r="S36" s="49">
        <v>131</v>
      </c>
      <c r="T36" s="49">
        <v>134</v>
      </c>
      <c r="U36" s="49">
        <v>4</v>
      </c>
      <c r="V36" s="49">
        <v>0</v>
      </c>
      <c r="W36" s="49">
        <v>0</v>
      </c>
      <c r="X36" s="49">
        <v>4</v>
      </c>
      <c r="Y36" s="49">
        <v>5</v>
      </c>
      <c r="Z36" s="49">
        <v>0</v>
      </c>
      <c r="AA36" s="49">
        <v>0</v>
      </c>
      <c r="AB36" s="49">
        <v>5</v>
      </c>
      <c r="AC36" s="49">
        <v>9</v>
      </c>
      <c r="AD36" s="49">
        <v>324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1698</v>
      </c>
      <c r="I5">
        <f>MAX(I11:I303)</f>
        <v>1253</v>
      </c>
      <c r="J5">
        <f>MAX(J11:J303)</f>
        <v>1618</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1698 vehicles between 07:45 and 08:45</v>
      </c>
      <c r="I8" s="6" t="str">
        <f>IF(I5=0,"","The peak hour for " &amp;I10&amp;" is "&amp;I5&amp;" vehicles between " &amp; TEXT(I6, "hh:mm")&amp; " and " &amp;TEXT(I7,"hh:mm"))</f>
        <v>The peak hour for INT is 1253 vehicles between 13:00 and 14:00</v>
      </c>
      <c r="J8" s="6" t="str">
        <f>IF(J5=0,"","The peak hour for " &amp;J10&amp;" is "&amp;J5&amp;" vehicles between " &amp; TEXT(J6, "hh:mm")&amp; " and " &amp;TEXT(J7,"hh:mm"))</f>
        <v>The peak hour for PM is 1618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281</v>
      </c>
      <c r="C11" s="49"/>
      <c r="D11" s="49"/>
      <c r="G11" s="7">
        <f>A11</f>
        <v>0.29166666666666669</v>
      </c>
      <c r="H11">
        <f>IF(B11&lt;&gt;0,SUMIF($G$11:$G11,"&gt;"&amp;$G11-1/24,B$11:B11),0)</f>
        <v>281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281</v>
      </c>
      <c r="Q11">
        <f>P11*L11</f>
        <v>0</v>
      </c>
      <c r="S11" s="9">
        <v>0.29166666666666669</v>
      </c>
      <c r="T11" s="49">
        <v>281</v>
      </c>
      <c r="U11" s="49">
        <v>0</v>
      </c>
    </row>
    <row r="12" spans="1:21" x14ac:dyDescent="0.25">
      <c r="A12" s="9">
        <v>0.30208333333333331</v>
      </c>
      <c r="B12" s="49">
        <v>334</v>
      </c>
      <c r="C12" s="49"/>
      <c r="D12" s="49"/>
      <c r="G12" s="7">
        <f t="shared" ref="G12:G26" si="3">A12</f>
        <v>0.30208333333333331</v>
      </c>
      <c r="H12">
        <f>IF(B12&lt;&gt;0,SUMIF($G$11:$G12,"&gt;"&amp;$G12-1/24,B$11:B12),0)</f>
        <v>615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334</v>
      </c>
      <c r="Q12">
        <f t="shared" ref="Q12:Q75" si="7">P12*L12</f>
        <v>0</v>
      </c>
      <c r="S12" s="9">
        <v>0.30208333333333331</v>
      </c>
      <c r="T12" s="49">
        <v>334</v>
      </c>
      <c r="U12" s="49">
        <v>0</v>
      </c>
    </row>
    <row r="13" spans="1:21" x14ac:dyDescent="0.25">
      <c r="A13" s="9">
        <v>0.3125</v>
      </c>
      <c r="B13" s="49">
        <v>385</v>
      </c>
      <c r="C13" s="49"/>
      <c r="D13" s="49"/>
      <c r="G13" s="7">
        <f t="shared" si="3"/>
        <v>0.3125</v>
      </c>
      <c r="H13">
        <f>IF(B13&lt;&gt;0,SUMIF($G$11:$G13,"&gt;"&amp;$G13-1/24,B$11:B13),0)</f>
        <v>1000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385</v>
      </c>
      <c r="Q13">
        <f t="shared" si="7"/>
        <v>0</v>
      </c>
      <c r="S13" s="9">
        <v>0.3125</v>
      </c>
      <c r="T13" s="49">
        <v>385</v>
      </c>
      <c r="U13" s="49">
        <v>0</v>
      </c>
    </row>
    <row r="14" spans="1:21" x14ac:dyDescent="0.25">
      <c r="A14" s="9">
        <v>0.32291666666666669</v>
      </c>
      <c r="B14" s="49">
        <v>463</v>
      </c>
      <c r="C14" s="49"/>
      <c r="D14" s="49"/>
      <c r="G14" s="7">
        <f t="shared" si="3"/>
        <v>0.32291666666666669</v>
      </c>
      <c r="H14">
        <f>IF(B14&lt;&gt;0,SUMIF($G$11:$G14,"&gt;"&amp;$G14-1/24,B$11:B14),0)</f>
        <v>1463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463</v>
      </c>
      <c r="Q14">
        <f t="shared" si="7"/>
        <v>463</v>
      </c>
      <c r="S14" s="9">
        <v>0.32291666666666669</v>
      </c>
      <c r="T14" s="49">
        <v>463</v>
      </c>
      <c r="U14" s="49">
        <v>463</v>
      </c>
    </row>
    <row r="15" spans="1:21" x14ac:dyDescent="0.25">
      <c r="A15" s="9">
        <v>0.33333333333333331</v>
      </c>
      <c r="B15" s="49">
        <v>415</v>
      </c>
      <c r="C15" s="49"/>
      <c r="D15" s="49"/>
      <c r="G15" s="7">
        <f t="shared" si="3"/>
        <v>0.33333333333333331</v>
      </c>
      <c r="H15">
        <f>IF(B15&lt;&gt;0,SUMIF($G$11:$G15,"&gt;"&amp;$G15-1/24,B$11:B15),0)</f>
        <v>1597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415</v>
      </c>
      <c r="Q15">
        <f t="shared" si="7"/>
        <v>415</v>
      </c>
      <c r="S15" s="9">
        <v>0.33333333333333331</v>
      </c>
      <c r="T15" s="49">
        <v>415</v>
      </c>
      <c r="U15" s="49">
        <v>415</v>
      </c>
    </row>
    <row r="16" spans="1:21" x14ac:dyDescent="0.25">
      <c r="A16" s="9">
        <v>0.34375</v>
      </c>
      <c r="B16" s="49">
        <v>411</v>
      </c>
      <c r="C16" s="49"/>
      <c r="D16" s="49"/>
      <c r="G16" s="7">
        <f t="shared" si="3"/>
        <v>0.34375</v>
      </c>
      <c r="H16">
        <f>IF(B16&lt;&gt;0,SUMIF($G$11:$G16,"&gt;"&amp;$G16-1/24,B$11:B16),0)</f>
        <v>1674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411</v>
      </c>
      <c r="Q16">
        <f t="shared" si="7"/>
        <v>411</v>
      </c>
      <c r="S16" s="9">
        <v>0.34375</v>
      </c>
      <c r="T16" s="49">
        <v>411</v>
      </c>
      <c r="U16" s="49">
        <v>411</v>
      </c>
    </row>
    <row r="17" spans="1:21" x14ac:dyDescent="0.25">
      <c r="A17" s="9">
        <v>0.35416666666666669</v>
      </c>
      <c r="B17" s="49">
        <v>409</v>
      </c>
      <c r="C17" s="49"/>
      <c r="D17" s="49"/>
      <c r="G17" s="7">
        <f t="shared" si="3"/>
        <v>0.35416666666666669</v>
      </c>
      <c r="H17">
        <f>IF(B17&lt;&gt;0,SUMIF($G$11:$G17,"&gt;"&amp;$G17-1/24,B$11:B17),0)</f>
        <v>1698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409</v>
      </c>
      <c r="Q17">
        <f t="shared" si="7"/>
        <v>409</v>
      </c>
      <c r="S17" s="9">
        <v>0.35416666666666669</v>
      </c>
      <c r="T17" s="49">
        <v>409</v>
      </c>
      <c r="U17" s="49">
        <v>409</v>
      </c>
    </row>
    <row r="18" spans="1:21" x14ac:dyDescent="0.25">
      <c r="A18" s="9">
        <v>0.36458333333333331</v>
      </c>
      <c r="B18" s="49">
        <v>416</v>
      </c>
      <c r="C18" s="49"/>
      <c r="D18" s="49"/>
      <c r="G18" s="7">
        <f t="shared" si="3"/>
        <v>0.36458333333333331</v>
      </c>
      <c r="H18">
        <f>IF(B18&lt;&gt;0,SUMIF($G$11:$G18,"&gt;"&amp;$G18-1/24,B$11:B18),0)</f>
        <v>1651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416</v>
      </c>
      <c r="Q18">
        <f t="shared" si="7"/>
        <v>0</v>
      </c>
      <c r="S18" s="9">
        <v>0.36458333333333331</v>
      </c>
      <c r="T18" s="49">
        <v>416</v>
      </c>
      <c r="U18" s="49">
        <v>0</v>
      </c>
    </row>
    <row r="19" spans="1:21" x14ac:dyDescent="0.25">
      <c r="A19" s="9">
        <v>0.54166666666666663</v>
      </c>
      <c r="B19" s="49"/>
      <c r="C19" s="49">
        <v>309</v>
      </c>
      <c r="D19" s="49"/>
      <c r="G19" s="7">
        <f t="shared" si="3"/>
        <v>0.54166666666666663</v>
      </c>
      <c r="H19">
        <f>IF(B19&lt;&gt;0,SUMIF($G$11:$G19,"&gt;"&amp;$G19-1/24,B$11:B19),0)</f>
        <v>0</v>
      </c>
      <c r="I19">
        <f>IF(C19&lt;&gt;0,SUMIF($G$11:$G19,"&gt;"&amp;$G19-1/24,C$11:C19),0)</f>
        <v>309</v>
      </c>
      <c r="J19">
        <f>IF(D19&lt;&gt;0,SUMIF($G$11:$G19,"&gt;"&amp;$G19-1/24,D$11:D19),0)</f>
        <v>0</v>
      </c>
      <c r="K19">
        <f>IF(E19&lt;&gt;0,SUMIF($G$11:$G19,"&gt;"&amp;$G19-1/24,E$11:E19),0)</f>
        <v>0</v>
      </c>
      <c r="L19">
        <f t="shared" si="4"/>
        <v>1</v>
      </c>
      <c r="N19" t="str">
        <f t="shared" si="5"/>
        <v>INT</v>
      </c>
      <c r="O19" s="7">
        <f t="shared" si="2"/>
        <v>0.54166666666666663</v>
      </c>
      <c r="P19">
        <f t="shared" si="6"/>
        <v>309</v>
      </c>
      <c r="Q19">
        <f t="shared" si="7"/>
        <v>309</v>
      </c>
      <c r="S19" s="9" t="s">
        <v>49</v>
      </c>
      <c r="T19" s="49">
        <v>3114</v>
      </c>
      <c r="U19" s="49">
        <v>1698</v>
      </c>
    </row>
    <row r="20" spans="1:21" x14ac:dyDescent="0.25">
      <c r="A20" s="9">
        <v>0.55208333333333337</v>
      </c>
      <c r="B20" s="49"/>
      <c r="C20" s="49">
        <v>300</v>
      </c>
      <c r="D20" s="49"/>
      <c r="G20" s="7">
        <f t="shared" si="3"/>
        <v>0.55208333333333337</v>
      </c>
      <c r="H20">
        <f>IF(B20&lt;&gt;0,SUMIF($G$11:$G20,"&gt;"&amp;$G20-1/24,B$11:B20),0)</f>
        <v>0</v>
      </c>
      <c r="I20">
        <f>IF(C20&lt;&gt;0,SUMIF($G$11:$G20,"&gt;"&amp;$G20-1/24,C$11:C20),0)</f>
        <v>609</v>
      </c>
      <c r="J20">
        <f>IF(D20&lt;&gt;0,SUMIF($G$11:$G20,"&gt;"&amp;$G20-1/24,D$11:D20),0)</f>
        <v>0</v>
      </c>
      <c r="K20">
        <f>IF(E20&lt;&gt;0,SUMIF($G$11:$G20,"&gt;"&amp;$G20-1/24,E$11:E20),0)</f>
        <v>0</v>
      </c>
      <c r="L20">
        <f t="shared" si="4"/>
        <v>1</v>
      </c>
      <c r="N20" t="str">
        <f t="shared" si="5"/>
        <v>INT</v>
      </c>
      <c r="O20" s="7">
        <f t="shared" si="2"/>
        <v>0.55208333333333337</v>
      </c>
      <c r="P20">
        <f t="shared" si="6"/>
        <v>300</v>
      </c>
      <c r="Q20">
        <f t="shared" si="7"/>
        <v>300</v>
      </c>
    </row>
    <row r="21" spans="1:21" x14ac:dyDescent="0.25">
      <c r="A21" s="9">
        <v>0.5625</v>
      </c>
      <c r="B21" s="49"/>
      <c r="C21" s="49">
        <v>320</v>
      </c>
      <c r="D21" s="49"/>
      <c r="G21" s="7">
        <f t="shared" si="3"/>
        <v>0.5625</v>
      </c>
      <c r="H21">
        <f>IF(B21&lt;&gt;0,SUMIF($G$11:$G21,"&gt;"&amp;$G21-1/24,B$11:B21),0)</f>
        <v>0</v>
      </c>
      <c r="I21">
        <f>IF(C21&lt;&gt;0,SUMIF($G$11:$G21,"&gt;"&amp;$G21-1/24,C$11:C21),0)</f>
        <v>929</v>
      </c>
      <c r="J21">
        <f>IF(D21&lt;&gt;0,SUMIF($G$11:$G21,"&gt;"&amp;$G21-1/24,D$11:D21),0)</f>
        <v>0</v>
      </c>
      <c r="K21">
        <f>IF(E21&lt;&gt;0,SUMIF($G$11:$G21,"&gt;"&amp;$G21-1/24,E$11:E21),0)</f>
        <v>0</v>
      </c>
      <c r="L21">
        <f t="shared" si="4"/>
        <v>1</v>
      </c>
      <c r="N21" t="str">
        <f t="shared" si="5"/>
        <v>INT</v>
      </c>
      <c r="O21" s="7">
        <f t="shared" si="2"/>
        <v>0.5625</v>
      </c>
      <c r="P21">
        <f t="shared" si="6"/>
        <v>320</v>
      </c>
      <c r="Q21">
        <f t="shared" si="7"/>
        <v>320</v>
      </c>
    </row>
    <row r="22" spans="1:21" x14ac:dyDescent="0.25">
      <c r="A22" s="9">
        <v>0.57291666666666663</v>
      </c>
      <c r="B22" s="49"/>
      <c r="C22" s="49">
        <v>324</v>
      </c>
      <c r="D22" s="49"/>
      <c r="G22" s="7">
        <f t="shared" si="3"/>
        <v>0.57291666666666663</v>
      </c>
      <c r="H22">
        <f>IF(B22&lt;&gt;0,SUMIF($G$11:$G22,"&gt;"&amp;$G22-1/24,B$11:B22),0)</f>
        <v>0</v>
      </c>
      <c r="I22">
        <f>IF(C22&lt;&gt;0,SUMIF($G$11:$G22,"&gt;"&amp;$G22-1/24,C$11:C22),0)</f>
        <v>1253</v>
      </c>
      <c r="J22">
        <f>IF(D22&lt;&gt;0,SUMIF($G$11:$G22,"&gt;"&amp;$G22-1/24,D$11:D22),0)</f>
        <v>0</v>
      </c>
      <c r="K22">
        <f>IF(E22&lt;&gt;0,SUMIF($G$11:$G22,"&gt;"&amp;$G22-1/24,E$11:E22),0)</f>
        <v>0</v>
      </c>
      <c r="L22">
        <f t="shared" si="4"/>
        <v>1</v>
      </c>
      <c r="N22" t="str">
        <f t="shared" si="5"/>
        <v>INT</v>
      </c>
      <c r="O22" s="7">
        <f t="shared" si="2"/>
        <v>0.57291666666666663</v>
      </c>
      <c r="P22">
        <f t="shared" si="6"/>
        <v>324</v>
      </c>
      <c r="Q22">
        <f t="shared" si="7"/>
        <v>324</v>
      </c>
    </row>
    <row r="23" spans="1:21" x14ac:dyDescent="0.25">
      <c r="A23" s="9">
        <v>0.66666666666666663</v>
      </c>
      <c r="B23" s="49"/>
      <c r="C23" s="49"/>
      <c r="D23" s="49">
        <v>414</v>
      </c>
      <c r="G23" s="7">
        <f t="shared" si="3"/>
        <v>0.66666666666666663</v>
      </c>
      <c r="H23">
        <f>IF(B23&lt;&gt;0,SUMIF($G$11:$G23,"&gt;"&amp;$G23-1/24,B$11:B23),0)</f>
        <v>0</v>
      </c>
      <c r="I23">
        <f>IF(C23&lt;&gt;0,SUMIF($G$11:$G23,"&gt;"&amp;$G23-1/24,C$11:C23),0)</f>
        <v>0</v>
      </c>
      <c r="J23">
        <f>IF(D23&lt;&gt;0,SUMIF($G$11:$G23,"&gt;"&amp;$G23-1/24,D$11:D23),0)</f>
        <v>414</v>
      </c>
      <c r="K23">
        <f>IF(E23&lt;&gt;0,SUMIF($G$11:$G23,"&gt;"&amp;$G23-1/24,E$11:E23),0)</f>
        <v>0</v>
      </c>
      <c r="L23">
        <f t="shared" si="4"/>
        <v>0</v>
      </c>
      <c r="N23" t="str">
        <f t="shared" si="5"/>
        <v>PM</v>
      </c>
      <c r="O23" s="7">
        <f t="shared" si="2"/>
        <v>0.66666666666666663</v>
      </c>
      <c r="P23">
        <f t="shared" si="6"/>
        <v>414</v>
      </c>
      <c r="Q23">
        <f t="shared" si="7"/>
        <v>0</v>
      </c>
    </row>
    <row r="24" spans="1:21" x14ac:dyDescent="0.25">
      <c r="A24" s="9">
        <v>0.67708333333333337</v>
      </c>
      <c r="B24" s="49"/>
      <c r="C24" s="49"/>
      <c r="D24" s="49">
        <v>414</v>
      </c>
      <c r="G24" s="7">
        <f t="shared" si="3"/>
        <v>0.67708333333333337</v>
      </c>
      <c r="H24">
        <f>IF(B24&lt;&gt;0,SUMIF($G$11:$G24,"&gt;"&amp;$G24-1/24,B$11:B24),0)</f>
        <v>0</v>
      </c>
      <c r="I24">
        <f>IF(C24&lt;&gt;0,SUMIF($G$11:$G24,"&gt;"&amp;$G24-1/24,C$11:C24),0)</f>
        <v>0</v>
      </c>
      <c r="J24">
        <f>IF(D24&lt;&gt;0,SUMIF($G$11:$G24,"&gt;"&amp;$G24-1/24,D$11:D24),0)</f>
        <v>828</v>
      </c>
      <c r="K24">
        <f>IF(E24&lt;&gt;0,SUMIF($G$11:$G24,"&gt;"&amp;$G24-1/24,E$11:E24),0)</f>
        <v>0</v>
      </c>
      <c r="L24">
        <f t="shared" si="4"/>
        <v>0</v>
      </c>
      <c r="N24" t="str">
        <f t="shared" si="5"/>
        <v>PM</v>
      </c>
      <c r="O24" s="7">
        <f t="shared" si="2"/>
        <v>0.67708333333333337</v>
      </c>
      <c r="P24">
        <f t="shared" si="6"/>
        <v>414</v>
      </c>
      <c r="Q24">
        <f t="shared" si="7"/>
        <v>0</v>
      </c>
    </row>
    <row r="25" spans="1:21" x14ac:dyDescent="0.25">
      <c r="A25" s="9">
        <v>0.6875</v>
      </c>
      <c r="B25" s="49"/>
      <c r="C25" s="49"/>
      <c r="D25" s="49">
        <v>399</v>
      </c>
      <c r="G25" s="7">
        <f t="shared" si="3"/>
        <v>0.6875</v>
      </c>
      <c r="H25">
        <f>IF(B25&lt;&gt;0,SUMIF($G$11:$G25,"&gt;"&amp;$G25-1/24,B$11:B25),0)</f>
        <v>0</v>
      </c>
      <c r="I25">
        <f>IF(C25&lt;&gt;0,SUMIF($G$11:$G25,"&gt;"&amp;$G25-1/24,C$11:C25),0)</f>
        <v>0</v>
      </c>
      <c r="J25">
        <f>IF(D25&lt;&gt;0,SUMIF($G$11:$G25,"&gt;"&amp;$G25-1/24,D$11:D25),0)</f>
        <v>1227</v>
      </c>
      <c r="K25">
        <f>IF(E25&lt;&gt;0,SUMIF($G$11:$G25,"&gt;"&amp;$G25-1/24,E$11:E25),0)</f>
        <v>0</v>
      </c>
      <c r="L25">
        <f t="shared" si="4"/>
        <v>0</v>
      </c>
      <c r="N25" t="str">
        <f t="shared" si="5"/>
        <v>PM</v>
      </c>
      <c r="O25" s="7">
        <f t="shared" si="2"/>
        <v>0.6875</v>
      </c>
      <c r="P25">
        <f t="shared" si="6"/>
        <v>399</v>
      </c>
      <c r="Q25">
        <f t="shared" si="7"/>
        <v>0</v>
      </c>
    </row>
    <row r="26" spans="1:21" x14ac:dyDescent="0.25">
      <c r="A26" s="9">
        <v>0.69791666666666663</v>
      </c>
      <c r="B26" s="49"/>
      <c r="C26" s="49"/>
      <c r="D26" s="49">
        <v>379</v>
      </c>
      <c r="G26" s="7">
        <f t="shared" si="3"/>
        <v>0.69791666666666663</v>
      </c>
      <c r="H26">
        <f>IF(B26&lt;&gt;0,SUMIF($G$11:$G26,"&gt;"&amp;$G26-1/24,B$11:B26),0)</f>
        <v>0</v>
      </c>
      <c r="I26">
        <f>IF(C26&lt;&gt;0,SUMIF($G$11:$G26,"&gt;"&amp;$G26-1/24,C$11:C26),0)</f>
        <v>0</v>
      </c>
      <c r="J26">
        <f>IF(D26&lt;&gt;0,SUMIF($G$11:$G26,"&gt;"&amp;$G26-1/24,D$11:D26),0)</f>
        <v>1606</v>
      </c>
      <c r="K26">
        <f>IF(E26&lt;&gt;0,SUMIF($G$11:$G26,"&gt;"&amp;$G26-1/24,E$11:E26),0)</f>
        <v>0</v>
      </c>
      <c r="L26">
        <f t="shared" si="4"/>
        <v>1</v>
      </c>
      <c r="N26" t="str">
        <f t="shared" si="5"/>
        <v>PM</v>
      </c>
      <c r="O26" s="7">
        <f t="shared" si="2"/>
        <v>0.69791666666666663</v>
      </c>
      <c r="P26">
        <f t="shared" si="6"/>
        <v>379</v>
      </c>
      <c r="Q26">
        <f t="shared" si="7"/>
        <v>379</v>
      </c>
    </row>
    <row r="27" spans="1:21" x14ac:dyDescent="0.25">
      <c r="A27" s="9">
        <v>0.70833333333333337</v>
      </c>
      <c r="B27" s="49"/>
      <c r="C27" s="49"/>
      <c r="D27" s="49">
        <v>402</v>
      </c>
      <c r="G27" s="7">
        <f t="shared" ref="G27:G90" si="8">A27</f>
        <v>0.70833333333333337</v>
      </c>
      <c r="H27">
        <f>IF(B27&lt;&gt;0,SUMIF($G$11:$G27,"&gt;"&amp;$G27-1/24,B$11:B27),0)</f>
        <v>0</v>
      </c>
      <c r="I27">
        <f>IF(C27&lt;&gt;0,SUMIF($G$11:$G27,"&gt;"&amp;$G27-1/24,C$11:C27),0)</f>
        <v>0</v>
      </c>
      <c r="J27">
        <f>IF(D27&lt;&gt;0,SUMIF($G$11:$G27,"&gt;"&amp;$G27-1/24,D$11:D27),0)</f>
        <v>1594</v>
      </c>
      <c r="K27">
        <f>IF(E27&lt;&gt;0,SUMIF($G$11:$G27,"&gt;"&amp;$G27-1/24,E$11:E27),0)</f>
        <v>0</v>
      </c>
      <c r="L27">
        <f t="shared" si="4"/>
        <v>1</v>
      </c>
      <c r="N27" t="str">
        <f t="shared" si="5"/>
        <v>PM</v>
      </c>
      <c r="O27" s="7">
        <f t="shared" si="2"/>
        <v>0.70833333333333337</v>
      </c>
      <c r="P27">
        <f t="shared" si="6"/>
        <v>402</v>
      </c>
      <c r="Q27">
        <f t="shared" si="7"/>
        <v>402</v>
      </c>
    </row>
    <row r="28" spans="1:21" x14ac:dyDescent="0.25">
      <c r="A28" s="9">
        <v>0.71875</v>
      </c>
      <c r="B28" s="49"/>
      <c r="C28" s="49"/>
      <c r="D28" s="49">
        <v>412</v>
      </c>
      <c r="G28" s="7">
        <f t="shared" si="8"/>
        <v>0.71875</v>
      </c>
      <c r="H28">
        <f>IF(B28&lt;&gt;0,SUMIF($G$11:$G28,"&gt;"&amp;$G28-1/24,B$11:B28),0)</f>
        <v>0</v>
      </c>
      <c r="I28">
        <f>IF(C28&lt;&gt;0,SUMIF($G$11:$G28,"&gt;"&amp;$G28-1/24,C$11:C28),0)</f>
        <v>0</v>
      </c>
      <c r="J28">
        <f>IF(D28&lt;&gt;0,SUMIF($G$11:$G28,"&gt;"&amp;$G28-1/24,D$11:D28),0)</f>
        <v>1592</v>
      </c>
      <c r="K28">
        <f>IF(E28&lt;&gt;0,SUMIF($G$11:$G28,"&gt;"&amp;$G28-1/24,E$11:E28),0)</f>
        <v>0</v>
      </c>
      <c r="L28">
        <f t="shared" si="4"/>
        <v>1</v>
      </c>
      <c r="N28" t="str">
        <f t="shared" si="5"/>
        <v>PM</v>
      </c>
      <c r="O28" s="7">
        <f t="shared" si="2"/>
        <v>0.71875</v>
      </c>
      <c r="P28">
        <f t="shared" si="6"/>
        <v>412</v>
      </c>
      <c r="Q28">
        <f t="shared" si="7"/>
        <v>412</v>
      </c>
    </row>
    <row r="29" spans="1:21" x14ac:dyDescent="0.25">
      <c r="A29" s="9">
        <v>0.72916666666666663</v>
      </c>
      <c r="B29" s="49"/>
      <c r="C29" s="49"/>
      <c r="D29" s="49">
        <v>425</v>
      </c>
      <c r="G29" s="7">
        <f t="shared" si="8"/>
        <v>0.72916666666666663</v>
      </c>
      <c r="H29">
        <f>IF(B29&lt;&gt;0,SUMIF($G$11:$G29,"&gt;"&amp;$G29-1/24,B$11:B29),0)</f>
        <v>0</v>
      </c>
      <c r="I29">
        <f>IF(C29&lt;&gt;0,SUMIF($G$11:$G29,"&gt;"&amp;$G29-1/24,C$11:C29),0)</f>
        <v>0</v>
      </c>
      <c r="J29">
        <f>IF(D29&lt;&gt;0,SUMIF($G$11:$G29,"&gt;"&amp;$G29-1/24,D$11:D29),0)</f>
        <v>1618</v>
      </c>
      <c r="K29">
        <f>IF(E29&lt;&gt;0,SUMIF($G$11:$G29,"&gt;"&amp;$G29-1/24,E$11:E29),0)</f>
        <v>0</v>
      </c>
      <c r="L29">
        <f t="shared" si="4"/>
        <v>1</v>
      </c>
      <c r="N29" t="str">
        <f t="shared" si="5"/>
        <v>PM</v>
      </c>
      <c r="O29" s="7">
        <f t="shared" si="2"/>
        <v>0.72916666666666663</v>
      </c>
      <c r="P29">
        <f t="shared" si="6"/>
        <v>425</v>
      </c>
      <c r="Q29">
        <f t="shared" si="7"/>
        <v>425</v>
      </c>
    </row>
    <row r="30" spans="1:21" x14ac:dyDescent="0.25">
      <c r="A30" s="9">
        <v>0.73958333333333337</v>
      </c>
      <c r="B30" s="49"/>
      <c r="C30" s="49"/>
      <c r="D30" s="49">
        <v>378</v>
      </c>
      <c r="G30" s="7">
        <f t="shared" si="8"/>
        <v>0.73958333333333337</v>
      </c>
      <c r="H30">
        <f>IF(B30&lt;&gt;0,SUMIF($G$11:$G30,"&gt;"&amp;$G30-1/24,B$11:B30),0)</f>
        <v>0</v>
      </c>
      <c r="I30">
        <f>IF(C30&lt;&gt;0,SUMIF($G$11:$G30,"&gt;"&amp;$G30-1/24,C$11:C30),0)</f>
        <v>0</v>
      </c>
      <c r="J30">
        <f>IF(D30&lt;&gt;0,SUMIF($G$11:$G30,"&gt;"&amp;$G30-1/24,D$11:D30),0)</f>
        <v>1617</v>
      </c>
      <c r="K30">
        <f>IF(E30&lt;&gt;0,SUMIF($G$11:$G30,"&gt;"&amp;$G30-1/24,E$11:E30),0)</f>
        <v>0</v>
      </c>
      <c r="L30">
        <f t="shared" si="4"/>
        <v>0</v>
      </c>
      <c r="N30" t="str">
        <f t="shared" si="5"/>
        <v>PM</v>
      </c>
      <c r="O30" s="7">
        <f t="shared" si="2"/>
        <v>0.73958333333333337</v>
      </c>
      <c r="P30">
        <f t="shared" si="6"/>
        <v>378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281</v>
      </c>
      <c r="E5" t="str">
        <f>"Vehicle Count by Exit Leg for "&amp;C2&amp;" Period"</f>
        <v>Vehicle Count by Exit Leg for AM Period</v>
      </c>
    </row>
    <row r="6" spans="2:5" x14ac:dyDescent="0.25">
      <c r="B6" s="9">
        <v>0.30208333333333331</v>
      </c>
      <c r="C6" s="49">
        <v>334</v>
      </c>
    </row>
    <row r="7" spans="2:5" x14ac:dyDescent="0.25">
      <c r="B7" s="9">
        <v>0.3125</v>
      </c>
      <c r="C7" s="49">
        <v>385</v>
      </c>
    </row>
    <row r="8" spans="2:5" x14ac:dyDescent="0.25">
      <c r="B8" s="9">
        <v>0.32291666666666669</v>
      </c>
      <c r="C8" s="49">
        <v>463</v>
      </c>
    </row>
    <row r="9" spans="2:5" x14ac:dyDescent="0.25">
      <c r="B9" s="9">
        <v>0.33333333333333331</v>
      </c>
      <c r="C9" s="49">
        <v>415</v>
      </c>
    </row>
    <row r="10" spans="2:5" x14ac:dyDescent="0.25">
      <c r="B10" s="9">
        <v>0.34375</v>
      </c>
      <c r="C10" s="49">
        <v>411</v>
      </c>
    </row>
    <row r="11" spans="2:5" x14ac:dyDescent="0.25">
      <c r="B11" s="9">
        <v>0.35416666666666669</v>
      </c>
      <c r="C11" s="49">
        <v>409</v>
      </c>
    </row>
    <row r="12" spans="2:5" x14ac:dyDescent="0.25">
      <c r="B12" s="9">
        <v>0.36458333333333331</v>
      </c>
      <c r="C12" s="49">
        <v>416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7.7109375" bestFit="1" customWidth="1"/>
    <col min="13" max="13" width="18.7109375" bestFit="1" customWidth="1"/>
    <col min="14" max="14" width="8.28515625" customWidth="1"/>
    <col min="15" max="15" width="5.5703125" customWidth="1"/>
    <col min="16" max="18" width="3.28515625" customWidth="1"/>
    <col min="19" max="19" width="11.28515625" bestFit="1" customWidth="1"/>
    <col min="20" max="21" width="17.7109375" bestFit="1" customWidth="1"/>
    <col min="22" max="22" width="18.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97</v>
      </c>
      <c r="T25" s="25" t="s">
        <v>92</v>
      </c>
      <c r="U25" s="25" t="s">
        <v>93</v>
      </c>
      <c r="V25" s="25" t="s">
        <v>97</v>
      </c>
      <c r="X25" s="13"/>
    </row>
    <row r="26" spans="2:24" x14ac:dyDescent="0.25">
      <c r="B26" s="9">
        <v>0.29166666666666669</v>
      </c>
      <c r="C26" s="50">
        <v>281</v>
      </c>
      <c r="J26" s="9">
        <v>0.29166666666666669</v>
      </c>
      <c r="K26" s="50">
        <v>196</v>
      </c>
      <c r="L26" s="50">
        <v>76</v>
      </c>
      <c r="M26" s="50">
        <v>9</v>
      </c>
      <c r="S26" s="9">
        <v>0.29166666666666669</v>
      </c>
      <c r="T26" s="50">
        <v>73</v>
      </c>
      <c r="U26" s="50">
        <v>201</v>
      </c>
      <c r="V26" s="50">
        <v>7</v>
      </c>
    </row>
    <row r="27" spans="2:24" x14ac:dyDescent="0.25">
      <c r="B27" s="9">
        <v>0.30208333333333331</v>
      </c>
      <c r="C27" s="50">
        <v>334</v>
      </c>
      <c r="J27" s="9">
        <v>0.30208333333333331</v>
      </c>
      <c r="K27" s="50">
        <v>214</v>
      </c>
      <c r="L27" s="50">
        <v>103</v>
      </c>
      <c r="M27" s="50">
        <v>17</v>
      </c>
      <c r="S27" s="9">
        <v>0.30208333333333331</v>
      </c>
      <c r="T27" s="50">
        <v>106</v>
      </c>
      <c r="U27" s="50">
        <v>224</v>
      </c>
      <c r="V27" s="50">
        <v>4</v>
      </c>
    </row>
    <row r="28" spans="2:24" x14ac:dyDescent="0.25">
      <c r="B28" s="9">
        <v>0.3125</v>
      </c>
      <c r="C28" s="50">
        <v>385</v>
      </c>
      <c r="J28" s="9">
        <v>0.3125</v>
      </c>
      <c r="K28" s="50">
        <v>265</v>
      </c>
      <c r="L28" s="50">
        <v>111</v>
      </c>
      <c r="M28" s="50">
        <v>9</v>
      </c>
      <c r="S28" s="9">
        <v>0.3125</v>
      </c>
      <c r="T28" s="50">
        <v>115</v>
      </c>
      <c r="U28" s="50">
        <v>265</v>
      </c>
      <c r="V28" s="50">
        <v>5</v>
      </c>
    </row>
    <row r="29" spans="2:24" x14ac:dyDescent="0.25">
      <c r="B29" s="9">
        <v>0.32291666666666669</v>
      </c>
      <c r="C29" s="50">
        <v>463</v>
      </c>
      <c r="J29" s="9">
        <v>0.32291666666666669</v>
      </c>
      <c r="K29" s="50">
        <v>277</v>
      </c>
      <c r="L29" s="50">
        <v>168</v>
      </c>
      <c r="M29" s="50">
        <v>18</v>
      </c>
      <c r="S29" s="9">
        <v>0.32291666666666669</v>
      </c>
      <c r="T29" s="50">
        <v>172</v>
      </c>
      <c r="U29" s="50">
        <v>281</v>
      </c>
      <c r="V29" s="50">
        <v>10</v>
      </c>
    </row>
    <row r="30" spans="2:24" x14ac:dyDescent="0.25">
      <c r="B30" s="9">
        <v>0.33333333333333331</v>
      </c>
      <c r="C30" s="50">
        <v>415</v>
      </c>
      <c r="J30" s="9">
        <v>0.33333333333333331</v>
      </c>
      <c r="K30" s="50">
        <v>237</v>
      </c>
      <c r="L30" s="50">
        <v>163</v>
      </c>
      <c r="M30" s="50">
        <v>15</v>
      </c>
      <c r="S30" s="9">
        <v>0.33333333333333331</v>
      </c>
      <c r="T30" s="50">
        <v>163</v>
      </c>
      <c r="U30" s="50">
        <v>244</v>
      </c>
      <c r="V30" s="50">
        <v>8</v>
      </c>
    </row>
    <row r="31" spans="2:24" x14ac:dyDescent="0.25">
      <c r="B31" s="9">
        <v>0.34375</v>
      </c>
      <c r="C31" s="50">
        <v>411</v>
      </c>
      <c r="J31" s="9">
        <v>0.34375</v>
      </c>
      <c r="K31" s="50">
        <v>243</v>
      </c>
      <c r="L31" s="50">
        <v>157</v>
      </c>
      <c r="M31" s="50">
        <v>11</v>
      </c>
      <c r="S31" s="9">
        <v>0.34375</v>
      </c>
      <c r="T31" s="50">
        <v>154</v>
      </c>
      <c r="U31" s="50">
        <v>243</v>
      </c>
      <c r="V31" s="50">
        <v>14</v>
      </c>
    </row>
    <row r="32" spans="2:24" x14ac:dyDescent="0.25">
      <c r="B32" s="9">
        <v>0.35416666666666669</v>
      </c>
      <c r="C32" s="50">
        <v>409</v>
      </c>
      <c r="J32" s="9">
        <v>0.35416666666666669</v>
      </c>
      <c r="K32" s="50">
        <v>232</v>
      </c>
      <c r="L32" s="50">
        <v>169</v>
      </c>
      <c r="M32" s="50">
        <v>8</v>
      </c>
      <c r="S32" s="9">
        <v>0.35416666666666669</v>
      </c>
      <c r="T32" s="50">
        <v>169</v>
      </c>
      <c r="U32" s="50">
        <v>224</v>
      </c>
      <c r="V32" s="50">
        <v>16</v>
      </c>
    </row>
    <row r="33" spans="2:22" x14ac:dyDescent="0.25">
      <c r="B33" s="9">
        <v>0.36458333333333331</v>
      </c>
      <c r="C33" s="50">
        <v>416</v>
      </c>
      <c r="J33" s="9">
        <v>0.36458333333333331</v>
      </c>
      <c r="K33" s="50">
        <v>218</v>
      </c>
      <c r="L33" s="50">
        <v>184</v>
      </c>
      <c r="M33" s="50">
        <v>14</v>
      </c>
      <c r="S33" s="9">
        <v>0.36458333333333331</v>
      </c>
      <c r="T33" s="50">
        <v>186</v>
      </c>
      <c r="U33" s="50">
        <v>218</v>
      </c>
      <c r="V33" s="50">
        <v>12</v>
      </c>
    </row>
    <row r="34" spans="2:22" x14ac:dyDescent="0.25">
      <c r="B34" s="9" t="s">
        <v>49</v>
      </c>
      <c r="C34" s="50">
        <v>3114</v>
      </c>
      <c r="J34" s="9" t="s">
        <v>49</v>
      </c>
      <c r="K34" s="50">
        <v>1882</v>
      </c>
      <c r="L34" s="50">
        <v>1131</v>
      </c>
      <c r="M34" s="50">
        <v>101</v>
      </c>
      <c r="S34" s="9" t="s">
        <v>49</v>
      </c>
      <c r="T34" s="50">
        <v>1138</v>
      </c>
      <c r="U34" s="50">
        <v>1900</v>
      </c>
      <c r="V34" s="50">
        <v>76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9.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1698 vehicles between 07:45 and 08:45</v>
      </c>
    </row>
    <row r="5" spans="2:2" x14ac:dyDescent="0.25">
      <c r="B5" s="6" t="str">
        <f>PeakCalc!I8</f>
        <v>The peak hour for INT is 1253 vehicles between 13:00 and 14:00</v>
      </c>
    </row>
    <row r="6" spans="2:2" x14ac:dyDescent="0.25">
      <c r="B6" s="6" t="str">
        <f>PeakCalc!J8</f>
        <v>The peak hour for PM is 1618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948</v>
      </c>
      <c r="D32" s="49">
        <v>26</v>
      </c>
      <c r="E32" s="49">
        <v>15</v>
      </c>
      <c r="F32" s="49">
        <v>989</v>
      </c>
      <c r="G32" s="49">
        <v>842</v>
      </c>
      <c r="H32" s="49">
        <v>11</v>
      </c>
      <c r="I32" s="49">
        <v>3</v>
      </c>
      <c r="J32" s="49">
        <v>856</v>
      </c>
      <c r="K32" s="49">
        <v>627</v>
      </c>
      <c r="L32" s="49">
        <v>25</v>
      </c>
      <c r="M32" s="49">
        <v>2</v>
      </c>
      <c r="N32" s="49">
        <v>654</v>
      </c>
    </row>
    <row r="33" spans="2:14" x14ac:dyDescent="0.25">
      <c r="B33" s="14" t="s">
        <v>94</v>
      </c>
      <c r="C33" s="49">
        <v>924</v>
      </c>
      <c r="D33" s="49">
        <v>26</v>
      </c>
      <c r="E33" s="49">
        <v>15</v>
      </c>
      <c r="F33" s="49">
        <v>965</v>
      </c>
      <c r="G33" s="49">
        <v>802</v>
      </c>
      <c r="H33" s="49">
        <v>11</v>
      </c>
      <c r="I33" s="49">
        <v>2</v>
      </c>
      <c r="J33" s="49">
        <v>815</v>
      </c>
      <c r="K33" s="49">
        <v>611</v>
      </c>
      <c r="L33" s="49">
        <v>24</v>
      </c>
      <c r="M33" s="49">
        <v>2</v>
      </c>
      <c r="N33" s="49">
        <v>637</v>
      </c>
    </row>
    <row r="34" spans="2:14" x14ac:dyDescent="0.25">
      <c r="B34" s="14" t="s">
        <v>98</v>
      </c>
      <c r="C34" s="49">
        <v>24</v>
      </c>
      <c r="D34" s="49">
        <v>0</v>
      </c>
      <c r="E34" s="49">
        <v>0</v>
      </c>
      <c r="F34" s="49">
        <v>24</v>
      </c>
      <c r="G34" s="49">
        <v>40</v>
      </c>
      <c r="H34" s="49">
        <v>0</v>
      </c>
      <c r="I34" s="49">
        <v>1</v>
      </c>
      <c r="J34" s="49">
        <v>41</v>
      </c>
      <c r="K34" s="49">
        <v>16</v>
      </c>
      <c r="L34" s="49">
        <v>1</v>
      </c>
      <c r="M34" s="49">
        <v>0</v>
      </c>
      <c r="N34" s="49">
        <v>17</v>
      </c>
    </row>
    <row r="35" spans="2:14" x14ac:dyDescent="0.25">
      <c r="B35" s="10" t="s">
        <v>93</v>
      </c>
      <c r="C35" s="49">
        <v>635</v>
      </c>
      <c r="D35" s="49">
        <v>20</v>
      </c>
      <c r="E35" s="49">
        <v>2</v>
      </c>
      <c r="F35" s="49">
        <v>657</v>
      </c>
      <c r="G35" s="49">
        <v>707</v>
      </c>
      <c r="H35" s="49">
        <v>8</v>
      </c>
      <c r="I35" s="49">
        <v>18</v>
      </c>
      <c r="J35" s="49">
        <v>733</v>
      </c>
      <c r="K35" s="49">
        <v>536</v>
      </c>
      <c r="L35" s="49">
        <v>24</v>
      </c>
      <c r="M35" s="49">
        <v>2</v>
      </c>
      <c r="N35" s="49">
        <v>562</v>
      </c>
    </row>
    <row r="36" spans="2:14" x14ac:dyDescent="0.25">
      <c r="B36" s="14" t="s">
        <v>99</v>
      </c>
      <c r="C36" s="49">
        <v>23</v>
      </c>
      <c r="D36" s="49">
        <v>0</v>
      </c>
      <c r="E36" s="49">
        <v>1</v>
      </c>
      <c r="F36" s="49">
        <v>24</v>
      </c>
      <c r="G36" s="49">
        <v>41</v>
      </c>
      <c r="H36" s="49">
        <v>0</v>
      </c>
      <c r="I36" s="49">
        <v>4</v>
      </c>
      <c r="J36" s="49">
        <v>45</v>
      </c>
      <c r="K36" s="49">
        <v>19</v>
      </c>
      <c r="L36" s="49">
        <v>1</v>
      </c>
      <c r="M36" s="49">
        <v>0</v>
      </c>
      <c r="N36" s="49">
        <v>20</v>
      </c>
    </row>
    <row r="37" spans="2:14" x14ac:dyDescent="0.25">
      <c r="B37" s="14" t="s">
        <v>95</v>
      </c>
      <c r="C37" s="49">
        <v>612</v>
      </c>
      <c r="D37" s="49">
        <v>20</v>
      </c>
      <c r="E37" s="49">
        <v>1</v>
      </c>
      <c r="F37" s="49">
        <v>633</v>
      </c>
      <c r="G37" s="49">
        <v>666</v>
      </c>
      <c r="H37" s="49">
        <v>8</v>
      </c>
      <c r="I37" s="49">
        <v>14</v>
      </c>
      <c r="J37" s="49">
        <v>688</v>
      </c>
      <c r="K37" s="49">
        <v>517</v>
      </c>
      <c r="L37" s="49">
        <v>23</v>
      </c>
      <c r="M37" s="49">
        <v>2</v>
      </c>
      <c r="N37" s="49">
        <v>542</v>
      </c>
    </row>
    <row r="38" spans="2:14" x14ac:dyDescent="0.25">
      <c r="B38" s="10" t="s">
        <v>97</v>
      </c>
      <c r="C38" s="49">
        <v>49</v>
      </c>
      <c r="D38" s="49">
        <v>2</v>
      </c>
      <c r="E38" s="49">
        <v>1</v>
      </c>
      <c r="F38" s="49">
        <v>52</v>
      </c>
      <c r="G38" s="49">
        <v>29</v>
      </c>
      <c r="H38" s="49">
        <v>0</v>
      </c>
      <c r="I38" s="49">
        <v>0</v>
      </c>
      <c r="J38" s="49">
        <v>29</v>
      </c>
      <c r="K38" s="49">
        <v>34</v>
      </c>
      <c r="L38" s="49">
        <v>1</v>
      </c>
      <c r="M38" s="49">
        <v>2</v>
      </c>
      <c r="N38" s="49">
        <v>37</v>
      </c>
    </row>
    <row r="39" spans="2:14" x14ac:dyDescent="0.25">
      <c r="B39" s="14" t="s">
        <v>100</v>
      </c>
      <c r="C39" s="49">
        <v>24</v>
      </c>
      <c r="D39" s="49">
        <v>0</v>
      </c>
      <c r="E39" s="49">
        <v>1</v>
      </c>
      <c r="F39" s="49">
        <v>25</v>
      </c>
      <c r="G39" s="49">
        <v>12</v>
      </c>
      <c r="H39" s="49">
        <v>0</v>
      </c>
      <c r="I39" s="49">
        <v>0</v>
      </c>
      <c r="J39" s="49">
        <v>12</v>
      </c>
      <c r="K39" s="49">
        <v>16</v>
      </c>
      <c r="L39" s="49">
        <v>1</v>
      </c>
      <c r="M39" s="49">
        <v>1</v>
      </c>
      <c r="N39" s="49">
        <v>18</v>
      </c>
    </row>
    <row r="40" spans="2:14" x14ac:dyDescent="0.25">
      <c r="B40" s="14" t="s">
        <v>101</v>
      </c>
      <c r="C40" s="49">
        <v>25</v>
      </c>
      <c r="D40" s="49">
        <v>2</v>
      </c>
      <c r="E40" s="49">
        <v>0</v>
      </c>
      <c r="F40" s="49">
        <v>27</v>
      </c>
      <c r="G40" s="49">
        <v>17</v>
      </c>
      <c r="H40" s="49">
        <v>0</v>
      </c>
      <c r="I40" s="49">
        <v>0</v>
      </c>
      <c r="J40" s="49">
        <v>17</v>
      </c>
      <c r="K40" s="49">
        <v>18</v>
      </c>
      <c r="L40" s="49">
        <v>0</v>
      </c>
      <c r="M40" s="49">
        <v>1</v>
      </c>
      <c r="N40" s="49">
        <v>19</v>
      </c>
    </row>
    <row r="41" spans="2:14" x14ac:dyDescent="0.25">
      <c r="B41" s="10" t="s">
        <v>49</v>
      </c>
      <c r="C41" s="49">
        <v>1632</v>
      </c>
      <c r="D41" s="49">
        <v>48</v>
      </c>
      <c r="E41" s="49">
        <v>18</v>
      </c>
      <c r="F41" s="49">
        <v>1698</v>
      </c>
      <c r="G41" s="49">
        <v>1578</v>
      </c>
      <c r="H41" s="49">
        <v>19</v>
      </c>
      <c r="I41" s="49">
        <v>21</v>
      </c>
      <c r="J41" s="49">
        <v>1618</v>
      </c>
      <c r="K41" s="49">
        <v>1197</v>
      </c>
      <c r="L41" s="49">
        <v>50</v>
      </c>
      <c r="M41" s="49">
        <v>6</v>
      </c>
      <c r="N41" s="49">
        <v>1253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631AD-6186-43C7-A63B-FEA4E94C0ECE}">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190</v>
      </c>
      <c r="N15" s="55" t="s">
        <v>113</v>
      </c>
      <c r="O15" s="55">
        <v>2</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5</v>
      </c>
      <c r="AR15" s="55" t="s">
        <v>113</v>
      </c>
      <c r="AS15" s="55">
        <v>70</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2</v>
      </c>
      <c r="BH15" s="55" t="s">
        <v>113</v>
      </c>
      <c r="BI15" s="55" t="s">
        <v>113</v>
      </c>
      <c r="BJ15" s="55" t="s">
        <v>113</v>
      </c>
      <c r="BK15" s="55">
        <v>7</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203</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2</v>
      </c>
      <c r="AR16" s="55" t="s">
        <v>113</v>
      </c>
      <c r="AS16" s="55">
        <v>97</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5</v>
      </c>
      <c r="BH16" s="55" t="s">
        <v>113</v>
      </c>
      <c r="BI16" s="55" t="s">
        <v>113</v>
      </c>
      <c r="BJ16" s="55" t="s">
        <v>113</v>
      </c>
      <c r="BK16" s="55">
        <v>12</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257</v>
      </c>
      <c r="N17" s="55" t="s">
        <v>113</v>
      </c>
      <c r="O17" s="55">
        <v>2</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3</v>
      </c>
      <c r="AR17" s="55" t="s">
        <v>113</v>
      </c>
      <c r="AS17" s="55">
        <v>99</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7</v>
      </c>
      <c r="BH17" s="55" t="s">
        <v>113</v>
      </c>
      <c r="BI17" s="55" t="s">
        <v>113</v>
      </c>
      <c r="BJ17" s="55" t="s">
        <v>113</v>
      </c>
      <c r="BK17" s="55">
        <v>2</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255</v>
      </c>
      <c r="N18" s="55" t="s">
        <v>113</v>
      </c>
      <c r="O18" s="55">
        <v>5</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5</v>
      </c>
      <c r="AR18" s="55" t="s">
        <v>113</v>
      </c>
      <c r="AS18" s="55">
        <v>158</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9</v>
      </c>
      <c r="BH18" s="55" t="s">
        <v>113</v>
      </c>
      <c r="BI18" s="55" t="s">
        <v>113</v>
      </c>
      <c r="BJ18" s="55" t="s">
        <v>113</v>
      </c>
      <c r="BK18" s="55">
        <v>9</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227</v>
      </c>
      <c r="N19" s="55" t="s">
        <v>113</v>
      </c>
      <c r="O19" s="55">
        <v>2</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6</v>
      </c>
      <c r="AR19" s="55" t="s">
        <v>113</v>
      </c>
      <c r="AS19" s="55">
        <v>152</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5</v>
      </c>
      <c r="BH19" s="55" t="s">
        <v>113</v>
      </c>
      <c r="BI19" s="55" t="s">
        <v>113</v>
      </c>
      <c r="BJ19" s="55" t="s">
        <v>113</v>
      </c>
      <c r="BK19" s="55">
        <v>9</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226</v>
      </c>
      <c r="N20" s="55" t="s">
        <v>113</v>
      </c>
      <c r="O20" s="55">
        <v>6</v>
      </c>
      <c r="P20" s="55" t="s">
        <v>113</v>
      </c>
      <c r="Q20" s="55">
        <v>1</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7</v>
      </c>
      <c r="AR20" s="55" t="s">
        <v>113</v>
      </c>
      <c r="AS20" s="55">
        <v>144</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5</v>
      </c>
      <c r="BH20" s="55" t="s">
        <v>113</v>
      </c>
      <c r="BI20" s="55" t="s">
        <v>113</v>
      </c>
      <c r="BJ20" s="55" t="s">
        <v>113</v>
      </c>
      <c r="BK20" s="55">
        <v>5</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216</v>
      </c>
      <c r="N21" s="55" t="s">
        <v>113</v>
      </c>
      <c r="O21" s="55">
        <v>11</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5</v>
      </c>
      <c r="AR21" s="55" t="s">
        <v>113</v>
      </c>
      <c r="AS21" s="55">
        <v>158</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5</v>
      </c>
      <c r="BH21" s="55" t="s">
        <v>113</v>
      </c>
      <c r="BI21" s="55" t="s">
        <v>113</v>
      </c>
      <c r="BJ21" s="55" t="s">
        <v>113</v>
      </c>
      <c r="BK21" s="55">
        <v>2</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205</v>
      </c>
      <c r="N22" s="55" t="s">
        <v>113</v>
      </c>
      <c r="O22" s="55">
        <v>6</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6</v>
      </c>
      <c r="AR22" s="55" t="s">
        <v>113</v>
      </c>
      <c r="AS22" s="55">
        <v>169</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8</v>
      </c>
      <c r="BH22" s="55" t="s">
        <v>113</v>
      </c>
      <c r="BI22" s="55" t="s">
        <v>113</v>
      </c>
      <c r="BJ22" s="55" t="s">
        <v>113</v>
      </c>
      <c r="BK22" s="55">
        <v>5</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145</v>
      </c>
      <c r="N24" s="55" t="s">
        <v>113</v>
      </c>
      <c r="O24" s="55">
        <v>5</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5</v>
      </c>
      <c r="AR24" s="55" t="s">
        <v>113</v>
      </c>
      <c r="AS24" s="55">
        <v>132</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1</v>
      </c>
      <c r="BH24" s="55" t="s">
        <v>113</v>
      </c>
      <c r="BI24" s="55" t="s">
        <v>113</v>
      </c>
      <c r="BJ24" s="55" t="s">
        <v>113</v>
      </c>
      <c r="BK24" s="55">
        <v>1</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146</v>
      </c>
      <c r="N25" s="55" t="s">
        <v>113</v>
      </c>
      <c r="O25" s="55">
        <v>5</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6</v>
      </c>
      <c r="AR25" s="55" t="s">
        <v>113</v>
      </c>
      <c r="AS25" s="55">
        <v>118</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5</v>
      </c>
      <c r="BH25" s="55" t="s">
        <v>113</v>
      </c>
      <c r="BI25" s="55" t="s">
        <v>113</v>
      </c>
      <c r="BJ25" s="55" t="s">
        <v>113</v>
      </c>
      <c r="BK25" s="55">
        <v>8</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151</v>
      </c>
      <c r="N26" s="55" t="s">
        <v>113</v>
      </c>
      <c r="O26" s="55">
        <v>2</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5</v>
      </c>
      <c r="AR26" s="55" t="s">
        <v>113</v>
      </c>
      <c r="AS26" s="55">
        <v>141</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6</v>
      </c>
      <c r="BH26" s="55" t="s">
        <v>113</v>
      </c>
      <c r="BI26" s="55" t="s">
        <v>113</v>
      </c>
      <c r="BJ26" s="55" t="s">
        <v>113</v>
      </c>
      <c r="BK26" s="55">
        <v>4</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169</v>
      </c>
      <c r="N27" s="55" t="s">
        <v>113</v>
      </c>
      <c r="O27" s="55">
        <v>4</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3</v>
      </c>
      <c r="AR27" s="55" t="s">
        <v>113</v>
      </c>
      <c r="AS27" s="55">
        <v>126</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4</v>
      </c>
      <c r="BH27" s="55" t="s">
        <v>113</v>
      </c>
      <c r="BI27" s="55" t="s">
        <v>113</v>
      </c>
      <c r="BJ27" s="55" t="s">
        <v>113</v>
      </c>
      <c r="BK27" s="55">
        <v>5</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1</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190</v>
      </c>
      <c r="N29" s="55" t="s">
        <v>113</v>
      </c>
      <c r="O29" s="55">
        <v>7</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18</v>
      </c>
      <c r="AR29" s="55" t="s">
        <v>113</v>
      </c>
      <c r="AS29" s="55">
        <v>181</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5</v>
      </c>
      <c r="BH29" s="55" t="s">
        <v>113</v>
      </c>
      <c r="BI29" s="55" t="s">
        <v>113</v>
      </c>
      <c r="BJ29" s="55" t="s">
        <v>113</v>
      </c>
      <c r="BK29" s="55">
        <v>4</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219</v>
      </c>
      <c r="N30" s="55" t="s">
        <v>113</v>
      </c>
      <c r="O30" s="55">
        <v>7</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9</v>
      </c>
      <c r="AR30" s="55" t="s">
        <v>113</v>
      </c>
      <c r="AS30" s="55">
        <v>165</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3</v>
      </c>
      <c r="BH30" s="55" t="s">
        <v>113</v>
      </c>
      <c r="BI30" s="55" t="s">
        <v>113</v>
      </c>
      <c r="BJ30" s="55" t="s">
        <v>113</v>
      </c>
      <c r="BK30" s="55">
        <v>4</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212</v>
      </c>
      <c r="N31" s="55" t="s">
        <v>113</v>
      </c>
      <c r="O31" s="55">
        <v>9</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7</v>
      </c>
      <c r="AR31" s="55" t="s">
        <v>113</v>
      </c>
      <c r="AS31" s="55">
        <v>152</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5</v>
      </c>
      <c r="BH31" s="55" t="s">
        <v>113</v>
      </c>
      <c r="BI31" s="55" t="s">
        <v>113</v>
      </c>
      <c r="BJ31" s="55" t="s">
        <v>113</v>
      </c>
      <c r="BK31" s="55">
        <v>7</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183</v>
      </c>
      <c r="N32" s="55" t="s">
        <v>113</v>
      </c>
      <c r="O32" s="55">
        <v>8</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7</v>
      </c>
      <c r="AR32" s="55" t="s">
        <v>113</v>
      </c>
      <c r="AS32" s="55">
        <v>161</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3</v>
      </c>
      <c r="BH32" s="55" t="s">
        <v>113</v>
      </c>
      <c r="BI32" s="55" t="s">
        <v>113</v>
      </c>
      <c r="BJ32" s="55" t="s">
        <v>113</v>
      </c>
      <c r="BK32" s="55">
        <v>3</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197</v>
      </c>
      <c r="N33" s="55" t="s">
        <v>113</v>
      </c>
      <c r="O33" s="55">
        <v>9</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11</v>
      </c>
      <c r="AR33" s="55" t="s">
        <v>113</v>
      </c>
      <c r="AS33" s="55">
        <v>163</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2</v>
      </c>
      <c r="BH33" s="55" t="s">
        <v>113</v>
      </c>
      <c r="BI33" s="55" t="s">
        <v>113</v>
      </c>
      <c r="BJ33" s="55" t="s">
        <v>113</v>
      </c>
      <c r="BK33" s="55">
        <v>8</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216</v>
      </c>
      <c r="N34" s="55" t="s">
        <v>113</v>
      </c>
      <c r="O34" s="55">
        <v>11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8</v>
      </c>
      <c r="AR34" s="55" t="s">
        <v>113</v>
      </c>
      <c r="AS34" s="55">
        <v>167</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3</v>
      </c>
      <c r="BH34" s="55" t="s">
        <v>113</v>
      </c>
      <c r="BI34" s="55" t="s">
        <v>113</v>
      </c>
      <c r="BJ34" s="55" t="s">
        <v>113</v>
      </c>
      <c r="BK34" s="55">
        <v>2</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206</v>
      </c>
      <c r="N35" s="55" t="s">
        <v>113</v>
      </c>
      <c r="O35" s="55">
        <v>12</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15</v>
      </c>
      <c r="AR35" s="55" t="s">
        <v>113</v>
      </c>
      <c r="AS35" s="55">
        <v>175</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4</v>
      </c>
      <c r="BH35" s="55" t="s">
        <v>113</v>
      </c>
      <c r="BI35" s="55" t="s">
        <v>113</v>
      </c>
      <c r="BJ35" s="55" t="s">
        <v>113</v>
      </c>
      <c r="BK35" s="55">
        <v>4</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171</v>
      </c>
      <c r="N36" s="55" t="s">
        <v>113</v>
      </c>
      <c r="O36" s="55">
        <v>13</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15</v>
      </c>
      <c r="AR36" s="55" t="s">
        <v>113</v>
      </c>
      <c r="AS36" s="55">
        <v>166</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3</v>
      </c>
      <c r="BH36" s="55" t="s">
        <v>113</v>
      </c>
      <c r="BI36" s="55" t="s">
        <v>113</v>
      </c>
      <c r="BJ36" s="55" t="s">
        <v>113</v>
      </c>
      <c r="BK36" s="55">
        <v>5</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DEFB6-FB86-4F24-B306-C19932ACD1E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1</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0</v>
      </c>
      <c r="BH15" s="55" t="s">
        <v>113</v>
      </c>
      <c r="BI15" s="55" t="s">
        <v>113</v>
      </c>
      <c r="BJ15" s="55" t="s">
        <v>113</v>
      </c>
      <c r="BK15" s="55">
        <v>0</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8</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v>4</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0</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4</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v>8</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0</v>
      </c>
      <c r="BH17" s="55" t="s">
        <v>113</v>
      </c>
      <c r="BI17" s="55" t="s">
        <v>113</v>
      </c>
      <c r="BJ17" s="55" t="s">
        <v>113</v>
      </c>
      <c r="BK17" s="55">
        <v>0</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11</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5</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t="s">
        <v>113</v>
      </c>
      <c r="BK18" s="55">
        <v>0</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v>4</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t="s">
        <v>113</v>
      </c>
      <c r="BK19" s="55">
        <v>0</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8</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v>5</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0</v>
      </c>
      <c r="BH20" s="55" t="s">
        <v>113</v>
      </c>
      <c r="BI20" s="55" t="s">
        <v>113</v>
      </c>
      <c r="BJ20" s="55" t="s">
        <v>113</v>
      </c>
      <c r="BK20" s="55">
        <v>1</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4</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v>6</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t="s">
        <v>113</v>
      </c>
      <c r="BK21" s="55">
        <v>1</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7</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8</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t="s">
        <v>113</v>
      </c>
      <c r="BK22" s="55">
        <v>0</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9</v>
      </c>
      <c r="N24" s="55" t="s">
        <v>113</v>
      </c>
      <c r="O24" s="55">
        <v>1</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v>6</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t="s">
        <v>113</v>
      </c>
      <c r="BK24" s="55">
        <v>0</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5</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6</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0</v>
      </c>
      <c r="BH25" s="55" t="s">
        <v>113</v>
      </c>
      <c r="BI25" s="55" t="s">
        <v>113</v>
      </c>
      <c r="BJ25" s="55" t="s">
        <v>113</v>
      </c>
      <c r="BK25" s="55">
        <v>0</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2</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1</v>
      </c>
      <c r="AR26" s="55" t="s">
        <v>113</v>
      </c>
      <c r="AS26" s="55">
        <v>6</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v>
      </c>
      <c r="BH26" s="55" t="s">
        <v>113</v>
      </c>
      <c r="BI26" s="55" t="s">
        <v>113</v>
      </c>
      <c r="BJ26" s="55" t="s">
        <v>113</v>
      </c>
      <c r="BK26" s="55">
        <v>0</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8</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5</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4</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v>4</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t="s">
        <v>113</v>
      </c>
      <c r="BK29" s="55">
        <v>0</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4</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v>2</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t="s">
        <v>113</v>
      </c>
      <c r="BK30" s="55">
        <v>0</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2</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v>
      </c>
      <c r="AR31" s="55" t="s">
        <v>113</v>
      </c>
      <c r="AS31" s="55">
        <v>2</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0</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4</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4</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4</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v>2</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t="s">
        <v>113</v>
      </c>
      <c r="BK33" s="55">
        <v>0</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0</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0</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0</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v>2</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0</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1</v>
      </c>
      <c r="N36" s="55" t="s">
        <v>113</v>
      </c>
      <c r="O36" s="55">
        <v>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1</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224D6-1CCC-4B66-BE00-DAEAB483605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1</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0</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0</v>
      </c>
      <c r="BH15" s="55" t="s">
        <v>113</v>
      </c>
      <c r="BI15" s="55" t="s">
        <v>113</v>
      </c>
      <c r="BJ15" s="55" t="s">
        <v>113</v>
      </c>
      <c r="BK15" s="55">
        <v>0</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1</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v>0</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0</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2</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v>1</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0</v>
      </c>
      <c r="BH17" s="55" t="s">
        <v>113</v>
      </c>
      <c r="BI17" s="55" t="s">
        <v>113</v>
      </c>
      <c r="BJ17" s="55" t="s">
        <v>113</v>
      </c>
      <c r="BK17" s="55">
        <v>0</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6</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0</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t="s">
        <v>113</v>
      </c>
      <c r="BK18" s="55">
        <v>0</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5</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v>1</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1</v>
      </c>
      <c r="BH19" s="55" t="s">
        <v>113</v>
      </c>
      <c r="BI19" s="55" t="s">
        <v>113</v>
      </c>
      <c r="BJ19" s="55" t="s">
        <v>113</v>
      </c>
      <c r="BK19" s="55">
        <v>0</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3</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1</v>
      </c>
      <c r="AR20" s="55" t="s">
        <v>113</v>
      </c>
      <c r="AS20" s="55">
        <v>0</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0</v>
      </c>
      <c r="BH20" s="55" t="s">
        <v>113</v>
      </c>
      <c r="BI20" s="55" t="s">
        <v>113</v>
      </c>
      <c r="BJ20" s="55" t="s">
        <v>113</v>
      </c>
      <c r="BK20" s="55">
        <v>0</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1</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v>0</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t="s">
        <v>113</v>
      </c>
      <c r="BK21" s="55">
        <v>0</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0</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1</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t="s">
        <v>113</v>
      </c>
      <c r="BK22" s="55">
        <v>1</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1</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v>1</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1</v>
      </c>
      <c r="BH24" s="55" t="s">
        <v>113</v>
      </c>
      <c r="BI24" s="55" t="s">
        <v>113</v>
      </c>
      <c r="BJ24" s="55" t="s">
        <v>113</v>
      </c>
      <c r="BK24" s="55">
        <v>1</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1</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0</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0</v>
      </c>
      <c r="BH25" s="55" t="s">
        <v>113</v>
      </c>
      <c r="BI25" s="55" t="s">
        <v>113</v>
      </c>
      <c r="BJ25" s="55" t="s">
        <v>113</v>
      </c>
      <c r="BK25" s="55">
        <v>0</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0</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0</v>
      </c>
      <c r="AR26" s="55" t="s">
        <v>113</v>
      </c>
      <c r="AS26" s="55">
        <v>1</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0</v>
      </c>
      <c r="BH26" s="55" t="s">
        <v>113</v>
      </c>
      <c r="BI26" s="55" t="s">
        <v>113</v>
      </c>
      <c r="BJ26" s="55" t="s">
        <v>113</v>
      </c>
      <c r="BK26" s="55">
        <v>0</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0</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1</v>
      </c>
      <c r="AR29" s="55" t="s">
        <v>113</v>
      </c>
      <c r="AS29" s="55">
        <v>0</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t="s">
        <v>113</v>
      </c>
      <c r="BK29" s="55">
        <v>0</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0</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v>0</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1</v>
      </c>
      <c r="BH30" s="55" t="s">
        <v>113</v>
      </c>
      <c r="BI30" s="55" t="s">
        <v>113</v>
      </c>
      <c r="BJ30" s="55" t="s">
        <v>113</v>
      </c>
      <c r="BK30" s="55">
        <v>0</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0</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2</v>
      </c>
      <c r="AR31" s="55" t="s">
        <v>113</v>
      </c>
      <c r="AS31" s="55">
        <v>0</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0</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1</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5</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1</v>
      </c>
      <c r="N33" s="55" t="s">
        <v>113</v>
      </c>
      <c r="O33" s="55">
        <v>1</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v>
      </c>
      <c r="AR33" s="55" t="s">
        <v>113</v>
      </c>
      <c r="AS33" s="55">
        <v>3</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t="s">
        <v>113</v>
      </c>
      <c r="BK33" s="55">
        <v>0</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0</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2</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0</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0</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3</v>
      </c>
      <c r="AR35" s="55" t="s">
        <v>113</v>
      </c>
      <c r="AS35" s="55">
        <v>4</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0</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1</v>
      </c>
      <c r="AR36" s="55" t="s">
        <v>113</v>
      </c>
      <c r="AS36" s="55">
        <v>1</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ECD03-0EF8-4FB5-BA9D-94D7C577DE6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194</v>
      </c>
      <c r="N15" s="55" t="s">
        <v>113</v>
      </c>
      <c r="O15" s="55">
        <v>2</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5</v>
      </c>
      <c r="AR15" s="55" t="s">
        <v>113</v>
      </c>
      <c r="AS15" s="55">
        <v>71</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2</v>
      </c>
      <c r="BH15" s="55" t="s">
        <v>113</v>
      </c>
      <c r="BI15" s="55" t="s">
        <v>113</v>
      </c>
      <c r="BJ15" s="55" t="s">
        <v>113</v>
      </c>
      <c r="BK15" s="55">
        <v>7</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212</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2</v>
      </c>
      <c r="AR16" s="55" t="s">
        <v>113</v>
      </c>
      <c r="AS16" s="55">
        <v>101</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5</v>
      </c>
      <c r="BH16" s="55" t="s">
        <v>113</v>
      </c>
      <c r="BI16" s="55" t="s">
        <v>113</v>
      </c>
      <c r="BJ16" s="55" t="s">
        <v>113</v>
      </c>
      <c r="BK16" s="55">
        <v>12</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263</v>
      </c>
      <c r="N17" s="55" t="s">
        <v>113</v>
      </c>
      <c r="O17" s="55">
        <v>2</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3</v>
      </c>
      <c r="AR17" s="55" t="s">
        <v>113</v>
      </c>
      <c r="AS17" s="55">
        <v>108</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7</v>
      </c>
      <c r="BH17" s="55" t="s">
        <v>113</v>
      </c>
      <c r="BI17" s="55" t="s">
        <v>113</v>
      </c>
      <c r="BJ17" s="55" t="s">
        <v>113</v>
      </c>
      <c r="BK17" s="55">
        <v>2</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272</v>
      </c>
      <c r="N18" s="55" t="s">
        <v>113</v>
      </c>
      <c r="O18" s="55">
        <v>5</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5</v>
      </c>
      <c r="AR18" s="55" t="s">
        <v>113</v>
      </c>
      <c r="AS18" s="55">
        <v>163</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9</v>
      </c>
      <c r="BH18" s="55" t="s">
        <v>113</v>
      </c>
      <c r="BI18" s="55" t="s">
        <v>113</v>
      </c>
      <c r="BJ18" s="55" t="s">
        <v>113</v>
      </c>
      <c r="BK18" s="55">
        <v>9</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235</v>
      </c>
      <c r="N19" s="55" t="s">
        <v>113</v>
      </c>
      <c r="O19" s="55">
        <v>2</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6</v>
      </c>
      <c r="AR19" s="55" t="s">
        <v>113</v>
      </c>
      <c r="AS19" s="55">
        <v>157</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6</v>
      </c>
      <c r="BH19" s="55" t="s">
        <v>113</v>
      </c>
      <c r="BI19" s="55" t="s">
        <v>113</v>
      </c>
      <c r="BJ19" s="55" t="s">
        <v>113</v>
      </c>
      <c r="BK19" s="55">
        <v>9</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237</v>
      </c>
      <c r="N20" s="55" t="s">
        <v>113</v>
      </c>
      <c r="O20" s="55">
        <v>6</v>
      </c>
      <c r="P20" s="55" t="s">
        <v>113</v>
      </c>
      <c r="Q20" s="55">
        <v>1</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8</v>
      </c>
      <c r="AR20" s="55" t="s">
        <v>113</v>
      </c>
      <c r="AS20" s="55">
        <v>149</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5</v>
      </c>
      <c r="BH20" s="55" t="s">
        <v>113</v>
      </c>
      <c r="BI20" s="55" t="s">
        <v>113</v>
      </c>
      <c r="BJ20" s="55" t="s">
        <v>113</v>
      </c>
      <c r="BK20" s="55">
        <v>6</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221</v>
      </c>
      <c r="N21" s="55" t="s">
        <v>113</v>
      </c>
      <c r="O21" s="55">
        <v>11</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5</v>
      </c>
      <c r="AR21" s="55" t="s">
        <v>113</v>
      </c>
      <c r="AS21" s="55">
        <v>164</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5</v>
      </c>
      <c r="BH21" s="55" t="s">
        <v>113</v>
      </c>
      <c r="BI21" s="55" t="s">
        <v>113</v>
      </c>
      <c r="BJ21" s="55" t="s">
        <v>113</v>
      </c>
      <c r="BK21" s="55">
        <v>3</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212</v>
      </c>
      <c r="N22" s="55" t="s">
        <v>113</v>
      </c>
      <c r="O22" s="55">
        <v>6</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6</v>
      </c>
      <c r="AR22" s="55" t="s">
        <v>113</v>
      </c>
      <c r="AS22" s="55">
        <v>178</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8</v>
      </c>
      <c r="BH22" s="55" t="s">
        <v>113</v>
      </c>
      <c r="BI22" s="55" t="s">
        <v>113</v>
      </c>
      <c r="BJ22" s="55" t="s">
        <v>113</v>
      </c>
      <c r="BK22" s="55">
        <v>6</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155</v>
      </c>
      <c r="N24" s="55" t="s">
        <v>113</v>
      </c>
      <c r="O24" s="55">
        <v>6</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5</v>
      </c>
      <c r="AR24" s="55" t="s">
        <v>113</v>
      </c>
      <c r="AS24" s="55">
        <v>139</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2</v>
      </c>
      <c r="BH24" s="55" t="s">
        <v>113</v>
      </c>
      <c r="BI24" s="55" t="s">
        <v>113</v>
      </c>
      <c r="BJ24" s="55" t="s">
        <v>113</v>
      </c>
      <c r="BK24" s="55">
        <v>2</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152</v>
      </c>
      <c r="N25" s="55" t="s">
        <v>113</v>
      </c>
      <c r="O25" s="55">
        <v>5</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6</v>
      </c>
      <c r="AR25" s="55" t="s">
        <v>113</v>
      </c>
      <c r="AS25" s="55">
        <v>124</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5</v>
      </c>
      <c r="BH25" s="55" t="s">
        <v>113</v>
      </c>
      <c r="BI25" s="55" t="s">
        <v>113</v>
      </c>
      <c r="BJ25" s="55" t="s">
        <v>113</v>
      </c>
      <c r="BK25" s="55">
        <v>8</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153</v>
      </c>
      <c r="N26" s="55" t="s">
        <v>113</v>
      </c>
      <c r="O26" s="55">
        <v>2</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6</v>
      </c>
      <c r="AR26" s="55" t="s">
        <v>113</v>
      </c>
      <c r="AS26" s="55">
        <v>148</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7</v>
      </c>
      <c r="BH26" s="55" t="s">
        <v>113</v>
      </c>
      <c r="BI26" s="55" t="s">
        <v>113</v>
      </c>
      <c r="BJ26" s="55" t="s">
        <v>113</v>
      </c>
      <c r="BK26" s="55">
        <v>4</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177</v>
      </c>
      <c r="N27" s="55" t="s">
        <v>113</v>
      </c>
      <c r="O27" s="55">
        <v>4</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3</v>
      </c>
      <c r="AR27" s="55" t="s">
        <v>113</v>
      </c>
      <c r="AS27" s="55">
        <v>131</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4</v>
      </c>
      <c r="BH27" s="55" t="s">
        <v>113</v>
      </c>
      <c r="BI27" s="55" t="s">
        <v>113</v>
      </c>
      <c r="BJ27" s="55" t="s">
        <v>113</v>
      </c>
      <c r="BK27" s="55">
        <v>5</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1</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194</v>
      </c>
      <c r="N29" s="55" t="s">
        <v>113</v>
      </c>
      <c r="O29" s="55">
        <v>7</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19</v>
      </c>
      <c r="AR29" s="55" t="s">
        <v>113</v>
      </c>
      <c r="AS29" s="55">
        <v>185</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5</v>
      </c>
      <c r="BH29" s="55" t="s">
        <v>113</v>
      </c>
      <c r="BI29" s="55" t="s">
        <v>113</v>
      </c>
      <c r="BJ29" s="55" t="s">
        <v>113</v>
      </c>
      <c r="BK29" s="55">
        <v>4</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223</v>
      </c>
      <c r="N30" s="55" t="s">
        <v>113</v>
      </c>
      <c r="O30" s="55">
        <v>7</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9</v>
      </c>
      <c r="AR30" s="55" t="s">
        <v>113</v>
      </c>
      <c r="AS30" s="55">
        <v>167</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4</v>
      </c>
      <c r="BH30" s="55" t="s">
        <v>113</v>
      </c>
      <c r="BI30" s="55" t="s">
        <v>113</v>
      </c>
      <c r="BJ30" s="55" t="s">
        <v>113</v>
      </c>
      <c r="BK30" s="55">
        <v>4</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214</v>
      </c>
      <c r="N31" s="55" t="s">
        <v>113</v>
      </c>
      <c r="O31" s="55">
        <v>9</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10</v>
      </c>
      <c r="AR31" s="55" t="s">
        <v>113</v>
      </c>
      <c r="AS31" s="55">
        <v>154</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5</v>
      </c>
      <c r="BH31" s="55" t="s">
        <v>113</v>
      </c>
      <c r="BI31" s="55" t="s">
        <v>113</v>
      </c>
      <c r="BJ31" s="55" t="s">
        <v>113</v>
      </c>
      <c r="BK31" s="55">
        <v>7</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188</v>
      </c>
      <c r="N32" s="55" t="s">
        <v>113</v>
      </c>
      <c r="O32" s="55">
        <v>8</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7</v>
      </c>
      <c r="AR32" s="55" t="s">
        <v>113</v>
      </c>
      <c r="AS32" s="55">
        <v>170</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3</v>
      </c>
      <c r="BH32" s="55" t="s">
        <v>113</v>
      </c>
      <c r="BI32" s="55" t="s">
        <v>113</v>
      </c>
      <c r="BJ32" s="55" t="s">
        <v>113</v>
      </c>
      <c r="BK32" s="55">
        <v>3</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202</v>
      </c>
      <c r="N33" s="55" t="s">
        <v>113</v>
      </c>
      <c r="O33" s="55">
        <v>10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12</v>
      </c>
      <c r="AR33" s="55" t="s">
        <v>113</v>
      </c>
      <c r="AS33" s="55">
        <v>168</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2</v>
      </c>
      <c r="BH33" s="55" t="s">
        <v>113</v>
      </c>
      <c r="BI33" s="55" t="s">
        <v>113</v>
      </c>
      <c r="BJ33" s="55" t="s">
        <v>113</v>
      </c>
      <c r="BK33" s="55">
        <v>8</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219</v>
      </c>
      <c r="N34" s="55" t="s">
        <v>113</v>
      </c>
      <c r="O34" s="55">
        <v>11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8</v>
      </c>
      <c r="AR34" s="55" t="s">
        <v>113</v>
      </c>
      <c r="AS34" s="55">
        <v>169</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3</v>
      </c>
      <c r="BH34" s="55" t="s">
        <v>113</v>
      </c>
      <c r="BI34" s="55" t="s">
        <v>113</v>
      </c>
      <c r="BJ34" s="55" t="s">
        <v>113</v>
      </c>
      <c r="BK34" s="55">
        <v>2</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206</v>
      </c>
      <c r="N35" s="55" t="s">
        <v>113</v>
      </c>
      <c r="O35" s="55">
        <v>12</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18</v>
      </c>
      <c r="AR35" s="55" t="s">
        <v>113</v>
      </c>
      <c r="AS35" s="55">
        <v>181</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4</v>
      </c>
      <c r="BH35" s="55" t="s">
        <v>113</v>
      </c>
      <c r="BI35" s="55" t="s">
        <v>113</v>
      </c>
      <c r="BJ35" s="55" t="s">
        <v>113</v>
      </c>
      <c r="BK35" s="55">
        <v>4</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172</v>
      </c>
      <c r="N36" s="55" t="s">
        <v>113</v>
      </c>
      <c r="O36" s="55">
        <v>14</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16</v>
      </c>
      <c r="AR36" s="55" t="s">
        <v>113</v>
      </c>
      <c r="AS36" s="55">
        <v>168</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3</v>
      </c>
      <c r="BH36" s="55" t="s">
        <v>113</v>
      </c>
      <c r="BI36" s="55" t="s">
        <v>113</v>
      </c>
      <c r="BJ36" s="55" t="s">
        <v>113</v>
      </c>
      <c r="BK36" s="55">
        <v>5</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2022-09-23T03:50:52Z</dcterms:modified>
</cp:coreProperties>
</file>