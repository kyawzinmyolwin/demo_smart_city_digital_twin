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6646BE33-0712-48AC-9F86-8492E5960E9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7" i="6" l="1"/>
  <c r="J48" i="6"/>
  <c r="J44" i="6"/>
  <c r="J45" i="6"/>
  <c r="J42" i="6"/>
  <c r="J43" i="6"/>
  <c r="J46" i="6"/>
  <c r="J41"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07" i="4" l="1"/>
  <c r="I31" i="4"/>
  <c r="I335" i="4"/>
  <c r="I297" i="4"/>
  <c r="I259" i="4"/>
  <c r="I221" i="4"/>
  <c r="I183" i="4"/>
  <c r="I145" i="4"/>
  <c r="I373" i="4"/>
  <c r="I411" i="4"/>
  <c r="I69" i="4"/>
  <c r="I601" i="4"/>
  <c r="I525" i="4"/>
  <c r="I563" i="4"/>
  <c r="I449" i="4"/>
  <c r="I487" i="4"/>
  <c r="Q43" i="6"/>
  <c r="I110" i="4"/>
  <c r="I72" i="4"/>
  <c r="I34" i="4"/>
  <c r="I338" i="4"/>
  <c r="I300" i="4"/>
  <c r="I262" i="4"/>
  <c r="I224" i="4"/>
  <c r="I186" i="4"/>
  <c r="I148" i="4"/>
  <c r="I566" i="4"/>
  <c r="I528" i="4"/>
  <c r="I490" i="4"/>
  <c r="I452" i="4"/>
  <c r="I414" i="4"/>
  <c r="I376" i="4"/>
  <c r="I604" i="4"/>
  <c r="I27" i="4"/>
  <c r="I331" i="4"/>
  <c r="I255" i="4"/>
  <c r="I217" i="4"/>
  <c r="I179" i="4"/>
  <c r="I141" i="4"/>
  <c r="I103" i="4"/>
  <c r="I65" i="4"/>
  <c r="I293" i="4"/>
  <c r="I597" i="4"/>
  <c r="I521" i="4"/>
  <c r="I559" i="4"/>
  <c r="I445" i="4"/>
  <c r="I483" i="4"/>
  <c r="I369" i="4"/>
  <c r="I407" i="4"/>
  <c r="I158" i="4"/>
  <c r="I120" i="4"/>
  <c r="I82" i="4"/>
  <c r="I44" i="4"/>
  <c r="I6" i="4"/>
  <c r="I310" i="4"/>
  <c r="I272" i="4"/>
  <c r="I234" i="4"/>
  <c r="I196" i="4"/>
  <c r="I576" i="4"/>
  <c r="I538" i="4"/>
  <c r="I500" i="4"/>
  <c r="I462" i="4"/>
  <c r="I424" i="4"/>
  <c r="I386" i="4"/>
  <c r="I348" i="4"/>
  <c r="I94" i="4"/>
  <c r="I56" i="4"/>
  <c r="I18" i="4"/>
  <c r="I322" i="4"/>
  <c r="I284" i="4"/>
  <c r="I246" i="4"/>
  <c r="I208" i="4"/>
  <c r="I170" i="4"/>
  <c r="I132" i="4"/>
  <c r="I550" i="4"/>
  <c r="I512" i="4"/>
  <c r="I474" i="4"/>
  <c r="I436" i="4"/>
  <c r="I398" i="4"/>
  <c r="I360" i="4"/>
  <c r="I588" i="4"/>
  <c r="I62" i="4"/>
  <c r="I24" i="4"/>
  <c r="I290" i="4"/>
  <c r="I252" i="4"/>
  <c r="I214" i="4"/>
  <c r="I176" i="4"/>
  <c r="I138" i="4"/>
  <c r="I100" i="4"/>
  <c r="I328" i="4"/>
  <c r="I518" i="4"/>
  <c r="I480" i="4"/>
  <c r="I442" i="4"/>
  <c r="I404" i="4"/>
  <c r="I366" i="4"/>
  <c r="I594" i="4"/>
  <c r="I556" i="4"/>
  <c r="Q42" i="6"/>
  <c r="I299" i="4"/>
  <c r="I223" i="4"/>
  <c r="I185" i="4"/>
  <c r="I147" i="4"/>
  <c r="I109" i="4"/>
  <c r="I71" i="4"/>
  <c r="I33" i="4"/>
  <c r="I337" i="4"/>
  <c r="I565" i="4"/>
  <c r="I603" i="4"/>
  <c r="I261" i="4"/>
  <c r="I489" i="4"/>
  <c r="I527" i="4"/>
  <c r="I413" i="4"/>
  <c r="I451" i="4"/>
  <c r="I375" i="4"/>
  <c r="I155" i="4"/>
  <c r="I79" i="4"/>
  <c r="I41" i="4"/>
  <c r="I3" i="4"/>
  <c r="I307" i="4"/>
  <c r="I269" i="4"/>
  <c r="I231" i="4"/>
  <c r="I193" i="4"/>
  <c r="I117" i="4"/>
  <c r="I421" i="4"/>
  <c r="I459" i="4"/>
  <c r="I345" i="4"/>
  <c r="I383" i="4"/>
  <c r="I573" i="4"/>
  <c r="I497" i="4"/>
  <c r="I535" i="4"/>
  <c r="I43" i="4"/>
  <c r="I271" i="4"/>
  <c r="I233" i="4"/>
  <c r="I195" i="4"/>
  <c r="I157" i="4"/>
  <c r="I119" i="4"/>
  <c r="I81" i="4"/>
  <c r="I347" i="4"/>
  <c r="I5" i="4"/>
  <c r="I537" i="4"/>
  <c r="I575" i="4"/>
  <c r="I309" i="4"/>
  <c r="I461" i="4"/>
  <c r="I499" i="4"/>
  <c r="I385" i="4"/>
  <c r="I423" i="4"/>
  <c r="Q41" i="6"/>
  <c r="I222" i="4"/>
  <c r="I184" i="4"/>
  <c r="I146" i="4"/>
  <c r="I108" i="4"/>
  <c r="I70" i="4"/>
  <c r="I32" i="4"/>
  <c r="I336" i="4"/>
  <c r="I298" i="4"/>
  <c r="I260" i="4"/>
  <c r="I374" i="4"/>
  <c r="I602" i="4"/>
  <c r="I564" i="4"/>
  <c r="I526" i="4"/>
  <c r="I488" i="4"/>
  <c r="I450" i="4"/>
  <c r="I412" i="4"/>
  <c r="I254" i="4"/>
  <c r="I216" i="4"/>
  <c r="I178" i="4"/>
  <c r="I140" i="4"/>
  <c r="I102" i="4"/>
  <c r="I64" i="4"/>
  <c r="I26" i="4"/>
  <c r="I330" i="4"/>
  <c r="I292" i="4"/>
  <c r="I406" i="4"/>
  <c r="I368" i="4"/>
  <c r="I596" i="4"/>
  <c r="I558" i="4"/>
  <c r="I520" i="4"/>
  <c r="I482" i="4"/>
  <c r="I444" i="4"/>
  <c r="I203" i="4"/>
  <c r="I127" i="4"/>
  <c r="I89" i="4"/>
  <c r="I51" i="4"/>
  <c r="I13" i="4"/>
  <c r="I279" i="4"/>
  <c r="I241" i="4"/>
  <c r="I317" i="4"/>
  <c r="I469" i="4"/>
  <c r="I507" i="4"/>
  <c r="I393" i="4"/>
  <c r="I431" i="4"/>
  <c r="I355" i="4"/>
  <c r="I165" i="4"/>
  <c r="I545" i="4"/>
  <c r="I583" i="4"/>
  <c r="I238" i="4"/>
  <c r="I200" i="4"/>
  <c r="I162" i="4"/>
  <c r="I124" i="4"/>
  <c r="I86" i="4"/>
  <c r="I48" i="4"/>
  <c r="I10" i="4"/>
  <c r="I314" i="4"/>
  <c r="I276" i="4"/>
  <c r="I390" i="4"/>
  <c r="I352" i="4"/>
  <c r="I580" i="4"/>
  <c r="I542" i="4"/>
  <c r="I504" i="4"/>
  <c r="I466" i="4"/>
  <c r="I428" i="4"/>
  <c r="I235" i="4"/>
  <c r="I159" i="4"/>
  <c r="I121" i="4"/>
  <c r="I83" i="4"/>
  <c r="I45" i="4"/>
  <c r="I7" i="4"/>
  <c r="I311" i="4"/>
  <c r="I273" i="4"/>
  <c r="I501" i="4"/>
  <c r="I539" i="4"/>
  <c r="I197" i="4"/>
  <c r="I425" i="4"/>
  <c r="I463" i="4"/>
  <c r="I349" i="4"/>
  <c r="I387" i="4"/>
  <c r="I577" i="4"/>
  <c r="I286" i="4"/>
  <c r="I248" i="4"/>
  <c r="I210" i="4"/>
  <c r="I172" i="4"/>
  <c r="I134" i="4"/>
  <c r="I96" i="4"/>
  <c r="I58" i="4"/>
  <c r="I20" i="4"/>
  <c r="I324" i="4"/>
  <c r="I438" i="4"/>
  <c r="I400" i="4"/>
  <c r="I362" i="4"/>
  <c r="I590" i="4"/>
  <c r="I552" i="4"/>
  <c r="I514" i="4"/>
  <c r="I476" i="4"/>
  <c r="I174" i="4"/>
  <c r="I136" i="4"/>
  <c r="I98" i="4"/>
  <c r="I60" i="4"/>
  <c r="I22" i="4"/>
  <c r="I326" i="4"/>
  <c r="I288" i="4"/>
  <c r="I250" i="4"/>
  <c r="I212" i="4"/>
  <c r="I592" i="4"/>
  <c r="I554" i="4"/>
  <c r="I516" i="4"/>
  <c r="I478" i="4"/>
  <c r="I440" i="4"/>
  <c r="I402" i="4"/>
  <c r="I364" i="4"/>
  <c r="I78" i="4"/>
  <c r="I40" i="4"/>
  <c r="I2" i="4"/>
  <c r="I306" i="4"/>
  <c r="I268" i="4"/>
  <c r="I230" i="4"/>
  <c r="I192" i="4"/>
  <c r="I154" i="4"/>
  <c r="I116" i="4"/>
  <c r="I534" i="4"/>
  <c r="I496" i="4"/>
  <c r="I458" i="4"/>
  <c r="I420" i="4"/>
  <c r="I382" i="4"/>
  <c r="I344" i="4"/>
  <c r="I572" i="4"/>
  <c r="I14" i="4"/>
  <c r="I318" i="4"/>
  <c r="I242" i="4"/>
  <c r="I204" i="4"/>
  <c r="I166" i="4"/>
  <c r="I128" i="4"/>
  <c r="I90" i="4"/>
  <c r="I52" i="4"/>
  <c r="I470" i="4"/>
  <c r="I432" i="4"/>
  <c r="I280" i="4"/>
  <c r="I394" i="4"/>
  <c r="I356" i="4"/>
  <c r="I584" i="4"/>
  <c r="I546" i="4"/>
  <c r="I508" i="4"/>
  <c r="I11" i="4"/>
  <c r="I315" i="4"/>
  <c r="I239" i="4"/>
  <c r="I201" i="4"/>
  <c r="I163" i="4"/>
  <c r="I125" i="4"/>
  <c r="I87" i="4"/>
  <c r="I49" i="4"/>
  <c r="I581" i="4"/>
  <c r="I505" i="4"/>
  <c r="I543" i="4"/>
  <c r="I277" i="4"/>
  <c r="I429" i="4"/>
  <c r="I467" i="4"/>
  <c r="I353" i="4"/>
  <c r="I391" i="4"/>
  <c r="Q44" i="6"/>
  <c r="I187" i="4"/>
  <c r="I111" i="4"/>
  <c r="I73" i="4"/>
  <c r="I35" i="4"/>
  <c r="I339" i="4"/>
  <c r="I263" i="4"/>
  <c r="I225" i="4"/>
  <c r="I453" i="4"/>
  <c r="I491" i="4"/>
  <c r="I301" i="4"/>
  <c r="I377" i="4"/>
  <c r="I415" i="4"/>
  <c r="I149" i="4"/>
  <c r="I605" i="4"/>
  <c r="I529" i="4"/>
  <c r="I567" i="4"/>
  <c r="I46" i="4"/>
  <c r="I8" i="4"/>
  <c r="I274" i="4"/>
  <c r="I236" i="4"/>
  <c r="I198" i="4"/>
  <c r="I160" i="4"/>
  <c r="I122" i="4"/>
  <c r="I84" i="4"/>
  <c r="I502" i="4"/>
  <c r="I464" i="4"/>
  <c r="I426" i="4"/>
  <c r="I388" i="4"/>
  <c r="I350" i="4"/>
  <c r="I312" i="4"/>
  <c r="I578" i="4"/>
  <c r="I540" i="4"/>
  <c r="I267" i="4"/>
  <c r="I191" i="4"/>
  <c r="I153" i="4"/>
  <c r="I115" i="4"/>
  <c r="I77" i="4"/>
  <c r="I39" i="4"/>
  <c r="I305" i="4"/>
  <c r="I533" i="4"/>
  <c r="I571" i="4"/>
  <c r="I457" i="4"/>
  <c r="I495" i="4"/>
  <c r="I381" i="4"/>
  <c r="I419" i="4"/>
  <c r="I229" i="4"/>
  <c r="I609" i="4"/>
  <c r="I343" i="4"/>
  <c r="I270" i="4"/>
  <c r="I232" i="4"/>
  <c r="I194" i="4"/>
  <c r="I156" i="4"/>
  <c r="I118" i="4"/>
  <c r="I80" i="4"/>
  <c r="I42" i="4"/>
  <c r="I4" i="4"/>
  <c r="I308" i="4"/>
  <c r="I422" i="4"/>
  <c r="I384" i="4"/>
  <c r="I346" i="4"/>
  <c r="I574" i="4"/>
  <c r="I536" i="4"/>
  <c r="I498" i="4"/>
  <c r="I460" i="4"/>
  <c r="I126" i="4"/>
  <c r="I88" i="4"/>
  <c r="I50" i="4"/>
  <c r="I12" i="4"/>
  <c r="I316" i="4"/>
  <c r="I278" i="4"/>
  <c r="I240" i="4"/>
  <c r="I202" i="4"/>
  <c r="I164" i="4"/>
  <c r="I582" i="4"/>
  <c r="I544" i="4"/>
  <c r="I506" i="4"/>
  <c r="I468" i="4"/>
  <c r="I430" i="4"/>
  <c r="I392" i="4"/>
  <c r="I354" i="4"/>
  <c r="I91" i="4"/>
  <c r="I15" i="4"/>
  <c r="I319" i="4"/>
  <c r="I281" i="4"/>
  <c r="I243" i="4"/>
  <c r="I205" i="4"/>
  <c r="I167" i="4"/>
  <c r="I129" i="4"/>
  <c r="I53" i="4"/>
  <c r="I357" i="4"/>
  <c r="I395" i="4"/>
  <c r="I585" i="4"/>
  <c r="I509" i="4"/>
  <c r="I547" i="4"/>
  <c r="I433" i="4"/>
  <c r="I471" i="4"/>
  <c r="I75" i="4"/>
  <c r="I303" i="4"/>
  <c r="I265" i="4"/>
  <c r="I227" i="4"/>
  <c r="I189" i="4"/>
  <c r="I151" i="4"/>
  <c r="I113" i="4"/>
  <c r="I341" i="4"/>
  <c r="I379" i="4"/>
  <c r="I569" i="4"/>
  <c r="I607" i="4"/>
  <c r="I493" i="4"/>
  <c r="I531" i="4"/>
  <c r="I37" i="4"/>
  <c r="I417" i="4"/>
  <c r="I455" i="4"/>
  <c r="Q47" i="6"/>
  <c r="I190" i="4"/>
  <c r="I152" i="4"/>
  <c r="I114" i="4"/>
  <c r="I76" i="4"/>
  <c r="I38" i="4"/>
  <c r="I304" i="4"/>
  <c r="I266" i="4"/>
  <c r="I228" i="4"/>
  <c r="I342" i="4"/>
  <c r="I608" i="4"/>
  <c r="I570" i="4"/>
  <c r="I532" i="4"/>
  <c r="I494" i="4"/>
  <c r="I456" i="4"/>
  <c r="I418" i="4"/>
  <c r="I380" i="4"/>
  <c r="I123" i="4"/>
  <c r="I47" i="4"/>
  <c r="I9" i="4"/>
  <c r="I275" i="4"/>
  <c r="I237" i="4"/>
  <c r="I199" i="4"/>
  <c r="I161" i="4"/>
  <c r="I389" i="4"/>
  <c r="I427" i="4"/>
  <c r="I351" i="4"/>
  <c r="I85" i="4"/>
  <c r="I541" i="4"/>
  <c r="I579" i="4"/>
  <c r="I313" i="4"/>
  <c r="I465" i="4"/>
  <c r="I503" i="4"/>
  <c r="I59" i="4"/>
  <c r="I287" i="4"/>
  <c r="I249" i="4"/>
  <c r="I211" i="4"/>
  <c r="I173" i="4"/>
  <c r="I135" i="4"/>
  <c r="I97" i="4"/>
  <c r="I363" i="4"/>
  <c r="I325" i="4"/>
  <c r="I553" i="4"/>
  <c r="I591" i="4"/>
  <c r="I21" i="4"/>
  <c r="I477" i="4"/>
  <c r="I515" i="4"/>
  <c r="I401" i="4"/>
  <c r="I439" i="4"/>
  <c r="I139" i="4"/>
  <c r="I63" i="4"/>
  <c r="I25" i="4"/>
  <c r="I291" i="4"/>
  <c r="I253" i="4"/>
  <c r="I215" i="4"/>
  <c r="I177" i="4"/>
  <c r="I405" i="4"/>
  <c r="I443" i="4"/>
  <c r="I367" i="4"/>
  <c r="I329" i="4"/>
  <c r="I557" i="4"/>
  <c r="I595" i="4"/>
  <c r="I101" i="4"/>
  <c r="I481" i="4"/>
  <c r="I519" i="4"/>
  <c r="I30" i="4"/>
  <c r="I334" i="4"/>
  <c r="I258" i="4"/>
  <c r="I220" i="4"/>
  <c r="I182" i="4"/>
  <c r="I144" i="4"/>
  <c r="I106" i="4"/>
  <c r="I68" i="4"/>
  <c r="I486" i="4"/>
  <c r="I448" i="4"/>
  <c r="I410" i="4"/>
  <c r="I372" i="4"/>
  <c r="I296" i="4"/>
  <c r="I600" i="4"/>
  <c r="I562" i="4"/>
  <c r="I524" i="4"/>
  <c r="Q45" i="6"/>
  <c r="I302" i="4"/>
  <c r="I264" i="4"/>
  <c r="I226" i="4"/>
  <c r="I188" i="4"/>
  <c r="I150" i="4"/>
  <c r="I112" i="4"/>
  <c r="I74" i="4"/>
  <c r="I36" i="4"/>
  <c r="I340" i="4"/>
  <c r="I454" i="4"/>
  <c r="I416" i="4"/>
  <c r="I378" i="4"/>
  <c r="I606" i="4"/>
  <c r="I568" i="4"/>
  <c r="I530" i="4"/>
  <c r="I492" i="4"/>
  <c r="I283" i="4"/>
  <c r="I207" i="4"/>
  <c r="I169" i="4"/>
  <c r="I131" i="4"/>
  <c r="I93" i="4"/>
  <c r="I55" i="4"/>
  <c r="I17" i="4"/>
  <c r="I321" i="4"/>
  <c r="I245" i="4"/>
  <c r="I549" i="4"/>
  <c r="I587" i="4"/>
  <c r="I473" i="4"/>
  <c r="I511" i="4"/>
  <c r="I397" i="4"/>
  <c r="I435" i="4"/>
  <c r="I359" i="4"/>
  <c r="I251" i="4"/>
  <c r="I175" i="4"/>
  <c r="I137" i="4"/>
  <c r="I99" i="4"/>
  <c r="I61" i="4"/>
  <c r="I23" i="4"/>
  <c r="I327" i="4"/>
  <c r="I289" i="4"/>
  <c r="I517" i="4"/>
  <c r="I555" i="4"/>
  <c r="I441" i="4"/>
  <c r="I479" i="4"/>
  <c r="I213" i="4"/>
  <c r="I365" i="4"/>
  <c r="I403" i="4"/>
  <c r="I593" i="4"/>
  <c r="I206" i="4"/>
  <c r="I168" i="4"/>
  <c r="I130" i="4"/>
  <c r="I92" i="4"/>
  <c r="I54" i="4"/>
  <c r="I16" i="4"/>
  <c r="I320" i="4"/>
  <c r="I282" i="4"/>
  <c r="I244" i="4"/>
  <c r="I358" i="4"/>
  <c r="I586" i="4"/>
  <c r="I548" i="4"/>
  <c r="I510" i="4"/>
  <c r="I472" i="4"/>
  <c r="I434" i="4"/>
  <c r="I396" i="4"/>
  <c r="I219" i="4"/>
  <c r="I143" i="4"/>
  <c r="I105" i="4"/>
  <c r="I67" i="4"/>
  <c r="I29" i="4"/>
  <c r="I295" i="4"/>
  <c r="I257" i="4"/>
  <c r="I181" i="4"/>
  <c r="I485" i="4"/>
  <c r="I523" i="4"/>
  <c r="I409" i="4"/>
  <c r="I447" i="4"/>
  <c r="I371" i="4"/>
  <c r="I333" i="4"/>
  <c r="I561" i="4"/>
  <c r="I599" i="4"/>
  <c r="I171" i="4"/>
  <c r="I95" i="4"/>
  <c r="I57" i="4"/>
  <c r="I19" i="4"/>
  <c r="I323" i="4"/>
  <c r="I247" i="4"/>
  <c r="I209" i="4"/>
  <c r="I437" i="4"/>
  <c r="I475" i="4"/>
  <c r="I133" i="4"/>
  <c r="I361" i="4"/>
  <c r="I399" i="4"/>
  <c r="I589" i="4"/>
  <c r="I285" i="4"/>
  <c r="I513" i="4"/>
  <c r="I551" i="4"/>
  <c r="I142" i="4"/>
  <c r="I104" i="4"/>
  <c r="I66" i="4"/>
  <c r="I28" i="4"/>
  <c r="I332" i="4"/>
  <c r="I294" i="4"/>
  <c r="I256" i="4"/>
  <c r="I218" i="4"/>
  <c r="I180" i="4"/>
  <c r="I598" i="4"/>
  <c r="I560" i="4"/>
  <c r="I522" i="4"/>
  <c r="I484" i="4"/>
  <c r="I446" i="4"/>
  <c r="I408" i="4"/>
  <c r="I370"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<sst xmlns="http://schemas.openxmlformats.org/spreadsheetml/2006/main" count="4218" uniqueCount="173">
  <si>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</si>
  <si>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</si>
  <si>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</si>
  <si>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</si>
  <si>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</si>
  <si>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</si>
  <si>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</si>
  <si>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</si>
  <si>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</si>
  <si>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</si>
  <si>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</si>
  <si>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</si>
  <si>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</si>
  <si>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</si>
  <si>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</si>
  <si>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</si>
  <si>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</si>
  <si>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</si>
  <si>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</si>
  <si>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</si>
  <si>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</si>
  <si>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</si>
  <si>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</si>
  <si>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</si>
  <si>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</si>
  <si>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</si>
  <si>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</si>
  <si>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</si>
  <si>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</si>
  <si>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</si>
  <si>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</si>
  <si>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</si>
  <si>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</si>
  <si>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</si>
  <si>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</si>
  <si>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</si>
  <si>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</si>
  <si>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</si>
  <si>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</si>
  <si>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</si>
  <si>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</si>
  <si>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</si>
  <si>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</si>
  <si>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</si>
  <si>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</si>
  <si>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</si>
  <si>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</si>
  <si>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</si>
  <si>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</si>
  <si>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</si>
  <si>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</si>
  <si>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</si>
  <si>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</si>
  <si>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</si>
  <si>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</si>
  <si>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</si>
  <si>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</si>
  <si>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</si>
  <si>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</si>
  <si>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</si>
  <si>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</si>
  <si>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</si>
  <si>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</si>
  <si>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</si>
  <si>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</si>
  <si>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</si>
  <si>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</si>
  <si>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</si>
  <si>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</si>
  <si>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</si>
  <si>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</si>
  <si>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</si>
  <si>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</si>
  <si>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</si>
  <si>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</si>
  <si>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</si>
  <si>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</si>
  <si>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</si>
  <si>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</si>
  <si>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</si>
  <si>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</si>
  <si>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</si>
  <si>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</si>
  <si>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</si>
  <si>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</si>
  <si>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</si>
  <si>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</si>
  <si>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</si>
  <si>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</si>
  <si>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</si>
  <si>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</si>
  <si>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</si>
  <si>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</si>
  <si>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Colombo Street_Moorhouse Avenue_Intersection</t>
  </si>
  <si>
    <t>Colombo Street North</t>
  </si>
  <si>
    <t>Moorhouse Avenue East</t>
  </si>
  <si>
    <t>Colombo Street South</t>
  </si>
  <si>
    <t>Moorhouse Avenue West</t>
  </si>
  <si>
    <t>Colombo Street_Moorhouse Avenue_Intersection      Fine      31/05/2022</t>
  </si>
  <si>
    <t>Colombo Street North Total</t>
  </si>
  <si>
    <t>Moorhouse Avenue East Total</t>
  </si>
  <si>
    <t>Colombo Street South Total</t>
  </si>
  <si>
    <t>Moorhouse Avenue West Total</t>
  </si>
  <si>
    <t>Peds CCW Total</t>
  </si>
  <si>
    <t>Peds CW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</si>
  <si>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</si>
  <si>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</si>
  <si>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</si>
  <si>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</si>
  <si>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</si>
  <si>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</si>
  <si>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</si>
  <si>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</si>
  <si>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</si>
  <si>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</si>
  <si>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</si>
  <si>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</si>
  <si>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</si>
  <si>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</si>
  <si>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</si>
  <si>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</si>
  <si>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</si>
  <si>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</si>
  <si>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</si>
  <si>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</si>
  <si>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</si>
  <si>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</si>
  <si>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</si>
  <si>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</si>
  <si>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</si>
  <si>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</si>
  <si>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</si>
  <si>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</si>
  <si>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</si>
  <si>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</si>
  <si>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</si>
  <si>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</si>
  <si>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</si>
  <si>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</si>
  <si>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</si>
  <si>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</si>
  <si>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</si>
  <si>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</si>
  <si>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</si>
  <si>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</si>
  <si>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</si>
  <si>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SWB</t>
  </si>
  <si>
    <t>Peds NEB</t>
  </si>
  <si>
    <t>Peds SEB</t>
  </si>
  <si>
    <t>Peds NWB</t>
  </si>
  <si>
    <t>Southeastbound</t>
  </si>
  <si>
    <t>Eastbound</t>
  </si>
  <si>
    <t>Northeastbound</t>
  </si>
  <si>
    <t>Northbound</t>
  </si>
  <si>
    <t>Northwestbound</t>
  </si>
  <si>
    <t>Westbound</t>
  </si>
  <si>
    <t>Southwestbound</t>
  </si>
  <si>
    <t>Southbound</t>
  </si>
  <si>
    <t>n/a</t>
  </si>
  <si>
    <t>Moorhouse Ave Eastbound</t>
  </si>
  <si>
    <t>Colombo St Northbound</t>
  </si>
  <si>
    <t>Moorhouse Ave Westbound</t>
  </si>
  <si>
    <t>Colombo St Southbound</t>
  </si>
  <si>
    <t>Bicycles on Crosswalk</t>
  </si>
  <si>
    <t>Classification</t>
  </si>
  <si>
    <t>Crosswalk</t>
  </si>
  <si>
    <t>Type</t>
  </si>
  <si>
    <t>Project</t>
  </si>
  <si>
    <t>Site Code</t>
  </si>
  <si>
    <t>05/31/2022</t>
  </si>
  <si>
    <t>Start Date</t>
  </si>
  <si>
    <t>CCC I2976 Colombo - Moorhouse</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</si>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</sst>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0" fontId="4" fillId="0" borderId="0" xfId="1" applyFill="1"/>
  </cellXfs>
  <cellStyles count="2">
    <cellStyle name="Normal" xfId="0" builtinId="0"/>
    <cellStyle name="Normal 2" xfId="1" xr:uid="{9556341C-7D22-48C2-9BF0-A383646EC79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c:v>
                </c:pt>
                <c:pt idx="1">
                  <c:v>2</c:v>
                </c:pt>
                <c:pt idx="2">
                  <c:v>1</c:v>
                </c:pt>
                <c:pt idx="3">
                  <c:v>1</c:v>
                </c:pt>
                <c:pt idx="4">
                  <c:v>2</c:v>
                </c:pt>
                <c:pt idx="5">
                  <c:v>1</c:v>
                </c:pt>
                <c:pt idx="6">
                  <c:v>0</c:v>
                </c:pt>
                <c:pt idx="7">
                  <c:v>2</c:v>
                </c:pt>
                <c:pt idx="8">
                  <c:v>5</c:v>
                </c:pt>
                <c:pt idx="9">
                  <c:v>2</c:v>
                </c:pt>
                <c:pt idx="10">
                  <c:v>8</c:v>
                </c:pt>
                <c:pt idx="11">
                  <c:v>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c:v>
                </c:pt>
                <c:pt idx="1">
                  <c:v>0</c:v>
                </c:pt>
                <c:pt idx="2">
                  <c:v>4</c:v>
                </c:pt>
                <c:pt idx="3">
                  <c:v>1</c:v>
                </c:pt>
                <c:pt idx="4">
                  <c:v>3</c:v>
                </c:pt>
                <c:pt idx="5">
                  <c:v>1</c:v>
                </c:pt>
                <c:pt idx="6">
                  <c:v>0</c:v>
                </c:pt>
                <c:pt idx="7">
                  <c:v>2</c:v>
                </c:pt>
                <c:pt idx="8">
                  <c:v>3</c:v>
                </c:pt>
                <c:pt idx="9">
                  <c:v>2</c:v>
                </c:pt>
                <c:pt idx="10">
                  <c:v>2</c:v>
                </c:pt>
                <c:pt idx="11">
                  <c:v>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9</c:v>
                </c:pt>
                <c:pt idx="2">
                  <c:v>16</c:v>
                </c:pt>
                <c:pt idx="3">
                  <c:v>9</c:v>
                </c:pt>
                <c:pt idx="4">
                  <c:v>4</c:v>
                </c:pt>
                <c:pt idx="5">
                  <c:v>25</c:v>
                </c:pt>
                <c:pt idx="6">
                  <c:v>25</c:v>
                </c:pt>
                <c:pt idx="7">
                  <c:v>13</c:v>
                </c:pt>
                <c:pt idx="8">
                  <c:v>14</c:v>
                </c:pt>
                <c:pt idx="9">
                  <c:v>14</c:v>
                </c:pt>
                <c:pt idx="10">
                  <c:v>5</c:v>
                </c:pt>
                <c:pt idx="11">
                  <c:v>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c:v>
                </c:pt>
                <c:pt idx="1">
                  <c:v>0</c:v>
                </c:pt>
                <c:pt idx="2">
                  <c:v>5</c:v>
                </c:pt>
                <c:pt idx="3">
                  <c:v>6</c:v>
                </c:pt>
                <c:pt idx="4">
                  <c:v>9</c:v>
                </c:pt>
                <c:pt idx="5">
                  <c:v>10</c:v>
                </c:pt>
                <c:pt idx="6">
                  <c:v>11</c:v>
                </c:pt>
                <c:pt idx="7">
                  <c:v>8</c:v>
                </c:pt>
                <c:pt idx="8">
                  <c:v>5</c:v>
                </c:pt>
                <c:pt idx="9">
                  <c:v>9</c:v>
                </c:pt>
                <c:pt idx="10">
                  <c:v>8</c:v>
                </c:pt>
                <c:pt idx="11">
                  <c:v>4</c:v>
                </c:pt>
              </c:numCache>
            </c:numRef>
          </c:val>
          <c:smooth val="0"/>
          <c:extLst>
            <c:ext xmlns:c16="http://schemas.microsoft.com/office/drawing/2014/chart" uri="{C3380CC4-5D6E-409C-BE32-E72D297353CC}">
              <c16:uniqueId val="{00000000-68A8-4B7A-8AC8-A3521A3D70C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9</c:v>
                </c:pt>
                <c:pt idx="1">
                  <c:v>11</c:v>
                </c:pt>
                <c:pt idx="2">
                  <c:v>26</c:v>
                </c:pt>
                <c:pt idx="3">
                  <c:v>17</c:v>
                </c:pt>
                <c:pt idx="4">
                  <c:v>18</c:v>
                </c:pt>
                <c:pt idx="5">
                  <c:v>37</c:v>
                </c:pt>
                <c:pt idx="6">
                  <c:v>36</c:v>
                </c:pt>
                <c:pt idx="7">
                  <c:v>25</c:v>
                </c:pt>
                <c:pt idx="8">
                  <c:v>27</c:v>
                </c:pt>
                <c:pt idx="9">
                  <c:v>27</c:v>
                </c:pt>
                <c:pt idx="10">
                  <c:v>23</c:v>
                </c:pt>
                <c:pt idx="11">
                  <c:v>18</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9</c:v>
                </c:pt>
                <c:pt idx="1">
                  <c:v>11</c:v>
                </c:pt>
                <c:pt idx="2">
                  <c:v>26</c:v>
                </c:pt>
                <c:pt idx="3">
                  <c:v>17</c:v>
                </c:pt>
                <c:pt idx="4">
                  <c:v>18</c:v>
                </c:pt>
                <c:pt idx="5">
                  <c:v>37</c:v>
                </c:pt>
                <c:pt idx="6">
                  <c:v>36</c:v>
                </c:pt>
                <c:pt idx="7">
                  <c:v>25</c:v>
                </c:pt>
                <c:pt idx="8">
                  <c:v>27</c:v>
                </c:pt>
                <c:pt idx="9">
                  <c:v>27</c:v>
                </c:pt>
                <c:pt idx="10">
                  <c:v>23</c:v>
                </c:pt>
                <c:pt idx="11">
                  <c:v>18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9</c:v>
                </c:pt>
                <c:pt idx="1">
                  <c:v>11</c:v>
                </c:pt>
                <c:pt idx="2">
                  <c:v>26</c:v>
                </c:pt>
                <c:pt idx="3">
                  <c:v>17</c:v>
                </c:pt>
                <c:pt idx="4">
                  <c:v>18</c:v>
                </c:pt>
                <c:pt idx="5">
                  <c:v>37</c:v>
                </c:pt>
                <c:pt idx="6">
                  <c:v>36</c:v>
                </c:pt>
                <c:pt idx="7">
                  <c:v>25</c:v>
                </c:pt>
                <c:pt idx="8">
                  <c:v>27</c:v>
                </c:pt>
                <c:pt idx="9">
                  <c:v>27</c:v>
                </c:pt>
                <c:pt idx="10">
                  <c:v>23</c:v>
                </c:pt>
                <c:pt idx="11">
                  <c:v>18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37</c:v>
                </c:pt>
                <c:pt idx="6">
                  <c:v>36</c:v>
                </c:pt>
                <c:pt idx="7">
                  <c:v>25</c:v>
                </c:pt>
                <c:pt idx="8">
                  <c:v>27</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20</xdr:col>
      <xdr:colOff>687967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504824</xdr:colOff>
      <xdr:row>9</xdr:row>
      <xdr:rowOff>66673</xdr:rowOff>
    </xdr:from>
    <xdr:to>
      <xdr:col>17</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295050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2070081018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76"/>
    </cacheField>
    <cacheField name="Peak" numFmtId="0">
      <sharedItems containsSemiMixedTypes="0" containsString="0" containsNumber="1" containsInteger="1" minValue="0" maxValue="7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20799537035" createdVersion="5" refreshedVersion="8" minRefreshableVersion="3" recordCount="608" xr:uid="{00000000-000A-0000-FFFF-FFFF01000000}">
  <cacheSource type="worksheet">
    <worksheetSource name="tblPivotData"/>
  </cacheSource>
  <cacheFields count="9">
    <cacheField name="Approach" numFmtId="0">
      <sharedItems count="7">
        <s v="Colombo Street North"/>
        <s v="Moorhouse Avenue East"/>
        <s v="Colombo Street South"/>
        <s v="Moorhouse Avenue 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30"/>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
    <n v="0"/>
  </r>
  <r>
    <x v="0"/>
    <x v="1"/>
    <n v="11"/>
    <n v="0"/>
  </r>
  <r>
    <x v="0"/>
    <x v="2"/>
    <n v="26"/>
    <n v="0"/>
  </r>
  <r>
    <x v="0"/>
    <x v="3"/>
    <n v="17"/>
    <n v="0"/>
  </r>
  <r>
    <x v="0"/>
    <x v="4"/>
    <n v="18"/>
    <n v="0"/>
  </r>
  <r>
    <x v="0"/>
    <x v="5"/>
    <n v="37"/>
    <n v="37"/>
  </r>
  <r>
    <x v="0"/>
    <x v="6"/>
    <n v="36"/>
    <n v="36"/>
  </r>
  <r>
    <x v="0"/>
    <x v="7"/>
    <n v="25"/>
    <n v="25"/>
  </r>
  <r>
    <x v="0"/>
    <x v="8"/>
    <n v="27"/>
    <n v="27"/>
  </r>
  <r>
    <x v="0"/>
    <x v="9"/>
    <n v="27"/>
    <n v="0"/>
  </r>
  <r>
    <x v="0"/>
    <x v="10"/>
    <n v="23"/>
    <n v="0"/>
  </r>
  <r>
    <x v="0"/>
    <x v="11"/>
    <n v="18"/>
    <n v="0"/>
  </r>
  <r>
    <x v="1"/>
    <x v="12"/>
    <n v="31"/>
    <n v="0"/>
  </r>
  <r>
    <x v="1"/>
    <x v="13"/>
    <n v="22"/>
    <n v="0"/>
  </r>
  <r>
    <x v="1"/>
    <x v="14"/>
    <n v="13"/>
    <n v="0"/>
  </r>
  <r>
    <x v="1"/>
    <x v="15"/>
    <n v="22"/>
    <n v="0"/>
  </r>
  <r>
    <x v="1"/>
    <x v="16"/>
    <n v="21"/>
    <n v="0"/>
  </r>
  <r>
    <x v="1"/>
    <x v="17"/>
    <n v="27"/>
    <n v="0"/>
  </r>
  <r>
    <x v="1"/>
    <x v="18"/>
    <n v="32"/>
    <n v="32"/>
  </r>
  <r>
    <x v="1"/>
    <x v="19"/>
    <n v="30"/>
    <n v="30"/>
  </r>
  <r>
    <x v="1"/>
    <x v="20"/>
    <n v="25"/>
    <n v="25"/>
  </r>
  <r>
    <x v="1"/>
    <x v="21"/>
    <n v="28"/>
    <n v="28"/>
  </r>
  <r>
    <x v="1"/>
    <x v="22"/>
    <n v="25"/>
    <n v="0"/>
  </r>
  <r>
    <x v="1"/>
    <x v="23"/>
    <n v="27"/>
    <n v="0"/>
  </r>
  <r>
    <x v="2"/>
    <x v="24"/>
    <n v="40"/>
    <n v="0"/>
  </r>
  <r>
    <x v="2"/>
    <x v="25"/>
    <n v="42"/>
    <n v="0"/>
  </r>
  <r>
    <x v="2"/>
    <x v="26"/>
    <n v="46"/>
    <n v="0"/>
  </r>
  <r>
    <x v="2"/>
    <x v="27"/>
    <n v="44"/>
    <n v="0"/>
  </r>
  <r>
    <x v="2"/>
    <x v="28"/>
    <n v="44"/>
    <n v="0"/>
  </r>
  <r>
    <x v="2"/>
    <x v="29"/>
    <n v="41"/>
    <n v="0"/>
  </r>
  <r>
    <x v="2"/>
    <x v="30"/>
    <n v="58"/>
    <n v="58"/>
  </r>
  <r>
    <x v="2"/>
    <x v="31"/>
    <n v="51"/>
    <n v="51"/>
  </r>
  <r>
    <x v="2"/>
    <x v="32"/>
    <n v="70"/>
    <n v="70"/>
  </r>
  <r>
    <x v="2"/>
    <x v="33"/>
    <n v="76"/>
    <n v="76"/>
  </r>
  <r>
    <x v="2"/>
    <x v="34"/>
    <n v="56"/>
    <n v="0"/>
  </r>
  <r>
    <x v="2"/>
    <x v="35"/>
    <n v="26"/>
    <n v="0"/>
  </r>
  <r>
    <x v="2"/>
    <x v="36"/>
    <n v="27"/>
    <n v="0"/>
  </r>
  <r>
    <x v="2"/>
    <x v="37"/>
    <n v="27"/>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x v="0"/>
    <x v="0"/>
    <x v="0"/>
    <x v="0"/>
    <x v="0"/>
    <x v="0"/>
    <n v="0"/>
    <x v="0"/>
    <x v="0"/>
  </r>
  <r>
    <x v="0"/>
    <x v="0"/>
    <x v="0"/>
    <x v="0"/>
    <x v="0"/>
    <x v="1"/>
    <n v="0"/>
    <x v="1"/>
    <x v="0"/>
  </r>
  <r>
    <x v="0"/>
    <x v="0"/>
    <x v="0"/>
    <x v="0"/>
    <x v="0"/>
    <x v="2"/>
    <n v="1"/>
    <x v="2"/>
    <x v="0"/>
  </r>
  <r>
    <x v="0"/>
    <x v="0"/>
    <x v="0"/>
    <x v="0"/>
    <x v="0"/>
    <x v="3"/>
    <n v="0"/>
    <x v="3"/>
    <x v="0"/>
  </r>
  <r>
    <x v="0"/>
    <x v="0"/>
    <x v="0"/>
    <x v="0"/>
    <x v="0"/>
    <x v="4"/>
    <n v="0"/>
    <x v="4"/>
    <x v="0"/>
  </r>
  <r>
    <x v="0"/>
    <x v="0"/>
    <x v="0"/>
    <x v="0"/>
    <x v="0"/>
    <x v="5"/>
    <n v="1"/>
    <x v="5"/>
    <x v="1"/>
  </r>
  <r>
    <x v="0"/>
    <x v="0"/>
    <x v="0"/>
    <x v="0"/>
    <x v="0"/>
    <x v="6"/>
    <n v="0"/>
    <x v="6"/>
    <x v="1"/>
  </r>
  <r>
    <x v="0"/>
    <x v="0"/>
    <x v="0"/>
    <x v="0"/>
    <x v="0"/>
    <x v="7"/>
    <n v="1"/>
    <x v="7"/>
    <x v="1"/>
  </r>
  <r>
    <x v="0"/>
    <x v="0"/>
    <x v="0"/>
    <x v="0"/>
    <x v="0"/>
    <x v="8"/>
    <n v="1"/>
    <x v="8"/>
    <x v="1"/>
  </r>
  <r>
    <x v="0"/>
    <x v="0"/>
    <x v="0"/>
    <x v="0"/>
    <x v="0"/>
    <x v="9"/>
    <n v="0"/>
    <x v="9"/>
    <x v="0"/>
  </r>
  <r>
    <x v="0"/>
    <x v="0"/>
    <x v="0"/>
    <x v="0"/>
    <x v="0"/>
    <x v="10"/>
    <n v="1"/>
    <x v="10"/>
    <x v="0"/>
  </r>
  <r>
    <x v="0"/>
    <x v="0"/>
    <x v="0"/>
    <x v="0"/>
    <x v="0"/>
    <x v="11"/>
    <n v="1"/>
    <x v="11"/>
    <x v="0"/>
  </r>
  <r>
    <x v="0"/>
    <x v="0"/>
    <x v="0"/>
    <x v="0"/>
    <x v="1"/>
    <x v="12"/>
    <n v="0"/>
    <x v="12"/>
    <x v="0"/>
  </r>
  <r>
    <x v="0"/>
    <x v="0"/>
    <x v="0"/>
    <x v="0"/>
    <x v="1"/>
    <x v="13"/>
    <n v="1"/>
    <x v="13"/>
    <x v="0"/>
  </r>
  <r>
    <x v="0"/>
    <x v="0"/>
    <x v="0"/>
    <x v="0"/>
    <x v="1"/>
    <x v="14"/>
    <n v="0"/>
    <x v="14"/>
    <x v="0"/>
  </r>
  <r>
    <x v="0"/>
    <x v="0"/>
    <x v="0"/>
    <x v="0"/>
    <x v="1"/>
    <x v="15"/>
    <n v="2"/>
    <x v="15"/>
    <x v="0"/>
  </r>
  <r>
    <x v="0"/>
    <x v="0"/>
    <x v="0"/>
    <x v="0"/>
    <x v="1"/>
    <x v="16"/>
    <n v="0"/>
    <x v="16"/>
    <x v="0"/>
  </r>
  <r>
    <x v="0"/>
    <x v="0"/>
    <x v="0"/>
    <x v="0"/>
    <x v="1"/>
    <x v="17"/>
    <n v="0"/>
    <x v="17"/>
    <x v="0"/>
  </r>
  <r>
    <x v="0"/>
    <x v="0"/>
    <x v="0"/>
    <x v="0"/>
    <x v="1"/>
    <x v="18"/>
    <n v="0"/>
    <x v="18"/>
    <x v="1"/>
  </r>
  <r>
    <x v="0"/>
    <x v="0"/>
    <x v="0"/>
    <x v="0"/>
    <x v="1"/>
    <x v="19"/>
    <n v="1"/>
    <x v="19"/>
    <x v="1"/>
  </r>
  <r>
    <x v="0"/>
    <x v="0"/>
    <x v="0"/>
    <x v="0"/>
    <x v="1"/>
    <x v="20"/>
    <n v="0"/>
    <x v="20"/>
    <x v="1"/>
  </r>
  <r>
    <x v="0"/>
    <x v="0"/>
    <x v="0"/>
    <x v="0"/>
    <x v="1"/>
    <x v="21"/>
    <n v="1"/>
    <x v="21"/>
    <x v="1"/>
  </r>
  <r>
    <x v="0"/>
    <x v="0"/>
    <x v="0"/>
    <x v="0"/>
    <x v="1"/>
    <x v="22"/>
    <n v="1"/>
    <x v="22"/>
    <x v="0"/>
  </r>
  <r>
    <x v="0"/>
    <x v="0"/>
    <x v="0"/>
    <x v="0"/>
    <x v="1"/>
    <x v="23"/>
    <n v="0"/>
    <x v="23"/>
    <x v="0"/>
  </r>
  <r>
    <x v="0"/>
    <x v="0"/>
    <x v="0"/>
    <x v="0"/>
    <x v="2"/>
    <x v="24"/>
    <n v="0"/>
    <x v="24"/>
    <x v="0"/>
  </r>
  <r>
    <x v="0"/>
    <x v="0"/>
    <x v="0"/>
    <x v="0"/>
    <x v="2"/>
    <x v="25"/>
    <n v="0"/>
    <x v="25"/>
    <x v="0"/>
  </r>
  <r>
    <x v="0"/>
    <x v="0"/>
    <x v="0"/>
    <x v="0"/>
    <x v="2"/>
    <x v="26"/>
    <n v="0"/>
    <x v="26"/>
    <x v="0"/>
  </r>
  <r>
    <x v="0"/>
    <x v="0"/>
    <x v="0"/>
    <x v="0"/>
    <x v="2"/>
    <x v="27"/>
    <n v="0"/>
    <x v="27"/>
    <x v="0"/>
  </r>
  <r>
    <x v="0"/>
    <x v="0"/>
    <x v="0"/>
    <x v="0"/>
    <x v="2"/>
    <x v="28"/>
    <n v="0"/>
    <x v="28"/>
    <x v="0"/>
  </r>
  <r>
    <x v="0"/>
    <x v="0"/>
    <x v="0"/>
    <x v="0"/>
    <x v="2"/>
    <x v="29"/>
    <n v="1"/>
    <x v="29"/>
    <x v="0"/>
  </r>
  <r>
    <x v="0"/>
    <x v="0"/>
    <x v="0"/>
    <x v="0"/>
    <x v="2"/>
    <x v="30"/>
    <n v="1"/>
    <x v="30"/>
    <x v="1"/>
  </r>
  <r>
    <x v="0"/>
    <x v="0"/>
    <x v="0"/>
    <x v="0"/>
    <x v="2"/>
    <x v="31"/>
    <n v="0"/>
    <x v="31"/>
    <x v="1"/>
  </r>
  <r>
    <x v="0"/>
    <x v="0"/>
    <x v="0"/>
    <x v="0"/>
    <x v="2"/>
    <x v="32"/>
    <n v="1"/>
    <x v="32"/>
    <x v="1"/>
  </r>
  <r>
    <x v="0"/>
    <x v="0"/>
    <x v="0"/>
    <x v="0"/>
    <x v="2"/>
    <x v="33"/>
    <n v="0"/>
    <x v="33"/>
    <x v="1"/>
  </r>
  <r>
    <x v="0"/>
    <x v="0"/>
    <x v="0"/>
    <x v="0"/>
    <x v="2"/>
    <x v="34"/>
    <n v="1"/>
    <x v="34"/>
    <x v="0"/>
  </r>
  <r>
    <x v="0"/>
    <x v="0"/>
    <x v="0"/>
    <x v="0"/>
    <x v="2"/>
    <x v="35"/>
    <n v="0"/>
    <x v="35"/>
    <x v="0"/>
  </r>
  <r>
    <x v="0"/>
    <x v="0"/>
    <x v="0"/>
    <x v="0"/>
    <x v="2"/>
    <x v="36"/>
    <n v="1"/>
    <x v="36"/>
    <x v="0"/>
  </r>
  <r>
    <x v="0"/>
    <x v="0"/>
    <x v="0"/>
    <x v="0"/>
    <x v="2"/>
    <x v="37"/>
    <n v="0"/>
    <x v="37"/>
    <x v="0"/>
  </r>
  <r>
    <x v="0"/>
    <x v="0"/>
    <x v="0"/>
    <x v="1"/>
    <x v="0"/>
    <x v="0"/>
    <n v="0"/>
    <x v="0"/>
    <x v="0"/>
  </r>
  <r>
    <x v="0"/>
    <x v="0"/>
    <x v="0"/>
    <x v="1"/>
    <x v="0"/>
    <x v="1"/>
    <n v="0"/>
    <x v="1"/>
    <x v="0"/>
  </r>
  <r>
    <x v="0"/>
    <x v="0"/>
    <x v="0"/>
    <x v="1"/>
    <x v="0"/>
    <x v="2"/>
    <n v="0"/>
    <x v="2"/>
    <x v="0"/>
  </r>
  <r>
    <x v="0"/>
    <x v="0"/>
    <x v="0"/>
    <x v="1"/>
    <x v="0"/>
    <x v="3"/>
    <n v="1"/>
    <x v="3"/>
    <x v="0"/>
  </r>
  <r>
    <x v="0"/>
    <x v="0"/>
    <x v="0"/>
    <x v="1"/>
    <x v="0"/>
    <x v="4"/>
    <n v="1"/>
    <x v="4"/>
    <x v="0"/>
  </r>
  <r>
    <x v="0"/>
    <x v="0"/>
    <x v="0"/>
    <x v="1"/>
    <x v="0"/>
    <x v="5"/>
    <n v="0"/>
    <x v="5"/>
    <x v="1"/>
  </r>
  <r>
    <x v="0"/>
    <x v="0"/>
    <x v="0"/>
    <x v="1"/>
    <x v="0"/>
    <x v="6"/>
    <n v="0"/>
    <x v="6"/>
    <x v="1"/>
  </r>
  <r>
    <x v="0"/>
    <x v="0"/>
    <x v="0"/>
    <x v="1"/>
    <x v="0"/>
    <x v="7"/>
    <n v="0"/>
    <x v="7"/>
    <x v="1"/>
  </r>
  <r>
    <x v="0"/>
    <x v="0"/>
    <x v="0"/>
    <x v="1"/>
    <x v="0"/>
    <x v="8"/>
    <n v="0"/>
    <x v="8"/>
    <x v="1"/>
  </r>
  <r>
    <x v="0"/>
    <x v="0"/>
    <x v="0"/>
    <x v="1"/>
    <x v="0"/>
    <x v="9"/>
    <n v="1"/>
    <x v="9"/>
    <x v="0"/>
  </r>
  <r>
    <x v="0"/>
    <x v="0"/>
    <x v="0"/>
    <x v="1"/>
    <x v="0"/>
    <x v="10"/>
    <n v="5"/>
    <x v="10"/>
    <x v="0"/>
  </r>
  <r>
    <x v="0"/>
    <x v="0"/>
    <x v="0"/>
    <x v="1"/>
    <x v="0"/>
    <x v="11"/>
    <n v="1"/>
    <x v="11"/>
    <x v="0"/>
  </r>
  <r>
    <x v="0"/>
    <x v="0"/>
    <x v="0"/>
    <x v="1"/>
    <x v="1"/>
    <x v="12"/>
    <n v="6"/>
    <x v="12"/>
    <x v="0"/>
  </r>
  <r>
    <x v="0"/>
    <x v="0"/>
    <x v="0"/>
    <x v="1"/>
    <x v="1"/>
    <x v="13"/>
    <n v="2"/>
    <x v="13"/>
    <x v="0"/>
  </r>
  <r>
    <x v="0"/>
    <x v="0"/>
    <x v="0"/>
    <x v="1"/>
    <x v="1"/>
    <x v="14"/>
    <n v="3"/>
    <x v="14"/>
    <x v="0"/>
  </r>
  <r>
    <x v="0"/>
    <x v="0"/>
    <x v="0"/>
    <x v="1"/>
    <x v="1"/>
    <x v="15"/>
    <n v="1"/>
    <x v="15"/>
    <x v="0"/>
  </r>
  <r>
    <x v="0"/>
    <x v="0"/>
    <x v="0"/>
    <x v="1"/>
    <x v="1"/>
    <x v="16"/>
    <n v="3"/>
    <x v="16"/>
    <x v="0"/>
  </r>
  <r>
    <x v="0"/>
    <x v="0"/>
    <x v="0"/>
    <x v="1"/>
    <x v="1"/>
    <x v="17"/>
    <n v="1"/>
    <x v="17"/>
    <x v="0"/>
  </r>
  <r>
    <x v="0"/>
    <x v="0"/>
    <x v="0"/>
    <x v="1"/>
    <x v="1"/>
    <x v="18"/>
    <n v="4"/>
    <x v="18"/>
    <x v="1"/>
  </r>
  <r>
    <x v="0"/>
    <x v="0"/>
    <x v="0"/>
    <x v="1"/>
    <x v="1"/>
    <x v="19"/>
    <n v="3"/>
    <x v="19"/>
    <x v="1"/>
  </r>
  <r>
    <x v="0"/>
    <x v="0"/>
    <x v="0"/>
    <x v="1"/>
    <x v="1"/>
    <x v="20"/>
    <n v="1"/>
    <x v="20"/>
    <x v="1"/>
  </r>
  <r>
    <x v="0"/>
    <x v="0"/>
    <x v="0"/>
    <x v="1"/>
    <x v="1"/>
    <x v="21"/>
    <n v="4"/>
    <x v="21"/>
    <x v="1"/>
  </r>
  <r>
    <x v="0"/>
    <x v="0"/>
    <x v="0"/>
    <x v="1"/>
    <x v="1"/>
    <x v="22"/>
    <n v="0"/>
    <x v="22"/>
    <x v="0"/>
  </r>
  <r>
    <x v="0"/>
    <x v="0"/>
    <x v="0"/>
    <x v="1"/>
    <x v="1"/>
    <x v="23"/>
    <n v="5"/>
    <x v="23"/>
    <x v="0"/>
  </r>
  <r>
    <x v="0"/>
    <x v="0"/>
    <x v="0"/>
    <x v="1"/>
    <x v="2"/>
    <x v="24"/>
    <n v="1"/>
    <x v="24"/>
    <x v="0"/>
  </r>
  <r>
    <x v="0"/>
    <x v="0"/>
    <x v="0"/>
    <x v="1"/>
    <x v="2"/>
    <x v="25"/>
    <n v="5"/>
    <x v="25"/>
    <x v="0"/>
  </r>
  <r>
    <x v="0"/>
    <x v="0"/>
    <x v="0"/>
    <x v="1"/>
    <x v="2"/>
    <x v="26"/>
    <n v="7"/>
    <x v="26"/>
    <x v="0"/>
  </r>
  <r>
    <x v="0"/>
    <x v="0"/>
    <x v="0"/>
    <x v="1"/>
    <x v="2"/>
    <x v="27"/>
    <n v="3"/>
    <x v="27"/>
    <x v="0"/>
  </r>
  <r>
    <x v="0"/>
    <x v="0"/>
    <x v="0"/>
    <x v="1"/>
    <x v="2"/>
    <x v="28"/>
    <n v="3"/>
    <x v="28"/>
    <x v="0"/>
  </r>
  <r>
    <x v="0"/>
    <x v="0"/>
    <x v="0"/>
    <x v="1"/>
    <x v="2"/>
    <x v="29"/>
    <n v="7"/>
    <x v="29"/>
    <x v="0"/>
  </r>
  <r>
    <x v="0"/>
    <x v="0"/>
    <x v="0"/>
    <x v="1"/>
    <x v="2"/>
    <x v="30"/>
    <n v="1"/>
    <x v="30"/>
    <x v="1"/>
  </r>
  <r>
    <x v="0"/>
    <x v="0"/>
    <x v="0"/>
    <x v="1"/>
    <x v="2"/>
    <x v="31"/>
    <n v="2"/>
    <x v="31"/>
    <x v="1"/>
  </r>
  <r>
    <x v="0"/>
    <x v="0"/>
    <x v="0"/>
    <x v="1"/>
    <x v="2"/>
    <x v="32"/>
    <n v="1"/>
    <x v="32"/>
    <x v="1"/>
  </r>
  <r>
    <x v="0"/>
    <x v="0"/>
    <x v="0"/>
    <x v="1"/>
    <x v="2"/>
    <x v="33"/>
    <n v="1"/>
    <x v="33"/>
    <x v="1"/>
  </r>
  <r>
    <x v="0"/>
    <x v="0"/>
    <x v="0"/>
    <x v="1"/>
    <x v="2"/>
    <x v="34"/>
    <n v="0"/>
    <x v="34"/>
    <x v="0"/>
  </r>
  <r>
    <x v="0"/>
    <x v="0"/>
    <x v="0"/>
    <x v="1"/>
    <x v="2"/>
    <x v="35"/>
    <n v="0"/>
    <x v="35"/>
    <x v="0"/>
  </r>
  <r>
    <x v="0"/>
    <x v="0"/>
    <x v="0"/>
    <x v="1"/>
    <x v="2"/>
    <x v="36"/>
    <n v="0"/>
    <x v="36"/>
    <x v="0"/>
  </r>
  <r>
    <x v="0"/>
    <x v="0"/>
    <x v="0"/>
    <x v="1"/>
    <x v="2"/>
    <x v="37"/>
    <n v="2"/>
    <x v="37"/>
    <x v="0"/>
  </r>
  <r>
    <x v="0"/>
    <x v="1"/>
    <x v="0"/>
    <x v="0"/>
    <x v="0"/>
    <x v="0"/>
    <n v="1"/>
    <x v="0"/>
    <x v="0"/>
  </r>
  <r>
    <x v="0"/>
    <x v="1"/>
    <x v="0"/>
    <x v="0"/>
    <x v="0"/>
    <x v="1"/>
    <n v="1"/>
    <x v="1"/>
    <x v="0"/>
  </r>
  <r>
    <x v="0"/>
    <x v="1"/>
    <x v="0"/>
    <x v="0"/>
    <x v="0"/>
    <x v="2"/>
    <n v="0"/>
    <x v="2"/>
    <x v="0"/>
  </r>
  <r>
    <x v="0"/>
    <x v="1"/>
    <x v="0"/>
    <x v="0"/>
    <x v="0"/>
    <x v="3"/>
    <n v="0"/>
    <x v="3"/>
    <x v="0"/>
  </r>
  <r>
    <x v="0"/>
    <x v="1"/>
    <x v="0"/>
    <x v="0"/>
    <x v="0"/>
    <x v="4"/>
    <n v="1"/>
    <x v="4"/>
    <x v="0"/>
  </r>
  <r>
    <x v="0"/>
    <x v="1"/>
    <x v="0"/>
    <x v="0"/>
    <x v="0"/>
    <x v="5"/>
    <n v="0"/>
    <x v="5"/>
    <x v="1"/>
  </r>
  <r>
    <x v="0"/>
    <x v="1"/>
    <x v="0"/>
    <x v="0"/>
    <x v="0"/>
    <x v="6"/>
    <n v="0"/>
    <x v="6"/>
    <x v="1"/>
  </r>
  <r>
    <x v="0"/>
    <x v="1"/>
    <x v="0"/>
    <x v="0"/>
    <x v="0"/>
    <x v="7"/>
    <n v="1"/>
    <x v="7"/>
    <x v="1"/>
  </r>
  <r>
    <x v="0"/>
    <x v="1"/>
    <x v="0"/>
    <x v="0"/>
    <x v="0"/>
    <x v="8"/>
    <n v="1"/>
    <x v="8"/>
    <x v="1"/>
  </r>
  <r>
    <x v="0"/>
    <x v="1"/>
    <x v="0"/>
    <x v="0"/>
    <x v="0"/>
    <x v="9"/>
    <n v="0"/>
    <x v="9"/>
    <x v="0"/>
  </r>
  <r>
    <x v="0"/>
    <x v="1"/>
    <x v="0"/>
    <x v="0"/>
    <x v="0"/>
    <x v="10"/>
    <n v="0"/>
    <x v="10"/>
    <x v="0"/>
  </r>
  <r>
    <x v="0"/>
    <x v="1"/>
    <x v="0"/>
    <x v="0"/>
    <x v="0"/>
    <x v="11"/>
    <n v="0"/>
    <x v="11"/>
    <x v="0"/>
  </r>
  <r>
    <x v="0"/>
    <x v="1"/>
    <x v="0"/>
    <x v="0"/>
    <x v="1"/>
    <x v="12"/>
    <n v="1"/>
    <x v="12"/>
    <x v="0"/>
  </r>
  <r>
    <x v="0"/>
    <x v="1"/>
    <x v="0"/>
    <x v="0"/>
    <x v="1"/>
    <x v="13"/>
    <n v="0"/>
    <x v="13"/>
    <x v="0"/>
  </r>
  <r>
    <x v="0"/>
    <x v="1"/>
    <x v="0"/>
    <x v="0"/>
    <x v="1"/>
    <x v="14"/>
    <n v="1"/>
    <x v="14"/>
    <x v="0"/>
  </r>
  <r>
    <x v="0"/>
    <x v="1"/>
    <x v="0"/>
    <x v="0"/>
    <x v="1"/>
    <x v="15"/>
    <n v="0"/>
    <x v="15"/>
    <x v="0"/>
  </r>
  <r>
    <x v="0"/>
    <x v="1"/>
    <x v="0"/>
    <x v="0"/>
    <x v="1"/>
    <x v="16"/>
    <n v="0"/>
    <x v="16"/>
    <x v="0"/>
  </r>
  <r>
    <x v="0"/>
    <x v="1"/>
    <x v="0"/>
    <x v="0"/>
    <x v="1"/>
    <x v="17"/>
    <n v="0"/>
    <x v="17"/>
    <x v="0"/>
  </r>
  <r>
    <x v="0"/>
    <x v="1"/>
    <x v="0"/>
    <x v="0"/>
    <x v="1"/>
    <x v="18"/>
    <n v="0"/>
    <x v="18"/>
    <x v="1"/>
  </r>
  <r>
    <x v="0"/>
    <x v="1"/>
    <x v="0"/>
    <x v="0"/>
    <x v="1"/>
    <x v="19"/>
    <n v="0"/>
    <x v="19"/>
    <x v="1"/>
  </r>
  <r>
    <x v="0"/>
    <x v="1"/>
    <x v="0"/>
    <x v="0"/>
    <x v="1"/>
    <x v="20"/>
    <n v="0"/>
    <x v="20"/>
    <x v="1"/>
  </r>
  <r>
    <x v="0"/>
    <x v="1"/>
    <x v="0"/>
    <x v="0"/>
    <x v="1"/>
    <x v="21"/>
    <n v="1"/>
    <x v="21"/>
    <x v="1"/>
  </r>
  <r>
    <x v="0"/>
    <x v="1"/>
    <x v="0"/>
    <x v="0"/>
    <x v="1"/>
    <x v="22"/>
    <n v="1"/>
    <x v="22"/>
    <x v="0"/>
  </r>
  <r>
    <x v="0"/>
    <x v="1"/>
    <x v="0"/>
    <x v="0"/>
    <x v="1"/>
    <x v="23"/>
    <n v="0"/>
    <x v="23"/>
    <x v="0"/>
  </r>
  <r>
    <x v="0"/>
    <x v="1"/>
    <x v="0"/>
    <x v="0"/>
    <x v="2"/>
    <x v="24"/>
    <n v="0"/>
    <x v="24"/>
    <x v="0"/>
  </r>
  <r>
    <x v="0"/>
    <x v="1"/>
    <x v="0"/>
    <x v="0"/>
    <x v="2"/>
    <x v="25"/>
    <n v="0"/>
    <x v="25"/>
    <x v="0"/>
  </r>
  <r>
    <x v="0"/>
    <x v="1"/>
    <x v="0"/>
    <x v="0"/>
    <x v="2"/>
    <x v="26"/>
    <n v="0"/>
    <x v="26"/>
    <x v="0"/>
  </r>
  <r>
    <x v="0"/>
    <x v="1"/>
    <x v="0"/>
    <x v="0"/>
    <x v="2"/>
    <x v="27"/>
    <n v="1"/>
    <x v="27"/>
    <x v="0"/>
  </r>
  <r>
    <x v="0"/>
    <x v="1"/>
    <x v="0"/>
    <x v="0"/>
    <x v="2"/>
    <x v="28"/>
    <n v="0"/>
    <x v="28"/>
    <x v="0"/>
  </r>
  <r>
    <x v="0"/>
    <x v="1"/>
    <x v="0"/>
    <x v="0"/>
    <x v="2"/>
    <x v="29"/>
    <n v="0"/>
    <x v="29"/>
    <x v="0"/>
  </r>
  <r>
    <x v="0"/>
    <x v="1"/>
    <x v="0"/>
    <x v="0"/>
    <x v="2"/>
    <x v="30"/>
    <n v="0"/>
    <x v="30"/>
    <x v="1"/>
  </r>
  <r>
    <x v="0"/>
    <x v="1"/>
    <x v="0"/>
    <x v="0"/>
    <x v="2"/>
    <x v="31"/>
    <n v="0"/>
    <x v="31"/>
    <x v="1"/>
  </r>
  <r>
    <x v="0"/>
    <x v="1"/>
    <x v="0"/>
    <x v="0"/>
    <x v="2"/>
    <x v="32"/>
    <n v="0"/>
    <x v="32"/>
    <x v="1"/>
  </r>
  <r>
    <x v="0"/>
    <x v="1"/>
    <x v="0"/>
    <x v="0"/>
    <x v="2"/>
    <x v="33"/>
    <n v="0"/>
    <x v="33"/>
    <x v="1"/>
  </r>
  <r>
    <x v="0"/>
    <x v="1"/>
    <x v="0"/>
    <x v="0"/>
    <x v="2"/>
    <x v="34"/>
    <n v="0"/>
    <x v="34"/>
    <x v="0"/>
  </r>
  <r>
    <x v="0"/>
    <x v="1"/>
    <x v="0"/>
    <x v="0"/>
    <x v="2"/>
    <x v="35"/>
    <n v="0"/>
    <x v="35"/>
    <x v="0"/>
  </r>
  <r>
    <x v="0"/>
    <x v="1"/>
    <x v="0"/>
    <x v="0"/>
    <x v="2"/>
    <x v="36"/>
    <n v="0"/>
    <x v="36"/>
    <x v="0"/>
  </r>
  <r>
    <x v="0"/>
    <x v="1"/>
    <x v="0"/>
    <x v="0"/>
    <x v="2"/>
    <x v="37"/>
    <n v="1"/>
    <x v="37"/>
    <x v="0"/>
  </r>
  <r>
    <x v="0"/>
    <x v="1"/>
    <x v="0"/>
    <x v="1"/>
    <x v="0"/>
    <x v="0"/>
    <n v="2"/>
    <x v="0"/>
    <x v="0"/>
  </r>
  <r>
    <x v="0"/>
    <x v="1"/>
    <x v="0"/>
    <x v="1"/>
    <x v="0"/>
    <x v="1"/>
    <n v="1"/>
    <x v="1"/>
    <x v="0"/>
  </r>
  <r>
    <x v="0"/>
    <x v="1"/>
    <x v="0"/>
    <x v="1"/>
    <x v="0"/>
    <x v="2"/>
    <n v="0"/>
    <x v="2"/>
    <x v="0"/>
  </r>
  <r>
    <x v="0"/>
    <x v="1"/>
    <x v="0"/>
    <x v="1"/>
    <x v="0"/>
    <x v="3"/>
    <n v="0"/>
    <x v="3"/>
    <x v="0"/>
  </r>
  <r>
    <x v="0"/>
    <x v="1"/>
    <x v="0"/>
    <x v="1"/>
    <x v="0"/>
    <x v="4"/>
    <n v="0"/>
    <x v="4"/>
    <x v="0"/>
  </r>
  <r>
    <x v="0"/>
    <x v="1"/>
    <x v="0"/>
    <x v="1"/>
    <x v="0"/>
    <x v="5"/>
    <n v="0"/>
    <x v="5"/>
    <x v="1"/>
  </r>
  <r>
    <x v="0"/>
    <x v="1"/>
    <x v="0"/>
    <x v="1"/>
    <x v="0"/>
    <x v="6"/>
    <n v="0"/>
    <x v="6"/>
    <x v="1"/>
  </r>
  <r>
    <x v="0"/>
    <x v="1"/>
    <x v="0"/>
    <x v="1"/>
    <x v="0"/>
    <x v="7"/>
    <n v="0"/>
    <x v="7"/>
    <x v="1"/>
  </r>
  <r>
    <x v="0"/>
    <x v="1"/>
    <x v="0"/>
    <x v="1"/>
    <x v="0"/>
    <x v="8"/>
    <n v="3"/>
    <x v="8"/>
    <x v="1"/>
  </r>
  <r>
    <x v="0"/>
    <x v="1"/>
    <x v="0"/>
    <x v="1"/>
    <x v="0"/>
    <x v="9"/>
    <n v="1"/>
    <x v="9"/>
    <x v="0"/>
  </r>
  <r>
    <x v="0"/>
    <x v="1"/>
    <x v="0"/>
    <x v="1"/>
    <x v="0"/>
    <x v="10"/>
    <n v="2"/>
    <x v="10"/>
    <x v="0"/>
  </r>
  <r>
    <x v="0"/>
    <x v="1"/>
    <x v="0"/>
    <x v="1"/>
    <x v="0"/>
    <x v="11"/>
    <n v="1"/>
    <x v="11"/>
    <x v="0"/>
  </r>
  <r>
    <x v="0"/>
    <x v="1"/>
    <x v="0"/>
    <x v="1"/>
    <x v="1"/>
    <x v="12"/>
    <n v="4"/>
    <x v="12"/>
    <x v="0"/>
  </r>
  <r>
    <x v="0"/>
    <x v="1"/>
    <x v="0"/>
    <x v="1"/>
    <x v="1"/>
    <x v="13"/>
    <n v="2"/>
    <x v="13"/>
    <x v="0"/>
  </r>
  <r>
    <x v="0"/>
    <x v="1"/>
    <x v="0"/>
    <x v="1"/>
    <x v="1"/>
    <x v="14"/>
    <n v="0"/>
    <x v="14"/>
    <x v="0"/>
  </r>
  <r>
    <x v="0"/>
    <x v="1"/>
    <x v="0"/>
    <x v="1"/>
    <x v="1"/>
    <x v="15"/>
    <n v="2"/>
    <x v="15"/>
    <x v="0"/>
  </r>
  <r>
    <x v="0"/>
    <x v="1"/>
    <x v="0"/>
    <x v="1"/>
    <x v="1"/>
    <x v="16"/>
    <n v="1"/>
    <x v="16"/>
    <x v="0"/>
  </r>
  <r>
    <x v="0"/>
    <x v="1"/>
    <x v="0"/>
    <x v="1"/>
    <x v="1"/>
    <x v="17"/>
    <n v="5"/>
    <x v="17"/>
    <x v="0"/>
  </r>
  <r>
    <x v="0"/>
    <x v="1"/>
    <x v="0"/>
    <x v="1"/>
    <x v="1"/>
    <x v="18"/>
    <n v="1"/>
    <x v="18"/>
    <x v="1"/>
  </r>
  <r>
    <x v="0"/>
    <x v="1"/>
    <x v="0"/>
    <x v="1"/>
    <x v="1"/>
    <x v="19"/>
    <n v="3"/>
    <x v="19"/>
    <x v="1"/>
  </r>
  <r>
    <x v="0"/>
    <x v="1"/>
    <x v="0"/>
    <x v="1"/>
    <x v="1"/>
    <x v="20"/>
    <n v="1"/>
    <x v="20"/>
    <x v="1"/>
  </r>
  <r>
    <x v="0"/>
    <x v="1"/>
    <x v="0"/>
    <x v="1"/>
    <x v="1"/>
    <x v="21"/>
    <n v="1"/>
    <x v="21"/>
    <x v="1"/>
  </r>
  <r>
    <x v="0"/>
    <x v="1"/>
    <x v="0"/>
    <x v="1"/>
    <x v="1"/>
    <x v="22"/>
    <n v="1"/>
    <x v="22"/>
    <x v="0"/>
  </r>
  <r>
    <x v="0"/>
    <x v="1"/>
    <x v="0"/>
    <x v="1"/>
    <x v="1"/>
    <x v="23"/>
    <n v="2"/>
    <x v="23"/>
    <x v="0"/>
  </r>
  <r>
    <x v="0"/>
    <x v="1"/>
    <x v="0"/>
    <x v="1"/>
    <x v="2"/>
    <x v="24"/>
    <n v="6"/>
    <x v="24"/>
    <x v="0"/>
  </r>
  <r>
    <x v="0"/>
    <x v="1"/>
    <x v="0"/>
    <x v="1"/>
    <x v="2"/>
    <x v="25"/>
    <n v="0"/>
    <x v="25"/>
    <x v="0"/>
  </r>
  <r>
    <x v="0"/>
    <x v="1"/>
    <x v="0"/>
    <x v="1"/>
    <x v="2"/>
    <x v="26"/>
    <n v="5"/>
    <x v="26"/>
    <x v="0"/>
  </r>
  <r>
    <x v="0"/>
    <x v="1"/>
    <x v="0"/>
    <x v="1"/>
    <x v="2"/>
    <x v="27"/>
    <n v="1"/>
    <x v="27"/>
    <x v="0"/>
  </r>
  <r>
    <x v="0"/>
    <x v="1"/>
    <x v="0"/>
    <x v="1"/>
    <x v="2"/>
    <x v="28"/>
    <n v="3"/>
    <x v="28"/>
    <x v="0"/>
  </r>
  <r>
    <x v="0"/>
    <x v="1"/>
    <x v="0"/>
    <x v="1"/>
    <x v="2"/>
    <x v="29"/>
    <n v="1"/>
    <x v="29"/>
    <x v="0"/>
  </r>
  <r>
    <x v="0"/>
    <x v="1"/>
    <x v="0"/>
    <x v="1"/>
    <x v="2"/>
    <x v="30"/>
    <n v="6"/>
    <x v="30"/>
    <x v="1"/>
  </r>
  <r>
    <x v="0"/>
    <x v="1"/>
    <x v="0"/>
    <x v="1"/>
    <x v="2"/>
    <x v="31"/>
    <n v="1"/>
    <x v="31"/>
    <x v="1"/>
  </r>
  <r>
    <x v="0"/>
    <x v="1"/>
    <x v="0"/>
    <x v="1"/>
    <x v="2"/>
    <x v="32"/>
    <n v="6"/>
    <x v="32"/>
    <x v="1"/>
  </r>
  <r>
    <x v="0"/>
    <x v="1"/>
    <x v="0"/>
    <x v="1"/>
    <x v="2"/>
    <x v="33"/>
    <n v="4"/>
    <x v="33"/>
    <x v="1"/>
  </r>
  <r>
    <x v="0"/>
    <x v="1"/>
    <x v="0"/>
    <x v="1"/>
    <x v="2"/>
    <x v="34"/>
    <n v="3"/>
    <x v="34"/>
    <x v="0"/>
  </r>
  <r>
    <x v="0"/>
    <x v="1"/>
    <x v="0"/>
    <x v="1"/>
    <x v="2"/>
    <x v="35"/>
    <n v="2"/>
    <x v="35"/>
    <x v="0"/>
  </r>
  <r>
    <x v="0"/>
    <x v="1"/>
    <x v="0"/>
    <x v="1"/>
    <x v="2"/>
    <x v="36"/>
    <n v="0"/>
    <x v="36"/>
    <x v="0"/>
  </r>
  <r>
    <x v="0"/>
    <x v="1"/>
    <x v="0"/>
    <x v="1"/>
    <x v="2"/>
    <x v="37"/>
    <n v="4"/>
    <x v="37"/>
    <x v="0"/>
  </r>
  <r>
    <x v="1"/>
    <x v="0"/>
    <x v="0"/>
    <x v="0"/>
    <x v="0"/>
    <x v="0"/>
    <n v="0"/>
    <x v="0"/>
    <x v="0"/>
  </r>
  <r>
    <x v="1"/>
    <x v="0"/>
    <x v="0"/>
    <x v="0"/>
    <x v="0"/>
    <x v="1"/>
    <n v="0"/>
    <x v="1"/>
    <x v="0"/>
  </r>
  <r>
    <x v="1"/>
    <x v="0"/>
    <x v="0"/>
    <x v="0"/>
    <x v="0"/>
    <x v="2"/>
    <n v="0"/>
    <x v="2"/>
    <x v="0"/>
  </r>
  <r>
    <x v="1"/>
    <x v="0"/>
    <x v="0"/>
    <x v="0"/>
    <x v="0"/>
    <x v="3"/>
    <n v="0"/>
    <x v="3"/>
    <x v="0"/>
  </r>
  <r>
    <x v="1"/>
    <x v="0"/>
    <x v="0"/>
    <x v="0"/>
    <x v="0"/>
    <x v="4"/>
    <n v="0"/>
    <x v="4"/>
    <x v="0"/>
  </r>
  <r>
    <x v="1"/>
    <x v="0"/>
    <x v="0"/>
    <x v="0"/>
    <x v="0"/>
    <x v="5"/>
    <n v="1"/>
    <x v="5"/>
    <x v="1"/>
  </r>
  <r>
    <x v="1"/>
    <x v="0"/>
    <x v="0"/>
    <x v="0"/>
    <x v="0"/>
    <x v="6"/>
    <n v="1"/>
    <x v="6"/>
    <x v="1"/>
  </r>
  <r>
    <x v="1"/>
    <x v="0"/>
    <x v="0"/>
    <x v="0"/>
    <x v="0"/>
    <x v="7"/>
    <n v="1"/>
    <x v="7"/>
    <x v="1"/>
  </r>
  <r>
    <x v="1"/>
    <x v="0"/>
    <x v="0"/>
    <x v="0"/>
    <x v="0"/>
    <x v="8"/>
    <n v="1"/>
    <x v="8"/>
    <x v="1"/>
  </r>
  <r>
    <x v="1"/>
    <x v="0"/>
    <x v="0"/>
    <x v="0"/>
    <x v="0"/>
    <x v="9"/>
    <n v="1"/>
    <x v="9"/>
    <x v="0"/>
  </r>
  <r>
    <x v="1"/>
    <x v="0"/>
    <x v="0"/>
    <x v="0"/>
    <x v="0"/>
    <x v="10"/>
    <n v="0"/>
    <x v="10"/>
    <x v="0"/>
  </r>
  <r>
    <x v="1"/>
    <x v="0"/>
    <x v="0"/>
    <x v="0"/>
    <x v="0"/>
    <x v="11"/>
    <n v="0"/>
    <x v="11"/>
    <x v="0"/>
  </r>
  <r>
    <x v="1"/>
    <x v="0"/>
    <x v="0"/>
    <x v="0"/>
    <x v="1"/>
    <x v="12"/>
    <n v="0"/>
    <x v="12"/>
    <x v="0"/>
  </r>
  <r>
    <x v="1"/>
    <x v="0"/>
    <x v="0"/>
    <x v="0"/>
    <x v="1"/>
    <x v="13"/>
    <n v="0"/>
    <x v="13"/>
    <x v="0"/>
  </r>
  <r>
    <x v="1"/>
    <x v="0"/>
    <x v="0"/>
    <x v="0"/>
    <x v="1"/>
    <x v="14"/>
    <n v="0"/>
    <x v="14"/>
    <x v="0"/>
  </r>
  <r>
    <x v="1"/>
    <x v="0"/>
    <x v="0"/>
    <x v="0"/>
    <x v="1"/>
    <x v="15"/>
    <n v="0"/>
    <x v="15"/>
    <x v="0"/>
  </r>
  <r>
    <x v="1"/>
    <x v="0"/>
    <x v="0"/>
    <x v="0"/>
    <x v="1"/>
    <x v="16"/>
    <n v="0"/>
    <x v="16"/>
    <x v="0"/>
  </r>
  <r>
    <x v="1"/>
    <x v="0"/>
    <x v="0"/>
    <x v="0"/>
    <x v="1"/>
    <x v="17"/>
    <n v="0"/>
    <x v="17"/>
    <x v="0"/>
  </r>
  <r>
    <x v="1"/>
    <x v="0"/>
    <x v="0"/>
    <x v="0"/>
    <x v="1"/>
    <x v="18"/>
    <n v="0"/>
    <x v="18"/>
    <x v="1"/>
  </r>
  <r>
    <x v="1"/>
    <x v="0"/>
    <x v="0"/>
    <x v="0"/>
    <x v="1"/>
    <x v="19"/>
    <n v="0"/>
    <x v="19"/>
    <x v="1"/>
  </r>
  <r>
    <x v="1"/>
    <x v="0"/>
    <x v="0"/>
    <x v="0"/>
    <x v="1"/>
    <x v="20"/>
    <n v="0"/>
    <x v="20"/>
    <x v="1"/>
  </r>
  <r>
    <x v="1"/>
    <x v="0"/>
    <x v="0"/>
    <x v="0"/>
    <x v="1"/>
    <x v="21"/>
    <n v="1"/>
    <x v="21"/>
    <x v="1"/>
  </r>
  <r>
    <x v="1"/>
    <x v="0"/>
    <x v="0"/>
    <x v="0"/>
    <x v="1"/>
    <x v="22"/>
    <n v="0"/>
    <x v="22"/>
    <x v="0"/>
  </r>
  <r>
    <x v="1"/>
    <x v="0"/>
    <x v="0"/>
    <x v="0"/>
    <x v="1"/>
    <x v="23"/>
    <n v="0"/>
    <x v="23"/>
    <x v="0"/>
  </r>
  <r>
    <x v="1"/>
    <x v="0"/>
    <x v="0"/>
    <x v="0"/>
    <x v="2"/>
    <x v="24"/>
    <n v="5"/>
    <x v="24"/>
    <x v="0"/>
  </r>
  <r>
    <x v="1"/>
    <x v="0"/>
    <x v="0"/>
    <x v="0"/>
    <x v="2"/>
    <x v="25"/>
    <n v="0"/>
    <x v="25"/>
    <x v="0"/>
  </r>
  <r>
    <x v="1"/>
    <x v="0"/>
    <x v="0"/>
    <x v="0"/>
    <x v="2"/>
    <x v="26"/>
    <n v="1"/>
    <x v="26"/>
    <x v="0"/>
  </r>
  <r>
    <x v="1"/>
    <x v="0"/>
    <x v="0"/>
    <x v="0"/>
    <x v="2"/>
    <x v="27"/>
    <n v="0"/>
    <x v="27"/>
    <x v="0"/>
  </r>
  <r>
    <x v="1"/>
    <x v="0"/>
    <x v="0"/>
    <x v="0"/>
    <x v="2"/>
    <x v="28"/>
    <n v="0"/>
    <x v="28"/>
    <x v="0"/>
  </r>
  <r>
    <x v="1"/>
    <x v="0"/>
    <x v="0"/>
    <x v="0"/>
    <x v="2"/>
    <x v="29"/>
    <n v="0"/>
    <x v="29"/>
    <x v="0"/>
  </r>
  <r>
    <x v="1"/>
    <x v="0"/>
    <x v="0"/>
    <x v="0"/>
    <x v="2"/>
    <x v="30"/>
    <n v="1"/>
    <x v="30"/>
    <x v="1"/>
  </r>
  <r>
    <x v="1"/>
    <x v="0"/>
    <x v="0"/>
    <x v="0"/>
    <x v="2"/>
    <x v="31"/>
    <n v="1"/>
    <x v="31"/>
    <x v="1"/>
  </r>
  <r>
    <x v="1"/>
    <x v="0"/>
    <x v="0"/>
    <x v="0"/>
    <x v="2"/>
    <x v="32"/>
    <n v="0"/>
    <x v="32"/>
    <x v="1"/>
  </r>
  <r>
    <x v="1"/>
    <x v="0"/>
    <x v="0"/>
    <x v="0"/>
    <x v="2"/>
    <x v="33"/>
    <n v="1"/>
    <x v="33"/>
    <x v="1"/>
  </r>
  <r>
    <x v="1"/>
    <x v="0"/>
    <x v="0"/>
    <x v="0"/>
    <x v="2"/>
    <x v="34"/>
    <n v="0"/>
    <x v="34"/>
    <x v="0"/>
  </r>
  <r>
    <x v="1"/>
    <x v="0"/>
    <x v="0"/>
    <x v="0"/>
    <x v="2"/>
    <x v="35"/>
    <n v="0"/>
    <x v="35"/>
    <x v="0"/>
  </r>
  <r>
    <x v="1"/>
    <x v="0"/>
    <x v="0"/>
    <x v="0"/>
    <x v="2"/>
    <x v="36"/>
    <n v="0"/>
    <x v="36"/>
    <x v="0"/>
  </r>
  <r>
    <x v="1"/>
    <x v="0"/>
    <x v="0"/>
    <x v="0"/>
    <x v="2"/>
    <x v="37"/>
    <n v="0"/>
    <x v="37"/>
    <x v="0"/>
  </r>
  <r>
    <x v="1"/>
    <x v="0"/>
    <x v="0"/>
    <x v="1"/>
    <x v="0"/>
    <x v="0"/>
    <n v="2"/>
    <x v="0"/>
    <x v="0"/>
  </r>
  <r>
    <x v="1"/>
    <x v="0"/>
    <x v="0"/>
    <x v="1"/>
    <x v="0"/>
    <x v="1"/>
    <n v="8"/>
    <x v="1"/>
    <x v="0"/>
  </r>
  <r>
    <x v="1"/>
    <x v="0"/>
    <x v="0"/>
    <x v="1"/>
    <x v="0"/>
    <x v="2"/>
    <n v="9"/>
    <x v="2"/>
    <x v="0"/>
  </r>
  <r>
    <x v="1"/>
    <x v="0"/>
    <x v="0"/>
    <x v="1"/>
    <x v="0"/>
    <x v="3"/>
    <n v="6"/>
    <x v="3"/>
    <x v="0"/>
  </r>
  <r>
    <x v="1"/>
    <x v="0"/>
    <x v="0"/>
    <x v="1"/>
    <x v="0"/>
    <x v="4"/>
    <n v="3"/>
    <x v="4"/>
    <x v="0"/>
  </r>
  <r>
    <x v="1"/>
    <x v="0"/>
    <x v="0"/>
    <x v="1"/>
    <x v="0"/>
    <x v="5"/>
    <n v="17"/>
    <x v="5"/>
    <x v="1"/>
  </r>
  <r>
    <x v="1"/>
    <x v="0"/>
    <x v="0"/>
    <x v="1"/>
    <x v="0"/>
    <x v="6"/>
    <n v="14"/>
    <x v="6"/>
    <x v="1"/>
  </r>
  <r>
    <x v="1"/>
    <x v="0"/>
    <x v="0"/>
    <x v="1"/>
    <x v="0"/>
    <x v="7"/>
    <n v="8"/>
    <x v="7"/>
    <x v="1"/>
  </r>
  <r>
    <x v="1"/>
    <x v="0"/>
    <x v="0"/>
    <x v="1"/>
    <x v="0"/>
    <x v="8"/>
    <n v="12"/>
    <x v="8"/>
    <x v="1"/>
  </r>
  <r>
    <x v="1"/>
    <x v="0"/>
    <x v="0"/>
    <x v="1"/>
    <x v="0"/>
    <x v="9"/>
    <n v="11"/>
    <x v="9"/>
    <x v="0"/>
  </r>
  <r>
    <x v="1"/>
    <x v="0"/>
    <x v="0"/>
    <x v="1"/>
    <x v="0"/>
    <x v="10"/>
    <n v="3"/>
    <x v="10"/>
    <x v="0"/>
  </r>
  <r>
    <x v="1"/>
    <x v="0"/>
    <x v="0"/>
    <x v="1"/>
    <x v="0"/>
    <x v="11"/>
    <n v="3"/>
    <x v="11"/>
    <x v="0"/>
  </r>
  <r>
    <x v="1"/>
    <x v="0"/>
    <x v="0"/>
    <x v="1"/>
    <x v="1"/>
    <x v="12"/>
    <n v="0"/>
    <x v="12"/>
    <x v="0"/>
  </r>
  <r>
    <x v="1"/>
    <x v="0"/>
    <x v="0"/>
    <x v="1"/>
    <x v="1"/>
    <x v="13"/>
    <n v="2"/>
    <x v="13"/>
    <x v="0"/>
  </r>
  <r>
    <x v="1"/>
    <x v="0"/>
    <x v="0"/>
    <x v="1"/>
    <x v="1"/>
    <x v="14"/>
    <n v="3"/>
    <x v="14"/>
    <x v="0"/>
  </r>
  <r>
    <x v="1"/>
    <x v="0"/>
    <x v="0"/>
    <x v="1"/>
    <x v="1"/>
    <x v="15"/>
    <n v="1"/>
    <x v="15"/>
    <x v="0"/>
  </r>
  <r>
    <x v="1"/>
    <x v="0"/>
    <x v="0"/>
    <x v="1"/>
    <x v="1"/>
    <x v="16"/>
    <n v="4"/>
    <x v="16"/>
    <x v="0"/>
  </r>
  <r>
    <x v="1"/>
    <x v="0"/>
    <x v="0"/>
    <x v="1"/>
    <x v="1"/>
    <x v="17"/>
    <n v="10"/>
    <x v="17"/>
    <x v="0"/>
  </r>
  <r>
    <x v="1"/>
    <x v="0"/>
    <x v="0"/>
    <x v="1"/>
    <x v="1"/>
    <x v="18"/>
    <n v="4"/>
    <x v="18"/>
    <x v="1"/>
  </r>
  <r>
    <x v="1"/>
    <x v="0"/>
    <x v="0"/>
    <x v="1"/>
    <x v="1"/>
    <x v="19"/>
    <n v="7"/>
    <x v="19"/>
    <x v="1"/>
  </r>
  <r>
    <x v="1"/>
    <x v="0"/>
    <x v="0"/>
    <x v="1"/>
    <x v="1"/>
    <x v="20"/>
    <n v="1"/>
    <x v="20"/>
    <x v="1"/>
  </r>
  <r>
    <x v="1"/>
    <x v="0"/>
    <x v="0"/>
    <x v="1"/>
    <x v="1"/>
    <x v="21"/>
    <n v="4"/>
    <x v="21"/>
    <x v="1"/>
  </r>
  <r>
    <x v="1"/>
    <x v="0"/>
    <x v="0"/>
    <x v="1"/>
    <x v="1"/>
    <x v="22"/>
    <n v="0"/>
    <x v="22"/>
    <x v="0"/>
  </r>
  <r>
    <x v="1"/>
    <x v="0"/>
    <x v="0"/>
    <x v="1"/>
    <x v="1"/>
    <x v="23"/>
    <n v="3"/>
    <x v="23"/>
    <x v="0"/>
  </r>
  <r>
    <x v="1"/>
    <x v="0"/>
    <x v="0"/>
    <x v="1"/>
    <x v="2"/>
    <x v="24"/>
    <n v="3"/>
    <x v="24"/>
    <x v="0"/>
  </r>
  <r>
    <x v="1"/>
    <x v="0"/>
    <x v="0"/>
    <x v="1"/>
    <x v="2"/>
    <x v="25"/>
    <n v="1"/>
    <x v="25"/>
    <x v="0"/>
  </r>
  <r>
    <x v="1"/>
    <x v="0"/>
    <x v="0"/>
    <x v="1"/>
    <x v="2"/>
    <x v="26"/>
    <n v="3"/>
    <x v="26"/>
    <x v="0"/>
  </r>
  <r>
    <x v="1"/>
    <x v="0"/>
    <x v="0"/>
    <x v="1"/>
    <x v="2"/>
    <x v="27"/>
    <n v="2"/>
    <x v="27"/>
    <x v="0"/>
  </r>
  <r>
    <x v="1"/>
    <x v="0"/>
    <x v="0"/>
    <x v="1"/>
    <x v="2"/>
    <x v="28"/>
    <n v="2"/>
    <x v="28"/>
    <x v="0"/>
  </r>
  <r>
    <x v="1"/>
    <x v="0"/>
    <x v="0"/>
    <x v="1"/>
    <x v="2"/>
    <x v="29"/>
    <n v="0"/>
    <x v="29"/>
    <x v="0"/>
  </r>
  <r>
    <x v="1"/>
    <x v="0"/>
    <x v="0"/>
    <x v="1"/>
    <x v="2"/>
    <x v="30"/>
    <n v="7"/>
    <x v="30"/>
    <x v="1"/>
  </r>
  <r>
    <x v="1"/>
    <x v="0"/>
    <x v="0"/>
    <x v="1"/>
    <x v="2"/>
    <x v="31"/>
    <n v="0"/>
    <x v="31"/>
    <x v="1"/>
  </r>
  <r>
    <x v="1"/>
    <x v="0"/>
    <x v="0"/>
    <x v="1"/>
    <x v="2"/>
    <x v="32"/>
    <n v="1"/>
    <x v="32"/>
    <x v="1"/>
  </r>
  <r>
    <x v="1"/>
    <x v="0"/>
    <x v="0"/>
    <x v="1"/>
    <x v="2"/>
    <x v="33"/>
    <n v="4"/>
    <x v="33"/>
    <x v="1"/>
  </r>
  <r>
    <x v="1"/>
    <x v="0"/>
    <x v="0"/>
    <x v="1"/>
    <x v="2"/>
    <x v="34"/>
    <n v="1"/>
    <x v="34"/>
    <x v="0"/>
  </r>
  <r>
    <x v="1"/>
    <x v="0"/>
    <x v="0"/>
    <x v="1"/>
    <x v="2"/>
    <x v="35"/>
    <n v="1"/>
    <x v="35"/>
    <x v="0"/>
  </r>
  <r>
    <x v="1"/>
    <x v="0"/>
    <x v="0"/>
    <x v="1"/>
    <x v="2"/>
    <x v="36"/>
    <n v="2"/>
    <x v="36"/>
    <x v="0"/>
  </r>
  <r>
    <x v="1"/>
    <x v="0"/>
    <x v="0"/>
    <x v="1"/>
    <x v="2"/>
    <x v="37"/>
    <n v="3"/>
    <x v="37"/>
    <x v="0"/>
  </r>
  <r>
    <x v="1"/>
    <x v="1"/>
    <x v="0"/>
    <x v="0"/>
    <x v="0"/>
    <x v="0"/>
    <n v="0"/>
    <x v="0"/>
    <x v="0"/>
  </r>
  <r>
    <x v="1"/>
    <x v="1"/>
    <x v="0"/>
    <x v="0"/>
    <x v="0"/>
    <x v="1"/>
    <n v="0"/>
    <x v="1"/>
    <x v="0"/>
  </r>
  <r>
    <x v="1"/>
    <x v="1"/>
    <x v="0"/>
    <x v="0"/>
    <x v="0"/>
    <x v="2"/>
    <n v="3"/>
    <x v="2"/>
    <x v="0"/>
  </r>
  <r>
    <x v="1"/>
    <x v="1"/>
    <x v="0"/>
    <x v="0"/>
    <x v="0"/>
    <x v="3"/>
    <n v="0"/>
    <x v="3"/>
    <x v="0"/>
  </r>
  <r>
    <x v="1"/>
    <x v="1"/>
    <x v="0"/>
    <x v="0"/>
    <x v="0"/>
    <x v="4"/>
    <n v="1"/>
    <x v="4"/>
    <x v="0"/>
  </r>
  <r>
    <x v="1"/>
    <x v="1"/>
    <x v="0"/>
    <x v="0"/>
    <x v="0"/>
    <x v="5"/>
    <n v="6"/>
    <x v="5"/>
    <x v="1"/>
  </r>
  <r>
    <x v="1"/>
    <x v="1"/>
    <x v="0"/>
    <x v="0"/>
    <x v="0"/>
    <x v="6"/>
    <n v="8"/>
    <x v="6"/>
    <x v="1"/>
  </r>
  <r>
    <x v="1"/>
    <x v="1"/>
    <x v="0"/>
    <x v="0"/>
    <x v="0"/>
    <x v="7"/>
    <n v="4"/>
    <x v="7"/>
    <x v="1"/>
  </r>
  <r>
    <x v="1"/>
    <x v="1"/>
    <x v="0"/>
    <x v="0"/>
    <x v="0"/>
    <x v="8"/>
    <n v="1"/>
    <x v="8"/>
    <x v="1"/>
  </r>
  <r>
    <x v="1"/>
    <x v="1"/>
    <x v="0"/>
    <x v="0"/>
    <x v="0"/>
    <x v="9"/>
    <n v="1"/>
    <x v="9"/>
    <x v="0"/>
  </r>
  <r>
    <x v="1"/>
    <x v="1"/>
    <x v="0"/>
    <x v="0"/>
    <x v="0"/>
    <x v="10"/>
    <n v="0"/>
    <x v="10"/>
    <x v="0"/>
  </r>
  <r>
    <x v="1"/>
    <x v="1"/>
    <x v="0"/>
    <x v="0"/>
    <x v="0"/>
    <x v="11"/>
    <n v="0"/>
    <x v="11"/>
    <x v="0"/>
  </r>
  <r>
    <x v="1"/>
    <x v="1"/>
    <x v="0"/>
    <x v="0"/>
    <x v="1"/>
    <x v="12"/>
    <n v="0"/>
    <x v="12"/>
    <x v="0"/>
  </r>
  <r>
    <x v="1"/>
    <x v="1"/>
    <x v="0"/>
    <x v="0"/>
    <x v="1"/>
    <x v="13"/>
    <n v="2"/>
    <x v="13"/>
    <x v="0"/>
  </r>
  <r>
    <x v="1"/>
    <x v="1"/>
    <x v="0"/>
    <x v="0"/>
    <x v="1"/>
    <x v="14"/>
    <n v="0"/>
    <x v="14"/>
    <x v="0"/>
  </r>
  <r>
    <x v="1"/>
    <x v="1"/>
    <x v="0"/>
    <x v="0"/>
    <x v="1"/>
    <x v="15"/>
    <n v="0"/>
    <x v="15"/>
    <x v="0"/>
  </r>
  <r>
    <x v="1"/>
    <x v="1"/>
    <x v="0"/>
    <x v="0"/>
    <x v="1"/>
    <x v="16"/>
    <n v="1"/>
    <x v="16"/>
    <x v="0"/>
  </r>
  <r>
    <x v="1"/>
    <x v="1"/>
    <x v="0"/>
    <x v="0"/>
    <x v="1"/>
    <x v="17"/>
    <n v="0"/>
    <x v="17"/>
    <x v="0"/>
  </r>
  <r>
    <x v="1"/>
    <x v="1"/>
    <x v="0"/>
    <x v="0"/>
    <x v="1"/>
    <x v="18"/>
    <n v="2"/>
    <x v="18"/>
    <x v="1"/>
  </r>
  <r>
    <x v="1"/>
    <x v="1"/>
    <x v="0"/>
    <x v="0"/>
    <x v="1"/>
    <x v="19"/>
    <n v="0"/>
    <x v="19"/>
    <x v="1"/>
  </r>
  <r>
    <x v="1"/>
    <x v="1"/>
    <x v="0"/>
    <x v="0"/>
    <x v="1"/>
    <x v="20"/>
    <n v="0"/>
    <x v="20"/>
    <x v="1"/>
  </r>
  <r>
    <x v="1"/>
    <x v="1"/>
    <x v="0"/>
    <x v="0"/>
    <x v="1"/>
    <x v="21"/>
    <n v="2"/>
    <x v="21"/>
    <x v="1"/>
  </r>
  <r>
    <x v="1"/>
    <x v="1"/>
    <x v="0"/>
    <x v="0"/>
    <x v="1"/>
    <x v="22"/>
    <n v="4"/>
    <x v="22"/>
    <x v="0"/>
  </r>
  <r>
    <x v="1"/>
    <x v="1"/>
    <x v="0"/>
    <x v="0"/>
    <x v="1"/>
    <x v="23"/>
    <n v="1"/>
    <x v="23"/>
    <x v="0"/>
  </r>
  <r>
    <x v="1"/>
    <x v="1"/>
    <x v="0"/>
    <x v="0"/>
    <x v="2"/>
    <x v="24"/>
    <n v="8"/>
    <x v="24"/>
    <x v="0"/>
  </r>
  <r>
    <x v="1"/>
    <x v="1"/>
    <x v="0"/>
    <x v="0"/>
    <x v="2"/>
    <x v="25"/>
    <n v="10"/>
    <x v="25"/>
    <x v="0"/>
  </r>
  <r>
    <x v="1"/>
    <x v="1"/>
    <x v="0"/>
    <x v="0"/>
    <x v="2"/>
    <x v="26"/>
    <n v="7"/>
    <x v="26"/>
    <x v="0"/>
  </r>
  <r>
    <x v="1"/>
    <x v="1"/>
    <x v="0"/>
    <x v="0"/>
    <x v="2"/>
    <x v="27"/>
    <n v="14"/>
    <x v="27"/>
    <x v="0"/>
  </r>
  <r>
    <x v="1"/>
    <x v="1"/>
    <x v="0"/>
    <x v="0"/>
    <x v="2"/>
    <x v="28"/>
    <n v="12"/>
    <x v="28"/>
    <x v="0"/>
  </r>
  <r>
    <x v="1"/>
    <x v="1"/>
    <x v="0"/>
    <x v="0"/>
    <x v="2"/>
    <x v="29"/>
    <n v="17"/>
    <x v="29"/>
    <x v="0"/>
  </r>
  <r>
    <x v="1"/>
    <x v="1"/>
    <x v="0"/>
    <x v="0"/>
    <x v="2"/>
    <x v="30"/>
    <n v="12"/>
    <x v="30"/>
    <x v="1"/>
  </r>
  <r>
    <x v="1"/>
    <x v="1"/>
    <x v="0"/>
    <x v="0"/>
    <x v="2"/>
    <x v="31"/>
    <n v="28"/>
    <x v="31"/>
    <x v="1"/>
  </r>
  <r>
    <x v="1"/>
    <x v="1"/>
    <x v="0"/>
    <x v="0"/>
    <x v="2"/>
    <x v="32"/>
    <n v="25"/>
    <x v="32"/>
    <x v="1"/>
  </r>
  <r>
    <x v="1"/>
    <x v="1"/>
    <x v="0"/>
    <x v="0"/>
    <x v="2"/>
    <x v="33"/>
    <n v="30"/>
    <x v="33"/>
    <x v="1"/>
  </r>
  <r>
    <x v="1"/>
    <x v="1"/>
    <x v="0"/>
    <x v="0"/>
    <x v="2"/>
    <x v="34"/>
    <n v="24"/>
    <x v="34"/>
    <x v="0"/>
  </r>
  <r>
    <x v="1"/>
    <x v="1"/>
    <x v="0"/>
    <x v="0"/>
    <x v="2"/>
    <x v="35"/>
    <n v="5"/>
    <x v="35"/>
    <x v="0"/>
  </r>
  <r>
    <x v="1"/>
    <x v="1"/>
    <x v="0"/>
    <x v="0"/>
    <x v="2"/>
    <x v="36"/>
    <n v="12"/>
    <x v="36"/>
    <x v="0"/>
  </r>
  <r>
    <x v="1"/>
    <x v="1"/>
    <x v="0"/>
    <x v="0"/>
    <x v="2"/>
    <x v="37"/>
    <n v="8"/>
    <x v="37"/>
    <x v="0"/>
  </r>
  <r>
    <x v="1"/>
    <x v="1"/>
    <x v="0"/>
    <x v="1"/>
    <x v="0"/>
    <x v="0"/>
    <n v="0"/>
    <x v="0"/>
    <x v="0"/>
  </r>
  <r>
    <x v="1"/>
    <x v="1"/>
    <x v="0"/>
    <x v="1"/>
    <x v="0"/>
    <x v="1"/>
    <n v="1"/>
    <x v="1"/>
    <x v="0"/>
  </r>
  <r>
    <x v="1"/>
    <x v="1"/>
    <x v="0"/>
    <x v="1"/>
    <x v="0"/>
    <x v="2"/>
    <n v="4"/>
    <x v="2"/>
    <x v="0"/>
  </r>
  <r>
    <x v="1"/>
    <x v="1"/>
    <x v="0"/>
    <x v="1"/>
    <x v="0"/>
    <x v="3"/>
    <n v="3"/>
    <x v="3"/>
    <x v="0"/>
  </r>
  <r>
    <x v="1"/>
    <x v="1"/>
    <x v="0"/>
    <x v="1"/>
    <x v="0"/>
    <x v="4"/>
    <n v="0"/>
    <x v="4"/>
    <x v="0"/>
  </r>
  <r>
    <x v="1"/>
    <x v="1"/>
    <x v="0"/>
    <x v="1"/>
    <x v="0"/>
    <x v="5"/>
    <n v="1"/>
    <x v="5"/>
    <x v="1"/>
  </r>
  <r>
    <x v="1"/>
    <x v="1"/>
    <x v="0"/>
    <x v="1"/>
    <x v="0"/>
    <x v="6"/>
    <n v="2"/>
    <x v="6"/>
    <x v="1"/>
  </r>
  <r>
    <x v="1"/>
    <x v="1"/>
    <x v="0"/>
    <x v="1"/>
    <x v="0"/>
    <x v="7"/>
    <n v="0"/>
    <x v="7"/>
    <x v="1"/>
  </r>
  <r>
    <x v="1"/>
    <x v="1"/>
    <x v="0"/>
    <x v="1"/>
    <x v="0"/>
    <x v="8"/>
    <n v="0"/>
    <x v="8"/>
    <x v="1"/>
  </r>
  <r>
    <x v="1"/>
    <x v="1"/>
    <x v="0"/>
    <x v="1"/>
    <x v="0"/>
    <x v="9"/>
    <n v="1"/>
    <x v="9"/>
    <x v="0"/>
  </r>
  <r>
    <x v="1"/>
    <x v="1"/>
    <x v="0"/>
    <x v="1"/>
    <x v="0"/>
    <x v="10"/>
    <n v="2"/>
    <x v="10"/>
    <x v="0"/>
  </r>
  <r>
    <x v="1"/>
    <x v="1"/>
    <x v="0"/>
    <x v="1"/>
    <x v="0"/>
    <x v="11"/>
    <n v="3"/>
    <x v="11"/>
    <x v="0"/>
  </r>
  <r>
    <x v="1"/>
    <x v="1"/>
    <x v="0"/>
    <x v="1"/>
    <x v="1"/>
    <x v="12"/>
    <n v="3"/>
    <x v="12"/>
    <x v="0"/>
  </r>
  <r>
    <x v="1"/>
    <x v="1"/>
    <x v="0"/>
    <x v="1"/>
    <x v="1"/>
    <x v="13"/>
    <n v="0"/>
    <x v="13"/>
    <x v="0"/>
  </r>
  <r>
    <x v="1"/>
    <x v="1"/>
    <x v="0"/>
    <x v="1"/>
    <x v="1"/>
    <x v="14"/>
    <n v="2"/>
    <x v="14"/>
    <x v="0"/>
  </r>
  <r>
    <x v="1"/>
    <x v="1"/>
    <x v="0"/>
    <x v="1"/>
    <x v="1"/>
    <x v="15"/>
    <n v="1"/>
    <x v="15"/>
    <x v="0"/>
  </r>
  <r>
    <x v="1"/>
    <x v="1"/>
    <x v="0"/>
    <x v="1"/>
    <x v="1"/>
    <x v="16"/>
    <n v="1"/>
    <x v="16"/>
    <x v="0"/>
  </r>
  <r>
    <x v="1"/>
    <x v="1"/>
    <x v="0"/>
    <x v="1"/>
    <x v="1"/>
    <x v="17"/>
    <n v="1"/>
    <x v="17"/>
    <x v="0"/>
  </r>
  <r>
    <x v="1"/>
    <x v="1"/>
    <x v="0"/>
    <x v="1"/>
    <x v="1"/>
    <x v="18"/>
    <n v="7"/>
    <x v="18"/>
    <x v="1"/>
  </r>
  <r>
    <x v="1"/>
    <x v="1"/>
    <x v="0"/>
    <x v="1"/>
    <x v="1"/>
    <x v="19"/>
    <n v="2"/>
    <x v="19"/>
    <x v="1"/>
  </r>
  <r>
    <x v="1"/>
    <x v="1"/>
    <x v="0"/>
    <x v="1"/>
    <x v="1"/>
    <x v="20"/>
    <n v="5"/>
    <x v="20"/>
    <x v="1"/>
  </r>
  <r>
    <x v="1"/>
    <x v="1"/>
    <x v="0"/>
    <x v="1"/>
    <x v="1"/>
    <x v="21"/>
    <n v="2"/>
    <x v="21"/>
    <x v="1"/>
  </r>
  <r>
    <x v="1"/>
    <x v="1"/>
    <x v="0"/>
    <x v="1"/>
    <x v="1"/>
    <x v="22"/>
    <n v="4"/>
    <x v="22"/>
    <x v="0"/>
  </r>
  <r>
    <x v="1"/>
    <x v="1"/>
    <x v="0"/>
    <x v="1"/>
    <x v="1"/>
    <x v="23"/>
    <n v="4"/>
    <x v="23"/>
    <x v="0"/>
  </r>
  <r>
    <x v="1"/>
    <x v="1"/>
    <x v="0"/>
    <x v="1"/>
    <x v="2"/>
    <x v="24"/>
    <n v="8"/>
    <x v="24"/>
    <x v="0"/>
  </r>
  <r>
    <x v="1"/>
    <x v="1"/>
    <x v="0"/>
    <x v="1"/>
    <x v="2"/>
    <x v="25"/>
    <n v="9"/>
    <x v="25"/>
    <x v="0"/>
  </r>
  <r>
    <x v="1"/>
    <x v="1"/>
    <x v="0"/>
    <x v="1"/>
    <x v="2"/>
    <x v="26"/>
    <n v="13"/>
    <x v="26"/>
    <x v="0"/>
  </r>
  <r>
    <x v="1"/>
    <x v="1"/>
    <x v="0"/>
    <x v="1"/>
    <x v="2"/>
    <x v="27"/>
    <n v="9"/>
    <x v="27"/>
    <x v="0"/>
  </r>
  <r>
    <x v="1"/>
    <x v="1"/>
    <x v="0"/>
    <x v="1"/>
    <x v="2"/>
    <x v="28"/>
    <n v="12"/>
    <x v="28"/>
    <x v="0"/>
  </r>
  <r>
    <x v="1"/>
    <x v="1"/>
    <x v="0"/>
    <x v="1"/>
    <x v="2"/>
    <x v="29"/>
    <n v="5"/>
    <x v="29"/>
    <x v="0"/>
  </r>
  <r>
    <x v="1"/>
    <x v="1"/>
    <x v="0"/>
    <x v="1"/>
    <x v="2"/>
    <x v="30"/>
    <n v="10"/>
    <x v="30"/>
    <x v="1"/>
  </r>
  <r>
    <x v="1"/>
    <x v="1"/>
    <x v="0"/>
    <x v="1"/>
    <x v="2"/>
    <x v="31"/>
    <n v="7"/>
    <x v="31"/>
    <x v="1"/>
  </r>
  <r>
    <x v="1"/>
    <x v="1"/>
    <x v="0"/>
    <x v="1"/>
    <x v="2"/>
    <x v="32"/>
    <n v="14"/>
    <x v="32"/>
    <x v="1"/>
  </r>
  <r>
    <x v="1"/>
    <x v="1"/>
    <x v="0"/>
    <x v="1"/>
    <x v="2"/>
    <x v="33"/>
    <n v="20"/>
    <x v="33"/>
    <x v="1"/>
  </r>
  <r>
    <x v="1"/>
    <x v="1"/>
    <x v="0"/>
    <x v="1"/>
    <x v="2"/>
    <x v="34"/>
    <n v="9"/>
    <x v="34"/>
    <x v="0"/>
  </r>
  <r>
    <x v="1"/>
    <x v="1"/>
    <x v="0"/>
    <x v="1"/>
    <x v="2"/>
    <x v="35"/>
    <n v="3"/>
    <x v="35"/>
    <x v="0"/>
  </r>
  <r>
    <x v="1"/>
    <x v="1"/>
    <x v="0"/>
    <x v="1"/>
    <x v="2"/>
    <x v="36"/>
    <n v="7"/>
    <x v="36"/>
    <x v="0"/>
  </r>
  <r>
    <x v="1"/>
    <x v="1"/>
    <x v="0"/>
    <x v="1"/>
    <x v="2"/>
    <x v="37"/>
    <n v="3"/>
    <x v="37"/>
    <x v="0"/>
  </r>
  <r>
    <x v="2"/>
    <x v="0"/>
    <x v="0"/>
    <x v="0"/>
    <x v="0"/>
    <x v="0"/>
    <n v="0"/>
    <x v="0"/>
    <x v="0"/>
  </r>
  <r>
    <x v="2"/>
    <x v="0"/>
    <x v="0"/>
    <x v="0"/>
    <x v="0"/>
    <x v="1"/>
    <n v="0"/>
    <x v="1"/>
    <x v="0"/>
  </r>
  <r>
    <x v="2"/>
    <x v="0"/>
    <x v="0"/>
    <x v="0"/>
    <x v="0"/>
    <x v="2"/>
    <n v="0"/>
    <x v="2"/>
    <x v="0"/>
  </r>
  <r>
    <x v="2"/>
    <x v="0"/>
    <x v="0"/>
    <x v="0"/>
    <x v="0"/>
    <x v="3"/>
    <n v="0"/>
    <x v="3"/>
    <x v="0"/>
  </r>
  <r>
    <x v="2"/>
    <x v="0"/>
    <x v="0"/>
    <x v="0"/>
    <x v="0"/>
    <x v="4"/>
    <n v="1"/>
    <x v="4"/>
    <x v="0"/>
  </r>
  <r>
    <x v="2"/>
    <x v="0"/>
    <x v="0"/>
    <x v="0"/>
    <x v="0"/>
    <x v="5"/>
    <n v="0"/>
    <x v="5"/>
    <x v="1"/>
  </r>
  <r>
    <x v="2"/>
    <x v="0"/>
    <x v="0"/>
    <x v="0"/>
    <x v="0"/>
    <x v="6"/>
    <n v="0"/>
    <x v="6"/>
    <x v="1"/>
  </r>
  <r>
    <x v="2"/>
    <x v="0"/>
    <x v="0"/>
    <x v="0"/>
    <x v="0"/>
    <x v="7"/>
    <n v="0"/>
    <x v="7"/>
    <x v="1"/>
  </r>
  <r>
    <x v="2"/>
    <x v="0"/>
    <x v="0"/>
    <x v="0"/>
    <x v="0"/>
    <x v="8"/>
    <n v="0"/>
    <x v="8"/>
    <x v="1"/>
  </r>
  <r>
    <x v="2"/>
    <x v="0"/>
    <x v="0"/>
    <x v="0"/>
    <x v="0"/>
    <x v="9"/>
    <n v="0"/>
    <x v="9"/>
    <x v="0"/>
  </r>
  <r>
    <x v="2"/>
    <x v="0"/>
    <x v="0"/>
    <x v="0"/>
    <x v="0"/>
    <x v="10"/>
    <n v="0"/>
    <x v="10"/>
    <x v="0"/>
  </r>
  <r>
    <x v="2"/>
    <x v="0"/>
    <x v="0"/>
    <x v="0"/>
    <x v="0"/>
    <x v="11"/>
    <n v="0"/>
    <x v="11"/>
    <x v="0"/>
  </r>
  <r>
    <x v="2"/>
    <x v="0"/>
    <x v="0"/>
    <x v="0"/>
    <x v="1"/>
    <x v="12"/>
    <n v="0"/>
    <x v="12"/>
    <x v="0"/>
  </r>
  <r>
    <x v="2"/>
    <x v="0"/>
    <x v="0"/>
    <x v="0"/>
    <x v="1"/>
    <x v="13"/>
    <n v="0"/>
    <x v="13"/>
    <x v="0"/>
  </r>
  <r>
    <x v="2"/>
    <x v="0"/>
    <x v="0"/>
    <x v="0"/>
    <x v="1"/>
    <x v="14"/>
    <n v="0"/>
    <x v="14"/>
    <x v="0"/>
  </r>
  <r>
    <x v="2"/>
    <x v="0"/>
    <x v="0"/>
    <x v="0"/>
    <x v="1"/>
    <x v="15"/>
    <n v="0"/>
    <x v="15"/>
    <x v="0"/>
  </r>
  <r>
    <x v="2"/>
    <x v="0"/>
    <x v="0"/>
    <x v="0"/>
    <x v="1"/>
    <x v="16"/>
    <n v="0"/>
    <x v="16"/>
    <x v="0"/>
  </r>
  <r>
    <x v="2"/>
    <x v="0"/>
    <x v="0"/>
    <x v="0"/>
    <x v="1"/>
    <x v="17"/>
    <n v="0"/>
    <x v="17"/>
    <x v="0"/>
  </r>
  <r>
    <x v="2"/>
    <x v="0"/>
    <x v="0"/>
    <x v="0"/>
    <x v="1"/>
    <x v="18"/>
    <n v="0"/>
    <x v="18"/>
    <x v="1"/>
  </r>
  <r>
    <x v="2"/>
    <x v="0"/>
    <x v="0"/>
    <x v="0"/>
    <x v="1"/>
    <x v="19"/>
    <n v="0"/>
    <x v="19"/>
    <x v="1"/>
  </r>
  <r>
    <x v="2"/>
    <x v="0"/>
    <x v="0"/>
    <x v="0"/>
    <x v="1"/>
    <x v="20"/>
    <n v="0"/>
    <x v="20"/>
    <x v="1"/>
  </r>
  <r>
    <x v="2"/>
    <x v="0"/>
    <x v="0"/>
    <x v="0"/>
    <x v="1"/>
    <x v="21"/>
    <n v="0"/>
    <x v="21"/>
    <x v="1"/>
  </r>
  <r>
    <x v="2"/>
    <x v="0"/>
    <x v="0"/>
    <x v="0"/>
    <x v="1"/>
    <x v="22"/>
    <n v="0"/>
    <x v="22"/>
    <x v="0"/>
  </r>
  <r>
    <x v="2"/>
    <x v="0"/>
    <x v="0"/>
    <x v="0"/>
    <x v="1"/>
    <x v="23"/>
    <n v="0"/>
    <x v="23"/>
    <x v="0"/>
  </r>
  <r>
    <x v="2"/>
    <x v="0"/>
    <x v="0"/>
    <x v="0"/>
    <x v="2"/>
    <x v="24"/>
    <n v="0"/>
    <x v="24"/>
    <x v="0"/>
  </r>
  <r>
    <x v="2"/>
    <x v="0"/>
    <x v="0"/>
    <x v="0"/>
    <x v="2"/>
    <x v="25"/>
    <n v="0"/>
    <x v="25"/>
    <x v="0"/>
  </r>
  <r>
    <x v="2"/>
    <x v="0"/>
    <x v="0"/>
    <x v="0"/>
    <x v="2"/>
    <x v="26"/>
    <n v="0"/>
    <x v="26"/>
    <x v="0"/>
  </r>
  <r>
    <x v="2"/>
    <x v="0"/>
    <x v="0"/>
    <x v="0"/>
    <x v="2"/>
    <x v="27"/>
    <n v="0"/>
    <x v="27"/>
    <x v="0"/>
  </r>
  <r>
    <x v="2"/>
    <x v="0"/>
    <x v="0"/>
    <x v="0"/>
    <x v="2"/>
    <x v="28"/>
    <n v="0"/>
    <x v="28"/>
    <x v="0"/>
  </r>
  <r>
    <x v="2"/>
    <x v="0"/>
    <x v="0"/>
    <x v="0"/>
    <x v="2"/>
    <x v="29"/>
    <n v="0"/>
    <x v="29"/>
    <x v="0"/>
  </r>
  <r>
    <x v="2"/>
    <x v="0"/>
    <x v="0"/>
    <x v="0"/>
    <x v="2"/>
    <x v="30"/>
    <n v="0"/>
    <x v="30"/>
    <x v="1"/>
  </r>
  <r>
    <x v="2"/>
    <x v="0"/>
    <x v="0"/>
    <x v="0"/>
    <x v="2"/>
    <x v="31"/>
    <n v="0"/>
    <x v="31"/>
    <x v="1"/>
  </r>
  <r>
    <x v="2"/>
    <x v="0"/>
    <x v="0"/>
    <x v="0"/>
    <x v="2"/>
    <x v="32"/>
    <n v="0"/>
    <x v="32"/>
    <x v="1"/>
  </r>
  <r>
    <x v="2"/>
    <x v="0"/>
    <x v="0"/>
    <x v="0"/>
    <x v="2"/>
    <x v="33"/>
    <n v="0"/>
    <x v="33"/>
    <x v="1"/>
  </r>
  <r>
    <x v="2"/>
    <x v="0"/>
    <x v="0"/>
    <x v="0"/>
    <x v="2"/>
    <x v="34"/>
    <n v="0"/>
    <x v="34"/>
    <x v="0"/>
  </r>
  <r>
    <x v="2"/>
    <x v="0"/>
    <x v="0"/>
    <x v="0"/>
    <x v="2"/>
    <x v="35"/>
    <n v="0"/>
    <x v="35"/>
    <x v="0"/>
  </r>
  <r>
    <x v="2"/>
    <x v="0"/>
    <x v="0"/>
    <x v="0"/>
    <x v="2"/>
    <x v="36"/>
    <n v="0"/>
    <x v="36"/>
    <x v="0"/>
  </r>
  <r>
    <x v="2"/>
    <x v="0"/>
    <x v="0"/>
    <x v="0"/>
    <x v="2"/>
    <x v="37"/>
    <n v="0"/>
    <x v="37"/>
    <x v="0"/>
  </r>
  <r>
    <x v="2"/>
    <x v="0"/>
    <x v="0"/>
    <x v="1"/>
    <x v="0"/>
    <x v="0"/>
    <n v="1"/>
    <x v="0"/>
    <x v="0"/>
  </r>
  <r>
    <x v="2"/>
    <x v="0"/>
    <x v="0"/>
    <x v="1"/>
    <x v="0"/>
    <x v="1"/>
    <n v="0"/>
    <x v="1"/>
    <x v="0"/>
  </r>
  <r>
    <x v="2"/>
    <x v="0"/>
    <x v="0"/>
    <x v="1"/>
    <x v="0"/>
    <x v="2"/>
    <n v="2"/>
    <x v="2"/>
    <x v="0"/>
  </r>
  <r>
    <x v="2"/>
    <x v="0"/>
    <x v="0"/>
    <x v="1"/>
    <x v="0"/>
    <x v="3"/>
    <n v="1"/>
    <x v="3"/>
    <x v="0"/>
  </r>
  <r>
    <x v="2"/>
    <x v="0"/>
    <x v="0"/>
    <x v="1"/>
    <x v="0"/>
    <x v="4"/>
    <n v="1"/>
    <x v="4"/>
    <x v="0"/>
  </r>
  <r>
    <x v="2"/>
    <x v="0"/>
    <x v="0"/>
    <x v="1"/>
    <x v="0"/>
    <x v="5"/>
    <n v="1"/>
    <x v="5"/>
    <x v="1"/>
  </r>
  <r>
    <x v="2"/>
    <x v="0"/>
    <x v="0"/>
    <x v="1"/>
    <x v="0"/>
    <x v="6"/>
    <n v="0"/>
    <x v="6"/>
    <x v="1"/>
  </r>
  <r>
    <x v="2"/>
    <x v="0"/>
    <x v="0"/>
    <x v="1"/>
    <x v="0"/>
    <x v="7"/>
    <n v="2"/>
    <x v="7"/>
    <x v="1"/>
  </r>
  <r>
    <x v="2"/>
    <x v="0"/>
    <x v="0"/>
    <x v="1"/>
    <x v="0"/>
    <x v="8"/>
    <n v="0"/>
    <x v="8"/>
    <x v="1"/>
  </r>
  <r>
    <x v="2"/>
    <x v="0"/>
    <x v="0"/>
    <x v="1"/>
    <x v="0"/>
    <x v="9"/>
    <n v="0"/>
    <x v="9"/>
    <x v="0"/>
  </r>
  <r>
    <x v="2"/>
    <x v="0"/>
    <x v="0"/>
    <x v="1"/>
    <x v="0"/>
    <x v="10"/>
    <n v="2"/>
    <x v="10"/>
    <x v="0"/>
  </r>
  <r>
    <x v="2"/>
    <x v="0"/>
    <x v="0"/>
    <x v="1"/>
    <x v="0"/>
    <x v="11"/>
    <n v="1"/>
    <x v="11"/>
    <x v="0"/>
  </r>
  <r>
    <x v="2"/>
    <x v="0"/>
    <x v="0"/>
    <x v="1"/>
    <x v="1"/>
    <x v="12"/>
    <n v="6"/>
    <x v="12"/>
    <x v="0"/>
  </r>
  <r>
    <x v="2"/>
    <x v="0"/>
    <x v="0"/>
    <x v="1"/>
    <x v="1"/>
    <x v="13"/>
    <n v="0"/>
    <x v="13"/>
    <x v="0"/>
  </r>
  <r>
    <x v="2"/>
    <x v="0"/>
    <x v="0"/>
    <x v="1"/>
    <x v="1"/>
    <x v="14"/>
    <n v="0"/>
    <x v="14"/>
    <x v="0"/>
  </r>
  <r>
    <x v="2"/>
    <x v="0"/>
    <x v="0"/>
    <x v="1"/>
    <x v="1"/>
    <x v="15"/>
    <n v="2"/>
    <x v="15"/>
    <x v="0"/>
  </r>
  <r>
    <x v="2"/>
    <x v="0"/>
    <x v="0"/>
    <x v="1"/>
    <x v="1"/>
    <x v="16"/>
    <n v="1"/>
    <x v="16"/>
    <x v="0"/>
  </r>
  <r>
    <x v="2"/>
    <x v="0"/>
    <x v="0"/>
    <x v="1"/>
    <x v="1"/>
    <x v="17"/>
    <n v="0"/>
    <x v="17"/>
    <x v="0"/>
  </r>
  <r>
    <x v="2"/>
    <x v="0"/>
    <x v="0"/>
    <x v="1"/>
    <x v="1"/>
    <x v="18"/>
    <n v="3"/>
    <x v="18"/>
    <x v="1"/>
  </r>
  <r>
    <x v="2"/>
    <x v="0"/>
    <x v="0"/>
    <x v="1"/>
    <x v="1"/>
    <x v="19"/>
    <n v="1"/>
    <x v="19"/>
    <x v="1"/>
  </r>
  <r>
    <x v="2"/>
    <x v="0"/>
    <x v="0"/>
    <x v="1"/>
    <x v="1"/>
    <x v="20"/>
    <n v="2"/>
    <x v="20"/>
    <x v="1"/>
  </r>
  <r>
    <x v="2"/>
    <x v="0"/>
    <x v="0"/>
    <x v="1"/>
    <x v="1"/>
    <x v="21"/>
    <n v="2"/>
    <x v="21"/>
    <x v="1"/>
  </r>
  <r>
    <x v="2"/>
    <x v="0"/>
    <x v="0"/>
    <x v="1"/>
    <x v="1"/>
    <x v="22"/>
    <n v="0"/>
    <x v="22"/>
    <x v="0"/>
  </r>
  <r>
    <x v="2"/>
    <x v="0"/>
    <x v="0"/>
    <x v="1"/>
    <x v="1"/>
    <x v="23"/>
    <n v="1"/>
    <x v="23"/>
    <x v="0"/>
  </r>
  <r>
    <x v="2"/>
    <x v="0"/>
    <x v="0"/>
    <x v="1"/>
    <x v="2"/>
    <x v="24"/>
    <n v="2"/>
    <x v="24"/>
    <x v="0"/>
  </r>
  <r>
    <x v="2"/>
    <x v="0"/>
    <x v="0"/>
    <x v="1"/>
    <x v="2"/>
    <x v="25"/>
    <n v="0"/>
    <x v="25"/>
    <x v="0"/>
  </r>
  <r>
    <x v="2"/>
    <x v="0"/>
    <x v="0"/>
    <x v="1"/>
    <x v="2"/>
    <x v="26"/>
    <n v="0"/>
    <x v="26"/>
    <x v="0"/>
  </r>
  <r>
    <x v="2"/>
    <x v="0"/>
    <x v="0"/>
    <x v="1"/>
    <x v="2"/>
    <x v="27"/>
    <n v="0"/>
    <x v="27"/>
    <x v="0"/>
  </r>
  <r>
    <x v="2"/>
    <x v="0"/>
    <x v="0"/>
    <x v="1"/>
    <x v="2"/>
    <x v="28"/>
    <n v="0"/>
    <x v="28"/>
    <x v="0"/>
  </r>
  <r>
    <x v="2"/>
    <x v="0"/>
    <x v="0"/>
    <x v="1"/>
    <x v="2"/>
    <x v="29"/>
    <n v="1"/>
    <x v="29"/>
    <x v="0"/>
  </r>
  <r>
    <x v="2"/>
    <x v="0"/>
    <x v="0"/>
    <x v="1"/>
    <x v="2"/>
    <x v="30"/>
    <n v="2"/>
    <x v="30"/>
    <x v="1"/>
  </r>
  <r>
    <x v="2"/>
    <x v="0"/>
    <x v="0"/>
    <x v="1"/>
    <x v="2"/>
    <x v="31"/>
    <n v="2"/>
    <x v="31"/>
    <x v="1"/>
  </r>
  <r>
    <x v="2"/>
    <x v="0"/>
    <x v="0"/>
    <x v="1"/>
    <x v="2"/>
    <x v="32"/>
    <n v="2"/>
    <x v="32"/>
    <x v="1"/>
  </r>
  <r>
    <x v="2"/>
    <x v="0"/>
    <x v="0"/>
    <x v="1"/>
    <x v="2"/>
    <x v="33"/>
    <n v="4"/>
    <x v="33"/>
    <x v="1"/>
  </r>
  <r>
    <x v="2"/>
    <x v="0"/>
    <x v="0"/>
    <x v="1"/>
    <x v="2"/>
    <x v="34"/>
    <n v="6"/>
    <x v="34"/>
    <x v="0"/>
  </r>
  <r>
    <x v="2"/>
    <x v="0"/>
    <x v="0"/>
    <x v="1"/>
    <x v="2"/>
    <x v="35"/>
    <n v="3"/>
    <x v="35"/>
    <x v="0"/>
  </r>
  <r>
    <x v="2"/>
    <x v="0"/>
    <x v="0"/>
    <x v="1"/>
    <x v="2"/>
    <x v="36"/>
    <n v="1"/>
    <x v="36"/>
    <x v="0"/>
  </r>
  <r>
    <x v="2"/>
    <x v="0"/>
    <x v="0"/>
    <x v="1"/>
    <x v="2"/>
    <x v="37"/>
    <n v="0"/>
    <x v="37"/>
    <x v="0"/>
  </r>
  <r>
    <x v="2"/>
    <x v="1"/>
    <x v="0"/>
    <x v="0"/>
    <x v="0"/>
    <x v="0"/>
    <n v="0"/>
    <x v="0"/>
    <x v="0"/>
  </r>
  <r>
    <x v="2"/>
    <x v="1"/>
    <x v="0"/>
    <x v="0"/>
    <x v="0"/>
    <x v="1"/>
    <n v="0"/>
    <x v="1"/>
    <x v="0"/>
  </r>
  <r>
    <x v="2"/>
    <x v="1"/>
    <x v="0"/>
    <x v="0"/>
    <x v="0"/>
    <x v="2"/>
    <n v="0"/>
    <x v="2"/>
    <x v="0"/>
  </r>
  <r>
    <x v="2"/>
    <x v="1"/>
    <x v="0"/>
    <x v="0"/>
    <x v="0"/>
    <x v="3"/>
    <n v="0"/>
    <x v="3"/>
    <x v="0"/>
  </r>
  <r>
    <x v="2"/>
    <x v="1"/>
    <x v="0"/>
    <x v="0"/>
    <x v="0"/>
    <x v="4"/>
    <n v="0"/>
    <x v="4"/>
    <x v="0"/>
  </r>
  <r>
    <x v="2"/>
    <x v="1"/>
    <x v="0"/>
    <x v="0"/>
    <x v="0"/>
    <x v="5"/>
    <n v="0"/>
    <x v="5"/>
    <x v="1"/>
  </r>
  <r>
    <x v="2"/>
    <x v="1"/>
    <x v="0"/>
    <x v="0"/>
    <x v="0"/>
    <x v="6"/>
    <n v="0"/>
    <x v="6"/>
    <x v="1"/>
  </r>
  <r>
    <x v="2"/>
    <x v="1"/>
    <x v="0"/>
    <x v="0"/>
    <x v="0"/>
    <x v="7"/>
    <n v="0"/>
    <x v="7"/>
    <x v="1"/>
  </r>
  <r>
    <x v="2"/>
    <x v="1"/>
    <x v="0"/>
    <x v="0"/>
    <x v="0"/>
    <x v="8"/>
    <n v="0"/>
    <x v="8"/>
    <x v="1"/>
  </r>
  <r>
    <x v="2"/>
    <x v="1"/>
    <x v="0"/>
    <x v="0"/>
    <x v="0"/>
    <x v="9"/>
    <n v="0"/>
    <x v="9"/>
    <x v="0"/>
  </r>
  <r>
    <x v="2"/>
    <x v="1"/>
    <x v="0"/>
    <x v="0"/>
    <x v="0"/>
    <x v="10"/>
    <n v="0"/>
    <x v="10"/>
    <x v="0"/>
  </r>
  <r>
    <x v="2"/>
    <x v="1"/>
    <x v="0"/>
    <x v="0"/>
    <x v="0"/>
    <x v="11"/>
    <n v="0"/>
    <x v="11"/>
    <x v="0"/>
  </r>
  <r>
    <x v="2"/>
    <x v="1"/>
    <x v="0"/>
    <x v="0"/>
    <x v="1"/>
    <x v="12"/>
    <n v="0"/>
    <x v="12"/>
    <x v="0"/>
  </r>
  <r>
    <x v="2"/>
    <x v="1"/>
    <x v="0"/>
    <x v="0"/>
    <x v="1"/>
    <x v="13"/>
    <n v="0"/>
    <x v="13"/>
    <x v="0"/>
  </r>
  <r>
    <x v="2"/>
    <x v="1"/>
    <x v="0"/>
    <x v="0"/>
    <x v="1"/>
    <x v="14"/>
    <n v="0"/>
    <x v="14"/>
    <x v="0"/>
  </r>
  <r>
    <x v="2"/>
    <x v="1"/>
    <x v="0"/>
    <x v="0"/>
    <x v="1"/>
    <x v="15"/>
    <n v="0"/>
    <x v="15"/>
    <x v="0"/>
  </r>
  <r>
    <x v="2"/>
    <x v="1"/>
    <x v="0"/>
    <x v="0"/>
    <x v="1"/>
    <x v="16"/>
    <n v="0"/>
    <x v="16"/>
    <x v="0"/>
  </r>
  <r>
    <x v="2"/>
    <x v="1"/>
    <x v="0"/>
    <x v="0"/>
    <x v="1"/>
    <x v="17"/>
    <n v="0"/>
    <x v="17"/>
    <x v="0"/>
  </r>
  <r>
    <x v="2"/>
    <x v="1"/>
    <x v="0"/>
    <x v="0"/>
    <x v="1"/>
    <x v="18"/>
    <n v="0"/>
    <x v="18"/>
    <x v="1"/>
  </r>
  <r>
    <x v="2"/>
    <x v="1"/>
    <x v="0"/>
    <x v="0"/>
    <x v="1"/>
    <x v="19"/>
    <n v="0"/>
    <x v="19"/>
    <x v="1"/>
  </r>
  <r>
    <x v="2"/>
    <x v="1"/>
    <x v="0"/>
    <x v="0"/>
    <x v="1"/>
    <x v="20"/>
    <n v="0"/>
    <x v="20"/>
    <x v="1"/>
  </r>
  <r>
    <x v="2"/>
    <x v="1"/>
    <x v="0"/>
    <x v="0"/>
    <x v="1"/>
    <x v="21"/>
    <n v="0"/>
    <x v="21"/>
    <x v="1"/>
  </r>
  <r>
    <x v="2"/>
    <x v="1"/>
    <x v="0"/>
    <x v="0"/>
    <x v="1"/>
    <x v="22"/>
    <n v="0"/>
    <x v="22"/>
    <x v="0"/>
  </r>
  <r>
    <x v="2"/>
    <x v="1"/>
    <x v="0"/>
    <x v="0"/>
    <x v="1"/>
    <x v="23"/>
    <n v="0"/>
    <x v="23"/>
    <x v="0"/>
  </r>
  <r>
    <x v="2"/>
    <x v="1"/>
    <x v="0"/>
    <x v="0"/>
    <x v="2"/>
    <x v="24"/>
    <n v="0"/>
    <x v="24"/>
    <x v="0"/>
  </r>
  <r>
    <x v="2"/>
    <x v="1"/>
    <x v="0"/>
    <x v="0"/>
    <x v="2"/>
    <x v="25"/>
    <n v="0"/>
    <x v="25"/>
    <x v="0"/>
  </r>
  <r>
    <x v="2"/>
    <x v="1"/>
    <x v="0"/>
    <x v="0"/>
    <x v="2"/>
    <x v="26"/>
    <n v="0"/>
    <x v="26"/>
    <x v="0"/>
  </r>
  <r>
    <x v="2"/>
    <x v="1"/>
    <x v="0"/>
    <x v="0"/>
    <x v="2"/>
    <x v="27"/>
    <n v="0"/>
    <x v="27"/>
    <x v="0"/>
  </r>
  <r>
    <x v="2"/>
    <x v="1"/>
    <x v="0"/>
    <x v="0"/>
    <x v="2"/>
    <x v="28"/>
    <n v="0"/>
    <x v="28"/>
    <x v="0"/>
  </r>
  <r>
    <x v="2"/>
    <x v="1"/>
    <x v="0"/>
    <x v="0"/>
    <x v="2"/>
    <x v="29"/>
    <n v="0"/>
    <x v="29"/>
    <x v="0"/>
  </r>
  <r>
    <x v="2"/>
    <x v="1"/>
    <x v="0"/>
    <x v="0"/>
    <x v="2"/>
    <x v="30"/>
    <n v="0"/>
    <x v="30"/>
    <x v="1"/>
  </r>
  <r>
    <x v="2"/>
    <x v="1"/>
    <x v="0"/>
    <x v="0"/>
    <x v="2"/>
    <x v="31"/>
    <n v="0"/>
    <x v="31"/>
    <x v="1"/>
  </r>
  <r>
    <x v="2"/>
    <x v="1"/>
    <x v="0"/>
    <x v="0"/>
    <x v="2"/>
    <x v="32"/>
    <n v="0"/>
    <x v="32"/>
    <x v="1"/>
  </r>
  <r>
    <x v="2"/>
    <x v="1"/>
    <x v="0"/>
    <x v="0"/>
    <x v="2"/>
    <x v="33"/>
    <n v="0"/>
    <x v="33"/>
    <x v="1"/>
  </r>
  <r>
    <x v="2"/>
    <x v="1"/>
    <x v="0"/>
    <x v="0"/>
    <x v="2"/>
    <x v="34"/>
    <n v="0"/>
    <x v="34"/>
    <x v="0"/>
  </r>
  <r>
    <x v="2"/>
    <x v="1"/>
    <x v="0"/>
    <x v="0"/>
    <x v="2"/>
    <x v="35"/>
    <n v="0"/>
    <x v="35"/>
    <x v="0"/>
  </r>
  <r>
    <x v="2"/>
    <x v="1"/>
    <x v="0"/>
    <x v="0"/>
    <x v="2"/>
    <x v="36"/>
    <n v="0"/>
    <x v="36"/>
    <x v="0"/>
  </r>
  <r>
    <x v="2"/>
    <x v="1"/>
    <x v="0"/>
    <x v="0"/>
    <x v="2"/>
    <x v="37"/>
    <n v="0"/>
    <x v="37"/>
    <x v="0"/>
  </r>
  <r>
    <x v="2"/>
    <x v="1"/>
    <x v="0"/>
    <x v="1"/>
    <x v="0"/>
    <x v="0"/>
    <n v="2"/>
    <x v="0"/>
    <x v="0"/>
  </r>
  <r>
    <x v="2"/>
    <x v="1"/>
    <x v="0"/>
    <x v="1"/>
    <x v="0"/>
    <x v="1"/>
    <n v="0"/>
    <x v="1"/>
    <x v="0"/>
  </r>
  <r>
    <x v="2"/>
    <x v="1"/>
    <x v="0"/>
    <x v="1"/>
    <x v="0"/>
    <x v="2"/>
    <n v="2"/>
    <x v="2"/>
    <x v="0"/>
  </r>
  <r>
    <x v="2"/>
    <x v="1"/>
    <x v="0"/>
    <x v="1"/>
    <x v="0"/>
    <x v="3"/>
    <n v="0"/>
    <x v="3"/>
    <x v="0"/>
  </r>
  <r>
    <x v="2"/>
    <x v="1"/>
    <x v="0"/>
    <x v="1"/>
    <x v="0"/>
    <x v="4"/>
    <n v="1"/>
    <x v="4"/>
    <x v="0"/>
  </r>
  <r>
    <x v="2"/>
    <x v="1"/>
    <x v="0"/>
    <x v="1"/>
    <x v="0"/>
    <x v="5"/>
    <n v="0"/>
    <x v="5"/>
    <x v="1"/>
  </r>
  <r>
    <x v="2"/>
    <x v="1"/>
    <x v="0"/>
    <x v="1"/>
    <x v="0"/>
    <x v="6"/>
    <n v="0"/>
    <x v="6"/>
    <x v="1"/>
  </r>
  <r>
    <x v="2"/>
    <x v="1"/>
    <x v="0"/>
    <x v="1"/>
    <x v="0"/>
    <x v="7"/>
    <n v="0"/>
    <x v="7"/>
    <x v="1"/>
  </r>
  <r>
    <x v="2"/>
    <x v="1"/>
    <x v="0"/>
    <x v="1"/>
    <x v="0"/>
    <x v="8"/>
    <n v="3"/>
    <x v="8"/>
    <x v="1"/>
  </r>
  <r>
    <x v="2"/>
    <x v="1"/>
    <x v="0"/>
    <x v="1"/>
    <x v="0"/>
    <x v="9"/>
    <n v="2"/>
    <x v="9"/>
    <x v="0"/>
  </r>
  <r>
    <x v="2"/>
    <x v="1"/>
    <x v="0"/>
    <x v="1"/>
    <x v="0"/>
    <x v="10"/>
    <n v="0"/>
    <x v="10"/>
    <x v="0"/>
  </r>
  <r>
    <x v="2"/>
    <x v="1"/>
    <x v="0"/>
    <x v="1"/>
    <x v="0"/>
    <x v="11"/>
    <n v="4"/>
    <x v="11"/>
    <x v="0"/>
  </r>
  <r>
    <x v="2"/>
    <x v="1"/>
    <x v="0"/>
    <x v="1"/>
    <x v="1"/>
    <x v="12"/>
    <n v="1"/>
    <x v="12"/>
    <x v="0"/>
  </r>
  <r>
    <x v="2"/>
    <x v="1"/>
    <x v="0"/>
    <x v="1"/>
    <x v="1"/>
    <x v="13"/>
    <n v="0"/>
    <x v="13"/>
    <x v="0"/>
  </r>
  <r>
    <x v="2"/>
    <x v="1"/>
    <x v="0"/>
    <x v="1"/>
    <x v="1"/>
    <x v="14"/>
    <n v="1"/>
    <x v="14"/>
    <x v="0"/>
  </r>
  <r>
    <x v="2"/>
    <x v="1"/>
    <x v="0"/>
    <x v="1"/>
    <x v="1"/>
    <x v="15"/>
    <n v="2"/>
    <x v="15"/>
    <x v="0"/>
  </r>
  <r>
    <x v="2"/>
    <x v="1"/>
    <x v="0"/>
    <x v="1"/>
    <x v="1"/>
    <x v="16"/>
    <n v="2"/>
    <x v="16"/>
    <x v="0"/>
  </r>
  <r>
    <x v="2"/>
    <x v="1"/>
    <x v="0"/>
    <x v="1"/>
    <x v="1"/>
    <x v="17"/>
    <n v="1"/>
    <x v="17"/>
    <x v="0"/>
  </r>
  <r>
    <x v="2"/>
    <x v="1"/>
    <x v="0"/>
    <x v="1"/>
    <x v="1"/>
    <x v="18"/>
    <n v="3"/>
    <x v="18"/>
    <x v="1"/>
  </r>
  <r>
    <x v="2"/>
    <x v="1"/>
    <x v="0"/>
    <x v="1"/>
    <x v="1"/>
    <x v="19"/>
    <n v="2"/>
    <x v="19"/>
    <x v="1"/>
  </r>
  <r>
    <x v="2"/>
    <x v="1"/>
    <x v="0"/>
    <x v="1"/>
    <x v="1"/>
    <x v="20"/>
    <n v="2"/>
    <x v="20"/>
    <x v="1"/>
  </r>
  <r>
    <x v="2"/>
    <x v="1"/>
    <x v="0"/>
    <x v="1"/>
    <x v="1"/>
    <x v="21"/>
    <n v="1"/>
    <x v="21"/>
    <x v="1"/>
  </r>
  <r>
    <x v="2"/>
    <x v="1"/>
    <x v="0"/>
    <x v="1"/>
    <x v="1"/>
    <x v="22"/>
    <n v="1"/>
    <x v="22"/>
    <x v="0"/>
  </r>
  <r>
    <x v="2"/>
    <x v="1"/>
    <x v="0"/>
    <x v="1"/>
    <x v="1"/>
    <x v="23"/>
    <n v="0"/>
    <x v="23"/>
    <x v="0"/>
  </r>
  <r>
    <x v="2"/>
    <x v="1"/>
    <x v="0"/>
    <x v="1"/>
    <x v="2"/>
    <x v="24"/>
    <n v="2"/>
    <x v="24"/>
    <x v="0"/>
  </r>
  <r>
    <x v="2"/>
    <x v="1"/>
    <x v="0"/>
    <x v="1"/>
    <x v="2"/>
    <x v="25"/>
    <n v="1"/>
    <x v="25"/>
    <x v="0"/>
  </r>
  <r>
    <x v="2"/>
    <x v="1"/>
    <x v="0"/>
    <x v="1"/>
    <x v="2"/>
    <x v="26"/>
    <n v="2"/>
    <x v="26"/>
    <x v="0"/>
  </r>
  <r>
    <x v="2"/>
    <x v="1"/>
    <x v="0"/>
    <x v="1"/>
    <x v="2"/>
    <x v="27"/>
    <n v="0"/>
    <x v="27"/>
    <x v="0"/>
  </r>
  <r>
    <x v="2"/>
    <x v="1"/>
    <x v="0"/>
    <x v="1"/>
    <x v="2"/>
    <x v="28"/>
    <n v="0"/>
    <x v="28"/>
    <x v="0"/>
  </r>
  <r>
    <x v="2"/>
    <x v="1"/>
    <x v="0"/>
    <x v="1"/>
    <x v="2"/>
    <x v="29"/>
    <n v="1"/>
    <x v="29"/>
    <x v="0"/>
  </r>
  <r>
    <x v="2"/>
    <x v="1"/>
    <x v="0"/>
    <x v="1"/>
    <x v="2"/>
    <x v="30"/>
    <n v="0"/>
    <x v="30"/>
    <x v="1"/>
  </r>
  <r>
    <x v="2"/>
    <x v="1"/>
    <x v="0"/>
    <x v="1"/>
    <x v="2"/>
    <x v="31"/>
    <n v="2"/>
    <x v="31"/>
    <x v="1"/>
  </r>
  <r>
    <x v="2"/>
    <x v="1"/>
    <x v="0"/>
    <x v="1"/>
    <x v="2"/>
    <x v="32"/>
    <n v="5"/>
    <x v="32"/>
    <x v="1"/>
  </r>
  <r>
    <x v="2"/>
    <x v="1"/>
    <x v="0"/>
    <x v="1"/>
    <x v="2"/>
    <x v="33"/>
    <n v="3"/>
    <x v="33"/>
    <x v="1"/>
  </r>
  <r>
    <x v="2"/>
    <x v="1"/>
    <x v="0"/>
    <x v="1"/>
    <x v="2"/>
    <x v="34"/>
    <n v="2"/>
    <x v="34"/>
    <x v="0"/>
  </r>
  <r>
    <x v="2"/>
    <x v="1"/>
    <x v="0"/>
    <x v="1"/>
    <x v="2"/>
    <x v="35"/>
    <n v="4"/>
    <x v="35"/>
    <x v="0"/>
  </r>
  <r>
    <x v="2"/>
    <x v="1"/>
    <x v="0"/>
    <x v="1"/>
    <x v="2"/>
    <x v="36"/>
    <n v="3"/>
    <x v="36"/>
    <x v="0"/>
  </r>
  <r>
    <x v="2"/>
    <x v="1"/>
    <x v="0"/>
    <x v="1"/>
    <x v="2"/>
    <x v="37"/>
    <n v="2"/>
    <x v="37"/>
    <x v="0"/>
  </r>
  <r>
    <x v="3"/>
    <x v="0"/>
    <x v="0"/>
    <x v="0"/>
    <x v="0"/>
    <x v="0"/>
    <n v="0"/>
    <x v="0"/>
    <x v="0"/>
  </r>
  <r>
    <x v="3"/>
    <x v="0"/>
    <x v="0"/>
    <x v="0"/>
    <x v="0"/>
    <x v="1"/>
    <n v="0"/>
    <x v="1"/>
    <x v="0"/>
  </r>
  <r>
    <x v="3"/>
    <x v="0"/>
    <x v="0"/>
    <x v="0"/>
    <x v="0"/>
    <x v="2"/>
    <n v="0"/>
    <x v="2"/>
    <x v="0"/>
  </r>
  <r>
    <x v="3"/>
    <x v="0"/>
    <x v="0"/>
    <x v="0"/>
    <x v="0"/>
    <x v="3"/>
    <n v="0"/>
    <x v="3"/>
    <x v="0"/>
  </r>
  <r>
    <x v="3"/>
    <x v="0"/>
    <x v="0"/>
    <x v="0"/>
    <x v="0"/>
    <x v="4"/>
    <n v="0"/>
    <x v="4"/>
    <x v="0"/>
  </r>
  <r>
    <x v="3"/>
    <x v="0"/>
    <x v="0"/>
    <x v="0"/>
    <x v="0"/>
    <x v="5"/>
    <n v="1"/>
    <x v="5"/>
    <x v="1"/>
  </r>
  <r>
    <x v="3"/>
    <x v="0"/>
    <x v="0"/>
    <x v="0"/>
    <x v="0"/>
    <x v="6"/>
    <n v="0"/>
    <x v="6"/>
    <x v="1"/>
  </r>
  <r>
    <x v="3"/>
    <x v="0"/>
    <x v="0"/>
    <x v="0"/>
    <x v="0"/>
    <x v="7"/>
    <n v="0"/>
    <x v="7"/>
    <x v="1"/>
  </r>
  <r>
    <x v="3"/>
    <x v="0"/>
    <x v="0"/>
    <x v="0"/>
    <x v="0"/>
    <x v="8"/>
    <n v="0"/>
    <x v="8"/>
    <x v="1"/>
  </r>
  <r>
    <x v="3"/>
    <x v="0"/>
    <x v="0"/>
    <x v="0"/>
    <x v="0"/>
    <x v="9"/>
    <n v="0"/>
    <x v="9"/>
    <x v="0"/>
  </r>
  <r>
    <x v="3"/>
    <x v="0"/>
    <x v="0"/>
    <x v="0"/>
    <x v="0"/>
    <x v="10"/>
    <n v="0"/>
    <x v="10"/>
    <x v="0"/>
  </r>
  <r>
    <x v="3"/>
    <x v="0"/>
    <x v="0"/>
    <x v="0"/>
    <x v="0"/>
    <x v="11"/>
    <n v="0"/>
    <x v="11"/>
    <x v="0"/>
  </r>
  <r>
    <x v="3"/>
    <x v="0"/>
    <x v="0"/>
    <x v="0"/>
    <x v="1"/>
    <x v="12"/>
    <n v="0"/>
    <x v="12"/>
    <x v="0"/>
  </r>
  <r>
    <x v="3"/>
    <x v="0"/>
    <x v="0"/>
    <x v="0"/>
    <x v="1"/>
    <x v="13"/>
    <n v="0"/>
    <x v="13"/>
    <x v="0"/>
  </r>
  <r>
    <x v="3"/>
    <x v="0"/>
    <x v="0"/>
    <x v="0"/>
    <x v="1"/>
    <x v="14"/>
    <n v="1"/>
    <x v="14"/>
    <x v="0"/>
  </r>
  <r>
    <x v="3"/>
    <x v="0"/>
    <x v="0"/>
    <x v="0"/>
    <x v="1"/>
    <x v="15"/>
    <n v="1"/>
    <x v="15"/>
    <x v="0"/>
  </r>
  <r>
    <x v="3"/>
    <x v="0"/>
    <x v="0"/>
    <x v="0"/>
    <x v="1"/>
    <x v="16"/>
    <n v="0"/>
    <x v="16"/>
    <x v="0"/>
  </r>
  <r>
    <x v="3"/>
    <x v="0"/>
    <x v="0"/>
    <x v="0"/>
    <x v="1"/>
    <x v="17"/>
    <n v="0"/>
    <x v="17"/>
    <x v="0"/>
  </r>
  <r>
    <x v="3"/>
    <x v="0"/>
    <x v="0"/>
    <x v="0"/>
    <x v="1"/>
    <x v="18"/>
    <n v="0"/>
    <x v="18"/>
    <x v="1"/>
  </r>
  <r>
    <x v="3"/>
    <x v="0"/>
    <x v="0"/>
    <x v="0"/>
    <x v="1"/>
    <x v="19"/>
    <n v="0"/>
    <x v="19"/>
    <x v="1"/>
  </r>
  <r>
    <x v="3"/>
    <x v="0"/>
    <x v="0"/>
    <x v="0"/>
    <x v="1"/>
    <x v="20"/>
    <n v="0"/>
    <x v="20"/>
    <x v="1"/>
  </r>
  <r>
    <x v="3"/>
    <x v="0"/>
    <x v="0"/>
    <x v="0"/>
    <x v="1"/>
    <x v="21"/>
    <n v="0"/>
    <x v="21"/>
    <x v="1"/>
  </r>
  <r>
    <x v="3"/>
    <x v="0"/>
    <x v="0"/>
    <x v="0"/>
    <x v="1"/>
    <x v="22"/>
    <n v="0"/>
    <x v="22"/>
    <x v="0"/>
  </r>
  <r>
    <x v="3"/>
    <x v="0"/>
    <x v="0"/>
    <x v="0"/>
    <x v="1"/>
    <x v="23"/>
    <n v="0"/>
    <x v="23"/>
    <x v="0"/>
  </r>
  <r>
    <x v="3"/>
    <x v="0"/>
    <x v="0"/>
    <x v="0"/>
    <x v="2"/>
    <x v="24"/>
    <n v="0"/>
    <x v="24"/>
    <x v="0"/>
  </r>
  <r>
    <x v="3"/>
    <x v="0"/>
    <x v="0"/>
    <x v="0"/>
    <x v="2"/>
    <x v="25"/>
    <n v="0"/>
    <x v="25"/>
    <x v="0"/>
  </r>
  <r>
    <x v="3"/>
    <x v="0"/>
    <x v="0"/>
    <x v="0"/>
    <x v="2"/>
    <x v="26"/>
    <n v="0"/>
    <x v="26"/>
    <x v="0"/>
  </r>
  <r>
    <x v="3"/>
    <x v="0"/>
    <x v="0"/>
    <x v="0"/>
    <x v="2"/>
    <x v="27"/>
    <n v="1"/>
    <x v="27"/>
    <x v="0"/>
  </r>
  <r>
    <x v="3"/>
    <x v="0"/>
    <x v="0"/>
    <x v="0"/>
    <x v="2"/>
    <x v="28"/>
    <n v="0"/>
    <x v="28"/>
    <x v="0"/>
  </r>
  <r>
    <x v="3"/>
    <x v="0"/>
    <x v="0"/>
    <x v="0"/>
    <x v="2"/>
    <x v="29"/>
    <n v="0"/>
    <x v="29"/>
    <x v="0"/>
  </r>
  <r>
    <x v="3"/>
    <x v="0"/>
    <x v="0"/>
    <x v="0"/>
    <x v="2"/>
    <x v="30"/>
    <n v="1"/>
    <x v="30"/>
    <x v="1"/>
  </r>
  <r>
    <x v="3"/>
    <x v="0"/>
    <x v="0"/>
    <x v="0"/>
    <x v="2"/>
    <x v="31"/>
    <n v="0"/>
    <x v="31"/>
    <x v="1"/>
  </r>
  <r>
    <x v="3"/>
    <x v="0"/>
    <x v="0"/>
    <x v="0"/>
    <x v="2"/>
    <x v="32"/>
    <n v="0"/>
    <x v="32"/>
    <x v="1"/>
  </r>
  <r>
    <x v="3"/>
    <x v="0"/>
    <x v="0"/>
    <x v="0"/>
    <x v="2"/>
    <x v="33"/>
    <n v="0"/>
    <x v="33"/>
    <x v="1"/>
  </r>
  <r>
    <x v="3"/>
    <x v="0"/>
    <x v="0"/>
    <x v="0"/>
    <x v="2"/>
    <x v="34"/>
    <n v="0"/>
    <x v="34"/>
    <x v="0"/>
  </r>
  <r>
    <x v="3"/>
    <x v="0"/>
    <x v="0"/>
    <x v="0"/>
    <x v="2"/>
    <x v="35"/>
    <n v="1"/>
    <x v="35"/>
    <x v="0"/>
  </r>
  <r>
    <x v="3"/>
    <x v="0"/>
    <x v="0"/>
    <x v="0"/>
    <x v="2"/>
    <x v="36"/>
    <n v="0"/>
    <x v="36"/>
    <x v="0"/>
  </r>
  <r>
    <x v="3"/>
    <x v="0"/>
    <x v="0"/>
    <x v="0"/>
    <x v="2"/>
    <x v="37"/>
    <n v="0"/>
    <x v="37"/>
    <x v="0"/>
  </r>
  <r>
    <x v="3"/>
    <x v="0"/>
    <x v="0"/>
    <x v="1"/>
    <x v="0"/>
    <x v="0"/>
    <n v="0"/>
    <x v="0"/>
    <x v="0"/>
  </r>
  <r>
    <x v="3"/>
    <x v="0"/>
    <x v="0"/>
    <x v="1"/>
    <x v="0"/>
    <x v="1"/>
    <n v="0"/>
    <x v="1"/>
    <x v="0"/>
  </r>
  <r>
    <x v="3"/>
    <x v="0"/>
    <x v="0"/>
    <x v="1"/>
    <x v="0"/>
    <x v="2"/>
    <n v="0"/>
    <x v="2"/>
    <x v="0"/>
  </r>
  <r>
    <x v="3"/>
    <x v="0"/>
    <x v="0"/>
    <x v="1"/>
    <x v="0"/>
    <x v="3"/>
    <n v="1"/>
    <x v="3"/>
    <x v="0"/>
  </r>
  <r>
    <x v="3"/>
    <x v="0"/>
    <x v="0"/>
    <x v="1"/>
    <x v="0"/>
    <x v="4"/>
    <n v="2"/>
    <x v="4"/>
    <x v="0"/>
  </r>
  <r>
    <x v="3"/>
    <x v="0"/>
    <x v="0"/>
    <x v="1"/>
    <x v="0"/>
    <x v="5"/>
    <n v="0"/>
    <x v="5"/>
    <x v="1"/>
  </r>
  <r>
    <x v="3"/>
    <x v="0"/>
    <x v="0"/>
    <x v="1"/>
    <x v="0"/>
    <x v="6"/>
    <n v="1"/>
    <x v="6"/>
    <x v="1"/>
  </r>
  <r>
    <x v="3"/>
    <x v="0"/>
    <x v="0"/>
    <x v="1"/>
    <x v="0"/>
    <x v="7"/>
    <n v="1"/>
    <x v="7"/>
    <x v="1"/>
  </r>
  <r>
    <x v="3"/>
    <x v="0"/>
    <x v="0"/>
    <x v="1"/>
    <x v="0"/>
    <x v="8"/>
    <n v="1"/>
    <x v="8"/>
    <x v="1"/>
  </r>
  <r>
    <x v="3"/>
    <x v="0"/>
    <x v="0"/>
    <x v="1"/>
    <x v="0"/>
    <x v="9"/>
    <n v="1"/>
    <x v="9"/>
    <x v="0"/>
  </r>
  <r>
    <x v="3"/>
    <x v="0"/>
    <x v="0"/>
    <x v="1"/>
    <x v="0"/>
    <x v="10"/>
    <n v="4"/>
    <x v="10"/>
    <x v="0"/>
  </r>
  <r>
    <x v="3"/>
    <x v="0"/>
    <x v="0"/>
    <x v="1"/>
    <x v="0"/>
    <x v="11"/>
    <n v="0"/>
    <x v="11"/>
    <x v="0"/>
  </r>
  <r>
    <x v="3"/>
    <x v="0"/>
    <x v="0"/>
    <x v="1"/>
    <x v="1"/>
    <x v="12"/>
    <n v="5"/>
    <x v="12"/>
    <x v="0"/>
  </r>
  <r>
    <x v="3"/>
    <x v="0"/>
    <x v="0"/>
    <x v="1"/>
    <x v="1"/>
    <x v="13"/>
    <n v="6"/>
    <x v="13"/>
    <x v="0"/>
  </r>
  <r>
    <x v="3"/>
    <x v="0"/>
    <x v="0"/>
    <x v="1"/>
    <x v="1"/>
    <x v="14"/>
    <n v="2"/>
    <x v="14"/>
    <x v="0"/>
  </r>
  <r>
    <x v="3"/>
    <x v="0"/>
    <x v="0"/>
    <x v="1"/>
    <x v="1"/>
    <x v="15"/>
    <n v="5"/>
    <x v="15"/>
    <x v="0"/>
  </r>
  <r>
    <x v="3"/>
    <x v="0"/>
    <x v="0"/>
    <x v="1"/>
    <x v="1"/>
    <x v="16"/>
    <n v="5"/>
    <x v="16"/>
    <x v="0"/>
  </r>
  <r>
    <x v="3"/>
    <x v="0"/>
    <x v="0"/>
    <x v="1"/>
    <x v="1"/>
    <x v="17"/>
    <n v="2"/>
    <x v="17"/>
    <x v="0"/>
  </r>
  <r>
    <x v="3"/>
    <x v="0"/>
    <x v="0"/>
    <x v="1"/>
    <x v="1"/>
    <x v="18"/>
    <n v="5"/>
    <x v="18"/>
    <x v="1"/>
  </r>
  <r>
    <x v="3"/>
    <x v="0"/>
    <x v="0"/>
    <x v="1"/>
    <x v="1"/>
    <x v="19"/>
    <n v="5"/>
    <x v="19"/>
    <x v="1"/>
  </r>
  <r>
    <x v="3"/>
    <x v="0"/>
    <x v="0"/>
    <x v="1"/>
    <x v="1"/>
    <x v="20"/>
    <n v="6"/>
    <x v="20"/>
    <x v="1"/>
  </r>
  <r>
    <x v="3"/>
    <x v="0"/>
    <x v="0"/>
    <x v="1"/>
    <x v="1"/>
    <x v="21"/>
    <n v="6"/>
    <x v="21"/>
    <x v="1"/>
  </r>
  <r>
    <x v="3"/>
    <x v="0"/>
    <x v="0"/>
    <x v="1"/>
    <x v="1"/>
    <x v="22"/>
    <n v="7"/>
    <x v="22"/>
    <x v="0"/>
  </r>
  <r>
    <x v="3"/>
    <x v="0"/>
    <x v="0"/>
    <x v="1"/>
    <x v="1"/>
    <x v="23"/>
    <n v="3"/>
    <x v="23"/>
    <x v="0"/>
  </r>
  <r>
    <x v="3"/>
    <x v="0"/>
    <x v="0"/>
    <x v="1"/>
    <x v="2"/>
    <x v="24"/>
    <n v="4"/>
    <x v="24"/>
    <x v="0"/>
  </r>
  <r>
    <x v="3"/>
    <x v="0"/>
    <x v="0"/>
    <x v="1"/>
    <x v="2"/>
    <x v="25"/>
    <n v="10"/>
    <x v="25"/>
    <x v="0"/>
  </r>
  <r>
    <x v="3"/>
    <x v="0"/>
    <x v="0"/>
    <x v="1"/>
    <x v="2"/>
    <x v="26"/>
    <n v="5"/>
    <x v="26"/>
    <x v="0"/>
  </r>
  <r>
    <x v="3"/>
    <x v="0"/>
    <x v="0"/>
    <x v="1"/>
    <x v="2"/>
    <x v="27"/>
    <n v="8"/>
    <x v="27"/>
    <x v="0"/>
  </r>
  <r>
    <x v="3"/>
    <x v="0"/>
    <x v="0"/>
    <x v="1"/>
    <x v="2"/>
    <x v="28"/>
    <n v="7"/>
    <x v="28"/>
    <x v="0"/>
  </r>
  <r>
    <x v="3"/>
    <x v="0"/>
    <x v="0"/>
    <x v="1"/>
    <x v="2"/>
    <x v="29"/>
    <n v="4"/>
    <x v="29"/>
    <x v="0"/>
  </r>
  <r>
    <x v="3"/>
    <x v="0"/>
    <x v="0"/>
    <x v="1"/>
    <x v="2"/>
    <x v="30"/>
    <n v="11"/>
    <x v="30"/>
    <x v="1"/>
  </r>
  <r>
    <x v="3"/>
    <x v="0"/>
    <x v="0"/>
    <x v="1"/>
    <x v="2"/>
    <x v="31"/>
    <n v="4"/>
    <x v="31"/>
    <x v="1"/>
  </r>
  <r>
    <x v="3"/>
    <x v="0"/>
    <x v="0"/>
    <x v="1"/>
    <x v="2"/>
    <x v="32"/>
    <n v="7"/>
    <x v="32"/>
    <x v="1"/>
  </r>
  <r>
    <x v="3"/>
    <x v="0"/>
    <x v="0"/>
    <x v="1"/>
    <x v="2"/>
    <x v="33"/>
    <n v="4"/>
    <x v="33"/>
    <x v="1"/>
  </r>
  <r>
    <x v="3"/>
    <x v="0"/>
    <x v="0"/>
    <x v="1"/>
    <x v="2"/>
    <x v="34"/>
    <n v="6"/>
    <x v="34"/>
    <x v="0"/>
  </r>
  <r>
    <x v="3"/>
    <x v="0"/>
    <x v="0"/>
    <x v="1"/>
    <x v="2"/>
    <x v="35"/>
    <n v="3"/>
    <x v="35"/>
    <x v="0"/>
  </r>
  <r>
    <x v="3"/>
    <x v="0"/>
    <x v="0"/>
    <x v="1"/>
    <x v="2"/>
    <x v="36"/>
    <n v="1"/>
    <x v="36"/>
    <x v="0"/>
  </r>
  <r>
    <x v="3"/>
    <x v="0"/>
    <x v="0"/>
    <x v="1"/>
    <x v="2"/>
    <x v="37"/>
    <n v="1"/>
    <x v="37"/>
    <x v="0"/>
  </r>
  <r>
    <x v="3"/>
    <x v="1"/>
    <x v="0"/>
    <x v="0"/>
    <x v="0"/>
    <x v="0"/>
    <n v="0"/>
    <x v="0"/>
    <x v="0"/>
  </r>
  <r>
    <x v="3"/>
    <x v="1"/>
    <x v="0"/>
    <x v="0"/>
    <x v="0"/>
    <x v="1"/>
    <n v="0"/>
    <x v="1"/>
    <x v="0"/>
  </r>
  <r>
    <x v="3"/>
    <x v="1"/>
    <x v="0"/>
    <x v="0"/>
    <x v="0"/>
    <x v="2"/>
    <n v="1"/>
    <x v="2"/>
    <x v="0"/>
  </r>
  <r>
    <x v="3"/>
    <x v="1"/>
    <x v="0"/>
    <x v="0"/>
    <x v="0"/>
    <x v="3"/>
    <n v="0"/>
    <x v="3"/>
    <x v="0"/>
  </r>
  <r>
    <x v="3"/>
    <x v="1"/>
    <x v="0"/>
    <x v="0"/>
    <x v="0"/>
    <x v="4"/>
    <n v="0"/>
    <x v="4"/>
    <x v="0"/>
  </r>
  <r>
    <x v="3"/>
    <x v="1"/>
    <x v="0"/>
    <x v="0"/>
    <x v="0"/>
    <x v="5"/>
    <n v="1"/>
    <x v="5"/>
    <x v="1"/>
  </r>
  <r>
    <x v="3"/>
    <x v="1"/>
    <x v="0"/>
    <x v="0"/>
    <x v="0"/>
    <x v="6"/>
    <n v="0"/>
    <x v="6"/>
    <x v="1"/>
  </r>
  <r>
    <x v="3"/>
    <x v="1"/>
    <x v="0"/>
    <x v="0"/>
    <x v="0"/>
    <x v="7"/>
    <n v="0"/>
    <x v="7"/>
    <x v="1"/>
  </r>
  <r>
    <x v="3"/>
    <x v="1"/>
    <x v="0"/>
    <x v="0"/>
    <x v="0"/>
    <x v="8"/>
    <n v="0"/>
    <x v="8"/>
    <x v="1"/>
  </r>
  <r>
    <x v="3"/>
    <x v="1"/>
    <x v="0"/>
    <x v="0"/>
    <x v="0"/>
    <x v="9"/>
    <n v="1"/>
    <x v="9"/>
    <x v="0"/>
  </r>
  <r>
    <x v="3"/>
    <x v="1"/>
    <x v="0"/>
    <x v="0"/>
    <x v="0"/>
    <x v="10"/>
    <n v="0"/>
    <x v="10"/>
    <x v="0"/>
  </r>
  <r>
    <x v="3"/>
    <x v="1"/>
    <x v="0"/>
    <x v="0"/>
    <x v="0"/>
    <x v="11"/>
    <n v="0"/>
    <x v="11"/>
    <x v="0"/>
  </r>
  <r>
    <x v="3"/>
    <x v="1"/>
    <x v="0"/>
    <x v="0"/>
    <x v="1"/>
    <x v="12"/>
    <n v="0"/>
    <x v="12"/>
    <x v="0"/>
  </r>
  <r>
    <x v="3"/>
    <x v="1"/>
    <x v="0"/>
    <x v="0"/>
    <x v="1"/>
    <x v="13"/>
    <n v="0"/>
    <x v="13"/>
    <x v="0"/>
  </r>
  <r>
    <x v="3"/>
    <x v="1"/>
    <x v="0"/>
    <x v="0"/>
    <x v="1"/>
    <x v="14"/>
    <n v="0"/>
    <x v="14"/>
    <x v="0"/>
  </r>
  <r>
    <x v="3"/>
    <x v="1"/>
    <x v="0"/>
    <x v="0"/>
    <x v="1"/>
    <x v="15"/>
    <n v="0"/>
    <x v="15"/>
    <x v="0"/>
  </r>
  <r>
    <x v="3"/>
    <x v="1"/>
    <x v="0"/>
    <x v="0"/>
    <x v="1"/>
    <x v="16"/>
    <n v="1"/>
    <x v="16"/>
    <x v="0"/>
  </r>
  <r>
    <x v="3"/>
    <x v="1"/>
    <x v="0"/>
    <x v="0"/>
    <x v="1"/>
    <x v="17"/>
    <n v="1"/>
    <x v="17"/>
    <x v="0"/>
  </r>
  <r>
    <x v="3"/>
    <x v="1"/>
    <x v="0"/>
    <x v="0"/>
    <x v="1"/>
    <x v="18"/>
    <n v="0"/>
    <x v="18"/>
    <x v="1"/>
  </r>
  <r>
    <x v="3"/>
    <x v="1"/>
    <x v="0"/>
    <x v="0"/>
    <x v="1"/>
    <x v="19"/>
    <n v="0"/>
    <x v="19"/>
    <x v="1"/>
  </r>
  <r>
    <x v="3"/>
    <x v="1"/>
    <x v="0"/>
    <x v="0"/>
    <x v="1"/>
    <x v="20"/>
    <n v="0"/>
    <x v="20"/>
    <x v="1"/>
  </r>
  <r>
    <x v="3"/>
    <x v="1"/>
    <x v="0"/>
    <x v="0"/>
    <x v="1"/>
    <x v="21"/>
    <n v="0"/>
    <x v="21"/>
    <x v="1"/>
  </r>
  <r>
    <x v="3"/>
    <x v="1"/>
    <x v="0"/>
    <x v="0"/>
    <x v="1"/>
    <x v="22"/>
    <n v="0"/>
    <x v="22"/>
    <x v="0"/>
  </r>
  <r>
    <x v="3"/>
    <x v="1"/>
    <x v="0"/>
    <x v="0"/>
    <x v="1"/>
    <x v="23"/>
    <n v="0"/>
    <x v="23"/>
    <x v="0"/>
  </r>
  <r>
    <x v="3"/>
    <x v="1"/>
    <x v="0"/>
    <x v="0"/>
    <x v="2"/>
    <x v="24"/>
    <n v="0"/>
    <x v="24"/>
    <x v="0"/>
  </r>
  <r>
    <x v="3"/>
    <x v="1"/>
    <x v="0"/>
    <x v="0"/>
    <x v="2"/>
    <x v="25"/>
    <n v="0"/>
    <x v="25"/>
    <x v="0"/>
  </r>
  <r>
    <x v="3"/>
    <x v="1"/>
    <x v="0"/>
    <x v="0"/>
    <x v="2"/>
    <x v="26"/>
    <n v="0"/>
    <x v="26"/>
    <x v="0"/>
  </r>
  <r>
    <x v="3"/>
    <x v="1"/>
    <x v="0"/>
    <x v="0"/>
    <x v="2"/>
    <x v="27"/>
    <n v="3"/>
    <x v="27"/>
    <x v="0"/>
  </r>
  <r>
    <x v="3"/>
    <x v="1"/>
    <x v="0"/>
    <x v="0"/>
    <x v="2"/>
    <x v="28"/>
    <n v="0"/>
    <x v="28"/>
    <x v="0"/>
  </r>
  <r>
    <x v="3"/>
    <x v="1"/>
    <x v="0"/>
    <x v="0"/>
    <x v="2"/>
    <x v="29"/>
    <n v="0"/>
    <x v="29"/>
    <x v="0"/>
  </r>
  <r>
    <x v="3"/>
    <x v="1"/>
    <x v="0"/>
    <x v="0"/>
    <x v="2"/>
    <x v="30"/>
    <n v="0"/>
    <x v="30"/>
    <x v="1"/>
  </r>
  <r>
    <x v="3"/>
    <x v="1"/>
    <x v="0"/>
    <x v="0"/>
    <x v="2"/>
    <x v="31"/>
    <n v="0"/>
    <x v="31"/>
    <x v="1"/>
  </r>
  <r>
    <x v="3"/>
    <x v="1"/>
    <x v="0"/>
    <x v="0"/>
    <x v="2"/>
    <x v="32"/>
    <n v="2"/>
    <x v="32"/>
    <x v="1"/>
  </r>
  <r>
    <x v="3"/>
    <x v="1"/>
    <x v="0"/>
    <x v="0"/>
    <x v="2"/>
    <x v="33"/>
    <n v="1"/>
    <x v="33"/>
    <x v="1"/>
  </r>
  <r>
    <x v="3"/>
    <x v="1"/>
    <x v="0"/>
    <x v="0"/>
    <x v="2"/>
    <x v="34"/>
    <n v="0"/>
    <x v="34"/>
    <x v="0"/>
  </r>
  <r>
    <x v="3"/>
    <x v="1"/>
    <x v="0"/>
    <x v="0"/>
    <x v="2"/>
    <x v="35"/>
    <n v="1"/>
    <x v="35"/>
    <x v="0"/>
  </r>
  <r>
    <x v="3"/>
    <x v="1"/>
    <x v="0"/>
    <x v="0"/>
    <x v="2"/>
    <x v="36"/>
    <n v="0"/>
    <x v="36"/>
    <x v="0"/>
  </r>
  <r>
    <x v="3"/>
    <x v="1"/>
    <x v="0"/>
    <x v="0"/>
    <x v="2"/>
    <x v="37"/>
    <n v="0"/>
    <x v="37"/>
    <x v="0"/>
  </r>
  <r>
    <x v="3"/>
    <x v="1"/>
    <x v="0"/>
    <x v="1"/>
    <x v="0"/>
    <x v="0"/>
    <n v="1"/>
    <x v="0"/>
    <x v="0"/>
  </r>
  <r>
    <x v="3"/>
    <x v="1"/>
    <x v="0"/>
    <x v="1"/>
    <x v="0"/>
    <x v="1"/>
    <n v="0"/>
    <x v="1"/>
    <x v="0"/>
  </r>
  <r>
    <x v="3"/>
    <x v="1"/>
    <x v="0"/>
    <x v="1"/>
    <x v="0"/>
    <x v="2"/>
    <n v="4"/>
    <x v="2"/>
    <x v="0"/>
  </r>
  <r>
    <x v="3"/>
    <x v="1"/>
    <x v="0"/>
    <x v="1"/>
    <x v="0"/>
    <x v="3"/>
    <n v="5"/>
    <x v="3"/>
    <x v="0"/>
  </r>
  <r>
    <x v="3"/>
    <x v="1"/>
    <x v="0"/>
    <x v="1"/>
    <x v="0"/>
    <x v="4"/>
    <n v="7"/>
    <x v="4"/>
    <x v="0"/>
  </r>
  <r>
    <x v="3"/>
    <x v="1"/>
    <x v="0"/>
    <x v="1"/>
    <x v="0"/>
    <x v="5"/>
    <n v="8"/>
    <x v="5"/>
    <x v="1"/>
  </r>
  <r>
    <x v="3"/>
    <x v="1"/>
    <x v="0"/>
    <x v="1"/>
    <x v="0"/>
    <x v="6"/>
    <n v="10"/>
    <x v="6"/>
    <x v="1"/>
  </r>
  <r>
    <x v="3"/>
    <x v="1"/>
    <x v="0"/>
    <x v="1"/>
    <x v="0"/>
    <x v="7"/>
    <n v="7"/>
    <x v="7"/>
    <x v="1"/>
  </r>
  <r>
    <x v="3"/>
    <x v="1"/>
    <x v="0"/>
    <x v="1"/>
    <x v="0"/>
    <x v="8"/>
    <n v="4"/>
    <x v="8"/>
    <x v="1"/>
  </r>
  <r>
    <x v="3"/>
    <x v="1"/>
    <x v="0"/>
    <x v="1"/>
    <x v="0"/>
    <x v="9"/>
    <n v="7"/>
    <x v="9"/>
    <x v="0"/>
  </r>
  <r>
    <x v="3"/>
    <x v="1"/>
    <x v="0"/>
    <x v="1"/>
    <x v="0"/>
    <x v="10"/>
    <n v="4"/>
    <x v="10"/>
    <x v="0"/>
  </r>
  <r>
    <x v="3"/>
    <x v="1"/>
    <x v="0"/>
    <x v="1"/>
    <x v="0"/>
    <x v="11"/>
    <n v="4"/>
    <x v="11"/>
    <x v="0"/>
  </r>
  <r>
    <x v="3"/>
    <x v="1"/>
    <x v="0"/>
    <x v="1"/>
    <x v="1"/>
    <x v="12"/>
    <n v="5"/>
    <x v="12"/>
    <x v="0"/>
  </r>
  <r>
    <x v="3"/>
    <x v="1"/>
    <x v="0"/>
    <x v="1"/>
    <x v="1"/>
    <x v="13"/>
    <n v="7"/>
    <x v="13"/>
    <x v="0"/>
  </r>
  <r>
    <x v="3"/>
    <x v="1"/>
    <x v="0"/>
    <x v="1"/>
    <x v="1"/>
    <x v="14"/>
    <n v="0"/>
    <x v="14"/>
    <x v="0"/>
  </r>
  <r>
    <x v="3"/>
    <x v="1"/>
    <x v="0"/>
    <x v="1"/>
    <x v="1"/>
    <x v="15"/>
    <n v="5"/>
    <x v="15"/>
    <x v="0"/>
  </r>
  <r>
    <x v="3"/>
    <x v="1"/>
    <x v="0"/>
    <x v="1"/>
    <x v="1"/>
    <x v="16"/>
    <n v="2"/>
    <x v="16"/>
    <x v="0"/>
  </r>
  <r>
    <x v="3"/>
    <x v="1"/>
    <x v="0"/>
    <x v="1"/>
    <x v="1"/>
    <x v="17"/>
    <n v="6"/>
    <x v="17"/>
    <x v="0"/>
  </r>
  <r>
    <x v="3"/>
    <x v="1"/>
    <x v="0"/>
    <x v="1"/>
    <x v="1"/>
    <x v="18"/>
    <n v="3"/>
    <x v="18"/>
    <x v="1"/>
  </r>
  <r>
    <x v="3"/>
    <x v="1"/>
    <x v="0"/>
    <x v="1"/>
    <x v="1"/>
    <x v="19"/>
    <n v="6"/>
    <x v="19"/>
    <x v="1"/>
  </r>
  <r>
    <x v="3"/>
    <x v="1"/>
    <x v="0"/>
    <x v="1"/>
    <x v="1"/>
    <x v="20"/>
    <n v="7"/>
    <x v="20"/>
    <x v="1"/>
  </r>
  <r>
    <x v="3"/>
    <x v="1"/>
    <x v="0"/>
    <x v="1"/>
    <x v="1"/>
    <x v="21"/>
    <n v="3"/>
    <x v="21"/>
    <x v="1"/>
  </r>
  <r>
    <x v="3"/>
    <x v="1"/>
    <x v="0"/>
    <x v="1"/>
    <x v="1"/>
    <x v="22"/>
    <n v="6"/>
    <x v="22"/>
    <x v="0"/>
  </r>
  <r>
    <x v="3"/>
    <x v="1"/>
    <x v="0"/>
    <x v="1"/>
    <x v="1"/>
    <x v="23"/>
    <n v="8"/>
    <x v="23"/>
    <x v="0"/>
  </r>
  <r>
    <x v="3"/>
    <x v="1"/>
    <x v="0"/>
    <x v="1"/>
    <x v="2"/>
    <x v="24"/>
    <n v="1"/>
    <x v="24"/>
    <x v="0"/>
  </r>
  <r>
    <x v="3"/>
    <x v="1"/>
    <x v="0"/>
    <x v="1"/>
    <x v="2"/>
    <x v="25"/>
    <n v="6"/>
    <x v="25"/>
    <x v="0"/>
  </r>
  <r>
    <x v="3"/>
    <x v="1"/>
    <x v="0"/>
    <x v="1"/>
    <x v="2"/>
    <x v="26"/>
    <n v="3"/>
    <x v="26"/>
    <x v="0"/>
  </r>
  <r>
    <x v="3"/>
    <x v="1"/>
    <x v="0"/>
    <x v="1"/>
    <x v="2"/>
    <x v="27"/>
    <n v="2"/>
    <x v="27"/>
    <x v="0"/>
  </r>
  <r>
    <x v="3"/>
    <x v="1"/>
    <x v="0"/>
    <x v="1"/>
    <x v="2"/>
    <x v="28"/>
    <n v="5"/>
    <x v="28"/>
    <x v="0"/>
  </r>
  <r>
    <x v="3"/>
    <x v="1"/>
    <x v="0"/>
    <x v="1"/>
    <x v="2"/>
    <x v="29"/>
    <n v="4"/>
    <x v="29"/>
    <x v="0"/>
  </r>
  <r>
    <x v="3"/>
    <x v="1"/>
    <x v="0"/>
    <x v="1"/>
    <x v="2"/>
    <x v="30"/>
    <n v="6"/>
    <x v="30"/>
    <x v="1"/>
  </r>
  <r>
    <x v="3"/>
    <x v="1"/>
    <x v="0"/>
    <x v="1"/>
    <x v="2"/>
    <x v="31"/>
    <n v="4"/>
    <x v="31"/>
    <x v="1"/>
  </r>
  <r>
    <x v="3"/>
    <x v="1"/>
    <x v="0"/>
    <x v="1"/>
    <x v="2"/>
    <x v="32"/>
    <n v="6"/>
    <x v="32"/>
    <x v="1"/>
  </r>
  <r>
    <x v="3"/>
    <x v="1"/>
    <x v="0"/>
    <x v="1"/>
    <x v="2"/>
    <x v="33"/>
    <n v="4"/>
    <x v="33"/>
    <x v="1"/>
  </r>
  <r>
    <x v="3"/>
    <x v="1"/>
    <x v="0"/>
    <x v="1"/>
    <x v="2"/>
    <x v="34"/>
    <n v="4"/>
    <x v="34"/>
    <x v="0"/>
  </r>
  <r>
    <x v="3"/>
    <x v="1"/>
    <x v="0"/>
    <x v="1"/>
    <x v="2"/>
    <x v="35"/>
    <n v="3"/>
    <x v="35"/>
    <x v="0"/>
  </r>
  <r>
    <x v="3"/>
    <x v="1"/>
    <x v="0"/>
    <x v="1"/>
    <x v="2"/>
    <x v="36"/>
    <n v="0"/>
    <x v="36"/>
    <x v="0"/>
  </r>
  <r>
    <x v="3"/>
    <x v="1"/>
    <x v="0"/>
    <x v="1"/>
    <x v="2"/>
    <x v="37"/>
    <n v="3"/>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E54" firstHeaderRow="1" firstDataRow="4" firstDataCol="1"/>
  <pivotFields count="9">
    <pivotField axis="axisCol" showAll="0">
      <items count="8">
        <item m="1" x="6"/>
        <item m="1" x="4"/>
        <item m="1" x="5"/>
        <item x="0"/>
        <item x="1"/>
        <item x="2"/>
        <item x="3"/>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9">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4" firstHeaderRow="1" firstDataRow="3" firstDataCol="1" rowPageCount="1" colPageCount="1"/>
  <pivotFields count="9">
    <pivotField axis="axisRow" showAll="0">
      <items count="8">
        <item m="1" x="6"/>
        <item m="1" x="4"/>
        <item m="1" x="5"/>
        <item x="0"/>
        <item x="1"/>
        <item x="2"/>
        <item x="3"/>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x v="4"/>
    </i>
    <i r="1">
      <x v="8"/>
    </i>
    <i r="1">
      <x v="9"/>
    </i>
    <i>
      <x v="5"/>
    </i>
    <i r="1">
      <x v="8"/>
    </i>
    <i r="1">
      <x v="9"/>
    </i>
    <i>
      <x v="6"/>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9" totalsRowShown="0">
  <autoFilter ref="A1:I6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18" activePane="bottomLeft" state="frozen"/>
      <selection pane="bottomLeft" activeCell="B5" sqref="B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89</v>
      </c>
      <c r="D55" t="s">
        <v>27</v>
      </c>
      <c r="E55" s="1"/>
    </row>
    <row r="56" spans="2:5" x14ac:dyDescent="0.25">
      <c r="B56" t="s">
        <v>21</v>
      </c>
      <c r="C56" s="1" t="s">
        <v>90</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Moorhouse Avenue East</v>
      </c>
      <c r="D4" s="1" t="str">
        <f>Input!C42</f>
        <v>Colombo Street South</v>
      </c>
      <c r="E4" s="1" t="str">
        <f>Input!C53</f>
        <v>Moorhouse Avenue West</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f>Input!C66</f>
        <v>0</v>
      </c>
      <c r="G8" s="1">
        <f>Input!C77</f>
        <v>0</v>
      </c>
      <c r="H8" s="1">
        <f>Input!C88</f>
        <v>0</v>
      </c>
    </row>
    <row r="9" spans="2:8" x14ac:dyDescent="0.25">
      <c r="B9" s="1" t="str">
        <f>Input!C23</f>
        <v>Peds CW</v>
      </c>
      <c r="C9" s="1" t="str">
        <f>Input!C34</f>
        <v>Peds CW</v>
      </c>
      <c r="D9" s="1" t="str">
        <f>Input!C45</f>
        <v>Peds CW</v>
      </c>
      <c r="E9" s="1" t="str">
        <f>Input!C56</f>
        <v>Peds CW</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7"/>
  <sheetViews>
    <sheetView zoomScale="90" zoomScaleNormal="90" workbookViewId="0"/>
  </sheetViews>
  <sheetFormatPr defaultRowHeight="15" x14ac:dyDescent="0.25"/>
  <cols>
    <col min="1" max="1" width="13.7109375" customWidth="1"/>
    <col min="2" max="2" width="7.5703125" customWidth="1"/>
  </cols>
  <sheetData>
    <row r="1" spans="1:18" x14ac:dyDescent="0.25">
      <c r="A1" s="2" t="s">
        <v>98</v>
      </c>
    </row>
    <row r="4" spans="1:18" ht="15.75" thickBot="1" x14ac:dyDescent="0.3"/>
    <row r="5" spans="1:18" x14ac:dyDescent="0.25">
      <c r="C5" s="27" t="s">
        <v>94</v>
      </c>
      <c r="D5" s="16"/>
      <c r="E5" s="24"/>
      <c r="F5" s="16"/>
      <c r="G5" s="27" t="s">
        <v>95</v>
      </c>
      <c r="H5" s="16"/>
      <c r="I5" s="24"/>
      <c r="J5" s="16"/>
      <c r="K5" s="27" t="s">
        <v>96</v>
      </c>
      <c r="L5" s="16"/>
      <c r="M5" s="24"/>
      <c r="N5" s="16"/>
      <c r="O5" s="27" t="s">
        <v>97</v>
      </c>
      <c r="P5" s="16"/>
      <c r="Q5" s="24"/>
      <c r="R5" s="30"/>
    </row>
    <row r="6" spans="1:18" x14ac:dyDescent="0.25">
      <c r="C6" s="28" t="s">
        <v>89</v>
      </c>
      <c r="D6" s="17"/>
      <c r="E6" s="25" t="s">
        <v>90</v>
      </c>
      <c r="F6" s="17"/>
      <c r="G6" s="28" t="s">
        <v>89</v>
      </c>
      <c r="H6" s="17"/>
      <c r="I6" s="25" t="s">
        <v>90</v>
      </c>
      <c r="J6" s="17"/>
      <c r="K6" s="28" t="s">
        <v>89</v>
      </c>
      <c r="L6" s="17"/>
      <c r="M6" s="25" t="s">
        <v>90</v>
      </c>
      <c r="N6" s="17"/>
      <c r="O6" s="28" t="s">
        <v>89</v>
      </c>
      <c r="P6" s="17"/>
      <c r="Q6" s="25" t="s">
        <v>90</v>
      </c>
      <c r="R6" s="31"/>
    </row>
    <row r="7" spans="1:18"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1" t="s">
        <v>92</v>
      </c>
      <c r="O7" s="40" t="s">
        <v>91</v>
      </c>
      <c r="P7" s="41" t="s">
        <v>92</v>
      </c>
      <c r="Q7" s="42" t="s">
        <v>91</v>
      </c>
      <c r="R7" s="43" t="s">
        <v>92</v>
      </c>
    </row>
    <row r="8" spans="1:18" x14ac:dyDescent="0.25">
      <c r="A8" s="2" t="s">
        <v>43</v>
      </c>
      <c r="B8" s="7">
        <v>0.27083333333333331</v>
      </c>
      <c r="C8" s="29">
        <v>0</v>
      </c>
      <c r="D8">
        <v>0</v>
      </c>
      <c r="E8" s="26">
        <v>1</v>
      </c>
      <c r="F8">
        <v>2</v>
      </c>
      <c r="G8" s="29">
        <v>0</v>
      </c>
      <c r="H8">
        <v>2</v>
      </c>
      <c r="I8" s="26">
        <v>0</v>
      </c>
      <c r="J8">
        <v>0</v>
      </c>
      <c r="K8" s="29">
        <v>0</v>
      </c>
      <c r="L8">
        <v>1</v>
      </c>
      <c r="M8" s="26">
        <v>0</v>
      </c>
      <c r="N8">
        <v>2</v>
      </c>
      <c r="O8" s="29">
        <v>0</v>
      </c>
      <c r="P8">
        <v>0</v>
      </c>
      <c r="Q8" s="26">
        <v>0</v>
      </c>
      <c r="R8" s="32">
        <v>1</v>
      </c>
    </row>
    <row r="9" spans="1:18" x14ac:dyDescent="0.25">
      <c r="A9" s="2" t="s">
        <v>43</v>
      </c>
      <c r="B9" s="7">
        <v>0.28125</v>
      </c>
      <c r="C9" s="29">
        <v>0</v>
      </c>
      <c r="D9">
        <v>0</v>
      </c>
      <c r="E9" s="26">
        <v>1</v>
      </c>
      <c r="F9">
        <v>1</v>
      </c>
      <c r="G9" s="29">
        <v>0</v>
      </c>
      <c r="H9">
        <v>8</v>
      </c>
      <c r="I9" s="26">
        <v>0</v>
      </c>
      <c r="J9">
        <v>1</v>
      </c>
      <c r="K9" s="29">
        <v>0</v>
      </c>
      <c r="L9">
        <v>0</v>
      </c>
      <c r="M9" s="26">
        <v>0</v>
      </c>
      <c r="N9">
        <v>0</v>
      </c>
      <c r="O9" s="29">
        <v>0</v>
      </c>
      <c r="P9">
        <v>0</v>
      </c>
      <c r="Q9" s="26">
        <v>0</v>
      </c>
      <c r="R9" s="32">
        <v>0</v>
      </c>
    </row>
    <row r="10" spans="1:18" x14ac:dyDescent="0.25">
      <c r="A10" s="2" t="s">
        <v>43</v>
      </c>
      <c r="B10" s="7">
        <v>0.29166666666666669</v>
      </c>
      <c r="C10" s="29">
        <v>1</v>
      </c>
      <c r="D10">
        <v>0</v>
      </c>
      <c r="E10" s="26">
        <v>0</v>
      </c>
      <c r="F10">
        <v>0</v>
      </c>
      <c r="G10" s="29">
        <v>0</v>
      </c>
      <c r="H10">
        <v>9</v>
      </c>
      <c r="I10" s="26">
        <v>3</v>
      </c>
      <c r="J10">
        <v>4</v>
      </c>
      <c r="K10" s="29">
        <v>0</v>
      </c>
      <c r="L10">
        <v>2</v>
      </c>
      <c r="M10" s="26">
        <v>0</v>
      </c>
      <c r="N10">
        <v>2</v>
      </c>
      <c r="O10" s="29">
        <v>0</v>
      </c>
      <c r="P10">
        <v>0</v>
      </c>
      <c r="Q10" s="26">
        <v>1</v>
      </c>
      <c r="R10" s="32">
        <v>4</v>
      </c>
    </row>
    <row r="11" spans="1:18" x14ac:dyDescent="0.25">
      <c r="A11" s="2" t="s">
        <v>43</v>
      </c>
      <c r="B11" s="7">
        <v>0.30208333333333331</v>
      </c>
      <c r="C11" s="29">
        <v>0</v>
      </c>
      <c r="D11">
        <v>1</v>
      </c>
      <c r="E11" s="26">
        <v>0</v>
      </c>
      <c r="F11">
        <v>0</v>
      </c>
      <c r="G11" s="29">
        <v>0</v>
      </c>
      <c r="H11">
        <v>6</v>
      </c>
      <c r="I11" s="26">
        <v>0</v>
      </c>
      <c r="J11">
        <v>3</v>
      </c>
      <c r="K11" s="29">
        <v>0</v>
      </c>
      <c r="L11">
        <v>1</v>
      </c>
      <c r="M11" s="26">
        <v>0</v>
      </c>
      <c r="N11">
        <v>0</v>
      </c>
      <c r="O11" s="29">
        <v>0</v>
      </c>
      <c r="P11">
        <v>1</v>
      </c>
      <c r="Q11" s="26">
        <v>0</v>
      </c>
      <c r="R11" s="32">
        <v>5</v>
      </c>
    </row>
    <row r="12" spans="1:18" x14ac:dyDescent="0.25">
      <c r="A12" s="2" t="s">
        <v>43</v>
      </c>
      <c r="B12" s="7">
        <v>0.3125</v>
      </c>
      <c r="C12" s="29">
        <v>0</v>
      </c>
      <c r="D12">
        <v>1</v>
      </c>
      <c r="E12" s="26">
        <v>1</v>
      </c>
      <c r="F12">
        <v>0</v>
      </c>
      <c r="G12" s="29">
        <v>0</v>
      </c>
      <c r="H12">
        <v>3</v>
      </c>
      <c r="I12" s="26">
        <v>1</v>
      </c>
      <c r="J12">
        <v>0</v>
      </c>
      <c r="K12" s="29">
        <v>1</v>
      </c>
      <c r="L12">
        <v>1</v>
      </c>
      <c r="M12" s="26">
        <v>0</v>
      </c>
      <c r="N12">
        <v>1</v>
      </c>
      <c r="O12" s="29">
        <v>0</v>
      </c>
      <c r="P12">
        <v>2</v>
      </c>
      <c r="Q12" s="26">
        <v>0</v>
      </c>
      <c r="R12" s="32">
        <v>7</v>
      </c>
    </row>
    <row r="13" spans="1:18" x14ac:dyDescent="0.25">
      <c r="A13" s="2" t="s">
        <v>43</v>
      </c>
      <c r="B13" s="7">
        <v>0.32291666666666669</v>
      </c>
      <c r="C13" s="29">
        <v>1</v>
      </c>
      <c r="D13">
        <v>0</v>
      </c>
      <c r="E13" s="26">
        <v>0</v>
      </c>
      <c r="F13">
        <v>0</v>
      </c>
      <c r="G13" s="29">
        <v>1</v>
      </c>
      <c r="H13">
        <v>17</v>
      </c>
      <c r="I13" s="26">
        <v>6</v>
      </c>
      <c r="J13">
        <v>1</v>
      </c>
      <c r="K13" s="29">
        <v>0</v>
      </c>
      <c r="L13">
        <v>1</v>
      </c>
      <c r="M13" s="26">
        <v>0</v>
      </c>
      <c r="N13">
        <v>0</v>
      </c>
      <c r="O13" s="29">
        <v>1</v>
      </c>
      <c r="P13">
        <v>0</v>
      </c>
      <c r="Q13" s="26">
        <v>1</v>
      </c>
      <c r="R13" s="32">
        <v>8</v>
      </c>
    </row>
    <row r="14" spans="1:18" x14ac:dyDescent="0.25">
      <c r="A14" s="2" t="s">
        <v>43</v>
      </c>
      <c r="B14" s="7">
        <v>0.33333333333333331</v>
      </c>
      <c r="C14" s="29">
        <v>0</v>
      </c>
      <c r="D14">
        <v>0</v>
      </c>
      <c r="E14" s="26">
        <v>0</v>
      </c>
      <c r="F14">
        <v>0</v>
      </c>
      <c r="G14" s="29">
        <v>1</v>
      </c>
      <c r="H14">
        <v>14</v>
      </c>
      <c r="I14" s="26">
        <v>8</v>
      </c>
      <c r="J14">
        <v>2</v>
      </c>
      <c r="K14" s="29">
        <v>0</v>
      </c>
      <c r="L14">
        <v>0</v>
      </c>
      <c r="M14" s="26">
        <v>0</v>
      </c>
      <c r="N14">
        <v>0</v>
      </c>
      <c r="O14" s="29">
        <v>0</v>
      </c>
      <c r="P14">
        <v>1</v>
      </c>
      <c r="Q14" s="26">
        <v>0</v>
      </c>
      <c r="R14" s="32">
        <v>10</v>
      </c>
    </row>
    <row r="15" spans="1:18" x14ac:dyDescent="0.25">
      <c r="A15" s="2" t="s">
        <v>43</v>
      </c>
      <c r="B15" s="7">
        <v>0.34375</v>
      </c>
      <c r="C15" s="29">
        <v>1</v>
      </c>
      <c r="D15">
        <v>0</v>
      </c>
      <c r="E15" s="26">
        <v>1</v>
      </c>
      <c r="F15">
        <v>0</v>
      </c>
      <c r="G15" s="29">
        <v>1</v>
      </c>
      <c r="H15">
        <v>8</v>
      </c>
      <c r="I15" s="26">
        <v>4</v>
      </c>
      <c r="J15">
        <v>0</v>
      </c>
      <c r="K15" s="29">
        <v>0</v>
      </c>
      <c r="L15">
        <v>2</v>
      </c>
      <c r="M15" s="26">
        <v>0</v>
      </c>
      <c r="N15">
        <v>0</v>
      </c>
      <c r="O15" s="29">
        <v>0</v>
      </c>
      <c r="P15">
        <v>1</v>
      </c>
      <c r="Q15" s="26">
        <v>0</v>
      </c>
      <c r="R15" s="32">
        <v>7</v>
      </c>
    </row>
    <row r="16" spans="1:18" x14ac:dyDescent="0.25">
      <c r="A16" s="2" t="s">
        <v>43</v>
      </c>
      <c r="B16" s="7">
        <v>0.35416666666666669</v>
      </c>
      <c r="C16" s="29">
        <v>1</v>
      </c>
      <c r="D16">
        <v>0</v>
      </c>
      <c r="E16" s="26">
        <v>1</v>
      </c>
      <c r="F16">
        <v>3</v>
      </c>
      <c r="G16" s="29">
        <v>1</v>
      </c>
      <c r="H16">
        <v>12</v>
      </c>
      <c r="I16" s="26">
        <v>1</v>
      </c>
      <c r="J16">
        <v>0</v>
      </c>
      <c r="K16" s="29">
        <v>0</v>
      </c>
      <c r="L16">
        <v>0</v>
      </c>
      <c r="M16" s="26">
        <v>0</v>
      </c>
      <c r="N16">
        <v>3</v>
      </c>
      <c r="O16" s="29">
        <v>0</v>
      </c>
      <c r="P16">
        <v>1</v>
      </c>
      <c r="Q16" s="26">
        <v>0</v>
      </c>
      <c r="R16" s="32">
        <v>4</v>
      </c>
    </row>
    <row r="17" spans="1:18" x14ac:dyDescent="0.25">
      <c r="A17" s="2" t="s">
        <v>43</v>
      </c>
      <c r="B17" s="7">
        <v>0.36458333333333331</v>
      </c>
      <c r="C17" s="29">
        <v>0</v>
      </c>
      <c r="D17">
        <v>1</v>
      </c>
      <c r="E17" s="26">
        <v>0</v>
      </c>
      <c r="F17">
        <v>1</v>
      </c>
      <c r="G17" s="29">
        <v>1</v>
      </c>
      <c r="H17">
        <v>11</v>
      </c>
      <c r="I17" s="26">
        <v>1</v>
      </c>
      <c r="J17">
        <v>1</v>
      </c>
      <c r="K17" s="29">
        <v>0</v>
      </c>
      <c r="L17">
        <v>0</v>
      </c>
      <c r="M17" s="26">
        <v>0</v>
      </c>
      <c r="N17">
        <v>2</v>
      </c>
      <c r="O17" s="29">
        <v>0</v>
      </c>
      <c r="P17">
        <v>1</v>
      </c>
      <c r="Q17" s="26">
        <v>1</v>
      </c>
      <c r="R17" s="32">
        <v>7</v>
      </c>
    </row>
    <row r="18" spans="1:18" x14ac:dyDescent="0.25">
      <c r="A18" s="2" t="s">
        <v>43</v>
      </c>
      <c r="B18" s="7">
        <v>0.375</v>
      </c>
      <c r="C18" s="29">
        <v>1</v>
      </c>
      <c r="D18">
        <v>5</v>
      </c>
      <c r="E18" s="26">
        <v>0</v>
      </c>
      <c r="F18">
        <v>2</v>
      </c>
      <c r="G18" s="29">
        <v>0</v>
      </c>
      <c r="H18">
        <v>3</v>
      </c>
      <c r="I18" s="26">
        <v>0</v>
      </c>
      <c r="J18">
        <v>2</v>
      </c>
      <c r="K18" s="29">
        <v>0</v>
      </c>
      <c r="L18">
        <v>2</v>
      </c>
      <c r="M18" s="26">
        <v>0</v>
      </c>
      <c r="N18">
        <v>0</v>
      </c>
      <c r="O18" s="29">
        <v>0</v>
      </c>
      <c r="P18">
        <v>4</v>
      </c>
      <c r="Q18" s="26">
        <v>0</v>
      </c>
      <c r="R18" s="32">
        <v>4</v>
      </c>
    </row>
    <row r="19" spans="1:18" ht="15.75" thickBot="1" x14ac:dyDescent="0.3">
      <c r="A19" s="2" t="s">
        <v>43</v>
      </c>
      <c r="B19" s="7">
        <v>0.38541666666666669</v>
      </c>
      <c r="C19" s="29">
        <v>1</v>
      </c>
      <c r="D19">
        <v>1</v>
      </c>
      <c r="E19" s="26">
        <v>0</v>
      </c>
      <c r="F19">
        <v>1</v>
      </c>
      <c r="G19" s="29">
        <v>0</v>
      </c>
      <c r="H19">
        <v>3</v>
      </c>
      <c r="I19" s="26">
        <v>0</v>
      </c>
      <c r="J19">
        <v>3</v>
      </c>
      <c r="K19" s="29">
        <v>0</v>
      </c>
      <c r="L19">
        <v>1</v>
      </c>
      <c r="M19" s="26">
        <v>0</v>
      </c>
      <c r="N19">
        <v>4</v>
      </c>
      <c r="O19" s="29">
        <v>0</v>
      </c>
      <c r="P19">
        <v>0</v>
      </c>
      <c r="Q19" s="26">
        <v>0</v>
      </c>
      <c r="R19" s="32">
        <v>4</v>
      </c>
    </row>
    <row r="20" spans="1:18" ht="15.75" thickBot="1" x14ac:dyDescent="0.3">
      <c r="A20" s="20"/>
      <c r="B20" s="20"/>
      <c r="C20" s="33"/>
      <c r="D20" s="18"/>
      <c r="E20" s="34"/>
      <c r="F20" s="18"/>
      <c r="G20" s="33"/>
      <c r="H20" s="18"/>
      <c r="I20" s="34"/>
      <c r="J20" s="18"/>
      <c r="K20" s="33"/>
      <c r="L20" s="18"/>
      <c r="M20" s="34"/>
      <c r="N20" s="18"/>
      <c r="O20" s="33"/>
      <c r="P20" s="18"/>
      <c r="Q20" s="34"/>
      <c r="R20" s="35"/>
    </row>
    <row r="21" spans="1:18" x14ac:dyDescent="0.25">
      <c r="A21" s="2" t="s">
        <v>88</v>
      </c>
      <c r="B21" s="7">
        <v>0.45833333333333331</v>
      </c>
      <c r="C21" s="29">
        <v>0</v>
      </c>
      <c r="D21">
        <v>6</v>
      </c>
      <c r="E21" s="26">
        <v>1</v>
      </c>
      <c r="F21">
        <v>4</v>
      </c>
      <c r="G21" s="29">
        <v>0</v>
      </c>
      <c r="H21">
        <v>0</v>
      </c>
      <c r="I21" s="26">
        <v>0</v>
      </c>
      <c r="J21">
        <v>3</v>
      </c>
      <c r="K21" s="29">
        <v>0</v>
      </c>
      <c r="L21">
        <v>6</v>
      </c>
      <c r="M21" s="26">
        <v>0</v>
      </c>
      <c r="N21">
        <v>1</v>
      </c>
      <c r="O21" s="29">
        <v>0</v>
      </c>
      <c r="P21">
        <v>5</v>
      </c>
      <c r="Q21" s="26">
        <v>0</v>
      </c>
      <c r="R21" s="32">
        <v>5</v>
      </c>
    </row>
    <row r="22" spans="1:18" x14ac:dyDescent="0.25">
      <c r="A22" s="2" t="s">
        <v>88</v>
      </c>
      <c r="B22" s="7">
        <v>0.46875</v>
      </c>
      <c r="C22" s="29">
        <v>1</v>
      </c>
      <c r="D22">
        <v>2</v>
      </c>
      <c r="E22" s="26">
        <v>0</v>
      </c>
      <c r="F22">
        <v>2</v>
      </c>
      <c r="G22" s="29">
        <v>0</v>
      </c>
      <c r="H22">
        <v>2</v>
      </c>
      <c r="I22" s="26">
        <v>2</v>
      </c>
      <c r="J22">
        <v>0</v>
      </c>
      <c r="K22" s="29">
        <v>0</v>
      </c>
      <c r="L22">
        <v>0</v>
      </c>
      <c r="M22" s="26">
        <v>0</v>
      </c>
      <c r="N22">
        <v>0</v>
      </c>
      <c r="O22" s="29">
        <v>0</v>
      </c>
      <c r="P22">
        <v>6</v>
      </c>
      <c r="Q22" s="26">
        <v>0</v>
      </c>
      <c r="R22" s="32">
        <v>7</v>
      </c>
    </row>
    <row r="23" spans="1:18" x14ac:dyDescent="0.25">
      <c r="A23" s="2" t="s">
        <v>88</v>
      </c>
      <c r="B23" s="7">
        <v>0.47916666666666669</v>
      </c>
      <c r="C23" s="29">
        <v>0</v>
      </c>
      <c r="D23">
        <v>3</v>
      </c>
      <c r="E23" s="26">
        <v>1</v>
      </c>
      <c r="F23">
        <v>0</v>
      </c>
      <c r="G23" s="29">
        <v>0</v>
      </c>
      <c r="H23">
        <v>3</v>
      </c>
      <c r="I23" s="26">
        <v>0</v>
      </c>
      <c r="J23">
        <v>2</v>
      </c>
      <c r="K23" s="29">
        <v>0</v>
      </c>
      <c r="L23">
        <v>0</v>
      </c>
      <c r="M23" s="26">
        <v>0</v>
      </c>
      <c r="N23">
        <v>1</v>
      </c>
      <c r="O23" s="29">
        <v>1</v>
      </c>
      <c r="P23">
        <v>2</v>
      </c>
      <c r="Q23" s="26">
        <v>0</v>
      </c>
      <c r="R23" s="32">
        <v>0</v>
      </c>
    </row>
    <row r="24" spans="1:18" x14ac:dyDescent="0.25">
      <c r="A24" s="2" t="s">
        <v>88</v>
      </c>
      <c r="B24" s="7">
        <v>0.48958333333333331</v>
      </c>
      <c r="C24" s="29">
        <v>2</v>
      </c>
      <c r="D24">
        <v>1</v>
      </c>
      <c r="E24" s="26">
        <v>0</v>
      </c>
      <c r="F24">
        <v>2</v>
      </c>
      <c r="G24" s="29">
        <v>0</v>
      </c>
      <c r="H24">
        <v>1</v>
      </c>
      <c r="I24" s="26">
        <v>0</v>
      </c>
      <c r="J24">
        <v>1</v>
      </c>
      <c r="K24" s="29">
        <v>0</v>
      </c>
      <c r="L24">
        <v>2</v>
      </c>
      <c r="M24" s="26">
        <v>0</v>
      </c>
      <c r="N24">
        <v>2</v>
      </c>
      <c r="O24" s="29">
        <v>1</v>
      </c>
      <c r="P24">
        <v>5</v>
      </c>
      <c r="Q24" s="26">
        <v>0</v>
      </c>
      <c r="R24" s="32">
        <v>5</v>
      </c>
    </row>
    <row r="25" spans="1:18" x14ac:dyDescent="0.25">
      <c r="A25" s="2" t="s">
        <v>88</v>
      </c>
      <c r="B25" s="7">
        <v>0.5</v>
      </c>
      <c r="C25" s="29">
        <v>0</v>
      </c>
      <c r="D25">
        <v>3</v>
      </c>
      <c r="E25" s="26">
        <v>0</v>
      </c>
      <c r="F25">
        <v>1</v>
      </c>
      <c r="G25" s="29">
        <v>0</v>
      </c>
      <c r="H25">
        <v>4</v>
      </c>
      <c r="I25" s="26">
        <v>1</v>
      </c>
      <c r="J25">
        <v>1</v>
      </c>
      <c r="K25" s="29">
        <v>0</v>
      </c>
      <c r="L25">
        <v>1</v>
      </c>
      <c r="M25" s="26">
        <v>0</v>
      </c>
      <c r="N25">
        <v>2</v>
      </c>
      <c r="O25" s="29">
        <v>0</v>
      </c>
      <c r="P25">
        <v>5</v>
      </c>
      <c r="Q25" s="26">
        <v>1</v>
      </c>
      <c r="R25" s="32">
        <v>2</v>
      </c>
    </row>
    <row r="26" spans="1:18" x14ac:dyDescent="0.25">
      <c r="A26" s="2" t="s">
        <v>88</v>
      </c>
      <c r="B26" s="7">
        <v>0.51041666666666663</v>
      </c>
      <c r="C26" s="29">
        <v>0</v>
      </c>
      <c r="D26">
        <v>1</v>
      </c>
      <c r="E26" s="26">
        <v>0</v>
      </c>
      <c r="F26">
        <v>5</v>
      </c>
      <c r="G26" s="29">
        <v>0</v>
      </c>
      <c r="H26">
        <v>10</v>
      </c>
      <c r="I26" s="26">
        <v>0</v>
      </c>
      <c r="J26">
        <v>1</v>
      </c>
      <c r="K26" s="29">
        <v>0</v>
      </c>
      <c r="L26">
        <v>0</v>
      </c>
      <c r="M26" s="26">
        <v>0</v>
      </c>
      <c r="N26">
        <v>1</v>
      </c>
      <c r="O26" s="29">
        <v>0</v>
      </c>
      <c r="P26">
        <v>2</v>
      </c>
      <c r="Q26" s="26">
        <v>1</v>
      </c>
      <c r="R26" s="32">
        <v>6</v>
      </c>
    </row>
    <row r="27" spans="1:18" x14ac:dyDescent="0.25">
      <c r="A27" s="2" t="s">
        <v>88</v>
      </c>
      <c r="B27" s="7">
        <v>0.52083333333333337</v>
      </c>
      <c r="C27" s="29">
        <v>0</v>
      </c>
      <c r="D27">
        <v>4</v>
      </c>
      <c r="E27" s="26">
        <v>0</v>
      </c>
      <c r="F27">
        <v>1</v>
      </c>
      <c r="G27" s="29">
        <v>0</v>
      </c>
      <c r="H27">
        <v>4</v>
      </c>
      <c r="I27" s="26">
        <v>2</v>
      </c>
      <c r="J27">
        <v>7</v>
      </c>
      <c r="K27" s="29">
        <v>0</v>
      </c>
      <c r="L27">
        <v>3</v>
      </c>
      <c r="M27" s="26">
        <v>0</v>
      </c>
      <c r="N27">
        <v>3</v>
      </c>
      <c r="O27" s="29">
        <v>0</v>
      </c>
      <c r="P27">
        <v>5</v>
      </c>
      <c r="Q27" s="26">
        <v>0</v>
      </c>
      <c r="R27" s="32">
        <v>3</v>
      </c>
    </row>
    <row r="28" spans="1:18" x14ac:dyDescent="0.25">
      <c r="A28" s="2" t="s">
        <v>88</v>
      </c>
      <c r="B28" s="7">
        <v>0.53125</v>
      </c>
      <c r="C28" s="29">
        <v>1</v>
      </c>
      <c r="D28">
        <v>3</v>
      </c>
      <c r="E28" s="26">
        <v>0</v>
      </c>
      <c r="F28">
        <v>3</v>
      </c>
      <c r="G28" s="29">
        <v>0</v>
      </c>
      <c r="H28">
        <v>7</v>
      </c>
      <c r="I28" s="26">
        <v>0</v>
      </c>
      <c r="J28">
        <v>2</v>
      </c>
      <c r="K28" s="29">
        <v>0</v>
      </c>
      <c r="L28">
        <v>1</v>
      </c>
      <c r="M28" s="26">
        <v>0</v>
      </c>
      <c r="N28">
        <v>2</v>
      </c>
      <c r="O28" s="29">
        <v>0</v>
      </c>
      <c r="P28">
        <v>5</v>
      </c>
      <c r="Q28" s="26">
        <v>0</v>
      </c>
      <c r="R28" s="32">
        <v>6</v>
      </c>
    </row>
    <row r="29" spans="1:18" x14ac:dyDescent="0.25">
      <c r="A29" s="2" t="s">
        <v>88</v>
      </c>
      <c r="B29" s="7">
        <v>0.54166666666666663</v>
      </c>
      <c r="C29" s="29">
        <v>0</v>
      </c>
      <c r="D29">
        <v>1</v>
      </c>
      <c r="E29" s="26">
        <v>0</v>
      </c>
      <c r="F29">
        <v>1</v>
      </c>
      <c r="G29" s="29">
        <v>0</v>
      </c>
      <c r="H29">
        <v>1</v>
      </c>
      <c r="I29" s="26">
        <v>0</v>
      </c>
      <c r="J29">
        <v>5</v>
      </c>
      <c r="K29" s="29">
        <v>0</v>
      </c>
      <c r="L29">
        <v>2</v>
      </c>
      <c r="M29" s="26">
        <v>0</v>
      </c>
      <c r="N29">
        <v>2</v>
      </c>
      <c r="O29" s="29">
        <v>0</v>
      </c>
      <c r="P29">
        <v>6</v>
      </c>
      <c r="Q29" s="26">
        <v>0</v>
      </c>
      <c r="R29" s="32">
        <v>7</v>
      </c>
    </row>
    <row r="30" spans="1:18" x14ac:dyDescent="0.25">
      <c r="A30" s="2" t="s">
        <v>88</v>
      </c>
      <c r="B30" s="7">
        <v>0.55208333333333337</v>
      </c>
      <c r="C30" s="29">
        <v>1</v>
      </c>
      <c r="D30">
        <v>4</v>
      </c>
      <c r="E30" s="26">
        <v>1</v>
      </c>
      <c r="F30">
        <v>1</v>
      </c>
      <c r="G30" s="29">
        <v>1</v>
      </c>
      <c r="H30">
        <v>4</v>
      </c>
      <c r="I30" s="26">
        <v>2</v>
      </c>
      <c r="J30">
        <v>2</v>
      </c>
      <c r="K30" s="29">
        <v>0</v>
      </c>
      <c r="L30">
        <v>2</v>
      </c>
      <c r="M30" s="26">
        <v>0</v>
      </c>
      <c r="N30">
        <v>1</v>
      </c>
      <c r="O30" s="29">
        <v>0</v>
      </c>
      <c r="P30">
        <v>6</v>
      </c>
      <c r="Q30" s="26">
        <v>0</v>
      </c>
      <c r="R30" s="32">
        <v>3</v>
      </c>
    </row>
    <row r="31" spans="1:18" x14ac:dyDescent="0.25">
      <c r="A31" s="2" t="s">
        <v>88</v>
      </c>
      <c r="B31" s="7">
        <v>0.5625</v>
      </c>
      <c r="C31" s="29">
        <v>1</v>
      </c>
      <c r="D31">
        <v>0</v>
      </c>
      <c r="E31" s="26">
        <v>1</v>
      </c>
      <c r="F31">
        <v>1</v>
      </c>
      <c r="G31" s="29">
        <v>0</v>
      </c>
      <c r="H31">
        <v>0</v>
      </c>
      <c r="I31" s="26">
        <v>4</v>
      </c>
      <c r="J31">
        <v>4</v>
      </c>
      <c r="K31" s="29">
        <v>0</v>
      </c>
      <c r="L31">
        <v>0</v>
      </c>
      <c r="M31" s="26">
        <v>0</v>
      </c>
      <c r="N31">
        <v>1</v>
      </c>
      <c r="O31" s="29">
        <v>0</v>
      </c>
      <c r="P31">
        <v>7</v>
      </c>
      <c r="Q31" s="26">
        <v>0</v>
      </c>
      <c r="R31" s="32">
        <v>6</v>
      </c>
    </row>
    <row r="32" spans="1:18" ht="15.75" thickBot="1" x14ac:dyDescent="0.3">
      <c r="A32" s="2" t="s">
        <v>88</v>
      </c>
      <c r="B32" s="7">
        <v>0.57291666666666663</v>
      </c>
      <c r="C32" s="29">
        <v>0</v>
      </c>
      <c r="D32">
        <v>5</v>
      </c>
      <c r="E32" s="26">
        <v>0</v>
      </c>
      <c r="F32">
        <v>2</v>
      </c>
      <c r="G32" s="29">
        <v>0</v>
      </c>
      <c r="H32">
        <v>3</v>
      </c>
      <c r="I32" s="26">
        <v>1</v>
      </c>
      <c r="J32">
        <v>4</v>
      </c>
      <c r="K32" s="29">
        <v>0</v>
      </c>
      <c r="L32">
        <v>1</v>
      </c>
      <c r="M32" s="26">
        <v>0</v>
      </c>
      <c r="N32">
        <v>0</v>
      </c>
      <c r="O32" s="29">
        <v>0</v>
      </c>
      <c r="P32">
        <v>3</v>
      </c>
      <c r="Q32" s="26">
        <v>0</v>
      </c>
      <c r="R32" s="32">
        <v>8</v>
      </c>
    </row>
    <row r="33" spans="1:18" ht="15.75" thickBot="1" x14ac:dyDescent="0.3">
      <c r="A33" s="20"/>
      <c r="B33" s="20"/>
      <c r="C33" s="33"/>
      <c r="D33" s="18"/>
      <c r="E33" s="34"/>
      <c r="F33" s="18"/>
      <c r="G33" s="33"/>
      <c r="H33" s="18"/>
      <c r="I33" s="34"/>
      <c r="J33" s="18"/>
      <c r="K33" s="33"/>
      <c r="L33" s="18"/>
      <c r="M33" s="34"/>
      <c r="N33" s="18"/>
      <c r="O33" s="33"/>
      <c r="P33" s="18"/>
      <c r="Q33" s="34"/>
      <c r="R33" s="35"/>
    </row>
    <row r="34" spans="1:18" x14ac:dyDescent="0.25">
      <c r="A34" s="2" t="s">
        <v>44</v>
      </c>
      <c r="B34" s="7">
        <v>0.625</v>
      </c>
      <c r="C34" s="29">
        <v>0</v>
      </c>
      <c r="D34">
        <v>1</v>
      </c>
      <c r="E34" s="26">
        <v>0</v>
      </c>
      <c r="F34">
        <v>6</v>
      </c>
      <c r="G34" s="29">
        <v>5</v>
      </c>
      <c r="H34">
        <v>3</v>
      </c>
      <c r="I34" s="26">
        <v>8</v>
      </c>
      <c r="J34">
        <v>8</v>
      </c>
      <c r="K34" s="29">
        <v>0</v>
      </c>
      <c r="L34">
        <v>2</v>
      </c>
      <c r="M34" s="26">
        <v>0</v>
      </c>
      <c r="N34">
        <v>2</v>
      </c>
      <c r="O34" s="29">
        <v>0</v>
      </c>
      <c r="P34">
        <v>4</v>
      </c>
      <c r="Q34" s="26">
        <v>0</v>
      </c>
      <c r="R34" s="32">
        <v>1</v>
      </c>
    </row>
    <row r="35" spans="1:18" x14ac:dyDescent="0.25">
      <c r="A35" s="2" t="s">
        <v>44</v>
      </c>
      <c r="B35" s="7">
        <v>0.63541666666666663</v>
      </c>
      <c r="C35" s="29">
        <v>0</v>
      </c>
      <c r="D35">
        <v>5</v>
      </c>
      <c r="E35" s="26">
        <v>0</v>
      </c>
      <c r="F35">
        <v>0</v>
      </c>
      <c r="G35" s="29">
        <v>0</v>
      </c>
      <c r="H35">
        <v>1</v>
      </c>
      <c r="I35" s="26">
        <v>10</v>
      </c>
      <c r="J35">
        <v>9</v>
      </c>
      <c r="K35" s="29">
        <v>0</v>
      </c>
      <c r="L35">
        <v>0</v>
      </c>
      <c r="M35" s="26">
        <v>0</v>
      </c>
      <c r="N35">
        <v>1</v>
      </c>
      <c r="O35" s="29">
        <v>0</v>
      </c>
      <c r="P35">
        <v>10</v>
      </c>
      <c r="Q35" s="26">
        <v>0</v>
      </c>
      <c r="R35" s="32">
        <v>6</v>
      </c>
    </row>
    <row r="36" spans="1:18" x14ac:dyDescent="0.25">
      <c r="A36" s="2" t="s">
        <v>44</v>
      </c>
      <c r="B36" s="7">
        <v>0.64583333333333337</v>
      </c>
      <c r="C36" s="29">
        <v>0</v>
      </c>
      <c r="D36">
        <v>7</v>
      </c>
      <c r="E36" s="26">
        <v>0</v>
      </c>
      <c r="F36">
        <v>5</v>
      </c>
      <c r="G36" s="29">
        <v>1</v>
      </c>
      <c r="H36">
        <v>3</v>
      </c>
      <c r="I36" s="26">
        <v>7</v>
      </c>
      <c r="J36">
        <v>13</v>
      </c>
      <c r="K36" s="29">
        <v>0</v>
      </c>
      <c r="L36">
        <v>0</v>
      </c>
      <c r="M36" s="26">
        <v>0</v>
      </c>
      <c r="N36">
        <v>2</v>
      </c>
      <c r="O36" s="29">
        <v>0</v>
      </c>
      <c r="P36">
        <v>5</v>
      </c>
      <c r="Q36" s="26">
        <v>0</v>
      </c>
      <c r="R36" s="32">
        <v>3</v>
      </c>
    </row>
    <row r="37" spans="1:18" x14ac:dyDescent="0.25">
      <c r="A37" s="2" t="s">
        <v>44</v>
      </c>
      <c r="B37" s="7">
        <v>0.65625</v>
      </c>
      <c r="C37" s="29">
        <v>0</v>
      </c>
      <c r="D37">
        <v>3</v>
      </c>
      <c r="E37" s="26">
        <v>1</v>
      </c>
      <c r="F37">
        <v>1</v>
      </c>
      <c r="G37" s="29">
        <v>0</v>
      </c>
      <c r="H37">
        <v>2</v>
      </c>
      <c r="I37" s="26">
        <v>14</v>
      </c>
      <c r="J37">
        <v>9</v>
      </c>
      <c r="K37" s="29">
        <v>0</v>
      </c>
      <c r="L37">
        <v>0</v>
      </c>
      <c r="M37" s="26">
        <v>0</v>
      </c>
      <c r="N37">
        <v>0</v>
      </c>
      <c r="O37" s="29">
        <v>1</v>
      </c>
      <c r="P37">
        <v>8</v>
      </c>
      <c r="Q37" s="26">
        <v>3</v>
      </c>
      <c r="R37" s="32">
        <v>2</v>
      </c>
    </row>
    <row r="38" spans="1:18" x14ac:dyDescent="0.25">
      <c r="A38" s="2" t="s">
        <v>44</v>
      </c>
      <c r="B38" s="7">
        <v>0.66666666666666663</v>
      </c>
      <c r="C38" s="29">
        <v>0</v>
      </c>
      <c r="D38">
        <v>3</v>
      </c>
      <c r="E38" s="26">
        <v>0</v>
      </c>
      <c r="F38">
        <v>3</v>
      </c>
      <c r="G38" s="29">
        <v>0</v>
      </c>
      <c r="H38">
        <v>2</v>
      </c>
      <c r="I38" s="26">
        <v>12</v>
      </c>
      <c r="J38">
        <v>12</v>
      </c>
      <c r="K38" s="29">
        <v>0</v>
      </c>
      <c r="L38">
        <v>0</v>
      </c>
      <c r="M38" s="26">
        <v>0</v>
      </c>
      <c r="N38">
        <v>0</v>
      </c>
      <c r="O38" s="29">
        <v>0</v>
      </c>
      <c r="P38">
        <v>7</v>
      </c>
      <c r="Q38" s="26">
        <v>0</v>
      </c>
      <c r="R38" s="32">
        <v>5</v>
      </c>
    </row>
    <row r="39" spans="1:18" x14ac:dyDescent="0.25">
      <c r="A39" s="2" t="s">
        <v>44</v>
      </c>
      <c r="B39" s="7">
        <v>0.67708333333333337</v>
      </c>
      <c r="C39" s="29">
        <v>1</v>
      </c>
      <c r="D39">
        <v>7</v>
      </c>
      <c r="E39" s="26">
        <v>0</v>
      </c>
      <c r="F39">
        <v>1</v>
      </c>
      <c r="G39" s="29">
        <v>0</v>
      </c>
      <c r="H39">
        <v>0</v>
      </c>
      <c r="I39" s="26">
        <v>17</v>
      </c>
      <c r="J39">
        <v>5</v>
      </c>
      <c r="K39" s="29">
        <v>0</v>
      </c>
      <c r="L39">
        <v>1</v>
      </c>
      <c r="M39" s="26">
        <v>0</v>
      </c>
      <c r="N39">
        <v>1</v>
      </c>
      <c r="O39" s="29">
        <v>0</v>
      </c>
      <c r="P39">
        <v>4</v>
      </c>
      <c r="Q39" s="26">
        <v>0</v>
      </c>
      <c r="R39" s="32">
        <v>4</v>
      </c>
    </row>
    <row r="40" spans="1:18" x14ac:dyDescent="0.25">
      <c r="A40" s="2" t="s">
        <v>44</v>
      </c>
      <c r="B40" s="7">
        <v>0.6875</v>
      </c>
      <c r="C40" s="29">
        <v>1</v>
      </c>
      <c r="D40">
        <v>1</v>
      </c>
      <c r="E40" s="26">
        <v>0</v>
      </c>
      <c r="F40">
        <v>6</v>
      </c>
      <c r="G40" s="29">
        <v>1</v>
      </c>
      <c r="H40">
        <v>7</v>
      </c>
      <c r="I40" s="26">
        <v>12</v>
      </c>
      <c r="J40">
        <v>10</v>
      </c>
      <c r="K40" s="29">
        <v>0</v>
      </c>
      <c r="L40">
        <v>2</v>
      </c>
      <c r="M40" s="26">
        <v>0</v>
      </c>
      <c r="N40">
        <v>0</v>
      </c>
      <c r="O40" s="29">
        <v>1</v>
      </c>
      <c r="P40">
        <v>11</v>
      </c>
      <c r="Q40" s="26">
        <v>0</v>
      </c>
      <c r="R40" s="32">
        <v>6</v>
      </c>
    </row>
    <row r="41" spans="1:18" x14ac:dyDescent="0.25">
      <c r="A41" s="2" t="s">
        <v>44</v>
      </c>
      <c r="B41" s="7">
        <v>0.69791666666666663</v>
      </c>
      <c r="C41" s="29">
        <v>0</v>
      </c>
      <c r="D41">
        <v>2</v>
      </c>
      <c r="E41" s="26">
        <v>0</v>
      </c>
      <c r="F41">
        <v>1</v>
      </c>
      <c r="G41" s="29">
        <v>1</v>
      </c>
      <c r="H41">
        <v>0</v>
      </c>
      <c r="I41" s="26">
        <v>28</v>
      </c>
      <c r="J41">
        <v>7</v>
      </c>
      <c r="K41" s="29">
        <v>0</v>
      </c>
      <c r="L41">
        <v>2</v>
      </c>
      <c r="M41" s="26">
        <v>0</v>
      </c>
      <c r="N41">
        <v>2</v>
      </c>
      <c r="O41" s="29">
        <v>0</v>
      </c>
      <c r="P41">
        <v>4</v>
      </c>
      <c r="Q41" s="26">
        <v>0</v>
      </c>
      <c r="R41" s="32">
        <v>4</v>
      </c>
    </row>
    <row r="42" spans="1:18" x14ac:dyDescent="0.25">
      <c r="A42" s="2" t="s">
        <v>44</v>
      </c>
      <c r="B42" s="7">
        <v>0.70833333333333337</v>
      </c>
      <c r="C42" s="29">
        <v>1</v>
      </c>
      <c r="D42">
        <v>1</v>
      </c>
      <c r="E42" s="26">
        <v>0</v>
      </c>
      <c r="F42">
        <v>6</v>
      </c>
      <c r="G42" s="29">
        <v>0</v>
      </c>
      <c r="H42">
        <v>1</v>
      </c>
      <c r="I42" s="26">
        <v>25</v>
      </c>
      <c r="J42">
        <v>14</v>
      </c>
      <c r="K42" s="29">
        <v>0</v>
      </c>
      <c r="L42">
        <v>2</v>
      </c>
      <c r="M42" s="26">
        <v>0</v>
      </c>
      <c r="N42">
        <v>5</v>
      </c>
      <c r="O42" s="29">
        <v>0</v>
      </c>
      <c r="P42">
        <v>7</v>
      </c>
      <c r="Q42" s="26">
        <v>2</v>
      </c>
      <c r="R42" s="32">
        <v>6</v>
      </c>
    </row>
    <row r="43" spans="1:18" x14ac:dyDescent="0.25">
      <c r="A43" s="2" t="s">
        <v>44</v>
      </c>
      <c r="B43" s="7">
        <v>0.71875</v>
      </c>
      <c r="C43" s="29">
        <v>0</v>
      </c>
      <c r="D43">
        <v>1</v>
      </c>
      <c r="E43" s="26">
        <v>0</v>
      </c>
      <c r="F43">
        <v>4</v>
      </c>
      <c r="G43" s="29">
        <v>1</v>
      </c>
      <c r="H43">
        <v>4</v>
      </c>
      <c r="I43" s="26">
        <v>30</v>
      </c>
      <c r="J43">
        <v>20</v>
      </c>
      <c r="K43" s="29">
        <v>0</v>
      </c>
      <c r="L43">
        <v>4</v>
      </c>
      <c r="M43" s="26">
        <v>0</v>
      </c>
      <c r="N43">
        <v>3</v>
      </c>
      <c r="O43" s="29">
        <v>0</v>
      </c>
      <c r="P43">
        <v>4</v>
      </c>
      <c r="Q43" s="26">
        <v>1</v>
      </c>
      <c r="R43" s="32">
        <v>4</v>
      </c>
    </row>
    <row r="44" spans="1:18" x14ac:dyDescent="0.25">
      <c r="A44" s="2" t="s">
        <v>44</v>
      </c>
      <c r="B44" s="7">
        <v>0.72916666666666663</v>
      </c>
      <c r="C44" s="29">
        <v>1</v>
      </c>
      <c r="D44">
        <v>0</v>
      </c>
      <c r="E44" s="26">
        <v>0</v>
      </c>
      <c r="F44">
        <v>3</v>
      </c>
      <c r="G44" s="29">
        <v>0</v>
      </c>
      <c r="H44">
        <v>1</v>
      </c>
      <c r="I44" s="26">
        <v>24</v>
      </c>
      <c r="J44">
        <v>9</v>
      </c>
      <c r="K44" s="29">
        <v>0</v>
      </c>
      <c r="L44">
        <v>6</v>
      </c>
      <c r="M44" s="26">
        <v>0</v>
      </c>
      <c r="N44">
        <v>2</v>
      </c>
      <c r="O44" s="29">
        <v>0</v>
      </c>
      <c r="P44">
        <v>6</v>
      </c>
      <c r="Q44" s="26">
        <v>0</v>
      </c>
      <c r="R44" s="32">
        <v>4</v>
      </c>
    </row>
    <row r="45" spans="1:18" x14ac:dyDescent="0.25">
      <c r="A45" s="2" t="s">
        <v>44</v>
      </c>
      <c r="B45" s="7">
        <v>0.73958333333333337</v>
      </c>
      <c r="C45" s="29">
        <v>0</v>
      </c>
      <c r="D45">
        <v>0</v>
      </c>
      <c r="E45" s="26">
        <v>0</v>
      </c>
      <c r="F45">
        <v>2</v>
      </c>
      <c r="G45" s="29">
        <v>0</v>
      </c>
      <c r="H45">
        <v>1</v>
      </c>
      <c r="I45" s="26">
        <v>5</v>
      </c>
      <c r="J45">
        <v>3</v>
      </c>
      <c r="K45" s="29">
        <v>0</v>
      </c>
      <c r="L45">
        <v>3</v>
      </c>
      <c r="M45" s="26">
        <v>0</v>
      </c>
      <c r="N45">
        <v>4</v>
      </c>
      <c r="O45" s="29">
        <v>1</v>
      </c>
      <c r="P45">
        <v>3</v>
      </c>
      <c r="Q45" s="26">
        <v>1</v>
      </c>
      <c r="R45" s="32">
        <v>3</v>
      </c>
    </row>
    <row r="46" spans="1:18" x14ac:dyDescent="0.25">
      <c r="A46" s="2" t="s">
        <v>44</v>
      </c>
      <c r="B46" s="7">
        <v>0.75</v>
      </c>
      <c r="C46" s="29">
        <v>1</v>
      </c>
      <c r="D46">
        <v>0</v>
      </c>
      <c r="E46" s="26">
        <v>0</v>
      </c>
      <c r="F46">
        <v>0</v>
      </c>
      <c r="G46" s="29">
        <v>0</v>
      </c>
      <c r="H46">
        <v>2</v>
      </c>
      <c r="I46" s="26">
        <v>12</v>
      </c>
      <c r="J46">
        <v>7</v>
      </c>
      <c r="K46" s="29">
        <v>0</v>
      </c>
      <c r="L46">
        <v>1</v>
      </c>
      <c r="M46" s="26">
        <v>0</v>
      </c>
      <c r="N46">
        <v>3</v>
      </c>
      <c r="O46" s="29">
        <v>0</v>
      </c>
      <c r="P46">
        <v>1</v>
      </c>
      <c r="Q46" s="26">
        <v>0</v>
      </c>
      <c r="R46" s="32">
        <v>0</v>
      </c>
    </row>
    <row r="47" spans="1:18" ht="15.75" thickBot="1" x14ac:dyDescent="0.3">
      <c r="A47" s="19" t="s">
        <v>44</v>
      </c>
      <c r="B47" s="45">
        <v>0.76041666666666663</v>
      </c>
      <c r="C47" s="37">
        <v>0</v>
      </c>
      <c r="D47" s="36">
        <v>2</v>
      </c>
      <c r="E47" s="38">
        <v>1</v>
      </c>
      <c r="F47" s="36">
        <v>4</v>
      </c>
      <c r="G47" s="37">
        <v>0</v>
      </c>
      <c r="H47" s="36">
        <v>3</v>
      </c>
      <c r="I47" s="38">
        <v>8</v>
      </c>
      <c r="J47" s="36">
        <v>3</v>
      </c>
      <c r="K47" s="37">
        <v>0</v>
      </c>
      <c r="L47" s="36">
        <v>0</v>
      </c>
      <c r="M47" s="38">
        <v>0</v>
      </c>
      <c r="N47" s="36">
        <v>2</v>
      </c>
      <c r="O47" s="37">
        <v>0</v>
      </c>
      <c r="P47" s="36">
        <v>1</v>
      </c>
      <c r="Q47" s="38">
        <v>0</v>
      </c>
      <c r="R47" s="39">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89</v>
      </c>
      <c r="C2">
        <v>0</v>
      </c>
      <c r="D2" t="s">
        <v>91</v>
      </c>
      <c r="E2" t="s">
        <v>43</v>
      </c>
      <c r="F2" s="6">
        <v>0.27083333333333331</v>
      </c>
      <c r="G2">
        <v>0</v>
      </c>
      <c r="H2" s="6">
        <f>FLOOR(tblPivotData[[#This Row],[Time]],Summary!$B$6/1440)</f>
        <v>0.27083333333333331</v>
      </c>
      <c r="I2" s="46">
        <f>INDEX(PeakCalc!$L$10:$L$303,MATCH(tblPivotData[[#This Row],[Time]],PeakCalc!$G$10:$G$303,0))</f>
        <v>0</v>
      </c>
    </row>
    <row r="3" spans="1:9" x14ac:dyDescent="0.25">
      <c r="A3" t="s">
        <v>94</v>
      </c>
      <c r="B3" t="s">
        <v>89</v>
      </c>
      <c r="C3">
        <v>0</v>
      </c>
      <c r="D3" t="s">
        <v>91</v>
      </c>
      <c r="E3" t="s">
        <v>43</v>
      </c>
      <c r="F3" s="6">
        <v>0.28125</v>
      </c>
      <c r="G3">
        <v>0</v>
      </c>
      <c r="H3" s="6">
        <f>FLOOR(tblPivotData[[#This Row],[Time]],Summary!$B$6/1440)</f>
        <v>0.28125</v>
      </c>
      <c r="I3" s="46">
        <f>INDEX(PeakCalc!$L$10:$L$303,MATCH(tblPivotData[[#This Row],[Time]],PeakCalc!$G$10:$G$303,0))</f>
        <v>0</v>
      </c>
    </row>
    <row r="4" spans="1:9" x14ac:dyDescent="0.25">
      <c r="A4" t="s">
        <v>94</v>
      </c>
      <c r="B4" t="s">
        <v>89</v>
      </c>
      <c r="C4">
        <v>0</v>
      </c>
      <c r="D4" t="s">
        <v>91</v>
      </c>
      <c r="E4" t="s">
        <v>43</v>
      </c>
      <c r="F4" s="6">
        <v>0.29166666666666669</v>
      </c>
      <c r="G4">
        <v>1</v>
      </c>
      <c r="H4" s="6">
        <f>FLOOR(tblPivotData[[#This Row],[Time]],Summary!$B$6/1440)</f>
        <v>0.29166666666666663</v>
      </c>
      <c r="I4" s="46">
        <f>INDEX(PeakCalc!$L$10:$L$303,MATCH(tblPivotData[[#This Row],[Time]],PeakCalc!$G$10:$G$303,0))</f>
        <v>0</v>
      </c>
    </row>
    <row r="5" spans="1:9" x14ac:dyDescent="0.25">
      <c r="A5" t="s">
        <v>94</v>
      </c>
      <c r="B5" t="s">
        <v>89</v>
      </c>
      <c r="C5">
        <v>0</v>
      </c>
      <c r="D5" t="s">
        <v>91</v>
      </c>
      <c r="E5" t="s">
        <v>43</v>
      </c>
      <c r="F5" s="6">
        <v>0.30208333333333331</v>
      </c>
      <c r="G5">
        <v>0</v>
      </c>
      <c r="H5" s="6">
        <f>FLOOR(tblPivotData[[#This Row],[Time]],Summary!$B$6/1440)</f>
        <v>0.30208333333333331</v>
      </c>
      <c r="I5" s="46">
        <f>INDEX(PeakCalc!$L$10:$L$303,MATCH(tblPivotData[[#This Row],[Time]],PeakCalc!$G$10:$G$303,0))</f>
        <v>0</v>
      </c>
    </row>
    <row r="6" spans="1:9" x14ac:dyDescent="0.25">
      <c r="A6" t="s">
        <v>94</v>
      </c>
      <c r="B6" t="s">
        <v>89</v>
      </c>
      <c r="C6">
        <v>0</v>
      </c>
      <c r="D6" t="s">
        <v>91</v>
      </c>
      <c r="E6" t="s">
        <v>43</v>
      </c>
      <c r="F6" s="6">
        <v>0.3125</v>
      </c>
      <c r="G6">
        <v>0</v>
      </c>
      <c r="H6" s="6">
        <f>FLOOR(tblPivotData[[#This Row],[Time]],Summary!$B$6/1440)</f>
        <v>0.3125</v>
      </c>
      <c r="I6" s="46">
        <f>INDEX(PeakCalc!$L$10:$L$303,MATCH(tblPivotData[[#This Row],[Time]],PeakCalc!$G$10:$G$303,0))</f>
        <v>0</v>
      </c>
    </row>
    <row r="7" spans="1:9" x14ac:dyDescent="0.25">
      <c r="A7" t="s">
        <v>94</v>
      </c>
      <c r="B7" t="s">
        <v>89</v>
      </c>
      <c r="C7">
        <v>0</v>
      </c>
      <c r="D7" t="s">
        <v>91</v>
      </c>
      <c r="E7" t="s">
        <v>43</v>
      </c>
      <c r="F7" s="6">
        <v>0.32291666666666669</v>
      </c>
      <c r="G7">
        <v>1</v>
      </c>
      <c r="H7" s="6">
        <f>FLOOR(tblPivotData[[#This Row],[Time]],Summary!$B$6/1440)</f>
        <v>0.32291666666666663</v>
      </c>
      <c r="I7" s="46">
        <f>INDEX(PeakCalc!$L$10:$L$303,MATCH(tblPivotData[[#This Row],[Time]],PeakCalc!$G$10:$G$303,0))</f>
        <v>1</v>
      </c>
    </row>
    <row r="8" spans="1:9" x14ac:dyDescent="0.25">
      <c r="A8" t="s">
        <v>94</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94</v>
      </c>
      <c r="B9" t="s">
        <v>89</v>
      </c>
      <c r="C9">
        <v>0</v>
      </c>
      <c r="D9" t="s">
        <v>91</v>
      </c>
      <c r="E9" t="s">
        <v>43</v>
      </c>
      <c r="F9" s="6">
        <v>0.34375</v>
      </c>
      <c r="G9">
        <v>1</v>
      </c>
      <c r="H9" s="6">
        <f>FLOOR(tblPivotData[[#This Row],[Time]],Summary!$B$6/1440)</f>
        <v>0.34375</v>
      </c>
      <c r="I9" s="46">
        <f>INDEX(PeakCalc!$L$10:$L$303,MATCH(tblPivotData[[#This Row],[Time]],PeakCalc!$G$10:$G$303,0))</f>
        <v>1</v>
      </c>
    </row>
    <row r="10" spans="1:9" x14ac:dyDescent="0.25">
      <c r="A10" t="s">
        <v>94</v>
      </c>
      <c r="B10" t="s">
        <v>89</v>
      </c>
      <c r="C10">
        <v>0</v>
      </c>
      <c r="D10" t="s">
        <v>91</v>
      </c>
      <c r="E10" t="s">
        <v>43</v>
      </c>
      <c r="F10" s="6">
        <v>0.35416666666666669</v>
      </c>
      <c r="G10">
        <v>1</v>
      </c>
      <c r="H10" s="6">
        <f>FLOOR(tblPivotData[[#This Row],[Time]],Summary!$B$6/1440)</f>
        <v>0.35416666666666663</v>
      </c>
      <c r="I10" s="46">
        <f>INDEX(PeakCalc!$L$10:$L$303,MATCH(tblPivotData[[#This Row],[Time]],PeakCalc!$G$10:$G$303,0))</f>
        <v>1</v>
      </c>
    </row>
    <row r="11" spans="1:9" x14ac:dyDescent="0.25">
      <c r="A11" t="s">
        <v>94</v>
      </c>
      <c r="B11" t="s">
        <v>89</v>
      </c>
      <c r="C11">
        <v>0</v>
      </c>
      <c r="D11" t="s">
        <v>91</v>
      </c>
      <c r="E11" t="s">
        <v>43</v>
      </c>
      <c r="F11" s="6">
        <v>0.36458333333333331</v>
      </c>
      <c r="G11">
        <v>0</v>
      </c>
      <c r="H11" s="6">
        <f>FLOOR(tblPivotData[[#This Row],[Time]],Summary!$B$6/1440)</f>
        <v>0.36458333333333331</v>
      </c>
      <c r="I11" s="46">
        <f>INDEX(PeakCalc!$L$10:$L$303,MATCH(tblPivotData[[#This Row],[Time]],PeakCalc!$G$10:$G$303,0))</f>
        <v>0</v>
      </c>
    </row>
    <row r="12" spans="1:9" x14ac:dyDescent="0.25">
      <c r="A12" t="s">
        <v>94</v>
      </c>
      <c r="B12" t="s">
        <v>89</v>
      </c>
      <c r="C12">
        <v>0</v>
      </c>
      <c r="D12" t="s">
        <v>91</v>
      </c>
      <c r="E12" t="s">
        <v>43</v>
      </c>
      <c r="F12" s="6">
        <v>0.375</v>
      </c>
      <c r="G12">
        <v>1</v>
      </c>
      <c r="H12" s="6">
        <f>FLOOR(tblPivotData[[#This Row],[Time]],Summary!$B$6/1440)</f>
        <v>0.375</v>
      </c>
      <c r="I12" s="46">
        <f>INDEX(PeakCalc!$L$10:$L$303,MATCH(tblPivotData[[#This Row],[Time]],PeakCalc!$G$10:$G$303,0))</f>
        <v>0</v>
      </c>
    </row>
    <row r="13" spans="1:9" x14ac:dyDescent="0.25">
      <c r="A13" t="s">
        <v>94</v>
      </c>
      <c r="B13" t="s">
        <v>89</v>
      </c>
      <c r="C13">
        <v>0</v>
      </c>
      <c r="D13" t="s">
        <v>91</v>
      </c>
      <c r="E13" t="s">
        <v>43</v>
      </c>
      <c r="F13" s="6">
        <v>0.38541666666666669</v>
      </c>
      <c r="G13">
        <v>1</v>
      </c>
      <c r="H13" s="6">
        <f>FLOOR(tblPivotData[[#This Row],[Time]],Summary!$B$6/1440)</f>
        <v>0.38541666666666663</v>
      </c>
      <c r="I13" s="46">
        <f>INDEX(PeakCalc!$L$10:$L$303,MATCH(tblPivotData[[#This Row],[Time]],PeakCalc!$G$10:$G$303,0))</f>
        <v>0</v>
      </c>
    </row>
    <row r="14" spans="1:9" x14ac:dyDescent="0.25">
      <c r="A14" t="s">
        <v>94</v>
      </c>
      <c r="B14" t="s">
        <v>89</v>
      </c>
      <c r="C14">
        <v>0</v>
      </c>
      <c r="D14" t="s">
        <v>91</v>
      </c>
      <c r="E14" t="s">
        <v>88</v>
      </c>
      <c r="F14" s="6">
        <v>0.45833333333333331</v>
      </c>
      <c r="G14">
        <v>0</v>
      </c>
      <c r="H14" s="6">
        <f>FLOOR(tblPivotData[[#This Row],[Time]],Summary!$B$6/1440)</f>
        <v>0.45833333333333331</v>
      </c>
      <c r="I14" s="46">
        <f>INDEX(PeakCalc!$L$10:$L$303,MATCH(tblPivotData[[#This Row],[Time]],PeakCalc!$G$10:$G$303,0))</f>
        <v>0</v>
      </c>
    </row>
    <row r="15" spans="1:9" x14ac:dyDescent="0.25">
      <c r="A15" t="s">
        <v>94</v>
      </c>
      <c r="B15" t="s">
        <v>89</v>
      </c>
      <c r="C15">
        <v>0</v>
      </c>
      <c r="D15" t="s">
        <v>91</v>
      </c>
      <c r="E15" t="s">
        <v>88</v>
      </c>
      <c r="F15" s="6">
        <v>0.46875</v>
      </c>
      <c r="G15">
        <v>1</v>
      </c>
      <c r="H15" s="6">
        <f>FLOOR(tblPivotData[[#This Row],[Time]],Summary!$B$6/1440)</f>
        <v>0.46875</v>
      </c>
      <c r="I15" s="46">
        <f>INDEX(PeakCalc!$L$10:$L$303,MATCH(tblPivotData[[#This Row],[Time]],PeakCalc!$G$10:$G$303,0))</f>
        <v>0</v>
      </c>
    </row>
    <row r="16" spans="1:9" x14ac:dyDescent="0.25">
      <c r="A16" t="s">
        <v>94</v>
      </c>
      <c r="B16" t="s">
        <v>89</v>
      </c>
      <c r="C16">
        <v>0</v>
      </c>
      <c r="D16" t="s">
        <v>91</v>
      </c>
      <c r="E16" t="s">
        <v>88</v>
      </c>
      <c r="F16" s="6">
        <v>0.47916666666666669</v>
      </c>
      <c r="G16">
        <v>0</v>
      </c>
      <c r="H16" s="6">
        <f>FLOOR(tblPivotData[[#This Row],[Time]],Summary!$B$6/1440)</f>
        <v>0.47916666666666663</v>
      </c>
      <c r="I16" s="46">
        <f>INDEX(PeakCalc!$L$10:$L$303,MATCH(tblPivotData[[#This Row],[Time]],PeakCalc!$G$10:$G$303,0))</f>
        <v>0</v>
      </c>
    </row>
    <row r="17" spans="1:9" x14ac:dyDescent="0.25">
      <c r="A17" t="s">
        <v>94</v>
      </c>
      <c r="B17" t="s">
        <v>89</v>
      </c>
      <c r="C17">
        <v>0</v>
      </c>
      <c r="D17" t="s">
        <v>91</v>
      </c>
      <c r="E17" t="s">
        <v>88</v>
      </c>
      <c r="F17" s="6">
        <v>0.48958333333333331</v>
      </c>
      <c r="G17">
        <v>2</v>
      </c>
      <c r="H17" s="6">
        <f>FLOOR(tblPivotData[[#This Row],[Time]],Summary!$B$6/1440)</f>
        <v>0.48958333333333331</v>
      </c>
      <c r="I17" s="46">
        <f>INDEX(PeakCalc!$L$10:$L$303,MATCH(tblPivotData[[#This Row],[Time]],PeakCalc!$G$10:$G$303,0))</f>
        <v>0</v>
      </c>
    </row>
    <row r="18" spans="1:9" x14ac:dyDescent="0.25">
      <c r="A18" t="s">
        <v>94</v>
      </c>
      <c r="B18" t="s">
        <v>89</v>
      </c>
      <c r="C18">
        <v>0</v>
      </c>
      <c r="D18" t="s">
        <v>91</v>
      </c>
      <c r="E18" t="s">
        <v>88</v>
      </c>
      <c r="F18" s="6">
        <v>0.5</v>
      </c>
      <c r="G18">
        <v>0</v>
      </c>
      <c r="H18" s="6">
        <f>FLOOR(tblPivotData[[#This Row],[Time]],Summary!$B$6/1440)</f>
        <v>0.5</v>
      </c>
      <c r="I18" s="46">
        <f>INDEX(PeakCalc!$L$10:$L$303,MATCH(tblPivotData[[#This Row],[Time]],PeakCalc!$G$10:$G$303,0))</f>
        <v>0</v>
      </c>
    </row>
    <row r="19" spans="1:9" x14ac:dyDescent="0.25">
      <c r="A19" t="s">
        <v>94</v>
      </c>
      <c r="B19" t="s">
        <v>89</v>
      </c>
      <c r="C19">
        <v>0</v>
      </c>
      <c r="D19" t="s">
        <v>91</v>
      </c>
      <c r="E19" t="s">
        <v>88</v>
      </c>
      <c r="F19" s="6">
        <v>0.51041666666666663</v>
      </c>
      <c r="G19">
        <v>0</v>
      </c>
      <c r="H19" s="6">
        <f>FLOOR(tblPivotData[[#This Row],[Time]],Summary!$B$6/1440)</f>
        <v>0.51041666666666663</v>
      </c>
      <c r="I19" s="46">
        <f>INDEX(PeakCalc!$L$10:$L$303,MATCH(tblPivotData[[#This Row],[Time]],PeakCalc!$G$10:$G$303,0))</f>
        <v>0</v>
      </c>
    </row>
    <row r="20" spans="1:9" x14ac:dyDescent="0.25">
      <c r="A20" t="s">
        <v>94</v>
      </c>
      <c r="B20" t="s">
        <v>89</v>
      </c>
      <c r="C20">
        <v>0</v>
      </c>
      <c r="D20" t="s">
        <v>91</v>
      </c>
      <c r="E20" t="s">
        <v>88</v>
      </c>
      <c r="F20" s="6">
        <v>0.52083333333333337</v>
      </c>
      <c r="G20">
        <v>0</v>
      </c>
      <c r="H20" s="6">
        <f>FLOOR(tblPivotData[[#This Row],[Time]],Summary!$B$6/1440)</f>
        <v>0.52083333333333326</v>
      </c>
      <c r="I20" s="46">
        <f>INDEX(PeakCalc!$L$10:$L$303,MATCH(tblPivotData[[#This Row],[Time]],PeakCalc!$G$10:$G$303,0))</f>
        <v>1</v>
      </c>
    </row>
    <row r="21" spans="1:9" x14ac:dyDescent="0.25">
      <c r="A21" t="s">
        <v>94</v>
      </c>
      <c r="B21" t="s">
        <v>89</v>
      </c>
      <c r="C21">
        <v>0</v>
      </c>
      <c r="D21" t="s">
        <v>91</v>
      </c>
      <c r="E21" t="s">
        <v>88</v>
      </c>
      <c r="F21" s="6">
        <v>0.53125</v>
      </c>
      <c r="G21">
        <v>1</v>
      </c>
      <c r="H21" s="6">
        <f>FLOOR(tblPivotData[[#This Row],[Time]],Summary!$B$6/1440)</f>
        <v>0.53125</v>
      </c>
      <c r="I21" s="46">
        <f>INDEX(PeakCalc!$L$10:$L$303,MATCH(tblPivotData[[#This Row],[Time]],PeakCalc!$G$10:$G$303,0))</f>
        <v>1</v>
      </c>
    </row>
    <row r="22" spans="1:9" x14ac:dyDescent="0.25">
      <c r="A22" t="s">
        <v>94</v>
      </c>
      <c r="B22" t="s">
        <v>89</v>
      </c>
      <c r="C22">
        <v>0</v>
      </c>
      <c r="D22" t="s">
        <v>91</v>
      </c>
      <c r="E22" t="s">
        <v>88</v>
      </c>
      <c r="F22" s="6">
        <v>0.54166666666666663</v>
      </c>
      <c r="G22">
        <v>0</v>
      </c>
      <c r="H22" s="6">
        <f>FLOOR(tblPivotData[[#This Row],[Time]],Summary!$B$6/1440)</f>
        <v>0.54166666666666663</v>
      </c>
      <c r="I22" s="46">
        <f>INDEX(PeakCalc!$L$10:$L$303,MATCH(tblPivotData[[#This Row],[Time]],PeakCalc!$G$10:$G$303,0))</f>
        <v>1</v>
      </c>
    </row>
    <row r="23" spans="1:9" x14ac:dyDescent="0.25">
      <c r="A23" t="s">
        <v>94</v>
      </c>
      <c r="B23" t="s">
        <v>89</v>
      </c>
      <c r="C23">
        <v>0</v>
      </c>
      <c r="D23" t="s">
        <v>91</v>
      </c>
      <c r="E23" t="s">
        <v>88</v>
      </c>
      <c r="F23" s="6">
        <v>0.55208333333333337</v>
      </c>
      <c r="G23">
        <v>1</v>
      </c>
      <c r="H23" s="6">
        <f>FLOOR(tblPivotData[[#This Row],[Time]],Summary!$B$6/1440)</f>
        <v>0.55208333333333326</v>
      </c>
      <c r="I23" s="46">
        <f>INDEX(PeakCalc!$L$10:$L$303,MATCH(tblPivotData[[#This Row],[Time]],PeakCalc!$G$10:$G$303,0))</f>
        <v>1</v>
      </c>
    </row>
    <row r="24" spans="1:9" x14ac:dyDescent="0.25">
      <c r="A24" t="s">
        <v>94</v>
      </c>
      <c r="B24" t="s">
        <v>89</v>
      </c>
      <c r="C24">
        <v>0</v>
      </c>
      <c r="D24" t="s">
        <v>91</v>
      </c>
      <c r="E24" t="s">
        <v>88</v>
      </c>
      <c r="F24" s="6">
        <v>0.5625</v>
      </c>
      <c r="G24">
        <v>1</v>
      </c>
      <c r="H24" s="6">
        <f>FLOOR(tblPivotData[[#This Row],[Time]],Summary!$B$6/1440)</f>
        <v>0.5625</v>
      </c>
      <c r="I24" s="46">
        <f>INDEX(PeakCalc!$L$10:$L$303,MATCH(tblPivotData[[#This Row],[Time]],PeakCalc!$G$10:$G$303,0))</f>
        <v>0</v>
      </c>
    </row>
    <row r="25" spans="1:9" x14ac:dyDescent="0.25">
      <c r="A25" t="s">
        <v>94</v>
      </c>
      <c r="B25" t="s">
        <v>89</v>
      </c>
      <c r="C25">
        <v>0</v>
      </c>
      <c r="D25" t="s">
        <v>91</v>
      </c>
      <c r="E25" t="s">
        <v>88</v>
      </c>
      <c r="F25" s="6">
        <v>0.57291666666666663</v>
      </c>
      <c r="G25">
        <v>0</v>
      </c>
      <c r="H25" s="6">
        <f>FLOOR(tblPivotData[[#This Row],[Time]],Summary!$B$6/1440)</f>
        <v>0.57291666666666663</v>
      </c>
      <c r="I25" s="46">
        <f>INDEX(PeakCalc!$L$10:$L$303,MATCH(tblPivotData[[#This Row],[Time]],PeakCalc!$G$10:$G$303,0))</f>
        <v>0</v>
      </c>
    </row>
    <row r="26" spans="1:9" x14ac:dyDescent="0.25">
      <c r="A26" t="s">
        <v>94</v>
      </c>
      <c r="B26" t="s">
        <v>89</v>
      </c>
      <c r="C26">
        <v>0</v>
      </c>
      <c r="D26" t="s">
        <v>91</v>
      </c>
      <c r="E26" t="s">
        <v>44</v>
      </c>
      <c r="F26" s="6">
        <v>0.625</v>
      </c>
      <c r="G26">
        <v>0</v>
      </c>
      <c r="H26" s="6">
        <f>FLOOR(tblPivotData[[#This Row],[Time]],Summary!$B$6/1440)</f>
        <v>0.625</v>
      </c>
      <c r="I26" s="46">
        <f>INDEX(PeakCalc!$L$10:$L$303,MATCH(tblPivotData[[#This Row],[Time]],PeakCalc!$G$10:$G$303,0))</f>
        <v>0</v>
      </c>
    </row>
    <row r="27" spans="1:9" x14ac:dyDescent="0.25">
      <c r="A27" t="s">
        <v>94</v>
      </c>
      <c r="B27" t="s">
        <v>89</v>
      </c>
      <c r="C27">
        <v>0</v>
      </c>
      <c r="D27" t="s">
        <v>91</v>
      </c>
      <c r="E27" t="s">
        <v>44</v>
      </c>
      <c r="F27" s="6">
        <v>0.63541666666666663</v>
      </c>
      <c r="G27">
        <v>0</v>
      </c>
      <c r="H27" s="6">
        <f>FLOOR(tblPivotData[[#This Row],[Time]],Summary!$B$6/1440)</f>
        <v>0.63541666666666663</v>
      </c>
      <c r="I27" s="46">
        <f>INDEX(PeakCalc!$L$10:$L$303,MATCH(tblPivotData[[#This Row],[Time]],PeakCalc!$G$10:$G$303,0))</f>
        <v>0</v>
      </c>
    </row>
    <row r="28" spans="1:9" x14ac:dyDescent="0.25">
      <c r="A28" t="s">
        <v>94</v>
      </c>
      <c r="B28" t="s">
        <v>89</v>
      </c>
      <c r="C28">
        <v>0</v>
      </c>
      <c r="D28" t="s">
        <v>91</v>
      </c>
      <c r="E28" t="s">
        <v>44</v>
      </c>
      <c r="F28" s="6">
        <v>0.64583333333333337</v>
      </c>
      <c r="G28">
        <v>0</v>
      </c>
      <c r="H28" s="6">
        <f>FLOOR(tblPivotData[[#This Row],[Time]],Summary!$B$6/1440)</f>
        <v>0.64583333333333326</v>
      </c>
      <c r="I28" s="46">
        <f>INDEX(PeakCalc!$L$10:$L$303,MATCH(tblPivotData[[#This Row],[Time]],PeakCalc!$G$10:$G$303,0))</f>
        <v>0</v>
      </c>
    </row>
    <row r="29" spans="1:9" x14ac:dyDescent="0.25">
      <c r="A29" t="s">
        <v>94</v>
      </c>
      <c r="B29" t="s">
        <v>89</v>
      </c>
      <c r="C29">
        <v>0</v>
      </c>
      <c r="D29" t="s">
        <v>91</v>
      </c>
      <c r="E29" t="s">
        <v>44</v>
      </c>
      <c r="F29" s="6">
        <v>0.65625</v>
      </c>
      <c r="G29">
        <v>0</v>
      </c>
      <c r="H29" s="6">
        <f>FLOOR(tblPivotData[[#This Row],[Time]],Summary!$B$6/1440)</f>
        <v>0.65625</v>
      </c>
      <c r="I29" s="46">
        <f>INDEX(PeakCalc!$L$10:$L$303,MATCH(tblPivotData[[#This Row],[Time]],PeakCalc!$G$10:$G$303,0))</f>
        <v>0</v>
      </c>
    </row>
    <row r="30" spans="1:9" x14ac:dyDescent="0.25">
      <c r="A30" t="s">
        <v>94</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94</v>
      </c>
      <c r="B31" t="s">
        <v>89</v>
      </c>
      <c r="C31">
        <v>0</v>
      </c>
      <c r="D31" t="s">
        <v>91</v>
      </c>
      <c r="E31" t="s">
        <v>44</v>
      </c>
      <c r="F31" s="6">
        <v>0.67708333333333337</v>
      </c>
      <c r="G31">
        <v>1</v>
      </c>
      <c r="H31" s="6">
        <f>FLOOR(tblPivotData[[#This Row],[Time]],Summary!$B$6/1440)</f>
        <v>0.67708333333333326</v>
      </c>
      <c r="I31" s="46">
        <f>INDEX(PeakCalc!$L$10:$L$303,MATCH(tblPivotData[[#This Row],[Time]],PeakCalc!$G$10:$G$303,0))</f>
        <v>0</v>
      </c>
    </row>
    <row r="32" spans="1:9" x14ac:dyDescent="0.25">
      <c r="A32" t="s">
        <v>94</v>
      </c>
      <c r="B32" t="s">
        <v>89</v>
      </c>
      <c r="C32">
        <v>0</v>
      </c>
      <c r="D32" t="s">
        <v>91</v>
      </c>
      <c r="E32" t="s">
        <v>44</v>
      </c>
      <c r="F32" s="6">
        <v>0.6875</v>
      </c>
      <c r="G32">
        <v>1</v>
      </c>
      <c r="H32" s="6">
        <f>FLOOR(tblPivotData[[#This Row],[Time]],Summary!$B$6/1440)</f>
        <v>0.6875</v>
      </c>
      <c r="I32" s="46">
        <f>INDEX(PeakCalc!$L$10:$L$303,MATCH(tblPivotData[[#This Row],[Time]],PeakCalc!$G$10:$G$303,0))</f>
        <v>1</v>
      </c>
    </row>
    <row r="33" spans="1:9" x14ac:dyDescent="0.25">
      <c r="A33" t="s">
        <v>94</v>
      </c>
      <c r="B33" t="s">
        <v>89</v>
      </c>
      <c r="C33">
        <v>0</v>
      </c>
      <c r="D33" t="s">
        <v>91</v>
      </c>
      <c r="E33" t="s">
        <v>44</v>
      </c>
      <c r="F33" s="6">
        <v>0.69791666666666663</v>
      </c>
      <c r="G33">
        <v>0</v>
      </c>
      <c r="H33" s="6">
        <f>FLOOR(tblPivotData[[#This Row],[Time]],Summary!$B$6/1440)</f>
        <v>0.69791666666666663</v>
      </c>
      <c r="I33" s="46">
        <f>INDEX(PeakCalc!$L$10:$L$303,MATCH(tblPivotData[[#This Row],[Time]],PeakCalc!$G$10:$G$303,0))</f>
        <v>1</v>
      </c>
    </row>
    <row r="34" spans="1:9" x14ac:dyDescent="0.25">
      <c r="A34" t="s">
        <v>94</v>
      </c>
      <c r="B34" t="s">
        <v>89</v>
      </c>
      <c r="C34">
        <v>0</v>
      </c>
      <c r="D34" t="s">
        <v>91</v>
      </c>
      <c r="E34" t="s">
        <v>44</v>
      </c>
      <c r="F34" s="6">
        <v>0.70833333333333337</v>
      </c>
      <c r="G34">
        <v>1</v>
      </c>
      <c r="H34" s="6">
        <f>FLOOR(tblPivotData[[#This Row],[Time]],Summary!$B$6/1440)</f>
        <v>0.70833333333333326</v>
      </c>
      <c r="I34" s="46">
        <f>INDEX(PeakCalc!$L$10:$L$303,MATCH(tblPivotData[[#This Row],[Time]],PeakCalc!$G$10:$G$303,0))</f>
        <v>1</v>
      </c>
    </row>
    <row r="35" spans="1:9" x14ac:dyDescent="0.25">
      <c r="A35" t="s">
        <v>94</v>
      </c>
      <c r="B35" t="s">
        <v>89</v>
      </c>
      <c r="C35">
        <v>0</v>
      </c>
      <c r="D35" t="s">
        <v>91</v>
      </c>
      <c r="E35" t="s">
        <v>44</v>
      </c>
      <c r="F35" s="6">
        <v>0.71875</v>
      </c>
      <c r="G35">
        <v>0</v>
      </c>
      <c r="H35" s="6">
        <f>FLOOR(tblPivotData[[#This Row],[Time]],Summary!$B$6/1440)</f>
        <v>0.71875</v>
      </c>
      <c r="I35" s="46">
        <f>INDEX(PeakCalc!$L$10:$L$303,MATCH(tblPivotData[[#This Row],[Time]],PeakCalc!$G$10:$G$303,0))</f>
        <v>1</v>
      </c>
    </row>
    <row r="36" spans="1:9" x14ac:dyDescent="0.25">
      <c r="A36" t="s">
        <v>94</v>
      </c>
      <c r="B36" t="s">
        <v>89</v>
      </c>
      <c r="C36">
        <v>0</v>
      </c>
      <c r="D36" t="s">
        <v>91</v>
      </c>
      <c r="E36" t="s">
        <v>44</v>
      </c>
      <c r="F36" s="6">
        <v>0.72916666666666663</v>
      </c>
      <c r="G36">
        <v>1</v>
      </c>
      <c r="H36" s="6">
        <f>FLOOR(tblPivotData[[#This Row],[Time]],Summary!$B$6/1440)</f>
        <v>0.72916666666666663</v>
      </c>
      <c r="I36" s="46">
        <f>INDEX(PeakCalc!$L$10:$L$303,MATCH(tblPivotData[[#This Row],[Time]],PeakCalc!$G$10:$G$303,0))</f>
        <v>0</v>
      </c>
    </row>
    <row r="37" spans="1:9" x14ac:dyDescent="0.25">
      <c r="A37" t="s">
        <v>94</v>
      </c>
      <c r="B37" t="s">
        <v>89</v>
      </c>
      <c r="C37">
        <v>0</v>
      </c>
      <c r="D37" t="s">
        <v>91</v>
      </c>
      <c r="E37" t="s">
        <v>44</v>
      </c>
      <c r="F37" s="6">
        <v>0.73958333333333337</v>
      </c>
      <c r="G37">
        <v>0</v>
      </c>
      <c r="H37" s="6">
        <f>FLOOR(tblPivotData[[#This Row],[Time]],Summary!$B$6/1440)</f>
        <v>0.73958333333333326</v>
      </c>
      <c r="I37" s="46">
        <f>INDEX(PeakCalc!$L$10:$L$303,MATCH(tblPivotData[[#This Row],[Time]],PeakCalc!$G$10:$G$303,0))</f>
        <v>0</v>
      </c>
    </row>
    <row r="38" spans="1:9" x14ac:dyDescent="0.25">
      <c r="A38" t="s">
        <v>94</v>
      </c>
      <c r="B38" t="s">
        <v>89</v>
      </c>
      <c r="C38">
        <v>0</v>
      </c>
      <c r="D38" t="s">
        <v>91</v>
      </c>
      <c r="E38" t="s">
        <v>44</v>
      </c>
      <c r="F38" s="6">
        <v>0.75</v>
      </c>
      <c r="G38">
        <v>1</v>
      </c>
      <c r="H38" s="6">
        <f>FLOOR(tblPivotData[[#This Row],[Time]],Summary!$B$6/1440)</f>
        <v>0.75</v>
      </c>
      <c r="I38" s="46">
        <f>INDEX(PeakCalc!$L$10:$L$303,MATCH(tblPivotData[[#This Row],[Time]],PeakCalc!$G$10:$G$303,0))</f>
        <v>0</v>
      </c>
    </row>
    <row r="39" spans="1:9" x14ac:dyDescent="0.25">
      <c r="A39" t="s">
        <v>94</v>
      </c>
      <c r="B39" t="s">
        <v>89</v>
      </c>
      <c r="C39">
        <v>0</v>
      </c>
      <c r="D39" t="s">
        <v>91</v>
      </c>
      <c r="E39" t="s">
        <v>44</v>
      </c>
      <c r="F39" s="6">
        <v>0.76041666666666663</v>
      </c>
      <c r="G39">
        <v>0</v>
      </c>
      <c r="H39" s="6">
        <f>FLOOR(tblPivotData[[#This Row],[Time]],Summary!$B$6/1440)</f>
        <v>0.76041666666666663</v>
      </c>
      <c r="I39" s="46">
        <f>INDEX(PeakCalc!$L$10:$L$303,MATCH(tblPivotData[[#This Row],[Time]],PeakCalc!$G$10:$G$303,0))</f>
        <v>0</v>
      </c>
    </row>
    <row r="40" spans="1:9" x14ac:dyDescent="0.25">
      <c r="A40" t="s">
        <v>94</v>
      </c>
      <c r="B40" t="s">
        <v>89</v>
      </c>
      <c r="C40">
        <v>0</v>
      </c>
      <c r="D40" t="s">
        <v>92</v>
      </c>
      <c r="E40" t="s">
        <v>43</v>
      </c>
      <c r="F40" s="6">
        <v>0.27083333333333331</v>
      </c>
      <c r="G40">
        <v>0</v>
      </c>
      <c r="H40" s="6">
        <f>FLOOR(tblPivotData[[#This Row],[Time]],Summary!$B$6/1440)</f>
        <v>0.27083333333333331</v>
      </c>
      <c r="I40" s="46">
        <f>INDEX(PeakCalc!$L$10:$L$303,MATCH(tblPivotData[[#This Row],[Time]],PeakCalc!$G$10:$G$303,0))</f>
        <v>0</v>
      </c>
    </row>
    <row r="41" spans="1:9" x14ac:dyDescent="0.25">
      <c r="A41" t="s">
        <v>94</v>
      </c>
      <c r="B41" t="s">
        <v>89</v>
      </c>
      <c r="C41">
        <v>0</v>
      </c>
      <c r="D41" t="s">
        <v>92</v>
      </c>
      <c r="E41" t="s">
        <v>43</v>
      </c>
      <c r="F41" s="6">
        <v>0.28125</v>
      </c>
      <c r="G41">
        <v>0</v>
      </c>
      <c r="H41" s="6">
        <f>FLOOR(tblPivotData[[#This Row],[Time]],Summary!$B$6/1440)</f>
        <v>0.28125</v>
      </c>
      <c r="I41" s="46">
        <f>INDEX(PeakCalc!$L$10:$L$303,MATCH(tblPivotData[[#This Row],[Time]],PeakCalc!$G$10:$G$303,0))</f>
        <v>0</v>
      </c>
    </row>
    <row r="42" spans="1:9" x14ac:dyDescent="0.25">
      <c r="A42" t="s">
        <v>94</v>
      </c>
      <c r="B42" t="s">
        <v>89</v>
      </c>
      <c r="C42">
        <v>0</v>
      </c>
      <c r="D42" t="s">
        <v>92</v>
      </c>
      <c r="E42" t="s">
        <v>43</v>
      </c>
      <c r="F42" s="6">
        <v>0.29166666666666669</v>
      </c>
      <c r="G42">
        <v>0</v>
      </c>
      <c r="H42" s="6">
        <f>FLOOR(tblPivotData[[#This Row],[Time]],Summary!$B$6/1440)</f>
        <v>0.29166666666666663</v>
      </c>
      <c r="I42" s="46">
        <f>INDEX(PeakCalc!$L$10:$L$303,MATCH(tblPivotData[[#This Row],[Time]],PeakCalc!$G$10:$G$303,0))</f>
        <v>0</v>
      </c>
    </row>
    <row r="43" spans="1:9" x14ac:dyDescent="0.25">
      <c r="A43" t="s">
        <v>94</v>
      </c>
      <c r="B43" t="s">
        <v>89</v>
      </c>
      <c r="C43">
        <v>0</v>
      </c>
      <c r="D43" t="s">
        <v>92</v>
      </c>
      <c r="E43" t="s">
        <v>43</v>
      </c>
      <c r="F43" s="6">
        <v>0.30208333333333331</v>
      </c>
      <c r="G43">
        <v>1</v>
      </c>
      <c r="H43" s="6">
        <f>FLOOR(tblPivotData[[#This Row],[Time]],Summary!$B$6/1440)</f>
        <v>0.30208333333333331</v>
      </c>
      <c r="I43" s="46">
        <f>INDEX(PeakCalc!$L$10:$L$303,MATCH(tblPivotData[[#This Row],[Time]],PeakCalc!$G$10:$G$303,0))</f>
        <v>0</v>
      </c>
    </row>
    <row r="44" spans="1:9" x14ac:dyDescent="0.25">
      <c r="A44" t="s">
        <v>94</v>
      </c>
      <c r="B44" t="s">
        <v>89</v>
      </c>
      <c r="C44">
        <v>0</v>
      </c>
      <c r="D44" t="s">
        <v>92</v>
      </c>
      <c r="E44" t="s">
        <v>43</v>
      </c>
      <c r="F44" s="6">
        <v>0.3125</v>
      </c>
      <c r="G44">
        <v>1</v>
      </c>
      <c r="H44" s="6">
        <f>FLOOR(tblPivotData[[#This Row],[Time]],Summary!$B$6/1440)</f>
        <v>0.3125</v>
      </c>
      <c r="I44" s="46">
        <f>INDEX(PeakCalc!$L$10:$L$303,MATCH(tblPivotData[[#This Row],[Time]],PeakCalc!$G$10:$G$303,0))</f>
        <v>0</v>
      </c>
    </row>
    <row r="45" spans="1:9" x14ac:dyDescent="0.25">
      <c r="A45" t="s">
        <v>94</v>
      </c>
      <c r="B45" t="s">
        <v>89</v>
      </c>
      <c r="C45">
        <v>0</v>
      </c>
      <c r="D45" t="s">
        <v>92</v>
      </c>
      <c r="E45" t="s">
        <v>43</v>
      </c>
      <c r="F45" s="6">
        <v>0.32291666666666669</v>
      </c>
      <c r="G45">
        <v>0</v>
      </c>
      <c r="H45" s="6">
        <f>FLOOR(tblPivotData[[#This Row],[Time]],Summary!$B$6/1440)</f>
        <v>0.32291666666666663</v>
      </c>
      <c r="I45" s="46">
        <f>INDEX(PeakCalc!$L$10:$L$303,MATCH(tblPivotData[[#This Row],[Time]],PeakCalc!$G$10:$G$303,0))</f>
        <v>1</v>
      </c>
    </row>
    <row r="46" spans="1:9" x14ac:dyDescent="0.25">
      <c r="A46" t="s">
        <v>94</v>
      </c>
      <c r="B46" t="s">
        <v>89</v>
      </c>
      <c r="C46">
        <v>0</v>
      </c>
      <c r="D46" t="s">
        <v>92</v>
      </c>
      <c r="E46" t="s">
        <v>43</v>
      </c>
      <c r="F46" s="6">
        <v>0.33333333333333331</v>
      </c>
      <c r="G46">
        <v>0</v>
      </c>
      <c r="H46" s="6">
        <f>FLOOR(tblPivotData[[#This Row],[Time]],Summary!$B$6/1440)</f>
        <v>0.33333333333333331</v>
      </c>
      <c r="I46" s="46">
        <f>INDEX(PeakCalc!$L$10:$L$303,MATCH(tblPivotData[[#This Row],[Time]],PeakCalc!$G$10:$G$303,0))</f>
        <v>1</v>
      </c>
    </row>
    <row r="47" spans="1:9" x14ac:dyDescent="0.25">
      <c r="A47" t="s">
        <v>94</v>
      </c>
      <c r="B47" t="s">
        <v>89</v>
      </c>
      <c r="C47">
        <v>0</v>
      </c>
      <c r="D47" t="s">
        <v>92</v>
      </c>
      <c r="E47" t="s">
        <v>43</v>
      </c>
      <c r="F47" s="6">
        <v>0.34375</v>
      </c>
      <c r="G47">
        <v>0</v>
      </c>
      <c r="H47" s="6">
        <f>FLOOR(tblPivotData[[#This Row],[Time]],Summary!$B$6/1440)</f>
        <v>0.34375</v>
      </c>
      <c r="I47" s="46">
        <f>INDEX(PeakCalc!$L$10:$L$303,MATCH(tblPivotData[[#This Row],[Time]],PeakCalc!$G$10:$G$303,0))</f>
        <v>1</v>
      </c>
    </row>
    <row r="48" spans="1:9" x14ac:dyDescent="0.25">
      <c r="A48" t="s">
        <v>94</v>
      </c>
      <c r="B48" t="s">
        <v>89</v>
      </c>
      <c r="C48">
        <v>0</v>
      </c>
      <c r="D48" t="s">
        <v>92</v>
      </c>
      <c r="E48" t="s">
        <v>43</v>
      </c>
      <c r="F48" s="6">
        <v>0.35416666666666669</v>
      </c>
      <c r="G48">
        <v>0</v>
      </c>
      <c r="H48" s="6">
        <f>FLOOR(tblPivotData[[#This Row],[Time]],Summary!$B$6/1440)</f>
        <v>0.35416666666666663</v>
      </c>
      <c r="I48" s="46">
        <f>INDEX(PeakCalc!$L$10:$L$303,MATCH(tblPivotData[[#This Row],[Time]],PeakCalc!$G$10:$G$303,0))</f>
        <v>1</v>
      </c>
    </row>
    <row r="49" spans="1:9" x14ac:dyDescent="0.25">
      <c r="A49" t="s">
        <v>94</v>
      </c>
      <c r="B49" t="s">
        <v>89</v>
      </c>
      <c r="C49">
        <v>0</v>
      </c>
      <c r="D49" t="s">
        <v>92</v>
      </c>
      <c r="E49" t="s">
        <v>43</v>
      </c>
      <c r="F49" s="6">
        <v>0.36458333333333331</v>
      </c>
      <c r="G49">
        <v>1</v>
      </c>
      <c r="H49" s="6">
        <f>FLOOR(tblPivotData[[#This Row],[Time]],Summary!$B$6/1440)</f>
        <v>0.36458333333333331</v>
      </c>
      <c r="I49" s="46">
        <f>INDEX(PeakCalc!$L$10:$L$303,MATCH(tblPivotData[[#This Row],[Time]],PeakCalc!$G$10:$G$303,0))</f>
        <v>0</v>
      </c>
    </row>
    <row r="50" spans="1:9" x14ac:dyDescent="0.25">
      <c r="A50" t="s">
        <v>94</v>
      </c>
      <c r="B50" t="s">
        <v>89</v>
      </c>
      <c r="C50">
        <v>0</v>
      </c>
      <c r="D50" t="s">
        <v>92</v>
      </c>
      <c r="E50" t="s">
        <v>43</v>
      </c>
      <c r="F50" s="6">
        <v>0.375</v>
      </c>
      <c r="G50">
        <v>5</v>
      </c>
      <c r="H50" s="6">
        <f>FLOOR(tblPivotData[[#This Row],[Time]],Summary!$B$6/1440)</f>
        <v>0.375</v>
      </c>
      <c r="I50" s="46">
        <f>INDEX(PeakCalc!$L$10:$L$303,MATCH(tblPivotData[[#This Row],[Time]],PeakCalc!$G$10:$G$303,0))</f>
        <v>0</v>
      </c>
    </row>
    <row r="51" spans="1:9" x14ac:dyDescent="0.25">
      <c r="A51" t="s">
        <v>94</v>
      </c>
      <c r="B51" t="s">
        <v>89</v>
      </c>
      <c r="C51">
        <v>0</v>
      </c>
      <c r="D51" t="s">
        <v>92</v>
      </c>
      <c r="E51" t="s">
        <v>43</v>
      </c>
      <c r="F51" s="6">
        <v>0.38541666666666669</v>
      </c>
      <c r="G51">
        <v>1</v>
      </c>
      <c r="H51" s="6">
        <f>FLOOR(tblPivotData[[#This Row],[Time]],Summary!$B$6/1440)</f>
        <v>0.38541666666666663</v>
      </c>
      <c r="I51" s="46">
        <f>INDEX(PeakCalc!$L$10:$L$303,MATCH(tblPivotData[[#This Row],[Time]],PeakCalc!$G$10:$G$303,0))</f>
        <v>0</v>
      </c>
    </row>
    <row r="52" spans="1:9" x14ac:dyDescent="0.25">
      <c r="A52" t="s">
        <v>94</v>
      </c>
      <c r="B52" t="s">
        <v>89</v>
      </c>
      <c r="C52">
        <v>0</v>
      </c>
      <c r="D52" t="s">
        <v>92</v>
      </c>
      <c r="E52" t="s">
        <v>88</v>
      </c>
      <c r="F52" s="6">
        <v>0.45833333333333331</v>
      </c>
      <c r="G52">
        <v>6</v>
      </c>
      <c r="H52" s="6">
        <f>FLOOR(tblPivotData[[#This Row],[Time]],Summary!$B$6/1440)</f>
        <v>0.45833333333333331</v>
      </c>
      <c r="I52" s="46">
        <f>INDEX(PeakCalc!$L$10:$L$303,MATCH(tblPivotData[[#This Row],[Time]],PeakCalc!$G$10:$G$303,0))</f>
        <v>0</v>
      </c>
    </row>
    <row r="53" spans="1:9" x14ac:dyDescent="0.25">
      <c r="A53" t="s">
        <v>94</v>
      </c>
      <c r="B53" t="s">
        <v>89</v>
      </c>
      <c r="C53">
        <v>0</v>
      </c>
      <c r="D53" t="s">
        <v>92</v>
      </c>
      <c r="E53" t="s">
        <v>88</v>
      </c>
      <c r="F53" s="6">
        <v>0.46875</v>
      </c>
      <c r="G53">
        <v>2</v>
      </c>
      <c r="H53" s="6">
        <f>FLOOR(tblPivotData[[#This Row],[Time]],Summary!$B$6/1440)</f>
        <v>0.46875</v>
      </c>
      <c r="I53" s="46">
        <f>INDEX(PeakCalc!$L$10:$L$303,MATCH(tblPivotData[[#This Row],[Time]],PeakCalc!$G$10:$G$303,0))</f>
        <v>0</v>
      </c>
    </row>
    <row r="54" spans="1:9" x14ac:dyDescent="0.25">
      <c r="A54" t="s">
        <v>94</v>
      </c>
      <c r="B54" t="s">
        <v>89</v>
      </c>
      <c r="C54">
        <v>0</v>
      </c>
      <c r="D54" t="s">
        <v>92</v>
      </c>
      <c r="E54" t="s">
        <v>88</v>
      </c>
      <c r="F54" s="6">
        <v>0.47916666666666669</v>
      </c>
      <c r="G54">
        <v>3</v>
      </c>
      <c r="H54" s="6">
        <f>FLOOR(tblPivotData[[#This Row],[Time]],Summary!$B$6/1440)</f>
        <v>0.47916666666666663</v>
      </c>
      <c r="I54" s="46">
        <f>INDEX(PeakCalc!$L$10:$L$303,MATCH(tblPivotData[[#This Row],[Time]],PeakCalc!$G$10:$G$303,0))</f>
        <v>0</v>
      </c>
    </row>
    <row r="55" spans="1:9" x14ac:dyDescent="0.25">
      <c r="A55" t="s">
        <v>94</v>
      </c>
      <c r="B55" t="s">
        <v>89</v>
      </c>
      <c r="C55">
        <v>0</v>
      </c>
      <c r="D55" t="s">
        <v>92</v>
      </c>
      <c r="E55" t="s">
        <v>88</v>
      </c>
      <c r="F55" s="6">
        <v>0.48958333333333331</v>
      </c>
      <c r="G55">
        <v>1</v>
      </c>
      <c r="H55" s="6">
        <f>FLOOR(tblPivotData[[#This Row],[Time]],Summary!$B$6/1440)</f>
        <v>0.48958333333333331</v>
      </c>
      <c r="I55" s="46">
        <f>INDEX(PeakCalc!$L$10:$L$303,MATCH(tblPivotData[[#This Row],[Time]],PeakCalc!$G$10:$G$303,0))</f>
        <v>0</v>
      </c>
    </row>
    <row r="56" spans="1:9" x14ac:dyDescent="0.25">
      <c r="A56" t="s">
        <v>94</v>
      </c>
      <c r="B56" t="s">
        <v>89</v>
      </c>
      <c r="C56">
        <v>0</v>
      </c>
      <c r="D56" t="s">
        <v>92</v>
      </c>
      <c r="E56" t="s">
        <v>88</v>
      </c>
      <c r="F56" s="6">
        <v>0.5</v>
      </c>
      <c r="G56">
        <v>3</v>
      </c>
      <c r="H56" s="6">
        <f>FLOOR(tblPivotData[[#This Row],[Time]],Summary!$B$6/1440)</f>
        <v>0.5</v>
      </c>
      <c r="I56" s="46">
        <f>INDEX(PeakCalc!$L$10:$L$303,MATCH(tblPivotData[[#This Row],[Time]],PeakCalc!$G$10:$G$303,0))</f>
        <v>0</v>
      </c>
    </row>
    <row r="57" spans="1:9" x14ac:dyDescent="0.25">
      <c r="A57" t="s">
        <v>94</v>
      </c>
      <c r="B57" t="s">
        <v>89</v>
      </c>
      <c r="C57">
        <v>0</v>
      </c>
      <c r="D57" t="s">
        <v>92</v>
      </c>
      <c r="E57" t="s">
        <v>88</v>
      </c>
      <c r="F57" s="6">
        <v>0.51041666666666663</v>
      </c>
      <c r="G57">
        <v>1</v>
      </c>
      <c r="H57" s="6">
        <f>FLOOR(tblPivotData[[#This Row],[Time]],Summary!$B$6/1440)</f>
        <v>0.51041666666666663</v>
      </c>
      <c r="I57" s="46">
        <f>INDEX(PeakCalc!$L$10:$L$303,MATCH(tblPivotData[[#This Row],[Time]],PeakCalc!$G$10:$G$303,0))</f>
        <v>0</v>
      </c>
    </row>
    <row r="58" spans="1:9" x14ac:dyDescent="0.25">
      <c r="A58" t="s">
        <v>94</v>
      </c>
      <c r="B58" t="s">
        <v>89</v>
      </c>
      <c r="C58">
        <v>0</v>
      </c>
      <c r="D58" t="s">
        <v>92</v>
      </c>
      <c r="E58" t="s">
        <v>88</v>
      </c>
      <c r="F58" s="6">
        <v>0.52083333333333337</v>
      </c>
      <c r="G58">
        <v>4</v>
      </c>
      <c r="H58" s="6">
        <f>FLOOR(tblPivotData[[#This Row],[Time]],Summary!$B$6/1440)</f>
        <v>0.52083333333333326</v>
      </c>
      <c r="I58" s="46">
        <f>INDEX(PeakCalc!$L$10:$L$303,MATCH(tblPivotData[[#This Row],[Time]],PeakCalc!$G$10:$G$303,0))</f>
        <v>1</v>
      </c>
    </row>
    <row r="59" spans="1:9" x14ac:dyDescent="0.25">
      <c r="A59" t="s">
        <v>94</v>
      </c>
      <c r="B59" t="s">
        <v>89</v>
      </c>
      <c r="C59">
        <v>0</v>
      </c>
      <c r="D59" t="s">
        <v>92</v>
      </c>
      <c r="E59" t="s">
        <v>88</v>
      </c>
      <c r="F59" s="6">
        <v>0.53125</v>
      </c>
      <c r="G59">
        <v>3</v>
      </c>
      <c r="H59" s="6">
        <f>FLOOR(tblPivotData[[#This Row],[Time]],Summary!$B$6/1440)</f>
        <v>0.53125</v>
      </c>
      <c r="I59" s="46">
        <f>INDEX(PeakCalc!$L$10:$L$303,MATCH(tblPivotData[[#This Row],[Time]],PeakCalc!$G$10:$G$303,0))</f>
        <v>1</v>
      </c>
    </row>
    <row r="60" spans="1:9" x14ac:dyDescent="0.25">
      <c r="A60" t="s">
        <v>94</v>
      </c>
      <c r="B60" t="s">
        <v>89</v>
      </c>
      <c r="C60">
        <v>0</v>
      </c>
      <c r="D60" t="s">
        <v>92</v>
      </c>
      <c r="E60" t="s">
        <v>88</v>
      </c>
      <c r="F60" s="6">
        <v>0.54166666666666663</v>
      </c>
      <c r="G60">
        <v>1</v>
      </c>
      <c r="H60" s="6">
        <f>FLOOR(tblPivotData[[#This Row],[Time]],Summary!$B$6/1440)</f>
        <v>0.54166666666666663</v>
      </c>
      <c r="I60" s="46">
        <f>INDEX(PeakCalc!$L$10:$L$303,MATCH(tblPivotData[[#This Row],[Time]],PeakCalc!$G$10:$G$303,0))</f>
        <v>1</v>
      </c>
    </row>
    <row r="61" spans="1:9" x14ac:dyDescent="0.25">
      <c r="A61" t="s">
        <v>94</v>
      </c>
      <c r="B61" t="s">
        <v>89</v>
      </c>
      <c r="C61">
        <v>0</v>
      </c>
      <c r="D61" t="s">
        <v>92</v>
      </c>
      <c r="E61" t="s">
        <v>88</v>
      </c>
      <c r="F61" s="6">
        <v>0.55208333333333337</v>
      </c>
      <c r="G61">
        <v>4</v>
      </c>
      <c r="H61" s="6">
        <f>FLOOR(tblPivotData[[#This Row],[Time]],Summary!$B$6/1440)</f>
        <v>0.55208333333333326</v>
      </c>
      <c r="I61" s="46">
        <f>INDEX(PeakCalc!$L$10:$L$303,MATCH(tblPivotData[[#This Row],[Time]],PeakCalc!$G$10:$G$303,0))</f>
        <v>1</v>
      </c>
    </row>
    <row r="62" spans="1:9" x14ac:dyDescent="0.25">
      <c r="A62" t="s">
        <v>94</v>
      </c>
      <c r="B62" t="s">
        <v>89</v>
      </c>
      <c r="C62">
        <v>0</v>
      </c>
      <c r="D62" t="s">
        <v>92</v>
      </c>
      <c r="E62" t="s">
        <v>88</v>
      </c>
      <c r="F62" s="6">
        <v>0.5625</v>
      </c>
      <c r="G62">
        <v>0</v>
      </c>
      <c r="H62" s="6">
        <f>FLOOR(tblPivotData[[#This Row],[Time]],Summary!$B$6/1440)</f>
        <v>0.5625</v>
      </c>
      <c r="I62" s="46">
        <f>INDEX(PeakCalc!$L$10:$L$303,MATCH(tblPivotData[[#This Row],[Time]],PeakCalc!$G$10:$G$303,0))</f>
        <v>0</v>
      </c>
    </row>
    <row r="63" spans="1:9" x14ac:dyDescent="0.25">
      <c r="A63" t="s">
        <v>94</v>
      </c>
      <c r="B63" t="s">
        <v>89</v>
      </c>
      <c r="C63">
        <v>0</v>
      </c>
      <c r="D63" t="s">
        <v>92</v>
      </c>
      <c r="E63" t="s">
        <v>88</v>
      </c>
      <c r="F63" s="6">
        <v>0.57291666666666663</v>
      </c>
      <c r="G63">
        <v>5</v>
      </c>
      <c r="H63" s="6">
        <f>FLOOR(tblPivotData[[#This Row],[Time]],Summary!$B$6/1440)</f>
        <v>0.57291666666666663</v>
      </c>
      <c r="I63" s="46">
        <f>INDEX(PeakCalc!$L$10:$L$303,MATCH(tblPivotData[[#This Row],[Time]],PeakCalc!$G$10:$G$303,0))</f>
        <v>0</v>
      </c>
    </row>
    <row r="64" spans="1:9" x14ac:dyDescent="0.25">
      <c r="A64" t="s">
        <v>94</v>
      </c>
      <c r="B64" t="s">
        <v>89</v>
      </c>
      <c r="C64">
        <v>0</v>
      </c>
      <c r="D64" t="s">
        <v>92</v>
      </c>
      <c r="E64" t="s">
        <v>44</v>
      </c>
      <c r="F64" s="6">
        <v>0.625</v>
      </c>
      <c r="G64">
        <v>1</v>
      </c>
      <c r="H64" s="6">
        <f>FLOOR(tblPivotData[[#This Row],[Time]],Summary!$B$6/1440)</f>
        <v>0.625</v>
      </c>
      <c r="I64" s="46">
        <f>INDEX(PeakCalc!$L$10:$L$303,MATCH(tblPivotData[[#This Row],[Time]],PeakCalc!$G$10:$G$303,0))</f>
        <v>0</v>
      </c>
    </row>
    <row r="65" spans="1:9" x14ac:dyDescent="0.25">
      <c r="A65" t="s">
        <v>94</v>
      </c>
      <c r="B65" t="s">
        <v>89</v>
      </c>
      <c r="C65">
        <v>0</v>
      </c>
      <c r="D65" t="s">
        <v>92</v>
      </c>
      <c r="E65" t="s">
        <v>44</v>
      </c>
      <c r="F65" s="6">
        <v>0.63541666666666663</v>
      </c>
      <c r="G65">
        <v>5</v>
      </c>
      <c r="H65" s="6">
        <f>FLOOR(tblPivotData[[#This Row],[Time]],Summary!$B$6/1440)</f>
        <v>0.63541666666666663</v>
      </c>
      <c r="I65" s="46">
        <f>INDEX(PeakCalc!$L$10:$L$303,MATCH(tblPivotData[[#This Row],[Time]],PeakCalc!$G$10:$G$303,0))</f>
        <v>0</v>
      </c>
    </row>
    <row r="66" spans="1:9" x14ac:dyDescent="0.25">
      <c r="A66" t="s">
        <v>94</v>
      </c>
      <c r="B66" t="s">
        <v>89</v>
      </c>
      <c r="C66">
        <v>0</v>
      </c>
      <c r="D66" t="s">
        <v>92</v>
      </c>
      <c r="E66" t="s">
        <v>44</v>
      </c>
      <c r="F66" s="6">
        <v>0.64583333333333337</v>
      </c>
      <c r="G66">
        <v>7</v>
      </c>
      <c r="H66" s="6">
        <f>FLOOR(tblPivotData[[#This Row],[Time]],Summary!$B$6/1440)</f>
        <v>0.64583333333333326</v>
      </c>
      <c r="I66" s="46">
        <f>INDEX(PeakCalc!$L$10:$L$303,MATCH(tblPivotData[[#This Row],[Time]],PeakCalc!$G$10:$G$303,0))</f>
        <v>0</v>
      </c>
    </row>
    <row r="67" spans="1:9" x14ac:dyDescent="0.25">
      <c r="A67" t="s">
        <v>94</v>
      </c>
      <c r="B67" t="s">
        <v>89</v>
      </c>
      <c r="C67">
        <v>0</v>
      </c>
      <c r="D67" t="s">
        <v>92</v>
      </c>
      <c r="E67" t="s">
        <v>44</v>
      </c>
      <c r="F67" s="6">
        <v>0.65625</v>
      </c>
      <c r="G67">
        <v>3</v>
      </c>
      <c r="H67" s="6">
        <f>FLOOR(tblPivotData[[#This Row],[Time]],Summary!$B$6/1440)</f>
        <v>0.65625</v>
      </c>
      <c r="I67" s="46">
        <f>INDEX(PeakCalc!$L$10:$L$303,MATCH(tblPivotData[[#This Row],[Time]],PeakCalc!$G$10:$G$303,0))</f>
        <v>0</v>
      </c>
    </row>
    <row r="68" spans="1:9" x14ac:dyDescent="0.25">
      <c r="A68" t="s">
        <v>94</v>
      </c>
      <c r="B68" t="s">
        <v>89</v>
      </c>
      <c r="C68">
        <v>0</v>
      </c>
      <c r="D68" t="s">
        <v>92</v>
      </c>
      <c r="E68" t="s">
        <v>44</v>
      </c>
      <c r="F68" s="6">
        <v>0.66666666666666663</v>
      </c>
      <c r="G68">
        <v>3</v>
      </c>
      <c r="H68" s="6">
        <f>FLOOR(tblPivotData[[#This Row],[Time]],Summary!$B$6/1440)</f>
        <v>0.66666666666666663</v>
      </c>
      <c r="I68" s="46">
        <f>INDEX(PeakCalc!$L$10:$L$303,MATCH(tblPivotData[[#This Row],[Time]],PeakCalc!$G$10:$G$303,0))</f>
        <v>0</v>
      </c>
    </row>
    <row r="69" spans="1:9" x14ac:dyDescent="0.25">
      <c r="A69" t="s">
        <v>94</v>
      </c>
      <c r="B69" t="s">
        <v>89</v>
      </c>
      <c r="C69">
        <v>0</v>
      </c>
      <c r="D69" t="s">
        <v>92</v>
      </c>
      <c r="E69" t="s">
        <v>44</v>
      </c>
      <c r="F69" s="6">
        <v>0.67708333333333337</v>
      </c>
      <c r="G69">
        <v>7</v>
      </c>
      <c r="H69" s="6">
        <f>FLOOR(tblPivotData[[#This Row],[Time]],Summary!$B$6/1440)</f>
        <v>0.67708333333333326</v>
      </c>
      <c r="I69" s="46">
        <f>INDEX(PeakCalc!$L$10:$L$303,MATCH(tblPivotData[[#This Row],[Time]],PeakCalc!$G$10:$G$303,0))</f>
        <v>0</v>
      </c>
    </row>
    <row r="70" spans="1:9" x14ac:dyDescent="0.25">
      <c r="A70" t="s">
        <v>94</v>
      </c>
      <c r="B70" t="s">
        <v>89</v>
      </c>
      <c r="C70">
        <v>0</v>
      </c>
      <c r="D70" t="s">
        <v>92</v>
      </c>
      <c r="E70" t="s">
        <v>44</v>
      </c>
      <c r="F70" s="6">
        <v>0.6875</v>
      </c>
      <c r="G70">
        <v>1</v>
      </c>
      <c r="H70" s="6">
        <f>FLOOR(tblPivotData[[#This Row],[Time]],Summary!$B$6/1440)</f>
        <v>0.6875</v>
      </c>
      <c r="I70" s="46">
        <f>INDEX(PeakCalc!$L$10:$L$303,MATCH(tblPivotData[[#This Row],[Time]],PeakCalc!$G$10:$G$303,0))</f>
        <v>1</v>
      </c>
    </row>
    <row r="71" spans="1:9" x14ac:dyDescent="0.25">
      <c r="A71" t="s">
        <v>94</v>
      </c>
      <c r="B71" t="s">
        <v>89</v>
      </c>
      <c r="C71">
        <v>0</v>
      </c>
      <c r="D71" t="s">
        <v>92</v>
      </c>
      <c r="E71" t="s">
        <v>44</v>
      </c>
      <c r="F71" s="6">
        <v>0.69791666666666663</v>
      </c>
      <c r="G71">
        <v>2</v>
      </c>
      <c r="H71" s="6">
        <f>FLOOR(tblPivotData[[#This Row],[Time]],Summary!$B$6/1440)</f>
        <v>0.69791666666666663</v>
      </c>
      <c r="I71" s="46">
        <f>INDEX(PeakCalc!$L$10:$L$303,MATCH(tblPivotData[[#This Row],[Time]],PeakCalc!$G$10:$G$303,0))</f>
        <v>1</v>
      </c>
    </row>
    <row r="72" spans="1:9" x14ac:dyDescent="0.25">
      <c r="A72" t="s">
        <v>94</v>
      </c>
      <c r="B72" t="s">
        <v>89</v>
      </c>
      <c r="C72">
        <v>0</v>
      </c>
      <c r="D72" t="s">
        <v>92</v>
      </c>
      <c r="E72" t="s">
        <v>44</v>
      </c>
      <c r="F72" s="6">
        <v>0.70833333333333337</v>
      </c>
      <c r="G72">
        <v>1</v>
      </c>
      <c r="H72" s="6">
        <f>FLOOR(tblPivotData[[#This Row],[Time]],Summary!$B$6/1440)</f>
        <v>0.70833333333333326</v>
      </c>
      <c r="I72" s="46">
        <f>INDEX(PeakCalc!$L$10:$L$303,MATCH(tblPivotData[[#This Row],[Time]],PeakCalc!$G$10:$G$303,0))</f>
        <v>1</v>
      </c>
    </row>
    <row r="73" spans="1:9" x14ac:dyDescent="0.25">
      <c r="A73" t="s">
        <v>94</v>
      </c>
      <c r="B73" t="s">
        <v>89</v>
      </c>
      <c r="C73">
        <v>0</v>
      </c>
      <c r="D73" t="s">
        <v>92</v>
      </c>
      <c r="E73" t="s">
        <v>44</v>
      </c>
      <c r="F73" s="6">
        <v>0.71875</v>
      </c>
      <c r="G73">
        <v>1</v>
      </c>
      <c r="H73" s="6">
        <f>FLOOR(tblPivotData[[#This Row],[Time]],Summary!$B$6/1440)</f>
        <v>0.71875</v>
      </c>
      <c r="I73" s="46">
        <f>INDEX(PeakCalc!$L$10:$L$303,MATCH(tblPivotData[[#This Row],[Time]],PeakCalc!$G$10:$G$303,0))</f>
        <v>1</v>
      </c>
    </row>
    <row r="74" spans="1:9" x14ac:dyDescent="0.25">
      <c r="A74" t="s">
        <v>94</v>
      </c>
      <c r="B74" t="s">
        <v>89</v>
      </c>
      <c r="C74">
        <v>0</v>
      </c>
      <c r="D74" t="s">
        <v>92</v>
      </c>
      <c r="E74" t="s">
        <v>44</v>
      </c>
      <c r="F74" s="6">
        <v>0.72916666666666663</v>
      </c>
      <c r="G74">
        <v>0</v>
      </c>
      <c r="H74" s="6">
        <f>FLOOR(tblPivotData[[#This Row],[Time]],Summary!$B$6/1440)</f>
        <v>0.72916666666666663</v>
      </c>
      <c r="I74" s="46">
        <f>INDEX(PeakCalc!$L$10:$L$303,MATCH(tblPivotData[[#This Row],[Time]],PeakCalc!$G$10:$G$303,0))</f>
        <v>0</v>
      </c>
    </row>
    <row r="75" spans="1:9" x14ac:dyDescent="0.25">
      <c r="A75" t="s">
        <v>94</v>
      </c>
      <c r="B75" t="s">
        <v>89</v>
      </c>
      <c r="C75">
        <v>0</v>
      </c>
      <c r="D75" t="s">
        <v>92</v>
      </c>
      <c r="E75" t="s">
        <v>44</v>
      </c>
      <c r="F75" s="6">
        <v>0.73958333333333337</v>
      </c>
      <c r="G75">
        <v>0</v>
      </c>
      <c r="H75" s="6">
        <f>FLOOR(tblPivotData[[#This Row],[Time]],Summary!$B$6/1440)</f>
        <v>0.73958333333333326</v>
      </c>
      <c r="I75" s="46">
        <f>INDEX(PeakCalc!$L$10:$L$303,MATCH(tblPivotData[[#This Row],[Time]],PeakCalc!$G$10:$G$303,0))</f>
        <v>0</v>
      </c>
    </row>
    <row r="76" spans="1:9" x14ac:dyDescent="0.25">
      <c r="A76" t="s">
        <v>94</v>
      </c>
      <c r="B76" t="s">
        <v>89</v>
      </c>
      <c r="C76">
        <v>0</v>
      </c>
      <c r="D76" t="s">
        <v>92</v>
      </c>
      <c r="E76" t="s">
        <v>44</v>
      </c>
      <c r="F76" s="6">
        <v>0.75</v>
      </c>
      <c r="G76">
        <v>0</v>
      </c>
      <c r="H76" s="6">
        <f>FLOOR(tblPivotData[[#This Row],[Time]],Summary!$B$6/1440)</f>
        <v>0.75</v>
      </c>
      <c r="I76" s="46">
        <f>INDEX(PeakCalc!$L$10:$L$303,MATCH(tblPivotData[[#This Row],[Time]],PeakCalc!$G$10:$G$303,0))</f>
        <v>0</v>
      </c>
    </row>
    <row r="77" spans="1:9" x14ac:dyDescent="0.25">
      <c r="A77" t="s">
        <v>94</v>
      </c>
      <c r="B77" t="s">
        <v>89</v>
      </c>
      <c r="C77">
        <v>0</v>
      </c>
      <c r="D77" t="s">
        <v>92</v>
      </c>
      <c r="E77" t="s">
        <v>44</v>
      </c>
      <c r="F77" s="6">
        <v>0.76041666666666663</v>
      </c>
      <c r="G77">
        <v>2</v>
      </c>
      <c r="H77" s="6">
        <f>FLOOR(tblPivotData[[#This Row],[Time]],Summary!$B$6/1440)</f>
        <v>0.76041666666666663</v>
      </c>
      <c r="I77" s="46">
        <f>INDEX(PeakCalc!$L$10:$L$303,MATCH(tblPivotData[[#This Row],[Time]],PeakCalc!$G$10:$G$303,0))</f>
        <v>0</v>
      </c>
    </row>
    <row r="78" spans="1:9" x14ac:dyDescent="0.25">
      <c r="A78" t="s">
        <v>94</v>
      </c>
      <c r="B78" t="s">
        <v>90</v>
      </c>
      <c r="C78">
        <v>0</v>
      </c>
      <c r="D78" t="s">
        <v>91</v>
      </c>
      <c r="E78" t="s">
        <v>43</v>
      </c>
      <c r="F78" s="6">
        <v>0.27083333333333331</v>
      </c>
      <c r="G78">
        <v>1</v>
      </c>
      <c r="H78" s="6">
        <f>FLOOR(tblPivotData[[#This Row],[Time]],Summary!$B$6/1440)</f>
        <v>0.27083333333333331</v>
      </c>
      <c r="I78" s="46">
        <f>INDEX(PeakCalc!$L$10:$L$303,MATCH(tblPivotData[[#This Row],[Time]],PeakCalc!$G$10:$G$303,0))</f>
        <v>0</v>
      </c>
    </row>
    <row r="79" spans="1:9" x14ac:dyDescent="0.25">
      <c r="A79" t="s">
        <v>94</v>
      </c>
      <c r="B79" t="s">
        <v>90</v>
      </c>
      <c r="C79">
        <v>0</v>
      </c>
      <c r="D79" t="s">
        <v>91</v>
      </c>
      <c r="E79" t="s">
        <v>43</v>
      </c>
      <c r="F79" s="6">
        <v>0.28125</v>
      </c>
      <c r="G79">
        <v>1</v>
      </c>
      <c r="H79" s="6">
        <f>FLOOR(tblPivotData[[#This Row],[Time]],Summary!$B$6/1440)</f>
        <v>0.28125</v>
      </c>
      <c r="I79" s="46">
        <f>INDEX(PeakCalc!$L$10:$L$303,MATCH(tblPivotData[[#This Row],[Time]],PeakCalc!$G$10:$G$303,0))</f>
        <v>0</v>
      </c>
    </row>
    <row r="80" spans="1:9" x14ac:dyDescent="0.25">
      <c r="A80" t="s">
        <v>94</v>
      </c>
      <c r="B80" t="s">
        <v>90</v>
      </c>
      <c r="C80">
        <v>0</v>
      </c>
      <c r="D80" t="s">
        <v>91</v>
      </c>
      <c r="E80" t="s">
        <v>43</v>
      </c>
      <c r="F80" s="6">
        <v>0.29166666666666669</v>
      </c>
      <c r="G80">
        <v>0</v>
      </c>
      <c r="H80" s="6">
        <f>FLOOR(tblPivotData[[#This Row],[Time]],Summary!$B$6/1440)</f>
        <v>0.29166666666666663</v>
      </c>
      <c r="I80" s="46">
        <f>INDEX(PeakCalc!$L$10:$L$303,MATCH(tblPivotData[[#This Row],[Time]],PeakCalc!$G$10:$G$303,0))</f>
        <v>0</v>
      </c>
    </row>
    <row r="81" spans="1:9" x14ac:dyDescent="0.25">
      <c r="A81" t="s">
        <v>94</v>
      </c>
      <c r="B81" t="s">
        <v>90</v>
      </c>
      <c r="C81">
        <v>0</v>
      </c>
      <c r="D81" t="s">
        <v>91</v>
      </c>
      <c r="E81" t="s">
        <v>43</v>
      </c>
      <c r="F81" s="6">
        <v>0.30208333333333331</v>
      </c>
      <c r="G81">
        <v>0</v>
      </c>
      <c r="H81" s="6">
        <f>FLOOR(tblPivotData[[#This Row],[Time]],Summary!$B$6/1440)</f>
        <v>0.30208333333333331</v>
      </c>
      <c r="I81" s="46">
        <f>INDEX(PeakCalc!$L$10:$L$303,MATCH(tblPivotData[[#This Row],[Time]],PeakCalc!$G$10:$G$303,0))</f>
        <v>0</v>
      </c>
    </row>
    <row r="82" spans="1:9" x14ac:dyDescent="0.25">
      <c r="A82" t="s">
        <v>94</v>
      </c>
      <c r="B82" t="s">
        <v>90</v>
      </c>
      <c r="C82">
        <v>0</v>
      </c>
      <c r="D82" t="s">
        <v>91</v>
      </c>
      <c r="E82" t="s">
        <v>43</v>
      </c>
      <c r="F82" s="6">
        <v>0.3125</v>
      </c>
      <c r="G82">
        <v>1</v>
      </c>
      <c r="H82" s="6">
        <f>FLOOR(tblPivotData[[#This Row],[Time]],Summary!$B$6/1440)</f>
        <v>0.3125</v>
      </c>
      <c r="I82" s="46">
        <f>INDEX(PeakCalc!$L$10:$L$303,MATCH(tblPivotData[[#This Row],[Time]],PeakCalc!$G$10:$G$303,0))</f>
        <v>0</v>
      </c>
    </row>
    <row r="83" spans="1:9" x14ac:dyDescent="0.25">
      <c r="A83" t="s">
        <v>94</v>
      </c>
      <c r="B83" t="s">
        <v>90</v>
      </c>
      <c r="C83">
        <v>0</v>
      </c>
      <c r="D83" t="s">
        <v>91</v>
      </c>
      <c r="E83" t="s">
        <v>43</v>
      </c>
      <c r="F83" s="6">
        <v>0.32291666666666669</v>
      </c>
      <c r="G83">
        <v>0</v>
      </c>
      <c r="H83" s="6">
        <f>FLOOR(tblPivotData[[#This Row],[Time]],Summary!$B$6/1440)</f>
        <v>0.32291666666666663</v>
      </c>
      <c r="I83" s="46">
        <f>INDEX(PeakCalc!$L$10:$L$303,MATCH(tblPivotData[[#This Row],[Time]],PeakCalc!$G$10:$G$303,0))</f>
        <v>1</v>
      </c>
    </row>
    <row r="84" spans="1:9" x14ac:dyDescent="0.25">
      <c r="A84" t="s">
        <v>94</v>
      </c>
      <c r="B84" t="s">
        <v>90</v>
      </c>
      <c r="C84">
        <v>0</v>
      </c>
      <c r="D84" t="s">
        <v>91</v>
      </c>
      <c r="E84" t="s">
        <v>43</v>
      </c>
      <c r="F84" s="6">
        <v>0.33333333333333331</v>
      </c>
      <c r="G84">
        <v>0</v>
      </c>
      <c r="H84" s="6">
        <f>FLOOR(tblPivotData[[#This Row],[Time]],Summary!$B$6/1440)</f>
        <v>0.33333333333333331</v>
      </c>
      <c r="I84" s="46">
        <f>INDEX(PeakCalc!$L$10:$L$303,MATCH(tblPivotData[[#This Row],[Time]],PeakCalc!$G$10:$G$303,0))</f>
        <v>1</v>
      </c>
    </row>
    <row r="85" spans="1:9" x14ac:dyDescent="0.25">
      <c r="A85" t="s">
        <v>94</v>
      </c>
      <c r="B85" t="s">
        <v>90</v>
      </c>
      <c r="C85">
        <v>0</v>
      </c>
      <c r="D85" t="s">
        <v>91</v>
      </c>
      <c r="E85" t="s">
        <v>43</v>
      </c>
      <c r="F85" s="6">
        <v>0.34375</v>
      </c>
      <c r="G85">
        <v>1</v>
      </c>
      <c r="H85" s="6">
        <f>FLOOR(tblPivotData[[#This Row],[Time]],Summary!$B$6/1440)</f>
        <v>0.34375</v>
      </c>
      <c r="I85" s="46">
        <f>INDEX(PeakCalc!$L$10:$L$303,MATCH(tblPivotData[[#This Row],[Time]],PeakCalc!$G$10:$G$303,0))</f>
        <v>1</v>
      </c>
    </row>
    <row r="86" spans="1:9" x14ac:dyDescent="0.25">
      <c r="A86" t="s">
        <v>94</v>
      </c>
      <c r="B86" t="s">
        <v>90</v>
      </c>
      <c r="C86">
        <v>0</v>
      </c>
      <c r="D86" t="s">
        <v>91</v>
      </c>
      <c r="E86" t="s">
        <v>43</v>
      </c>
      <c r="F86" s="6">
        <v>0.35416666666666669</v>
      </c>
      <c r="G86">
        <v>1</v>
      </c>
      <c r="H86" s="6">
        <f>FLOOR(tblPivotData[[#This Row],[Time]],Summary!$B$6/1440)</f>
        <v>0.35416666666666663</v>
      </c>
      <c r="I86" s="46">
        <f>INDEX(PeakCalc!$L$10:$L$303,MATCH(tblPivotData[[#This Row],[Time]],PeakCalc!$G$10:$G$303,0))</f>
        <v>1</v>
      </c>
    </row>
    <row r="87" spans="1:9" x14ac:dyDescent="0.25">
      <c r="A87" t="s">
        <v>94</v>
      </c>
      <c r="B87" t="s">
        <v>90</v>
      </c>
      <c r="C87">
        <v>0</v>
      </c>
      <c r="D87" t="s">
        <v>91</v>
      </c>
      <c r="E87" t="s">
        <v>43</v>
      </c>
      <c r="F87" s="6">
        <v>0.36458333333333331</v>
      </c>
      <c r="G87">
        <v>0</v>
      </c>
      <c r="H87" s="6">
        <f>FLOOR(tblPivotData[[#This Row],[Time]],Summary!$B$6/1440)</f>
        <v>0.36458333333333331</v>
      </c>
      <c r="I87" s="46">
        <f>INDEX(PeakCalc!$L$10:$L$303,MATCH(tblPivotData[[#This Row],[Time]],PeakCalc!$G$10:$G$303,0))</f>
        <v>0</v>
      </c>
    </row>
    <row r="88" spans="1:9" x14ac:dyDescent="0.25">
      <c r="A88" t="s">
        <v>94</v>
      </c>
      <c r="B88" t="s">
        <v>90</v>
      </c>
      <c r="C88">
        <v>0</v>
      </c>
      <c r="D88" t="s">
        <v>91</v>
      </c>
      <c r="E88" t="s">
        <v>43</v>
      </c>
      <c r="F88" s="6">
        <v>0.375</v>
      </c>
      <c r="G88">
        <v>0</v>
      </c>
      <c r="H88" s="6">
        <f>FLOOR(tblPivotData[[#This Row],[Time]],Summary!$B$6/1440)</f>
        <v>0.375</v>
      </c>
      <c r="I88" s="46">
        <f>INDEX(PeakCalc!$L$10:$L$303,MATCH(tblPivotData[[#This Row],[Time]],PeakCalc!$G$10:$G$303,0))</f>
        <v>0</v>
      </c>
    </row>
    <row r="89" spans="1:9" x14ac:dyDescent="0.25">
      <c r="A89" t="s">
        <v>94</v>
      </c>
      <c r="B89" t="s">
        <v>90</v>
      </c>
      <c r="C89">
        <v>0</v>
      </c>
      <c r="D89" t="s">
        <v>91</v>
      </c>
      <c r="E89" t="s">
        <v>43</v>
      </c>
      <c r="F89" s="6">
        <v>0.38541666666666669</v>
      </c>
      <c r="G89">
        <v>0</v>
      </c>
      <c r="H89" s="6">
        <f>FLOOR(tblPivotData[[#This Row],[Time]],Summary!$B$6/1440)</f>
        <v>0.38541666666666663</v>
      </c>
      <c r="I89" s="46">
        <f>INDEX(PeakCalc!$L$10:$L$303,MATCH(tblPivotData[[#This Row],[Time]],PeakCalc!$G$10:$G$303,0))</f>
        <v>0</v>
      </c>
    </row>
    <row r="90" spans="1:9" x14ac:dyDescent="0.25">
      <c r="A90" t="s">
        <v>94</v>
      </c>
      <c r="B90" t="s">
        <v>90</v>
      </c>
      <c r="C90">
        <v>0</v>
      </c>
      <c r="D90" t="s">
        <v>91</v>
      </c>
      <c r="E90" t="s">
        <v>88</v>
      </c>
      <c r="F90" s="6">
        <v>0.45833333333333331</v>
      </c>
      <c r="G90">
        <v>1</v>
      </c>
      <c r="H90" s="6">
        <f>FLOOR(tblPivotData[[#This Row],[Time]],Summary!$B$6/1440)</f>
        <v>0.45833333333333331</v>
      </c>
      <c r="I90" s="46">
        <f>INDEX(PeakCalc!$L$10:$L$303,MATCH(tblPivotData[[#This Row],[Time]],PeakCalc!$G$10:$G$303,0))</f>
        <v>0</v>
      </c>
    </row>
    <row r="91" spans="1:9" x14ac:dyDescent="0.25">
      <c r="A91" t="s">
        <v>94</v>
      </c>
      <c r="B91" t="s">
        <v>90</v>
      </c>
      <c r="C91">
        <v>0</v>
      </c>
      <c r="D91" t="s">
        <v>91</v>
      </c>
      <c r="E91" t="s">
        <v>88</v>
      </c>
      <c r="F91" s="6">
        <v>0.46875</v>
      </c>
      <c r="G91">
        <v>0</v>
      </c>
      <c r="H91" s="6">
        <f>FLOOR(tblPivotData[[#This Row],[Time]],Summary!$B$6/1440)</f>
        <v>0.46875</v>
      </c>
      <c r="I91" s="46">
        <f>INDEX(PeakCalc!$L$10:$L$303,MATCH(tblPivotData[[#This Row],[Time]],PeakCalc!$G$10:$G$303,0))</f>
        <v>0</v>
      </c>
    </row>
    <row r="92" spans="1:9" x14ac:dyDescent="0.25">
      <c r="A92" t="s">
        <v>94</v>
      </c>
      <c r="B92" t="s">
        <v>90</v>
      </c>
      <c r="C92">
        <v>0</v>
      </c>
      <c r="D92" t="s">
        <v>91</v>
      </c>
      <c r="E92" t="s">
        <v>88</v>
      </c>
      <c r="F92" s="6">
        <v>0.47916666666666669</v>
      </c>
      <c r="G92">
        <v>1</v>
      </c>
      <c r="H92" s="6">
        <f>FLOOR(tblPivotData[[#This Row],[Time]],Summary!$B$6/1440)</f>
        <v>0.47916666666666663</v>
      </c>
      <c r="I92" s="46">
        <f>INDEX(PeakCalc!$L$10:$L$303,MATCH(tblPivotData[[#This Row],[Time]],PeakCalc!$G$10:$G$303,0))</f>
        <v>0</v>
      </c>
    </row>
    <row r="93" spans="1:9" x14ac:dyDescent="0.25">
      <c r="A93" t="s">
        <v>94</v>
      </c>
      <c r="B93" t="s">
        <v>90</v>
      </c>
      <c r="C93">
        <v>0</v>
      </c>
      <c r="D93" t="s">
        <v>91</v>
      </c>
      <c r="E93" t="s">
        <v>88</v>
      </c>
      <c r="F93" s="6">
        <v>0.48958333333333331</v>
      </c>
      <c r="G93">
        <v>0</v>
      </c>
      <c r="H93" s="6">
        <f>FLOOR(tblPivotData[[#This Row],[Time]],Summary!$B$6/1440)</f>
        <v>0.48958333333333331</v>
      </c>
      <c r="I93" s="46">
        <f>INDEX(PeakCalc!$L$10:$L$303,MATCH(tblPivotData[[#This Row],[Time]],PeakCalc!$G$10:$G$303,0))</f>
        <v>0</v>
      </c>
    </row>
    <row r="94" spans="1:9" x14ac:dyDescent="0.25">
      <c r="A94" t="s">
        <v>94</v>
      </c>
      <c r="B94" t="s">
        <v>90</v>
      </c>
      <c r="C94">
        <v>0</v>
      </c>
      <c r="D94" t="s">
        <v>91</v>
      </c>
      <c r="E94" t="s">
        <v>88</v>
      </c>
      <c r="F94" s="6">
        <v>0.5</v>
      </c>
      <c r="G94">
        <v>0</v>
      </c>
      <c r="H94" s="6">
        <f>FLOOR(tblPivotData[[#This Row],[Time]],Summary!$B$6/1440)</f>
        <v>0.5</v>
      </c>
      <c r="I94" s="46">
        <f>INDEX(PeakCalc!$L$10:$L$303,MATCH(tblPivotData[[#This Row],[Time]],PeakCalc!$G$10:$G$303,0))</f>
        <v>0</v>
      </c>
    </row>
    <row r="95" spans="1:9" x14ac:dyDescent="0.25">
      <c r="A95" t="s">
        <v>94</v>
      </c>
      <c r="B95" t="s">
        <v>90</v>
      </c>
      <c r="C95">
        <v>0</v>
      </c>
      <c r="D95" t="s">
        <v>91</v>
      </c>
      <c r="E95" t="s">
        <v>88</v>
      </c>
      <c r="F95" s="6">
        <v>0.51041666666666663</v>
      </c>
      <c r="G95">
        <v>0</v>
      </c>
      <c r="H95" s="6">
        <f>FLOOR(tblPivotData[[#This Row],[Time]],Summary!$B$6/1440)</f>
        <v>0.51041666666666663</v>
      </c>
      <c r="I95" s="46">
        <f>INDEX(PeakCalc!$L$10:$L$303,MATCH(tblPivotData[[#This Row],[Time]],PeakCalc!$G$10:$G$303,0))</f>
        <v>0</v>
      </c>
    </row>
    <row r="96" spans="1:9" x14ac:dyDescent="0.25">
      <c r="A96" t="s">
        <v>94</v>
      </c>
      <c r="B96" t="s">
        <v>90</v>
      </c>
      <c r="C96">
        <v>0</v>
      </c>
      <c r="D96" t="s">
        <v>91</v>
      </c>
      <c r="E96" t="s">
        <v>88</v>
      </c>
      <c r="F96" s="6">
        <v>0.52083333333333337</v>
      </c>
      <c r="G96">
        <v>0</v>
      </c>
      <c r="H96" s="6">
        <f>FLOOR(tblPivotData[[#This Row],[Time]],Summary!$B$6/1440)</f>
        <v>0.52083333333333326</v>
      </c>
      <c r="I96" s="46">
        <f>INDEX(PeakCalc!$L$10:$L$303,MATCH(tblPivotData[[#This Row],[Time]],PeakCalc!$G$10:$G$303,0))</f>
        <v>1</v>
      </c>
    </row>
    <row r="97" spans="1:9" x14ac:dyDescent="0.25">
      <c r="A97" t="s">
        <v>94</v>
      </c>
      <c r="B97" t="s">
        <v>90</v>
      </c>
      <c r="C97">
        <v>0</v>
      </c>
      <c r="D97" t="s">
        <v>91</v>
      </c>
      <c r="E97" t="s">
        <v>88</v>
      </c>
      <c r="F97" s="6">
        <v>0.53125</v>
      </c>
      <c r="G97">
        <v>0</v>
      </c>
      <c r="H97" s="6">
        <f>FLOOR(tblPivotData[[#This Row],[Time]],Summary!$B$6/1440)</f>
        <v>0.53125</v>
      </c>
      <c r="I97" s="46">
        <f>INDEX(PeakCalc!$L$10:$L$303,MATCH(tblPivotData[[#This Row],[Time]],PeakCalc!$G$10:$G$303,0))</f>
        <v>1</v>
      </c>
    </row>
    <row r="98" spans="1:9" x14ac:dyDescent="0.25">
      <c r="A98" t="s">
        <v>94</v>
      </c>
      <c r="B98" t="s">
        <v>90</v>
      </c>
      <c r="C98">
        <v>0</v>
      </c>
      <c r="D98" t="s">
        <v>91</v>
      </c>
      <c r="E98" t="s">
        <v>88</v>
      </c>
      <c r="F98" s="6">
        <v>0.54166666666666663</v>
      </c>
      <c r="G98">
        <v>0</v>
      </c>
      <c r="H98" s="6">
        <f>FLOOR(tblPivotData[[#This Row],[Time]],Summary!$B$6/1440)</f>
        <v>0.54166666666666663</v>
      </c>
      <c r="I98" s="46">
        <f>INDEX(PeakCalc!$L$10:$L$303,MATCH(tblPivotData[[#This Row],[Time]],PeakCalc!$G$10:$G$303,0))</f>
        <v>1</v>
      </c>
    </row>
    <row r="99" spans="1:9" x14ac:dyDescent="0.25">
      <c r="A99" t="s">
        <v>94</v>
      </c>
      <c r="B99" t="s">
        <v>90</v>
      </c>
      <c r="C99">
        <v>0</v>
      </c>
      <c r="D99" t="s">
        <v>91</v>
      </c>
      <c r="E99" t="s">
        <v>88</v>
      </c>
      <c r="F99" s="6">
        <v>0.55208333333333337</v>
      </c>
      <c r="G99">
        <v>1</v>
      </c>
      <c r="H99" s="6">
        <f>FLOOR(tblPivotData[[#This Row],[Time]],Summary!$B$6/1440)</f>
        <v>0.55208333333333326</v>
      </c>
      <c r="I99" s="46">
        <f>INDEX(PeakCalc!$L$10:$L$303,MATCH(tblPivotData[[#This Row],[Time]],PeakCalc!$G$10:$G$303,0))</f>
        <v>1</v>
      </c>
    </row>
    <row r="100" spans="1:9" x14ac:dyDescent="0.25">
      <c r="A100" t="s">
        <v>94</v>
      </c>
      <c r="B100" t="s">
        <v>90</v>
      </c>
      <c r="C100">
        <v>0</v>
      </c>
      <c r="D100" t="s">
        <v>91</v>
      </c>
      <c r="E100" t="s">
        <v>88</v>
      </c>
      <c r="F100" s="6">
        <v>0.5625</v>
      </c>
      <c r="G100">
        <v>1</v>
      </c>
      <c r="H100" s="6">
        <f>FLOOR(tblPivotData[[#This Row],[Time]],Summary!$B$6/1440)</f>
        <v>0.5625</v>
      </c>
      <c r="I100" s="46">
        <f>INDEX(PeakCalc!$L$10:$L$303,MATCH(tblPivotData[[#This Row],[Time]],PeakCalc!$G$10:$G$303,0))</f>
        <v>0</v>
      </c>
    </row>
    <row r="101" spans="1:9" x14ac:dyDescent="0.25">
      <c r="A101" t="s">
        <v>94</v>
      </c>
      <c r="B101" t="s">
        <v>90</v>
      </c>
      <c r="C101">
        <v>0</v>
      </c>
      <c r="D101" t="s">
        <v>91</v>
      </c>
      <c r="E101" t="s">
        <v>88</v>
      </c>
      <c r="F101" s="6">
        <v>0.57291666666666663</v>
      </c>
      <c r="G101">
        <v>0</v>
      </c>
      <c r="H101" s="6">
        <f>FLOOR(tblPivotData[[#This Row],[Time]],Summary!$B$6/1440)</f>
        <v>0.57291666666666663</v>
      </c>
      <c r="I101" s="46">
        <f>INDEX(PeakCalc!$L$10:$L$303,MATCH(tblPivotData[[#This Row],[Time]],PeakCalc!$G$10:$G$303,0))</f>
        <v>0</v>
      </c>
    </row>
    <row r="102" spans="1:9" x14ac:dyDescent="0.25">
      <c r="A102" t="s">
        <v>94</v>
      </c>
      <c r="B102" t="s">
        <v>90</v>
      </c>
      <c r="C102">
        <v>0</v>
      </c>
      <c r="D102" t="s">
        <v>91</v>
      </c>
      <c r="E102" t="s">
        <v>44</v>
      </c>
      <c r="F102" s="6">
        <v>0.625</v>
      </c>
      <c r="G102">
        <v>0</v>
      </c>
      <c r="H102" s="6">
        <f>FLOOR(tblPivotData[[#This Row],[Time]],Summary!$B$6/1440)</f>
        <v>0.625</v>
      </c>
      <c r="I102" s="46">
        <f>INDEX(PeakCalc!$L$10:$L$303,MATCH(tblPivotData[[#This Row],[Time]],PeakCalc!$G$10:$G$303,0))</f>
        <v>0</v>
      </c>
    </row>
    <row r="103" spans="1:9" x14ac:dyDescent="0.25">
      <c r="A103" t="s">
        <v>94</v>
      </c>
      <c r="B103" t="s">
        <v>90</v>
      </c>
      <c r="C103">
        <v>0</v>
      </c>
      <c r="D103" t="s">
        <v>91</v>
      </c>
      <c r="E103" t="s">
        <v>44</v>
      </c>
      <c r="F103" s="6">
        <v>0.63541666666666663</v>
      </c>
      <c r="G103">
        <v>0</v>
      </c>
      <c r="H103" s="6">
        <f>FLOOR(tblPivotData[[#This Row],[Time]],Summary!$B$6/1440)</f>
        <v>0.63541666666666663</v>
      </c>
      <c r="I103" s="46">
        <f>INDEX(PeakCalc!$L$10:$L$303,MATCH(tblPivotData[[#This Row],[Time]],PeakCalc!$G$10:$G$303,0))</f>
        <v>0</v>
      </c>
    </row>
    <row r="104" spans="1:9" x14ac:dyDescent="0.25">
      <c r="A104" t="s">
        <v>94</v>
      </c>
      <c r="B104" t="s">
        <v>90</v>
      </c>
      <c r="C104">
        <v>0</v>
      </c>
      <c r="D104" t="s">
        <v>91</v>
      </c>
      <c r="E104" t="s">
        <v>44</v>
      </c>
      <c r="F104" s="6">
        <v>0.64583333333333337</v>
      </c>
      <c r="G104">
        <v>0</v>
      </c>
      <c r="H104" s="6">
        <f>FLOOR(tblPivotData[[#This Row],[Time]],Summary!$B$6/1440)</f>
        <v>0.64583333333333326</v>
      </c>
      <c r="I104" s="46">
        <f>INDEX(PeakCalc!$L$10:$L$303,MATCH(tblPivotData[[#This Row],[Time]],PeakCalc!$G$10:$G$303,0))</f>
        <v>0</v>
      </c>
    </row>
    <row r="105" spans="1:9" x14ac:dyDescent="0.25">
      <c r="A105" t="s">
        <v>94</v>
      </c>
      <c r="B105" t="s">
        <v>90</v>
      </c>
      <c r="C105">
        <v>0</v>
      </c>
      <c r="D105" t="s">
        <v>91</v>
      </c>
      <c r="E105" t="s">
        <v>44</v>
      </c>
      <c r="F105" s="6">
        <v>0.65625</v>
      </c>
      <c r="G105">
        <v>1</v>
      </c>
      <c r="H105" s="6">
        <f>FLOOR(tblPivotData[[#This Row],[Time]],Summary!$B$6/1440)</f>
        <v>0.65625</v>
      </c>
      <c r="I105" s="46">
        <f>INDEX(PeakCalc!$L$10:$L$303,MATCH(tblPivotData[[#This Row],[Time]],PeakCalc!$G$10:$G$303,0))</f>
        <v>0</v>
      </c>
    </row>
    <row r="106" spans="1:9" x14ac:dyDescent="0.25">
      <c r="A106" t="s">
        <v>94</v>
      </c>
      <c r="B106" t="s">
        <v>90</v>
      </c>
      <c r="C106">
        <v>0</v>
      </c>
      <c r="D106" t="s">
        <v>91</v>
      </c>
      <c r="E106" t="s">
        <v>44</v>
      </c>
      <c r="F106" s="6">
        <v>0.66666666666666663</v>
      </c>
      <c r="G106">
        <v>0</v>
      </c>
      <c r="H106" s="6">
        <f>FLOOR(tblPivotData[[#This Row],[Time]],Summary!$B$6/1440)</f>
        <v>0.66666666666666663</v>
      </c>
      <c r="I106" s="46">
        <f>INDEX(PeakCalc!$L$10:$L$303,MATCH(tblPivotData[[#This Row],[Time]],PeakCalc!$G$10:$G$303,0))</f>
        <v>0</v>
      </c>
    </row>
    <row r="107" spans="1:9" x14ac:dyDescent="0.25">
      <c r="A107" t="s">
        <v>94</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0</v>
      </c>
    </row>
    <row r="108" spans="1:9" x14ac:dyDescent="0.25">
      <c r="A108" t="s">
        <v>94</v>
      </c>
      <c r="B108" t="s">
        <v>90</v>
      </c>
      <c r="C108">
        <v>0</v>
      </c>
      <c r="D108" t="s">
        <v>91</v>
      </c>
      <c r="E108" t="s">
        <v>44</v>
      </c>
      <c r="F108" s="6">
        <v>0.6875</v>
      </c>
      <c r="G108">
        <v>0</v>
      </c>
      <c r="H108" s="6">
        <f>FLOOR(tblPivotData[[#This Row],[Time]],Summary!$B$6/1440)</f>
        <v>0.6875</v>
      </c>
      <c r="I108" s="46">
        <f>INDEX(PeakCalc!$L$10:$L$303,MATCH(tblPivotData[[#This Row],[Time]],PeakCalc!$G$10:$G$303,0))</f>
        <v>1</v>
      </c>
    </row>
    <row r="109" spans="1:9" x14ac:dyDescent="0.25">
      <c r="A109" t="s">
        <v>94</v>
      </c>
      <c r="B109" t="s">
        <v>90</v>
      </c>
      <c r="C109">
        <v>0</v>
      </c>
      <c r="D109" t="s">
        <v>91</v>
      </c>
      <c r="E109" t="s">
        <v>44</v>
      </c>
      <c r="F109" s="6">
        <v>0.69791666666666663</v>
      </c>
      <c r="G109">
        <v>0</v>
      </c>
      <c r="H109" s="6">
        <f>FLOOR(tblPivotData[[#This Row],[Time]],Summary!$B$6/1440)</f>
        <v>0.69791666666666663</v>
      </c>
      <c r="I109" s="46">
        <f>INDEX(PeakCalc!$L$10:$L$303,MATCH(tblPivotData[[#This Row],[Time]],PeakCalc!$G$10:$G$303,0))</f>
        <v>1</v>
      </c>
    </row>
    <row r="110" spans="1:9" x14ac:dyDescent="0.25">
      <c r="A110" t="s">
        <v>94</v>
      </c>
      <c r="B110" t="s">
        <v>90</v>
      </c>
      <c r="C110">
        <v>0</v>
      </c>
      <c r="D110" t="s">
        <v>91</v>
      </c>
      <c r="E110" t="s">
        <v>44</v>
      </c>
      <c r="F110" s="6">
        <v>0.70833333333333337</v>
      </c>
      <c r="G110">
        <v>0</v>
      </c>
      <c r="H110" s="6">
        <f>FLOOR(tblPivotData[[#This Row],[Time]],Summary!$B$6/1440)</f>
        <v>0.70833333333333326</v>
      </c>
      <c r="I110" s="46">
        <f>INDEX(PeakCalc!$L$10:$L$303,MATCH(tblPivotData[[#This Row],[Time]],PeakCalc!$G$10:$G$303,0))</f>
        <v>1</v>
      </c>
    </row>
    <row r="111" spans="1:9" x14ac:dyDescent="0.25">
      <c r="A111" t="s">
        <v>94</v>
      </c>
      <c r="B111" t="s">
        <v>90</v>
      </c>
      <c r="C111">
        <v>0</v>
      </c>
      <c r="D111" t="s">
        <v>91</v>
      </c>
      <c r="E111" t="s">
        <v>44</v>
      </c>
      <c r="F111" s="6">
        <v>0.71875</v>
      </c>
      <c r="G111">
        <v>0</v>
      </c>
      <c r="H111" s="6">
        <f>FLOOR(tblPivotData[[#This Row],[Time]],Summary!$B$6/1440)</f>
        <v>0.71875</v>
      </c>
      <c r="I111" s="46">
        <f>INDEX(PeakCalc!$L$10:$L$303,MATCH(tblPivotData[[#This Row],[Time]],PeakCalc!$G$10:$G$303,0))</f>
        <v>1</v>
      </c>
    </row>
    <row r="112" spans="1:9" x14ac:dyDescent="0.25">
      <c r="A112" t="s">
        <v>94</v>
      </c>
      <c r="B112" t="s">
        <v>90</v>
      </c>
      <c r="C112">
        <v>0</v>
      </c>
      <c r="D112" t="s">
        <v>91</v>
      </c>
      <c r="E112" t="s">
        <v>44</v>
      </c>
      <c r="F112" s="6">
        <v>0.72916666666666663</v>
      </c>
      <c r="G112">
        <v>0</v>
      </c>
      <c r="H112" s="6">
        <f>FLOOR(tblPivotData[[#This Row],[Time]],Summary!$B$6/1440)</f>
        <v>0.72916666666666663</v>
      </c>
      <c r="I112" s="46">
        <f>INDEX(PeakCalc!$L$10:$L$303,MATCH(tblPivotData[[#This Row],[Time]],PeakCalc!$G$10:$G$303,0))</f>
        <v>0</v>
      </c>
    </row>
    <row r="113" spans="1:9" x14ac:dyDescent="0.25">
      <c r="A113" t="s">
        <v>94</v>
      </c>
      <c r="B113" t="s">
        <v>90</v>
      </c>
      <c r="C113">
        <v>0</v>
      </c>
      <c r="D113" t="s">
        <v>91</v>
      </c>
      <c r="E113" t="s">
        <v>44</v>
      </c>
      <c r="F113" s="6">
        <v>0.73958333333333337</v>
      </c>
      <c r="G113">
        <v>0</v>
      </c>
      <c r="H113" s="6">
        <f>FLOOR(tblPivotData[[#This Row],[Time]],Summary!$B$6/1440)</f>
        <v>0.73958333333333326</v>
      </c>
      <c r="I113" s="46">
        <f>INDEX(PeakCalc!$L$10:$L$303,MATCH(tblPivotData[[#This Row],[Time]],PeakCalc!$G$10:$G$303,0))</f>
        <v>0</v>
      </c>
    </row>
    <row r="114" spans="1:9" x14ac:dyDescent="0.25">
      <c r="A114" t="s">
        <v>94</v>
      </c>
      <c r="B114" t="s">
        <v>90</v>
      </c>
      <c r="C114">
        <v>0</v>
      </c>
      <c r="D114" t="s">
        <v>91</v>
      </c>
      <c r="E114" t="s">
        <v>44</v>
      </c>
      <c r="F114" s="6">
        <v>0.75</v>
      </c>
      <c r="G114">
        <v>0</v>
      </c>
      <c r="H114" s="6">
        <f>FLOOR(tblPivotData[[#This Row],[Time]],Summary!$B$6/1440)</f>
        <v>0.75</v>
      </c>
      <c r="I114" s="46">
        <f>INDEX(PeakCalc!$L$10:$L$303,MATCH(tblPivotData[[#This Row],[Time]],PeakCalc!$G$10:$G$303,0))</f>
        <v>0</v>
      </c>
    </row>
    <row r="115" spans="1:9" x14ac:dyDescent="0.25">
      <c r="A115" t="s">
        <v>94</v>
      </c>
      <c r="B115" t="s">
        <v>90</v>
      </c>
      <c r="C115">
        <v>0</v>
      </c>
      <c r="D115" t="s">
        <v>91</v>
      </c>
      <c r="E115" t="s">
        <v>44</v>
      </c>
      <c r="F115" s="6">
        <v>0.76041666666666663</v>
      </c>
      <c r="G115">
        <v>1</v>
      </c>
      <c r="H115" s="6">
        <f>FLOOR(tblPivotData[[#This Row],[Time]],Summary!$B$6/1440)</f>
        <v>0.76041666666666663</v>
      </c>
      <c r="I115" s="46">
        <f>INDEX(PeakCalc!$L$10:$L$303,MATCH(tblPivotData[[#This Row],[Time]],PeakCalc!$G$10:$G$303,0))</f>
        <v>0</v>
      </c>
    </row>
    <row r="116" spans="1:9" x14ac:dyDescent="0.25">
      <c r="A116" t="s">
        <v>94</v>
      </c>
      <c r="B116" t="s">
        <v>90</v>
      </c>
      <c r="C116">
        <v>0</v>
      </c>
      <c r="D116" t="s">
        <v>92</v>
      </c>
      <c r="E116" t="s">
        <v>43</v>
      </c>
      <c r="F116" s="6">
        <v>0.27083333333333331</v>
      </c>
      <c r="G116">
        <v>2</v>
      </c>
      <c r="H116" s="6">
        <f>FLOOR(tblPivotData[[#This Row],[Time]],Summary!$B$6/1440)</f>
        <v>0.27083333333333331</v>
      </c>
      <c r="I116" s="46">
        <f>INDEX(PeakCalc!$L$10:$L$303,MATCH(tblPivotData[[#This Row],[Time]],PeakCalc!$G$10:$G$303,0))</f>
        <v>0</v>
      </c>
    </row>
    <row r="117" spans="1:9" x14ac:dyDescent="0.25">
      <c r="A117" t="s">
        <v>94</v>
      </c>
      <c r="B117" t="s">
        <v>90</v>
      </c>
      <c r="C117">
        <v>0</v>
      </c>
      <c r="D117" t="s">
        <v>92</v>
      </c>
      <c r="E117" t="s">
        <v>43</v>
      </c>
      <c r="F117" s="6">
        <v>0.28125</v>
      </c>
      <c r="G117">
        <v>1</v>
      </c>
      <c r="H117" s="6">
        <f>FLOOR(tblPivotData[[#This Row],[Time]],Summary!$B$6/1440)</f>
        <v>0.28125</v>
      </c>
      <c r="I117" s="46">
        <f>INDEX(PeakCalc!$L$10:$L$303,MATCH(tblPivotData[[#This Row],[Time]],PeakCalc!$G$10:$G$303,0))</f>
        <v>0</v>
      </c>
    </row>
    <row r="118" spans="1:9" x14ac:dyDescent="0.25">
      <c r="A118" t="s">
        <v>94</v>
      </c>
      <c r="B118" t="s">
        <v>90</v>
      </c>
      <c r="C118">
        <v>0</v>
      </c>
      <c r="D118" t="s">
        <v>92</v>
      </c>
      <c r="E118" t="s">
        <v>43</v>
      </c>
      <c r="F118" s="6">
        <v>0.29166666666666669</v>
      </c>
      <c r="G118">
        <v>0</v>
      </c>
      <c r="H118" s="6">
        <f>FLOOR(tblPivotData[[#This Row],[Time]],Summary!$B$6/1440)</f>
        <v>0.29166666666666663</v>
      </c>
      <c r="I118" s="46">
        <f>INDEX(PeakCalc!$L$10:$L$303,MATCH(tblPivotData[[#This Row],[Time]],PeakCalc!$G$10:$G$303,0))</f>
        <v>0</v>
      </c>
    </row>
    <row r="119" spans="1:9" x14ac:dyDescent="0.25">
      <c r="A119" t="s">
        <v>94</v>
      </c>
      <c r="B119" t="s">
        <v>90</v>
      </c>
      <c r="C119">
        <v>0</v>
      </c>
      <c r="D119" t="s">
        <v>92</v>
      </c>
      <c r="E119" t="s">
        <v>43</v>
      </c>
      <c r="F119" s="6">
        <v>0.30208333333333331</v>
      </c>
      <c r="G119">
        <v>0</v>
      </c>
      <c r="H119" s="6">
        <f>FLOOR(tblPivotData[[#This Row],[Time]],Summary!$B$6/1440)</f>
        <v>0.30208333333333331</v>
      </c>
      <c r="I119" s="46">
        <f>INDEX(PeakCalc!$L$10:$L$303,MATCH(tblPivotData[[#This Row],[Time]],PeakCalc!$G$10:$G$303,0))</f>
        <v>0</v>
      </c>
    </row>
    <row r="120" spans="1:9" x14ac:dyDescent="0.25">
      <c r="A120" t="s">
        <v>94</v>
      </c>
      <c r="B120" t="s">
        <v>90</v>
      </c>
      <c r="C120">
        <v>0</v>
      </c>
      <c r="D120" t="s">
        <v>92</v>
      </c>
      <c r="E120" t="s">
        <v>43</v>
      </c>
      <c r="F120" s="6">
        <v>0.3125</v>
      </c>
      <c r="G120">
        <v>0</v>
      </c>
      <c r="H120" s="6">
        <f>FLOOR(tblPivotData[[#This Row],[Time]],Summary!$B$6/1440)</f>
        <v>0.3125</v>
      </c>
      <c r="I120" s="46">
        <f>INDEX(PeakCalc!$L$10:$L$303,MATCH(tblPivotData[[#This Row],[Time]],PeakCalc!$G$10:$G$303,0))</f>
        <v>0</v>
      </c>
    </row>
    <row r="121" spans="1:9" x14ac:dyDescent="0.25">
      <c r="A121" t="s">
        <v>94</v>
      </c>
      <c r="B121" t="s">
        <v>90</v>
      </c>
      <c r="C121">
        <v>0</v>
      </c>
      <c r="D121" t="s">
        <v>92</v>
      </c>
      <c r="E121" t="s">
        <v>43</v>
      </c>
      <c r="F121" s="6">
        <v>0.32291666666666669</v>
      </c>
      <c r="G121">
        <v>0</v>
      </c>
      <c r="H121" s="6">
        <f>FLOOR(tblPivotData[[#This Row],[Time]],Summary!$B$6/1440)</f>
        <v>0.32291666666666663</v>
      </c>
      <c r="I121" s="46">
        <f>INDEX(PeakCalc!$L$10:$L$303,MATCH(tblPivotData[[#This Row],[Time]],PeakCalc!$G$10:$G$303,0))</f>
        <v>1</v>
      </c>
    </row>
    <row r="122" spans="1:9" x14ac:dyDescent="0.25">
      <c r="A122" t="s">
        <v>94</v>
      </c>
      <c r="B122" t="s">
        <v>90</v>
      </c>
      <c r="C122">
        <v>0</v>
      </c>
      <c r="D122" t="s">
        <v>92</v>
      </c>
      <c r="E122" t="s">
        <v>43</v>
      </c>
      <c r="F122" s="6">
        <v>0.33333333333333331</v>
      </c>
      <c r="G122">
        <v>0</v>
      </c>
      <c r="H122" s="6">
        <f>FLOOR(tblPivotData[[#This Row],[Time]],Summary!$B$6/1440)</f>
        <v>0.33333333333333331</v>
      </c>
      <c r="I122" s="46">
        <f>INDEX(PeakCalc!$L$10:$L$303,MATCH(tblPivotData[[#This Row],[Time]],PeakCalc!$G$10:$G$303,0))</f>
        <v>1</v>
      </c>
    </row>
    <row r="123" spans="1:9" x14ac:dyDescent="0.25">
      <c r="A123" t="s">
        <v>94</v>
      </c>
      <c r="B123" t="s">
        <v>90</v>
      </c>
      <c r="C123">
        <v>0</v>
      </c>
      <c r="D123" t="s">
        <v>92</v>
      </c>
      <c r="E123" t="s">
        <v>43</v>
      </c>
      <c r="F123" s="6">
        <v>0.34375</v>
      </c>
      <c r="G123">
        <v>0</v>
      </c>
      <c r="H123" s="6">
        <f>FLOOR(tblPivotData[[#This Row],[Time]],Summary!$B$6/1440)</f>
        <v>0.34375</v>
      </c>
      <c r="I123" s="46">
        <f>INDEX(PeakCalc!$L$10:$L$303,MATCH(tblPivotData[[#This Row],[Time]],PeakCalc!$G$10:$G$303,0))</f>
        <v>1</v>
      </c>
    </row>
    <row r="124" spans="1:9" x14ac:dyDescent="0.25">
      <c r="A124" t="s">
        <v>94</v>
      </c>
      <c r="B124" t="s">
        <v>90</v>
      </c>
      <c r="C124">
        <v>0</v>
      </c>
      <c r="D124" t="s">
        <v>92</v>
      </c>
      <c r="E124" t="s">
        <v>43</v>
      </c>
      <c r="F124" s="6">
        <v>0.35416666666666669</v>
      </c>
      <c r="G124">
        <v>3</v>
      </c>
      <c r="H124" s="6">
        <f>FLOOR(tblPivotData[[#This Row],[Time]],Summary!$B$6/1440)</f>
        <v>0.35416666666666663</v>
      </c>
      <c r="I124" s="46">
        <f>INDEX(PeakCalc!$L$10:$L$303,MATCH(tblPivotData[[#This Row],[Time]],PeakCalc!$G$10:$G$303,0))</f>
        <v>1</v>
      </c>
    </row>
    <row r="125" spans="1:9" x14ac:dyDescent="0.25">
      <c r="A125" t="s">
        <v>94</v>
      </c>
      <c r="B125" t="s">
        <v>90</v>
      </c>
      <c r="C125">
        <v>0</v>
      </c>
      <c r="D125" t="s">
        <v>92</v>
      </c>
      <c r="E125" t="s">
        <v>43</v>
      </c>
      <c r="F125" s="6">
        <v>0.36458333333333331</v>
      </c>
      <c r="G125">
        <v>1</v>
      </c>
      <c r="H125" s="6">
        <f>FLOOR(tblPivotData[[#This Row],[Time]],Summary!$B$6/1440)</f>
        <v>0.36458333333333331</v>
      </c>
      <c r="I125" s="46">
        <f>INDEX(PeakCalc!$L$10:$L$303,MATCH(tblPivotData[[#This Row],[Time]],PeakCalc!$G$10:$G$303,0))</f>
        <v>0</v>
      </c>
    </row>
    <row r="126" spans="1:9" x14ac:dyDescent="0.25">
      <c r="A126" t="s">
        <v>94</v>
      </c>
      <c r="B126" t="s">
        <v>90</v>
      </c>
      <c r="C126">
        <v>0</v>
      </c>
      <c r="D126" t="s">
        <v>92</v>
      </c>
      <c r="E126" t="s">
        <v>43</v>
      </c>
      <c r="F126" s="6">
        <v>0.375</v>
      </c>
      <c r="G126">
        <v>2</v>
      </c>
      <c r="H126" s="6">
        <f>FLOOR(tblPivotData[[#This Row],[Time]],Summary!$B$6/1440)</f>
        <v>0.375</v>
      </c>
      <c r="I126" s="46">
        <f>INDEX(PeakCalc!$L$10:$L$303,MATCH(tblPivotData[[#This Row],[Time]],PeakCalc!$G$10:$G$303,0))</f>
        <v>0</v>
      </c>
    </row>
    <row r="127" spans="1:9" x14ac:dyDescent="0.25">
      <c r="A127" t="s">
        <v>94</v>
      </c>
      <c r="B127" t="s">
        <v>90</v>
      </c>
      <c r="C127">
        <v>0</v>
      </c>
      <c r="D127" t="s">
        <v>92</v>
      </c>
      <c r="E127" t="s">
        <v>43</v>
      </c>
      <c r="F127" s="6">
        <v>0.38541666666666669</v>
      </c>
      <c r="G127">
        <v>1</v>
      </c>
      <c r="H127" s="6">
        <f>FLOOR(tblPivotData[[#This Row],[Time]],Summary!$B$6/1440)</f>
        <v>0.38541666666666663</v>
      </c>
      <c r="I127" s="46">
        <f>INDEX(PeakCalc!$L$10:$L$303,MATCH(tblPivotData[[#This Row],[Time]],PeakCalc!$G$10:$G$303,0))</f>
        <v>0</v>
      </c>
    </row>
    <row r="128" spans="1:9" x14ac:dyDescent="0.25">
      <c r="A128" t="s">
        <v>94</v>
      </c>
      <c r="B128" t="s">
        <v>90</v>
      </c>
      <c r="C128">
        <v>0</v>
      </c>
      <c r="D128" t="s">
        <v>92</v>
      </c>
      <c r="E128" t="s">
        <v>88</v>
      </c>
      <c r="F128" s="6">
        <v>0.45833333333333331</v>
      </c>
      <c r="G128">
        <v>4</v>
      </c>
      <c r="H128" s="6">
        <f>FLOOR(tblPivotData[[#This Row],[Time]],Summary!$B$6/1440)</f>
        <v>0.45833333333333331</v>
      </c>
      <c r="I128" s="46">
        <f>INDEX(PeakCalc!$L$10:$L$303,MATCH(tblPivotData[[#This Row],[Time]],PeakCalc!$G$10:$G$303,0))</f>
        <v>0</v>
      </c>
    </row>
    <row r="129" spans="1:9" x14ac:dyDescent="0.25">
      <c r="A129" t="s">
        <v>94</v>
      </c>
      <c r="B129" t="s">
        <v>90</v>
      </c>
      <c r="C129">
        <v>0</v>
      </c>
      <c r="D129" t="s">
        <v>92</v>
      </c>
      <c r="E129" t="s">
        <v>88</v>
      </c>
      <c r="F129" s="6">
        <v>0.46875</v>
      </c>
      <c r="G129">
        <v>2</v>
      </c>
      <c r="H129" s="6">
        <f>FLOOR(tblPivotData[[#This Row],[Time]],Summary!$B$6/1440)</f>
        <v>0.46875</v>
      </c>
      <c r="I129" s="46">
        <f>INDEX(PeakCalc!$L$10:$L$303,MATCH(tblPivotData[[#This Row],[Time]],PeakCalc!$G$10:$G$303,0))</f>
        <v>0</v>
      </c>
    </row>
    <row r="130" spans="1:9" x14ac:dyDescent="0.25">
      <c r="A130" t="s">
        <v>94</v>
      </c>
      <c r="B130" t="s">
        <v>90</v>
      </c>
      <c r="C130">
        <v>0</v>
      </c>
      <c r="D130" t="s">
        <v>92</v>
      </c>
      <c r="E130" t="s">
        <v>88</v>
      </c>
      <c r="F130" s="6">
        <v>0.47916666666666669</v>
      </c>
      <c r="G130">
        <v>0</v>
      </c>
      <c r="H130" s="6">
        <f>FLOOR(tblPivotData[[#This Row],[Time]],Summary!$B$6/1440)</f>
        <v>0.47916666666666663</v>
      </c>
      <c r="I130" s="46">
        <f>INDEX(PeakCalc!$L$10:$L$303,MATCH(tblPivotData[[#This Row],[Time]],PeakCalc!$G$10:$G$303,0))</f>
        <v>0</v>
      </c>
    </row>
    <row r="131" spans="1:9" x14ac:dyDescent="0.25">
      <c r="A131" t="s">
        <v>94</v>
      </c>
      <c r="B131" t="s">
        <v>90</v>
      </c>
      <c r="C131">
        <v>0</v>
      </c>
      <c r="D131" t="s">
        <v>92</v>
      </c>
      <c r="E131" t="s">
        <v>88</v>
      </c>
      <c r="F131" s="6">
        <v>0.48958333333333331</v>
      </c>
      <c r="G131">
        <v>2</v>
      </c>
      <c r="H131" s="6">
        <f>FLOOR(tblPivotData[[#This Row],[Time]],Summary!$B$6/1440)</f>
        <v>0.48958333333333331</v>
      </c>
      <c r="I131" s="46">
        <f>INDEX(PeakCalc!$L$10:$L$303,MATCH(tblPivotData[[#This Row],[Time]],PeakCalc!$G$10:$G$303,0))</f>
        <v>0</v>
      </c>
    </row>
    <row r="132" spans="1:9" x14ac:dyDescent="0.25">
      <c r="A132" t="s">
        <v>94</v>
      </c>
      <c r="B132" t="s">
        <v>90</v>
      </c>
      <c r="C132">
        <v>0</v>
      </c>
      <c r="D132" t="s">
        <v>92</v>
      </c>
      <c r="E132" t="s">
        <v>88</v>
      </c>
      <c r="F132" s="6">
        <v>0.5</v>
      </c>
      <c r="G132">
        <v>1</v>
      </c>
      <c r="H132" s="6">
        <f>FLOOR(tblPivotData[[#This Row],[Time]],Summary!$B$6/1440)</f>
        <v>0.5</v>
      </c>
      <c r="I132" s="46">
        <f>INDEX(PeakCalc!$L$10:$L$303,MATCH(tblPivotData[[#This Row],[Time]],PeakCalc!$G$10:$G$303,0))</f>
        <v>0</v>
      </c>
    </row>
    <row r="133" spans="1:9" x14ac:dyDescent="0.25">
      <c r="A133" t="s">
        <v>94</v>
      </c>
      <c r="B133" t="s">
        <v>90</v>
      </c>
      <c r="C133">
        <v>0</v>
      </c>
      <c r="D133" t="s">
        <v>92</v>
      </c>
      <c r="E133" t="s">
        <v>88</v>
      </c>
      <c r="F133" s="6">
        <v>0.51041666666666663</v>
      </c>
      <c r="G133">
        <v>5</v>
      </c>
      <c r="H133" s="6">
        <f>FLOOR(tblPivotData[[#This Row],[Time]],Summary!$B$6/1440)</f>
        <v>0.51041666666666663</v>
      </c>
      <c r="I133" s="46">
        <f>INDEX(PeakCalc!$L$10:$L$303,MATCH(tblPivotData[[#This Row],[Time]],PeakCalc!$G$10:$G$303,0))</f>
        <v>0</v>
      </c>
    </row>
    <row r="134" spans="1:9" x14ac:dyDescent="0.25">
      <c r="A134" t="s">
        <v>94</v>
      </c>
      <c r="B134" t="s">
        <v>90</v>
      </c>
      <c r="C134">
        <v>0</v>
      </c>
      <c r="D134" t="s">
        <v>92</v>
      </c>
      <c r="E134" t="s">
        <v>88</v>
      </c>
      <c r="F134" s="6">
        <v>0.52083333333333337</v>
      </c>
      <c r="G134">
        <v>1</v>
      </c>
      <c r="H134" s="6">
        <f>FLOOR(tblPivotData[[#This Row],[Time]],Summary!$B$6/1440)</f>
        <v>0.52083333333333326</v>
      </c>
      <c r="I134" s="46">
        <f>INDEX(PeakCalc!$L$10:$L$303,MATCH(tblPivotData[[#This Row],[Time]],PeakCalc!$G$10:$G$303,0))</f>
        <v>1</v>
      </c>
    </row>
    <row r="135" spans="1:9" x14ac:dyDescent="0.25">
      <c r="A135" t="s">
        <v>94</v>
      </c>
      <c r="B135" t="s">
        <v>90</v>
      </c>
      <c r="C135">
        <v>0</v>
      </c>
      <c r="D135" t="s">
        <v>92</v>
      </c>
      <c r="E135" t="s">
        <v>88</v>
      </c>
      <c r="F135" s="6">
        <v>0.53125</v>
      </c>
      <c r="G135">
        <v>3</v>
      </c>
      <c r="H135" s="6">
        <f>FLOOR(tblPivotData[[#This Row],[Time]],Summary!$B$6/1440)</f>
        <v>0.53125</v>
      </c>
      <c r="I135" s="46">
        <f>INDEX(PeakCalc!$L$10:$L$303,MATCH(tblPivotData[[#This Row],[Time]],PeakCalc!$G$10:$G$303,0))</f>
        <v>1</v>
      </c>
    </row>
    <row r="136" spans="1:9" x14ac:dyDescent="0.25">
      <c r="A136" t="s">
        <v>94</v>
      </c>
      <c r="B136" t="s">
        <v>90</v>
      </c>
      <c r="C136">
        <v>0</v>
      </c>
      <c r="D136" t="s">
        <v>92</v>
      </c>
      <c r="E136" t="s">
        <v>88</v>
      </c>
      <c r="F136" s="6">
        <v>0.54166666666666663</v>
      </c>
      <c r="G136">
        <v>1</v>
      </c>
      <c r="H136" s="6">
        <f>FLOOR(tblPivotData[[#This Row],[Time]],Summary!$B$6/1440)</f>
        <v>0.54166666666666663</v>
      </c>
      <c r="I136" s="46">
        <f>INDEX(PeakCalc!$L$10:$L$303,MATCH(tblPivotData[[#This Row],[Time]],PeakCalc!$G$10:$G$303,0))</f>
        <v>1</v>
      </c>
    </row>
    <row r="137" spans="1:9" x14ac:dyDescent="0.25">
      <c r="A137" t="s">
        <v>94</v>
      </c>
      <c r="B137" t="s">
        <v>90</v>
      </c>
      <c r="C137">
        <v>0</v>
      </c>
      <c r="D137" t="s">
        <v>92</v>
      </c>
      <c r="E137" t="s">
        <v>88</v>
      </c>
      <c r="F137" s="6">
        <v>0.55208333333333337</v>
      </c>
      <c r="G137">
        <v>1</v>
      </c>
      <c r="H137" s="6">
        <f>FLOOR(tblPivotData[[#This Row],[Time]],Summary!$B$6/1440)</f>
        <v>0.55208333333333326</v>
      </c>
      <c r="I137" s="46">
        <f>INDEX(PeakCalc!$L$10:$L$303,MATCH(tblPivotData[[#This Row],[Time]],PeakCalc!$G$10:$G$303,0))</f>
        <v>1</v>
      </c>
    </row>
    <row r="138" spans="1:9" x14ac:dyDescent="0.25">
      <c r="A138" t="s">
        <v>94</v>
      </c>
      <c r="B138" t="s">
        <v>90</v>
      </c>
      <c r="C138">
        <v>0</v>
      </c>
      <c r="D138" t="s">
        <v>92</v>
      </c>
      <c r="E138" t="s">
        <v>88</v>
      </c>
      <c r="F138" s="6">
        <v>0.5625</v>
      </c>
      <c r="G138">
        <v>1</v>
      </c>
      <c r="H138" s="6">
        <f>FLOOR(tblPivotData[[#This Row],[Time]],Summary!$B$6/1440)</f>
        <v>0.5625</v>
      </c>
      <c r="I138" s="46">
        <f>INDEX(PeakCalc!$L$10:$L$303,MATCH(tblPivotData[[#This Row],[Time]],PeakCalc!$G$10:$G$303,0))</f>
        <v>0</v>
      </c>
    </row>
    <row r="139" spans="1:9" x14ac:dyDescent="0.25">
      <c r="A139" t="s">
        <v>94</v>
      </c>
      <c r="B139" t="s">
        <v>90</v>
      </c>
      <c r="C139">
        <v>0</v>
      </c>
      <c r="D139" t="s">
        <v>92</v>
      </c>
      <c r="E139" t="s">
        <v>88</v>
      </c>
      <c r="F139" s="6">
        <v>0.57291666666666663</v>
      </c>
      <c r="G139">
        <v>2</v>
      </c>
      <c r="H139" s="6">
        <f>FLOOR(tblPivotData[[#This Row],[Time]],Summary!$B$6/1440)</f>
        <v>0.57291666666666663</v>
      </c>
      <c r="I139" s="46">
        <f>INDEX(PeakCalc!$L$10:$L$303,MATCH(tblPivotData[[#This Row],[Time]],PeakCalc!$G$10:$G$303,0))</f>
        <v>0</v>
      </c>
    </row>
    <row r="140" spans="1:9" x14ac:dyDescent="0.25">
      <c r="A140" t="s">
        <v>94</v>
      </c>
      <c r="B140" t="s">
        <v>90</v>
      </c>
      <c r="C140">
        <v>0</v>
      </c>
      <c r="D140" t="s">
        <v>92</v>
      </c>
      <c r="E140" t="s">
        <v>44</v>
      </c>
      <c r="F140" s="6">
        <v>0.625</v>
      </c>
      <c r="G140">
        <v>6</v>
      </c>
      <c r="H140" s="6">
        <f>FLOOR(tblPivotData[[#This Row],[Time]],Summary!$B$6/1440)</f>
        <v>0.625</v>
      </c>
      <c r="I140" s="46">
        <f>INDEX(PeakCalc!$L$10:$L$303,MATCH(tblPivotData[[#This Row],[Time]],PeakCalc!$G$10:$G$303,0))</f>
        <v>0</v>
      </c>
    </row>
    <row r="141" spans="1:9" x14ac:dyDescent="0.25">
      <c r="A141" t="s">
        <v>94</v>
      </c>
      <c r="B141" t="s">
        <v>90</v>
      </c>
      <c r="C141">
        <v>0</v>
      </c>
      <c r="D141" t="s">
        <v>92</v>
      </c>
      <c r="E141" t="s">
        <v>44</v>
      </c>
      <c r="F141" s="6">
        <v>0.63541666666666663</v>
      </c>
      <c r="G141">
        <v>0</v>
      </c>
      <c r="H141" s="6">
        <f>FLOOR(tblPivotData[[#This Row],[Time]],Summary!$B$6/1440)</f>
        <v>0.63541666666666663</v>
      </c>
      <c r="I141" s="46">
        <f>INDEX(PeakCalc!$L$10:$L$303,MATCH(tblPivotData[[#This Row],[Time]],PeakCalc!$G$10:$G$303,0))</f>
        <v>0</v>
      </c>
    </row>
    <row r="142" spans="1:9" x14ac:dyDescent="0.25">
      <c r="A142" t="s">
        <v>94</v>
      </c>
      <c r="B142" t="s">
        <v>90</v>
      </c>
      <c r="C142">
        <v>0</v>
      </c>
      <c r="D142" t="s">
        <v>92</v>
      </c>
      <c r="E142" t="s">
        <v>44</v>
      </c>
      <c r="F142" s="6">
        <v>0.64583333333333337</v>
      </c>
      <c r="G142">
        <v>5</v>
      </c>
      <c r="H142" s="6">
        <f>FLOOR(tblPivotData[[#This Row],[Time]],Summary!$B$6/1440)</f>
        <v>0.64583333333333326</v>
      </c>
      <c r="I142" s="46">
        <f>INDEX(PeakCalc!$L$10:$L$303,MATCH(tblPivotData[[#This Row],[Time]],PeakCalc!$G$10:$G$303,0))</f>
        <v>0</v>
      </c>
    </row>
    <row r="143" spans="1:9" x14ac:dyDescent="0.25">
      <c r="A143" t="s">
        <v>94</v>
      </c>
      <c r="B143" t="s">
        <v>90</v>
      </c>
      <c r="C143">
        <v>0</v>
      </c>
      <c r="D143" t="s">
        <v>92</v>
      </c>
      <c r="E143" t="s">
        <v>44</v>
      </c>
      <c r="F143" s="6">
        <v>0.65625</v>
      </c>
      <c r="G143">
        <v>1</v>
      </c>
      <c r="H143" s="6">
        <f>FLOOR(tblPivotData[[#This Row],[Time]],Summary!$B$6/1440)</f>
        <v>0.65625</v>
      </c>
      <c r="I143" s="46">
        <f>INDEX(PeakCalc!$L$10:$L$303,MATCH(tblPivotData[[#This Row],[Time]],PeakCalc!$G$10:$G$303,0))</f>
        <v>0</v>
      </c>
    </row>
    <row r="144" spans="1:9" x14ac:dyDescent="0.25">
      <c r="A144" t="s">
        <v>94</v>
      </c>
      <c r="B144" t="s">
        <v>90</v>
      </c>
      <c r="C144">
        <v>0</v>
      </c>
      <c r="D144" t="s">
        <v>92</v>
      </c>
      <c r="E144" t="s">
        <v>44</v>
      </c>
      <c r="F144" s="6">
        <v>0.66666666666666663</v>
      </c>
      <c r="G144">
        <v>3</v>
      </c>
      <c r="H144" s="6">
        <f>FLOOR(tblPivotData[[#This Row],[Time]],Summary!$B$6/1440)</f>
        <v>0.66666666666666663</v>
      </c>
      <c r="I144" s="46">
        <f>INDEX(PeakCalc!$L$10:$L$303,MATCH(tblPivotData[[#This Row],[Time]],PeakCalc!$G$10:$G$303,0))</f>
        <v>0</v>
      </c>
    </row>
    <row r="145" spans="1:9" x14ac:dyDescent="0.25">
      <c r="A145" t="s">
        <v>94</v>
      </c>
      <c r="B145" t="s">
        <v>90</v>
      </c>
      <c r="C145">
        <v>0</v>
      </c>
      <c r="D145" t="s">
        <v>92</v>
      </c>
      <c r="E145" t="s">
        <v>44</v>
      </c>
      <c r="F145" s="6">
        <v>0.67708333333333337</v>
      </c>
      <c r="G145">
        <v>1</v>
      </c>
      <c r="H145" s="6">
        <f>FLOOR(tblPivotData[[#This Row],[Time]],Summary!$B$6/1440)</f>
        <v>0.67708333333333326</v>
      </c>
      <c r="I145" s="46">
        <f>INDEX(PeakCalc!$L$10:$L$303,MATCH(tblPivotData[[#This Row],[Time]],PeakCalc!$G$10:$G$303,0))</f>
        <v>0</v>
      </c>
    </row>
    <row r="146" spans="1:9" x14ac:dyDescent="0.25">
      <c r="A146" t="s">
        <v>94</v>
      </c>
      <c r="B146" t="s">
        <v>90</v>
      </c>
      <c r="C146">
        <v>0</v>
      </c>
      <c r="D146" t="s">
        <v>92</v>
      </c>
      <c r="E146" t="s">
        <v>44</v>
      </c>
      <c r="F146" s="6">
        <v>0.6875</v>
      </c>
      <c r="G146">
        <v>6</v>
      </c>
      <c r="H146" s="6">
        <f>FLOOR(tblPivotData[[#This Row],[Time]],Summary!$B$6/1440)</f>
        <v>0.6875</v>
      </c>
      <c r="I146" s="46">
        <f>INDEX(PeakCalc!$L$10:$L$303,MATCH(tblPivotData[[#This Row],[Time]],PeakCalc!$G$10:$G$303,0))</f>
        <v>1</v>
      </c>
    </row>
    <row r="147" spans="1:9" x14ac:dyDescent="0.25">
      <c r="A147" t="s">
        <v>94</v>
      </c>
      <c r="B147" t="s">
        <v>90</v>
      </c>
      <c r="C147">
        <v>0</v>
      </c>
      <c r="D147" t="s">
        <v>92</v>
      </c>
      <c r="E147" t="s">
        <v>44</v>
      </c>
      <c r="F147" s="6">
        <v>0.69791666666666663</v>
      </c>
      <c r="G147">
        <v>1</v>
      </c>
      <c r="H147" s="6">
        <f>FLOOR(tblPivotData[[#This Row],[Time]],Summary!$B$6/1440)</f>
        <v>0.69791666666666663</v>
      </c>
      <c r="I147" s="46">
        <f>INDEX(PeakCalc!$L$10:$L$303,MATCH(tblPivotData[[#This Row],[Time]],PeakCalc!$G$10:$G$303,0))</f>
        <v>1</v>
      </c>
    </row>
    <row r="148" spans="1:9" x14ac:dyDescent="0.25">
      <c r="A148" t="s">
        <v>94</v>
      </c>
      <c r="B148" t="s">
        <v>90</v>
      </c>
      <c r="C148">
        <v>0</v>
      </c>
      <c r="D148" t="s">
        <v>92</v>
      </c>
      <c r="E148" t="s">
        <v>44</v>
      </c>
      <c r="F148" s="6">
        <v>0.70833333333333337</v>
      </c>
      <c r="G148">
        <v>6</v>
      </c>
      <c r="H148" s="6">
        <f>FLOOR(tblPivotData[[#This Row],[Time]],Summary!$B$6/1440)</f>
        <v>0.70833333333333326</v>
      </c>
      <c r="I148" s="46">
        <f>INDEX(PeakCalc!$L$10:$L$303,MATCH(tblPivotData[[#This Row],[Time]],PeakCalc!$G$10:$G$303,0))</f>
        <v>1</v>
      </c>
    </row>
    <row r="149" spans="1:9" x14ac:dyDescent="0.25">
      <c r="A149" t="s">
        <v>94</v>
      </c>
      <c r="B149" t="s">
        <v>90</v>
      </c>
      <c r="C149">
        <v>0</v>
      </c>
      <c r="D149" t="s">
        <v>92</v>
      </c>
      <c r="E149" t="s">
        <v>44</v>
      </c>
      <c r="F149" s="6">
        <v>0.71875</v>
      </c>
      <c r="G149">
        <v>4</v>
      </c>
      <c r="H149" s="6">
        <f>FLOOR(tblPivotData[[#This Row],[Time]],Summary!$B$6/1440)</f>
        <v>0.71875</v>
      </c>
      <c r="I149" s="46">
        <f>INDEX(PeakCalc!$L$10:$L$303,MATCH(tblPivotData[[#This Row],[Time]],PeakCalc!$G$10:$G$303,0))</f>
        <v>1</v>
      </c>
    </row>
    <row r="150" spans="1:9" x14ac:dyDescent="0.25">
      <c r="A150" t="s">
        <v>94</v>
      </c>
      <c r="B150" t="s">
        <v>90</v>
      </c>
      <c r="C150">
        <v>0</v>
      </c>
      <c r="D150" t="s">
        <v>92</v>
      </c>
      <c r="E150" t="s">
        <v>44</v>
      </c>
      <c r="F150" s="6">
        <v>0.72916666666666663</v>
      </c>
      <c r="G150">
        <v>3</v>
      </c>
      <c r="H150" s="6">
        <f>FLOOR(tblPivotData[[#This Row],[Time]],Summary!$B$6/1440)</f>
        <v>0.72916666666666663</v>
      </c>
      <c r="I150" s="46">
        <f>INDEX(PeakCalc!$L$10:$L$303,MATCH(tblPivotData[[#This Row],[Time]],PeakCalc!$G$10:$G$303,0))</f>
        <v>0</v>
      </c>
    </row>
    <row r="151" spans="1:9" x14ac:dyDescent="0.25">
      <c r="A151" t="s">
        <v>94</v>
      </c>
      <c r="B151" t="s">
        <v>90</v>
      </c>
      <c r="C151">
        <v>0</v>
      </c>
      <c r="D151" t="s">
        <v>92</v>
      </c>
      <c r="E151" t="s">
        <v>44</v>
      </c>
      <c r="F151" s="6">
        <v>0.73958333333333337</v>
      </c>
      <c r="G151">
        <v>2</v>
      </c>
      <c r="H151" s="6">
        <f>FLOOR(tblPivotData[[#This Row],[Time]],Summary!$B$6/1440)</f>
        <v>0.73958333333333326</v>
      </c>
      <c r="I151" s="46">
        <f>INDEX(PeakCalc!$L$10:$L$303,MATCH(tblPivotData[[#This Row],[Time]],PeakCalc!$G$10:$G$303,0))</f>
        <v>0</v>
      </c>
    </row>
    <row r="152" spans="1:9" x14ac:dyDescent="0.25">
      <c r="A152" t="s">
        <v>94</v>
      </c>
      <c r="B152" t="s">
        <v>90</v>
      </c>
      <c r="C152">
        <v>0</v>
      </c>
      <c r="D152" t="s">
        <v>92</v>
      </c>
      <c r="E152" t="s">
        <v>44</v>
      </c>
      <c r="F152" s="6">
        <v>0.75</v>
      </c>
      <c r="G152">
        <v>0</v>
      </c>
      <c r="H152" s="6">
        <f>FLOOR(tblPivotData[[#This Row],[Time]],Summary!$B$6/1440)</f>
        <v>0.75</v>
      </c>
      <c r="I152" s="46">
        <f>INDEX(PeakCalc!$L$10:$L$303,MATCH(tblPivotData[[#This Row],[Time]],PeakCalc!$G$10:$G$303,0))</f>
        <v>0</v>
      </c>
    </row>
    <row r="153" spans="1:9" x14ac:dyDescent="0.25">
      <c r="A153" t="s">
        <v>94</v>
      </c>
      <c r="B153" t="s">
        <v>90</v>
      </c>
      <c r="C153">
        <v>0</v>
      </c>
      <c r="D153" t="s">
        <v>92</v>
      </c>
      <c r="E153" t="s">
        <v>44</v>
      </c>
      <c r="F153" s="6">
        <v>0.76041666666666663</v>
      </c>
      <c r="G153">
        <v>4</v>
      </c>
      <c r="H153" s="6">
        <f>FLOOR(tblPivotData[[#This Row],[Time]],Summary!$B$6/1440)</f>
        <v>0.76041666666666663</v>
      </c>
      <c r="I153" s="46">
        <f>INDEX(PeakCalc!$L$10:$L$303,MATCH(tblPivotData[[#This Row],[Time]],PeakCalc!$G$10:$G$303,0))</f>
        <v>0</v>
      </c>
    </row>
    <row r="154" spans="1:9" x14ac:dyDescent="0.25">
      <c r="A154" t="s">
        <v>95</v>
      </c>
      <c r="B154" t="s">
        <v>89</v>
      </c>
      <c r="C154">
        <v>0</v>
      </c>
      <c r="D154" t="s">
        <v>91</v>
      </c>
      <c r="E154" t="s">
        <v>43</v>
      </c>
      <c r="F154" s="6">
        <v>0.27083333333333331</v>
      </c>
      <c r="G154">
        <v>0</v>
      </c>
      <c r="H154" s="6">
        <f>FLOOR(tblPivotData[[#This Row],[Time]],Summary!$B$6/1440)</f>
        <v>0.27083333333333331</v>
      </c>
      <c r="I154" s="46">
        <f>INDEX(PeakCalc!$L$10:$L$303,MATCH(tblPivotData[[#This Row],[Time]],PeakCalc!$G$10:$G$303,0))</f>
        <v>0</v>
      </c>
    </row>
    <row r="155" spans="1:9" x14ac:dyDescent="0.25">
      <c r="A155" t="s">
        <v>95</v>
      </c>
      <c r="B155" t="s">
        <v>89</v>
      </c>
      <c r="C155">
        <v>0</v>
      </c>
      <c r="D155" t="s">
        <v>91</v>
      </c>
      <c r="E155" t="s">
        <v>43</v>
      </c>
      <c r="F155" s="6">
        <v>0.28125</v>
      </c>
      <c r="G155">
        <v>0</v>
      </c>
      <c r="H155" s="6">
        <f>FLOOR(tblPivotData[[#This Row],[Time]],Summary!$B$6/1440)</f>
        <v>0.28125</v>
      </c>
      <c r="I155" s="46">
        <f>INDEX(PeakCalc!$L$10:$L$303,MATCH(tblPivotData[[#This Row],[Time]],PeakCalc!$G$10:$G$303,0))</f>
        <v>0</v>
      </c>
    </row>
    <row r="156" spans="1:9" x14ac:dyDescent="0.25">
      <c r="A156" t="s">
        <v>95</v>
      </c>
      <c r="B156" t="s">
        <v>89</v>
      </c>
      <c r="C156">
        <v>0</v>
      </c>
      <c r="D156" t="s">
        <v>91</v>
      </c>
      <c r="E156" t="s">
        <v>43</v>
      </c>
      <c r="F156" s="6">
        <v>0.29166666666666669</v>
      </c>
      <c r="G156">
        <v>0</v>
      </c>
      <c r="H156" s="6">
        <f>FLOOR(tblPivotData[[#This Row],[Time]],Summary!$B$6/1440)</f>
        <v>0.29166666666666663</v>
      </c>
      <c r="I156" s="46">
        <f>INDEX(PeakCalc!$L$10:$L$303,MATCH(tblPivotData[[#This Row],[Time]],PeakCalc!$G$10:$G$303,0))</f>
        <v>0</v>
      </c>
    </row>
    <row r="157" spans="1:9" x14ac:dyDescent="0.25">
      <c r="A157" t="s">
        <v>95</v>
      </c>
      <c r="B157" t="s">
        <v>89</v>
      </c>
      <c r="C157">
        <v>0</v>
      </c>
      <c r="D157" t="s">
        <v>91</v>
      </c>
      <c r="E157" t="s">
        <v>43</v>
      </c>
      <c r="F157" s="6">
        <v>0.30208333333333331</v>
      </c>
      <c r="G157">
        <v>0</v>
      </c>
      <c r="H157" s="6">
        <f>FLOOR(tblPivotData[[#This Row],[Time]],Summary!$B$6/1440)</f>
        <v>0.30208333333333331</v>
      </c>
      <c r="I157" s="46">
        <f>INDEX(PeakCalc!$L$10:$L$303,MATCH(tblPivotData[[#This Row],[Time]],PeakCalc!$G$10:$G$303,0))</f>
        <v>0</v>
      </c>
    </row>
    <row r="158" spans="1:9" x14ac:dyDescent="0.25">
      <c r="A158" t="s">
        <v>95</v>
      </c>
      <c r="B158" t="s">
        <v>89</v>
      </c>
      <c r="C158">
        <v>0</v>
      </c>
      <c r="D158" t="s">
        <v>91</v>
      </c>
      <c r="E158" t="s">
        <v>43</v>
      </c>
      <c r="F158" s="6">
        <v>0.3125</v>
      </c>
      <c r="G158">
        <v>0</v>
      </c>
      <c r="H158" s="6">
        <f>FLOOR(tblPivotData[[#This Row],[Time]],Summary!$B$6/1440)</f>
        <v>0.3125</v>
      </c>
      <c r="I158" s="46">
        <f>INDEX(PeakCalc!$L$10:$L$303,MATCH(tblPivotData[[#This Row],[Time]],PeakCalc!$G$10:$G$303,0))</f>
        <v>0</v>
      </c>
    </row>
    <row r="159" spans="1:9" x14ac:dyDescent="0.25">
      <c r="A159" t="s">
        <v>95</v>
      </c>
      <c r="B159" t="s">
        <v>89</v>
      </c>
      <c r="C159">
        <v>0</v>
      </c>
      <c r="D159" t="s">
        <v>91</v>
      </c>
      <c r="E159" t="s">
        <v>43</v>
      </c>
      <c r="F159" s="6">
        <v>0.32291666666666669</v>
      </c>
      <c r="G159">
        <v>1</v>
      </c>
      <c r="H159" s="6">
        <f>FLOOR(tblPivotData[[#This Row],[Time]],Summary!$B$6/1440)</f>
        <v>0.32291666666666663</v>
      </c>
      <c r="I159" s="46">
        <f>INDEX(PeakCalc!$L$10:$L$303,MATCH(tblPivotData[[#This Row],[Time]],PeakCalc!$G$10:$G$303,0))</f>
        <v>1</v>
      </c>
    </row>
    <row r="160" spans="1:9" x14ac:dyDescent="0.25">
      <c r="A160" t="s">
        <v>95</v>
      </c>
      <c r="B160" t="s">
        <v>89</v>
      </c>
      <c r="C160">
        <v>0</v>
      </c>
      <c r="D160" t="s">
        <v>91</v>
      </c>
      <c r="E160" t="s">
        <v>43</v>
      </c>
      <c r="F160" s="6">
        <v>0.33333333333333331</v>
      </c>
      <c r="G160">
        <v>1</v>
      </c>
      <c r="H160" s="6">
        <f>FLOOR(tblPivotData[[#This Row],[Time]],Summary!$B$6/1440)</f>
        <v>0.33333333333333331</v>
      </c>
      <c r="I160" s="46">
        <f>INDEX(PeakCalc!$L$10:$L$303,MATCH(tblPivotData[[#This Row],[Time]],PeakCalc!$G$10:$G$303,0))</f>
        <v>1</v>
      </c>
    </row>
    <row r="161" spans="1:9" x14ac:dyDescent="0.25">
      <c r="A161" t="s">
        <v>95</v>
      </c>
      <c r="B161" t="s">
        <v>89</v>
      </c>
      <c r="C161">
        <v>0</v>
      </c>
      <c r="D161" t="s">
        <v>91</v>
      </c>
      <c r="E161" t="s">
        <v>43</v>
      </c>
      <c r="F161" s="6">
        <v>0.34375</v>
      </c>
      <c r="G161">
        <v>1</v>
      </c>
      <c r="H161" s="6">
        <f>FLOOR(tblPivotData[[#This Row],[Time]],Summary!$B$6/1440)</f>
        <v>0.34375</v>
      </c>
      <c r="I161" s="46">
        <f>INDEX(PeakCalc!$L$10:$L$303,MATCH(tblPivotData[[#This Row],[Time]],PeakCalc!$G$10:$G$303,0))</f>
        <v>1</v>
      </c>
    </row>
    <row r="162" spans="1:9" x14ac:dyDescent="0.25">
      <c r="A162" t="s">
        <v>95</v>
      </c>
      <c r="B162" t="s">
        <v>89</v>
      </c>
      <c r="C162">
        <v>0</v>
      </c>
      <c r="D162" t="s">
        <v>91</v>
      </c>
      <c r="E162" t="s">
        <v>43</v>
      </c>
      <c r="F162" s="6">
        <v>0.35416666666666669</v>
      </c>
      <c r="G162">
        <v>1</v>
      </c>
      <c r="H162" s="6">
        <f>FLOOR(tblPivotData[[#This Row],[Time]],Summary!$B$6/1440)</f>
        <v>0.35416666666666663</v>
      </c>
      <c r="I162" s="46">
        <f>INDEX(PeakCalc!$L$10:$L$303,MATCH(tblPivotData[[#This Row],[Time]],PeakCalc!$G$10:$G$303,0))</f>
        <v>1</v>
      </c>
    </row>
    <row r="163" spans="1:9" x14ac:dyDescent="0.25">
      <c r="A163" t="s">
        <v>95</v>
      </c>
      <c r="B163" t="s">
        <v>89</v>
      </c>
      <c r="C163">
        <v>0</v>
      </c>
      <c r="D163" t="s">
        <v>91</v>
      </c>
      <c r="E163" t="s">
        <v>43</v>
      </c>
      <c r="F163" s="6">
        <v>0.36458333333333331</v>
      </c>
      <c r="G163">
        <v>1</v>
      </c>
      <c r="H163" s="6">
        <f>FLOOR(tblPivotData[[#This Row],[Time]],Summary!$B$6/1440)</f>
        <v>0.36458333333333331</v>
      </c>
      <c r="I163" s="46">
        <f>INDEX(PeakCalc!$L$10:$L$303,MATCH(tblPivotData[[#This Row],[Time]],PeakCalc!$G$10:$G$303,0))</f>
        <v>0</v>
      </c>
    </row>
    <row r="164" spans="1:9" x14ac:dyDescent="0.25">
      <c r="A164" t="s">
        <v>95</v>
      </c>
      <c r="B164" t="s">
        <v>89</v>
      </c>
      <c r="C164">
        <v>0</v>
      </c>
      <c r="D164" t="s">
        <v>91</v>
      </c>
      <c r="E164" t="s">
        <v>43</v>
      </c>
      <c r="F164" s="6">
        <v>0.375</v>
      </c>
      <c r="G164">
        <v>0</v>
      </c>
      <c r="H164" s="6">
        <f>FLOOR(tblPivotData[[#This Row],[Time]],Summary!$B$6/1440)</f>
        <v>0.375</v>
      </c>
      <c r="I164" s="46">
        <f>INDEX(PeakCalc!$L$10:$L$303,MATCH(tblPivotData[[#This Row],[Time]],PeakCalc!$G$10:$G$303,0))</f>
        <v>0</v>
      </c>
    </row>
    <row r="165" spans="1:9" x14ac:dyDescent="0.25">
      <c r="A165" t="s">
        <v>95</v>
      </c>
      <c r="B165" t="s">
        <v>89</v>
      </c>
      <c r="C165">
        <v>0</v>
      </c>
      <c r="D165" t="s">
        <v>91</v>
      </c>
      <c r="E165" t="s">
        <v>43</v>
      </c>
      <c r="F165" s="6">
        <v>0.38541666666666669</v>
      </c>
      <c r="G165">
        <v>0</v>
      </c>
      <c r="H165" s="6">
        <f>FLOOR(tblPivotData[[#This Row],[Time]],Summary!$B$6/1440)</f>
        <v>0.38541666666666663</v>
      </c>
      <c r="I165" s="46">
        <f>INDEX(PeakCalc!$L$10:$L$303,MATCH(tblPivotData[[#This Row],[Time]],PeakCalc!$G$10:$G$303,0))</f>
        <v>0</v>
      </c>
    </row>
    <row r="166" spans="1:9" x14ac:dyDescent="0.25">
      <c r="A166" t="s">
        <v>95</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95</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95</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95</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95</v>
      </c>
      <c r="B170" t="s">
        <v>89</v>
      </c>
      <c r="C170">
        <v>0</v>
      </c>
      <c r="D170" t="s">
        <v>91</v>
      </c>
      <c r="E170" t="s">
        <v>88</v>
      </c>
      <c r="F170" s="6">
        <v>0.5</v>
      </c>
      <c r="G170">
        <v>0</v>
      </c>
      <c r="H170" s="6">
        <f>FLOOR(tblPivotData[[#This Row],[Time]],Summary!$B$6/1440)</f>
        <v>0.5</v>
      </c>
      <c r="I170" s="46">
        <f>INDEX(PeakCalc!$L$10:$L$303,MATCH(tblPivotData[[#This Row],[Time]],PeakCalc!$G$10:$G$303,0))</f>
        <v>0</v>
      </c>
    </row>
    <row r="171" spans="1:9" x14ac:dyDescent="0.25">
      <c r="A171" t="s">
        <v>95</v>
      </c>
      <c r="B171" t="s">
        <v>89</v>
      </c>
      <c r="C171">
        <v>0</v>
      </c>
      <c r="D171" t="s">
        <v>91</v>
      </c>
      <c r="E171" t="s">
        <v>88</v>
      </c>
      <c r="F171" s="6">
        <v>0.51041666666666663</v>
      </c>
      <c r="G171">
        <v>0</v>
      </c>
      <c r="H171" s="6">
        <f>FLOOR(tblPivotData[[#This Row],[Time]],Summary!$B$6/1440)</f>
        <v>0.51041666666666663</v>
      </c>
      <c r="I171" s="46">
        <f>INDEX(PeakCalc!$L$10:$L$303,MATCH(tblPivotData[[#This Row],[Time]],PeakCalc!$G$10:$G$303,0))</f>
        <v>0</v>
      </c>
    </row>
    <row r="172" spans="1:9" x14ac:dyDescent="0.25">
      <c r="A172" t="s">
        <v>95</v>
      </c>
      <c r="B172" t="s">
        <v>89</v>
      </c>
      <c r="C172">
        <v>0</v>
      </c>
      <c r="D172" t="s">
        <v>91</v>
      </c>
      <c r="E172" t="s">
        <v>88</v>
      </c>
      <c r="F172" s="6">
        <v>0.52083333333333337</v>
      </c>
      <c r="G172">
        <v>0</v>
      </c>
      <c r="H172" s="6">
        <f>FLOOR(tblPivotData[[#This Row],[Time]],Summary!$B$6/1440)</f>
        <v>0.52083333333333326</v>
      </c>
      <c r="I172" s="46">
        <f>INDEX(PeakCalc!$L$10:$L$303,MATCH(tblPivotData[[#This Row],[Time]],PeakCalc!$G$10:$G$303,0))</f>
        <v>1</v>
      </c>
    </row>
    <row r="173" spans="1:9" x14ac:dyDescent="0.25">
      <c r="A173" t="s">
        <v>95</v>
      </c>
      <c r="B173" t="s">
        <v>89</v>
      </c>
      <c r="C173">
        <v>0</v>
      </c>
      <c r="D173" t="s">
        <v>91</v>
      </c>
      <c r="E173" t="s">
        <v>88</v>
      </c>
      <c r="F173" s="6">
        <v>0.53125</v>
      </c>
      <c r="G173">
        <v>0</v>
      </c>
      <c r="H173" s="6">
        <f>FLOOR(tblPivotData[[#This Row],[Time]],Summary!$B$6/1440)</f>
        <v>0.53125</v>
      </c>
      <c r="I173" s="46">
        <f>INDEX(PeakCalc!$L$10:$L$303,MATCH(tblPivotData[[#This Row],[Time]],PeakCalc!$G$10:$G$303,0))</f>
        <v>1</v>
      </c>
    </row>
    <row r="174" spans="1:9" x14ac:dyDescent="0.25">
      <c r="A174" t="s">
        <v>95</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1</v>
      </c>
    </row>
    <row r="175" spans="1:9" x14ac:dyDescent="0.25">
      <c r="A175" t="s">
        <v>95</v>
      </c>
      <c r="B175" t="s">
        <v>89</v>
      </c>
      <c r="C175">
        <v>0</v>
      </c>
      <c r="D175" t="s">
        <v>91</v>
      </c>
      <c r="E175" t="s">
        <v>88</v>
      </c>
      <c r="F175" s="6">
        <v>0.55208333333333337</v>
      </c>
      <c r="G175">
        <v>1</v>
      </c>
      <c r="H175" s="6">
        <f>FLOOR(tblPivotData[[#This Row],[Time]],Summary!$B$6/1440)</f>
        <v>0.55208333333333326</v>
      </c>
      <c r="I175" s="46">
        <f>INDEX(PeakCalc!$L$10:$L$303,MATCH(tblPivotData[[#This Row],[Time]],PeakCalc!$G$10:$G$303,0))</f>
        <v>1</v>
      </c>
    </row>
    <row r="176" spans="1:9" x14ac:dyDescent="0.25">
      <c r="A176" t="s">
        <v>95</v>
      </c>
      <c r="B176" t="s">
        <v>89</v>
      </c>
      <c r="C176">
        <v>0</v>
      </c>
      <c r="D176" t="s">
        <v>91</v>
      </c>
      <c r="E176" t="s">
        <v>88</v>
      </c>
      <c r="F176" s="6">
        <v>0.5625</v>
      </c>
      <c r="G176">
        <v>0</v>
      </c>
      <c r="H176" s="6">
        <f>FLOOR(tblPivotData[[#This Row],[Time]],Summary!$B$6/1440)</f>
        <v>0.5625</v>
      </c>
      <c r="I176" s="46">
        <f>INDEX(PeakCalc!$L$10:$L$303,MATCH(tblPivotData[[#This Row],[Time]],PeakCalc!$G$10:$G$303,0))</f>
        <v>0</v>
      </c>
    </row>
    <row r="177" spans="1:9" x14ac:dyDescent="0.25">
      <c r="A177" t="s">
        <v>95</v>
      </c>
      <c r="B177" t="s">
        <v>89</v>
      </c>
      <c r="C177">
        <v>0</v>
      </c>
      <c r="D177" t="s">
        <v>91</v>
      </c>
      <c r="E177" t="s">
        <v>88</v>
      </c>
      <c r="F177" s="6">
        <v>0.57291666666666663</v>
      </c>
      <c r="G177">
        <v>0</v>
      </c>
      <c r="H177" s="6">
        <f>FLOOR(tblPivotData[[#This Row],[Time]],Summary!$B$6/1440)</f>
        <v>0.57291666666666663</v>
      </c>
      <c r="I177" s="46">
        <f>INDEX(PeakCalc!$L$10:$L$303,MATCH(tblPivotData[[#This Row],[Time]],PeakCalc!$G$10:$G$303,0))</f>
        <v>0</v>
      </c>
    </row>
    <row r="178" spans="1:9" x14ac:dyDescent="0.25">
      <c r="A178" t="s">
        <v>95</v>
      </c>
      <c r="B178" t="s">
        <v>89</v>
      </c>
      <c r="C178">
        <v>0</v>
      </c>
      <c r="D178" t="s">
        <v>91</v>
      </c>
      <c r="E178" t="s">
        <v>44</v>
      </c>
      <c r="F178" s="6">
        <v>0.625</v>
      </c>
      <c r="G178">
        <v>5</v>
      </c>
      <c r="H178" s="6">
        <f>FLOOR(tblPivotData[[#This Row],[Time]],Summary!$B$6/1440)</f>
        <v>0.625</v>
      </c>
      <c r="I178" s="46">
        <f>INDEX(PeakCalc!$L$10:$L$303,MATCH(tblPivotData[[#This Row],[Time]],PeakCalc!$G$10:$G$303,0))</f>
        <v>0</v>
      </c>
    </row>
    <row r="179" spans="1:9" x14ac:dyDescent="0.25">
      <c r="A179" t="s">
        <v>95</v>
      </c>
      <c r="B179" t="s">
        <v>89</v>
      </c>
      <c r="C179">
        <v>0</v>
      </c>
      <c r="D179" t="s">
        <v>91</v>
      </c>
      <c r="E179" t="s">
        <v>44</v>
      </c>
      <c r="F179" s="6">
        <v>0.63541666666666663</v>
      </c>
      <c r="G179">
        <v>0</v>
      </c>
      <c r="H179" s="6">
        <f>FLOOR(tblPivotData[[#This Row],[Time]],Summary!$B$6/1440)</f>
        <v>0.63541666666666663</v>
      </c>
      <c r="I179" s="46">
        <f>INDEX(PeakCalc!$L$10:$L$303,MATCH(tblPivotData[[#This Row],[Time]],PeakCalc!$G$10:$G$303,0))</f>
        <v>0</v>
      </c>
    </row>
    <row r="180" spans="1:9" x14ac:dyDescent="0.25">
      <c r="A180" t="s">
        <v>95</v>
      </c>
      <c r="B180" t="s">
        <v>89</v>
      </c>
      <c r="C180">
        <v>0</v>
      </c>
      <c r="D180" t="s">
        <v>91</v>
      </c>
      <c r="E180" t="s">
        <v>44</v>
      </c>
      <c r="F180" s="6">
        <v>0.64583333333333337</v>
      </c>
      <c r="G180">
        <v>1</v>
      </c>
      <c r="H180" s="6">
        <f>FLOOR(tblPivotData[[#This Row],[Time]],Summary!$B$6/1440)</f>
        <v>0.64583333333333326</v>
      </c>
      <c r="I180" s="46">
        <f>INDEX(PeakCalc!$L$10:$L$303,MATCH(tblPivotData[[#This Row],[Time]],PeakCalc!$G$10:$G$303,0))</f>
        <v>0</v>
      </c>
    </row>
    <row r="181" spans="1:9" x14ac:dyDescent="0.25">
      <c r="A181" t="s">
        <v>95</v>
      </c>
      <c r="B181" t="s">
        <v>89</v>
      </c>
      <c r="C181">
        <v>0</v>
      </c>
      <c r="D181" t="s">
        <v>91</v>
      </c>
      <c r="E181" t="s">
        <v>44</v>
      </c>
      <c r="F181" s="6">
        <v>0.65625</v>
      </c>
      <c r="G181">
        <v>0</v>
      </c>
      <c r="H181" s="6">
        <f>FLOOR(tblPivotData[[#This Row],[Time]],Summary!$B$6/1440)</f>
        <v>0.65625</v>
      </c>
      <c r="I181" s="46">
        <f>INDEX(PeakCalc!$L$10:$L$303,MATCH(tblPivotData[[#This Row],[Time]],PeakCalc!$G$10:$G$303,0))</f>
        <v>0</v>
      </c>
    </row>
    <row r="182" spans="1:9" x14ac:dyDescent="0.25">
      <c r="A182" t="s">
        <v>95</v>
      </c>
      <c r="B182" t="s">
        <v>89</v>
      </c>
      <c r="C182">
        <v>0</v>
      </c>
      <c r="D182" t="s">
        <v>91</v>
      </c>
      <c r="E182" t="s">
        <v>44</v>
      </c>
      <c r="F182" s="6">
        <v>0.66666666666666663</v>
      </c>
      <c r="G182">
        <v>0</v>
      </c>
      <c r="H182" s="6">
        <f>FLOOR(tblPivotData[[#This Row],[Time]],Summary!$B$6/1440)</f>
        <v>0.66666666666666663</v>
      </c>
      <c r="I182" s="46">
        <f>INDEX(PeakCalc!$L$10:$L$303,MATCH(tblPivotData[[#This Row],[Time]],PeakCalc!$G$10:$G$303,0))</f>
        <v>0</v>
      </c>
    </row>
    <row r="183" spans="1:9" x14ac:dyDescent="0.25">
      <c r="A183" t="s">
        <v>95</v>
      </c>
      <c r="B183" t="s">
        <v>89</v>
      </c>
      <c r="C183">
        <v>0</v>
      </c>
      <c r="D183" t="s">
        <v>91</v>
      </c>
      <c r="E183" t="s">
        <v>44</v>
      </c>
      <c r="F183" s="6">
        <v>0.67708333333333337</v>
      </c>
      <c r="G183">
        <v>0</v>
      </c>
      <c r="H183" s="6">
        <f>FLOOR(tblPivotData[[#This Row],[Time]],Summary!$B$6/1440)</f>
        <v>0.67708333333333326</v>
      </c>
      <c r="I183" s="46">
        <f>INDEX(PeakCalc!$L$10:$L$303,MATCH(tblPivotData[[#This Row],[Time]],PeakCalc!$G$10:$G$303,0))</f>
        <v>0</v>
      </c>
    </row>
    <row r="184" spans="1:9" x14ac:dyDescent="0.25">
      <c r="A184" t="s">
        <v>95</v>
      </c>
      <c r="B184" t="s">
        <v>89</v>
      </c>
      <c r="C184">
        <v>0</v>
      </c>
      <c r="D184" t="s">
        <v>91</v>
      </c>
      <c r="E184" t="s">
        <v>44</v>
      </c>
      <c r="F184" s="6">
        <v>0.6875</v>
      </c>
      <c r="G184">
        <v>1</v>
      </c>
      <c r="H184" s="6">
        <f>FLOOR(tblPivotData[[#This Row],[Time]],Summary!$B$6/1440)</f>
        <v>0.6875</v>
      </c>
      <c r="I184" s="46">
        <f>INDEX(PeakCalc!$L$10:$L$303,MATCH(tblPivotData[[#This Row],[Time]],PeakCalc!$G$10:$G$303,0))</f>
        <v>1</v>
      </c>
    </row>
    <row r="185" spans="1:9" x14ac:dyDescent="0.25">
      <c r="A185" t="s">
        <v>95</v>
      </c>
      <c r="B185" t="s">
        <v>89</v>
      </c>
      <c r="C185">
        <v>0</v>
      </c>
      <c r="D185" t="s">
        <v>91</v>
      </c>
      <c r="E185" t="s">
        <v>44</v>
      </c>
      <c r="F185" s="6">
        <v>0.69791666666666663</v>
      </c>
      <c r="G185">
        <v>1</v>
      </c>
      <c r="H185" s="6">
        <f>FLOOR(tblPivotData[[#This Row],[Time]],Summary!$B$6/1440)</f>
        <v>0.69791666666666663</v>
      </c>
      <c r="I185" s="46">
        <f>INDEX(PeakCalc!$L$10:$L$303,MATCH(tblPivotData[[#This Row],[Time]],PeakCalc!$G$10:$G$303,0))</f>
        <v>1</v>
      </c>
    </row>
    <row r="186" spans="1:9" x14ac:dyDescent="0.25">
      <c r="A186" t="s">
        <v>95</v>
      </c>
      <c r="B186" t="s">
        <v>89</v>
      </c>
      <c r="C186">
        <v>0</v>
      </c>
      <c r="D186" t="s">
        <v>91</v>
      </c>
      <c r="E186" t="s">
        <v>44</v>
      </c>
      <c r="F186" s="6">
        <v>0.70833333333333337</v>
      </c>
      <c r="G186">
        <v>0</v>
      </c>
      <c r="H186" s="6">
        <f>FLOOR(tblPivotData[[#This Row],[Time]],Summary!$B$6/1440)</f>
        <v>0.70833333333333326</v>
      </c>
      <c r="I186" s="46">
        <f>INDEX(PeakCalc!$L$10:$L$303,MATCH(tblPivotData[[#This Row],[Time]],PeakCalc!$G$10:$G$303,0))</f>
        <v>1</v>
      </c>
    </row>
    <row r="187" spans="1:9" x14ac:dyDescent="0.25">
      <c r="A187" t="s">
        <v>95</v>
      </c>
      <c r="B187" t="s">
        <v>89</v>
      </c>
      <c r="C187">
        <v>0</v>
      </c>
      <c r="D187" t="s">
        <v>91</v>
      </c>
      <c r="E187" t="s">
        <v>44</v>
      </c>
      <c r="F187" s="6">
        <v>0.71875</v>
      </c>
      <c r="G187">
        <v>1</v>
      </c>
      <c r="H187" s="6">
        <f>FLOOR(tblPivotData[[#This Row],[Time]],Summary!$B$6/1440)</f>
        <v>0.71875</v>
      </c>
      <c r="I187" s="46">
        <f>INDEX(PeakCalc!$L$10:$L$303,MATCH(tblPivotData[[#This Row],[Time]],PeakCalc!$G$10:$G$303,0))</f>
        <v>1</v>
      </c>
    </row>
    <row r="188" spans="1:9" x14ac:dyDescent="0.25">
      <c r="A188" t="s">
        <v>95</v>
      </c>
      <c r="B188" t="s">
        <v>89</v>
      </c>
      <c r="C188">
        <v>0</v>
      </c>
      <c r="D188" t="s">
        <v>91</v>
      </c>
      <c r="E188" t="s">
        <v>44</v>
      </c>
      <c r="F188" s="6">
        <v>0.72916666666666663</v>
      </c>
      <c r="G188">
        <v>0</v>
      </c>
      <c r="H188" s="6">
        <f>FLOOR(tblPivotData[[#This Row],[Time]],Summary!$B$6/1440)</f>
        <v>0.72916666666666663</v>
      </c>
      <c r="I188" s="46">
        <f>INDEX(PeakCalc!$L$10:$L$303,MATCH(tblPivotData[[#This Row],[Time]],PeakCalc!$G$10:$G$303,0))</f>
        <v>0</v>
      </c>
    </row>
    <row r="189" spans="1:9" x14ac:dyDescent="0.25">
      <c r="A189" t="s">
        <v>95</v>
      </c>
      <c r="B189" t="s">
        <v>89</v>
      </c>
      <c r="C189">
        <v>0</v>
      </c>
      <c r="D189" t="s">
        <v>91</v>
      </c>
      <c r="E189" t="s">
        <v>44</v>
      </c>
      <c r="F189" s="6">
        <v>0.73958333333333337</v>
      </c>
      <c r="G189">
        <v>0</v>
      </c>
      <c r="H189" s="6">
        <f>FLOOR(tblPivotData[[#This Row],[Time]],Summary!$B$6/1440)</f>
        <v>0.73958333333333326</v>
      </c>
      <c r="I189" s="46">
        <f>INDEX(PeakCalc!$L$10:$L$303,MATCH(tblPivotData[[#This Row],[Time]],PeakCalc!$G$10:$G$303,0))</f>
        <v>0</v>
      </c>
    </row>
    <row r="190" spans="1:9" x14ac:dyDescent="0.25">
      <c r="A190" t="s">
        <v>95</v>
      </c>
      <c r="B190" t="s">
        <v>89</v>
      </c>
      <c r="C190">
        <v>0</v>
      </c>
      <c r="D190" t="s">
        <v>91</v>
      </c>
      <c r="E190" t="s">
        <v>44</v>
      </c>
      <c r="F190" s="6">
        <v>0.75</v>
      </c>
      <c r="G190">
        <v>0</v>
      </c>
      <c r="H190" s="6">
        <f>FLOOR(tblPivotData[[#This Row],[Time]],Summary!$B$6/1440)</f>
        <v>0.75</v>
      </c>
      <c r="I190" s="46">
        <f>INDEX(PeakCalc!$L$10:$L$303,MATCH(tblPivotData[[#This Row],[Time]],PeakCalc!$G$10:$G$303,0))</f>
        <v>0</v>
      </c>
    </row>
    <row r="191" spans="1:9" x14ac:dyDescent="0.25">
      <c r="A191" t="s">
        <v>95</v>
      </c>
      <c r="B191" t="s">
        <v>89</v>
      </c>
      <c r="C191">
        <v>0</v>
      </c>
      <c r="D191" t="s">
        <v>91</v>
      </c>
      <c r="E191" t="s">
        <v>44</v>
      </c>
      <c r="F191" s="6">
        <v>0.76041666666666663</v>
      </c>
      <c r="G191">
        <v>0</v>
      </c>
      <c r="H191" s="6">
        <f>FLOOR(tblPivotData[[#This Row],[Time]],Summary!$B$6/1440)</f>
        <v>0.76041666666666663</v>
      </c>
      <c r="I191" s="46">
        <f>INDEX(PeakCalc!$L$10:$L$303,MATCH(tblPivotData[[#This Row],[Time]],PeakCalc!$G$10:$G$303,0))</f>
        <v>0</v>
      </c>
    </row>
    <row r="192" spans="1:9" x14ac:dyDescent="0.25">
      <c r="A192" t="s">
        <v>95</v>
      </c>
      <c r="B192" t="s">
        <v>89</v>
      </c>
      <c r="C192">
        <v>0</v>
      </c>
      <c r="D192" t="s">
        <v>92</v>
      </c>
      <c r="E192" t="s">
        <v>43</v>
      </c>
      <c r="F192" s="6">
        <v>0.27083333333333331</v>
      </c>
      <c r="G192">
        <v>2</v>
      </c>
      <c r="H192" s="6">
        <f>FLOOR(tblPivotData[[#This Row],[Time]],Summary!$B$6/1440)</f>
        <v>0.27083333333333331</v>
      </c>
      <c r="I192" s="46">
        <f>INDEX(PeakCalc!$L$10:$L$303,MATCH(tblPivotData[[#This Row],[Time]],PeakCalc!$G$10:$G$303,0))</f>
        <v>0</v>
      </c>
    </row>
    <row r="193" spans="1:9" x14ac:dyDescent="0.25">
      <c r="A193" t="s">
        <v>95</v>
      </c>
      <c r="B193" t="s">
        <v>89</v>
      </c>
      <c r="C193">
        <v>0</v>
      </c>
      <c r="D193" t="s">
        <v>92</v>
      </c>
      <c r="E193" t="s">
        <v>43</v>
      </c>
      <c r="F193" s="6">
        <v>0.28125</v>
      </c>
      <c r="G193">
        <v>8</v>
      </c>
      <c r="H193" s="6">
        <f>FLOOR(tblPivotData[[#This Row],[Time]],Summary!$B$6/1440)</f>
        <v>0.28125</v>
      </c>
      <c r="I193" s="46">
        <f>INDEX(PeakCalc!$L$10:$L$303,MATCH(tblPivotData[[#This Row],[Time]],PeakCalc!$G$10:$G$303,0))</f>
        <v>0</v>
      </c>
    </row>
    <row r="194" spans="1:9" x14ac:dyDescent="0.25">
      <c r="A194" t="s">
        <v>95</v>
      </c>
      <c r="B194" t="s">
        <v>89</v>
      </c>
      <c r="C194">
        <v>0</v>
      </c>
      <c r="D194" t="s">
        <v>92</v>
      </c>
      <c r="E194" t="s">
        <v>43</v>
      </c>
      <c r="F194" s="6">
        <v>0.29166666666666669</v>
      </c>
      <c r="G194">
        <v>9</v>
      </c>
      <c r="H194" s="6">
        <f>FLOOR(tblPivotData[[#This Row],[Time]],Summary!$B$6/1440)</f>
        <v>0.29166666666666663</v>
      </c>
      <c r="I194" s="46">
        <f>INDEX(PeakCalc!$L$10:$L$303,MATCH(tblPivotData[[#This Row],[Time]],PeakCalc!$G$10:$G$303,0))</f>
        <v>0</v>
      </c>
    </row>
    <row r="195" spans="1:9" x14ac:dyDescent="0.25">
      <c r="A195" t="s">
        <v>95</v>
      </c>
      <c r="B195" t="s">
        <v>89</v>
      </c>
      <c r="C195">
        <v>0</v>
      </c>
      <c r="D195" t="s">
        <v>92</v>
      </c>
      <c r="E195" t="s">
        <v>43</v>
      </c>
      <c r="F195" s="6">
        <v>0.30208333333333331</v>
      </c>
      <c r="G195">
        <v>6</v>
      </c>
      <c r="H195" s="6">
        <f>FLOOR(tblPivotData[[#This Row],[Time]],Summary!$B$6/1440)</f>
        <v>0.30208333333333331</v>
      </c>
      <c r="I195" s="46">
        <f>INDEX(PeakCalc!$L$10:$L$303,MATCH(tblPivotData[[#This Row],[Time]],PeakCalc!$G$10:$G$303,0))</f>
        <v>0</v>
      </c>
    </row>
    <row r="196" spans="1:9" x14ac:dyDescent="0.25">
      <c r="A196" t="s">
        <v>95</v>
      </c>
      <c r="B196" t="s">
        <v>89</v>
      </c>
      <c r="C196">
        <v>0</v>
      </c>
      <c r="D196" t="s">
        <v>92</v>
      </c>
      <c r="E196" t="s">
        <v>43</v>
      </c>
      <c r="F196" s="6">
        <v>0.3125</v>
      </c>
      <c r="G196">
        <v>3</v>
      </c>
      <c r="H196" s="6">
        <f>FLOOR(tblPivotData[[#This Row],[Time]],Summary!$B$6/1440)</f>
        <v>0.3125</v>
      </c>
      <c r="I196" s="46">
        <f>INDEX(PeakCalc!$L$10:$L$303,MATCH(tblPivotData[[#This Row],[Time]],PeakCalc!$G$10:$G$303,0))</f>
        <v>0</v>
      </c>
    </row>
    <row r="197" spans="1:9" x14ac:dyDescent="0.25">
      <c r="A197" t="s">
        <v>95</v>
      </c>
      <c r="B197" t="s">
        <v>89</v>
      </c>
      <c r="C197">
        <v>0</v>
      </c>
      <c r="D197" t="s">
        <v>92</v>
      </c>
      <c r="E197" t="s">
        <v>43</v>
      </c>
      <c r="F197" s="6">
        <v>0.32291666666666669</v>
      </c>
      <c r="G197">
        <v>17</v>
      </c>
      <c r="H197" s="6">
        <f>FLOOR(tblPivotData[[#This Row],[Time]],Summary!$B$6/1440)</f>
        <v>0.32291666666666663</v>
      </c>
      <c r="I197" s="46">
        <f>INDEX(PeakCalc!$L$10:$L$303,MATCH(tblPivotData[[#This Row],[Time]],PeakCalc!$G$10:$G$303,0))</f>
        <v>1</v>
      </c>
    </row>
    <row r="198" spans="1:9" x14ac:dyDescent="0.25">
      <c r="A198" t="s">
        <v>95</v>
      </c>
      <c r="B198" t="s">
        <v>89</v>
      </c>
      <c r="C198">
        <v>0</v>
      </c>
      <c r="D198" t="s">
        <v>92</v>
      </c>
      <c r="E198" t="s">
        <v>43</v>
      </c>
      <c r="F198" s="6">
        <v>0.33333333333333331</v>
      </c>
      <c r="G198">
        <v>14</v>
      </c>
      <c r="H198" s="6">
        <f>FLOOR(tblPivotData[[#This Row],[Time]],Summary!$B$6/1440)</f>
        <v>0.33333333333333331</v>
      </c>
      <c r="I198" s="46">
        <f>INDEX(PeakCalc!$L$10:$L$303,MATCH(tblPivotData[[#This Row],[Time]],PeakCalc!$G$10:$G$303,0))</f>
        <v>1</v>
      </c>
    </row>
    <row r="199" spans="1:9" x14ac:dyDescent="0.25">
      <c r="A199" t="s">
        <v>95</v>
      </c>
      <c r="B199" t="s">
        <v>89</v>
      </c>
      <c r="C199">
        <v>0</v>
      </c>
      <c r="D199" t="s">
        <v>92</v>
      </c>
      <c r="E199" t="s">
        <v>43</v>
      </c>
      <c r="F199" s="6">
        <v>0.34375</v>
      </c>
      <c r="G199">
        <v>8</v>
      </c>
      <c r="H199" s="6">
        <f>FLOOR(tblPivotData[[#This Row],[Time]],Summary!$B$6/1440)</f>
        <v>0.34375</v>
      </c>
      <c r="I199" s="46">
        <f>INDEX(PeakCalc!$L$10:$L$303,MATCH(tblPivotData[[#This Row],[Time]],PeakCalc!$G$10:$G$303,0))</f>
        <v>1</v>
      </c>
    </row>
    <row r="200" spans="1:9" x14ac:dyDescent="0.25">
      <c r="A200" t="s">
        <v>95</v>
      </c>
      <c r="B200" t="s">
        <v>89</v>
      </c>
      <c r="C200">
        <v>0</v>
      </c>
      <c r="D200" t="s">
        <v>92</v>
      </c>
      <c r="E200" t="s">
        <v>43</v>
      </c>
      <c r="F200" s="6">
        <v>0.35416666666666669</v>
      </c>
      <c r="G200">
        <v>12</v>
      </c>
      <c r="H200" s="6">
        <f>FLOOR(tblPivotData[[#This Row],[Time]],Summary!$B$6/1440)</f>
        <v>0.35416666666666663</v>
      </c>
      <c r="I200" s="46">
        <f>INDEX(PeakCalc!$L$10:$L$303,MATCH(tblPivotData[[#This Row],[Time]],PeakCalc!$G$10:$G$303,0))</f>
        <v>1</v>
      </c>
    </row>
    <row r="201" spans="1:9" x14ac:dyDescent="0.25">
      <c r="A201" t="s">
        <v>95</v>
      </c>
      <c r="B201" t="s">
        <v>89</v>
      </c>
      <c r="C201">
        <v>0</v>
      </c>
      <c r="D201" t="s">
        <v>92</v>
      </c>
      <c r="E201" t="s">
        <v>43</v>
      </c>
      <c r="F201" s="6">
        <v>0.36458333333333331</v>
      </c>
      <c r="G201">
        <v>11</v>
      </c>
      <c r="H201" s="6">
        <f>FLOOR(tblPivotData[[#This Row],[Time]],Summary!$B$6/1440)</f>
        <v>0.36458333333333331</v>
      </c>
      <c r="I201" s="46">
        <f>INDEX(PeakCalc!$L$10:$L$303,MATCH(tblPivotData[[#This Row],[Time]],PeakCalc!$G$10:$G$303,0))</f>
        <v>0</v>
      </c>
    </row>
    <row r="202" spans="1:9" x14ac:dyDescent="0.25">
      <c r="A202" t="s">
        <v>95</v>
      </c>
      <c r="B202" t="s">
        <v>89</v>
      </c>
      <c r="C202">
        <v>0</v>
      </c>
      <c r="D202" t="s">
        <v>92</v>
      </c>
      <c r="E202" t="s">
        <v>43</v>
      </c>
      <c r="F202" s="6">
        <v>0.375</v>
      </c>
      <c r="G202">
        <v>3</v>
      </c>
      <c r="H202" s="6">
        <f>FLOOR(tblPivotData[[#This Row],[Time]],Summary!$B$6/1440)</f>
        <v>0.375</v>
      </c>
      <c r="I202" s="46">
        <f>INDEX(PeakCalc!$L$10:$L$303,MATCH(tblPivotData[[#This Row],[Time]],PeakCalc!$G$10:$G$303,0))</f>
        <v>0</v>
      </c>
    </row>
    <row r="203" spans="1:9" x14ac:dyDescent="0.25">
      <c r="A203" t="s">
        <v>95</v>
      </c>
      <c r="B203" t="s">
        <v>89</v>
      </c>
      <c r="C203">
        <v>0</v>
      </c>
      <c r="D203" t="s">
        <v>92</v>
      </c>
      <c r="E203" t="s">
        <v>43</v>
      </c>
      <c r="F203" s="6">
        <v>0.38541666666666669</v>
      </c>
      <c r="G203">
        <v>3</v>
      </c>
      <c r="H203" s="6">
        <f>FLOOR(tblPivotData[[#This Row],[Time]],Summary!$B$6/1440)</f>
        <v>0.38541666666666663</v>
      </c>
      <c r="I203" s="46">
        <f>INDEX(PeakCalc!$L$10:$L$303,MATCH(tblPivotData[[#This Row],[Time]],PeakCalc!$G$10:$G$303,0))</f>
        <v>0</v>
      </c>
    </row>
    <row r="204" spans="1:9" x14ac:dyDescent="0.25">
      <c r="A204" t="s">
        <v>95</v>
      </c>
      <c r="B204" t="s">
        <v>89</v>
      </c>
      <c r="C204">
        <v>0</v>
      </c>
      <c r="D204" t="s">
        <v>92</v>
      </c>
      <c r="E204" t="s">
        <v>88</v>
      </c>
      <c r="F204" s="6">
        <v>0.45833333333333331</v>
      </c>
      <c r="G204">
        <v>0</v>
      </c>
      <c r="H204" s="6">
        <f>FLOOR(tblPivotData[[#This Row],[Time]],Summary!$B$6/1440)</f>
        <v>0.45833333333333331</v>
      </c>
      <c r="I204" s="46">
        <f>INDEX(PeakCalc!$L$10:$L$303,MATCH(tblPivotData[[#This Row],[Time]],PeakCalc!$G$10:$G$303,0))</f>
        <v>0</v>
      </c>
    </row>
    <row r="205" spans="1:9" x14ac:dyDescent="0.25">
      <c r="A205" t="s">
        <v>95</v>
      </c>
      <c r="B205" t="s">
        <v>89</v>
      </c>
      <c r="C205">
        <v>0</v>
      </c>
      <c r="D205" t="s">
        <v>92</v>
      </c>
      <c r="E205" t="s">
        <v>88</v>
      </c>
      <c r="F205" s="6">
        <v>0.46875</v>
      </c>
      <c r="G205">
        <v>2</v>
      </c>
      <c r="H205" s="6">
        <f>FLOOR(tblPivotData[[#This Row],[Time]],Summary!$B$6/1440)</f>
        <v>0.46875</v>
      </c>
      <c r="I205" s="46">
        <f>INDEX(PeakCalc!$L$10:$L$303,MATCH(tblPivotData[[#This Row],[Time]],PeakCalc!$G$10:$G$303,0))</f>
        <v>0</v>
      </c>
    </row>
    <row r="206" spans="1:9" x14ac:dyDescent="0.25">
      <c r="A206" t="s">
        <v>95</v>
      </c>
      <c r="B206" t="s">
        <v>89</v>
      </c>
      <c r="C206">
        <v>0</v>
      </c>
      <c r="D206" t="s">
        <v>92</v>
      </c>
      <c r="E206" t="s">
        <v>88</v>
      </c>
      <c r="F206" s="6">
        <v>0.47916666666666669</v>
      </c>
      <c r="G206">
        <v>3</v>
      </c>
      <c r="H206" s="6">
        <f>FLOOR(tblPivotData[[#This Row],[Time]],Summary!$B$6/1440)</f>
        <v>0.47916666666666663</v>
      </c>
      <c r="I206" s="46">
        <f>INDEX(PeakCalc!$L$10:$L$303,MATCH(tblPivotData[[#This Row],[Time]],PeakCalc!$G$10:$G$303,0))</f>
        <v>0</v>
      </c>
    </row>
    <row r="207" spans="1:9" x14ac:dyDescent="0.25">
      <c r="A207" t="s">
        <v>95</v>
      </c>
      <c r="B207" t="s">
        <v>89</v>
      </c>
      <c r="C207">
        <v>0</v>
      </c>
      <c r="D207" t="s">
        <v>92</v>
      </c>
      <c r="E207" t="s">
        <v>88</v>
      </c>
      <c r="F207" s="6">
        <v>0.48958333333333331</v>
      </c>
      <c r="G207">
        <v>1</v>
      </c>
      <c r="H207" s="6">
        <f>FLOOR(tblPivotData[[#This Row],[Time]],Summary!$B$6/1440)</f>
        <v>0.48958333333333331</v>
      </c>
      <c r="I207" s="46">
        <f>INDEX(PeakCalc!$L$10:$L$303,MATCH(tblPivotData[[#This Row],[Time]],PeakCalc!$G$10:$G$303,0))</f>
        <v>0</v>
      </c>
    </row>
    <row r="208" spans="1:9" x14ac:dyDescent="0.25">
      <c r="A208" t="s">
        <v>95</v>
      </c>
      <c r="B208" t="s">
        <v>89</v>
      </c>
      <c r="C208">
        <v>0</v>
      </c>
      <c r="D208" t="s">
        <v>92</v>
      </c>
      <c r="E208" t="s">
        <v>88</v>
      </c>
      <c r="F208" s="6">
        <v>0.5</v>
      </c>
      <c r="G208">
        <v>4</v>
      </c>
      <c r="H208" s="6">
        <f>FLOOR(tblPivotData[[#This Row],[Time]],Summary!$B$6/1440)</f>
        <v>0.5</v>
      </c>
      <c r="I208" s="46">
        <f>INDEX(PeakCalc!$L$10:$L$303,MATCH(tblPivotData[[#This Row],[Time]],PeakCalc!$G$10:$G$303,0))</f>
        <v>0</v>
      </c>
    </row>
    <row r="209" spans="1:9" x14ac:dyDescent="0.25">
      <c r="A209" t="s">
        <v>95</v>
      </c>
      <c r="B209" t="s">
        <v>89</v>
      </c>
      <c r="C209">
        <v>0</v>
      </c>
      <c r="D209" t="s">
        <v>92</v>
      </c>
      <c r="E209" t="s">
        <v>88</v>
      </c>
      <c r="F209" s="6">
        <v>0.51041666666666663</v>
      </c>
      <c r="G209">
        <v>10</v>
      </c>
      <c r="H209" s="6">
        <f>FLOOR(tblPivotData[[#This Row],[Time]],Summary!$B$6/1440)</f>
        <v>0.51041666666666663</v>
      </c>
      <c r="I209" s="46">
        <f>INDEX(PeakCalc!$L$10:$L$303,MATCH(tblPivotData[[#This Row],[Time]],PeakCalc!$G$10:$G$303,0))</f>
        <v>0</v>
      </c>
    </row>
    <row r="210" spans="1:9" x14ac:dyDescent="0.25">
      <c r="A210" t="s">
        <v>95</v>
      </c>
      <c r="B210" t="s">
        <v>89</v>
      </c>
      <c r="C210">
        <v>0</v>
      </c>
      <c r="D210" t="s">
        <v>92</v>
      </c>
      <c r="E210" t="s">
        <v>88</v>
      </c>
      <c r="F210" s="6">
        <v>0.52083333333333337</v>
      </c>
      <c r="G210">
        <v>4</v>
      </c>
      <c r="H210" s="6">
        <f>FLOOR(tblPivotData[[#This Row],[Time]],Summary!$B$6/1440)</f>
        <v>0.52083333333333326</v>
      </c>
      <c r="I210" s="46">
        <f>INDEX(PeakCalc!$L$10:$L$303,MATCH(tblPivotData[[#This Row],[Time]],PeakCalc!$G$10:$G$303,0))</f>
        <v>1</v>
      </c>
    </row>
    <row r="211" spans="1:9" x14ac:dyDescent="0.25">
      <c r="A211" t="s">
        <v>95</v>
      </c>
      <c r="B211" t="s">
        <v>89</v>
      </c>
      <c r="C211">
        <v>0</v>
      </c>
      <c r="D211" t="s">
        <v>92</v>
      </c>
      <c r="E211" t="s">
        <v>88</v>
      </c>
      <c r="F211" s="6">
        <v>0.53125</v>
      </c>
      <c r="G211">
        <v>7</v>
      </c>
      <c r="H211" s="6">
        <f>FLOOR(tblPivotData[[#This Row],[Time]],Summary!$B$6/1440)</f>
        <v>0.53125</v>
      </c>
      <c r="I211" s="46">
        <f>INDEX(PeakCalc!$L$10:$L$303,MATCH(tblPivotData[[#This Row],[Time]],PeakCalc!$G$10:$G$303,0))</f>
        <v>1</v>
      </c>
    </row>
    <row r="212" spans="1:9" x14ac:dyDescent="0.25">
      <c r="A212" t="s">
        <v>95</v>
      </c>
      <c r="B212" t="s">
        <v>89</v>
      </c>
      <c r="C212">
        <v>0</v>
      </c>
      <c r="D212" t="s">
        <v>92</v>
      </c>
      <c r="E212" t="s">
        <v>88</v>
      </c>
      <c r="F212" s="6">
        <v>0.54166666666666663</v>
      </c>
      <c r="G212">
        <v>1</v>
      </c>
      <c r="H212" s="6">
        <f>FLOOR(tblPivotData[[#This Row],[Time]],Summary!$B$6/1440)</f>
        <v>0.54166666666666663</v>
      </c>
      <c r="I212" s="46">
        <f>INDEX(PeakCalc!$L$10:$L$303,MATCH(tblPivotData[[#This Row],[Time]],PeakCalc!$G$10:$G$303,0))</f>
        <v>1</v>
      </c>
    </row>
    <row r="213" spans="1:9" x14ac:dyDescent="0.25">
      <c r="A213" t="s">
        <v>95</v>
      </c>
      <c r="B213" t="s">
        <v>89</v>
      </c>
      <c r="C213">
        <v>0</v>
      </c>
      <c r="D213" t="s">
        <v>92</v>
      </c>
      <c r="E213" t="s">
        <v>88</v>
      </c>
      <c r="F213" s="6">
        <v>0.55208333333333337</v>
      </c>
      <c r="G213">
        <v>4</v>
      </c>
      <c r="H213" s="6">
        <f>FLOOR(tblPivotData[[#This Row],[Time]],Summary!$B$6/1440)</f>
        <v>0.55208333333333326</v>
      </c>
      <c r="I213" s="46">
        <f>INDEX(PeakCalc!$L$10:$L$303,MATCH(tblPivotData[[#This Row],[Time]],PeakCalc!$G$10:$G$303,0))</f>
        <v>1</v>
      </c>
    </row>
    <row r="214" spans="1:9" x14ac:dyDescent="0.25">
      <c r="A214" t="s">
        <v>95</v>
      </c>
      <c r="B214" t="s">
        <v>89</v>
      </c>
      <c r="C214">
        <v>0</v>
      </c>
      <c r="D214" t="s">
        <v>92</v>
      </c>
      <c r="E214" t="s">
        <v>88</v>
      </c>
      <c r="F214" s="6">
        <v>0.5625</v>
      </c>
      <c r="G214">
        <v>0</v>
      </c>
      <c r="H214" s="6">
        <f>FLOOR(tblPivotData[[#This Row],[Time]],Summary!$B$6/1440)</f>
        <v>0.5625</v>
      </c>
      <c r="I214" s="46">
        <f>INDEX(PeakCalc!$L$10:$L$303,MATCH(tblPivotData[[#This Row],[Time]],PeakCalc!$G$10:$G$303,0))</f>
        <v>0</v>
      </c>
    </row>
    <row r="215" spans="1:9" x14ac:dyDescent="0.25">
      <c r="A215" t="s">
        <v>95</v>
      </c>
      <c r="B215" t="s">
        <v>89</v>
      </c>
      <c r="C215">
        <v>0</v>
      </c>
      <c r="D215" t="s">
        <v>92</v>
      </c>
      <c r="E215" t="s">
        <v>88</v>
      </c>
      <c r="F215" s="6">
        <v>0.57291666666666663</v>
      </c>
      <c r="G215">
        <v>3</v>
      </c>
      <c r="H215" s="6">
        <f>FLOOR(tblPivotData[[#This Row],[Time]],Summary!$B$6/1440)</f>
        <v>0.57291666666666663</v>
      </c>
      <c r="I215" s="46">
        <f>INDEX(PeakCalc!$L$10:$L$303,MATCH(tblPivotData[[#This Row],[Time]],PeakCalc!$G$10:$G$303,0))</f>
        <v>0</v>
      </c>
    </row>
    <row r="216" spans="1:9" x14ac:dyDescent="0.25">
      <c r="A216" t="s">
        <v>95</v>
      </c>
      <c r="B216" t="s">
        <v>89</v>
      </c>
      <c r="C216">
        <v>0</v>
      </c>
      <c r="D216" t="s">
        <v>92</v>
      </c>
      <c r="E216" t="s">
        <v>44</v>
      </c>
      <c r="F216" s="6">
        <v>0.625</v>
      </c>
      <c r="G216">
        <v>3</v>
      </c>
      <c r="H216" s="6">
        <f>FLOOR(tblPivotData[[#This Row],[Time]],Summary!$B$6/1440)</f>
        <v>0.625</v>
      </c>
      <c r="I216" s="46">
        <f>INDEX(PeakCalc!$L$10:$L$303,MATCH(tblPivotData[[#This Row],[Time]],PeakCalc!$G$10:$G$303,0))</f>
        <v>0</v>
      </c>
    </row>
    <row r="217" spans="1:9" x14ac:dyDescent="0.25">
      <c r="A217" t="s">
        <v>95</v>
      </c>
      <c r="B217" t="s">
        <v>89</v>
      </c>
      <c r="C217">
        <v>0</v>
      </c>
      <c r="D217" t="s">
        <v>92</v>
      </c>
      <c r="E217" t="s">
        <v>44</v>
      </c>
      <c r="F217" s="6">
        <v>0.63541666666666663</v>
      </c>
      <c r="G217">
        <v>1</v>
      </c>
      <c r="H217" s="6">
        <f>FLOOR(tblPivotData[[#This Row],[Time]],Summary!$B$6/1440)</f>
        <v>0.63541666666666663</v>
      </c>
      <c r="I217" s="46">
        <f>INDEX(PeakCalc!$L$10:$L$303,MATCH(tblPivotData[[#This Row],[Time]],PeakCalc!$G$10:$G$303,0))</f>
        <v>0</v>
      </c>
    </row>
    <row r="218" spans="1:9" x14ac:dyDescent="0.25">
      <c r="A218" t="s">
        <v>95</v>
      </c>
      <c r="B218" t="s">
        <v>89</v>
      </c>
      <c r="C218">
        <v>0</v>
      </c>
      <c r="D218" t="s">
        <v>92</v>
      </c>
      <c r="E218" t="s">
        <v>44</v>
      </c>
      <c r="F218" s="6">
        <v>0.64583333333333337</v>
      </c>
      <c r="G218">
        <v>3</v>
      </c>
      <c r="H218" s="6">
        <f>FLOOR(tblPivotData[[#This Row],[Time]],Summary!$B$6/1440)</f>
        <v>0.64583333333333326</v>
      </c>
      <c r="I218" s="46">
        <f>INDEX(PeakCalc!$L$10:$L$303,MATCH(tblPivotData[[#This Row],[Time]],PeakCalc!$G$10:$G$303,0))</f>
        <v>0</v>
      </c>
    </row>
    <row r="219" spans="1:9" x14ac:dyDescent="0.25">
      <c r="A219" t="s">
        <v>95</v>
      </c>
      <c r="B219" t="s">
        <v>89</v>
      </c>
      <c r="C219">
        <v>0</v>
      </c>
      <c r="D219" t="s">
        <v>92</v>
      </c>
      <c r="E219" t="s">
        <v>44</v>
      </c>
      <c r="F219" s="6">
        <v>0.65625</v>
      </c>
      <c r="G219">
        <v>2</v>
      </c>
      <c r="H219" s="6">
        <f>FLOOR(tblPivotData[[#This Row],[Time]],Summary!$B$6/1440)</f>
        <v>0.65625</v>
      </c>
      <c r="I219" s="46">
        <f>INDEX(PeakCalc!$L$10:$L$303,MATCH(tblPivotData[[#This Row],[Time]],PeakCalc!$G$10:$G$303,0))</f>
        <v>0</v>
      </c>
    </row>
    <row r="220" spans="1:9" x14ac:dyDescent="0.25">
      <c r="A220" t="s">
        <v>95</v>
      </c>
      <c r="B220" t="s">
        <v>89</v>
      </c>
      <c r="C220">
        <v>0</v>
      </c>
      <c r="D220" t="s">
        <v>92</v>
      </c>
      <c r="E220" t="s">
        <v>44</v>
      </c>
      <c r="F220" s="6">
        <v>0.66666666666666663</v>
      </c>
      <c r="G220">
        <v>2</v>
      </c>
      <c r="H220" s="6">
        <f>FLOOR(tblPivotData[[#This Row],[Time]],Summary!$B$6/1440)</f>
        <v>0.66666666666666663</v>
      </c>
      <c r="I220" s="46">
        <f>INDEX(PeakCalc!$L$10:$L$303,MATCH(tblPivotData[[#This Row],[Time]],PeakCalc!$G$10:$G$303,0))</f>
        <v>0</v>
      </c>
    </row>
    <row r="221" spans="1:9" x14ac:dyDescent="0.25">
      <c r="A221" t="s">
        <v>95</v>
      </c>
      <c r="B221" t="s">
        <v>89</v>
      </c>
      <c r="C221">
        <v>0</v>
      </c>
      <c r="D221" t="s">
        <v>92</v>
      </c>
      <c r="E221" t="s">
        <v>44</v>
      </c>
      <c r="F221" s="6">
        <v>0.67708333333333337</v>
      </c>
      <c r="G221">
        <v>0</v>
      </c>
      <c r="H221" s="6">
        <f>FLOOR(tblPivotData[[#This Row],[Time]],Summary!$B$6/1440)</f>
        <v>0.67708333333333326</v>
      </c>
      <c r="I221" s="46">
        <f>INDEX(PeakCalc!$L$10:$L$303,MATCH(tblPivotData[[#This Row],[Time]],PeakCalc!$G$10:$G$303,0))</f>
        <v>0</v>
      </c>
    </row>
    <row r="222" spans="1:9" x14ac:dyDescent="0.25">
      <c r="A222" t="s">
        <v>95</v>
      </c>
      <c r="B222" t="s">
        <v>89</v>
      </c>
      <c r="C222">
        <v>0</v>
      </c>
      <c r="D222" t="s">
        <v>92</v>
      </c>
      <c r="E222" t="s">
        <v>44</v>
      </c>
      <c r="F222" s="6">
        <v>0.6875</v>
      </c>
      <c r="G222">
        <v>7</v>
      </c>
      <c r="H222" s="6">
        <f>FLOOR(tblPivotData[[#This Row],[Time]],Summary!$B$6/1440)</f>
        <v>0.6875</v>
      </c>
      <c r="I222" s="46">
        <f>INDEX(PeakCalc!$L$10:$L$303,MATCH(tblPivotData[[#This Row],[Time]],PeakCalc!$G$10:$G$303,0))</f>
        <v>1</v>
      </c>
    </row>
    <row r="223" spans="1:9" x14ac:dyDescent="0.25">
      <c r="A223" t="s">
        <v>95</v>
      </c>
      <c r="B223" t="s">
        <v>89</v>
      </c>
      <c r="C223">
        <v>0</v>
      </c>
      <c r="D223" t="s">
        <v>92</v>
      </c>
      <c r="E223" t="s">
        <v>44</v>
      </c>
      <c r="F223" s="6">
        <v>0.69791666666666663</v>
      </c>
      <c r="G223">
        <v>0</v>
      </c>
      <c r="H223" s="6">
        <f>FLOOR(tblPivotData[[#This Row],[Time]],Summary!$B$6/1440)</f>
        <v>0.69791666666666663</v>
      </c>
      <c r="I223" s="46">
        <f>INDEX(PeakCalc!$L$10:$L$303,MATCH(tblPivotData[[#This Row],[Time]],PeakCalc!$G$10:$G$303,0))</f>
        <v>1</v>
      </c>
    </row>
    <row r="224" spans="1:9" x14ac:dyDescent="0.25">
      <c r="A224" t="s">
        <v>95</v>
      </c>
      <c r="B224" t="s">
        <v>89</v>
      </c>
      <c r="C224">
        <v>0</v>
      </c>
      <c r="D224" t="s">
        <v>92</v>
      </c>
      <c r="E224" t="s">
        <v>44</v>
      </c>
      <c r="F224" s="6">
        <v>0.70833333333333337</v>
      </c>
      <c r="G224">
        <v>1</v>
      </c>
      <c r="H224" s="6">
        <f>FLOOR(tblPivotData[[#This Row],[Time]],Summary!$B$6/1440)</f>
        <v>0.70833333333333326</v>
      </c>
      <c r="I224" s="46">
        <f>INDEX(PeakCalc!$L$10:$L$303,MATCH(tblPivotData[[#This Row],[Time]],PeakCalc!$G$10:$G$303,0))</f>
        <v>1</v>
      </c>
    </row>
    <row r="225" spans="1:9" x14ac:dyDescent="0.25">
      <c r="A225" t="s">
        <v>95</v>
      </c>
      <c r="B225" t="s">
        <v>89</v>
      </c>
      <c r="C225">
        <v>0</v>
      </c>
      <c r="D225" t="s">
        <v>92</v>
      </c>
      <c r="E225" t="s">
        <v>44</v>
      </c>
      <c r="F225" s="6">
        <v>0.71875</v>
      </c>
      <c r="G225">
        <v>4</v>
      </c>
      <c r="H225" s="6">
        <f>FLOOR(tblPivotData[[#This Row],[Time]],Summary!$B$6/1440)</f>
        <v>0.71875</v>
      </c>
      <c r="I225" s="46">
        <f>INDEX(PeakCalc!$L$10:$L$303,MATCH(tblPivotData[[#This Row],[Time]],PeakCalc!$G$10:$G$303,0))</f>
        <v>1</v>
      </c>
    </row>
    <row r="226" spans="1:9" x14ac:dyDescent="0.25">
      <c r="A226" t="s">
        <v>95</v>
      </c>
      <c r="B226" t="s">
        <v>89</v>
      </c>
      <c r="C226">
        <v>0</v>
      </c>
      <c r="D226" t="s">
        <v>92</v>
      </c>
      <c r="E226" t="s">
        <v>44</v>
      </c>
      <c r="F226" s="6">
        <v>0.72916666666666663</v>
      </c>
      <c r="G226">
        <v>1</v>
      </c>
      <c r="H226" s="6">
        <f>FLOOR(tblPivotData[[#This Row],[Time]],Summary!$B$6/1440)</f>
        <v>0.72916666666666663</v>
      </c>
      <c r="I226" s="46">
        <f>INDEX(PeakCalc!$L$10:$L$303,MATCH(tblPivotData[[#This Row],[Time]],PeakCalc!$G$10:$G$303,0))</f>
        <v>0</v>
      </c>
    </row>
    <row r="227" spans="1:9" x14ac:dyDescent="0.25">
      <c r="A227" t="s">
        <v>95</v>
      </c>
      <c r="B227" t="s">
        <v>89</v>
      </c>
      <c r="C227">
        <v>0</v>
      </c>
      <c r="D227" t="s">
        <v>92</v>
      </c>
      <c r="E227" t="s">
        <v>44</v>
      </c>
      <c r="F227" s="6">
        <v>0.73958333333333337</v>
      </c>
      <c r="G227">
        <v>1</v>
      </c>
      <c r="H227" s="6">
        <f>FLOOR(tblPivotData[[#This Row],[Time]],Summary!$B$6/1440)</f>
        <v>0.73958333333333326</v>
      </c>
      <c r="I227" s="46">
        <f>INDEX(PeakCalc!$L$10:$L$303,MATCH(tblPivotData[[#This Row],[Time]],PeakCalc!$G$10:$G$303,0))</f>
        <v>0</v>
      </c>
    </row>
    <row r="228" spans="1:9" x14ac:dyDescent="0.25">
      <c r="A228" t="s">
        <v>95</v>
      </c>
      <c r="B228" t="s">
        <v>89</v>
      </c>
      <c r="C228">
        <v>0</v>
      </c>
      <c r="D228" t="s">
        <v>92</v>
      </c>
      <c r="E228" t="s">
        <v>44</v>
      </c>
      <c r="F228" s="6">
        <v>0.75</v>
      </c>
      <c r="G228">
        <v>2</v>
      </c>
      <c r="H228" s="6">
        <f>FLOOR(tblPivotData[[#This Row],[Time]],Summary!$B$6/1440)</f>
        <v>0.75</v>
      </c>
      <c r="I228" s="46">
        <f>INDEX(PeakCalc!$L$10:$L$303,MATCH(tblPivotData[[#This Row],[Time]],PeakCalc!$G$10:$G$303,0))</f>
        <v>0</v>
      </c>
    </row>
    <row r="229" spans="1:9" x14ac:dyDescent="0.25">
      <c r="A229" t="s">
        <v>95</v>
      </c>
      <c r="B229" t="s">
        <v>89</v>
      </c>
      <c r="C229">
        <v>0</v>
      </c>
      <c r="D229" t="s">
        <v>92</v>
      </c>
      <c r="E229" t="s">
        <v>44</v>
      </c>
      <c r="F229" s="6">
        <v>0.76041666666666663</v>
      </c>
      <c r="G229">
        <v>3</v>
      </c>
      <c r="H229" s="6">
        <f>FLOOR(tblPivotData[[#This Row],[Time]],Summary!$B$6/1440)</f>
        <v>0.76041666666666663</v>
      </c>
      <c r="I229" s="46">
        <f>INDEX(PeakCalc!$L$10:$L$303,MATCH(tblPivotData[[#This Row],[Time]],PeakCalc!$G$10:$G$303,0))</f>
        <v>0</v>
      </c>
    </row>
    <row r="230" spans="1:9" x14ac:dyDescent="0.25">
      <c r="A230" t="s">
        <v>95</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95</v>
      </c>
      <c r="B231" t="s">
        <v>90</v>
      </c>
      <c r="C231">
        <v>0</v>
      </c>
      <c r="D231" t="s">
        <v>91</v>
      </c>
      <c r="E231" t="s">
        <v>43</v>
      </c>
      <c r="F231" s="6">
        <v>0.28125</v>
      </c>
      <c r="G231">
        <v>0</v>
      </c>
      <c r="H231" s="6">
        <f>FLOOR(tblPivotData[[#This Row],[Time]],Summary!$B$6/1440)</f>
        <v>0.28125</v>
      </c>
      <c r="I231" s="46">
        <f>INDEX(PeakCalc!$L$10:$L$303,MATCH(tblPivotData[[#This Row],[Time]],PeakCalc!$G$10:$G$303,0))</f>
        <v>0</v>
      </c>
    </row>
    <row r="232" spans="1:9" x14ac:dyDescent="0.25">
      <c r="A232" t="s">
        <v>95</v>
      </c>
      <c r="B232" t="s">
        <v>90</v>
      </c>
      <c r="C232">
        <v>0</v>
      </c>
      <c r="D232" t="s">
        <v>91</v>
      </c>
      <c r="E232" t="s">
        <v>43</v>
      </c>
      <c r="F232" s="6">
        <v>0.29166666666666669</v>
      </c>
      <c r="G232">
        <v>3</v>
      </c>
      <c r="H232" s="6">
        <f>FLOOR(tblPivotData[[#This Row],[Time]],Summary!$B$6/1440)</f>
        <v>0.29166666666666663</v>
      </c>
      <c r="I232" s="46">
        <f>INDEX(PeakCalc!$L$10:$L$303,MATCH(tblPivotData[[#This Row],[Time]],PeakCalc!$G$10:$G$303,0))</f>
        <v>0</v>
      </c>
    </row>
    <row r="233" spans="1:9" x14ac:dyDescent="0.25">
      <c r="A233" t="s">
        <v>95</v>
      </c>
      <c r="B233" t="s">
        <v>90</v>
      </c>
      <c r="C233">
        <v>0</v>
      </c>
      <c r="D233" t="s">
        <v>91</v>
      </c>
      <c r="E233" t="s">
        <v>43</v>
      </c>
      <c r="F233" s="6">
        <v>0.30208333333333331</v>
      </c>
      <c r="G233">
        <v>0</v>
      </c>
      <c r="H233" s="6">
        <f>FLOOR(tblPivotData[[#This Row],[Time]],Summary!$B$6/1440)</f>
        <v>0.30208333333333331</v>
      </c>
      <c r="I233" s="46">
        <f>INDEX(PeakCalc!$L$10:$L$303,MATCH(tblPivotData[[#This Row],[Time]],PeakCalc!$G$10:$G$303,0))</f>
        <v>0</v>
      </c>
    </row>
    <row r="234" spans="1:9" x14ac:dyDescent="0.25">
      <c r="A234" t="s">
        <v>95</v>
      </c>
      <c r="B234" t="s">
        <v>90</v>
      </c>
      <c r="C234">
        <v>0</v>
      </c>
      <c r="D234" t="s">
        <v>91</v>
      </c>
      <c r="E234" t="s">
        <v>43</v>
      </c>
      <c r="F234" s="6">
        <v>0.3125</v>
      </c>
      <c r="G234">
        <v>1</v>
      </c>
      <c r="H234" s="6">
        <f>FLOOR(tblPivotData[[#This Row],[Time]],Summary!$B$6/1440)</f>
        <v>0.3125</v>
      </c>
      <c r="I234" s="46">
        <f>INDEX(PeakCalc!$L$10:$L$303,MATCH(tblPivotData[[#This Row],[Time]],PeakCalc!$G$10:$G$303,0))</f>
        <v>0</v>
      </c>
    </row>
    <row r="235" spans="1:9" x14ac:dyDescent="0.25">
      <c r="A235" t="s">
        <v>95</v>
      </c>
      <c r="B235" t="s">
        <v>90</v>
      </c>
      <c r="C235">
        <v>0</v>
      </c>
      <c r="D235" t="s">
        <v>91</v>
      </c>
      <c r="E235" t="s">
        <v>43</v>
      </c>
      <c r="F235" s="6">
        <v>0.32291666666666669</v>
      </c>
      <c r="G235">
        <v>6</v>
      </c>
      <c r="H235" s="6">
        <f>FLOOR(tblPivotData[[#This Row],[Time]],Summary!$B$6/1440)</f>
        <v>0.32291666666666663</v>
      </c>
      <c r="I235" s="46">
        <f>INDEX(PeakCalc!$L$10:$L$303,MATCH(tblPivotData[[#This Row],[Time]],PeakCalc!$G$10:$G$303,0))</f>
        <v>1</v>
      </c>
    </row>
    <row r="236" spans="1:9" x14ac:dyDescent="0.25">
      <c r="A236" t="s">
        <v>95</v>
      </c>
      <c r="B236" t="s">
        <v>90</v>
      </c>
      <c r="C236">
        <v>0</v>
      </c>
      <c r="D236" t="s">
        <v>91</v>
      </c>
      <c r="E236" t="s">
        <v>43</v>
      </c>
      <c r="F236" s="6">
        <v>0.33333333333333331</v>
      </c>
      <c r="G236">
        <v>8</v>
      </c>
      <c r="H236" s="6">
        <f>FLOOR(tblPivotData[[#This Row],[Time]],Summary!$B$6/1440)</f>
        <v>0.33333333333333331</v>
      </c>
      <c r="I236" s="46">
        <f>INDEX(PeakCalc!$L$10:$L$303,MATCH(tblPivotData[[#This Row],[Time]],PeakCalc!$G$10:$G$303,0))</f>
        <v>1</v>
      </c>
    </row>
    <row r="237" spans="1:9" x14ac:dyDescent="0.25">
      <c r="A237" t="s">
        <v>95</v>
      </c>
      <c r="B237" t="s">
        <v>90</v>
      </c>
      <c r="C237">
        <v>0</v>
      </c>
      <c r="D237" t="s">
        <v>91</v>
      </c>
      <c r="E237" t="s">
        <v>43</v>
      </c>
      <c r="F237" s="6">
        <v>0.34375</v>
      </c>
      <c r="G237">
        <v>4</v>
      </c>
      <c r="H237" s="6">
        <f>FLOOR(tblPivotData[[#This Row],[Time]],Summary!$B$6/1440)</f>
        <v>0.34375</v>
      </c>
      <c r="I237" s="46">
        <f>INDEX(PeakCalc!$L$10:$L$303,MATCH(tblPivotData[[#This Row],[Time]],PeakCalc!$G$10:$G$303,0))</f>
        <v>1</v>
      </c>
    </row>
    <row r="238" spans="1:9" x14ac:dyDescent="0.25">
      <c r="A238" t="s">
        <v>95</v>
      </c>
      <c r="B238" t="s">
        <v>90</v>
      </c>
      <c r="C238">
        <v>0</v>
      </c>
      <c r="D238" t="s">
        <v>91</v>
      </c>
      <c r="E238" t="s">
        <v>43</v>
      </c>
      <c r="F238" s="6">
        <v>0.35416666666666669</v>
      </c>
      <c r="G238">
        <v>1</v>
      </c>
      <c r="H238" s="6">
        <f>FLOOR(tblPivotData[[#This Row],[Time]],Summary!$B$6/1440)</f>
        <v>0.35416666666666663</v>
      </c>
      <c r="I238" s="46">
        <f>INDEX(PeakCalc!$L$10:$L$303,MATCH(tblPivotData[[#This Row],[Time]],PeakCalc!$G$10:$G$303,0))</f>
        <v>1</v>
      </c>
    </row>
    <row r="239" spans="1:9" x14ac:dyDescent="0.25">
      <c r="A239" t="s">
        <v>95</v>
      </c>
      <c r="B239" t="s">
        <v>90</v>
      </c>
      <c r="C239">
        <v>0</v>
      </c>
      <c r="D239" t="s">
        <v>91</v>
      </c>
      <c r="E239" t="s">
        <v>43</v>
      </c>
      <c r="F239" s="6">
        <v>0.36458333333333331</v>
      </c>
      <c r="G239">
        <v>1</v>
      </c>
      <c r="H239" s="6">
        <f>FLOOR(tblPivotData[[#This Row],[Time]],Summary!$B$6/1440)</f>
        <v>0.36458333333333331</v>
      </c>
      <c r="I239" s="46">
        <f>INDEX(PeakCalc!$L$10:$L$303,MATCH(tblPivotData[[#This Row],[Time]],PeakCalc!$G$10:$G$303,0))</f>
        <v>0</v>
      </c>
    </row>
    <row r="240" spans="1:9" x14ac:dyDescent="0.25">
      <c r="A240" t="s">
        <v>95</v>
      </c>
      <c r="B240" t="s">
        <v>90</v>
      </c>
      <c r="C240">
        <v>0</v>
      </c>
      <c r="D240" t="s">
        <v>91</v>
      </c>
      <c r="E240" t="s">
        <v>43</v>
      </c>
      <c r="F240" s="6">
        <v>0.375</v>
      </c>
      <c r="G240">
        <v>0</v>
      </c>
      <c r="H240" s="6">
        <f>FLOOR(tblPivotData[[#This Row],[Time]],Summary!$B$6/1440)</f>
        <v>0.375</v>
      </c>
      <c r="I240" s="46">
        <f>INDEX(PeakCalc!$L$10:$L$303,MATCH(tblPivotData[[#This Row],[Time]],PeakCalc!$G$10:$G$303,0))</f>
        <v>0</v>
      </c>
    </row>
    <row r="241" spans="1:9" x14ac:dyDescent="0.25">
      <c r="A241" t="s">
        <v>95</v>
      </c>
      <c r="B241" t="s">
        <v>90</v>
      </c>
      <c r="C241">
        <v>0</v>
      </c>
      <c r="D241" t="s">
        <v>91</v>
      </c>
      <c r="E241" t="s">
        <v>43</v>
      </c>
      <c r="F241" s="6">
        <v>0.38541666666666669</v>
      </c>
      <c r="G241">
        <v>0</v>
      </c>
      <c r="H241" s="6">
        <f>FLOOR(tblPivotData[[#This Row],[Time]],Summary!$B$6/1440)</f>
        <v>0.38541666666666663</v>
      </c>
      <c r="I241" s="46">
        <f>INDEX(PeakCalc!$L$10:$L$303,MATCH(tblPivotData[[#This Row],[Time]],PeakCalc!$G$10:$G$303,0))</f>
        <v>0</v>
      </c>
    </row>
    <row r="242" spans="1:9" x14ac:dyDescent="0.25">
      <c r="A242" t="s">
        <v>95</v>
      </c>
      <c r="B242" t="s">
        <v>90</v>
      </c>
      <c r="C242">
        <v>0</v>
      </c>
      <c r="D242" t="s">
        <v>91</v>
      </c>
      <c r="E242" t="s">
        <v>88</v>
      </c>
      <c r="F242" s="6">
        <v>0.45833333333333331</v>
      </c>
      <c r="G242">
        <v>0</v>
      </c>
      <c r="H242" s="6">
        <f>FLOOR(tblPivotData[[#This Row],[Time]],Summary!$B$6/1440)</f>
        <v>0.45833333333333331</v>
      </c>
      <c r="I242" s="46">
        <f>INDEX(PeakCalc!$L$10:$L$303,MATCH(tblPivotData[[#This Row],[Time]],PeakCalc!$G$10:$G$303,0))</f>
        <v>0</v>
      </c>
    </row>
    <row r="243" spans="1:9" x14ac:dyDescent="0.25">
      <c r="A243" t="s">
        <v>95</v>
      </c>
      <c r="B243" t="s">
        <v>90</v>
      </c>
      <c r="C243">
        <v>0</v>
      </c>
      <c r="D243" t="s">
        <v>91</v>
      </c>
      <c r="E243" t="s">
        <v>88</v>
      </c>
      <c r="F243" s="6">
        <v>0.46875</v>
      </c>
      <c r="G243">
        <v>2</v>
      </c>
      <c r="H243" s="6">
        <f>FLOOR(tblPivotData[[#This Row],[Time]],Summary!$B$6/1440)</f>
        <v>0.46875</v>
      </c>
      <c r="I243" s="46">
        <f>INDEX(PeakCalc!$L$10:$L$303,MATCH(tblPivotData[[#This Row],[Time]],PeakCalc!$G$10:$G$303,0))</f>
        <v>0</v>
      </c>
    </row>
    <row r="244" spans="1:9" x14ac:dyDescent="0.25">
      <c r="A244" t="s">
        <v>95</v>
      </c>
      <c r="B244" t="s">
        <v>90</v>
      </c>
      <c r="C244">
        <v>0</v>
      </c>
      <c r="D244" t="s">
        <v>91</v>
      </c>
      <c r="E244" t="s">
        <v>88</v>
      </c>
      <c r="F244" s="6">
        <v>0.47916666666666669</v>
      </c>
      <c r="G244">
        <v>0</v>
      </c>
      <c r="H244" s="6">
        <f>FLOOR(tblPivotData[[#This Row],[Time]],Summary!$B$6/1440)</f>
        <v>0.47916666666666663</v>
      </c>
      <c r="I244" s="46">
        <f>INDEX(PeakCalc!$L$10:$L$303,MATCH(tblPivotData[[#This Row],[Time]],PeakCalc!$G$10:$G$303,0))</f>
        <v>0</v>
      </c>
    </row>
    <row r="245" spans="1:9" x14ac:dyDescent="0.25">
      <c r="A245" t="s">
        <v>95</v>
      </c>
      <c r="B245" t="s">
        <v>90</v>
      </c>
      <c r="C245">
        <v>0</v>
      </c>
      <c r="D245" t="s">
        <v>91</v>
      </c>
      <c r="E245" t="s">
        <v>88</v>
      </c>
      <c r="F245" s="6">
        <v>0.48958333333333331</v>
      </c>
      <c r="G245">
        <v>0</v>
      </c>
      <c r="H245" s="6">
        <f>FLOOR(tblPivotData[[#This Row],[Time]],Summary!$B$6/1440)</f>
        <v>0.48958333333333331</v>
      </c>
      <c r="I245" s="46">
        <f>INDEX(PeakCalc!$L$10:$L$303,MATCH(tblPivotData[[#This Row],[Time]],PeakCalc!$G$10:$G$303,0))</f>
        <v>0</v>
      </c>
    </row>
    <row r="246" spans="1:9" x14ac:dyDescent="0.25">
      <c r="A246" t="s">
        <v>95</v>
      </c>
      <c r="B246" t="s">
        <v>90</v>
      </c>
      <c r="C246">
        <v>0</v>
      </c>
      <c r="D246" t="s">
        <v>91</v>
      </c>
      <c r="E246" t="s">
        <v>88</v>
      </c>
      <c r="F246" s="6">
        <v>0.5</v>
      </c>
      <c r="G246">
        <v>1</v>
      </c>
      <c r="H246" s="6">
        <f>FLOOR(tblPivotData[[#This Row],[Time]],Summary!$B$6/1440)</f>
        <v>0.5</v>
      </c>
      <c r="I246" s="46">
        <f>INDEX(PeakCalc!$L$10:$L$303,MATCH(tblPivotData[[#This Row],[Time]],PeakCalc!$G$10:$G$303,0))</f>
        <v>0</v>
      </c>
    </row>
    <row r="247" spans="1:9" x14ac:dyDescent="0.25">
      <c r="A247" t="s">
        <v>95</v>
      </c>
      <c r="B247" t="s">
        <v>90</v>
      </c>
      <c r="C247">
        <v>0</v>
      </c>
      <c r="D247" t="s">
        <v>91</v>
      </c>
      <c r="E247" t="s">
        <v>88</v>
      </c>
      <c r="F247" s="6">
        <v>0.51041666666666663</v>
      </c>
      <c r="G247">
        <v>0</v>
      </c>
      <c r="H247" s="6">
        <f>FLOOR(tblPivotData[[#This Row],[Time]],Summary!$B$6/1440)</f>
        <v>0.51041666666666663</v>
      </c>
      <c r="I247" s="46">
        <f>INDEX(PeakCalc!$L$10:$L$303,MATCH(tblPivotData[[#This Row],[Time]],PeakCalc!$G$10:$G$303,0))</f>
        <v>0</v>
      </c>
    </row>
    <row r="248" spans="1:9" x14ac:dyDescent="0.25">
      <c r="A248" t="s">
        <v>95</v>
      </c>
      <c r="B248" t="s">
        <v>90</v>
      </c>
      <c r="C248">
        <v>0</v>
      </c>
      <c r="D248" t="s">
        <v>91</v>
      </c>
      <c r="E248" t="s">
        <v>88</v>
      </c>
      <c r="F248" s="6">
        <v>0.52083333333333337</v>
      </c>
      <c r="G248">
        <v>2</v>
      </c>
      <c r="H248" s="6">
        <f>FLOOR(tblPivotData[[#This Row],[Time]],Summary!$B$6/1440)</f>
        <v>0.52083333333333326</v>
      </c>
      <c r="I248" s="46">
        <f>INDEX(PeakCalc!$L$10:$L$303,MATCH(tblPivotData[[#This Row],[Time]],PeakCalc!$G$10:$G$303,0))</f>
        <v>1</v>
      </c>
    </row>
    <row r="249" spans="1:9" x14ac:dyDescent="0.25">
      <c r="A249" t="s">
        <v>95</v>
      </c>
      <c r="B249" t="s">
        <v>90</v>
      </c>
      <c r="C249">
        <v>0</v>
      </c>
      <c r="D249" t="s">
        <v>91</v>
      </c>
      <c r="E249" t="s">
        <v>88</v>
      </c>
      <c r="F249" s="6">
        <v>0.53125</v>
      </c>
      <c r="G249">
        <v>0</v>
      </c>
      <c r="H249" s="6">
        <f>FLOOR(tblPivotData[[#This Row],[Time]],Summary!$B$6/1440)</f>
        <v>0.53125</v>
      </c>
      <c r="I249" s="46">
        <f>INDEX(PeakCalc!$L$10:$L$303,MATCH(tblPivotData[[#This Row],[Time]],PeakCalc!$G$10:$G$303,0))</f>
        <v>1</v>
      </c>
    </row>
    <row r="250" spans="1:9" x14ac:dyDescent="0.25">
      <c r="A250" t="s">
        <v>95</v>
      </c>
      <c r="B250" t="s">
        <v>90</v>
      </c>
      <c r="C250">
        <v>0</v>
      </c>
      <c r="D250" t="s">
        <v>91</v>
      </c>
      <c r="E250" t="s">
        <v>88</v>
      </c>
      <c r="F250" s="6">
        <v>0.54166666666666663</v>
      </c>
      <c r="G250">
        <v>0</v>
      </c>
      <c r="H250" s="6">
        <f>FLOOR(tblPivotData[[#This Row],[Time]],Summary!$B$6/1440)</f>
        <v>0.54166666666666663</v>
      </c>
      <c r="I250" s="46">
        <f>INDEX(PeakCalc!$L$10:$L$303,MATCH(tblPivotData[[#This Row],[Time]],PeakCalc!$G$10:$G$303,0))</f>
        <v>1</v>
      </c>
    </row>
    <row r="251" spans="1:9" x14ac:dyDescent="0.25">
      <c r="A251" t="s">
        <v>95</v>
      </c>
      <c r="B251" t="s">
        <v>90</v>
      </c>
      <c r="C251">
        <v>0</v>
      </c>
      <c r="D251" t="s">
        <v>91</v>
      </c>
      <c r="E251" t="s">
        <v>88</v>
      </c>
      <c r="F251" s="6">
        <v>0.55208333333333337</v>
      </c>
      <c r="G251">
        <v>2</v>
      </c>
      <c r="H251" s="6">
        <f>FLOOR(tblPivotData[[#This Row],[Time]],Summary!$B$6/1440)</f>
        <v>0.55208333333333326</v>
      </c>
      <c r="I251" s="46">
        <f>INDEX(PeakCalc!$L$10:$L$303,MATCH(tblPivotData[[#This Row],[Time]],PeakCalc!$G$10:$G$303,0))</f>
        <v>1</v>
      </c>
    </row>
    <row r="252" spans="1:9" x14ac:dyDescent="0.25">
      <c r="A252" t="s">
        <v>95</v>
      </c>
      <c r="B252" t="s">
        <v>90</v>
      </c>
      <c r="C252">
        <v>0</v>
      </c>
      <c r="D252" t="s">
        <v>91</v>
      </c>
      <c r="E252" t="s">
        <v>88</v>
      </c>
      <c r="F252" s="6">
        <v>0.5625</v>
      </c>
      <c r="G252">
        <v>4</v>
      </c>
      <c r="H252" s="6">
        <f>FLOOR(tblPivotData[[#This Row],[Time]],Summary!$B$6/1440)</f>
        <v>0.5625</v>
      </c>
      <c r="I252" s="46">
        <f>INDEX(PeakCalc!$L$10:$L$303,MATCH(tblPivotData[[#This Row],[Time]],PeakCalc!$G$10:$G$303,0))</f>
        <v>0</v>
      </c>
    </row>
    <row r="253" spans="1:9" x14ac:dyDescent="0.25">
      <c r="A253" t="s">
        <v>95</v>
      </c>
      <c r="B253" t="s">
        <v>90</v>
      </c>
      <c r="C253">
        <v>0</v>
      </c>
      <c r="D253" t="s">
        <v>91</v>
      </c>
      <c r="E253" t="s">
        <v>88</v>
      </c>
      <c r="F253" s="6">
        <v>0.57291666666666663</v>
      </c>
      <c r="G253">
        <v>1</v>
      </c>
      <c r="H253" s="6">
        <f>FLOOR(tblPivotData[[#This Row],[Time]],Summary!$B$6/1440)</f>
        <v>0.57291666666666663</v>
      </c>
      <c r="I253" s="46">
        <f>INDEX(PeakCalc!$L$10:$L$303,MATCH(tblPivotData[[#This Row],[Time]],PeakCalc!$G$10:$G$303,0))</f>
        <v>0</v>
      </c>
    </row>
    <row r="254" spans="1:9" x14ac:dyDescent="0.25">
      <c r="A254" t="s">
        <v>95</v>
      </c>
      <c r="B254" t="s">
        <v>90</v>
      </c>
      <c r="C254">
        <v>0</v>
      </c>
      <c r="D254" t="s">
        <v>91</v>
      </c>
      <c r="E254" t="s">
        <v>44</v>
      </c>
      <c r="F254" s="6">
        <v>0.625</v>
      </c>
      <c r="G254">
        <v>8</v>
      </c>
      <c r="H254" s="6">
        <f>FLOOR(tblPivotData[[#This Row],[Time]],Summary!$B$6/1440)</f>
        <v>0.625</v>
      </c>
      <c r="I254" s="46">
        <f>INDEX(PeakCalc!$L$10:$L$303,MATCH(tblPivotData[[#This Row],[Time]],PeakCalc!$G$10:$G$303,0))</f>
        <v>0</v>
      </c>
    </row>
    <row r="255" spans="1:9" x14ac:dyDescent="0.25">
      <c r="A255" t="s">
        <v>95</v>
      </c>
      <c r="B255" t="s">
        <v>90</v>
      </c>
      <c r="C255">
        <v>0</v>
      </c>
      <c r="D255" t="s">
        <v>91</v>
      </c>
      <c r="E255" t="s">
        <v>44</v>
      </c>
      <c r="F255" s="6">
        <v>0.63541666666666663</v>
      </c>
      <c r="G255">
        <v>10</v>
      </c>
      <c r="H255" s="6">
        <f>FLOOR(tblPivotData[[#This Row],[Time]],Summary!$B$6/1440)</f>
        <v>0.63541666666666663</v>
      </c>
      <c r="I255" s="46">
        <f>INDEX(PeakCalc!$L$10:$L$303,MATCH(tblPivotData[[#This Row],[Time]],PeakCalc!$G$10:$G$303,0))</f>
        <v>0</v>
      </c>
    </row>
    <row r="256" spans="1:9" x14ac:dyDescent="0.25">
      <c r="A256" t="s">
        <v>95</v>
      </c>
      <c r="B256" t="s">
        <v>90</v>
      </c>
      <c r="C256">
        <v>0</v>
      </c>
      <c r="D256" t="s">
        <v>91</v>
      </c>
      <c r="E256" t="s">
        <v>44</v>
      </c>
      <c r="F256" s="6">
        <v>0.64583333333333337</v>
      </c>
      <c r="G256">
        <v>7</v>
      </c>
      <c r="H256" s="6">
        <f>FLOOR(tblPivotData[[#This Row],[Time]],Summary!$B$6/1440)</f>
        <v>0.64583333333333326</v>
      </c>
      <c r="I256" s="46">
        <f>INDEX(PeakCalc!$L$10:$L$303,MATCH(tblPivotData[[#This Row],[Time]],PeakCalc!$G$10:$G$303,0))</f>
        <v>0</v>
      </c>
    </row>
    <row r="257" spans="1:9" x14ac:dyDescent="0.25">
      <c r="A257" t="s">
        <v>95</v>
      </c>
      <c r="B257" t="s">
        <v>90</v>
      </c>
      <c r="C257">
        <v>0</v>
      </c>
      <c r="D257" t="s">
        <v>91</v>
      </c>
      <c r="E257" t="s">
        <v>44</v>
      </c>
      <c r="F257" s="6">
        <v>0.65625</v>
      </c>
      <c r="G257">
        <v>14</v>
      </c>
      <c r="H257" s="6">
        <f>FLOOR(tblPivotData[[#This Row],[Time]],Summary!$B$6/1440)</f>
        <v>0.65625</v>
      </c>
      <c r="I257" s="46">
        <f>INDEX(PeakCalc!$L$10:$L$303,MATCH(tblPivotData[[#This Row],[Time]],PeakCalc!$G$10:$G$303,0))</f>
        <v>0</v>
      </c>
    </row>
    <row r="258" spans="1:9" x14ac:dyDescent="0.25">
      <c r="A258" t="s">
        <v>95</v>
      </c>
      <c r="B258" t="s">
        <v>90</v>
      </c>
      <c r="C258">
        <v>0</v>
      </c>
      <c r="D258" t="s">
        <v>91</v>
      </c>
      <c r="E258" t="s">
        <v>44</v>
      </c>
      <c r="F258" s="6">
        <v>0.66666666666666663</v>
      </c>
      <c r="G258">
        <v>12</v>
      </c>
      <c r="H258" s="6">
        <f>FLOOR(tblPivotData[[#This Row],[Time]],Summary!$B$6/1440)</f>
        <v>0.66666666666666663</v>
      </c>
      <c r="I258" s="46">
        <f>INDEX(PeakCalc!$L$10:$L$303,MATCH(tblPivotData[[#This Row],[Time]],PeakCalc!$G$10:$G$303,0))</f>
        <v>0</v>
      </c>
    </row>
    <row r="259" spans="1:9" x14ac:dyDescent="0.25">
      <c r="A259" t="s">
        <v>95</v>
      </c>
      <c r="B259" t="s">
        <v>90</v>
      </c>
      <c r="C259">
        <v>0</v>
      </c>
      <c r="D259" t="s">
        <v>91</v>
      </c>
      <c r="E259" t="s">
        <v>44</v>
      </c>
      <c r="F259" s="6">
        <v>0.67708333333333337</v>
      </c>
      <c r="G259">
        <v>17</v>
      </c>
      <c r="H259" s="6">
        <f>FLOOR(tblPivotData[[#This Row],[Time]],Summary!$B$6/1440)</f>
        <v>0.67708333333333326</v>
      </c>
      <c r="I259" s="46">
        <f>INDEX(PeakCalc!$L$10:$L$303,MATCH(tblPivotData[[#This Row],[Time]],PeakCalc!$G$10:$G$303,0))</f>
        <v>0</v>
      </c>
    </row>
    <row r="260" spans="1:9" x14ac:dyDescent="0.25">
      <c r="A260" t="s">
        <v>95</v>
      </c>
      <c r="B260" t="s">
        <v>90</v>
      </c>
      <c r="C260">
        <v>0</v>
      </c>
      <c r="D260" t="s">
        <v>91</v>
      </c>
      <c r="E260" t="s">
        <v>44</v>
      </c>
      <c r="F260" s="6">
        <v>0.6875</v>
      </c>
      <c r="G260">
        <v>12</v>
      </c>
      <c r="H260" s="6">
        <f>FLOOR(tblPivotData[[#This Row],[Time]],Summary!$B$6/1440)</f>
        <v>0.6875</v>
      </c>
      <c r="I260" s="46">
        <f>INDEX(PeakCalc!$L$10:$L$303,MATCH(tblPivotData[[#This Row],[Time]],PeakCalc!$G$10:$G$303,0))</f>
        <v>1</v>
      </c>
    </row>
    <row r="261" spans="1:9" x14ac:dyDescent="0.25">
      <c r="A261" t="s">
        <v>95</v>
      </c>
      <c r="B261" t="s">
        <v>90</v>
      </c>
      <c r="C261">
        <v>0</v>
      </c>
      <c r="D261" t="s">
        <v>91</v>
      </c>
      <c r="E261" t="s">
        <v>44</v>
      </c>
      <c r="F261" s="6">
        <v>0.69791666666666663</v>
      </c>
      <c r="G261">
        <v>28</v>
      </c>
      <c r="H261" s="6">
        <f>FLOOR(tblPivotData[[#This Row],[Time]],Summary!$B$6/1440)</f>
        <v>0.69791666666666663</v>
      </c>
      <c r="I261" s="46">
        <f>INDEX(PeakCalc!$L$10:$L$303,MATCH(tblPivotData[[#This Row],[Time]],PeakCalc!$G$10:$G$303,0))</f>
        <v>1</v>
      </c>
    </row>
    <row r="262" spans="1:9" x14ac:dyDescent="0.25">
      <c r="A262" t="s">
        <v>95</v>
      </c>
      <c r="B262" t="s">
        <v>90</v>
      </c>
      <c r="C262">
        <v>0</v>
      </c>
      <c r="D262" t="s">
        <v>91</v>
      </c>
      <c r="E262" t="s">
        <v>44</v>
      </c>
      <c r="F262" s="6">
        <v>0.70833333333333337</v>
      </c>
      <c r="G262">
        <v>25</v>
      </c>
      <c r="H262" s="6">
        <f>FLOOR(tblPivotData[[#This Row],[Time]],Summary!$B$6/1440)</f>
        <v>0.70833333333333326</v>
      </c>
      <c r="I262" s="46">
        <f>INDEX(PeakCalc!$L$10:$L$303,MATCH(tblPivotData[[#This Row],[Time]],PeakCalc!$G$10:$G$303,0))</f>
        <v>1</v>
      </c>
    </row>
    <row r="263" spans="1:9" x14ac:dyDescent="0.25">
      <c r="A263" t="s">
        <v>95</v>
      </c>
      <c r="B263" t="s">
        <v>90</v>
      </c>
      <c r="C263">
        <v>0</v>
      </c>
      <c r="D263" t="s">
        <v>91</v>
      </c>
      <c r="E263" t="s">
        <v>44</v>
      </c>
      <c r="F263" s="6">
        <v>0.71875</v>
      </c>
      <c r="G263">
        <v>30</v>
      </c>
      <c r="H263" s="6">
        <f>FLOOR(tblPivotData[[#This Row],[Time]],Summary!$B$6/1440)</f>
        <v>0.71875</v>
      </c>
      <c r="I263" s="46">
        <f>INDEX(PeakCalc!$L$10:$L$303,MATCH(tblPivotData[[#This Row],[Time]],PeakCalc!$G$10:$G$303,0))</f>
        <v>1</v>
      </c>
    </row>
    <row r="264" spans="1:9" x14ac:dyDescent="0.25">
      <c r="A264" t="s">
        <v>95</v>
      </c>
      <c r="B264" t="s">
        <v>90</v>
      </c>
      <c r="C264">
        <v>0</v>
      </c>
      <c r="D264" t="s">
        <v>91</v>
      </c>
      <c r="E264" t="s">
        <v>44</v>
      </c>
      <c r="F264" s="6">
        <v>0.72916666666666663</v>
      </c>
      <c r="G264">
        <v>24</v>
      </c>
      <c r="H264" s="6">
        <f>FLOOR(tblPivotData[[#This Row],[Time]],Summary!$B$6/1440)</f>
        <v>0.72916666666666663</v>
      </c>
      <c r="I264" s="46">
        <f>INDEX(PeakCalc!$L$10:$L$303,MATCH(tblPivotData[[#This Row],[Time]],PeakCalc!$G$10:$G$303,0))</f>
        <v>0</v>
      </c>
    </row>
    <row r="265" spans="1:9" x14ac:dyDescent="0.25">
      <c r="A265" t="s">
        <v>95</v>
      </c>
      <c r="B265" t="s">
        <v>90</v>
      </c>
      <c r="C265">
        <v>0</v>
      </c>
      <c r="D265" t="s">
        <v>91</v>
      </c>
      <c r="E265" t="s">
        <v>44</v>
      </c>
      <c r="F265" s="6">
        <v>0.73958333333333337</v>
      </c>
      <c r="G265">
        <v>5</v>
      </c>
      <c r="H265" s="6">
        <f>FLOOR(tblPivotData[[#This Row],[Time]],Summary!$B$6/1440)</f>
        <v>0.73958333333333326</v>
      </c>
      <c r="I265" s="46">
        <f>INDEX(PeakCalc!$L$10:$L$303,MATCH(tblPivotData[[#This Row],[Time]],PeakCalc!$G$10:$G$303,0))</f>
        <v>0</v>
      </c>
    </row>
    <row r="266" spans="1:9" x14ac:dyDescent="0.25">
      <c r="A266" t="s">
        <v>95</v>
      </c>
      <c r="B266" t="s">
        <v>90</v>
      </c>
      <c r="C266">
        <v>0</v>
      </c>
      <c r="D266" t="s">
        <v>91</v>
      </c>
      <c r="E266" t="s">
        <v>44</v>
      </c>
      <c r="F266" s="6">
        <v>0.75</v>
      </c>
      <c r="G266">
        <v>12</v>
      </c>
      <c r="H266" s="6">
        <f>FLOOR(tblPivotData[[#This Row],[Time]],Summary!$B$6/1440)</f>
        <v>0.75</v>
      </c>
      <c r="I266" s="46">
        <f>INDEX(PeakCalc!$L$10:$L$303,MATCH(tblPivotData[[#This Row],[Time]],PeakCalc!$G$10:$G$303,0))</f>
        <v>0</v>
      </c>
    </row>
    <row r="267" spans="1:9" x14ac:dyDescent="0.25">
      <c r="A267" t="s">
        <v>95</v>
      </c>
      <c r="B267" t="s">
        <v>90</v>
      </c>
      <c r="C267">
        <v>0</v>
      </c>
      <c r="D267" t="s">
        <v>91</v>
      </c>
      <c r="E267" t="s">
        <v>44</v>
      </c>
      <c r="F267" s="6">
        <v>0.76041666666666663</v>
      </c>
      <c r="G267">
        <v>8</v>
      </c>
      <c r="H267" s="6">
        <f>FLOOR(tblPivotData[[#This Row],[Time]],Summary!$B$6/1440)</f>
        <v>0.76041666666666663</v>
      </c>
      <c r="I267" s="46">
        <f>INDEX(PeakCalc!$L$10:$L$303,MATCH(tblPivotData[[#This Row],[Time]],PeakCalc!$G$10:$G$303,0))</f>
        <v>0</v>
      </c>
    </row>
    <row r="268" spans="1:9" x14ac:dyDescent="0.25">
      <c r="A268" t="s">
        <v>95</v>
      </c>
      <c r="B268" t="s">
        <v>90</v>
      </c>
      <c r="C268">
        <v>0</v>
      </c>
      <c r="D268" t="s">
        <v>92</v>
      </c>
      <c r="E268" t="s">
        <v>43</v>
      </c>
      <c r="F268" s="6">
        <v>0.27083333333333331</v>
      </c>
      <c r="G268">
        <v>0</v>
      </c>
      <c r="H268" s="6">
        <f>FLOOR(tblPivotData[[#This Row],[Time]],Summary!$B$6/1440)</f>
        <v>0.27083333333333331</v>
      </c>
      <c r="I268" s="46">
        <f>INDEX(PeakCalc!$L$10:$L$303,MATCH(tblPivotData[[#This Row],[Time]],PeakCalc!$G$10:$G$303,0))</f>
        <v>0</v>
      </c>
    </row>
    <row r="269" spans="1:9" x14ac:dyDescent="0.25">
      <c r="A269" t="s">
        <v>95</v>
      </c>
      <c r="B269" t="s">
        <v>90</v>
      </c>
      <c r="C269">
        <v>0</v>
      </c>
      <c r="D269" t="s">
        <v>92</v>
      </c>
      <c r="E269" t="s">
        <v>43</v>
      </c>
      <c r="F269" s="6">
        <v>0.28125</v>
      </c>
      <c r="G269">
        <v>1</v>
      </c>
      <c r="H269" s="6">
        <f>FLOOR(tblPivotData[[#This Row],[Time]],Summary!$B$6/1440)</f>
        <v>0.28125</v>
      </c>
      <c r="I269" s="46">
        <f>INDEX(PeakCalc!$L$10:$L$303,MATCH(tblPivotData[[#This Row],[Time]],PeakCalc!$G$10:$G$303,0))</f>
        <v>0</v>
      </c>
    </row>
    <row r="270" spans="1:9" x14ac:dyDescent="0.25">
      <c r="A270" t="s">
        <v>95</v>
      </c>
      <c r="B270" t="s">
        <v>90</v>
      </c>
      <c r="C270">
        <v>0</v>
      </c>
      <c r="D270" t="s">
        <v>92</v>
      </c>
      <c r="E270" t="s">
        <v>43</v>
      </c>
      <c r="F270" s="6">
        <v>0.29166666666666669</v>
      </c>
      <c r="G270">
        <v>4</v>
      </c>
      <c r="H270" s="6">
        <f>FLOOR(tblPivotData[[#This Row],[Time]],Summary!$B$6/1440)</f>
        <v>0.29166666666666663</v>
      </c>
      <c r="I270" s="46">
        <f>INDEX(PeakCalc!$L$10:$L$303,MATCH(tblPivotData[[#This Row],[Time]],PeakCalc!$G$10:$G$303,0))</f>
        <v>0</v>
      </c>
    </row>
    <row r="271" spans="1:9" x14ac:dyDescent="0.25">
      <c r="A271" t="s">
        <v>95</v>
      </c>
      <c r="B271" t="s">
        <v>90</v>
      </c>
      <c r="C271">
        <v>0</v>
      </c>
      <c r="D271" t="s">
        <v>92</v>
      </c>
      <c r="E271" t="s">
        <v>43</v>
      </c>
      <c r="F271" s="6">
        <v>0.30208333333333331</v>
      </c>
      <c r="G271">
        <v>3</v>
      </c>
      <c r="H271" s="6">
        <f>FLOOR(tblPivotData[[#This Row],[Time]],Summary!$B$6/1440)</f>
        <v>0.30208333333333331</v>
      </c>
      <c r="I271" s="46">
        <f>INDEX(PeakCalc!$L$10:$L$303,MATCH(tblPivotData[[#This Row],[Time]],PeakCalc!$G$10:$G$303,0))</f>
        <v>0</v>
      </c>
    </row>
    <row r="272" spans="1:9" x14ac:dyDescent="0.25">
      <c r="A272" t="s">
        <v>95</v>
      </c>
      <c r="B272" t="s">
        <v>90</v>
      </c>
      <c r="C272">
        <v>0</v>
      </c>
      <c r="D272" t="s">
        <v>92</v>
      </c>
      <c r="E272" t="s">
        <v>43</v>
      </c>
      <c r="F272" s="6">
        <v>0.3125</v>
      </c>
      <c r="G272">
        <v>0</v>
      </c>
      <c r="H272" s="6">
        <f>FLOOR(tblPivotData[[#This Row],[Time]],Summary!$B$6/1440)</f>
        <v>0.3125</v>
      </c>
      <c r="I272" s="46">
        <f>INDEX(PeakCalc!$L$10:$L$303,MATCH(tblPivotData[[#This Row],[Time]],PeakCalc!$G$10:$G$303,0))</f>
        <v>0</v>
      </c>
    </row>
    <row r="273" spans="1:9" x14ac:dyDescent="0.25">
      <c r="A273" t="s">
        <v>95</v>
      </c>
      <c r="B273" t="s">
        <v>90</v>
      </c>
      <c r="C273">
        <v>0</v>
      </c>
      <c r="D273" t="s">
        <v>92</v>
      </c>
      <c r="E273" t="s">
        <v>43</v>
      </c>
      <c r="F273" s="6">
        <v>0.32291666666666669</v>
      </c>
      <c r="G273">
        <v>1</v>
      </c>
      <c r="H273" s="6">
        <f>FLOOR(tblPivotData[[#This Row],[Time]],Summary!$B$6/1440)</f>
        <v>0.32291666666666663</v>
      </c>
      <c r="I273" s="46">
        <f>INDEX(PeakCalc!$L$10:$L$303,MATCH(tblPivotData[[#This Row],[Time]],PeakCalc!$G$10:$G$303,0))</f>
        <v>1</v>
      </c>
    </row>
    <row r="274" spans="1:9" x14ac:dyDescent="0.25">
      <c r="A274" t="s">
        <v>95</v>
      </c>
      <c r="B274" t="s">
        <v>90</v>
      </c>
      <c r="C274">
        <v>0</v>
      </c>
      <c r="D274" t="s">
        <v>92</v>
      </c>
      <c r="E274" t="s">
        <v>43</v>
      </c>
      <c r="F274" s="6">
        <v>0.33333333333333331</v>
      </c>
      <c r="G274">
        <v>2</v>
      </c>
      <c r="H274" s="6">
        <f>FLOOR(tblPivotData[[#This Row],[Time]],Summary!$B$6/1440)</f>
        <v>0.33333333333333331</v>
      </c>
      <c r="I274" s="46">
        <f>INDEX(PeakCalc!$L$10:$L$303,MATCH(tblPivotData[[#This Row],[Time]],PeakCalc!$G$10:$G$303,0))</f>
        <v>1</v>
      </c>
    </row>
    <row r="275" spans="1:9" x14ac:dyDescent="0.25">
      <c r="A275" t="s">
        <v>95</v>
      </c>
      <c r="B275" t="s">
        <v>90</v>
      </c>
      <c r="C275">
        <v>0</v>
      </c>
      <c r="D275" t="s">
        <v>92</v>
      </c>
      <c r="E275" t="s">
        <v>43</v>
      </c>
      <c r="F275" s="6">
        <v>0.34375</v>
      </c>
      <c r="G275">
        <v>0</v>
      </c>
      <c r="H275" s="6">
        <f>FLOOR(tblPivotData[[#This Row],[Time]],Summary!$B$6/1440)</f>
        <v>0.34375</v>
      </c>
      <c r="I275" s="46">
        <f>INDEX(PeakCalc!$L$10:$L$303,MATCH(tblPivotData[[#This Row],[Time]],PeakCalc!$G$10:$G$303,0))</f>
        <v>1</v>
      </c>
    </row>
    <row r="276" spans="1:9" x14ac:dyDescent="0.25">
      <c r="A276" t="s">
        <v>95</v>
      </c>
      <c r="B276" t="s">
        <v>90</v>
      </c>
      <c r="C276">
        <v>0</v>
      </c>
      <c r="D276" t="s">
        <v>92</v>
      </c>
      <c r="E276" t="s">
        <v>43</v>
      </c>
      <c r="F276" s="6">
        <v>0.35416666666666669</v>
      </c>
      <c r="G276">
        <v>0</v>
      </c>
      <c r="H276" s="6">
        <f>FLOOR(tblPivotData[[#This Row],[Time]],Summary!$B$6/1440)</f>
        <v>0.35416666666666663</v>
      </c>
      <c r="I276" s="46">
        <f>INDEX(PeakCalc!$L$10:$L$303,MATCH(tblPivotData[[#This Row],[Time]],PeakCalc!$G$10:$G$303,0))</f>
        <v>1</v>
      </c>
    </row>
    <row r="277" spans="1:9" x14ac:dyDescent="0.25">
      <c r="A277" t="s">
        <v>95</v>
      </c>
      <c r="B277" t="s">
        <v>90</v>
      </c>
      <c r="C277">
        <v>0</v>
      </c>
      <c r="D277" t="s">
        <v>92</v>
      </c>
      <c r="E277" t="s">
        <v>43</v>
      </c>
      <c r="F277" s="6">
        <v>0.36458333333333331</v>
      </c>
      <c r="G277">
        <v>1</v>
      </c>
      <c r="H277" s="6">
        <f>FLOOR(tblPivotData[[#This Row],[Time]],Summary!$B$6/1440)</f>
        <v>0.36458333333333331</v>
      </c>
      <c r="I277" s="46">
        <f>INDEX(PeakCalc!$L$10:$L$303,MATCH(tblPivotData[[#This Row],[Time]],PeakCalc!$G$10:$G$303,0))</f>
        <v>0</v>
      </c>
    </row>
    <row r="278" spans="1:9" x14ac:dyDescent="0.25">
      <c r="A278" t="s">
        <v>95</v>
      </c>
      <c r="B278" t="s">
        <v>90</v>
      </c>
      <c r="C278">
        <v>0</v>
      </c>
      <c r="D278" t="s">
        <v>92</v>
      </c>
      <c r="E278" t="s">
        <v>43</v>
      </c>
      <c r="F278" s="6">
        <v>0.375</v>
      </c>
      <c r="G278">
        <v>2</v>
      </c>
      <c r="H278" s="6">
        <f>FLOOR(tblPivotData[[#This Row],[Time]],Summary!$B$6/1440)</f>
        <v>0.375</v>
      </c>
      <c r="I278" s="46">
        <f>INDEX(PeakCalc!$L$10:$L$303,MATCH(tblPivotData[[#This Row],[Time]],PeakCalc!$G$10:$G$303,0))</f>
        <v>0</v>
      </c>
    </row>
    <row r="279" spans="1:9" x14ac:dyDescent="0.25">
      <c r="A279" t="s">
        <v>95</v>
      </c>
      <c r="B279" t="s">
        <v>90</v>
      </c>
      <c r="C279">
        <v>0</v>
      </c>
      <c r="D279" t="s">
        <v>92</v>
      </c>
      <c r="E279" t="s">
        <v>43</v>
      </c>
      <c r="F279" s="6">
        <v>0.38541666666666669</v>
      </c>
      <c r="G279">
        <v>3</v>
      </c>
      <c r="H279" s="6">
        <f>FLOOR(tblPivotData[[#This Row],[Time]],Summary!$B$6/1440)</f>
        <v>0.38541666666666663</v>
      </c>
      <c r="I279" s="46">
        <f>INDEX(PeakCalc!$L$10:$L$303,MATCH(tblPivotData[[#This Row],[Time]],PeakCalc!$G$10:$G$303,0))</f>
        <v>0</v>
      </c>
    </row>
    <row r="280" spans="1:9" x14ac:dyDescent="0.25">
      <c r="A280" t="s">
        <v>95</v>
      </c>
      <c r="B280" t="s">
        <v>90</v>
      </c>
      <c r="C280">
        <v>0</v>
      </c>
      <c r="D280" t="s">
        <v>92</v>
      </c>
      <c r="E280" t="s">
        <v>88</v>
      </c>
      <c r="F280" s="6">
        <v>0.45833333333333331</v>
      </c>
      <c r="G280">
        <v>3</v>
      </c>
      <c r="H280" s="6">
        <f>FLOOR(tblPivotData[[#This Row],[Time]],Summary!$B$6/1440)</f>
        <v>0.45833333333333331</v>
      </c>
      <c r="I280" s="46">
        <f>INDEX(PeakCalc!$L$10:$L$303,MATCH(tblPivotData[[#This Row],[Time]],PeakCalc!$G$10:$G$303,0))</f>
        <v>0</v>
      </c>
    </row>
    <row r="281" spans="1:9" x14ac:dyDescent="0.25">
      <c r="A281" t="s">
        <v>95</v>
      </c>
      <c r="B281" t="s">
        <v>90</v>
      </c>
      <c r="C281">
        <v>0</v>
      </c>
      <c r="D281" t="s">
        <v>92</v>
      </c>
      <c r="E281" t="s">
        <v>88</v>
      </c>
      <c r="F281" s="6">
        <v>0.46875</v>
      </c>
      <c r="G281">
        <v>0</v>
      </c>
      <c r="H281" s="6">
        <f>FLOOR(tblPivotData[[#This Row],[Time]],Summary!$B$6/1440)</f>
        <v>0.46875</v>
      </c>
      <c r="I281" s="46">
        <f>INDEX(PeakCalc!$L$10:$L$303,MATCH(tblPivotData[[#This Row],[Time]],PeakCalc!$G$10:$G$303,0))</f>
        <v>0</v>
      </c>
    </row>
    <row r="282" spans="1:9" x14ac:dyDescent="0.25">
      <c r="A282" t="s">
        <v>95</v>
      </c>
      <c r="B282" t="s">
        <v>90</v>
      </c>
      <c r="C282">
        <v>0</v>
      </c>
      <c r="D282" t="s">
        <v>92</v>
      </c>
      <c r="E282" t="s">
        <v>88</v>
      </c>
      <c r="F282" s="6">
        <v>0.47916666666666669</v>
      </c>
      <c r="G282">
        <v>2</v>
      </c>
      <c r="H282" s="6">
        <f>FLOOR(tblPivotData[[#This Row],[Time]],Summary!$B$6/1440)</f>
        <v>0.47916666666666663</v>
      </c>
      <c r="I282" s="46">
        <f>INDEX(PeakCalc!$L$10:$L$303,MATCH(tblPivotData[[#This Row],[Time]],PeakCalc!$G$10:$G$303,0))</f>
        <v>0</v>
      </c>
    </row>
    <row r="283" spans="1:9" x14ac:dyDescent="0.25">
      <c r="A283" t="s">
        <v>95</v>
      </c>
      <c r="B283" t="s">
        <v>90</v>
      </c>
      <c r="C283">
        <v>0</v>
      </c>
      <c r="D283" t="s">
        <v>92</v>
      </c>
      <c r="E283" t="s">
        <v>88</v>
      </c>
      <c r="F283" s="6">
        <v>0.48958333333333331</v>
      </c>
      <c r="G283">
        <v>1</v>
      </c>
      <c r="H283" s="6">
        <f>FLOOR(tblPivotData[[#This Row],[Time]],Summary!$B$6/1440)</f>
        <v>0.48958333333333331</v>
      </c>
      <c r="I283" s="46">
        <f>INDEX(PeakCalc!$L$10:$L$303,MATCH(tblPivotData[[#This Row],[Time]],PeakCalc!$G$10:$G$303,0))</f>
        <v>0</v>
      </c>
    </row>
    <row r="284" spans="1:9" x14ac:dyDescent="0.25">
      <c r="A284" t="s">
        <v>95</v>
      </c>
      <c r="B284" t="s">
        <v>90</v>
      </c>
      <c r="C284">
        <v>0</v>
      </c>
      <c r="D284" t="s">
        <v>92</v>
      </c>
      <c r="E284" t="s">
        <v>88</v>
      </c>
      <c r="F284" s="6">
        <v>0.5</v>
      </c>
      <c r="G284">
        <v>1</v>
      </c>
      <c r="H284" s="6">
        <f>FLOOR(tblPivotData[[#This Row],[Time]],Summary!$B$6/1440)</f>
        <v>0.5</v>
      </c>
      <c r="I284" s="46">
        <f>INDEX(PeakCalc!$L$10:$L$303,MATCH(tblPivotData[[#This Row],[Time]],PeakCalc!$G$10:$G$303,0))</f>
        <v>0</v>
      </c>
    </row>
    <row r="285" spans="1:9" x14ac:dyDescent="0.25">
      <c r="A285" t="s">
        <v>95</v>
      </c>
      <c r="B285" t="s">
        <v>90</v>
      </c>
      <c r="C285">
        <v>0</v>
      </c>
      <c r="D285" t="s">
        <v>92</v>
      </c>
      <c r="E285" t="s">
        <v>88</v>
      </c>
      <c r="F285" s="6">
        <v>0.51041666666666663</v>
      </c>
      <c r="G285">
        <v>1</v>
      </c>
      <c r="H285" s="6">
        <f>FLOOR(tblPivotData[[#This Row],[Time]],Summary!$B$6/1440)</f>
        <v>0.51041666666666663</v>
      </c>
      <c r="I285" s="46">
        <f>INDEX(PeakCalc!$L$10:$L$303,MATCH(tblPivotData[[#This Row],[Time]],PeakCalc!$G$10:$G$303,0))</f>
        <v>0</v>
      </c>
    </row>
    <row r="286" spans="1:9" x14ac:dyDescent="0.25">
      <c r="A286" t="s">
        <v>95</v>
      </c>
      <c r="B286" t="s">
        <v>90</v>
      </c>
      <c r="C286">
        <v>0</v>
      </c>
      <c r="D286" t="s">
        <v>92</v>
      </c>
      <c r="E286" t="s">
        <v>88</v>
      </c>
      <c r="F286" s="6">
        <v>0.52083333333333337</v>
      </c>
      <c r="G286">
        <v>7</v>
      </c>
      <c r="H286" s="6">
        <f>FLOOR(tblPivotData[[#This Row],[Time]],Summary!$B$6/1440)</f>
        <v>0.52083333333333326</v>
      </c>
      <c r="I286" s="46">
        <f>INDEX(PeakCalc!$L$10:$L$303,MATCH(tblPivotData[[#This Row],[Time]],PeakCalc!$G$10:$G$303,0))</f>
        <v>1</v>
      </c>
    </row>
    <row r="287" spans="1:9" x14ac:dyDescent="0.25">
      <c r="A287" t="s">
        <v>95</v>
      </c>
      <c r="B287" t="s">
        <v>90</v>
      </c>
      <c r="C287">
        <v>0</v>
      </c>
      <c r="D287" t="s">
        <v>92</v>
      </c>
      <c r="E287" t="s">
        <v>88</v>
      </c>
      <c r="F287" s="6">
        <v>0.53125</v>
      </c>
      <c r="G287">
        <v>2</v>
      </c>
      <c r="H287" s="6">
        <f>FLOOR(tblPivotData[[#This Row],[Time]],Summary!$B$6/1440)</f>
        <v>0.53125</v>
      </c>
      <c r="I287" s="46">
        <f>INDEX(PeakCalc!$L$10:$L$303,MATCH(tblPivotData[[#This Row],[Time]],PeakCalc!$G$10:$G$303,0))</f>
        <v>1</v>
      </c>
    </row>
    <row r="288" spans="1:9" x14ac:dyDescent="0.25">
      <c r="A288" t="s">
        <v>95</v>
      </c>
      <c r="B288" t="s">
        <v>90</v>
      </c>
      <c r="C288">
        <v>0</v>
      </c>
      <c r="D288" t="s">
        <v>92</v>
      </c>
      <c r="E288" t="s">
        <v>88</v>
      </c>
      <c r="F288" s="6">
        <v>0.54166666666666663</v>
      </c>
      <c r="G288">
        <v>5</v>
      </c>
      <c r="H288" s="6">
        <f>FLOOR(tblPivotData[[#This Row],[Time]],Summary!$B$6/1440)</f>
        <v>0.54166666666666663</v>
      </c>
      <c r="I288" s="46">
        <f>INDEX(PeakCalc!$L$10:$L$303,MATCH(tblPivotData[[#This Row],[Time]],PeakCalc!$G$10:$G$303,0))</f>
        <v>1</v>
      </c>
    </row>
    <row r="289" spans="1:9" x14ac:dyDescent="0.25">
      <c r="A289" t="s">
        <v>95</v>
      </c>
      <c r="B289" t="s">
        <v>90</v>
      </c>
      <c r="C289">
        <v>0</v>
      </c>
      <c r="D289" t="s">
        <v>92</v>
      </c>
      <c r="E289" t="s">
        <v>88</v>
      </c>
      <c r="F289" s="6">
        <v>0.55208333333333337</v>
      </c>
      <c r="G289">
        <v>2</v>
      </c>
      <c r="H289" s="6">
        <f>FLOOR(tblPivotData[[#This Row],[Time]],Summary!$B$6/1440)</f>
        <v>0.55208333333333326</v>
      </c>
      <c r="I289" s="46">
        <f>INDEX(PeakCalc!$L$10:$L$303,MATCH(tblPivotData[[#This Row],[Time]],PeakCalc!$G$10:$G$303,0))</f>
        <v>1</v>
      </c>
    </row>
    <row r="290" spans="1:9" x14ac:dyDescent="0.25">
      <c r="A290" t="s">
        <v>95</v>
      </c>
      <c r="B290" t="s">
        <v>90</v>
      </c>
      <c r="C290">
        <v>0</v>
      </c>
      <c r="D290" t="s">
        <v>92</v>
      </c>
      <c r="E290" t="s">
        <v>88</v>
      </c>
      <c r="F290" s="6">
        <v>0.5625</v>
      </c>
      <c r="G290">
        <v>4</v>
      </c>
      <c r="H290" s="6">
        <f>FLOOR(tblPivotData[[#This Row],[Time]],Summary!$B$6/1440)</f>
        <v>0.5625</v>
      </c>
      <c r="I290" s="46">
        <f>INDEX(PeakCalc!$L$10:$L$303,MATCH(tblPivotData[[#This Row],[Time]],PeakCalc!$G$10:$G$303,0))</f>
        <v>0</v>
      </c>
    </row>
    <row r="291" spans="1:9" x14ac:dyDescent="0.25">
      <c r="A291" t="s">
        <v>95</v>
      </c>
      <c r="B291" t="s">
        <v>90</v>
      </c>
      <c r="C291">
        <v>0</v>
      </c>
      <c r="D291" t="s">
        <v>92</v>
      </c>
      <c r="E291" t="s">
        <v>88</v>
      </c>
      <c r="F291" s="6">
        <v>0.57291666666666663</v>
      </c>
      <c r="G291">
        <v>4</v>
      </c>
      <c r="H291" s="6">
        <f>FLOOR(tblPivotData[[#This Row],[Time]],Summary!$B$6/1440)</f>
        <v>0.57291666666666663</v>
      </c>
      <c r="I291" s="46">
        <f>INDEX(PeakCalc!$L$10:$L$303,MATCH(tblPivotData[[#This Row],[Time]],PeakCalc!$G$10:$G$303,0))</f>
        <v>0</v>
      </c>
    </row>
    <row r="292" spans="1:9" x14ac:dyDescent="0.25">
      <c r="A292" t="s">
        <v>95</v>
      </c>
      <c r="B292" t="s">
        <v>90</v>
      </c>
      <c r="C292">
        <v>0</v>
      </c>
      <c r="D292" t="s">
        <v>92</v>
      </c>
      <c r="E292" t="s">
        <v>44</v>
      </c>
      <c r="F292" s="6">
        <v>0.625</v>
      </c>
      <c r="G292">
        <v>8</v>
      </c>
      <c r="H292" s="6">
        <f>FLOOR(tblPivotData[[#This Row],[Time]],Summary!$B$6/1440)</f>
        <v>0.625</v>
      </c>
      <c r="I292" s="46">
        <f>INDEX(PeakCalc!$L$10:$L$303,MATCH(tblPivotData[[#This Row],[Time]],PeakCalc!$G$10:$G$303,0))</f>
        <v>0</v>
      </c>
    </row>
    <row r="293" spans="1:9" x14ac:dyDescent="0.25">
      <c r="A293" t="s">
        <v>95</v>
      </c>
      <c r="B293" t="s">
        <v>90</v>
      </c>
      <c r="C293">
        <v>0</v>
      </c>
      <c r="D293" t="s">
        <v>92</v>
      </c>
      <c r="E293" t="s">
        <v>44</v>
      </c>
      <c r="F293" s="6">
        <v>0.63541666666666663</v>
      </c>
      <c r="G293">
        <v>9</v>
      </c>
      <c r="H293" s="6">
        <f>FLOOR(tblPivotData[[#This Row],[Time]],Summary!$B$6/1440)</f>
        <v>0.63541666666666663</v>
      </c>
      <c r="I293" s="46">
        <f>INDEX(PeakCalc!$L$10:$L$303,MATCH(tblPivotData[[#This Row],[Time]],PeakCalc!$G$10:$G$303,0))</f>
        <v>0</v>
      </c>
    </row>
    <row r="294" spans="1:9" x14ac:dyDescent="0.25">
      <c r="A294" t="s">
        <v>95</v>
      </c>
      <c r="B294" t="s">
        <v>90</v>
      </c>
      <c r="C294">
        <v>0</v>
      </c>
      <c r="D294" t="s">
        <v>92</v>
      </c>
      <c r="E294" t="s">
        <v>44</v>
      </c>
      <c r="F294" s="6">
        <v>0.64583333333333337</v>
      </c>
      <c r="G294">
        <v>13</v>
      </c>
      <c r="H294" s="6">
        <f>FLOOR(tblPivotData[[#This Row],[Time]],Summary!$B$6/1440)</f>
        <v>0.64583333333333326</v>
      </c>
      <c r="I294" s="46">
        <f>INDEX(PeakCalc!$L$10:$L$303,MATCH(tblPivotData[[#This Row],[Time]],PeakCalc!$G$10:$G$303,0))</f>
        <v>0</v>
      </c>
    </row>
    <row r="295" spans="1:9" x14ac:dyDescent="0.25">
      <c r="A295" t="s">
        <v>95</v>
      </c>
      <c r="B295" t="s">
        <v>90</v>
      </c>
      <c r="C295">
        <v>0</v>
      </c>
      <c r="D295" t="s">
        <v>92</v>
      </c>
      <c r="E295" t="s">
        <v>44</v>
      </c>
      <c r="F295" s="6">
        <v>0.65625</v>
      </c>
      <c r="G295">
        <v>9</v>
      </c>
      <c r="H295" s="6">
        <f>FLOOR(tblPivotData[[#This Row],[Time]],Summary!$B$6/1440)</f>
        <v>0.65625</v>
      </c>
      <c r="I295" s="46">
        <f>INDEX(PeakCalc!$L$10:$L$303,MATCH(tblPivotData[[#This Row],[Time]],PeakCalc!$G$10:$G$303,0))</f>
        <v>0</v>
      </c>
    </row>
    <row r="296" spans="1:9" x14ac:dyDescent="0.25">
      <c r="A296" t="s">
        <v>95</v>
      </c>
      <c r="B296" t="s">
        <v>90</v>
      </c>
      <c r="C296">
        <v>0</v>
      </c>
      <c r="D296" t="s">
        <v>92</v>
      </c>
      <c r="E296" t="s">
        <v>44</v>
      </c>
      <c r="F296" s="6">
        <v>0.66666666666666663</v>
      </c>
      <c r="G296">
        <v>12</v>
      </c>
      <c r="H296" s="6">
        <f>FLOOR(tblPivotData[[#This Row],[Time]],Summary!$B$6/1440)</f>
        <v>0.66666666666666663</v>
      </c>
      <c r="I296" s="46">
        <f>INDEX(PeakCalc!$L$10:$L$303,MATCH(tblPivotData[[#This Row],[Time]],PeakCalc!$G$10:$G$303,0))</f>
        <v>0</v>
      </c>
    </row>
    <row r="297" spans="1:9" x14ac:dyDescent="0.25">
      <c r="A297" t="s">
        <v>95</v>
      </c>
      <c r="B297" t="s">
        <v>90</v>
      </c>
      <c r="C297">
        <v>0</v>
      </c>
      <c r="D297" t="s">
        <v>92</v>
      </c>
      <c r="E297" t="s">
        <v>44</v>
      </c>
      <c r="F297" s="6">
        <v>0.67708333333333337</v>
      </c>
      <c r="G297">
        <v>5</v>
      </c>
      <c r="H297" s="6">
        <f>FLOOR(tblPivotData[[#This Row],[Time]],Summary!$B$6/1440)</f>
        <v>0.67708333333333326</v>
      </c>
      <c r="I297" s="46">
        <f>INDEX(PeakCalc!$L$10:$L$303,MATCH(tblPivotData[[#This Row],[Time]],PeakCalc!$G$10:$G$303,0))</f>
        <v>0</v>
      </c>
    </row>
    <row r="298" spans="1:9" x14ac:dyDescent="0.25">
      <c r="A298" t="s">
        <v>95</v>
      </c>
      <c r="B298" t="s">
        <v>90</v>
      </c>
      <c r="C298">
        <v>0</v>
      </c>
      <c r="D298" t="s">
        <v>92</v>
      </c>
      <c r="E298" t="s">
        <v>44</v>
      </c>
      <c r="F298" s="6">
        <v>0.6875</v>
      </c>
      <c r="G298">
        <v>10</v>
      </c>
      <c r="H298" s="6">
        <f>FLOOR(tblPivotData[[#This Row],[Time]],Summary!$B$6/1440)</f>
        <v>0.6875</v>
      </c>
      <c r="I298" s="46">
        <f>INDEX(PeakCalc!$L$10:$L$303,MATCH(tblPivotData[[#This Row],[Time]],PeakCalc!$G$10:$G$303,0))</f>
        <v>1</v>
      </c>
    </row>
    <row r="299" spans="1:9" x14ac:dyDescent="0.25">
      <c r="A299" t="s">
        <v>95</v>
      </c>
      <c r="B299" t="s">
        <v>90</v>
      </c>
      <c r="C299">
        <v>0</v>
      </c>
      <c r="D299" t="s">
        <v>92</v>
      </c>
      <c r="E299" t="s">
        <v>44</v>
      </c>
      <c r="F299" s="6">
        <v>0.69791666666666663</v>
      </c>
      <c r="G299">
        <v>7</v>
      </c>
      <c r="H299" s="6">
        <f>FLOOR(tblPivotData[[#This Row],[Time]],Summary!$B$6/1440)</f>
        <v>0.69791666666666663</v>
      </c>
      <c r="I299" s="46">
        <f>INDEX(PeakCalc!$L$10:$L$303,MATCH(tblPivotData[[#This Row],[Time]],PeakCalc!$G$10:$G$303,0))</f>
        <v>1</v>
      </c>
    </row>
    <row r="300" spans="1:9" x14ac:dyDescent="0.25">
      <c r="A300" t="s">
        <v>95</v>
      </c>
      <c r="B300" t="s">
        <v>90</v>
      </c>
      <c r="C300">
        <v>0</v>
      </c>
      <c r="D300" t="s">
        <v>92</v>
      </c>
      <c r="E300" t="s">
        <v>44</v>
      </c>
      <c r="F300" s="6">
        <v>0.70833333333333337</v>
      </c>
      <c r="G300">
        <v>14</v>
      </c>
      <c r="H300" s="6">
        <f>FLOOR(tblPivotData[[#This Row],[Time]],Summary!$B$6/1440)</f>
        <v>0.70833333333333326</v>
      </c>
      <c r="I300" s="46">
        <f>INDEX(PeakCalc!$L$10:$L$303,MATCH(tblPivotData[[#This Row],[Time]],PeakCalc!$G$10:$G$303,0))</f>
        <v>1</v>
      </c>
    </row>
    <row r="301" spans="1:9" x14ac:dyDescent="0.25">
      <c r="A301" t="s">
        <v>95</v>
      </c>
      <c r="B301" t="s">
        <v>90</v>
      </c>
      <c r="C301">
        <v>0</v>
      </c>
      <c r="D301" t="s">
        <v>92</v>
      </c>
      <c r="E301" t="s">
        <v>44</v>
      </c>
      <c r="F301" s="6">
        <v>0.71875</v>
      </c>
      <c r="G301">
        <v>20</v>
      </c>
      <c r="H301" s="6">
        <f>FLOOR(tblPivotData[[#This Row],[Time]],Summary!$B$6/1440)</f>
        <v>0.71875</v>
      </c>
      <c r="I301" s="46">
        <f>INDEX(PeakCalc!$L$10:$L$303,MATCH(tblPivotData[[#This Row],[Time]],PeakCalc!$G$10:$G$303,0))</f>
        <v>1</v>
      </c>
    </row>
    <row r="302" spans="1:9" x14ac:dyDescent="0.25">
      <c r="A302" t="s">
        <v>95</v>
      </c>
      <c r="B302" t="s">
        <v>90</v>
      </c>
      <c r="C302">
        <v>0</v>
      </c>
      <c r="D302" t="s">
        <v>92</v>
      </c>
      <c r="E302" t="s">
        <v>44</v>
      </c>
      <c r="F302" s="6">
        <v>0.72916666666666663</v>
      </c>
      <c r="G302">
        <v>9</v>
      </c>
      <c r="H302" s="6">
        <f>FLOOR(tblPivotData[[#This Row],[Time]],Summary!$B$6/1440)</f>
        <v>0.72916666666666663</v>
      </c>
      <c r="I302" s="46">
        <f>INDEX(PeakCalc!$L$10:$L$303,MATCH(tblPivotData[[#This Row],[Time]],PeakCalc!$G$10:$G$303,0))</f>
        <v>0</v>
      </c>
    </row>
    <row r="303" spans="1:9" x14ac:dyDescent="0.25">
      <c r="A303" t="s">
        <v>95</v>
      </c>
      <c r="B303" t="s">
        <v>90</v>
      </c>
      <c r="C303">
        <v>0</v>
      </c>
      <c r="D303" t="s">
        <v>92</v>
      </c>
      <c r="E303" t="s">
        <v>44</v>
      </c>
      <c r="F303" s="6">
        <v>0.73958333333333337</v>
      </c>
      <c r="G303">
        <v>3</v>
      </c>
      <c r="H303" s="6">
        <f>FLOOR(tblPivotData[[#This Row],[Time]],Summary!$B$6/1440)</f>
        <v>0.73958333333333326</v>
      </c>
      <c r="I303" s="46">
        <f>INDEX(PeakCalc!$L$10:$L$303,MATCH(tblPivotData[[#This Row],[Time]],PeakCalc!$G$10:$G$303,0))</f>
        <v>0</v>
      </c>
    </row>
    <row r="304" spans="1:9" x14ac:dyDescent="0.25">
      <c r="A304" t="s">
        <v>95</v>
      </c>
      <c r="B304" t="s">
        <v>90</v>
      </c>
      <c r="C304">
        <v>0</v>
      </c>
      <c r="D304" t="s">
        <v>92</v>
      </c>
      <c r="E304" t="s">
        <v>44</v>
      </c>
      <c r="F304" s="6">
        <v>0.75</v>
      </c>
      <c r="G304">
        <v>7</v>
      </c>
      <c r="H304" s="6">
        <f>FLOOR(tblPivotData[[#This Row],[Time]],Summary!$B$6/1440)</f>
        <v>0.75</v>
      </c>
      <c r="I304" s="46">
        <f>INDEX(PeakCalc!$L$10:$L$303,MATCH(tblPivotData[[#This Row],[Time]],PeakCalc!$G$10:$G$303,0))</f>
        <v>0</v>
      </c>
    </row>
    <row r="305" spans="1:9" x14ac:dyDescent="0.25">
      <c r="A305" t="s">
        <v>95</v>
      </c>
      <c r="B305" t="s">
        <v>90</v>
      </c>
      <c r="C305">
        <v>0</v>
      </c>
      <c r="D305" t="s">
        <v>92</v>
      </c>
      <c r="E305" t="s">
        <v>44</v>
      </c>
      <c r="F305" s="6">
        <v>0.76041666666666663</v>
      </c>
      <c r="G305">
        <v>3</v>
      </c>
      <c r="H305" s="6">
        <f>FLOOR(tblPivotData[[#This Row],[Time]],Summary!$B$6/1440)</f>
        <v>0.76041666666666663</v>
      </c>
      <c r="I305" s="46">
        <f>INDEX(PeakCalc!$L$10:$L$303,MATCH(tblPivotData[[#This Row],[Time]],PeakCalc!$G$10:$G$303,0))</f>
        <v>0</v>
      </c>
    </row>
    <row r="306" spans="1:9" x14ac:dyDescent="0.25">
      <c r="A306" t="s">
        <v>96</v>
      </c>
      <c r="B306" t="s">
        <v>89</v>
      </c>
      <c r="C306">
        <v>0</v>
      </c>
      <c r="D306" t="s">
        <v>91</v>
      </c>
      <c r="E306" t="s">
        <v>43</v>
      </c>
      <c r="F306" s="6">
        <v>0.27083333333333331</v>
      </c>
      <c r="G306">
        <v>0</v>
      </c>
      <c r="H306" s="6">
        <f>FLOOR(tblPivotData[[#This Row],[Time]],Summary!$B$6/1440)</f>
        <v>0.27083333333333331</v>
      </c>
      <c r="I306" s="46">
        <f>INDEX(PeakCalc!$L$10:$L$303,MATCH(tblPivotData[[#This Row],[Time]],PeakCalc!$G$10:$G$303,0))</f>
        <v>0</v>
      </c>
    </row>
    <row r="307" spans="1:9" x14ac:dyDescent="0.25">
      <c r="A307" t="s">
        <v>96</v>
      </c>
      <c r="B307" t="s">
        <v>89</v>
      </c>
      <c r="C307">
        <v>0</v>
      </c>
      <c r="D307" t="s">
        <v>91</v>
      </c>
      <c r="E307" t="s">
        <v>43</v>
      </c>
      <c r="F307" s="6">
        <v>0.28125</v>
      </c>
      <c r="G307">
        <v>0</v>
      </c>
      <c r="H307" s="6">
        <f>FLOOR(tblPivotData[[#This Row],[Time]],Summary!$B$6/1440)</f>
        <v>0.28125</v>
      </c>
      <c r="I307" s="46">
        <f>INDEX(PeakCalc!$L$10:$L$303,MATCH(tblPivotData[[#This Row],[Time]],PeakCalc!$G$10:$G$303,0))</f>
        <v>0</v>
      </c>
    </row>
    <row r="308" spans="1:9" x14ac:dyDescent="0.25">
      <c r="A308" t="s">
        <v>96</v>
      </c>
      <c r="B308" t="s">
        <v>89</v>
      </c>
      <c r="C308">
        <v>0</v>
      </c>
      <c r="D308" t="s">
        <v>91</v>
      </c>
      <c r="E308" t="s">
        <v>43</v>
      </c>
      <c r="F308" s="6">
        <v>0.29166666666666669</v>
      </c>
      <c r="G308">
        <v>0</v>
      </c>
      <c r="H308" s="6">
        <f>FLOOR(tblPivotData[[#This Row],[Time]],Summary!$B$6/1440)</f>
        <v>0.29166666666666663</v>
      </c>
      <c r="I308" s="46">
        <f>INDEX(PeakCalc!$L$10:$L$303,MATCH(tblPivotData[[#This Row],[Time]],PeakCalc!$G$10:$G$303,0))</f>
        <v>0</v>
      </c>
    </row>
    <row r="309" spans="1:9" x14ac:dyDescent="0.25">
      <c r="A309" t="s">
        <v>96</v>
      </c>
      <c r="B309" t="s">
        <v>89</v>
      </c>
      <c r="C309">
        <v>0</v>
      </c>
      <c r="D309" t="s">
        <v>91</v>
      </c>
      <c r="E309" t="s">
        <v>43</v>
      </c>
      <c r="F309" s="6">
        <v>0.30208333333333331</v>
      </c>
      <c r="G309">
        <v>0</v>
      </c>
      <c r="H309" s="6">
        <f>FLOOR(tblPivotData[[#This Row],[Time]],Summary!$B$6/1440)</f>
        <v>0.30208333333333331</v>
      </c>
      <c r="I309" s="46">
        <f>INDEX(PeakCalc!$L$10:$L$303,MATCH(tblPivotData[[#This Row],[Time]],PeakCalc!$G$10:$G$303,0))</f>
        <v>0</v>
      </c>
    </row>
    <row r="310" spans="1:9" x14ac:dyDescent="0.25">
      <c r="A310" t="s">
        <v>96</v>
      </c>
      <c r="B310" t="s">
        <v>89</v>
      </c>
      <c r="C310">
        <v>0</v>
      </c>
      <c r="D310" t="s">
        <v>91</v>
      </c>
      <c r="E310" t="s">
        <v>43</v>
      </c>
      <c r="F310" s="6">
        <v>0.3125</v>
      </c>
      <c r="G310">
        <v>1</v>
      </c>
      <c r="H310" s="6">
        <f>FLOOR(tblPivotData[[#This Row],[Time]],Summary!$B$6/1440)</f>
        <v>0.3125</v>
      </c>
      <c r="I310" s="46">
        <f>INDEX(PeakCalc!$L$10:$L$303,MATCH(tblPivotData[[#This Row],[Time]],PeakCalc!$G$10:$G$303,0))</f>
        <v>0</v>
      </c>
    </row>
    <row r="311" spans="1:9" x14ac:dyDescent="0.25">
      <c r="A311" t="s">
        <v>96</v>
      </c>
      <c r="B311" t="s">
        <v>89</v>
      </c>
      <c r="C311">
        <v>0</v>
      </c>
      <c r="D311" t="s">
        <v>91</v>
      </c>
      <c r="E311" t="s">
        <v>43</v>
      </c>
      <c r="F311" s="6">
        <v>0.32291666666666669</v>
      </c>
      <c r="G311">
        <v>0</v>
      </c>
      <c r="H311" s="6">
        <f>FLOOR(tblPivotData[[#This Row],[Time]],Summary!$B$6/1440)</f>
        <v>0.32291666666666663</v>
      </c>
      <c r="I311" s="46">
        <f>INDEX(PeakCalc!$L$10:$L$303,MATCH(tblPivotData[[#This Row],[Time]],PeakCalc!$G$10:$G$303,0))</f>
        <v>1</v>
      </c>
    </row>
    <row r="312" spans="1:9" x14ac:dyDescent="0.25">
      <c r="A312" t="s">
        <v>96</v>
      </c>
      <c r="B312" t="s">
        <v>89</v>
      </c>
      <c r="C312">
        <v>0</v>
      </c>
      <c r="D312" t="s">
        <v>91</v>
      </c>
      <c r="E312" t="s">
        <v>43</v>
      </c>
      <c r="F312" s="6">
        <v>0.33333333333333331</v>
      </c>
      <c r="G312">
        <v>0</v>
      </c>
      <c r="H312" s="6">
        <f>FLOOR(tblPivotData[[#This Row],[Time]],Summary!$B$6/1440)</f>
        <v>0.33333333333333331</v>
      </c>
      <c r="I312" s="46">
        <f>INDEX(PeakCalc!$L$10:$L$303,MATCH(tblPivotData[[#This Row],[Time]],PeakCalc!$G$10:$G$303,0))</f>
        <v>1</v>
      </c>
    </row>
    <row r="313" spans="1:9" x14ac:dyDescent="0.25">
      <c r="A313" t="s">
        <v>96</v>
      </c>
      <c r="B313" t="s">
        <v>89</v>
      </c>
      <c r="C313">
        <v>0</v>
      </c>
      <c r="D313" t="s">
        <v>91</v>
      </c>
      <c r="E313" t="s">
        <v>43</v>
      </c>
      <c r="F313" s="6">
        <v>0.34375</v>
      </c>
      <c r="G313">
        <v>0</v>
      </c>
      <c r="H313" s="6">
        <f>FLOOR(tblPivotData[[#This Row],[Time]],Summary!$B$6/1440)</f>
        <v>0.34375</v>
      </c>
      <c r="I313" s="46">
        <f>INDEX(PeakCalc!$L$10:$L$303,MATCH(tblPivotData[[#This Row],[Time]],PeakCalc!$G$10:$G$303,0))</f>
        <v>1</v>
      </c>
    </row>
    <row r="314" spans="1:9" x14ac:dyDescent="0.25">
      <c r="A314" t="s">
        <v>96</v>
      </c>
      <c r="B314" t="s">
        <v>89</v>
      </c>
      <c r="C314">
        <v>0</v>
      </c>
      <c r="D314" t="s">
        <v>91</v>
      </c>
      <c r="E314" t="s">
        <v>43</v>
      </c>
      <c r="F314" s="6">
        <v>0.35416666666666669</v>
      </c>
      <c r="G314">
        <v>0</v>
      </c>
      <c r="H314" s="6">
        <f>FLOOR(tblPivotData[[#This Row],[Time]],Summary!$B$6/1440)</f>
        <v>0.35416666666666663</v>
      </c>
      <c r="I314" s="46">
        <f>INDEX(PeakCalc!$L$10:$L$303,MATCH(tblPivotData[[#This Row],[Time]],PeakCalc!$G$10:$G$303,0))</f>
        <v>1</v>
      </c>
    </row>
    <row r="315" spans="1:9" x14ac:dyDescent="0.25">
      <c r="A315" t="s">
        <v>96</v>
      </c>
      <c r="B315" t="s">
        <v>89</v>
      </c>
      <c r="C315">
        <v>0</v>
      </c>
      <c r="D315" t="s">
        <v>91</v>
      </c>
      <c r="E315" t="s">
        <v>43</v>
      </c>
      <c r="F315" s="6">
        <v>0.36458333333333331</v>
      </c>
      <c r="G315">
        <v>0</v>
      </c>
      <c r="H315" s="6">
        <f>FLOOR(tblPivotData[[#This Row],[Time]],Summary!$B$6/1440)</f>
        <v>0.36458333333333331</v>
      </c>
      <c r="I315" s="46">
        <f>INDEX(PeakCalc!$L$10:$L$303,MATCH(tblPivotData[[#This Row],[Time]],PeakCalc!$G$10:$G$303,0))</f>
        <v>0</v>
      </c>
    </row>
    <row r="316" spans="1:9" x14ac:dyDescent="0.25">
      <c r="A316" t="s">
        <v>96</v>
      </c>
      <c r="B316" t="s">
        <v>89</v>
      </c>
      <c r="C316">
        <v>0</v>
      </c>
      <c r="D316" t="s">
        <v>91</v>
      </c>
      <c r="E316" t="s">
        <v>43</v>
      </c>
      <c r="F316" s="6">
        <v>0.375</v>
      </c>
      <c r="G316">
        <v>0</v>
      </c>
      <c r="H316" s="6">
        <f>FLOOR(tblPivotData[[#This Row],[Time]],Summary!$B$6/1440)</f>
        <v>0.375</v>
      </c>
      <c r="I316" s="46">
        <f>INDEX(PeakCalc!$L$10:$L$303,MATCH(tblPivotData[[#This Row],[Time]],PeakCalc!$G$10:$G$303,0))</f>
        <v>0</v>
      </c>
    </row>
    <row r="317" spans="1:9" x14ac:dyDescent="0.25">
      <c r="A317" t="s">
        <v>96</v>
      </c>
      <c r="B317" t="s">
        <v>89</v>
      </c>
      <c r="C317">
        <v>0</v>
      </c>
      <c r="D317" t="s">
        <v>91</v>
      </c>
      <c r="E317" t="s">
        <v>43</v>
      </c>
      <c r="F317" s="6">
        <v>0.38541666666666669</v>
      </c>
      <c r="G317">
        <v>0</v>
      </c>
      <c r="H317" s="6">
        <f>FLOOR(tblPivotData[[#This Row],[Time]],Summary!$B$6/1440)</f>
        <v>0.38541666666666663</v>
      </c>
      <c r="I317" s="46">
        <f>INDEX(PeakCalc!$L$10:$L$303,MATCH(tblPivotData[[#This Row],[Time]],PeakCalc!$G$10:$G$303,0))</f>
        <v>0</v>
      </c>
    </row>
    <row r="318" spans="1:9" x14ac:dyDescent="0.25">
      <c r="A318" t="s">
        <v>96</v>
      </c>
      <c r="B318" t="s">
        <v>89</v>
      </c>
      <c r="C318">
        <v>0</v>
      </c>
      <c r="D318" t="s">
        <v>91</v>
      </c>
      <c r="E318" t="s">
        <v>88</v>
      </c>
      <c r="F318" s="6">
        <v>0.45833333333333331</v>
      </c>
      <c r="G318">
        <v>0</v>
      </c>
      <c r="H318" s="6">
        <f>FLOOR(tblPivotData[[#This Row],[Time]],Summary!$B$6/1440)</f>
        <v>0.45833333333333331</v>
      </c>
      <c r="I318" s="46">
        <f>INDEX(PeakCalc!$L$10:$L$303,MATCH(tblPivotData[[#This Row],[Time]],PeakCalc!$G$10:$G$303,0))</f>
        <v>0</v>
      </c>
    </row>
    <row r="319" spans="1:9" x14ac:dyDescent="0.25">
      <c r="A319" t="s">
        <v>96</v>
      </c>
      <c r="B319" t="s">
        <v>89</v>
      </c>
      <c r="C319">
        <v>0</v>
      </c>
      <c r="D319" t="s">
        <v>91</v>
      </c>
      <c r="E319" t="s">
        <v>88</v>
      </c>
      <c r="F319" s="6">
        <v>0.46875</v>
      </c>
      <c r="G319">
        <v>0</v>
      </c>
      <c r="H319" s="6">
        <f>FLOOR(tblPivotData[[#This Row],[Time]],Summary!$B$6/1440)</f>
        <v>0.46875</v>
      </c>
      <c r="I319" s="46">
        <f>INDEX(PeakCalc!$L$10:$L$303,MATCH(tblPivotData[[#This Row],[Time]],PeakCalc!$G$10:$G$303,0))</f>
        <v>0</v>
      </c>
    </row>
    <row r="320" spans="1:9" x14ac:dyDescent="0.25">
      <c r="A320" t="s">
        <v>96</v>
      </c>
      <c r="B320" t="s">
        <v>89</v>
      </c>
      <c r="C320">
        <v>0</v>
      </c>
      <c r="D320" t="s">
        <v>91</v>
      </c>
      <c r="E320" t="s">
        <v>88</v>
      </c>
      <c r="F320" s="6">
        <v>0.47916666666666669</v>
      </c>
      <c r="G320">
        <v>0</v>
      </c>
      <c r="H320" s="6">
        <f>FLOOR(tblPivotData[[#This Row],[Time]],Summary!$B$6/1440)</f>
        <v>0.47916666666666663</v>
      </c>
      <c r="I320" s="46">
        <f>INDEX(PeakCalc!$L$10:$L$303,MATCH(tblPivotData[[#This Row],[Time]],PeakCalc!$G$10:$G$303,0))</f>
        <v>0</v>
      </c>
    </row>
    <row r="321" spans="1:9" x14ac:dyDescent="0.25">
      <c r="A321" t="s">
        <v>96</v>
      </c>
      <c r="B321" t="s">
        <v>89</v>
      </c>
      <c r="C321">
        <v>0</v>
      </c>
      <c r="D321" t="s">
        <v>91</v>
      </c>
      <c r="E321" t="s">
        <v>88</v>
      </c>
      <c r="F321" s="6">
        <v>0.48958333333333331</v>
      </c>
      <c r="G321">
        <v>0</v>
      </c>
      <c r="H321" s="6">
        <f>FLOOR(tblPivotData[[#This Row],[Time]],Summary!$B$6/1440)</f>
        <v>0.48958333333333331</v>
      </c>
      <c r="I321" s="46">
        <f>INDEX(PeakCalc!$L$10:$L$303,MATCH(tblPivotData[[#This Row],[Time]],PeakCalc!$G$10:$G$303,0))</f>
        <v>0</v>
      </c>
    </row>
    <row r="322" spans="1:9" x14ac:dyDescent="0.25">
      <c r="A322" t="s">
        <v>96</v>
      </c>
      <c r="B322" t="s">
        <v>89</v>
      </c>
      <c r="C322">
        <v>0</v>
      </c>
      <c r="D322" t="s">
        <v>91</v>
      </c>
      <c r="E322" t="s">
        <v>88</v>
      </c>
      <c r="F322" s="6">
        <v>0.5</v>
      </c>
      <c r="G322">
        <v>0</v>
      </c>
      <c r="H322" s="6">
        <f>FLOOR(tblPivotData[[#This Row],[Time]],Summary!$B$6/1440)</f>
        <v>0.5</v>
      </c>
      <c r="I322" s="46">
        <f>INDEX(PeakCalc!$L$10:$L$303,MATCH(tblPivotData[[#This Row],[Time]],PeakCalc!$G$10:$G$303,0))</f>
        <v>0</v>
      </c>
    </row>
    <row r="323" spans="1:9" x14ac:dyDescent="0.25">
      <c r="A323" t="s">
        <v>96</v>
      </c>
      <c r="B323" t="s">
        <v>89</v>
      </c>
      <c r="C323">
        <v>0</v>
      </c>
      <c r="D323" t="s">
        <v>91</v>
      </c>
      <c r="E323" t="s">
        <v>88</v>
      </c>
      <c r="F323" s="6">
        <v>0.51041666666666663</v>
      </c>
      <c r="G323">
        <v>0</v>
      </c>
      <c r="H323" s="6">
        <f>FLOOR(tblPivotData[[#This Row],[Time]],Summary!$B$6/1440)</f>
        <v>0.51041666666666663</v>
      </c>
      <c r="I323" s="46">
        <f>INDEX(PeakCalc!$L$10:$L$303,MATCH(tblPivotData[[#This Row],[Time]],PeakCalc!$G$10:$G$303,0))</f>
        <v>0</v>
      </c>
    </row>
    <row r="324" spans="1:9" x14ac:dyDescent="0.25">
      <c r="A324" t="s">
        <v>96</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1</v>
      </c>
    </row>
    <row r="325" spans="1:9" x14ac:dyDescent="0.25">
      <c r="A325" t="s">
        <v>96</v>
      </c>
      <c r="B325" t="s">
        <v>89</v>
      </c>
      <c r="C325">
        <v>0</v>
      </c>
      <c r="D325" t="s">
        <v>91</v>
      </c>
      <c r="E325" t="s">
        <v>88</v>
      </c>
      <c r="F325" s="6">
        <v>0.53125</v>
      </c>
      <c r="G325">
        <v>0</v>
      </c>
      <c r="H325" s="6">
        <f>FLOOR(tblPivotData[[#This Row],[Time]],Summary!$B$6/1440)</f>
        <v>0.53125</v>
      </c>
      <c r="I325" s="46">
        <f>INDEX(PeakCalc!$L$10:$L$303,MATCH(tblPivotData[[#This Row],[Time]],PeakCalc!$G$10:$G$303,0))</f>
        <v>1</v>
      </c>
    </row>
    <row r="326" spans="1:9" x14ac:dyDescent="0.25">
      <c r="A326" t="s">
        <v>96</v>
      </c>
      <c r="B326" t="s">
        <v>89</v>
      </c>
      <c r="C326">
        <v>0</v>
      </c>
      <c r="D326" t="s">
        <v>91</v>
      </c>
      <c r="E326" t="s">
        <v>88</v>
      </c>
      <c r="F326" s="6">
        <v>0.54166666666666663</v>
      </c>
      <c r="G326">
        <v>0</v>
      </c>
      <c r="H326" s="6">
        <f>FLOOR(tblPivotData[[#This Row],[Time]],Summary!$B$6/1440)</f>
        <v>0.54166666666666663</v>
      </c>
      <c r="I326" s="46">
        <f>INDEX(PeakCalc!$L$10:$L$303,MATCH(tblPivotData[[#This Row],[Time]],PeakCalc!$G$10:$G$303,0))</f>
        <v>1</v>
      </c>
    </row>
    <row r="327" spans="1:9" x14ac:dyDescent="0.25">
      <c r="A327" t="s">
        <v>96</v>
      </c>
      <c r="B327" t="s">
        <v>89</v>
      </c>
      <c r="C327">
        <v>0</v>
      </c>
      <c r="D327" t="s">
        <v>91</v>
      </c>
      <c r="E327" t="s">
        <v>88</v>
      </c>
      <c r="F327" s="6">
        <v>0.55208333333333337</v>
      </c>
      <c r="G327">
        <v>0</v>
      </c>
      <c r="H327" s="6">
        <f>FLOOR(tblPivotData[[#This Row],[Time]],Summary!$B$6/1440)</f>
        <v>0.55208333333333326</v>
      </c>
      <c r="I327" s="46">
        <f>INDEX(PeakCalc!$L$10:$L$303,MATCH(tblPivotData[[#This Row],[Time]],PeakCalc!$G$10:$G$303,0))</f>
        <v>1</v>
      </c>
    </row>
    <row r="328" spans="1:9" x14ac:dyDescent="0.25">
      <c r="A328" t="s">
        <v>96</v>
      </c>
      <c r="B328" t="s">
        <v>89</v>
      </c>
      <c r="C328">
        <v>0</v>
      </c>
      <c r="D328" t="s">
        <v>91</v>
      </c>
      <c r="E328" t="s">
        <v>88</v>
      </c>
      <c r="F328" s="6">
        <v>0.5625</v>
      </c>
      <c r="G328">
        <v>0</v>
      </c>
      <c r="H328" s="6">
        <f>FLOOR(tblPivotData[[#This Row],[Time]],Summary!$B$6/1440)</f>
        <v>0.5625</v>
      </c>
      <c r="I328" s="46">
        <f>INDEX(PeakCalc!$L$10:$L$303,MATCH(tblPivotData[[#This Row],[Time]],PeakCalc!$G$10:$G$303,0))</f>
        <v>0</v>
      </c>
    </row>
    <row r="329" spans="1:9" x14ac:dyDescent="0.25">
      <c r="A329" t="s">
        <v>96</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0</v>
      </c>
    </row>
    <row r="330" spans="1:9" x14ac:dyDescent="0.25">
      <c r="A330" t="s">
        <v>96</v>
      </c>
      <c r="B330" t="s">
        <v>89</v>
      </c>
      <c r="C330">
        <v>0</v>
      </c>
      <c r="D330" t="s">
        <v>91</v>
      </c>
      <c r="E330" t="s">
        <v>44</v>
      </c>
      <c r="F330" s="6">
        <v>0.625</v>
      </c>
      <c r="G330">
        <v>0</v>
      </c>
      <c r="H330" s="6">
        <f>FLOOR(tblPivotData[[#This Row],[Time]],Summary!$B$6/1440)</f>
        <v>0.625</v>
      </c>
      <c r="I330" s="46">
        <f>INDEX(PeakCalc!$L$10:$L$303,MATCH(tblPivotData[[#This Row],[Time]],PeakCalc!$G$10:$G$303,0))</f>
        <v>0</v>
      </c>
    </row>
    <row r="331" spans="1:9" x14ac:dyDescent="0.25">
      <c r="A331" t="s">
        <v>96</v>
      </c>
      <c r="B331" t="s">
        <v>89</v>
      </c>
      <c r="C331">
        <v>0</v>
      </c>
      <c r="D331" t="s">
        <v>91</v>
      </c>
      <c r="E331" t="s">
        <v>44</v>
      </c>
      <c r="F331" s="6">
        <v>0.63541666666666663</v>
      </c>
      <c r="G331">
        <v>0</v>
      </c>
      <c r="H331" s="6">
        <f>FLOOR(tblPivotData[[#This Row],[Time]],Summary!$B$6/1440)</f>
        <v>0.63541666666666663</v>
      </c>
      <c r="I331" s="46">
        <f>INDEX(PeakCalc!$L$10:$L$303,MATCH(tblPivotData[[#This Row],[Time]],PeakCalc!$G$10:$G$303,0))</f>
        <v>0</v>
      </c>
    </row>
    <row r="332" spans="1:9" x14ac:dyDescent="0.25">
      <c r="A332" t="s">
        <v>96</v>
      </c>
      <c r="B332" t="s">
        <v>89</v>
      </c>
      <c r="C332">
        <v>0</v>
      </c>
      <c r="D332" t="s">
        <v>91</v>
      </c>
      <c r="E332" t="s">
        <v>44</v>
      </c>
      <c r="F332" s="6">
        <v>0.64583333333333337</v>
      </c>
      <c r="G332">
        <v>0</v>
      </c>
      <c r="H332" s="6">
        <f>FLOOR(tblPivotData[[#This Row],[Time]],Summary!$B$6/1440)</f>
        <v>0.64583333333333326</v>
      </c>
      <c r="I332" s="46">
        <f>INDEX(PeakCalc!$L$10:$L$303,MATCH(tblPivotData[[#This Row],[Time]],PeakCalc!$G$10:$G$303,0))</f>
        <v>0</v>
      </c>
    </row>
    <row r="333" spans="1:9" x14ac:dyDescent="0.25">
      <c r="A333" t="s">
        <v>96</v>
      </c>
      <c r="B333" t="s">
        <v>89</v>
      </c>
      <c r="C333">
        <v>0</v>
      </c>
      <c r="D333" t="s">
        <v>91</v>
      </c>
      <c r="E333" t="s">
        <v>44</v>
      </c>
      <c r="F333" s="6">
        <v>0.65625</v>
      </c>
      <c r="G333">
        <v>0</v>
      </c>
      <c r="H333" s="6">
        <f>FLOOR(tblPivotData[[#This Row],[Time]],Summary!$B$6/1440)</f>
        <v>0.65625</v>
      </c>
      <c r="I333" s="46">
        <f>INDEX(PeakCalc!$L$10:$L$303,MATCH(tblPivotData[[#This Row],[Time]],PeakCalc!$G$10:$G$303,0))</f>
        <v>0</v>
      </c>
    </row>
    <row r="334" spans="1:9" x14ac:dyDescent="0.25">
      <c r="A334" t="s">
        <v>96</v>
      </c>
      <c r="B334" t="s">
        <v>89</v>
      </c>
      <c r="C334">
        <v>0</v>
      </c>
      <c r="D334" t="s">
        <v>91</v>
      </c>
      <c r="E334" t="s">
        <v>44</v>
      </c>
      <c r="F334" s="6">
        <v>0.66666666666666663</v>
      </c>
      <c r="G334">
        <v>0</v>
      </c>
      <c r="H334" s="6">
        <f>FLOOR(tblPivotData[[#This Row],[Time]],Summary!$B$6/1440)</f>
        <v>0.66666666666666663</v>
      </c>
      <c r="I334" s="46">
        <f>INDEX(PeakCalc!$L$10:$L$303,MATCH(tblPivotData[[#This Row],[Time]],PeakCalc!$G$10:$G$303,0))</f>
        <v>0</v>
      </c>
    </row>
    <row r="335" spans="1:9" x14ac:dyDescent="0.25">
      <c r="A335" t="s">
        <v>96</v>
      </c>
      <c r="B335" t="s">
        <v>89</v>
      </c>
      <c r="C335">
        <v>0</v>
      </c>
      <c r="D335" t="s">
        <v>91</v>
      </c>
      <c r="E335" t="s">
        <v>44</v>
      </c>
      <c r="F335" s="6">
        <v>0.67708333333333337</v>
      </c>
      <c r="G335">
        <v>0</v>
      </c>
      <c r="H335" s="6">
        <f>FLOOR(tblPivotData[[#This Row],[Time]],Summary!$B$6/1440)</f>
        <v>0.67708333333333326</v>
      </c>
      <c r="I335" s="46">
        <f>INDEX(PeakCalc!$L$10:$L$303,MATCH(tblPivotData[[#This Row],[Time]],PeakCalc!$G$10:$G$303,0))</f>
        <v>0</v>
      </c>
    </row>
    <row r="336" spans="1:9" x14ac:dyDescent="0.25">
      <c r="A336" t="s">
        <v>96</v>
      </c>
      <c r="B336" t="s">
        <v>89</v>
      </c>
      <c r="C336">
        <v>0</v>
      </c>
      <c r="D336" t="s">
        <v>91</v>
      </c>
      <c r="E336" t="s">
        <v>44</v>
      </c>
      <c r="F336" s="6">
        <v>0.6875</v>
      </c>
      <c r="G336">
        <v>0</v>
      </c>
      <c r="H336" s="6">
        <f>FLOOR(tblPivotData[[#This Row],[Time]],Summary!$B$6/1440)</f>
        <v>0.6875</v>
      </c>
      <c r="I336" s="46">
        <f>INDEX(PeakCalc!$L$10:$L$303,MATCH(tblPivotData[[#This Row],[Time]],PeakCalc!$G$10:$G$303,0))</f>
        <v>1</v>
      </c>
    </row>
    <row r="337" spans="1:9" x14ac:dyDescent="0.25">
      <c r="A337" t="s">
        <v>96</v>
      </c>
      <c r="B337" t="s">
        <v>89</v>
      </c>
      <c r="C337">
        <v>0</v>
      </c>
      <c r="D337" t="s">
        <v>91</v>
      </c>
      <c r="E337" t="s">
        <v>44</v>
      </c>
      <c r="F337" s="6">
        <v>0.69791666666666663</v>
      </c>
      <c r="G337">
        <v>0</v>
      </c>
      <c r="H337" s="6">
        <f>FLOOR(tblPivotData[[#This Row],[Time]],Summary!$B$6/1440)</f>
        <v>0.69791666666666663</v>
      </c>
      <c r="I337" s="46">
        <f>INDEX(PeakCalc!$L$10:$L$303,MATCH(tblPivotData[[#This Row],[Time]],PeakCalc!$G$10:$G$303,0))</f>
        <v>1</v>
      </c>
    </row>
    <row r="338" spans="1:9" x14ac:dyDescent="0.25">
      <c r="A338" t="s">
        <v>96</v>
      </c>
      <c r="B338" t="s">
        <v>89</v>
      </c>
      <c r="C338">
        <v>0</v>
      </c>
      <c r="D338" t="s">
        <v>91</v>
      </c>
      <c r="E338" t="s">
        <v>44</v>
      </c>
      <c r="F338" s="6">
        <v>0.70833333333333337</v>
      </c>
      <c r="G338">
        <v>0</v>
      </c>
      <c r="H338" s="6">
        <f>FLOOR(tblPivotData[[#This Row],[Time]],Summary!$B$6/1440)</f>
        <v>0.70833333333333326</v>
      </c>
      <c r="I338" s="46">
        <f>INDEX(PeakCalc!$L$10:$L$303,MATCH(tblPivotData[[#This Row],[Time]],PeakCalc!$G$10:$G$303,0))</f>
        <v>1</v>
      </c>
    </row>
    <row r="339" spans="1:9" x14ac:dyDescent="0.25">
      <c r="A339" t="s">
        <v>96</v>
      </c>
      <c r="B339" t="s">
        <v>89</v>
      </c>
      <c r="C339">
        <v>0</v>
      </c>
      <c r="D339" t="s">
        <v>91</v>
      </c>
      <c r="E339" t="s">
        <v>44</v>
      </c>
      <c r="F339" s="6">
        <v>0.71875</v>
      </c>
      <c r="G339">
        <v>0</v>
      </c>
      <c r="H339" s="6">
        <f>FLOOR(tblPivotData[[#This Row],[Time]],Summary!$B$6/1440)</f>
        <v>0.71875</v>
      </c>
      <c r="I339" s="46">
        <f>INDEX(PeakCalc!$L$10:$L$303,MATCH(tblPivotData[[#This Row],[Time]],PeakCalc!$G$10:$G$303,0))</f>
        <v>1</v>
      </c>
    </row>
    <row r="340" spans="1:9" x14ac:dyDescent="0.25">
      <c r="A340" t="s">
        <v>96</v>
      </c>
      <c r="B340" t="s">
        <v>89</v>
      </c>
      <c r="C340">
        <v>0</v>
      </c>
      <c r="D340" t="s">
        <v>91</v>
      </c>
      <c r="E340" t="s">
        <v>44</v>
      </c>
      <c r="F340" s="6">
        <v>0.72916666666666663</v>
      </c>
      <c r="G340">
        <v>0</v>
      </c>
      <c r="H340" s="6">
        <f>FLOOR(tblPivotData[[#This Row],[Time]],Summary!$B$6/1440)</f>
        <v>0.72916666666666663</v>
      </c>
      <c r="I340" s="46">
        <f>INDEX(PeakCalc!$L$10:$L$303,MATCH(tblPivotData[[#This Row],[Time]],PeakCalc!$G$10:$G$303,0))</f>
        <v>0</v>
      </c>
    </row>
    <row r="341" spans="1:9" x14ac:dyDescent="0.25">
      <c r="A341" t="s">
        <v>96</v>
      </c>
      <c r="B341" t="s">
        <v>89</v>
      </c>
      <c r="C341">
        <v>0</v>
      </c>
      <c r="D341" t="s">
        <v>91</v>
      </c>
      <c r="E341" t="s">
        <v>44</v>
      </c>
      <c r="F341" s="6">
        <v>0.73958333333333337</v>
      </c>
      <c r="G341">
        <v>0</v>
      </c>
      <c r="H341" s="6">
        <f>FLOOR(tblPivotData[[#This Row],[Time]],Summary!$B$6/1440)</f>
        <v>0.73958333333333326</v>
      </c>
      <c r="I341" s="46">
        <f>INDEX(PeakCalc!$L$10:$L$303,MATCH(tblPivotData[[#This Row],[Time]],PeakCalc!$G$10:$G$303,0))</f>
        <v>0</v>
      </c>
    </row>
    <row r="342" spans="1:9" x14ac:dyDescent="0.25">
      <c r="A342" t="s">
        <v>96</v>
      </c>
      <c r="B342" t="s">
        <v>89</v>
      </c>
      <c r="C342">
        <v>0</v>
      </c>
      <c r="D342" t="s">
        <v>91</v>
      </c>
      <c r="E342" t="s">
        <v>44</v>
      </c>
      <c r="F342" s="6">
        <v>0.75</v>
      </c>
      <c r="G342">
        <v>0</v>
      </c>
      <c r="H342" s="6">
        <f>FLOOR(tblPivotData[[#This Row],[Time]],Summary!$B$6/1440)</f>
        <v>0.75</v>
      </c>
      <c r="I342" s="46">
        <f>INDEX(PeakCalc!$L$10:$L$303,MATCH(tblPivotData[[#This Row],[Time]],PeakCalc!$G$10:$G$303,0))</f>
        <v>0</v>
      </c>
    </row>
    <row r="343" spans="1:9" x14ac:dyDescent="0.25">
      <c r="A343" t="s">
        <v>96</v>
      </c>
      <c r="B343" t="s">
        <v>89</v>
      </c>
      <c r="C343">
        <v>0</v>
      </c>
      <c r="D343" t="s">
        <v>91</v>
      </c>
      <c r="E343" t="s">
        <v>44</v>
      </c>
      <c r="F343" s="6">
        <v>0.76041666666666663</v>
      </c>
      <c r="G343">
        <v>0</v>
      </c>
      <c r="H343" s="6">
        <f>FLOOR(tblPivotData[[#This Row],[Time]],Summary!$B$6/1440)</f>
        <v>0.76041666666666663</v>
      </c>
      <c r="I343" s="46">
        <f>INDEX(PeakCalc!$L$10:$L$303,MATCH(tblPivotData[[#This Row],[Time]],PeakCalc!$G$10:$G$303,0))</f>
        <v>0</v>
      </c>
    </row>
    <row r="344" spans="1:9" x14ac:dyDescent="0.25">
      <c r="A344" t="s">
        <v>96</v>
      </c>
      <c r="B344" t="s">
        <v>89</v>
      </c>
      <c r="C344">
        <v>0</v>
      </c>
      <c r="D344" t="s">
        <v>92</v>
      </c>
      <c r="E344" t="s">
        <v>43</v>
      </c>
      <c r="F344" s="6">
        <v>0.27083333333333331</v>
      </c>
      <c r="G344">
        <v>1</v>
      </c>
      <c r="H344" s="6">
        <f>FLOOR(tblPivotData[[#This Row],[Time]],Summary!$B$6/1440)</f>
        <v>0.27083333333333331</v>
      </c>
      <c r="I344" s="46">
        <f>INDEX(PeakCalc!$L$10:$L$303,MATCH(tblPivotData[[#This Row],[Time]],PeakCalc!$G$10:$G$303,0))</f>
        <v>0</v>
      </c>
    </row>
    <row r="345" spans="1:9" x14ac:dyDescent="0.25">
      <c r="A345" t="s">
        <v>96</v>
      </c>
      <c r="B345" t="s">
        <v>89</v>
      </c>
      <c r="C345">
        <v>0</v>
      </c>
      <c r="D345" t="s">
        <v>92</v>
      </c>
      <c r="E345" t="s">
        <v>43</v>
      </c>
      <c r="F345" s="6">
        <v>0.28125</v>
      </c>
      <c r="G345">
        <v>0</v>
      </c>
      <c r="H345" s="6">
        <f>FLOOR(tblPivotData[[#This Row],[Time]],Summary!$B$6/1440)</f>
        <v>0.28125</v>
      </c>
      <c r="I345" s="46">
        <f>INDEX(PeakCalc!$L$10:$L$303,MATCH(tblPivotData[[#This Row],[Time]],PeakCalc!$G$10:$G$303,0))</f>
        <v>0</v>
      </c>
    </row>
    <row r="346" spans="1:9" x14ac:dyDescent="0.25">
      <c r="A346" t="s">
        <v>96</v>
      </c>
      <c r="B346" t="s">
        <v>89</v>
      </c>
      <c r="C346">
        <v>0</v>
      </c>
      <c r="D346" t="s">
        <v>92</v>
      </c>
      <c r="E346" t="s">
        <v>43</v>
      </c>
      <c r="F346" s="6">
        <v>0.29166666666666669</v>
      </c>
      <c r="G346">
        <v>2</v>
      </c>
      <c r="H346" s="6">
        <f>FLOOR(tblPivotData[[#This Row],[Time]],Summary!$B$6/1440)</f>
        <v>0.29166666666666663</v>
      </c>
      <c r="I346" s="46">
        <f>INDEX(PeakCalc!$L$10:$L$303,MATCH(tblPivotData[[#This Row],[Time]],PeakCalc!$G$10:$G$303,0))</f>
        <v>0</v>
      </c>
    </row>
    <row r="347" spans="1:9" x14ac:dyDescent="0.25">
      <c r="A347" t="s">
        <v>96</v>
      </c>
      <c r="B347" t="s">
        <v>89</v>
      </c>
      <c r="C347">
        <v>0</v>
      </c>
      <c r="D347" t="s">
        <v>92</v>
      </c>
      <c r="E347" t="s">
        <v>43</v>
      </c>
      <c r="F347" s="6">
        <v>0.30208333333333331</v>
      </c>
      <c r="G347">
        <v>1</v>
      </c>
      <c r="H347" s="6">
        <f>FLOOR(tblPivotData[[#This Row],[Time]],Summary!$B$6/1440)</f>
        <v>0.30208333333333331</v>
      </c>
      <c r="I347" s="46">
        <f>INDEX(PeakCalc!$L$10:$L$303,MATCH(tblPivotData[[#This Row],[Time]],PeakCalc!$G$10:$G$303,0))</f>
        <v>0</v>
      </c>
    </row>
    <row r="348" spans="1:9" x14ac:dyDescent="0.25">
      <c r="A348" t="s">
        <v>96</v>
      </c>
      <c r="B348" t="s">
        <v>89</v>
      </c>
      <c r="C348">
        <v>0</v>
      </c>
      <c r="D348" t="s">
        <v>92</v>
      </c>
      <c r="E348" t="s">
        <v>43</v>
      </c>
      <c r="F348" s="6">
        <v>0.3125</v>
      </c>
      <c r="G348">
        <v>1</v>
      </c>
      <c r="H348" s="6">
        <f>FLOOR(tblPivotData[[#This Row],[Time]],Summary!$B$6/1440)</f>
        <v>0.3125</v>
      </c>
      <c r="I348" s="46">
        <f>INDEX(PeakCalc!$L$10:$L$303,MATCH(tblPivotData[[#This Row],[Time]],PeakCalc!$G$10:$G$303,0))</f>
        <v>0</v>
      </c>
    </row>
    <row r="349" spans="1:9" x14ac:dyDescent="0.25">
      <c r="A349" t="s">
        <v>96</v>
      </c>
      <c r="B349" t="s">
        <v>89</v>
      </c>
      <c r="C349">
        <v>0</v>
      </c>
      <c r="D349" t="s">
        <v>92</v>
      </c>
      <c r="E349" t="s">
        <v>43</v>
      </c>
      <c r="F349" s="6">
        <v>0.32291666666666669</v>
      </c>
      <c r="G349">
        <v>1</v>
      </c>
      <c r="H349" s="6">
        <f>FLOOR(tblPivotData[[#This Row],[Time]],Summary!$B$6/1440)</f>
        <v>0.32291666666666663</v>
      </c>
      <c r="I349" s="46">
        <f>INDEX(PeakCalc!$L$10:$L$303,MATCH(tblPivotData[[#This Row],[Time]],PeakCalc!$G$10:$G$303,0))</f>
        <v>1</v>
      </c>
    </row>
    <row r="350" spans="1:9" x14ac:dyDescent="0.25">
      <c r="A350" t="s">
        <v>96</v>
      </c>
      <c r="B350" t="s">
        <v>89</v>
      </c>
      <c r="C350">
        <v>0</v>
      </c>
      <c r="D350" t="s">
        <v>92</v>
      </c>
      <c r="E350" t="s">
        <v>43</v>
      </c>
      <c r="F350" s="6">
        <v>0.33333333333333331</v>
      </c>
      <c r="G350">
        <v>0</v>
      </c>
      <c r="H350" s="6">
        <f>FLOOR(tblPivotData[[#This Row],[Time]],Summary!$B$6/1440)</f>
        <v>0.33333333333333331</v>
      </c>
      <c r="I350" s="46">
        <f>INDEX(PeakCalc!$L$10:$L$303,MATCH(tblPivotData[[#This Row],[Time]],PeakCalc!$G$10:$G$303,0))</f>
        <v>1</v>
      </c>
    </row>
    <row r="351" spans="1:9" x14ac:dyDescent="0.25">
      <c r="A351" t="s">
        <v>96</v>
      </c>
      <c r="B351" t="s">
        <v>89</v>
      </c>
      <c r="C351">
        <v>0</v>
      </c>
      <c r="D351" t="s">
        <v>92</v>
      </c>
      <c r="E351" t="s">
        <v>43</v>
      </c>
      <c r="F351" s="6">
        <v>0.34375</v>
      </c>
      <c r="G351">
        <v>2</v>
      </c>
      <c r="H351" s="6">
        <f>FLOOR(tblPivotData[[#This Row],[Time]],Summary!$B$6/1440)</f>
        <v>0.34375</v>
      </c>
      <c r="I351" s="46">
        <f>INDEX(PeakCalc!$L$10:$L$303,MATCH(tblPivotData[[#This Row],[Time]],PeakCalc!$G$10:$G$303,0))</f>
        <v>1</v>
      </c>
    </row>
    <row r="352" spans="1:9" x14ac:dyDescent="0.25">
      <c r="A352" t="s">
        <v>96</v>
      </c>
      <c r="B352" t="s">
        <v>89</v>
      </c>
      <c r="C352">
        <v>0</v>
      </c>
      <c r="D352" t="s">
        <v>92</v>
      </c>
      <c r="E352" t="s">
        <v>43</v>
      </c>
      <c r="F352" s="6">
        <v>0.35416666666666669</v>
      </c>
      <c r="G352">
        <v>0</v>
      </c>
      <c r="H352" s="6">
        <f>FLOOR(tblPivotData[[#This Row],[Time]],Summary!$B$6/1440)</f>
        <v>0.35416666666666663</v>
      </c>
      <c r="I352" s="46">
        <f>INDEX(PeakCalc!$L$10:$L$303,MATCH(tblPivotData[[#This Row],[Time]],PeakCalc!$G$10:$G$303,0))</f>
        <v>1</v>
      </c>
    </row>
    <row r="353" spans="1:9" x14ac:dyDescent="0.25">
      <c r="A353" t="s">
        <v>96</v>
      </c>
      <c r="B353" t="s">
        <v>89</v>
      </c>
      <c r="C353">
        <v>0</v>
      </c>
      <c r="D353" t="s">
        <v>92</v>
      </c>
      <c r="E353" t="s">
        <v>43</v>
      </c>
      <c r="F353" s="6">
        <v>0.36458333333333331</v>
      </c>
      <c r="G353">
        <v>0</v>
      </c>
      <c r="H353" s="6">
        <f>FLOOR(tblPivotData[[#This Row],[Time]],Summary!$B$6/1440)</f>
        <v>0.36458333333333331</v>
      </c>
      <c r="I353" s="46">
        <f>INDEX(PeakCalc!$L$10:$L$303,MATCH(tblPivotData[[#This Row],[Time]],PeakCalc!$G$10:$G$303,0))</f>
        <v>0</v>
      </c>
    </row>
    <row r="354" spans="1:9" x14ac:dyDescent="0.25">
      <c r="A354" t="s">
        <v>96</v>
      </c>
      <c r="B354" t="s">
        <v>89</v>
      </c>
      <c r="C354">
        <v>0</v>
      </c>
      <c r="D354" t="s">
        <v>92</v>
      </c>
      <c r="E354" t="s">
        <v>43</v>
      </c>
      <c r="F354" s="6">
        <v>0.375</v>
      </c>
      <c r="G354">
        <v>2</v>
      </c>
      <c r="H354" s="6">
        <f>FLOOR(tblPivotData[[#This Row],[Time]],Summary!$B$6/1440)</f>
        <v>0.375</v>
      </c>
      <c r="I354" s="46">
        <f>INDEX(PeakCalc!$L$10:$L$303,MATCH(tblPivotData[[#This Row],[Time]],PeakCalc!$G$10:$G$303,0))</f>
        <v>0</v>
      </c>
    </row>
    <row r="355" spans="1:9" x14ac:dyDescent="0.25">
      <c r="A355" t="s">
        <v>96</v>
      </c>
      <c r="B355" t="s">
        <v>89</v>
      </c>
      <c r="C355">
        <v>0</v>
      </c>
      <c r="D355" t="s">
        <v>92</v>
      </c>
      <c r="E355" t="s">
        <v>43</v>
      </c>
      <c r="F355" s="6">
        <v>0.38541666666666669</v>
      </c>
      <c r="G355">
        <v>1</v>
      </c>
      <c r="H355" s="6">
        <f>FLOOR(tblPivotData[[#This Row],[Time]],Summary!$B$6/1440)</f>
        <v>0.38541666666666663</v>
      </c>
      <c r="I355" s="46">
        <f>INDEX(PeakCalc!$L$10:$L$303,MATCH(tblPivotData[[#This Row],[Time]],PeakCalc!$G$10:$G$303,0))</f>
        <v>0</v>
      </c>
    </row>
    <row r="356" spans="1:9" x14ac:dyDescent="0.25">
      <c r="A356" t="s">
        <v>96</v>
      </c>
      <c r="B356" t="s">
        <v>89</v>
      </c>
      <c r="C356">
        <v>0</v>
      </c>
      <c r="D356" t="s">
        <v>92</v>
      </c>
      <c r="E356" t="s">
        <v>88</v>
      </c>
      <c r="F356" s="6">
        <v>0.45833333333333331</v>
      </c>
      <c r="G356">
        <v>6</v>
      </c>
      <c r="H356" s="6">
        <f>FLOOR(tblPivotData[[#This Row],[Time]],Summary!$B$6/1440)</f>
        <v>0.45833333333333331</v>
      </c>
      <c r="I356" s="46">
        <f>INDEX(PeakCalc!$L$10:$L$303,MATCH(tblPivotData[[#This Row],[Time]],PeakCalc!$G$10:$G$303,0))</f>
        <v>0</v>
      </c>
    </row>
    <row r="357" spans="1:9" x14ac:dyDescent="0.25">
      <c r="A357" t="s">
        <v>96</v>
      </c>
      <c r="B357" t="s">
        <v>89</v>
      </c>
      <c r="C357">
        <v>0</v>
      </c>
      <c r="D357" t="s">
        <v>92</v>
      </c>
      <c r="E357" t="s">
        <v>88</v>
      </c>
      <c r="F357" s="6">
        <v>0.46875</v>
      </c>
      <c r="G357">
        <v>0</v>
      </c>
      <c r="H357" s="6">
        <f>FLOOR(tblPivotData[[#This Row],[Time]],Summary!$B$6/1440)</f>
        <v>0.46875</v>
      </c>
      <c r="I357" s="46">
        <f>INDEX(PeakCalc!$L$10:$L$303,MATCH(tblPivotData[[#This Row],[Time]],PeakCalc!$G$10:$G$303,0))</f>
        <v>0</v>
      </c>
    </row>
    <row r="358" spans="1:9" x14ac:dyDescent="0.25">
      <c r="A358" t="s">
        <v>96</v>
      </c>
      <c r="B358" t="s">
        <v>89</v>
      </c>
      <c r="C358">
        <v>0</v>
      </c>
      <c r="D358" t="s">
        <v>92</v>
      </c>
      <c r="E358" t="s">
        <v>88</v>
      </c>
      <c r="F358" s="6">
        <v>0.47916666666666669</v>
      </c>
      <c r="G358">
        <v>0</v>
      </c>
      <c r="H358" s="6">
        <f>FLOOR(tblPivotData[[#This Row],[Time]],Summary!$B$6/1440)</f>
        <v>0.47916666666666663</v>
      </c>
      <c r="I358" s="46">
        <f>INDEX(PeakCalc!$L$10:$L$303,MATCH(tblPivotData[[#This Row],[Time]],PeakCalc!$G$10:$G$303,0))</f>
        <v>0</v>
      </c>
    </row>
    <row r="359" spans="1:9" x14ac:dyDescent="0.25">
      <c r="A359" t="s">
        <v>96</v>
      </c>
      <c r="B359" t="s">
        <v>89</v>
      </c>
      <c r="C359">
        <v>0</v>
      </c>
      <c r="D359" t="s">
        <v>92</v>
      </c>
      <c r="E359" t="s">
        <v>88</v>
      </c>
      <c r="F359" s="6">
        <v>0.48958333333333331</v>
      </c>
      <c r="G359">
        <v>2</v>
      </c>
      <c r="H359" s="6">
        <f>FLOOR(tblPivotData[[#This Row],[Time]],Summary!$B$6/1440)</f>
        <v>0.48958333333333331</v>
      </c>
      <c r="I359" s="46">
        <f>INDEX(PeakCalc!$L$10:$L$303,MATCH(tblPivotData[[#This Row],[Time]],PeakCalc!$G$10:$G$303,0))</f>
        <v>0</v>
      </c>
    </row>
    <row r="360" spans="1:9" x14ac:dyDescent="0.25">
      <c r="A360" t="s">
        <v>96</v>
      </c>
      <c r="B360" t="s">
        <v>89</v>
      </c>
      <c r="C360">
        <v>0</v>
      </c>
      <c r="D360" t="s">
        <v>92</v>
      </c>
      <c r="E360" t="s">
        <v>88</v>
      </c>
      <c r="F360" s="6">
        <v>0.5</v>
      </c>
      <c r="G360">
        <v>1</v>
      </c>
      <c r="H360" s="6">
        <f>FLOOR(tblPivotData[[#This Row],[Time]],Summary!$B$6/1440)</f>
        <v>0.5</v>
      </c>
      <c r="I360" s="46">
        <f>INDEX(PeakCalc!$L$10:$L$303,MATCH(tblPivotData[[#This Row],[Time]],PeakCalc!$G$10:$G$303,0))</f>
        <v>0</v>
      </c>
    </row>
    <row r="361" spans="1:9" x14ac:dyDescent="0.25">
      <c r="A361" t="s">
        <v>96</v>
      </c>
      <c r="B361" t="s">
        <v>89</v>
      </c>
      <c r="C361">
        <v>0</v>
      </c>
      <c r="D361" t="s">
        <v>92</v>
      </c>
      <c r="E361" t="s">
        <v>88</v>
      </c>
      <c r="F361" s="6">
        <v>0.51041666666666663</v>
      </c>
      <c r="G361">
        <v>0</v>
      </c>
      <c r="H361" s="6">
        <f>FLOOR(tblPivotData[[#This Row],[Time]],Summary!$B$6/1440)</f>
        <v>0.51041666666666663</v>
      </c>
      <c r="I361" s="46">
        <f>INDEX(PeakCalc!$L$10:$L$303,MATCH(tblPivotData[[#This Row],[Time]],PeakCalc!$G$10:$G$303,0))</f>
        <v>0</v>
      </c>
    </row>
    <row r="362" spans="1:9" x14ac:dyDescent="0.25">
      <c r="A362" t="s">
        <v>96</v>
      </c>
      <c r="B362" t="s">
        <v>89</v>
      </c>
      <c r="C362">
        <v>0</v>
      </c>
      <c r="D362" t="s">
        <v>92</v>
      </c>
      <c r="E362" t="s">
        <v>88</v>
      </c>
      <c r="F362" s="6">
        <v>0.52083333333333337</v>
      </c>
      <c r="G362">
        <v>3</v>
      </c>
      <c r="H362" s="6">
        <f>FLOOR(tblPivotData[[#This Row],[Time]],Summary!$B$6/1440)</f>
        <v>0.52083333333333326</v>
      </c>
      <c r="I362" s="46">
        <f>INDEX(PeakCalc!$L$10:$L$303,MATCH(tblPivotData[[#This Row],[Time]],PeakCalc!$G$10:$G$303,0))</f>
        <v>1</v>
      </c>
    </row>
    <row r="363" spans="1:9" x14ac:dyDescent="0.25">
      <c r="A363" t="s">
        <v>96</v>
      </c>
      <c r="B363" t="s">
        <v>89</v>
      </c>
      <c r="C363">
        <v>0</v>
      </c>
      <c r="D363" t="s">
        <v>92</v>
      </c>
      <c r="E363" t="s">
        <v>88</v>
      </c>
      <c r="F363" s="6">
        <v>0.53125</v>
      </c>
      <c r="G363">
        <v>1</v>
      </c>
      <c r="H363" s="6">
        <f>FLOOR(tblPivotData[[#This Row],[Time]],Summary!$B$6/1440)</f>
        <v>0.53125</v>
      </c>
      <c r="I363" s="46">
        <f>INDEX(PeakCalc!$L$10:$L$303,MATCH(tblPivotData[[#This Row],[Time]],PeakCalc!$G$10:$G$303,0))</f>
        <v>1</v>
      </c>
    </row>
    <row r="364" spans="1:9" x14ac:dyDescent="0.25">
      <c r="A364" t="s">
        <v>96</v>
      </c>
      <c r="B364" t="s">
        <v>89</v>
      </c>
      <c r="C364">
        <v>0</v>
      </c>
      <c r="D364" t="s">
        <v>92</v>
      </c>
      <c r="E364" t="s">
        <v>88</v>
      </c>
      <c r="F364" s="6">
        <v>0.54166666666666663</v>
      </c>
      <c r="G364">
        <v>2</v>
      </c>
      <c r="H364" s="6">
        <f>FLOOR(tblPivotData[[#This Row],[Time]],Summary!$B$6/1440)</f>
        <v>0.54166666666666663</v>
      </c>
      <c r="I364" s="46">
        <f>INDEX(PeakCalc!$L$10:$L$303,MATCH(tblPivotData[[#This Row],[Time]],PeakCalc!$G$10:$G$303,0))</f>
        <v>1</v>
      </c>
    </row>
    <row r="365" spans="1:9" x14ac:dyDescent="0.25">
      <c r="A365" t="s">
        <v>96</v>
      </c>
      <c r="B365" t="s">
        <v>89</v>
      </c>
      <c r="C365">
        <v>0</v>
      </c>
      <c r="D365" t="s">
        <v>92</v>
      </c>
      <c r="E365" t="s">
        <v>88</v>
      </c>
      <c r="F365" s="6">
        <v>0.55208333333333337</v>
      </c>
      <c r="G365">
        <v>2</v>
      </c>
      <c r="H365" s="6">
        <f>FLOOR(tblPivotData[[#This Row],[Time]],Summary!$B$6/1440)</f>
        <v>0.55208333333333326</v>
      </c>
      <c r="I365" s="46">
        <f>INDEX(PeakCalc!$L$10:$L$303,MATCH(tblPivotData[[#This Row],[Time]],PeakCalc!$G$10:$G$303,0))</f>
        <v>1</v>
      </c>
    </row>
    <row r="366" spans="1:9" x14ac:dyDescent="0.25">
      <c r="A366" t="s">
        <v>96</v>
      </c>
      <c r="B366" t="s">
        <v>89</v>
      </c>
      <c r="C366">
        <v>0</v>
      </c>
      <c r="D366" t="s">
        <v>92</v>
      </c>
      <c r="E366" t="s">
        <v>88</v>
      </c>
      <c r="F366" s="6">
        <v>0.5625</v>
      </c>
      <c r="G366">
        <v>0</v>
      </c>
      <c r="H366" s="6">
        <f>FLOOR(tblPivotData[[#This Row],[Time]],Summary!$B$6/1440)</f>
        <v>0.5625</v>
      </c>
      <c r="I366" s="46">
        <f>INDEX(PeakCalc!$L$10:$L$303,MATCH(tblPivotData[[#This Row],[Time]],PeakCalc!$G$10:$G$303,0))</f>
        <v>0</v>
      </c>
    </row>
    <row r="367" spans="1:9" x14ac:dyDescent="0.25">
      <c r="A367" t="s">
        <v>96</v>
      </c>
      <c r="B367" t="s">
        <v>89</v>
      </c>
      <c r="C367">
        <v>0</v>
      </c>
      <c r="D367" t="s">
        <v>92</v>
      </c>
      <c r="E367" t="s">
        <v>88</v>
      </c>
      <c r="F367" s="6">
        <v>0.57291666666666663</v>
      </c>
      <c r="G367">
        <v>1</v>
      </c>
      <c r="H367" s="6">
        <f>FLOOR(tblPivotData[[#This Row],[Time]],Summary!$B$6/1440)</f>
        <v>0.57291666666666663</v>
      </c>
      <c r="I367" s="46">
        <f>INDEX(PeakCalc!$L$10:$L$303,MATCH(tblPivotData[[#This Row],[Time]],PeakCalc!$G$10:$G$303,0))</f>
        <v>0</v>
      </c>
    </row>
    <row r="368" spans="1:9" x14ac:dyDescent="0.25">
      <c r="A368" t="s">
        <v>96</v>
      </c>
      <c r="B368" t="s">
        <v>89</v>
      </c>
      <c r="C368">
        <v>0</v>
      </c>
      <c r="D368" t="s">
        <v>92</v>
      </c>
      <c r="E368" t="s">
        <v>44</v>
      </c>
      <c r="F368" s="6">
        <v>0.625</v>
      </c>
      <c r="G368">
        <v>2</v>
      </c>
      <c r="H368" s="6">
        <f>FLOOR(tblPivotData[[#This Row],[Time]],Summary!$B$6/1440)</f>
        <v>0.625</v>
      </c>
      <c r="I368" s="46">
        <f>INDEX(PeakCalc!$L$10:$L$303,MATCH(tblPivotData[[#This Row],[Time]],PeakCalc!$G$10:$G$303,0))</f>
        <v>0</v>
      </c>
    </row>
    <row r="369" spans="1:9" x14ac:dyDescent="0.25">
      <c r="A369" t="s">
        <v>96</v>
      </c>
      <c r="B369" t="s">
        <v>89</v>
      </c>
      <c r="C369">
        <v>0</v>
      </c>
      <c r="D369" t="s">
        <v>92</v>
      </c>
      <c r="E369" t="s">
        <v>44</v>
      </c>
      <c r="F369" s="6">
        <v>0.63541666666666663</v>
      </c>
      <c r="G369">
        <v>0</v>
      </c>
      <c r="H369" s="6">
        <f>FLOOR(tblPivotData[[#This Row],[Time]],Summary!$B$6/1440)</f>
        <v>0.63541666666666663</v>
      </c>
      <c r="I369" s="46">
        <f>INDEX(PeakCalc!$L$10:$L$303,MATCH(tblPivotData[[#This Row],[Time]],PeakCalc!$G$10:$G$303,0))</f>
        <v>0</v>
      </c>
    </row>
    <row r="370" spans="1:9" x14ac:dyDescent="0.25">
      <c r="A370" t="s">
        <v>96</v>
      </c>
      <c r="B370" t="s">
        <v>89</v>
      </c>
      <c r="C370">
        <v>0</v>
      </c>
      <c r="D370" t="s">
        <v>92</v>
      </c>
      <c r="E370" t="s">
        <v>44</v>
      </c>
      <c r="F370" s="6">
        <v>0.64583333333333337</v>
      </c>
      <c r="G370">
        <v>0</v>
      </c>
      <c r="H370" s="6">
        <f>FLOOR(tblPivotData[[#This Row],[Time]],Summary!$B$6/1440)</f>
        <v>0.64583333333333326</v>
      </c>
      <c r="I370" s="46">
        <f>INDEX(PeakCalc!$L$10:$L$303,MATCH(tblPivotData[[#This Row],[Time]],PeakCalc!$G$10:$G$303,0))</f>
        <v>0</v>
      </c>
    </row>
    <row r="371" spans="1:9" x14ac:dyDescent="0.25">
      <c r="A371" t="s">
        <v>96</v>
      </c>
      <c r="B371" t="s">
        <v>89</v>
      </c>
      <c r="C371">
        <v>0</v>
      </c>
      <c r="D371" t="s">
        <v>92</v>
      </c>
      <c r="E371" t="s">
        <v>44</v>
      </c>
      <c r="F371" s="6">
        <v>0.65625</v>
      </c>
      <c r="G371">
        <v>0</v>
      </c>
      <c r="H371" s="6">
        <f>FLOOR(tblPivotData[[#This Row],[Time]],Summary!$B$6/1440)</f>
        <v>0.65625</v>
      </c>
      <c r="I371" s="46">
        <f>INDEX(PeakCalc!$L$10:$L$303,MATCH(tblPivotData[[#This Row],[Time]],PeakCalc!$G$10:$G$303,0))</f>
        <v>0</v>
      </c>
    </row>
    <row r="372" spans="1:9" x14ac:dyDescent="0.25">
      <c r="A372" t="s">
        <v>96</v>
      </c>
      <c r="B372" t="s">
        <v>89</v>
      </c>
      <c r="C372">
        <v>0</v>
      </c>
      <c r="D372" t="s">
        <v>92</v>
      </c>
      <c r="E372" t="s">
        <v>44</v>
      </c>
      <c r="F372" s="6">
        <v>0.66666666666666663</v>
      </c>
      <c r="G372">
        <v>0</v>
      </c>
      <c r="H372" s="6">
        <f>FLOOR(tblPivotData[[#This Row],[Time]],Summary!$B$6/1440)</f>
        <v>0.66666666666666663</v>
      </c>
      <c r="I372" s="46">
        <f>INDEX(PeakCalc!$L$10:$L$303,MATCH(tblPivotData[[#This Row],[Time]],PeakCalc!$G$10:$G$303,0))</f>
        <v>0</v>
      </c>
    </row>
    <row r="373" spans="1:9" x14ac:dyDescent="0.25">
      <c r="A373" t="s">
        <v>96</v>
      </c>
      <c r="B373" t="s">
        <v>89</v>
      </c>
      <c r="C373">
        <v>0</v>
      </c>
      <c r="D373" t="s">
        <v>92</v>
      </c>
      <c r="E373" t="s">
        <v>44</v>
      </c>
      <c r="F373" s="6">
        <v>0.67708333333333337</v>
      </c>
      <c r="G373">
        <v>1</v>
      </c>
      <c r="H373" s="6">
        <f>FLOOR(tblPivotData[[#This Row],[Time]],Summary!$B$6/1440)</f>
        <v>0.67708333333333326</v>
      </c>
      <c r="I373" s="46">
        <f>INDEX(PeakCalc!$L$10:$L$303,MATCH(tblPivotData[[#This Row],[Time]],PeakCalc!$G$10:$G$303,0))</f>
        <v>0</v>
      </c>
    </row>
    <row r="374" spans="1:9" x14ac:dyDescent="0.25">
      <c r="A374" t="s">
        <v>96</v>
      </c>
      <c r="B374" t="s">
        <v>89</v>
      </c>
      <c r="C374">
        <v>0</v>
      </c>
      <c r="D374" t="s">
        <v>92</v>
      </c>
      <c r="E374" t="s">
        <v>44</v>
      </c>
      <c r="F374" s="6">
        <v>0.6875</v>
      </c>
      <c r="G374">
        <v>2</v>
      </c>
      <c r="H374" s="6">
        <f>FLOOR(tblPivotData[[#This Row],[Time]],Summary!$B$6/1440)</f>
        <v>0.6875</v>
      </c>
      <c r="I374" s="46">
        <f>INDEX(PeakCalc!$L$10:$L$303,MATCH(tblPivotData[[#This Row],[Time]],PeakCalc!$G$10:$G$303,0))</f>
        <v>1</v>
      </c>
    </row>
    <row r="375" spans="1:9" x14ac:dyDescent="0.25">
      <c r="A375" t="s">
        <v>96</v>
      </c>
      <c r="B375" t="s">
        <v>89</v>
      </c>
      <c r="C375">
        <v>0</v>
      </c>
      <c r="D375" t="s">
        <v>92</v>
      </c>
      <c r="E375" t="s">
        <v>44</v>
      </c>
      <c r="F375" s="6">
        <v>0.69791666666666663</v>
      </c>
      <c r="G375">
        <v>2</v>
      </c>
      <c r="H375" s="6">
        <f>FLOOR(tblPivotData[[#This Row],[Time]],Summary!$B$6/1440)</f>
        <v>0.69791666666666663</v>
      </c>
      <c r="I375" s="46">
        <f>INDEX(PeakCalc!$L$10:$L$303,MATCH(tblPivotData[[#This Row],[Time]],PeakCalc!$G$10:$G$303,0))</f>
        <v>1</v>
      </c>
    </row>
    <row r="376" spans="1:9" x14ac:dyDescent="0.25">
      <c r="A376" t="s">
        <v>96</v>
      </c>
      <c r="B376" t="s">
        <v>89</v>
      </c>
      <c r="C376">
        <v>0</v>
      </c>
      <c r="D376" t="s">
        <v>92</v>
      </c>
      <c r="E376" t="s">
        <v>44</v>
      </c>
      <c r="F376" s="6">
        <v>0.70833333333333337</v>
      </c>
      <c r="G376">
        <v>2</v>
      </c>
      <c r="H376" s="6">
        <f>FLOOR(tblPivotData[[#This Row],[Time]],Summary!$B$6/1440)</f>
        <v>0.70833333333333326</v>
      </c>
      <c r="I376" s="46">
        <f>INDEX(PeakCalc!$L$10:$L$303,MATCH(tblPivotData[[#This Row],[Time]],PeakCalc!$G$10:$G$303,0))</f>
        <v>1</v>
      </c>
    </row>
    <row r="377" spans="1:9" x14ac:dyDescent="0.25">
      <c r="A377" t="s">
        <v>96</v>
      </c>
      <c r="B377" t="s">
        <v>89</v>
      </c>
      <c r="C377">
        <v>0</v>
      </c>
      <c r="D377" t="s">
        <v>92</v>
      </c>
      <c r="E377" t="s">
        <v>44</v>
      </c>
      <c r="F377" s="6">
        <v>0.71875</v>
      </c>
      <c r="G377">
        <v>4</v>
      </c>
      <c r="H377" s="6">
        <f>FLOOR(tblPivotData[[#This Row],[Time]],Summary!$B$6/1440)</f>
        <v>0.71875</v>
      </c>
      <c r="I377" s="46">
        <f>INDEX(PeakCalc!$L$10:$L$303,MATCH(tblPivotData[[#This Row],[Time]],PeakCalc!$G$10:$G$303,0))</f>
        <v>1</v>
      </c>
    </row>
    <row r="378" spans="1:9" x14ac:dyDescent="0.25">
      <c r="A378" t="s">
        <v>96</v>
      </c>
      <c r="B378" t="s">
        <v>89</v>
      </c>
      <c r="C378">
        <v>0</v>
      </c>
      <c r="D378" t="s">
        <v>92</v>
      </c>
      <c r="E378" t="s">
        <v>44</v>
      </c>
      <c r="F378" s="6">
        <v>0.72916666666666663</v>
      </c>
      <c r="G378">
        <v>6</v>
      </c>
      <c r="H378" s="6">
        <f>FLOOR(tblPivotData[[#This Row],[Time]],Summary!$B$6/1440)</f>
        <v>0.72916666666666663</v>
      </c>
      <c r="I378" s="46">
        <f>INDEX(PeakCalc!$L$10:$L$303,MATCH(tblPivotData[[#This Row],[Time]],PeakCalc!$G$10:$G$303,0))</f>
        <v>0</v>
      </c>
    </row>
    <row r="379" spans="1:9" x14ac:dyDescent="0.25">
      <c r="A379" t="s">
        <v>96</v>
      </c>
      <c r="B379" t="s">
        <v>89</v>
      </c>
      <c r="C379">
        <v>0</v>
      </c>
      <c r="D379" t="s">
        <v>92</v>
      </c>
      <c r="E379" t="s">
        <v>44</v>
      </c>
      <c r="F379" s="6">
        <v>0.73958333333333337</v>
      </c>
      <c r="G379">
        <v>3</v>
      </c>
      <c r="H379" s="6">
        <f>FLOOR(tblPivotData[[#This Row],[Time]],Summary!$B$6/1440)</f>
        <v>0.73958333333333326</v>
      </c>
      <c r="I379" s="46">
        <f>INDEX(PeakCalc!$L$10:$L$303,MATCH(tblPivotData[[#This Row],[Time]],PeakCalc!$G$10:$G$303,0))</f>
        <v>0</v>
      </c>
    </row>
    <row r="380" spans="1:9" x14ac:dyDescent="0.25">
      <c r="A380" t="s">
        <v>96</v>
      </c>
      <c r="B380" t="s">
        <v>89</v>
      </c>
      <c r="C380">
        <v>0</v>
      </c>
      <c r="D380" t="s">
        <v>92</v>
      </c>
      <c r="E380" t="s">
        <v>44</v>
      </c>
      <c r="F380" s="6">
        <v>0.75</v>
      </c>
      <c r="G380">
        <v>1</v>
      </c>
      <c r="H380" s="6">
        <f>FLOOR(tblPivotData[[#This Row],[Time]],Summary!$B$6/1440)</f>
        <v>0.75</v>
      </c>
      <c r="I380" s="46">
        <f>INDEX(PeakCalc!$L$10:$L$303,MATCH(tblPivotData[[#This Row],[Time]],PeakCalc!$G$10:$G$303,0))</f>
        <v>0</v>
      </c>
    </row>
    <row r="381" spans="1:9" x14ac:dyDescent="0.25">
      <c r="A381" t="s">
        <v>96</v>
      </c>
      <c r="B381" t="s">
        <v>89</v>
      </c>
      <c r="C381">
        <v>0</v>
      </c>
      <c r="D381" t="s">
        <v>92</v>
      </c>
      <c r="E381" t="s">
        <v>44</v>
      </c>
      <c r="F381" s="6">
        <v>0.76041666666666663</v>
      </c>
      <c r="G381">
        <v>0</v>
      </c>
      <c r="H381" s="6">
        <f>FLOOR(tblPivotData[[#This Row],[Time]],Summary!$B$6/1440)</f>
        <v>0.76041666666666663</v>
      </c>
      <c r="I381" s="46">
        <f>INDEX(PeakCalc!$L$10:$L$303,MATCH(tblPivotData[[#This Row],[Time]],PeakCalc!$G$10:$G$303,0))</f>
        <v>0</v>
      </c>
    </row>
    <row r="382" spans="1:9" x14ac:dyDescent="0.25">
      <c r="A382" t="s">
        <v>96</v>
      </c>
      <c r="B382" t="s">
        <v>90</v>
      </c>
      <c r="C382">
        <v>0</v>
      </c>
      <c r="D382" t="s">
        <v>91</v>
      </c>
      <c r="E382" t="s">
        <v>43</v>
      </c>
      <c r="F382" s="6">
        <v>0.27083333333333331</v>
      </c>
      <c r="G382">
        <v>0</v>
      </c>
      <c r="H382" s="6">
        <f>FLOOR(tblPivotData[[#This Row],[Time]],Summary!$B$6/1440)</f>
        <v>0.27083333333333331</v>
      </c>
      <c r="I382" s="46">
        <f>INDEX(PeakCalc!$L$10:$L$303,MATCH(tblPivotData[[#This Row],[Time]],PeakCalc!$G$10:$G$303,0))</f>
        <v>0</v>
      </c>
    </row>
    <row r="383" spans="1:9" x14ac:dyDescent="0.25">
      <c r="A383" t="s">
        <v>96</v>
      </c>
      <c r="B383" t="s">
        <v>90</v>
      </c>
      <c r="C383">
        <v>0</v>
      </c>
      <c r="D383" t="s">
        <v>91</v>
      </c>
      <c r="E383" t="s">
        <v>43</v>
      </c>
      <c r="F383" s="6">
        <v>0.28125</v>
      </c>
      <c r="G383">
        <v>0</v>
      </c>
      <c r="H383" s="6">
        <f>FLOOR(tblPivotData[[#This Row],[Time]],Summary!$B$6/1440)</f>
        <v>0.28125</v>
      </c>
      <c r="I383" s="46">
        <f>INDEX(PeakCalc!$L$10:$L$303,MATCH(tblPivotData[[#This Row],[Time]],PeakCalc!$G$10:$G$303,0))</f>
        <v>0</v>
      </c>
    </row>
    <row r="384" spans="1:9" x14ac:dyDescent="0.25">
      <c r="A384" t="s">
        <v>96</v>
      </c>
      <c r="B384" t="s">
        <v>90</v>
      </c>
      <c r="C384">
        <v>0</v>
      </c>
      <c r="D384" t="s">
        <v>91</v>
      </c>
      <c r="E384" t="s">
        <v>43</v>
      </c>
      <c r="F384" s="6">
        <v>0.29166666666666669</v>
      </c>
      <c r="G384">
        <v>0</v>
      </c>
      <c r="H384" s="6">
        <f>FLOOR(tblPivotData[[#This Row],[Time]],Summary!$B$6/1440)</f>
        <v>0.29166666666666663</v>
      </c>
      <c r="I384" s="46">
        <f>INDEX(PeakCalc!$L$10:$L$303,MATCH(tblPivotData[[#This Row],[Time]],PeakCalc!$G$10:$G$303,0))</f>
        <v>0</v>
      </c>
    </row>
    <row r="385" spans="1:9" x14ac:dyDescent="0.25">
      <c r="A385" t="s">
        <v>96</v>
      </c>
      <c r="B385" t="s">
        <v>90</v>
      </c>
      <c r="C385">
        <v>0</v>
      </c>
      <c r="D385" t="s">
        <v>91</v>
      </c>
      <c r="E385" t="s">
        <v>43</v>
      </c>
      <c r="F385" s="6">
        <v>0.30208333333333331</v>
      </c>
      <c r="G385">
        <v>0</v>
      </c>
      <c r="H385" s="6">
        <f>FLOOR(tblPivotData[[#This Row],[Time]],Summary!$B$6/1440)</f>
        <v>0.30208333333333331</v>
      </c>
      <c r="I385" s="46">
        <f>INDEX(PeakCalc!$L$10:$L$303,MATCH(tblPivotData[[#This Row],[Time]],PeakCalc!$G$10:$G$303,0))</f>
        <v>0</v>
      </c>
    </row>
    <row r="386" spans="1:9" x14ac:dyDescent="0.25">
      <c r="A386" t="s">
        <v>96</v>
      </c>
      <c r="B386" t="s">
        <v>90</v>
      </c>
      <c r="C386">
        <v>0</v>
      </c>
      <c r="D386" t="s">
        <v>91</v>
      </c>
      <c r="E386" t="s">
        <v>43</v>
      </c>
      <c r="F386" s="6">
        <v>0.3125</v>
      </c>
      <c r="G386">
        <v>0</v>
      </c>
      <c r="H386" s="6">
        <f>FLOOR(tblPivotData[[#This Row],[Time]],Summary!$B$6/1440)</f>
        <v>0.3125</v>
      </c>
      <c r="I386" s="46">
        <f>INDEX(PeakCalc!$L$10:$L$303,MATCH(tblPivotData[[#This Row],[Time]],PeakCalc!$G$10:$G$303,0))</f>
        <v>0</v>
      </c>
    </row>
    <row r="387" spans="1:9" x14ac:dyDescent="0.25">
      <c r="A387" t="s">
        <v>96</v>
      </c>
      <c r="B387" t="s">
        <v>90</v>
      </c>
      <c r="C387">
        <v>0</v>
      </c>
      <c r="D387" t="s">
        <v>91</v>
      </c>
      <c r="E387" t="s">
        <v>43</v>
      </c>
      <c r="F387" s="6">
        <v>0.32291666666666669</v>
      </c>
      <c r="G387">
        <v>0</v>
      </c>
      <c r="H387" s="6">
        <f>FLOOR(tblPivotData[[#This Row],[Time]],Summary!$B$6/1440)</f>
        <v>0.32291666666666663</v>
      </c>
      <c r="I387" s="46">
        <f>INDEX(PeakCalc!$L$10:$L$303,MATCH(tblPivotData[[#This Row],[Time]],PeakCalc!$G$10:$G$303,0))</f>
        <v>1</v>
      </c>
    </row>
    <row r="388" spans="1:9" x14ac:dyDescent="0.25">
      <c r="A388" t="s">
        <v>96</v>
      </c>
      <c r="B388" t="s">
        <v>90</v>
      </c>
      <c r="C388">
        <v>0</v>
      </c>
      <c r="D388" t="s">
        <v>91</v>
      </c>
      <c r="E388" t="s">
        <v>43</v>
      </c>
      <c r="F388" s="6">
        <v>0.33333333333333331</v>
      </c>
      <c r="G388">
        <v>0</v>
      </c>
      <c r="H388" s="6">
        <f>FLOOR(tblPivotData[[#This Row],[Time]],Summary!$B$6/1440)</f>
        <v>0.33333333333333331</v>
      </c>
      <c r="I388" s="46">
        <f>INDEX(PeakCalc!$L$10:$L$303,MATCH(tblPivotData[[#This Row],[Time]],PeakCalc!$G$10:$G$303,0))</f>
        <v>1</v>
      </c>
    </row>
    <row r="389" spans="1:9" x14ac:dyDescent="0.25">
      <c r="A389" t="s">
        <v>96</v>
      </c>
      <c r="B389" t="s">
        <v>90</v>
      </c>
      <c r="C389">
        <v>0</v>
      </c>
      <c r="D389" t="s">
        <v>91</v>
      </c>
      <c r="E389" t="s">
        <v>43</v>
      </c>
      <c r="F389" s="6">
        <v>0.34375</v>
      </c>
      <c r="G389">
        <v>0</v>
      </c>
      <c r="H389" s="6">
        <f>FLOOR(tblPivotData[[#This Row],[Time]],Summary!$B$6/1440)</f>
        <v>0.34375</v>
      </c>
      <c r="I389" s="46">
        <f>INDEX(PeakCalc!$L$10:$L$303,MATCH(tblPivotData[[#This Row],[Time]],PeakCalc!$G$10:$G$303,0))</f>
        <v>1</v>
      </c>
    </row>
    <row r="390" spans="1:9" x14ac:dyDescent="0.25">
      <c r="A390" t="s">
        <v>96</v>
      </c>
      <c r="B390" t="s">
        <v>90</v>
      </c>
      <c r="C390">
        <v>0</v>
      </c>
      <c r="D390" t="s">
        <v>91</v>
      </c>
      <c r="E390" t="s">
        <v>43</v>
      </c>
      <c r="F390" s="6">
        <v>0.35416666666666669</v>
      </c>
      <c r="G390">
        <v>0</v>
      </c>
      <c r="H390" s="6">
        <f>FLOOR(tblPivotData[[#This Row],[Time]],Summary!$B$6/1440)</f>
        <v>0.35416666666666663</v>
      </c>
      <c r="I390" s="46">
        <f>INDEX(PeakCalc!$L$10:$L$303,MATCH(tblPivotData[[#This Row],[Time]],PeakCalc!$G$10:$G$303,0))</f>
        <v>1</v>
      </c>
    </row>
    <row r="391" spans="1:9" x14ac:dyDescent="0.25">
      <c r="A391" t="s">
        <v>96</v>
      </c>
      <c r="B391" t="s">
        <v>90</v>
      </c>
      <c r="C391">
        <v>0</v>
      </c>
      <c r="D391" t="s">
        <v>91</v>
      </c>
      <c r="E391" t="s">
        <v>43</v>
      </c>
      <c r="F391" s="6">
        <v>0.36458333333333331</v>
      </c>
      <c r="G391">
        <v>0</v>
      </c>
      <c r="H391" s="6">
        <f>FLOOR(tblPivotData[[#This Row],[Time]],Summary!$B$6/1440)</f>
        <v>0.36458333333333331</v>
      </c>
      <c r="I391" s="46">
        <f>INDEX(PeakCalc!$L$10:$L$303,MATCH(tblPivotData[[#This Row],[Time]],PeakCalc!$G$10:$G$303,0))</f>
        <v>0</v>
      </c>
    </row>
    <row r="392" spans="1:9" x14ac:dyDescent="0.25">
      <c r="A392" t="s">
        <v>96</v>
      </c>
      <c r="B392" t="s">
        <v>90</v>
      </c>
      <c r="C392">
        <v>0</v>
      </c>
      <c r="D392" t="s">
        <v>91</v>
      </c>
      <c r="E392" t="s">
        <v>43</v>
      </c>
      <c r="F392" s="6">
        <v>0.375</v>
      </c>
      <c r="G392">
        <v>0</v>
      </c>
      <c r="H392" s="6">
        <f>FLOOR(tblPivotData[[#This Row],[Time]],Summary!$B$6/1440)</f>
        <v>0.375</v>
      </c>
      <c r="I392" s="46">
        <f>INDEX(PeakCalc!$L$10:$L$303,MATCH(tblPivotData[[#This Row],[Time]],PeakCalc!$G$10:$G$303,0))</f>
        <v>0</v>
      </c>
    </row>
    <row r="393" spans="1:9" x14ac:dyDescent="0.25">
      <c r="A393" t="s">
        <v>96</v>
      </c>
      <c r="B393" t="s">
        <v>90</v>
      </c>
      <c r="C393">
        <v>0</v>
      </c>
      <c r="D393" t="s">
        <v>91</v>
      </c>
      <c r="E393" t="s">
        <v>43</v>
      </c>
      <c r="F393" s="6">
        <v>0.38541666666666669</v>
      </c>
      <c r="G393">
        <v>0</v>
      </c>
      <c r="H393" s="6">
        <f>FLOOR(tblPivotData[[#This Row],[Time]],Summary!$B$6/1440)</f>
        <v>0.38541666666666663</v>
      </c>
      <c r="I393" s="46">
        <f>INDEX(PeakCalc!$L$10:$L$303,MATCH(tblPivotData[[#This Row],[Time]],PeakCalc!$G$10:$G$303,0))</f>
        <v>0</v>
      </c>
    </row>
    <row r="394" spans="1:9" x14ac:dyDescent="0.25">
      <c r="A394" t="s">
        <v>96</v>
      </c>
      <c r="B394" t="s">
        <v>90</v>
      </c>
      <c r="C394">
        <v>0</v>
      </c>
      <c r="D394" t="s">
        <v>91</v>
      </c>
      <c r="E394" t="s">
        <v>88</v>
      </c>
      <c r="F394" s="6">
        <v>0.45833333333333331</v>
      </c>
      <c r="G394">
        <v>0</v>
      </c>
      <c r="H394" s="6">
        <f>FLOOR(tblPivotData[[#This Row],[Time]],Summary!$B$6/1440)</f>
        <v>0.45833333333333331</v>
      </c>
      <c r="I394" s="46">
        <f>INDEX(PeakCalc!$L$10:$L$303,MATCH(tblPivotData[[#This Row],[Time]],PeakCalc!$G$10:$G$303,0))</f>
        <v>0</v>
      </c>
    </row>
    <row r="395" spans="1:9" x14ac:dyDescent="0.25">
      <c r="A395" t="s">
        <v>96</v>
      </c>
      <c r="B395" t="s">
        <v>90</v>
      </c>
      <c r="C395">
        <v>0</v>
      </c>
      <c r="D395" t="s">
        <v>91</v>
      </c>
      <c r="E395" t="s">
        <v>88</v>
      </c>
      <c r="F395" s="6">
        <v>0.46875</v>
      </c>
      <c r="G395">
        <v>0</v>
      </c>
      <c r="H395" s="6">
        <f>FLOOR(tblPivotData[[#This Row],[Time]],Summary!$B$6/1440)</f>
        <v>0.46875</v>
      </c>
      <c r="I395" s="46">
        <f>INDEX(PeakCalc!$L$10:$L$303,MATCH(tblPivotData[[#This Row],[Time]],PeakCalc!$G$10:$G$303,0))</f>
        <v>0</v>
      </c>
    </row>
    <row r="396" spans="1:9" x14ac:dyDescent="0.25">
      <c r="A396" t="s">
        <v>96</v>
      </c>
      <c r="B396" t="s">
        <v>90</v>
      </c>
      <c r="C396">
        <v>0</v>
      </c>
      <c r="D396" t="s">
        <v>91</v>
      </c>
      <c r="E396" t="s">
        <v>88</v>
      </c>
      <c r="F396" s="6">
        <v>0.47916666666666669</v>
      </c>
      <c r="G396">
        <v>0</v>
      </c>
      <c r="H396" s="6">
        <f>FLOOR(tblPivotData[[#This Row],[Time]],Summary!$B$6/1440)</f>
        <v>0.47916666666666663</v>
      </c>
      <c r="I396" s="46">
        <f>INDEX(PeakCalc!$L$10:$L$303,MATCH(tblPivotData[[#This Row],[Time]],PeakCalc!$G$10:$G$303,0))</f>
        <v>0</v>
      </c>
    </row>
    <row r="397" spans="1:9" x14ac:dyDescent="0.25">
      <c r="A397" t="s">
        <v>96</v>
      </c>
      <c r="B397" t="s">
        <v>90</v>
      </c>
      <c r="C397">
        <v>0</v>
      </c>
      <c r="D397" t="s">
        <v>91</v>
      </c>
      <c r="E397" t="s">
        <v>88</v>
      </c>
      <c r="F397" s="6">
        <v>0.48958333333333331</v>
      </c>
      <c r="G397">
        <v>0</v>
      </c>
      <c r="H397" s="6">
        <f>FLOOR(tblPivotData[[#This Row],[Time]],Summary!$B$6/1440)</f>
        <v>0.48958333333333331</v>
      </c>
      <c r="I397" s="46">
        <f>INDEX(PeakCalc!$L$10:$L$303,MATCH(tblPivotData[[#This Row],[Time]],PeakCalc!$G$10:$G$303,0))</f>
        <v>0</v>
      </c>
    </row>
    <row r="398" spans="1:9" x14ac:dyDescent="0.25">
      <c r="A398" t="s">
        <v>96</v>
      </c>
      <c r="B398" t="s">
        <v>90</v>
      </c>
      <c r="C398">
        <v>0</v>
      </c>
      <c r="D398" t="s">
        <v>91</v>
      </c>
      <c r="E398" t="s">
        <v>88</v>
      </c>
      <c r="F398" s="6">
        <v>0.5</v>
      </c>
      <c r="G398">
        <v>0</v>
      </c>
      <c r="H398" s="6">
        <f>FLOOR(tblPivotData[[#This Row],[Time]],Summary!$B$6/1440)</f>
        <v>0.5</v>
      </c>
      <c r="I398" s="46">
        <f>INDEX(PeakCalc!$L$10:$L$303,MATCH(tblPivotData[[#This Row],[Time]],PeakCalc!$G$10:$G$303,0))</f>
        <v>0</v>
      </c>
    </row>
    <row r="399" spans="1:9" x14ac:dyDescent="0.25">
      <c r="A399" t="s">
        <v>96</v>
      </c>
      <c r="B399" t="s">
        <v>90</v>
      </c>
      <c r="C399">
        <v>0</v>
      </c>
      <c r="D399" t="s">
        <v>91</v>
      </c>
      <c r="E399" t="s">
        <v>88</v>
      </c>
      <c r="F399" s="6">
        <v>0.51041666666666663</v>
      </c>
      <c r="G399">
        <v>0</v>
      </c>
      <c r="H399" s="6">
        <f>FLOOR(tblPivotData[[#This Row],[Time]],Summary!$B$6/1440)</f>
        <v>0.51041666666666663</v>
      </c>
      <c r="I399" s="46">
        <f>INDEX(PeakCalc!$L$10:$L$303,MATCH(tblPivotData[[#This Row],[Time]],PeakCalc!$G$10:$G$303,0))</f>
        <v>0</v>
      </c>
    </row>
    <row r="400" spans="1:9" x14ac:dyDescent="0.25">
      <c r="A400" t="s">
        <v>96</v>
      </c>
      <c r="B400" t="s">
        <v>90</v>
      </c>
      <c r="C400">
        <v>0</v>
      </c>
      <c r="D400" t="s">
        <v>91</v>
      </c>
      <c r="E400" t="s">
        <v>88</v>
      </c>
      <c r="F400" s="6">
        <v>0.52083333333333337</v>
      </c>
      <c r="G400">
        <v>0</v>
      </c>
      <c r="H400" s="6">
        <f>FLOOR(tblPivotData[[#This Row],[Time]],Summary!$B$6/1440)</f>
        <v>0.52083333333333326</v>
      </c>
      <c r="I400" s="46">
        <f>INDEX(PeakCalc!$L$10:$L$303,MATCH(tblPivotData[[#This Row],[Time]],PeakCalc!$G$10:$G$303,0))</f>
        <v>1</v>
      </c>
    </row>
    <row r="401" spans="1:9" x14ac:dyDescent="0.25">
      <c r="A401" t="s">
        <v>96</v>
      </c>
      <c r="B401" t="s">
        <v>90</v>
      </c>
      <c r="C401">
        <v>0</v>
      </c>
      <c r="D401" t="s">
        <v>91</v>
      </c>
      <c r="E401" t="s">
        <v>88</v>
      </c>
      <c r="F401" s="6">
        <v>0.53125</v>
      </c>
      <c r="G401">
        <v>0</v>
      </c>
      <c r="H401" s="6">
        <f>FLOOR(tblPivotData[[#This Row],[Time]],Summary!$B$6/1440)</f>
        <v>0.53125</v>
      </c>
      <c r="I401" s="46">
        <f>INDEX(PeakCalc!$L$10:$L$303,MATCH(tblPivotData[[#This Row],[Time]],PeakCalc!$G$10:$G$303,0))</f>
        <v>1</v>
      </c>
    </row>
    <row r="402" spans="1:9" x14ac:dyDescent="0.25">
      <c r="A402" t="s">
        <v>96</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1</v>
      </c>
    </row>
    <row r="403" spans="1:9" x14ac:dyDescent="0.25">
      <c r="A403" t="s">
        <v>96</v>
      </c>
      <c r="B403" t="s">
        <v>90</v>
      </c>
      <c r="C403">
        <v>0</v>
      </c>
      <c r="D403" t="s">
        <v>91</v>
      </c>
      <c r="E403" t="s">
        <v>88</v>
      </c>
      <c r="F403" s="6">
        <v>0.55208333333333337</v>
      </c>
      <c r="G403">
        <v>0</v>
      </c>
      <c r="H403" s="6">
        <f>FLOOR(tblPivotData[[#This Row],[Time]],Summary!$B$6/1440)</f>
        <v>0.55208333333333326</v>
      </c>
      <c r="I403" s="46">
        <f>INDEX(PeakCalc!$L$10:$L$303,MATCH(tblPivotData[[#This Row],[Time]],PeakCalc!$G$10:$G$303,0))</f>
        <v>1</v>
      </c>
    </row>
    <row r="404" spans="1:9" x14ac:dyDescent="0.25">
      <c r="A404" t="s">
        <v>96</v>
      </c>
      <c r="B404" t="s">
        <v>90</v>
      </c>
      <c r="C404">
        <v>0</v>
      </c>
      <c r="D404" t="s">
        <v>91</v>
      </c>
      <c r="E404" t="s">
        <v>88</v>
      </c>
      <c r="F404" s="6">
        <v>0.5625</v>
      </c>
      <c r="G404">
        <v>0</v>
      </c>
      <c r="H404" s="6">
        <f>FLOOR(tblPivotData[[#This Row],[Time]],Summary!$B$6/1440)</f>
        <v>0.5625</v>
      </c>
      <c r="I404" s="46">
        <f>INDEX(PeakCalc!$L$10:$L$303,MATCH(tblPivotData[[#This Row],[Time]],PeakCalc!$G$10:$G$303,0))</f>
        <v>0</v>
      </c>
    </row>
    <row r="405" spans="1:9" x14ac:dyDescent="0.25">
      <c r="A405" t="s">
        <v>96</v>
      </c>
      <c r="B405" t="s">
        <v>90</v>
      </c>
      <c r="C405">
        <v>0</v>
      </c>
      <c r="D405" t="s">
        <v>91</v>
      </c>
      <c r="E405" t="s">
        <v>88</v>
      </c>
      <c r="F405" s="6">
        <v>0.57291666666666663</v>
      </c>
      <c r="G405">
        <v>0</v>
      </c>
      <c r="H405" s="6">
        <f>FLOOR(tblPivotData[[#This Row],[Time]],Summary!$B$6/1440)</f>
        <v>0.57291666666666663</v>
      </c>
      <c r="I405" s="46">
        <f>INDEX(PeakCalc!$L$10:$L$303,MATCH(tblPivotData[[#This Row],[Time]],PeakCalc!$G$10:$G$303,0))</f>
        <v>0</v>
      </c>
    </row>
    <row r="406" spans="1:9" x14ac:dyDescent="0.25">
      <c r="A406" t="s">
        <v>96</v>
      </c>
      <c r="B406" t="s">
        <v>90</v>
      </c>
      <c r="C406">
        <v>0</v>
      </c>
      <c r="D406" t="s">
        <v>91</v>
      </c>
      <c r="E406" t="s">
        <v>44</v>
      </c>
      <c r="F406" s="6">
        <v>0.625</v>
      </c>
      <c r="G406">
        <v>0</v>
      </c>
      <c r="H406" s="6">
        <f>FLOOR(tblPivotData[[#This Row],[Time]],Summary!$B$6/1440)</f>
        <v>0.625</v>
      </c>
      <c r="I406" s="46">
        <f>INDEX(PeakCalc!$L$10:$L$303,MATCH(tblPivotData[[#This Row],[Time]],PeakCalc!$G$10:$G$303,0))</f>
        <v>0</v>
      </c>
    </row>
    <row r="407" spans="1:9" x14ac:dyDescent="0.25">
      <c r="A407" t="s">
        <v>96</v>
      </c>
      <c r="B407" t="s">
        <v>90</v>
      </c>
      <c r="C407">
        <v>0</v>
      </c>
      <c r="D407" t="s">
        <v>91</v>
      </c>
      <c r="E407" t="s">
        <v>44</v>
      </c>
      <c r="F407" s="6">
        <v>0.63541666666666663</v>
      </c>
      <c r="G407">
        <v>0</v>
      </c>
      <c r="H407" s="6">
        <f>FLOOR(tblPivotData[[#This Row],[Time]],Summary!$B$6/1440)</f>
        <v>0.63541666666666663</v>
      </c>
      <c r="I407" s="46">
        <f>INDEX(PeakCalc!$L$10:$L$303,MATCH(tblPivotData[[#This Row],[Time]],PeakCalc!$G$10:$G$303,0))</f>
        <v>0</v>
      </c>
    </row>
    <row r="408" spans="1:9" x14ac:dyDescent="0.25">
      <c r="A408" t="s">
        <v>96</v>
      </c>
      <c r="B408" t="s">
        <v>90</v>
      </c>
      <c r="C408">
        <v>0</v>
      </c>
      <c r="D408" t="s">
        <v>91</v>
      </c>
      <c r="E408" t="s">
        <v>44</v>
      </c>
      <c r="F408" s="6">
        <v>0.64583333333333337</v>
      </c>
      <c r="G408">
        <v>0</v>
      </c>
      <c r="H408" s="6">
        <f>FLOOR(tblPivotData[[#This Row],[Time]],Summary!$B$6/1440)</f>
        <v>0.64583333333333326</v>
      </c>
      <c r="I408" s="46">
        <f>INDEX(PeakCalc!$L$10:$L$303,MATCH(tblPivotData[[#This Row],[Time]],PeakCalc!$G$10:$G$303,0))</f>
        <v>0</v>
      </c>
    </row>
    <row r="409" spans="1:9" x14ac:dyDescent="0.25">
      <c r="A409" t="s">
        <v>96</v>
      </c>
      <c r="B409" t="s">
        <v>90</v>
      </c>
      <c r="C409">
        <v>0</v>
      </c>
      <c r="D409" t="s">
        <v>91</v>
      </c>
      <c r="E409" t="s">
        <v>44</v>
      </c>
      <c r="F409" s="6">
        <v>0.65625</v>
      </c>
      <c r="G409">
        <v>0</v>
      </c>
      <c r="H409" s="6">
        <f>FLOOR(tblPivotData[[#This Row],[Time]],Summary!$B$6/1440)</f>
        <v>0.65625</v>
      </c>
      <c r="I409" s="46">
        <f>INDEX(PeakCalc!$L$10:$L$303,MATCH(tblPivotData[[#This Row],[Time]],PeakCalc!$G$10:$G$303,0))</f>
        <v>0</v>
      </c>
    </row>
    <row r="410" spans="1:9" x14ac:dyDescent="0.25">
      <c r="A410" t="s">
        <v>96</v>
      </c>
      <c r="B410" t="s">
        <v>90</v>
      </c>
      <c r="C410">
        <v>0</v>
      </c>
      <c r="D410" t="s">
        <v>91</v>
      </c>
      <c r="E410" t="s">
        <v>44</v>
      </c>
      <c r="F410" s="6">
        <v>0.66666666666666663</v>
      </c>
      <c r="G410">
        <v>0</v>
      </c>
      <c r="H410" s="6">
        <f>FLOOR(tblPivotData[[#This Row],[Time]],Summary!$B$6/1440)</f>
        <v>0.66666666666666663</v>
      </c>
      <c r="I410" s="46">
        <f>INDEX(PeakCalc!$L$10:$L$303,MATCH(tblPivotData[[#This Row],[Time]],PeakCalc!$G$10:$G$303,0))</f>
        <v>0</v>
      </c>
    </row>
    <row r="411" spans="1:9" x14ac:dyDescent="0.25">
      <c r="A411" t="s">
        <v>96</v>
      </c>
      <c r="B411" t="s">
        <v>90</v>
      </c>
      <c r="C411">
        <v>0</v>
      </c>
      <c r="D411" t="s">
        <v>91</v>
      </c>
      <c r="E411" t="s">
        <v>44</v>
      </c>
      <c r="F411" s="6">
        <v>0.67708333333333337</v>
      </c>
      <c r="G411">
        <v>0</v>
      </c>
      <c r="H411" s="6">
        <f>FLOOR(tblPivotData[[#This Row],[Time]],Summary!$B$6/1440)</f>
        <v>0.67708333333333326</v>
      </c>
      <c r="I411" s="46">
        <f>INDEX(PeakCalc!$L$10:$L$303,MATCH(tblPivotData[[#This Row],[Time]],PeakCalc!$G$10:$G$303,0))</f>
        <v>0</v>
      </c>
    </row>
    <row r="412" spans="1:9" x14ac:dyDescent="0.25">
      <c r="A412" t="s">
        <v>96</v>
      </c>
      <c r="B412" t="s">
        <v>90</v>
      </c>
      <c r="C412">
        <v>0</v>
      </c>
      <c r="D412" t="s">
        <v>91</v>
      </c>
      <c r="E412" t="s">
        <v>44</v>
      </c>
      <c r="F412" s="6">
        <v>0.6875</v>
      </c>
      <c r="G412">
        <v>0</v>
      </c>
      <c r="H412" s="6">
        <f>FLOOR(tblPivotData[[#This Row],[Time]],Summary!$B$6/1440)</f>
        <v>0.6875</v>
      </c>
      <c r="I412" s="46">
        <f>INDEX(PeakCalc!$L$10:$L$303,MATCH(tblPivotData[[#This Row],[Time]],PeakCalc!$G$10:$G$303,0))</f>
        <v>1</v>
      </c>
    </row>
    <row r="413" spans="1:9" x14ac:dyDescent="0.25">
      <c r="A413" t="s">
        <v>96</v>
      </c>
      <c r="B413" t="s">
        <v>90</v>
      </c>
      <c r="C413">
        <v>0</v>
      </c>
      <c r="D413" t="s">
        <v>91</v>
      </c>
      <c r="E413" t="s">
        <v>44</v>
      </c>
      <c r="F413" s="6">
        <v>0.69791666666666663</v>
      </c>
      <c r="G413">
        <v>0</v>
      </c>
      <c r="H413" s="6">
        <f>FLOOR(tblPivotData[[#This Row],[Time]],Summary!$B$6/1440)</f>
        <v>0.69791666666666663</v>
      </c>
      <c r="I413" s="46">
        <f>INDEX(PeakCalc!$L$10:$L$303,MATCH(tblPivotData[[#This Row],[Time]],PeakCalc!$G$10:$G$303,0))</f>
        <v>1</v>
      </c>
    </row>
    <row r="414" spans="1:9" x14ac:dyDescent="0.25">
      <c r="A414" t="s">
        <v>96</v>
      </c>
      <c r="B414" t="s">
        <v>90</v>
      </c>
      <c r="C414">
        <v>0</v>
      </c>
      <c r="D414" t="s">
        <v>91</v>
      </c>
      <c r="E414" t="s">
        <v>44</v>
      </c>
      <c r="F414" s="6">
        <v>0.70833333333333337</v>
      </c>
      <c r="G414">
        <v>0</v>
      </c>
      <c r="H414" s="6">
        <f>FLOOR(tblPivotData[[#This Row],[Time]],Summary!$B$6/1440)</f>
        <v>0.70833333333333326</v>
      </c>
      <c r="I414" s="46">
        <f>INDEX(PeakCalc!$L$10:$L$303,MATCH(tblPivotData[[#This Row],[Time]],PeakCalc!$G$10:$G$303,0))</f>
        <v>1</v>
      </c>
    </row>
    <row r="415" spans="1:9" x14ac:dyDescent="0.25">
      <c r="A415" t="s">
        <v>96</v>
      </c>
      <c r="B415" t="s">
        <v>90</v>
      </c>
      <c r="C415">
        <v>0</v>
      </c>
      <c r="D415" t="s">
        <v>91</v>
      </c>
      <c r="E415" t="s">
        <v>44</v>
      </c>
      <c r="F415" s="6">
        <v>0.71875</v>
      </c>
      <c r="G415">
        <v>0</v>
      </c>
      <c r="H415" s="6">
        <f>FLOOR(tblPivotData[[#This Row],[Time]],Summary!$B$6/1440)</f>
        <v>0.71875</v>
      </c>
      <c r="I415" s="46">
        <f>INDEX(PeakCalc!$L$10:$L$303,MATCH(tblPivotData[[#This Row],[Time]],PeakCalc!$G$10:$G$303,0))</f>
        <v>1</v>
      </c>
    </row>
    <row r="416" spans="1:9" x14ac:dyDescent="0.25">
      <c r="A416" t="s">
        <v>96</v>
      </c>
      <c r="B416" t="s">
        <v>90</v>
      </c>
      <c r="C416">
        <v>0</v>
      </c>
      <c r="D416" t="s">
        <v>91</v>
      </c>
      <c r="E416" t="s">
        <v>44</v>
      </c>
      <c r="F416" s="6">
        <v>0.72916666666666663</v>
      </c>
      <c r="G416">
        <v>0</v>
      </c>
      <c r="H416" s="6">
        <f>FLOOR(tblPivotData[[#This Row],[Time]],Summary!$B$6/1440)</f>
        <v>0.72916666666666663</v>
      </c>
      <c r="I416" s="46">
        <f>INDEX(PeakCalc!$L$10:$L$303,MATCH(tblPivotData[[#This Row],[Time]],PeakCalc!$G$10:$G$303,0))</f>
        <v>0</v>
      </c>
    </row>
    <row r="417" spans="1:9" x14ac:dyDescent="0.25">
      <c r="A417" t="s">
        <v>96</v>
      </c>
      <c r="B417" t="s">
        <v>90</v>
      </c>
      <c r="C417">
        <v>0</v>
      </c>
      <c r="D417" t="s">
        <v>91</v>
      </c>
      <c r="E417" t="s">
        <v>44</v>
      </c>
      <c r="F417" s="6">
        <v>0.73958333333333337</v>
      </c>
      <c r="G417">
        <v>0</v>
      </c>
      <c r="H417" s="6">
        <f>FLOOR(tblPivotData[[#This Row],[Time]],Summary!$B$6/1440)</f>
        <v>0.73958333333333326</v>
      </c>
      <c r="I417" s="46">
        <f>INDEX(PeakCalc!$L$10:$L$303,MATCH(tblPivotData[[#This Row],[Time]],PeakCalc!$G$10:$G$303,0))</f>
        <v>0</v>
      </c>
    </row>
    <row r="418" spans="1:9" x14ac:dyDescent="0.25">
      <c r="A418" t="s">
        <v>96</v>
      </c>
      <c r="B418" t="s">
        <v>90</v>
      </c>
      <c r="C418">
        <v>0</v>
      </c>
      <c r="D418" t="s">
        <v>91</v>
      </c>
      <c r="E418" t="s">
        <v>44</v>
      </c>
      <c r="F418" s="6">
        <v>0.75</v>
      </c>
      <c r="G418">
        <v>0</v>
      </c>
      <c r="H418" s="6">
        <f>FLOOR(tblPivotData[[#This Row],[Time]],Summary!$B$6/1440)</f>
        <v>0.75</v>
      </c>
      <c r="I418" s="46">
        <f>INDEX(PeakCalc!$L$10:$L$303,MATCH(tblPivotData[[#This Row],[Time]],PeakCalc!$G$10:$G$303,0))</f>
        <v>0</v>
      </c>
    </row>
    <row r="419" spans="1:9" x14ac:dyDescent="0.25">
      <c r="A419" t="s">
        <v>96</v>
      </c>
      <c r="B419" t="s">
        <v>90</v>
      </c>
      <c r="C419">
        <v>0</v>
      </c>
      <c r="D419" t="s">
        <v>91</v>
      </c>
      <c r="E419" t="s">
        <v>44</v>
      </c>
      <c r="F419" s="6">
        <v>0.76041666666666663</v>
      </c>
      <c r="G419">
        <v>0</v>
      </c>
      <c r="H419" s="6">
        <f>FLOOR(tblPivotData[[#This Row],[Time]],Summary!$B$6/1440)</f>
        <v>0.76041666666666663</v>
      </c>
      <c r="I419" s="46">
        <f>INDEX(PeakCalc!$L$10:$L$303,MATCH(tblPivotData[[#This Row],[Time]],PeakCalc!$G$10:$G$303,0))</f>
        <v>0</v>
      </c>
    </row>
    <row r="420" spans="1:9" x14ac:dyDescent="0.25">
      <c r="A420" t="s">
        <v>96</v>
      </c>
      <c r="B420" t="s">
        <v>90</v>
      </c>
      <c r="C420">
        <v>0</v>
      </c>
      <c r="D420" t="s">
        <v>92</v>
      </c>
      <c r="E420" t="s">
        <v>43</v>
      </c>
      <c r="F420" s="6">
        <v>0.27083333333333331</v>
      </c>
      <c r="G420">
        <v>2</v>
      </c>
      <c r="H420" s="6">
        <f>FLOOR(tblPivotData[[#This Row],[Time]],Summary!$B$6/1440)</f>
        <v>0.27083333333333331</v>
      </c>
      <c r="I420" s="46">
        <f>INDEX(PeakCalc!$L$10:$L$303,MATCH(tblPivotData[[#This Row],[Time]],PeakCalc!$G$10:$G$303,0))</f>
        <v>0</v>
      </c>
    </row>
    <row r="421" spans="1:9" x14ac:dyDescent="0.25">
      <c r="A421" t="s">
        <v>96</v>
      </c>
      <c r="B421" t="s">
        <v>90</v>
      </c>
      <c r="C421">
        <v>0</v>
      </c>
      <c r="D421" t="s">
        <v>92</v>
      </c>
      <c r="E421" t="s">
        <v>43</v>
      </c>
      <c r="F421" s="6">
        <v>0.28125</v>
      </c>
      <c r="G421">
        <v>0</v>
      </c>
      <c r="H421" s="6">
        <f>FLOOR(tblPivotData[[#This Row],[Time]],Summary!$B$6/1440)</f>
        <v>0.28125</v>
      </c>
      <c r="I421" s="46">
        <f>INDEX(PeakCalc!$L$10:$L$303,MATCH(tblPivotData[[#This Row],[Time]],PeakCalc!$G$10:$G$303,0))</f>
        <v>0</v>
      </c>
    </row>
    <row r="422" spans="1:9" x14ac:dyDescent="0.25">
      <c r="A422" t="s">
        <v>96</v>
      </c>
      <c r="B422" t="s">
        <v>90</v>
      </c>
      <c r="C422">
        <v>0</v>
      </c>
      <c r="D422" t="s">
        <v>92</v>
      </c>
      <c r="E422" t="s">
        <v>43</v>
      </c>
      <c r="F422" s="6">
        <v>0.29166666666666669</v>
      </c>
      <c r="G422">
        <v>2</v>
      </c>
      <c r="H422" s="6">
        <f>FLOOR(tblPivotData[[#This Row],[Time]],Summary!$B$6/1440)</f>
        <v>0.29166666666666663</v>
      </c>
      <c r="I422" s="46">
        <f>INDEX(PeakCalc!$L$10:$L$303,MATCH(tblPivotData[[#This Row],[Time]],PeakCalc!$G$10:$G$303,0))</f>
        <v>0</v>
      </c>
    </row>
    <row r="423" spans="1:9" x14ac:dyDescent="0.25">
      <c r="A423" t="s">
        <v>96</v>
      </c>
      <c r="B423" t="s">
        <v>90</v>
      </c>
      <c r="C423">
        <v>0</v>
      </c>
      <c r="D423" t="s">
        <v>92</v>
      </c>
      <c r="E423" t="s">
        <v>43</v>
      </c>
      <c r="F423" s="6">
        <v>0.30208333333333331</v>
      </c>
      <c r="G423">
        <v>0</v>
      </c>
      <c r="H423" s="6">
        <f>FLOOR(tblPivotData[[#This Row],[Time]],Summary!$B$6/1440)</f>
        <v>0.30208333333333331</v>
      </c>
      <c r="I423" s="46">
        <f>INDEX(PeakCalc!$L$10:$L$303,MATCH(tblPivotData[[#This Row],[Time]],PeakCalc!$G$10:$G$303,0))</f>
        <v>0</v>
      </c>
    </row>
    <row r="424" spans="1:9" x14ac:dyDescent="0.25">
      <c r="A424" t="s">
        <v>96</v>
      </c>
      <c r="B424" t="s">
        <v>90</v>
      </c>
      <c r="C424">
        <v>0</v>
      </c>
      <c r="D424" t="s">
        <v>92</v>
      </c>
      <c r="E424" t="s">
        <v>43</v>
      </c>
      <c r="F424" s="6">
        <v>0.3125</v>
      </c>
      <c r="G424">
        <v>1</v>
      </c>
      <c r="H424" s="6">
        <f>FLOOR(tblPivotData[[#This Row],[Time]],Summary!$B$6/1440)</f>
        <v>0.3125</v>
      </c>
      <c r="I424" s="46">
        <f>INDEX(PeakCalc!$L$10:$L$303,MATCH(tblPivotData[[#This Row],[Time]],PeakCalc!$G$10:$G$303,0))</f>
        <v>0</v>
      </c>
    </row>
    <row r="425" spans="1:9" x14ac:dyDescent="0.25">
      <c r="A425" t="s">
        <v>96</v>
      </c>
      <c r="B425" t="s">
        <v>90</v>
      </c>
      <c r="C425">
        <v>0</v>
      </c>
      <c r="D425" t="s">
        <v>92</v>
      </c>
      <c r="E425" t="s">
        <v>43</v>
      </c>
      <c r="F425" s="6">
        <v>0.32291666666666669</v>
      </c>
      <c r="G425">
        <v>0</v>
      </c>
      <c r="H425" s="6">
        <f>FLOOR(tblPivotData[[#This Row],[Time]],Summary!$B$6/1440)</f>
        <v>0.32291666666666663</v>
      </c>
      <c r="I425" s="46">
        <f>INDEX(PeakCalc!$L$10:$L$303,MATCH(tblPivotData[[#This Row],[Time]],PeakCalc!$G$10:$G$303,0))</f>
        <v>1</v>
      </c>
    </row>
    <row r="426" spans="1:9" x14ac:dyDescent="0.25">
      <c r="A426" t="s">
        <v>96</v>
      </c>
      <c r="B426" t="s">
        <v>90</v>
      </c>
      <c r="C426">
        <v>0</v>
      </c>
      <c r="D426" t="s">
        <v>92</v>
      </c>
      <c r="E426" t="s">
        <v>43</v>
      </c>
      <c r="F426" s="6">
        <v>0.33333333333333331</v>
      </c>
      <c r="G426">
        <v>0</v>
      </c>
      <c r="H426" s="6">
        <f>FLOOR(tblPivotData[[#This Row],[Time]],Summary!$B$6/1440)</f>
        <v>0.33333333333333331</v>
      </c>
      <c r="I426" s="46">
        <f>INDEX(PeakCalc!$L$10:$L$303,MATCH(tblPivotData[[#This Row],[Time]],PeakCalc!$G$10:$G$303,0))</f>
        <v>1</v>
      </c>
    </row>
    <row r="427" spans="1:9" x14ac:dyDescent="0.25">
      <c r="A427" t="s">
        <v>96</v>
      </c>
      <c r="B427" t="s">
        <v>90</v>
      </c>
      <c r="C427">
        <v>0</v>
      </c>
      <c r="D427" t="s">
        <v>92</v>
      </c>
      <c r="E427" t="s">
        <v>43</v>
      </c>
      <c r="F427" s="6">
        <v>0.34375</v>
      </c>
      <c r="G427">
        <v>0</v>
      </c>
      <c r="H427" s="6">
        <f>FLOOR(tblPivotData[[#This Row],[Time]],Summary!$B$6/1440)</f>
        <v>0.34375</v>
      </c>
      <c r="I427" s="46">
        <f>INDEX(PeakCalc!$L$10:$L$303,MATCH(tblPivotData[[#This Row],[Time]],PeakCalc!$G$10:$G$303,0))</f>
        <v>1</v>
      </c>
    </row>
    <row r="428" spans="1:9" x14ac:dyDescent="0.25">
      <c r="A428" t="s">
        <v>96</v>
      </c>
      <c r="B428" t="s">
        <v>90</v>
      </c>
      <c r="C428">
        <v>0</v>
      </c>
      <c r="D428" t="s">
        <v>92</v>
      </c>
      <c r="E428" t="s">
        <v>43</v>
      </c>
      <c r="F428" s="6">
        <v>0.35416666666666669</v>
      </c>
      <c r="G428">
        <v>3</v>
      </c>
      <c r="H428" s="6">
        <f>FLOOR(tblPivotData[[#This Row],[Time]],Summary!$B$6/1440)</f>
        <v>0.35416666666666663</v>
      </c>
      <c r="I428" s="46">
        <f>INDEX(PeakCalc!$L$10:$L$303,MATCH(tblPivotData[[#This Row],[Time]],PeakCalc!$G$10:$G$303,0))</f>
        <v>1</v>
      </c>
    </row>
    <row r="429" spans="1:9" x14ac:dyDescent="0.25">
      <c r="A429" t="s">
        <v>96</v>
      </c>
      <c r="B429" t="s">
        <v>90</v>
      </c>
      <c r="C429">
        <v>0</v>
      </c>
      <c r="D429" t="s">
        <v>92</v>
      </c>
      <c r="E429" t="s">
        <v>43</v>
      </c>
      <c r="F429" s="6">
        <v>0.36458333333333331</v>
      </c>
      <c r="G429">
        <v>2</v>
      </c>
      <c r="H429" s="6">
        <f>FLOOR(tblPivotData[[#This Row],[Time]],Summary!$B$6/1440)</f>
        <v>0.36458333333333331</v>
      </c>
      <c r="I429" s="46">
        <f>INDEX(PeakCalc!$L$10:$L$303,MATCH(tblPivotData[[#This Row],[Time]],PeakCalc!$G$10:$G$303,0))</f>
        <v>0</v>
      </c>
    </row>
    <row r="430" spans="1:9" x14ac:dyDescent="0.25">
      <c r="A430" t="s">
        <v>96</v>
      </c>
      <c r="B430" t="s">
        <v>90</v>
      </c>
      <c r="C430">
        <v>0</v>
      </c>
      <c r="D430" t="s">
        <v>92</v>
      </c>
      <c r="E430" t="s">
        <v>43</v>
      </c>
      <c r="F430" s="6">
        <v>0.375</v>
      </c>
      <c r="G430">
        <v>0</v>
      </c>
      <c r="H430" s="6">
        <f>FLOOR(tblPivotData[[#This Row],[Time]],Summary!$B$6/1440)</f>
        <v>0.375</v>
      </c>
      <c r="I430" s="46">
        <f>INDEX(PeakCalc!$L$10:$L$303,MATCH(tblPivotData[[#This Row],[Time]],PeakCalc!$G$10:$G$303,0))</f>
        <v>0</v>
      </c>
    </row>
    <row r="431" spans="1:9" x14ac:dyDescent="0.25">
      <c r="A431" t="s">
        <v>96</v>
      </c>
      <c r="B431" t="s">
        <v>90</v>
      </c>
      <c r="C431">
        <v>0</v>
      </c>
      <c r="D431" t="s">
        <v>92</v>
      </c>
      <c r="E431" t="s">
        <v>43</v>
      </c>
      <c r="F431" s="6">
        <v>0.38541666666666669</v>
      </c>
      <c r="G431">
        <v>4</v>
      </c>
      <c r="H431" s="6">
        <f>FLOOR(tblPivotData[[#This Row],[Time]],Summary!$B$6/1440)</f>
        <v>0.38541666666666663</v>
      </c>
      <c r="I431" s="46">
        <f>INDEX(PeakCalc!$L$10:$L$303,MATCH(tblPivotData[[#This Row],[Time]],PeakCalc!$G$10:$G$303,0))</f>
        <v>0</v>
      </c>
    </row>
    <row r="432" spans="1:9" x14ac:dyDescent="0.25">
      <c r="A432" t="s">
        <v>96</v>
      </c>
      <c r="B432" t="s">
        <v>90</v>
      </c>
      <c r="C432">
        <v>0</v>
      </c>
      <c r="D432" t="s">
        <v>92</v>
      </c>
      <c r="E432" t="s">
        <v>88</v>
      </c>
      <c r="F432" s="6">
        <v>0.45833333333333331</v>
      </c>
      <c r="G432">
        <v>1</v>
      </c>
      <c r="H432" s="6">
        <f>FLOOR(tblPivotData[[#This Row],[Time]],Summary!$B$6/1440)</f>
        <v>0.45833333333333331</v>
      </c>
      <c r="I432" s="46">
        <f>INDEX(PeakCalc!$L$10:$L$303,MATCH(tblPivotData[[#This Row],[Time]],PeakCalc!$G$10:$G$303,0))</f>
        <v>0</v>
      </c>
    </row>
    <row r="433" spans="1:9" x14ac:dyDescent="0.25">
      <c r="A433" t="s">
        <v>96</v>
      </c>
      <c r="B433" t="s">
        <v>90</v>
      </c>
      <c r="C433">
        <v>0</v>
      </c>
      <c r="D433" t="s">
        <v>92</v>
      </c>
      <c r="E433" t="s">
        <v>88</v>
      </c>
      <c r="F433" s="6">
        <v>0.46875</v>
      </c>
      <c r="G433">
        <v>0</v>
      </c>
      <c r="H433" s="6">
        <f>FLOOR(tblPivotData[[#This Row],[Time]],Summary!$B$6/1440)</f>
        <v>0.46875</v>
      </c>
      <c r="I433" s="46">
        <f>INDEX(PeakCalc!$L$10:$L$303,MATCH(tblPivotData[[#This Row],[Time]],PeakCalc!$G$10:$G$303,0))</f>
        <v>0</v>
      </c>
    </row>
    <row r="434" spans="1:9" x14ac:dyDescent="0.25">
      <c r="A434" t="s">
        <v>96</v>
      </c>
      <c r="B434" t="s">
        <v>90</v>
      </c>
      <c r="C434">
        <v>0</v>
      </c>
      <c r="D434" t="s">
        <v>92</v>
      </c>
      <c r="E434" t="s">
        <v>88</v>
      </c>
      <c r="F434" s="6">
        <v>0.47916666666666669</v>
      </c>
      <c r="G434">
        <v>1</v>
      </c>
      <c r="H434" s="6">
        <f>FLOOR(tblPivotData[[#This Row],[Time]],Summary!$B$6/1440)</f>
        <v>0.47916666666666663</v>
      </c>
      <c r="I434" s="46">
        <f>INDEX(PeakCalc!$L$10:$L$303,MATCH(tblPivotData[[#This Row],[Time]],PeakCalc!$G$10:$G$303,0))</f>
        <v>0</v>
      </c>
    </row>
    <row r="435" spans="1:9" x14ac:dyDescent="0.25">
      <c r="A435" t="s">
        <v>96</v>
      </c>
      <c r="B435" t="s">
        <v>90</v>
      </c>
      <c r="C435">
        <v>0</v>
      </c>
      <c r="D435" t="s">
        <v>92</v>
      </c>
      <c r="E435" t="s">
        <v>88</v>
      </c>
      <c r="F435" s="6">
        <v>0.48958333333333331</v>
      </c>
      <c r="G435">
        <v>2</v>
      </c>
      <c r="H435" s="6">
        <f>FLOOR(tblPivotData[[#This Row],[Time]],Summary!$B$6/1440)</f>
        <v>0.48958333333333331</v>
      </c>
      <c r="I435" s="46">
        <f>INDEX(PeakCalc!$L$10:$L$303,MATCH(tblPivotData[[#This Row],[Time]],PeakCalc!$G$10:$G$303,0))</f>
        <v>0</v>
      </c>
    </row>
    <row r="436" spans="1:9" x14ac:dyDescent="0.25">
      <c r="A436" t="s">
        <v>96</v>
      </c>
      <c r="B436" t="s">
        <v>90</v>
      </c>
      <c r="C436">
        <v>0</v>
      </c>
      <c r="D436" t="s">
        <v>92</v>
      </c>
      <c r="E436" t="s">
        <v>88</v>
      </c>
      <c r="F436" s="6">
        <v>0.5</v>
      </c>
      <c r="G436">
        <v>2</v>
      </c>
      <c r="H436" s="6">
        <f>FLOOR(tblPivotData[[#This Row],[Time]],Summary!$B$6/1440)</f>
        <v>0.5</v>
      </c>
      <c r="I436" s="46">
        <f>INDEX(PeakCalc!$L$10:$L$303,MATCH(tblPivotData[[#This Row],[Time]],PeakCalc!$G$10:$G$303,0))</f>
        <v>0</v>
      </c>
    </row>
    <row r="437" spans="1:9" x14ac:dyDescent="0.25">
      <c r="A437" t="s">
        <v>96</v>
      </c>
      <c r="B437" t="s">
        <v>90</v>
      </c>
      <c r="C437">
        <v>0</v>
      </c>
      <c r="D437" t="s">
        <v>92</v>
      </c>
      <c r="E437" t="s">
        <v>88</v>
      </c>
      <c r="F437" s="6">
        <v>0.51041666666666663</v>
      </c>
      <c r="G437">
        <v>1</v>
      </c>
      <c r="H437" s="6">
        <f>FLOOR(tblPivotData[[#This Row],[Time]],Summary!$B$6/1440)</f>
        <v>0.51041666666666663</v>
      </c>
      <c r="I437" s="46">
        <f>INDEX(PeakCalc!$L$10:$L$303,MATCH(tblPivotData[[#This Row],[Time]],PeakCalc!$G$10:$G$303,0))</f>
        <v>0</v>
      </c>
    </row>
    <row r="438" spans="1:9" x14ac:dyDescent="0.25">
      <c r="A438" t="s">
        <v>96</v>
      </c>
      <c r="B438" t="s">
        <v>90</v>
      </c>
      <c r="C438">
        <v>0</v>
      </c>
      <c r="D438" t="s">
        <v>92</v>
      </c>
      <c r="E438" t="s">
        <v>88</v>
      </c>
      <c r="F438" s="6">
        <v>0.52083333333333337</v>
      </c>
      <c r="G438">
        <v>3</v>
      </c>
      <c r="H438" s="6">
        <f>FLOOR(tblPivotData[[#This Row],[Time]],Summary!$B$6/1440)</f>
        <v>0.52083333333333326</v>
      </c>
      <c r="I438" s="46">
        <f>INDEX(PeakCalc!$L$10:$L$303,MATCH(tblPivotData[[#This Row],[Time]],PeakCalc!$G$10:$G$303,0))</f>
        <v>1</v>
      </c>
    </row>
    <row r="439" spans="1:9" x14ac:dyDescent="0.25">
      <c r="A439" t="s">
        <v>96</v>
      </c>
      <c r="B439" t="s">
        <v>90</v>
      </c>
      <c r="C439">
        <v>0</v>
      </c>
      <c r="D439" t="s">
        <v>92</v>
      </c>
      <c r="E439" t="s">
        <v>88</v>
      </c>
      <c r="F439" s="6">
        <v>0.53125</v>
      </c>
      <c r="G439">
        <v>2</v>
      </c>
      <c r="H439" s="6">
        <f>FLOOR(tblPivotData[[#This Row],[Time]],Summary!$B$6/1440)</f>
        <v>0.53125</v>
      </c>
      <c r="I439" s="46">
        <f>INDEX(PeakCalc!$L$10:$L$303,MATCH(tblPivotData[[#This Row],[Time]],PeakCalc!$G$10:$G$303,0))</f>
        <v>1</v>
      </c>
    </row>
    <row r="440" spans="1:9" x14ac:dyDescent="0.25">
      <c r="A440" t="s">
        <v>96</v>
      </c>
      <c r="B440" t="s">
        <v>90</v>
      </c>
      <c r="C440">
        <v>0</v>
      </c>
      <c r="D440" t="s">
        <v>92</v>
      </c>
      <c r="E440" t="s">
        <v>88</v>
      </c>
      <c r="F440" s="6">
        <v>0.54166666666666663</v>
      </c>
      <c r="G440">
        <v>2</v>
      </c>
      <c r="H440" s="6">
        <f>FLOOR(tblPivotData[[#This Row],[Time]],Summary!$B$6/1440)</f>
        <v>0.54166666666666663</v>
      </c>
      <c r="I440" s="46">
        <f>INDEX(PeakCalc!$L$10:$L$303,MATCH(tblPivotData[[#This Row],[Time]],PeakCalc!$G$10:$G$303,0))</f>
        <v>1</v>
      </c>
    </row>
    <row r="441" spans="1:9" x14ac:dyDescent="0.25">
      <c r="A441" t="s">
        <v>96</v>
      </c>
      <c r="B441" t="s">
        <v>90</v>
      </c>
      <c r="C441">
        <v>0</v>
      </c>
      <c r="D441" t="s">
        <v>92</v>
      </c>
      <c r="E441" t="s">
        <v>88</v>
      </c>
      <c r="F441" s="6">
        <v>0.55208333333333337</v>
      </c>
      <c r="G441">
        <v>1</v>
      </c>
      <c r="H441" s="6">
        <f>FLOOR(tblPivotData[[#This Row],[Time]],Summary!$B$6/1440)</f>
        <v>0.55208333333333326</v>
      </c>
      <c r="I441" s="46">
        <f>INDEX(PeakCalc!$L$10:$L$303,MATCH(tblPivotData[[#This Row],[Time]],PeakCalc!$G$10:$G$303,0))</f>
        <v>1</v>
      </c>
    </row>
    <row r="442" spans="1:9" x14ac:dyDescent="0.25">
      <c r="A442" t="s">
        <v>96</v>
      </c>
      <c r="B442" t="s">
        <v>90</v>
      </c>
      <c r="C442">
        <v>0</v>
      </c>
      <c r="D442" t="s">
        <v>92</v>
      </c>
      <c r="E442" t="s">
        <v>88</v>
      </c>
      <c r="F442" s="6">
        <v>0.5625</v>
      </c>
      <c r="G442">
        <v>1</v>
      </c>
      <c r="H442" s="6">
        <f>FLOOR(tblPivotData[[#This Row],[Time]],Summary!$B$6/1440)</f>
        <v>0.5625</v>
      </c>
      <c r="I442" s="46">
        <f>INDEX(PeakCalc!$L$10:$L$303,MATCH(tblPivotData[[#This Row],[Time]],PeakCalc!$G$10:$G$303,0))</f>
        <v>0</v>
      </c>
    </row>
    <row r="443" spans="1:9" x14ac:dyDescent="0.25">
      <c r="A443" t="s">
        <v>96</v>
      </c>
      <c r="B443" t="s">
        <v>90</v>
      </c>
      <c r="C443">
        <v>0</v>
      </c>
      <c r="D443" t="s">
        <v>92</v>
      </c>
      <c r="E443" t="s">
        <v>88</v>
      </c>
      <c r="F443" s="6">
        <v>0.57291666666666663</v>
      </c>
      <c r="G443">
        <v>0</v>
      </c>
      <c r="H443" s="6">
        <f>FLOOR(tblPivotData[[#This Row],[Time]],Summary!$B$6/1440)</f>
        <v>0.57291666666666663</v>
      </c>
      <c r="I443" s="46">
        <f>INDEX(PeakCalc!$L$10:$L$303,MATCH(tblPivotData[[#This Row],[Time]],PeakCalc!$G$10:$G$303,0))</f>
        <v>0</v>
      </c>
    </row>
    <row r="444" spans="1:9" x14ac:dyDescent="0.25">
      <c r="A444" t="s">
        <v>96</v>
      </c>
      <c r="B444" t="s">
        <v>90</v>
      </c>
      <c r="C444">
        <v>0</v>
      </c>
      <c r="D444" t="s">
        <v>92</v>
      </c>
      <c r="E444" t="s">
        <v>44</v>
      </c>
      <c r="F444" s="6">
        <v>0.625</v>
      </c>
      <c r="G444">
        <v>2</v>
      </c>
      <c r="H444" s="6">
        <f>FLOOR(tblPivotData[[#This Row],[Time]],Summary!$B$6/1440)</f>
        <v>0.625</v>
      </c>
      <c r="I444" s="46">
        <f>INDEX(PeakCalc!$L$10:$L$303,MATCH(tblPivotData[[#This Row],[Time]],PeakCalc!$G$10:$G$303,0))</f>
        <v>0</v>
      </c>
    </row>
    <row r="445" spans="1:9" x14ac:dyDescent="0.25">
      <c r="A445" t="s">
        <v>96</v>
      </c>
      <c r="B445" t="s">
        <v>90</v>
      </c>
      <c r="C445">
        <v>0</v>
      </c>
      <c r="D445" t="s">
        <v>92</v>
      </c>
      <c r="E445" t="s">
        <v>44</v>
      </c>
      <c r="F445" s="6">
        <v>0.63541666666666663</v>
      </c>
      <c r="G445">
        <v>1</v>
      </c>
      <c r="H445" s="6">
        <f>FLOOR(tblPivotData[[#This Row],[Time]],Summary!$B$6/1440)</f>
        <v>0.63541666666666663</v>
      </c>
      <c r="I445" s="46">
        <f>INDEX(PeakCalc!$L$10:$L$303,MATCH(tblPivotData[[#This Row],[Time]],PeakCalc!$G$10:$G$303,0))</f>
        <v>0</v>
      </c>
    </row>
    <row r="446" spans="1:9" x14ac:dyDescent="0.25">
      <c r="A446" t="s">
        <v>96</v>
      </c>
      <c r="B446" t="s">
        <v>90</v>
      </c>
      <c r="C446">
        <v>0</v>
      </c>
      <c r="D446" t="s">
        <v>92</v>
      </c>
      <c r="E446" t="s">
        <v>44</v>
      </c>
      <c r="F446" s="6">
        <v>0.64583333333333337</v>
      </c>
      <c r="G446">
        <v>2</v>
      </c>
      <c r="H446" s="6">
        <f>FLOOR(tblPivotData[[#This Row],[Time]],Summary!$B$6/1440)</f>
        <v>0.64583333333333326</v>
      </c>
      <c r="I446" s="46">
        <f>INDEX(PeakCalc!$L$10:$L$303,MATCH(tblPivotData[[#This Row],[Time]],PeakCalc!$G$10:$G$303,0))</f>
        <v>0</v>
      </c>
    </row>
    <row r="447" spans="1:9" x14ac:dyDescent="0.25">
      <c r="A447" t="s">
        <v>96</v>
      </c>
      <c r="B447" t="s">
        <v>90</v>
      </c>
      <c r="C447">
        <v>0</v>
      </c>
      <c r="D447" t="s">
        <v>92</v>
      </c>
      <c r="E447" t="s">
        <v>44</v>
      </c>
      <c r="F447" s="6">
        <v>0.65625</v>
      </c>
      <c r="G447">
        <v>0</v>
      </c>
      <c r="H447" s="6">
        <f>FLOOR(tblPivotData[[#This Row],[Time]],Summary!$B$6/1440)</f>
        <v>0.65625</v>
      </c>
      <c r="I447" s="46">
        <f>INDEX(PeakCalc!$L$10:$L$303,MATCH(tblPivotData[[#This Row],[Time]],PeakCalc!$G$10:$G$303,0))</f>
        <v>0</v>
      </c>
    </row>
    <row r="448" spans="1:9" x14ac:dyDescent="0.25">
      <c r="A448" t="s">
        <v>96</v>
      </c>
      <c r="B448" t="s">
        <v>90</v>
      </c>
      <c r="C448">
        <v>0</v>
      </c>
      <c r="D448" t="s">
        <v>92</v>
      </c>
      <c r="E448" t="s">
        <v>44</v>
      </c>
      <c r="F448" s="6">
        <v>0.66666666666666663</v>
      </c>
      <c r="G448">
        <v>0</v>
      </c>
      <c r="H448" s="6">
        <f>FLOOR(tblPivotData[[#This Row],[Time]],Summary!$B$6/1440)</f>
        <v>0.66666666666666663</v>
      </c>
      <c r="I448" s="46">
        <f>INDEX(PeakCalc!$L$10:$L$303,MATCH(tblPivotData[[#This Row],[Time]],PeakCalc!$G$10:$G$303,0))</f>
        <v>0</v>
      </c>
    </row>
    <row r="449" spans="1:9" x14ac:dyDescent="0.25">
      <c r="A449" t="s">
        <v>96</v>
      </c>
      <c r="B449" t="s">
        <v>90</v>
      </c>
      <c r="C449">
        <v>0</v>
      </c>
      <c r="D449" t="s">
        <v>92</v>
      </c>
      <c r="E449" t="s">
        <v>44</v>
      </c>
      <c r="F449" s="6">
        <v>0.67708333333333337</v>
      </c>
      <c r="G449">
        <v>1</v>
      </c>
      <c r="H449" s="6">
        <f>FLOOR(tblPivotData[[#This Row],[Time]],Summary!$B$6/1440)</f>
        <v>0.67708333333333326</v>
      </c>
      <c r="I449" s="46">
        <f>INDEX(PeakCalc!$L$10:$L$303,MATCH(tblPivotData[[#This Row],[Time]],PeakCalc!$G$10:$G$303,0))</f>
        <v>0</v>
      </c>
    </row>
    <row r="450" spans="1:9" x14ac:dyDescent="0.25">
      <c r="A450" t="s">
        <v>96</v>
      </c>
      <c r="B450" t="s">
        <v>90</v>
      </c>
      <c r="C450">
        <v>0</v>
      </c>
      <c r="D450" t="s">
        <v>92</v>
      </c>
      <c r="E450" t="s">
        <v>44</v>
      </c>
      <c r="F450" s="6">
        <v>0.6875</v>
      </c>
      <c r="G450">
        <v>0</v>
      </c>
      <c r="H450" s="6">
        <f>FLOOR(tblPivotData[[#This Row],[Time]],Summary!$B$6/1440)</f>
        <v>0.6875</v>
      </c>
      <c r="I450" s="46">
        <f>INDEX(PeakCalc!$L$10:$L$303,MATCH(tblPivotData[[#This Row],[Time]],PeakCalc!$G$10:$G$303,0))</f>
        <v>1</v>
      </c>
    </row>
    <row r="451" spans="1:9" x14ac:dyDescent="0.25">
      <c r="A451" t="s">
        <v>96</v>
      </c>
      <c r="B451" t="s">
        <v>90</v>
      </c>
      <c r="C451">
        <v>0</v>
      </c>
      <c r="D451" t="s">
        <v>92</v>
      </c>
      <c r="E451" t="s">
        <v>44</v>
      </c>
      <c r="F451" s="6">
        <v>0.69791666666666663</v>
      </c>
      <c r="G451">
        <v>2</v>
      </c>
      <c r="H451" s="6">
        <f>FLOOR(tblPivotData[[#This Row],[Time]],Summary!$B$6/1440)</f>
        <v>0.69791666666666663</v>
      </c>
      <c r="I451" s="46">
        <f>INDEX(PeakCalc!$L$10:$L$303,MATCH(tblPivotData[[#This Row],[Time]],PeakCalc!$G$10:$G$303,0))</f>
        <v>1</v>
      </c>
    </row>
    <row r="452" spans="1:9" x14ac:dyDescent="0.25">
      <c r="A452" t="s">
        <v>96</v>
      </c>
      <c r="B452" t="s">
        <v>90</v>
      </c>
      <c r="C452">
        <v>0</v>
      </c>
      <c r="D452" t="s">
        <v>92</v>
      </c>
      <c r="E452" t="s">
        <v>44</v>
      </c>
      <c r="F452" s="6">
        <v>0.70833333333333337</v>
      </c>
      <c r="G452">
        <v>5</v>
      </c>
      <c r="H452" s="6">
        <f>FLOOR(tblPivotData[[#This Row],[Time]],Summary!$B$6/1440)</f>
        <v>0.70833333333333326</v>
      </c>
      <c r="I452" s="46">
        <f>INDEX(PeakCalc!$L$10:$L$303,MATCH(tblPivotData[[#This Row],[Time]],PeakCalc!$G$10:$G$303,0))</f>
        <v>1</v>
      </c>
    </row>
    <row r="453" spans="1:9" x14ac:dyDescent="0.25">
      <c r="A453" t="s">
        <v>96</v>
      </c>
      <c r="B453" t="s">
        <v>90</v>
      </c>
      <c r="C453">
        <v>0</v>
      </c>
      <c r="D453" t="s">
        <v>92</v>
      </c>
      <c r="E453" t="s">
        <v>44</v>
      </c>
      <c r="F453" s="6">
        <v>0.71875</v>
      </c>
      <c r="G453">
        <v>3</v>
      </c>
      <c r="H453" s="6">
        <f>FLOOR(tblPivotData[[#This Row],[Time]],Summary!$B$6/1440)</f>
        <v>0.71875</v>
      </c>
      <c r="I453" s="46">
        <f>INDEX(PeakCalc!$L$10:$L$303,MATCH(tblPivotData[[#This Row],[Time]],PeakCalc!$G$10:$G$303,0))</f>
        <v>1</v>
      </c>
    </row>
    <row r="454" spans="1:9" x14ac:dyDescent="0.25">
      <c r="A454" t="s">
        <v>96</v>
      </c>
      <c r="B454" t="s">
        <v>90</v>
      </c>
      <c r="C454">
        <v>0</v>
      </c>
      <c r="D454" t="s">
        <v>92</v>
      </c>
      <c r="E454" t="s">
        <v>44</v>
      </c>
      <c r="F454" s="6">
        <v>0.72916666666666663</v>
      </c>
      <c r="G454">
        <v>2</v>
      </c>
      <c r="H454" s="6">
        <f>FLOOR(tblPivotData[[#This Row],[Time]],Summary!$B$6/1440)</f>
        <v>0.72916666666666663</v>
      </c>
      <c r="I454" s="46">
        <f>INDEX(PeakCalc!$L$10:$L$303,MATCH(tblPivotData[[#This Row],[Time]],PeakCalc!$G$10:$G$303,0))</f>
        <v>0</v>
      </c>
    </row>
    <row r="455" spans="1:9" x14ac:dyDescent="0.25">
      <c r="A455" t="s">
        <v>96</v>
      </c>
      <c r="B455" t="s">
        <v>90</v>
      </c>
      <c r="C455">
        <v>0</v>
      </c>
      <c r="D455" t="s">
        <v>92</v>
      </c>
      <c r="E455" t="s">
        <v>44</v>
      </c>
      <c r="F455" s="6">
        <v>0.73958333333333337</v>
      </c>
      <c r="G455">
        <v>4</v>
      </c>
      <c r="H455" s="6">
        <f>FLOOR(tblPivotData[[#This Row],[Time]],Summary!$B$6/1440)</f>
        <v>0.73958333333333326</v>
      </c>
      <c r="I455" s="46">
        <f>INDEX(PeakCalc!$L$10:$L$303,MATCH(tblPivotData[[#This Row],[Time]],PeakCalc!$G$10:$G$303,0))</f>
        <v>0</v>
      </c>
    </row>
    <row r="456" spans="1:9" x14ac:dyDescent="0.25">
      <c r="A456" t="s">
        <v>96</v>
      </c>
      <c r="B456" t="s">
        <v>90</v>
      </c>
      <c r="C456">
        <v>0</v>
      </c>
      <c r="D456" t="s">
        <v>92</v>
      </c>
      <c r="E456" t="s">
        <v>44</v>
      </c>
      <c r="F456" s="6">
        <v>0.75</v>
      </c>
      <c r="G456">
        <v>3</v>
      </c>
      <c r="H456" s="6">
        <f>FLOOR(tblPivotData[[#This Row],[Time]],Summary!$B$6/1440)</f>
        <v>0.75</v>
      </c>
      <c r="I456" s="46">
        <f>INDEX(PeakCalc!$L$10:$L$303,MATCH(tblPivotData[[#This Row],[Time]],PeakCalc!$G$10:$G$303,0))</f>
        <v>0</v>
      </c>
    </row>
    <row r="457" spans="1:9" x14ac:dyDescent="0.25">
      <c r="A457" t="s">
        <v>96</v>
      </c>
      <c r="B457" t="s">
        <v>90</v>
      </c>
      <c r="C457">
        <v>0</v>
      </c>
      <c r="D457" t="s">
        <v>92</v>
      </c>
      <c r="E457" t="s">
        <v>44</v>
      </c>
      <c r="F457" s="6">
        <v>0.76041666666666663</v>
      </c>
      <c r="G457">
        <v>2</v>
      </c>
      <c r="H457" s="6">
        <f>FLOOR(tblPivotData[[#This Row],[Time]],Summary!$B$6/1440)</f>
        <v>0.76041666666666663</v>
      </c>
      <c r="I457" s="46">
        <f>INDEX(PeakCalc!$L$10:$L$303,MATCH(tblPivotData[[#This Row],[Time]],PeakCalc!$G$10:$G$303,0))</f>
        <v>0</v>
      </c>
    </row>
    <row r="458" spans="1:9" x14ac:dyDescent="0.25">
      <c r="A458" t="s">
        <v>97</v>
      </c>
      <c r="B458" t="s">
        <v>89</v>
      </c>
      <c r="C458">
        <v>0</v>
      </c>
      <c r="D458" t="s">
        <v>91</v>
      </c>
      <c r="E458" t="s">
        <v>43</v>
      </c>
      <c r="F458" s="6">
        <v>0.27083333333333331</v>
      </c>
      <c r="G458">
        <v>0</v>
      </c>
      <c r="H458" s="6">
        <f>FLOOR(tblPivotData[[#This Row],[Time]],Summary!$B$6/1440)</f>
        <v>0.27083333333333331</v>
      </c>
      <c r="I458" s="46">
        <f>INDEX(PeakCalc!$L$10:$L$303,MATCH(tblPivotData[[#This Row],[Time]],PeakCalc!$G$10:$G$303,0))</f>
        <v>0</v>
      </c>
    </row>
    <row r="459" spans="1:9" x14ac:dyDescent="0.25">
      <c r="A459" t="s">
        <v>97</v>
      </c>
      <c r="B459" t="s">
        <v>89</v>
      </c>
      <c r="C459">
        <v>0</v>
      </c>
      <c r="D459" t="s">
        <v>91</v>
      </c>
      <c r="E459" t="s">
        <v>43</v>
      </c>
      <c r="F459" s="6">
        <v>0.28125</v>
      </c>
      <c r="G459">
        <v>0</v>
      </c>
      <c r="H459" s="6">
        <f>FLOOR(tblPivotData[[#This Row],[Time]],Summary!$B$6/1440)</f>
        <v>0.28125</v>
      </c>
      <c r="I459" s="46">
        <f>INDEX(PeakCalc!$L$10:$L$303,MATCH(tblPivotData[[#This Row],[Time]],PeakCalc!$G$10:$G$303,0))</f>
        <v>0</v>
      </c>
    </row>
    <row r="460" spans="1:9" x14ac:dyDescent="0.25">
      <c r="A460" t="s">
        <v>97</v>
      </c>
      <c r="B460" t="s">
        <v>89</v>
      </c>
      <c r="C460">
        <v>0</v>
      </c>
      <c r="D460" t="s">
        <v>91</v>
      </c>
      <c r="E460" t="s">
        <v>43</v>
      </c>
      <c r="F460" s="6">
        <v>0.29166666666666669</v>
      </c>
      <c r="G460">
        <v>0</v>
      </c>
      <c r="H460" s="6">
        <f>FLOOR(tblPivotData[[#This Row],[Time]],Summary!$B$6/1440)</f>
        <v>0.29166666666666663</v>
      </c>
      <c r="I460" s="46">
        <f>INDEX(PeakCalc!$L$10:$L$303,MATCH(tblPivotData[[#This Row],[Time]],PeakCalc!$G$10:$G$303,0))</f>
        <v>0</v>
      </c>
    </row>
    <row r="461" spans="1:9" x14ac:dyDescent="0.25">
      <c r="A461" t="s">
        <v>97</v>
      </c>
      <c r="B461" t="s">
        <v>89</v>
      </c>
      <c r="C461">
        <v>0</v>
      </c>
      <c r="D461" t="s">
        <v>91</v>
      </c>
      <c r="E461" t="s">
        <v>43</v>
      </c>
      <c r="F461" s="6">
        <v>0.30208333333333331</v>
      </c>
      <c r="G461">
        <v>0</v>
      </c>
      <c r="H461" s="6">
        <f>FLOOR(tblPivotData[[#This Row],[Time]],Summary!$B$6/1440)</f>
        <v>0.30208333333333331</v>
      </c>
      <c r="I461" s="46">
        <f>INDEX(PeakCalc!$L$10:$L$303,MATCH(tblPivotData[[#This Row],[Time]],PeakCalc!$G$10:$G$303,0))</f>
        <v>0</v>
      </c>
    </row>
    <row r="462" spans="1:9" x14ac:dyDescent="0.25">
      <c r="A462" t="s">
        <v>97</v>
      </c>
      <c r="B462" t="s">
        <v>89</v>
      </c>
      <c r="C462">
        <v>0</v>
      </c>
      <c r="D462" t="s">
        <v>91</v>
      </c>
      <c r="E462" t="s">
        <v>43</v>
      </c>
      <c r="F462" s="6">
        <v>0.3125</v>
      </c>
      <c r="G462">
        <v>0</v>
      </c>
      <c r="H462" s="6">
        <f>FLOOR(tblPivotData[[#This Row],[Time]],Summary!$B$6/1440)</f>
        <v>0.3125</v>
      </c>
      <c r="I462" s="46">
        <f>INDEX(PeakCalc!$L$10:$L$303,MATCH(tblPivotData[[#This Row],[Time]],PeakCalc!$G$10:$G$303,0))</f>
        <v>0</v>
      </c>
    </row>
    <row r="463" spans="1:9" x14ac:dyDescent="0.25">
      <c r="A463" t="s">
        <v>97</v>
      </c>
      <c r="B463" t="s">
        <v>89</v>
      </c>
      <c r="C463">
        <v>0</v>
      </c>
      <c r="D463" t="s">
        <v>91</v>
      </c>
      <c r="E463" t="s">
        <v>43</v>
      </c>
      <c r="F463" s="6">
        <v>0.32291666666666669</v>
      </c>
      <c r="G463">
        <v>1</v>
      </c>
      <c r="H463" s="6">
        <f>FLOOR(tblPivotData[[#This Row],[Time]],Summary!$B$6/1440)</f>
        <v>0.32291666666666663</v>
      </c>
      <c r="I463" s="46">
        <f>INDEX(PeakCalc!$L$10:$L$303,MATCH(tblPivotData[[#This Row],[Time]],PeakCalc!$G$10:$G$303,0))</f>
        <v>1</v>
      </c>
    </row>
    <row r="464" spans="1:9" x14ac:dyDescent="0.25">
      <c r="A464" t="s">
        <v>97</v>
      </c>
      <c r="B464" t="s">
        <v>89</v>
      </c>
      <c r="C464">
        <v>0</v>
      </c>
      <c r="D464" t="s">
        <v>91</v>
      </c>
      <c r="E464" t="s">
        <v>43</v>
      </c>
      <c r="F464" s="6">
        <v>0.33333333333333331</v>
      </c>
      <c r="G464">
        <v>0</v>
      </c>
      <c r="H464" s="6">
        <f>FLOOR(tblPivotData[[#This Row],[Time]],Summary!$B$6/1440)</f>
        <v>0.33333333333333331</v>
      </c>
      <c r="I464" s="46">
        <f>INDEX(PeakCalc!$L$10:$L$303,MATCH(tblPivotData[[#This Row],[Time]],PeakCalc!$G$10:$G$303,0))</f>
        <v>1</v>
      </c>
    </row>
    <row r="465" spans="1:9" x14ac:dyDescent="0.25">
      <c r="A465" t="s">
        <v>97</v>
      </c>
      <c r="B465" t="s">
        <v>89</v>
      </c>
      <c r="C465">
        <v>0</v>
      </c>
      <c r="D465" t="s">
        <v>91</v>
      </c>
      <c r="E465" t="s">
        <v>43</v>
      </c>
      <c r="F465" s="6">
        <v>0.34375</v>
      </c>
      <c r="G465">
        <v>0</v>
      </c>
      <c r="H465" s="6">
        <f>FLOOR(tblPivotData[[#This Row],[Time]],Summary!$B$6/1440)</f>
        <v>0.34375</v>
      </c>
      <c r="I465" s="46">
        <f>INDEX(PeakCalc!$L$10:$L$303,MATCH(tblPivotData[[#This Row],[Time]],PeakCalc!$G$10:$G$303,0))</f>
        <v>1</v>
      </c>
    </row>
    <row r="466" spans="1:9" x14ac:dyDescent="0.25">
      <c r="A466" t="s">
        <v>97</v>
      </c>
      <c r="B466" t="s">
        <v>89</v>
      </c>
      <c r="C466">
        <v>0</v>
      </c>
      <c r="D466" t="s">
        <v>91</v>
      </c>
      <c r="E466" t="s">
        <v>43</v>
      </c>
      <c r="F466" s="6">
        <v>0.35416666666666669</v>
      </c>
      <c r="G466">
        <v>0</v>
      </c>
      <c r="H466" s="6">
        <f>FLOOR(tblPivotData[[#This Row],[Time]],Summary!$B$6/1440)</f>
        <v>0.35416666666666663</v>
      </c>
      <c r="I466" s="46">
        <f>INDEX(PeakCalc!$L$10:$L$303,MATCH(tblPivotData[[#This Row],[Time]],PeakCalc!$G$10:$G$303,0))</f>
        <v>1</v>
      </c>
    </row>
    <row r="467" spans="1:9" x14ac:dyDescent="0.25">
      <c r="A467" t="s">
        <v>97</v>
      </c>
      <c r="B467" t="s">
        <v>89</v>
      </c>
      <c r="C467">
        <v>0</v>
      </c>
      <c r="D467" t="s">
        <v>91</v>
      </c>
      <c r="E467" t="s">
        <v>43</v>
      </c>
      <c r="F467" s="6">
        <v>0.36458333333333331</v>
      </c>
      <c r="G467">
        <v>0</v>
      </c>
      <c r="H467" s="6">
        <f>FLOOR(tblPivotData[[#This Row],[Time]],Summary!$B$6/1440)</f>
        <v>0.36458333333333331</v>
      </c>
      <c r="I467" s="46">
        <f>INDEX(PeakCalc!$L$10:$L$303,MATCH(tblPivotData[[#This Row],[Time]],PeakCalc!$G$10:$G$303,0))</f>
        <v>0</v>
      </c>
    </row>
    <row r="468" spans="1:9" x14ac:dyDescent="0.25">
      <c r="A468" t="s">
        <v>97</v>
      </c>
      <c r="B468" t="s">
        <v>89</v>
      </c>
      <c r="C468">
        <v>0</v>
      </c>
      <c r="D468" t="s">
        <v>91</v>
      </c>
      <c r="E468" t="s">
        <v>43</v>
      </c>
      <c r="F468" s="6">
        <v>0.375</v>
      </c>
      <c r="G468">
        <v>0</v>
      </c>
      <c r="H468" s="6">
        <f>FLOOR(tblPivotData[[#This Row],[Time]],Summary!$B$6/1440)</f>
        <v>0.375</v>
      </c>
      <c r="I468" s="46">
        <f>INDEX(PeakCalc!$L$10:$L$303,MATCH(tblPivotData[[#This Row],[Time]],PeakCalc!$G$10:$G$303,0))</f>
        <v>0</v>
      </c>
    </row>
    <row r="469" spans="1:9" x14ac:dyDescent="0.25">
      <c r="A469" t="s">
        <v>97</v>
      </c>
      <c r="B469" t="s">
        <v>89</v>
      </c>
      <c r="C469">
        <v>0</v>
      </c>
      <c r="D469" t="s">
        <v>91</v>
      </c>
      <c r="E469" t="s">
        <v>43</v>
      </c>
      <c r="F469" s="6">
        <v>0.38541666666666669</v>
      </c>
      <c r="G469">
        <v>0</v>
      </c>
      <c r="H469" s="6">
        <f>FLOOR(tblPivotData[[#This Row],[Time]],Summary!$B$6/1440)</f>
        <v>0.38541666666666663</v>
      </c>
      <c r="I469" s="46">
        <f>INDEX(PeakCalc!$L$10:$L$303,MATCH(tblPivotData[[#This Row],[Time]],PeakCalc!$G$10:$G$303,0))</f>
        <v>0</v>
      </c>
    </row>
    <row r="470" spans="1:9" x14ac:dyDescent="0.25">
      <c r="A470" t="s">
        <v>97</v>
      </c>
      <c r="B470" t="s">
        <v>89</v>
      </c>
      <c r="C470">
        <v>0</v>
      </c>
      <c r="D470" t="s">
        <v>91</v>
      </c>
      <c r="E470" t="s">
        <v>88</v>
      </c>
      <c r="F470" s="6">
        <v>0.45833333333333331</v>
      </c>
      <c r="G470">
        <v>0</v>
      </c>
      <c r="H470" s="6">
        <f>FLOOR(tblPivotData[[#This Row],[Time]],Summary!$B$6/1440)</f>
        <v>0.45833333333333331</v>
      </c>
      <c r="I470" s="46">
        <f>INDEX(PeakCalc!$L$10:$L$303,MATCH(tblPivotData[[#This Row],[Time]],PeakCalc!$G$10:$G$303,0))</f>
        <v>0</v>
      </c>
    </row>
    <row r="471" spans="1:9" x14ac:dyDescent="0.25">
      <c r="A471" t="s">
        <v>97</v>
      </c>
      <c r="B471" t="s">
        <v>89</v>
      </c>
      <c r="C471">
        <v>0</v>
      </c>
      <c r="D471" t="s">
        <v>91</v>
      </c>
      <c r="E471" t="s">
        <v>88</v>
      </c>
      <c r="F471" s="6">
        <v>0.46875</v>
      </c>
      <c r="G471">
        <v>0</v>
      </c>
      <c r="H471" s="6">
        <f>FLOOR(tblPivotData[[#This Row],[Time]],Summary!$B$6/1440)</f>
        <v>0.46875</v>
      </c>
      <c r="I471" s="46">
        <f>INDEX(PeakCalc!$L$10:$L$303,MATCH(tblPivotData[[#This Row],[Time]],PeakCalc!$G$10:$G$303,0))</f>
        <v>0</v>
      </c>
    </row>
    <row r="472" spans="1:9" x14ac:dyDescent="0.25">
      <c r="A472" t="s">
        <v>97</v>
      </c>
      <c r="B472" t="s">
        <v>89</v>
      </c>
      <c r="C472">
        <v>0</v>
      </c>
      <c r="D472" t="s">
        <v>91</v>
      </c>
      <c r="E472" t="s">
        <v>88</v>
      </c>
      <c r="F472" s="6">
        <v>0.47916666666666669</v>
      </c>
      <c r="G472">
        <v>1</v>
      </c>
      <c r="H472" s="6">
        <f>FLOOR(tblPivotData[[#This Row],[Time]],Summary!$B$6/1440)</f>
        <v>0.47916666666666663</v>
      </c>
      <c r="I472" s="46">
        <f>INDEX(PeakCalc!$L$10:$L$303,MATCH(tblPivotData[[#This Row],[Time]],PeakCalc!$G$10:$G$303,0))</f>
        <v>0</v>
      </c>
    </row>
    <row r="473" spans="1:9" x14ac:dyDescent="0.25">
      <c r="A473" t="s">
        <v>97</v>
      </c>
      <c r="B473" t="s">
        <v>89</v>
      </c>
      <c r="C473">
        <v>0</v>
      </c>
      <c r="D473" t="s">
        <v>91</v>
      </c>
      <c r="E473" t="s">
        <v>88</v>
      </c>
      <c r="F473" s="6">
        <v>0.48958333333333331</v>
      </c>
      <c r="G473">
        <v>1</v>
      </c>
      <c r="H473" s="6">
        <f>FLOOR(tblPivotData[[#This Row],[Time]],Summary!$B$6/1440)</f>
        <v>0.48958333333333331</v>
      </c>
      <c r="I473" s="46">
        <f>INDEX(PeakCalc!$L$10:$L$303,MATCH(tblPivotData[[#This Row],[Time]],PeakCalc!$G$10:$G$303,0))</f>
        <v>0</v>
      </c>
    </row>
    <row r="474" spans="1:9" x14ac:dyDescent="0.25">
      <c r="A474" t="s">
        <v>97</v>
      </c>
      <c r="B474" t="s">
        <v>89</v>
      </c>
      <c r="C474">
        <v>0</v>
      </c>
      <c r="D474" t="s">
        <v>91</v>
      </c>
      <c r="E474" t="s">
        <v>88</v>
      </c>
      <c r="F474" s="6">
        <v>0.5</v>
      </c>
      <c r="G474">
        <v>0</v>
      </c>
      <c r="H474" s="6">
        <f>FLOOR(tblPivotData[[#This Row],[Time]],Summary!$B$6/1440)</f>
        <v>0.5</v>
      </c>
      <c r="I474" s="46">
        <f>INDEX(PeakCalc!$L$10:$L$303,MATCH(tblPivotData[[#This Row],[Time]],PeakCalc!$G$10:$G$303,0))</f>
        <v>0</v>
      </c>
    </row>
    <row r="475" spans="1:9" x14ac:dyDescent="0.25">
      <c r="A475" t="s">
        <v>97</v>
      </c>
      <c r="B475" t="s">
        <v>89</v>
      </c>
      <c r="C475">
        <v>0</v>
      </c>
      <c r="D475" t="s">
        <v>91</v>
      </c>
      <c r="E475" t="s">
        <v>88</v>
      </c>
      <c r="F475" s="6">
        <v>0.51041666666666663</v>
      </c>
      <c r="G475">
        <v>0</v>
      </c>
      <c r="H475" s="6">
        <f>FLOOR(tblPivotData[[#This Row],[Time]],Summary!$B$6/1440)</f>
        <v>0.51041666666666663</v>
      </c>
      <c r="I475" s="46">
        <f>INDEX(PeakCalc!$L$10:$L$303,MATCH(tblPivotData[[#This Row],[Time]],PeakCalc!$G$10:$G$303,0))</f>
        <v>0</v>
      </c>
    </row>
    <row r="476" spans="1:9" x14ac:dyDescent="0.25">
      <c r="A476" t="s">
        <v>97</v>
      </c>
      <c r="B476" t="s">
        <v>89</v>
      </c>
      <c r="C476">
        <v>0</v>
      </c>
      <c r="D476" t="s">
        <v>91</v>
      </c>
      <c r="E476" t="s">
        <v>88</v>
      </c>
      <c r="F476" s="6">
        <v>0.52083333333333337</v>
      </c>
      <c r="G476">
        <v>0</v>
      </c>
      <c r="H476" s="6">
        <f>FLOOR(tblPivotData[[#This Row],[Time]],Summary!$B$6/1440)</f>
        <v>0.52083333333333326</v>
      </c>
      <c r="I476" s="46">
        <f>INDEX(PeakCalc!$L$10:$L$303,MATCH(tblPivotData[[#This Row],[Time]],PeakCalc!$G$10:$G$303,0))</f>
        <v>1</v>
      </c>
    </row>
    <row r="477" spans="1:9" x14ac:dyDescent="0.25">
      <c r="A477" t="s">
        <v>97</v>
      </c>
      <c r="B477" t="s">
        <v>89</v>
      </c>
      <c r="C477">
        <v>0</v>
      </c>
      <c r="D477" t="s">
        <v>91</v>
      </c>
      <c r="E477" t="s">
        <v>88</v>
      </c>
      <c r="F477" s="6">
        <v>0.53125</v>
      </c>
      <c r="G477">
        <v>0</v>
      </c>
      <c r="H477" s="6">
        <f>FLOOR(tblPivotData[[#This Row],[Time]],Summary!$B$6/1440)</f>
        <v>0.53125</v>
      </c>
      <c r="I477" s="46">
        <f>INDEX(PeakCalc!$L$10:$L$303,MATCH(tblPivotData[[#This Row],[Time]],PeakCalc!$G$10:$G$303,0))</f>
        <v>1</v>
      </c>
    </row>
    <row r="478" spans="1:9" x14ac:dyDescent="0.25">
      <c r="A478" t="s">
        <v>97</v>
      </c>
      <c r="B478" t="s">
        <v>89</v>
      </c>
      <c r="C478">
        <v>0</v>
      </c>
      <c r="D478" t="s">
        <v>91</v>
      </c>
      <c r="E478" t="s">
        <v>88</v>
      </c>
      <c r="F478" s="6">
        <v>0.54166666666666663</v>
      </c>
      <c r="G478">
        <v>0</v>
      </c>
      <c r="H478" s="6">
        <f>FLOOR(tblPivotData[[#This Row],[Time]],Summary!$B$6/1440)</f>
        <v>0.54166666666666663</v>
      </c>
      <c r="I478" s="46">
        <f>INDEX(PeakCalc!$L$10:$L$303,MATCH(tblPivotData[[#This Row],[Time]],PeakCalc!$G$10:$G$303,0))</f>
        <v>1</v>
      </c>
    </row>
    <row r="479" spans="1:9" x14ac:dyDescent="0.25">
      <c r="A479" t="s">
        <v>97</v>
      </c>
      <c r="B479" t="s">
        <v>89</v>
      </c>
      <c r="C479">
        <v>0</v>
      </c>
      <c r="D479" t="s">
        <v>91</v>
      </c>
      <c r="E479" t="s">
        <v>88</v>
      </c>
      <c r="F479" s="6">
        <v>0.55208333333333337</v>
      </c>
      <c r="G479">
        <v>0</v>
      </c>
      <c r="H479" s="6">
        <f>FLOOR(tblPivotData[[#This Row],[Time]],Summary!$B$6/1440)</f>
        <v>0.55208333333333326</v>
      </c>
      <c r="I479" s="46">
        <f>INDEX(PeakCalc!$L$10:$L$303,MATCH(tblPivotData[[#This Row],[Time]],PeakCalc!$G$10:$G$303,0))</f>
        <v>1</v>
      </c>
    </row>
    <row r="480" spans="1:9" x14ac:dyDescent="0.25">
      <c r="A480" t="s">
        <v>97</v>
      </c>
      <c r="B480" t="s">
        <v>89</v>
      </c>
      <c r="C480">
        <v>0</v>
      </c>
      <c r="D480" t="s">
        <v>91</v>
      </c>
      <c r="E480" t="s">
        <v>88</v>
      </c>
      <c r="F480" s="6">
        <v>0.5625</v>
      </c>
      <c r="G480">
        <v>0</v>
      </c>
      <c r="H480" s="6">
        <f>FLOOR(tblPivotData[[#This Row],[Time]],Summary!$B$6/1440)</f>
        <v>0.5625</v>
      </c>
      <c r="I480" s="46">
        <f>INDEX(PeakCalc!$L$10:$L$303,MATCH(tblPivotData[[#This Row],[Time]],PeakCalc!$G$10:$G$303,0))</f>
        <v>0</v>
      </c>
    </row>
    <row r="481" spans="1:9" x14ac:dyDescent="0.25">
      <c r="A481" t="s">
        <v>97</v>
      </c>
      <c r="B481" t="s">
        <v>89</v>
      </c>
      <c r="C481">
        <v>0</v>
      </c>
      <c r="D481" t="s">
        <v>91</v>
      </c>
      <c r="E481" t="s">
        <v>88</v>
      </c>
      <c r="F481" s="6">
        <v>0.57291666666666663</v>
      </c>
      <c r="G481">
        <v>0</v>
      </c>
      <c r="H481" s="6">
        <f>FLOOR(tblPivotData[[#This Row],[Time]],Summary!$B$6/1440)</f>
        <v>0.57291666666666663</v>
      </c>
      <c r="I481" s="46">
        <f>INDEX(PeakCalc!$L$10:$L$303,MATCH(tblPivotData[[#This Row],[Time]],PeakCalc!$G$10:$G$303,0))</f>
        <v>0</v>
      </c>
    </row>
    <row r="482" spans="1:9" x14ac:dyDescent="0.25">
      <c r="A482" t="s">
        <v>97</v>
      </c>
      <c r="B482" t="s">
        <v>89</v>
      </c>
      <c r="C482">
        <v>0</v>
      </c>
      <c r="D482" t="s">
        <v>91</v>
      </c>
      <c r="E482" t="s">
        <v>44</v>
      </c>
      <c r="F482" s="6">
        <v>0.625</v>
      </c>
      <c r="G482">
        <v>0</v>
      </c>
      <c r="H482" s="6">
        <f>FLOOR(tblPivotData[[#This Row],[Time]],Summary!$B$6/1440)</f>
        <v>0.625</v>
      </c>
      <c r="I482" s="46">
        <f>INDEX(PeakCalc!$L$10:$L$303,MATCH(tblPivotData[[#This Row],[Time]],PeakCalc!$G$10:$G$303,0))</f>
        <v>0</v>
      </c>
    </row>
    <row r="483" spans="1:9" x14ac:dyDescent="0.25">
      <c r="A483" t="s">
        <v>97</v>
      </c>
      <c r="B483" t="s">
        <v>89</v>
      </c>
      <c r="C483">
        <v>0</v>
      </c>
      <c r="D483" t="s">
        <v>91</v>
      </c>
      <c r="E483" t="s">
        <v>44</v>
      </c>
      <c r="F483" s="6">
        <v>0.63541666666666663</v>
      </c>
      <c r="G483">
        <v>0</v>
      </c>
      <c r="H483" s="6">
        <f>FLOOR(tblPivotData[[#This Row],[Time]],Summary!$B$6/1440)</f>
        <v>0.63541666666666663</v>
      </c>
      <c r="I483" s="46">
        <f>INDEX(PeakCalc!$L$10:$L$303,MATCH(tblPivotData[[#This Row],[Time]],PeakCalc!$G$10:$G$303,0))</f>
        <v>0</v>
      </c>
    </row>
    <row r="484" spans="1:9" x14ac:dyDescent="0.25">
      <c r="A484" t="s">
        <v>97</v>
      </c>
      <c r="B484" t="s">
        <v>89</v>
      </c>
      <c r="C484">
        <v>0</v>
      </c>
      <c r="D484" t="s">
        <v>91</v>
      </c>
      <c r="E484" t="s">
        <v>44</v>
      </c>
      <c r="F484" s="6">
        <v>0.64583333333333337</v>
      </c>
      <c r="G484">
        <v>0</v>
      </c>
      <c r="H484" s="6">
        <f>FLOOR(tblPivotData[[#This Row],[Time]],Summary!$B$6/1440)</f>
        <v>0.64583333333333326</v>
      </c>
      <c r="I484" s="46">
        <f>INDEX(PeakCalc!$L$10:$L$303,MATCH(tblPivotData[[#This Row],[Time]],PeakCalc!$G$10:$G$303,0))</f>
        <v>0</v>
      </c>
    </row>
    <row r="485" spans="1:9" x14ac:dyDescent="0.25">
      <c r="A485" t="s">
        <v>97</v>
      </c>
      <c r="B485" t="s">
        <v>89</v>
      </c>
      <c r="C485">
        <v>0</v>
      </c>
      <c r="D485" t="s">
        <v>91</v>
      </c>
      <c r="E485" t="s">
        <v>44</v>
      </c>
      <c r="F485" s="6">
        <v>0.65625</v>
      </c>
      <c r="G485">
        <v>1</v>
      </c>
      <c r="H485" s="6">
        <f>FLOOR(tblPivotData[[#This Row],[Time]],Summary!$B$6/1440)</f>
        <v>0.65625</v>
      </c>
      <c r="I485" s="46">
        <f>INDEX(PeakCalc!$L$10:$L$303,MATCH(tblPivotData[[#This Row],[Time]],PeakCalc!$G$10:$G$303,0))</f>
        <v>0</v>
      </c>
    </row>
    <row r="486" spans="1:9" x14ac:dyDescent="0.25">
      <c r="A486" t="s">
        <v>97</v>
      </c>
      <c r="B486" t="s">
        <v>89</v>
      </c>
      <c r="C486">
        <v>0</v>
      </c>
      <c r="D486" t="s">
        <v>91</v>
      </c>
      <c r="E486" t="s">
        <v>44</v>
      </c>
      <c r="F486" s="6">
        <v>0.66666666666666663</v>
      </c>
      <c r="G486">
        <v>0</v>
      </c>
      <c r="H486" s="6">
        <f>FLOOR(tblPivotData[[#This Row],[Time]],Summary!$B$6/1440)</f>
        <v>0.66666666666666663</v>
      </c>
      <c r="I486" s="46">
        <f>INDEX(PeakCalc!$L$10:$L$303,MATCH(tblPivotData[[#This Row],[Time]],PeakCalc!$G$10:$G$303,0))</f>
        <v>0</v>
      </c>
    </row>
    <row r="487" spans="1:9" x14ac:dyDescent="0.25">
      <c r="A487" t="s">
        <v>97</v>
      </c>
      <c r="B487" t="s">
        <v>89</v>
      </c>
      <c r="C487">
        <v>0</v>
      </c>
      <c r="D487" t="s">
        <v>91</v>
      </c>
      <c r="E487" t="s">
        <v>44</v>
      </c>
      <c r="F487" s="6">
        <v>0.67708333333333337</v>
      </c>
      <c r="G487">
        <v>0</v>
      </c>
      <c r="H487" s="6">
        <f>FLOOR(tblPivotData[[#This Row],[Time]],Summary!$B$6/1440)</f>
        <v>0.67708333333333326</v>
      </c>
      <c r="I487" s="46">
        <f>INDEX(PeakCalc!$L$10:$L$303,MATCH(tblPivotData[[#This Row],[Time]],PeakCalc!$G$10:$G$303,0))</f>
        <v>0</v>
      </c>
    </row>
    <row r="488" spans="1:9" x14ac:dyDescent="0.25">
      <c r="A488" t="s">
        <v>97</v>
      </c>
      <c r="B488" t="s">
        <v>89</v>
      </c>
      <c r="C488">
        <v>0</v>
      </c>
      <c r="D488" t="s">
        <v>91</v>
      </c>
      <c r="E488" t="s">
        <v>44</v>
      </c>
      <c r="F488" s="6">
        <v>0.6875</v>
      </c>
      <c r="G488">
        <v>1</v>
      </c>
      <c r="H488" s="6">
        <f>FLOOR(tblPivotData[[#This Row],[Time]],Summary!$B$6/1440)</f>
        <v>0.6875</v>
      </c>
      <c r="I488" s="46">
        <f>INDEX(PeakCalc!$L$10:$L$303,MATCH(tblPivotData[[#This Row],[Time]],PeakCalc!$G$10:$G$303,0))</f>
        <v>1</v>
      </c>
    </row>
    <row r="489" spans="1:9" x14ac:dyDescent="0.25">
      <c r="A489" t="s">
        <v>97</v>
      </c>
      <c r="B489" t="s">
        <v>89</v>
      </c>
      <c r="C489">
        <v>0</v>
      </c>
      <c r="D489" t="s">
        <v>91</v>
      </c>
      <c r="E489" t="s">
        <v>44</v>
      </c>
      <c r="F489" s="6">
        <v>0.69791666666666663</v>
      </c>
      <c r="G489">
        <v>0</v>
      </c>
      <c r="H489" s="6">
        <f>FLOOR(tblPivotData[[#This Row],[Time]],Summary!$B$6/1440)</f>
        <v>0.69791666666666663</v>
      </c>
      <c r="I489" s="46">
        <f>INDEX(PeakCalc!$L$10:$L$303,MATCH(tblPivotData[[#This Row],[Time]],PeakCalc!$G$10:$G$303,0))</f>
        <v>1</v>
      </c>
    </row>
    <row r="490" spans="1:9" x14ac:dyDescent="0.25">
      <c r="A490" t="s">
        <v>97</v>
      </c>
      <c r="B490" t="s">
        <v>89</v>
      </c>
      <c r="C490">
        <v>0</v>
      </c>
      <c r="D490" t="s">
        <v>91</v>
      </c>
      <c r="E490" t="s">
        <v>44</v>
      </c>
      <c r="F490" s="6">
        <v>0.70833333333333337</v>
      </c>
      <c r="G490">
        <v>0</v>
      </c>
      <c r="H490" s="6">
        <f>FLOOR(tblPivotData[[#This Row],[Time]],Summary!$B$6/1440)</f>
        <v>0.70833333333333326</v>
      </c>
      <c r="I490" s="46">
        <f>INDEX(PeakCalc!$L$10:$L$303,MATCH(tblPivotData[[#This Row],[Time]],PeakCalc!$G$10:$G$303,0))</f>
        <v>1</v>
      </c>
    </row>
    <row r="491" spans="1:9" x14ac:dyDescent="0.25">
      <c r="A491" t="s">
        <v>97</v>
      </c>
      <c r="B491" t="s">
        <v>89</v>
      </c>
      <c r="C491">
        <v>0</v>
      </c>
      <c r="D491" t="s">
        <v>91</v>
      </c>
      <c r="E491" t="s">
        <v>44</v>
      </c>
      <c r="F491" s="6">
        <v>0.71875</v>
      </c>
      <c r="G491">
        <v>0</v>
      </c>
      <c r="H491" s="6">
        <f>FLOOR(tblPivotData[[#This Row],[Time]],Summary!$B$6/1440)</f>
        <v>0.71875</v>
      </c>
      <c r="I491" s="46">
        <f>INDEX(PeakCalc!$L$10:$L$303,MATCH(tblPivotData[[#This Row],[Time]],PeakCalc!$G$10:$G$303,0))</f>
        <v>1</v>
      </c>
    </row>
    <row r="492" spans="1:9" x14ac:dyDescent="0.25">
      <c r="A492" t="s">
        <v>97</v>
      </c>
      <c r="B492" t="s">
        <v>89</v>
      </c>
      <c r="C492">
        <v>0</v>
      </c>
      <c r="D492" t="s">
        <v>91</v>
      </c>
      <c r="E492" t="s">
        <v>44</v>
      </c>
      <c r="F492" s="6">
        <v>0.72916666666666663</v>
      </c>
      <c r="G492">
        <v>0</v>
      </c>
      <c r="H492" s="6">
        <f>FLOOR(tblPivotData[[#This Row],[Time]],Summary!$B$6/1440)</f>
        <v>0.72916666666666663</v>
      </c>
      <c r="I492" s="46">
        <f>INDEX(PeakCalc!$L$10:$L$303,MATCH(tblPivotData[[#This Row],[Time]],PeakCalc!$G$10:$G$303,0))</f>
        <v>0</v>
      </c>
    </row>
    <row r="493" spans="1:9" x14ac:dyDescent="0.25">
      <c r="A493" t="s">
        <v>97</v>
      </c>
      <c r="B493" t="s">
        <v>89</v>
      </c>
      <c r="C493">
        <v>0</v>
      </c>
      <c r="D493" t="s">
        <v>91</v>
      </c>
      <c r="E493" t="s">
        <v>44</v>
      </c>
      <c r="F493" s="6">
        <v>0.73958333333333337</v>
      </c>
      <c r="G493">
        <v>1</v>
      </c>
      <c r="H493" s="6">
        <f>FLOOR(tblPivotData[[#This Row],[Time]],Summary!$B$6/1440)</f>
        <v>0.73958333333333326</v>
      </c>
      <c r="I493" s="46">
        <f>INDEX(PeakCalc!$L$10:$L$303,MATCH(tblPivotData[[#This Row],[Time]],PeakCalc!$G$10:$G$303,0))</f>
        <v>0</v>
      </c>
    </row>
    <row r="494" spans="1:9" x14ac:dyDescent="0.25">
      <c r="A494" t="s">
        <v>97</v>
      </c>
      <c r="B494" t="s">
        <v>89</v>
      </c>
      <c r="C494">
        <v>0</v>
      </c>
      <c r="D494" t="s">
        <v>91</v>
      </c>
      <c r="E494" t="s">
        <v>44</v>
      </c>
      <c r="F494" s="6">
        <v>0.75</v>
      </c>
      <c r="G494">
        <v>0</v>
      </c>
      <c r="H494" s="6">
        <f>FLOOR(tblPivotData[[#This Row],[Time]],Summary!$B$6/1440)</f>
        <v>0.75</v>
      </c>
      <c r="I494" s="46">
        <f>INDEX(PeakCalc!$L$10:$L$303,MATCH(tblPivotData[[#This Row],[Time]],PeakCalc!$G$10:$G$303,0))</f>
        <v>0</v>
      </c>
    </row>
    <row r="495" spans="1:9" x14ac:dyDescent="0.25">
      <c r="A495" t="s">
        <v>97</v>
      </c>
      <c r="B495" t="s">
        <v>89</v>
      </c>
      <c r="C495">
        <v>0</v>
      </c>
      <c r="D495" t="s">
        <v>91</v>
      </c>
      <c r="E495" t="s">
        <v>44</v>
      </c>
      <c r="F495" s="6">
        <v>0.76041666666666663</v>
      </c>
      <c r="G495">
        <v>0</v>
      </c>
      <c r="H495" s="6">
        <f>FLOOR(tblPivotData[[#This Row],[Time]],Summary!$B$6/1440)</f>
        <v>0.76041666666666663</v>
      </c>
      <c r="I495" s="46">
        <f>INDEX(PeakCalc!$L$10:$L$303,MATCH(tblPivotData[[#This Row],[Time]],PeakCalc!$G$10:$G$303,0))</f>
        <v>0</v>
      </c>
    </row>
    <row r="496" spans="1:9" x14ac:dyDescent="0.25">
      <c r="A496" t="s">
        <v>97</v>
      </c>
      <c r="B496" t="s">
        <v>89</v>
      </c>
      <c r="C496">
        <v>0</v>
      </c>
      <c r="D496" t="s">
        <v>92</v>
      </c>
      <c r="E496" t="s">
        <v>43</v>
      </c>
      <c r="F496" s="6">
        <v>0.27083333333333331</v>
      </c>
      <c r="G496">
        <v>0</v>
      </c>
      <c r="H496" s="6">
        <f>FLOOR(tblPivotData[[#This Row],[Time]],Summary!$B$6/1440)</f>
        <v>0.27083333333333331</v>
      </c>
      <c r="I496" s="46">
        <f>INDEX(PeakCalc!$L$10:$L$303,MATCH(tblPivotData[[#This Row],[Time]],PeakCalc!$G$10:$G$303,0))</f>
        <v>0</v>
      </c>
    </row>
    <row r="497" spans="1:9" x14ac:dyDescent="0.25">
      <c r="A497" t="s">
        <v>97</v>
      </c>
      <c r="B497" t="s">
        <v>89</v>
      </c>
      <c r="C497">
        <v>0</v>
      </c>
      <c r="D497" t="s">
        <v>92</v>
      </c>
      <c r="E497" t="s">
        <v>43</v>
      </c>
      <c r="F497" s="6">
        <v>0.28125</v>
      </c>
      <c r="G497">
        <v>0</v>
      </c>
      <c r="H497" s="6">
        <f>FLOOR(tblPivotData[[#This Row],[Time]],Summary!$B$6/1440)</f>
        <v>0.28125</v>
      </c>
      <c r="I497" s="46">
        <f>INDEX(PeakCalc!$L$10:$L$303,MATCH(tblPivotData[[#This Row],[Time]],PeakCalc!$G$10:$G$303,0))</f>
        <v>0</v>
      </c>
    </row>
    <row r="498" spans="1:9" x14ac:dyDescent="0.25">
      <c r="A498" t="s">
        <v>97</v>
      </c>
      <c r="B498" t="s">
        <v>89</v>
      </c>
      <c r="C498">
        <v>0</v>
      </c>
      <c r="D498" t="s">
        <v>92</v>
      </c>
      <c r="E498" t="s">
        <v>43</v>
      </c>
      <c r="F498" s="6">
        <v>0.29166666666666669</v>
      </c>
      <c r="G498">
        <v>0</v>
      </c>
      <c r="H498" s="6">
        <f>FLOOR(tblPivotData[[#This Row],[Time]],Summary!$B$6/1440)</f>
        <v>0.29166666666666663</v>
      </c>
      <c r="I498" s="46">
        <f>INDEX(PeakCalc!$L$10:$L$303,MATCH(tblPivotData[[#This Row],[Time]],PeakCalc!$G$10:$G$303,0))</f>
        <v>0</v>
      </c>
    </row>
    <row r="499" spans="1:9" x14ac:dyDescent="0.25">
      <c r="A499" t="s">
        <v>97</v>
      </c>
      <c r="B499" t="s">
        <v>89</v>
      </c>
      <c r="C499">
        <v>0</v>
      </c>
      <c r="D499" t="s">
        <v>92</v>
      </c>
      <c r="E499" t="s">
        <v>43</v>
      </c>
      <c r="F499" s="6">
        <v>0.30208333333333331</v>
      </c>
      <c r="G499">
        <v>1</v>
      </c>
      <c r="H499" s="6">
        <f>FLOOR(tblPivotData[[#This Row],[Time]],Summary!$B$6/1440)</f>
        <v>0.30208333333333331</v>
      </c>
      <c r="I499" s="46">
        <f>INDEX(PeakCalc!$L$10:$L$303,MATCH(tblPivotData[[#This Row],[Time]],PeakCalc!$G$10:$G$303,0))</f>
        <v>0</v>
      </c>
    </row>
    <row r="500" spans="1:9" x14ac:dyDescent="0.25">
      <c r="A500" t="s">
        <v>97</v>
      </c>
      <c r="B500" t="s">
        <v>89</v>
      </c>
      <c r="C500">
        <v>0</v>
      </c>
      <c r="D500" t="s">
        <v>92</v>
      </c>
      <c r="E500" t="s">
        <v>43</v>
      </c>
      <c r="F500" s="6">
        <v>0.3125</v>
      </c>
      <c r="G500">
        <v>2</v>
      </c>
      <c r="H500" s="6">
        <f>FLOOR(tblPivotData[[#This Row],[Time]],Summary!$B$6/1440)</f>
        <v>0.3125</v>
      </c>
      <c r="I500" s="46">
        <f>INDEX(PeakCalc!$L$10:$L$303,MATCH(tblPivotData[[#This Row],[Time]],PeakCalc!$G$10:$G$303,0))</f>
        <v>0</v>
      </c>
    </row>
    <row r="501" spans="1:9" x14ac:dyDescent="0.25">
      <c r="A501" t="s">
        <v>97</v>
      </c>
      <c r="B501" t="s">
        <v>89</v>
      </c>
      <c r="C501">
        <v>0</v>
      </c>
      <c r="D501" t="s">
        <v>92</v>
      </c>
      <c r="E501" t="s">
        <v>43</v>
      </c>
      <c r="F501" s="6">
        <v>0.32291666666666669</v>
      </c>
      <c r="G501">
        <v>0</v>
      </c>
      <c r="H501" s="6">
        <f>FLOOR(tblPivotData[[#This Row],[Time]],Summary!$B$6/1440)</f>
        <v>0.32291666666666663</v>
      </c>
      <c r="I501" s="46">
        <f>INDEX(PeakCalc!$L$10:$L$303,MATCH(tblPivotData[[#This Row],[Time]],PeakCalc!$G$10:$G$303,0))</f>
        <v>1</v>
      </c>
    </row>
    <row r="502" spans="1:9" x14ac:dyDescent="0.25">
      <c r="A502" t="s">
        <v>97</v>
      </c>
      <c r="B502" t="s">
        <v>89</v>
      </c>
      <c r="C502">
        <v>0</v>
      </c>
      <c r="D502" t="s">
        <v>92</v>
      </c>
      <c r="E502" t="s">
        <v>43</v>
      </c>
      <c r="F502" s="6">
        <v>0.33333333333333331</v>
      </c>
      <c r="G502">
        <v>1</v>
      </c>
      <c r="H502" s="6">
        <f>FLOOR(tblPivotData[[#This Row],[Time]],Summary!$B$6/1440)</f>
        <v>0.33333333333333331</v>
      </c>
      <c r="I502" s="46">
        <f>INDEX(PeakCalc!$L$10:$L$303,MATCH(tblPivotData[[#This Row],[Time]],PeakCalc!$G$10:$G$303,0))</f>
        <v>1</v>
      </c>
    </row>
    <row r="503" spans="1:9" x14ac:dyDescent="0.25">
      <c r="A503" t="s">
        <v>97</v>
      </c>
      <c r="B503" t="s">
        <v>89</v>
      </c>
      <c r="C503">
        <v>0</v>
      </c>
      <c r="D503" t="s">
        <v>92</v>
      </c>
      <c r="E503" t="s">
        <v>43</v>
      </c>
      <c r="F503" s="6">
        <v>0.34375</v>
      </c>
      <c r="G503">
        <v>1</v>
      </c>
      <c r="H503" s="6">
        <f>FLOOR(tblPivotData[[#This Row],[Time]],Summary!$B$6/1440)</f>
        <v>0.34375</v>
      </c>
      <c r="I503" s="46">
        <f>INDEX(PeakCalc!$L$10:$L$303,MATCH(tblPivotData[[#This Row],[Time]],PeakCalc!$G$10:$G$303,0))</f>
        <v>1</v>
      </c>
    </row>
    <row r="504" spans="1:9" x14ac:dyDescent="0.25">
      <c r="A504" t="s">
        <v>97</v>
      </c>
      <c r="B504" t="s">
        <v>89</v>
      </c>
      <c r="C504">
        <v>0</v>
      </c>
      <c r="D504" t="s">
        <v>92</v>
      </c>
      <c r="E504" t="s">
        <v>43</v>
      </c>
      <c r="F504" s="6">
        <v>0.35416666666666669</v>
      </c>
      <c r="G504">
        <v>1</v>
      </c>
      <c r="H504" s="6">
        <f>FLOOR(tblPivotData[[#This Row],[Time]],Summary!$B$6/1440)</f>
        <v>0.35416666666666663</v>
      </c>
      <c r="I504" s="46">
        <f>INDEX(PeakCalc!$L$10:$L$303,MATCH(tblPivotData[[#This Row],[Time]],PeakCalc!$G$10:$G$303,0))</f>
        <v>1</v>
      </c>
    </row>
    <row r="505" spans="1:9" x14ac:dyDescent="0.25">
      <c r="A505" t="s">
        <v>97</v>
      </c>
      <c r="B505" t="s">
        <v>89</v>
      </c>
      <c r="C505">
        <v>0</v>
      </c>
      <c r="D505" t="s">
        <v>92</v>
      </c>
      <c r="E505" t="s">
        <v>43</v>
      </c>
      <c r="F505" s="6">
        <v>0.36458333333333331</v>
      </c>
      <c r="G505">
        <v>1</v>
      </c>
      <c r="H505" s="6">
        <f>FLOOR(tblPivotData[[#This Row],[Time]],Summary!$B$6/1440)</f>
        <v>0.36458333333333331</v>
      </c>
      <c r="I505" s="46">
        <f>INDEX(PeakCalc!$L$10:$L$303,MATCH(tblPivotData[[#This Row],[Time]],PeakCalc!$G$10:$G$303,0))</f>
        <v>0</v>
      </c>
    </row>
    <row r="506" spans="1:9" x14ac:dyDescent="0.25">
      <c r="A506" t="s">
        <v>97</v>
      </c>
      <c r="B506" t="s">
        <v>89</v>
      </c>
      <c r="C506">
        <v>0</v>
      </c>
      <c r="D506" t="s">
        <v>92</v>
      </c>
      <c r="E506" t="s">
        <v>43</v>
      </c>
      <c r="F506" s="6">
        <v>0.375</v>
      </c>
      <c r="G506">
        <v>4</v>
      </c>
      <c r="H506" s="6">
        <f>FLOOR(tblPivotData[[#This Row],[Time]],Summary!$B$6/1440)</f>
        <v>0.375</v>
      </c>
      <c r="I506" s="46">
        <f>INDEX(PeakCalc!$L$10:$L$303,MATCH(tblPivotData[[#This Row],[Time]],PeakCalc!$G$10:$G$303,0))</f>
        <v>0</v>
      </c>
    </row>
    <row r="507" spans="1:9" x14ac:dyDescent="0.25">
      <c r="A507" t="s">
        <v>97</v>
      </c>
      <c r="B507" t="s">
        <v>89</v>
      </c>
      <c r="C507">
        <v>0</v>
      </c>
      <c r="D507" t="s">
        <v>92</v>
      </c>
      <c r="E507" t="s">
        <v>43</v>
      </c>
      <c r="F507" s="6">
        <v>0.38541666666666669</v>
      </c>
      <c r="G507">
        <v>0</v>
      </c>
      <c r="H507" s="6">
        <f>FLOOR(tblPivotData[[#This Row],[Time]],Summary!$B$6/1440)</f>
        <v>0.38541666666666663</v>
      </c>
      <c r="I507" s="46">
        <f>INDEX(PeakCalc!$L$10:$L$303,MATCH(tblPivotData[[#This Row],[Time]],PeakCalc!$G$10:$G$303,0))</f>
        <v>0</v>
      </c>
    </row>
    <row r="508" spans="1:9" x14ac:dyDescent="0.25">
      <c r="A508" t="s">
        <v>97</v>
      </c>
      <c r="B508" t="s">
        <v>89</v>
      </c>
      <c r="C508">
        <v>0</v>
      </c>
      <c r="D508" t="s">
        <v>92</v>
      </c>
      <c r="E508" t="s">
        <v>88</v>
      </c>
      <c r="F508" s="6">
        <v>0.45833333333333331</v>
      </c>
      <c r="G508">
        <v>5</v>
      </c>
      <c r="H508" s="6">
        <f>FLOOR(tblPivotData[[#This Row],[Time]],Summary!$B$6/1440)</f>
        <v>0.45833333333333331</v>
      </c>
      <c r="I508" s="46">
        <f>INDEX(PeakCalc!$L$10:$L$303,MATCH(tblPivotData[[#This Row],[Time]],PeakCalc!$G$10:$G$303,0))</f>
        <v>0</v>
      </c>
    </row>
    <row r="509" spans="1:9" x14ac:dyDescent="0.25">
      <c r="A509" t="s">
        <v>97</v>
      </c>
      <c r="B509" t="s">
        <v>89</v>
      </c>
      <c r="C509">
        <v>0</v>
      </c>
      <c r="D509" t="s">
        <v>92</v>
      </c>
      <c r="E509" t="s">
        <v>88</v>
      </c>
      <c r="F509" s="6">
        <v>0.46875</v>
      </c>
      <c r="G509">
        <v>6</v>
      </c>
      <c r="H509" s="6">
        <f>FLOOR(tblPivotData[[#This Row],[Time]],Summary!$B$6/1440)</f>
        <v>0.46875</v>
      </c>
      <c r="I509" s="46">
        <f>INDEX(PeakCalc!$L$10:$L$303,MATCH(tblPivotData[[#This Row],[Time]],PeakCalc!$G$10:$G$303,0))</f>
        <v>0</v>
      </c>
    </row>
    <row r="510" spans="1:9" x14ac:dyDescent="0.25">
      <c r="A510" t="s">
        <v>97</v>
      </c>
      <c r="B510" t="s">
        <v>89</v>
      </c>
      <c r="C510">
        <v>0</v>
      </c>
      <c r="D510" t="s">
        <v>92</v>
      </c>
      <c r="E510" t="s">
        <v>88</v>
      </c>
      <c r="F510" s="6">
        <v>0.47916666666666669</v>
      </c>
      <c r="G510">
        <v>2</v>
      </c>
      <c r="H510" s="6">
        <f>FLOOR(tblPivotData[[#This Row],[Time]],Summary!$B$6/1440)</f>
        <v>0.47916666666666663</v>
      </c>
      <c r="I510" s="46">
        <f>INDEX(PeakCalc!$L$10:$L$303,MATCH(tblPivotData[[#This Row],[Time]],PeakCalc!$G$10:$G$303,0))</f>
        <v>0</v>
      </c>
    </row>
    <row r="511" spans="1:9" x14ac:dyDescent="0.25">
      <c r="A511" t="s">
        <v>97</v>
      </c>
      <c r="B511" t="s">
        <v>89</v>
      </c>
      <c r="C511">
        <v>0</v>
      </c>
      <c r="D511" t="s">
        <v>92</v>
      </c>
      <c r="E511" t="s">
        <v>88</v>
      </c>
      <c r="F511" s="6">
        <v>0.48958333333333331</v>
      </c>
      <c r="G511">
        <v>5</v>
      </c>
      <c r="H511" s="6">
        <f>FLOOR(tblPivotData[[#This Row],[Time]],Summary!$B$6/1440)</f>
        <v>0.48958333333333331</v>
      </c>
      <c r="I511" s="46">
        <f>INDEX(PeakCalc!$L$10:$L$303,MATCH(tblPivotData[[#This Row],[Time]],PeakCalc!$G$10:$G$303,0))</f>
        <v>0</v>
      </c>
    </row>
    <row r="512" spans="1:9" x14ac:dyDescent="0.25">
      <c r="A512" t="s">
        <v>97</v>
      </c>
      <c r="B512" t="s">
        <v>89</v>
      </c>
      <c r="C512">
        <v>0</v>
      </c>
      <c r="D512" t="s">
        <v>92</v>
      </c>
      <c r="E512" t="s">
        <v>88</v>
      </c>
      <c r="F512" s="6">
        <v>0.5</v>
      </c>
      <c r="G512">
        <v>5</v>
      </c>
      <c r="H512" s="6">
        <f>FLOOR(tblPivotData[[#This Row],[Time]],Summary!$B$6/1440)</f>
        <v>0.5</v>
      </c>
      <c r="I512" s="46">
        <f>INDEX(PeakCalc!$L$10:$L$303,MATCH(tblPivotData[[#This Row],[Time]],PeakCalc!$G$10:$G$303,0))</f>
        <v>0</v>
      </c>
    </row>
    <row r="513" spans="1:9" x14ac:dyDescent="0.25">
      <c r="A513" t="s">
        <v>97</v>
      </c>
      <c r="B513" t="s">
        <v>89</v>
      </c>
      <c r="C513">
        <v>0</v>
      </c>
      <c r="D513" t="s">
        <v>92</v>
      </c>
      <c r="E513" t="s">
        <v>88</v>
      </c>
      <c r="F513" s="6">
        <v>0.51041666666666663</v>
      </c>
      <c r="G513">
        <v>2</v>
      </c>
      <c r="H513" s="6">
        <f>FLOOR(tblPivotData[[#This Row],[Time]],Summary!$B$6/1440)</f>
        <v>0.51041666666666663</v>
      </c>
      <c r="I513" s="46">
        <f>INDEX(PeakCalc!$L$10:$L$303,MATCH(tblPivotData[[#This Row],[Time]],PeakCalc!$G$10:$G$303,0))</f>
        <v>0</v>
      </c>
    </row>
    <row r="514" spans="1:9" x14ac:dyDescent="0.25">
      <c r="A514" t="s">
        <v>97</v>
      </c>
      <c r="B514" t="s">
        <v>89</v>
      </c>
      <c r="C514">
        <v>0</v>
      </c>
      <c r="D514" t="s">
        <v>92</v>
      </c>
      <c r="E514" t="s">
        <v>88</v>
      </c>
      <c r="F514" s="6">
        <v>0.52083333333333337</v>
      </c>
      <c r="G514">
        <v>5</v>
      </c>
      <c r="H514" s="6">
        <f>FLOOR(tblPivotData[[#This Row],[Time]],Summary!$B$6/1440)</f>
        <v>0.52083333333333326</v>
      </c>
      <c r="I514" s="46">
        <f>INDEX(PeakCalc!$L$10:$L$303,MATCH(tblPivotData[[#This Row],[Time]],PeakCalc!$G$10:$G$303,0))</f>
        <v>1</v>
      </c>
    </row>
    <row r="515" spans="1:9" x14ac:dyDescent="0.25">
      <c r="A515" t="s">
        <v>97</v>
      </c>
      <c r="B515" t="s">
        <v>89</v>
      </c>
      <c r="C515">
        <v>0</v>
      </c>
      <c r="D515" t="s">
        <v>92</v>
      </c>
      <c r="E515" t="s">
        <v>88</v>
      </c>
      <c r="F515" s="6">
        <v>0.53125</v>
      </c>
      <c r="G515">
        <v>5</v>
      </c>
      <c r="H515" s="6">
        <f>FLOOR(tblPivotData[[#This Row],[Time]],Summary!$B$6/1440)</f>
        <v>0.53125</v>
      </c>
      <c r="I515" s="46">
        <f>INDEX(PeakCalc!$L$10:$L$303,MATCH(tblPivotData[[#This Row],[Time]],PeakCalc!$G$10:$G$303,0))</f>
        <v>1</v>
      </c>
    </row>
    <row r="516" spans="1:9" x14ac:dyDescent="0.25">
      <c r="A516" t="s">
        <v>97</v>
      </c>
      <c r="B516" t="s">
        <v>89</v>
      </c>
      <c r="C516">
        <v>0</v>
      </c>
      <c r="D516" t="s">
        <v>92</v>
      </c>
      <c r="E516" t="s">
        <v>88</v>
      </c>
      <c r="F516" s="6">
        <v>0.54166666666666663</v>
      </c>
      <c r="G516">
        <v>6</v>
      </c>
      <c r="H516" s="6">
        <f>FLOOR(tblPivotData[[#This Row],[Time]],Summary!$B$6/1440)</f>
        <v>0.54166666666666663</v>
      </c>
      <c r="I516" s="46">
        <f>INDEX(PeakCalc!$L$10:$L$303,MATCH(tblPivotData[[#This Row],[Time]],PeakCalc!$G$10:$G$303,0))</f>
        <v>1</v>
      </c>
    </row>
    <row r="517" spans="1:9" x14ac:dyDescent="0.25">
      <c r="A517" t="s">
        <v>97</v>
      </c>
      <c r="B517" t="s">
        <v>89</v>
      </c>
      <c r="C517">
        <v>0</v>
      </c>
      <c r="D517" t="s">
        <v>92</v>
      </c>
      <c r="E517" t="s">
        <v>88</v>
      </c>
      <c r="F517" s="6">
        <v>0.55208333333333337</v>
      </c>
      <c r="G517">
        <v>6</v>
      </c>
      <c r="H517" s="6">
        <f>FLOOR(tblPivotData[[#This Row],[Time]],Summary!$B$6/1440)</f>
        <v>0.55208333333333326</v>
      </c>
      <c r="I517" s="46">
        <f>INDEX(PeakCalc!$L$10:$L$303,MATCH(tblPivotData[[#This Row],[Time]],PeakCalc!$G$10:$G$303,0))</f>
        <v>1</v>
      </c>
    </row>
    <row r="518" spans="1:9" x14ac:dyDescent="0.25">
      <c r="A518" t="s">
        <v>97</v>
      </c>
      <c r="B518" t="s">
        <v>89</v>
      </c>
      <c r="C518">
        <v>0</v>
      </c>
      <c r="D518" t="s">
        <v>92</v>
      </c>
      <c r="E518" t="s">
        <v>88</v>
      </c>
      <c r="F518" s="6">
        <v>0.5625</v>
      </c>
      <c r="G518">
        <v>7</v>
      </c>
      <c r="H518" s="6">
        <f>FLOOR(tblPivotData[[#This Row],[Time]],Summary!$B$6/1440)</f>
        <v>0.5625</v>
      </c>
      <c r="I518" s="46">
        <f>INDEX(PeakCalc!$L$10:$L$303,MATCH(tblPivotData[[#This Row],[Time]],PeakCalc!$G$10:$G$303,0))</f>
        <v>0</v>
      </c>
    </row>
    <row r="519" spans="1:9" x14ac:dyDescent="0.25">
      <c r="A519" t="s">
        <v>97</v>
      </c>
      <c r="B519" t="s">
        <v>89</v>
      </c>
      <c r="C519">
        <v>0</v>
      </c>
      <c r="D519" t="s">
        <v>92</v>
      </c>
      <c r="E519" t="s">
        <v>88</v>
      </c>
      <c r="F519" s="6">
        <v>0.57291666666666663</v>
      </c>
      <c r="G519">
        <v>3</v>
      </c>
      <c r="H519" s="6">
        <f>FLOOR(tblPivotData[[#This Row],[Time]],Summary!$B$6/1440)</f>
        <v>0.57291666666666663</v>
      </c>
      <c r="I519" s="46">
        <f>INDEX(PeakCalc!$L$10:$L$303,MATCH(tblPivotData[[#This Row],[Time]],PeakCalc!$G$10:$G$303,0))</f>
        <v>0</v>
      </c>
    </row>
    <row r="520" spans="1:9" x14ac:dyDescent="0.25">
      <c r="A520" t="s">
        <v>97</v>
      </c>
      <c r="B520" t="s">
        <v>89</v>
      </c>
      <c r="C520">
        <v>0</v>
      </c>
      <c r="D520" t="s">
        <v>92</v>
      </c>
      <c r="E520" t="s">
        <v>44</v>
      </c>
      <c r="F520" s="6">
        <v>0.625</v>
      </c>
      <c r="G520">
        <v>4</v>
      </c>
      <c r="H520" s="6">
        <f>FLOOR(tblPivotData[[#This Row],[Time]],Summary!$B$6/1440)</f>
        <v>0.625</v>
      </c>
      <c r="I520" s="46">
        <f>INDEX(PeakCalc!$L$10:$L$303,MATCH(tblPivotData[[#This Row],[Time]],PeakCalc!$G$10:$G$303,0))</f>
        <v>0</v>
      </c>
    </row>
    <row r="521" spans="1:9" x14ac:dyDescent="0.25">
      <c r="A521" t="s">
        <v>97</v>
      </c>
      <c r="B521" t="s">
        <v>89</v>
      </c>
      <c r="C521">
        <v>0</v>
      </c>
      <c r="D521" t="s">
        <v>92</v>
      </c>
      <c r="E521" t="s">
        <v>44</v>
      </c>
      <c r="F521" s="6">
        <v>0.63541666666666663</v>
      </c>
      <c r="G521">
        <v>10</v>
      </c>
      <c r="H521" s="6">
        <f>FLOOR(tblPivotData[[#This Row],[Time]],Summary!$B$6/1440)</f>
        <v>0.63541666666666663</v>
      </c>
      <c r="I521" s="46">
        <f>INDEX(PeakCalc!$L$10:$L$303,MATCH(tblPivotData[[#This Row],[Time]],PeakCalc!$G$10:$G$303,0))</f>
        <v>0</v>
      </c>
    </row>
    <row r="522" spans="1:9" x14ac:dyDescent="0.25">
      <c r="A522" t="s">
        <v>97</v>
      </c>
      <c r="B522" t="s">
        <v>89</v>
      </c>
      <c r="C522">
        <v>0</v>
      </c>
      <c r="D522" t="s">
        <v>92</v>
      </c>
      <c r="E522" t="s">
        <v>44</v>
      </c>
      <c r="F522" s="6">
        <v>0.64583333333333337</v>
      </c>
      <c r="G522">
        <v>5</v>
      </c>
      <c r="H522" s="6">
        <f>FLOOR(tblPivotData[[#This Row],[Time]],Summary!$B$6/1440)</f>
        <v>0.64583333333333326</v>
      </c>
      <c r="I522" s="46">
        <f>INDEX(PeakCalc!$L$10:$L$303,MATCH(tblPivotData[[#This Row],[Time]],PeakCalc!$G$10:$G$303,0))</f>
        <v>0</v>
      </c>
    </row>
    <row r="523" spans="1:9" x14ac:dyDescent="0.25">
      <c r="A523" t="s">
        <v>97</v>
      </c>
      <c r="B523" t="s">
        <v>89</v>
      </c>
      <c r="C523">
        <v>0</v>
      </c>
      <c r="D523" t="s">
        <v>92</v>
      </c>
      <c r="E523" t="s">
        <v>44</v>
      </c>
      <c r="F523" s="6">
        <v>0.65625</v>
      </c>
      <c r="G523">
        <v>8</v>
      </c>
      <c r="H523" s="6">
        <f>FLOOR(tblPivotData[[#This Row],[Time]],Summary!$B$6/1440)</f>
        <v>0.65625</v>
      </c>
      <c r="I523" s="46">
        <f>INDEX(PeakCalc!$L$10:$L$303,MATCH(tblPivotData[[#This Row],[Time]],PeakCalc!$G$10:$G$303,0))</f>
        <v>0</v>
      </c>
    </row>
    <row r="524" spans="1:9" x14ac:dyDescent="0.25">
      <c r="A524" t="s">
        <v>97</v>
      </c>
      <c r="B524" t="s">
        <v>89</v>
      </c>
      <c r="C524">
        <v>0</v>
      </c>
      <c r="D524" t="s">
        <v>92</v>
      </c>
      <c r="E524" t="s">
        <v>44</v>
      </c>
      <c r="F524" s="6">
        <v>0.66666666666666663</v>
      </c>
      <c r="G524">
        <v>7</v>
      </c>
      <c r="H524" s="6">
        <f>FLOOR(tblPivotData[[#This Row],[Time]],Summary!$B$6/1440)</f>
        <v>0.66666666666666663</v>
      </c>
      <c r="I524" s="46">
        <f>INDEX(PeakCalc!$L$10:$L$303,MATCH(tblPivotData[[#This Row],[Time]],PeakCalc!$G$10:$G$303,0))</f>
        <v>0</v>
      </c>
    </row>
    <row r="525" spans="1:9" x14ac:dyDescent="0.25">
      <c r="A525" t="s">
        <v>97</v>
      </c>
      <c r="B525" t="s">
        <v>89</v>
      </c>
      <c r="C525">
        <v>0</v>
      </c>
      <c r="D525" t="s">
        <v>92</v>
      </c>
      <c r="E525" t="s">
        <v>44</v>
      </c>
      <c r="F525" s="6">
        <v>0.67708333333333337</v>
      </c>
      <c r="G525">
        <v>4</v>
      </c>
      <c r="H525" s="6">
        <f>FLOOR(tblPivotData[[#This Row],[Time]],Summary!$B$6/1440)</f>
        <v>0.67708333333333326</v>
      </c>
      <c r="I525" s="46">
        <f>INDEX(PeakCalc!$L$10:$L$303,MATCH(tblPivotData[[#This Row],[Time]],PeakCalc!$G$10:$G$303,0))</f>
        <v>0</v>
      </c>
    </row>
    <row r="526" spans="1:9" x14ac:dyDescent="0.25">
      <c r="A526" t="s">
        <v>97</v>
      </c>
      <c r="B526" t="s">
        <v>89</v>
      </c>
      <c r="C526">
        <v>0</v>
      </c>
      <c r="D526" t="s">
        <v>92</v>
      </c>
      <c r="E526" t="s">
        <v>44</v>
      </c>
      <c r="F526" s="6">
        <v>0.6875</v>
      </c>
      <c r="G526">
        <v>11</v>
      </c>
      <c r="H526" s="6">
        <f>FLOOR(tblPivotData[[#This Row],[Time]],Summary!$B$6/1440)</f>
        <v>0.6875</v>
      </c>
      <c r="I526" s="46">
        <f>INDEX(PeakCalc!$L$10:$L$303,MATCH(tblPivotData[[#This Row],[Time]],PeakCalc!$G$10:$G$303,0))</f>
        <v>1</v>
      </c>
    </row>
    <row r="527" spans="1:9" x14ac:dyDescent="0.25">
      <c r="A527" t="s">
        <v>97</v>
      </c>
      <c r="B527" t="s">
        <v>89</v>
      </c>
      <c r="C527">
        <v>0</v>
      </c>
      <c r="D527" t="s">
        <v>92</v>
      </c>
      <c r="E527" t="s">
        <v>44</v>
      </c>
      <c r="F527" s="6">
        <v>0.69791666666666663</v>
      </c>
      <c r="G527">
        <v>4</v>
      </c>
      <c r="H527" s="6">
        <f>FLOOR(tblPivotData[[#This Row],[Time]],Summary!$B$6/1440)</f>
        <v>0.69791666666666663</v>
      </c>
      <c r="I527" s="46">
        <f>INDEX(PeakCalc!$L$10:$L$303,MATCH(tblPivotData[[#This Row],[Time]],PeakCalc!$G$10:$G$303,0))</f>
        <v>1</v>
      </c>
    </row>
    <row r="528" spans="1:9" x14ac:dyDescent="0.25">
      <c r="A528" t="s">
        <v>97</v>
      </c>
      <c r="B528" t="s">
        <v>89</v>
      </c>
      <c r="C528">
        <v>0</v>
      </c>
      <c r="D528" t="s">
        <v>92</v>
      </c>
      <c r="E528" t="s">
        <v>44</v>
      </c>
      <c r="F528" s="6">
        <v>0.70833333333333337</v>
      </c>
      <c r="G528">
        <v>7</v>
      </c>
      <c r="H528" s="6">
        <f>FLOOR(tblPivotData[[#This Row],[Time]],Summary!$B$6/1440)</f>
        <v>0.70833333333333326</v>
      </c>
      <c r="I528" s="46">
        <f>INDEX(PeakCalc!$L$10:$L$303,MATCH(tblPivotData[[#This Row],[Time]],PeakCalc!$G$10:$G$303,0))</f>
        <v>1</v>
      </c>
    </row>
    <row r="529" spans="1:9" x14ac:dyDescent="0.25">
      <c r="A529" t="s">
        <v>97</v>
      </c>
      <c r="B529" t="s">
        <v>89</v>
      </c>
      <c r="C529">
        <v>0</v>
      </c>
      <c r="D529" t="s">
        <v>92</v>
      </c>
      <c r="E529" t="s">
        <v>44</v>
      </c>
      <c r="F529" s="6">
        <v>0.71875</v>
      </c>
      <c r="G529">
        <v>4</v>
      </c>
      <c r="H529" s="6">
        <f>FLOOR(tblPivotData[[#This Row],[Time]],Summary!$B$6/1440)</f>
        <v>0.71875</v>
      </c>
      <c r="I529" s="46">
        <f>INDEX(PeakCalc!$L$10:$L$303,MATCH(tblPivotData[[#This Row],[Time]],PeakCalc!$G$10:$G$303,0))</f>
        <v>1</v>
      </c>
    </row>
    <row r="530" spans="1:9" x14ac:dyDescent="0.25">
      <c r="A530" t="s">
        <v>97</v>
      </c>
      <c r="B530" t="s">
        <v>89</v>
      </c>
      <c r="C530">
        <v>0</v>
      </c>
      <c r="D530" t="s">
        <v>92</v>
      </c>
      <c r="E530" t="s">
        <v>44</v>
      </c>
      <c r="F530" s="6">
        <v>0.72916666666666663</v>
      </c>
      <c r="G530">
        <v>6</v>
      </c>
      <c r="H530" s="6">
        <f>FLOOR(tblPivotData[[#This Row],[Time]],Summary!$B$6/1440)</f>
        <v>0.72916666666666663</v>
      </c>
      <c r="I530" s="46">
        <f>INDEX(PeakCalc!$L$10:$L$303,MATCH(tblPivotData[[#This Row],[Time]],PeakCalc!$G$10:$G$303,0))</f>
        <v>0</v>
      </c>
    </row>
    <row r="531" spans="1:9" x14ac:dyDescent="0.25">
      <c r="A531" t="s">
        <v>97</v>
      </c>
      <c r="B531" t="s">
        <v>89</v>
      </c>
      <c r="C531">
        <v>0</v>
      </c>
      <c r="D531" t="s">
        <v>92</v>
      </c>
      <c r="E531" t="s">
        <v>44</v>
      </c>
      <c r="F531" s="6">
        <v>0.73958333333333337</v>
      </c>
      <c r="G531">
        <v>3</v>
      </c>
      <c r="H531" s="6">
        <f>FLOOR(tblPivotData[[#This Row],[Time]],Summary!$B$6/1440)</f>
        <v>0.73958333333333326</v>
      </c>
      <c r="I531" s="46">
        <f>INDEX(PeakCalc!$L$10:$L$303,MATCH(tblPivotData[[#This Row],[Time]],PeakCalc!$G$10:$G$303,0))</f>
        <v>0</v>
      </c>
    </row>
    <row r="532" spans="1:9" x14ac:dyDescent="0.25">
      <c r="A532" t="s">
        <v>97</v>
      </c>
      <c r="B532" t="s">
        <v>89</v>
      </c>
      <c r="C532">
        <v>0</v>
      </c>
      <c r="D532" t="s">
        <v>92</v>
      </c>
      <c r="E532" t="s">
        <v>44</v>
      </c>
      <c r="F532" s="6">
        <v>0.75</v>
      </c>
      <c r="G532">
        <v>1</v>
      </c>
      <c r="H532" s="6">
        <f>FLOOR(tblPivotData[[#This Row],[Time]],Summary!$B$6/1440)</f>
        <v>0.75</v>
      </c>
      <c r="I532" s="46">
        <f>INDEX(PeakCalc!$L$10:$L$303,MATCH(tblPivotData[[#This Row],[Time]],PeakCalc!$G$10:$G$303,0))</f>
        <v>0</v>
      </c>
    </row>
    <row r="533" spans="1:9" x14ac:dyDescent="0.25">
      <c r="A533" t="s">
        <v>97</v>
      </c>
      <c r="B533" t="s">
        <v>89</v>
      </c>
      <c r="C533">
        <v>0</v>
      </c>
      <c r="D533" t="s">
        <v>92</v>
      </c>
      <c r="E533" t="s">
        <v>44</v>
      </c>
      <c r="F533" s="6">
        <v>0.76041666666666663</v>
      </c>
      <c r="G533">
        <v>1</v>
      </c>
      <c r="H533" s="6">
        <f>FLOOR(tblPivotData[[#This Row],[Time]],Summary!$B$6/1440)</f>
        <v>0.76041666666666663</v>
      </c>
      <c r="I533" s="46">
        <f>INDEX(PeakCalc!$L$10:$L$303,MATCH(tblPivotData[[#This Row],[Time]],PeakCalc!$G$10:$G$303,0))</f>
        <v>0</v>
      </c>
    </row>
    <row r="534" spans="1:9" x14ac:dyDescent="0.25">
      <c r="A534" t="s">
        <v>97</v>
      </c>
      <c r="B534" t="s">
        <v>90</v>
      </c>
      <c r="C534">
        <v>0</v>
      </c>
      <c r="D534" t="s">
        <v>91</v>
      </c>
      <c r="E534" t="s">
        <v>43</v>
      </c>
      <c r="F534" s="6">
        <v>0.27083333333333331</v>
      </c>
      <c r="G534">
        <v>0</v>
      </c>
      <c r="H534" s="6">
        <f>FLOOR(tblPivotData[[#This Row],[Time]],Summary!$B$6/1440)</f>
        <v>0.27083333333333331</v>
      </c>
      <c r="I534" s="46">
        <f>INDEX(PeakCalc!$L$10:$L$303,MATCH(tblPivotData[[#This Row],[Time]],PeakCalc!$G$10:$G$303,0))</f>
        <v>0</v>
      </c>
    </row>
    <row r="535" spans="1:9" x14ac:dyDescent="0.25">
      <c r="A535" t="s">
        <v>97</v>
      </c>
      <c r="B535" t="s">
        <v>90</v>
      </c>
      <c r="C535">
        <v>0</v>
      </c>
      <c r="D535" t="s">
        <v>91</v>
      </c>
      <c r="E535" t="s">
        <v>43</v>
      </c>
      <c r="F535" s="6">
        <v>0.28125</v>
      </c>
      <c r="G535">
        <v>0</v>
      </c>
      <c r="H535" s="6">
        <f>FLOOR(tblPivotData[[#This Row],[Time]],Summary!$B$6/1440)</f>
        <v>0.28125</v>
      </c>
      <c r="I535" s="46">
        <f>INDEX(PeakCalc!$L$10:$L$303,MATCH(tblPivotData[[#This Row],[Time]],PeakCalc!$G$10:$G$303,0))</f>
        <v>0</v>
      </c>
    </row>
    <row r="536" spans="1:9" x14ac:dyDescent="0.25">
      <c r="A536" t="s">
        <v>97</v>
      </c>
      <c r="B536" t="s">
        <v>90</v>
      </c>
      <c r="C536">
        <v>0</v>
      </c>
      <c r="D536" t="s">
        <v>91</v>
      </c>
      <c r="E536" t="s">
        <v>43</v>
      </c>
      <c r="F536" s="6">
        <v>0.29166666666666669</v>
      </c>
      <c r="G536">
        <v>1</v>
      </c>
      <c r="H536" s="6">
        <f>FLOOR(tblPivotData[[#This Row],[Time]],Summary!$B$6/1440)</f>
        <v>0.29166666666666663</v>
      </c>
      <c r="I536" s="46">
        <f>INDEX(PeakCalc!$L$10:$L$303,MATCH(tblPivotData[[#This Row],[Time]],PeakCalc!$G$10:$G$303,0))</f>
        <v>0</v>
      </c>
    </row>
    <row r="537" spans="1:9" x14ac:dyDescent="0.25">
      <c r="A537" t="s">
        <v>97</v>
      </c>
      <c r="B537" t="s">
        <v>90</v>
      </c>
      <c r="C537">
        <v>0</v>
      </c>
      <c r="D537" t="s">
        <v>91</v>
      </c>
      <c r="E537" t="s">
        <v>43</v>
      </c>
      <c r="F537" s="6">
        <v>0.30208333333333331</v>
      </c>
      <c r="G537">
        <v>0</v>
      </c>
      <c r="H537" s="6">
        <f>FLOOR(tblPivotData[[#This Row],[Time]],Summary!$B$6/1440)</f>
        <v>0.30208333333333331</v>
      </c>
      <c r="I537" s="46">
        <f>INDEX(PeakCalc!$L$10:$L$303,MATCH(tblPivotData[[#This Row],[Time]],PeakCalc!$G$10:$G$303,0))</f>
        <v>0</v>
      </c>
    </row>
    <row r="538" spans="1:9" x14ac:dyDescent="0.25">
      <c r="A538" t="s">
        <v>97</v>
      </c>
      <c r="B538" t="s">
        <v>90</v>
      </c>
      <c r="C538">
        <v>0</v>
      </c>
      <c r="D538" t="s">
        <v>91</v>
      </c>
      <c r="E538" t="s">
        <v>43</v>
      </c>
      <c r="F538" s="6">
        <v>0.3125</v>
      </c>
      <c r="G538">
        <v>0</v>
      </c>
      <c r="H538" s="6">
        <f>FLOOR(tblPivotData[[#This Row],[Time]],Summary!$B$6/1440)</f>
        <v>0.3125</v>
      </c>
      <c r="I538" s="46">
        <f>INDEX(PeakCalc!$L$10:$L$303,MATCH(tblPivotData[[#This Row],[Time]],PeakCalc!$G$10:$G$303,0))</f>
        <v>0</v>
      </c>
    </row>
    <row r="539" spans="1:9" x14ac:dyDescent="0.25">
      <c r="A539" t="s">
        <v>97</v>
      </c>
      <c r="B539" t="s">
        <v>90</v>
      </c>
      <c r="C539">
        <v>0</v>
      </c>
      <c r="D539" t="s">
        <v>91</v>
      </c>
      <c r="E539" t="s">
        <v>43</v>
      </c>
      <c r="F539" s="6">
        <v>0.32291666666666669</v>
      </c>
      <c r="G539">
        <v>1</v>
      </c>
      <c r="H539" s="6">
        <f>FLOOR(tblPivotData[[#This Row],[Time]],Summary!$B$6/1440)</f>
        <v>0.32291666666666663</v>
      </c>
      <c r="I539" s="46">
        <f>INDEX(PeakCalc!$L$10:$L$303,MATCH(tblPivotData[[#This Row],[Time]],PeakCalc!$G$10:$G$303,0))</f>
        <v>1</v>
      </c>
    </row>
    <row r="540" spans="1:9" x14ac:dyDescent="0.25">
      <c r="A540" t="s">
        <v>97</v>
      </c>
      <c r="B540" t="s">
        <v>90</v>
      </c>
      <c r="C540">
        <v>0</v>
      </c>
      <c r="D540" t="s">
        <v>91</v>
      </c>
      <c r="E540" t="s">
        <v>43</v>
      </c>
      <c r="F540" s="6">
        <v>0.33333333333333331</v>
      </c>
      <c r="G540">
        <v>0</v>
      </c>
      <c r="H540" s="6">
        <f>FLOOR(tblPivotData[[#This Row],[Time]],Summary!$B$6/1440)</f>
        <v>0.33333333333333331</v>
      </c>
      <c r="I540" s="46">
        <f>INDEX(PeakCalc!$L$10:$L$303,MATCH(tblPivotData[[#This Row],[Time]],PeakCalc!$G$10:$G$303,0))</f>
        <v>1</v>
      </c>
    </row>
    <row r="541" spans="1:9" x14ac:dyDescent="0.25">
      <c r="A541" t="s">
        <v>97</v>
      </c>
      <c r="B541" t="s">
        <v>90</v>
      </c>
      <c r="C541">
        <v>0</v>
      </c>
      <c r="D541" t="s">
        <v>91</v>
      </c>
      <c r="E541" t="s">
        <v>43</v>
      </c>
      <c r="F541" s="6">
        <v>0.34375</v>
      </c>
      <c r="G541">
        <v>0</v>
      </c>
      <c r="H541" s="6">
        <f>FLOOR(tblPivotData[[#This Row],[Time]],Summary!$B$6/1440)</f>
        <v>0.34375</v>
      </c>
      <c r="I541" s="46">
        <f>INDEX(PeakCalc!$L$10:$L$303,MATCH(tblPivotData[[#This Row],[Time]],PeakCalc!$G$10:$G$303,0))</f>
        <v>1</v>
      </c>
    </row>
    <row r="542" spans="1:9" x14ac:dyDescent="0.25">
      <c r="A542" t="s">
        <v>97</v>
      </c>
      <c r="B542" t="s">
        <v>90</v>
      </c>
      <c r="C542">
        <v>0</v>
      </c>
      <c r="D542" t="s">
        <v>91</v>
      </c>
      <c r="E542" t="s">
        <v>43</v>
      </c>
      <c r="F542" s="6">
        <v>0.35416666666666669</v>
      </c>
      <c r="G542">
        <v>0</v>
      </c>
      <c r="H542" s="6">
        <f>FLOOR(tblPivotData[[#This Row],[Time]],Summary!$B$6/1440)</f>
        <v>0.35416666666666663</v>
      </c>
      <c r="I542" s="46">
        <f>INDEX(PeakCalc!$L$10:$L$303,MATCH(tblPivotData[[#This Row],[Time]],PeakCalc!$G$10:$G$303,0))</f>
        <v>1</v>
      </c>
    </row>
    <row r="543" spans="1:9" x14ac:dyDescent="0.25">
      <c r="A543" t="s">
        <v>97</v>
      </c>
      <c r="B543" t="s">
        <v>90</v>
      </c>
      <c r="C543">
        <v>0</v>
      </c>
      <c r="D543" t="s">
        <v>91</v>
      </c>
      <c r="E543" t="s">
        <v>43</v>
      </c>
      <c r="F543" s="6">
        <v>0.36458333333333331</v>
      </c>
      <c r="G543">
        <v>1</v>
      </c>
      <c r="H543" s="6">
        <f>FLOOR(tblPivotData[[#This Row],[Time]],Summary!$B$6/1440)</f>
        <v>0.36458333333333331</v>
      </c>
      <c r="I543" s="46">
        <f>INDEX(PeakCalc!$L$10:$L$303,MATCH(tblPivotData[[#This Row],[Time]],PeakCalc!$G$10:$G$303,0))</f>
        <v>0</v>
      </c>
    </row>
    <row r="544" spans="1:9" x14ac:dyDescent="0.25">
      <c r="A544" t="s">
        <v>97</v>
      </c>
      <c r="B544" t="s">
        <v>90</v>
      </c>
      <c r="C544">
        <v>0</v>
      </c>
      <c r="D544" t="s">
        <v>91</v>
      </c>
      <c r="E544" t="s">
        <v>43</v>
      </c>
      <c r="F544" s="6">
        <v>0.375</v>
      </c>
      <c r="G544">
        <v>0</v>
      </c>
      <c r="H544" s="6">
        <f>FLOOR(tblPivotData[[#This Row],[Time]],Summary!$B$6/1440)</f>
        <v>0.375</v>
      </c>
      <c r="I544" s="46">
        <f>INDEX(PeakCalc!$L$10:$L$303,MATCH(tblPivotData[[#This Row],[Time]],PeakCalc!$G$10:$G$303,0))</f>
        <v>0</v>
      </c>
    </row>
    <row r="545" spans="1:9" x14ac:dyDescent="0.25">
      <c r="A545" t="s">
        <v>97</v>
      </c>
      <c r="B545" t="s">
        <v>90</v>
      </c>
      <c r="C545">
        <v>0</v>
      </c>
      <c r="D545" t="s">
        <v>91</v>
      </c>
      <c r="E545" t="s">
        <v>43</v>
      </c>
      <c r="F545" s="6">
        <v>0.38541666666666669</v>
      </c>
      <c r="G545">
        <v>0</v>
      </c>
      <c r="H545" s="6">
        <f>FLOOR(tblPivotData[[#This Row],[Time]],Summary!$B$6/1440)</f>
        <v>0.38541666666666663</v>
      </c>
      <c r="I545" s="46">
        <f>INDEX(PeakCalc!$L$10:$L$303,MATCH(tblPivotData[[#This Row],[Time]],PeakCalc!$G$10:$G$303,0))</f>
        <v>0</v>
      </c>
    </row>
    <row r="546" spans="1:9" x14ac:dyDescent="0.25">
      <c r="A546" t="s">
        <v>97</v>
      </c>
      <c r="B546" t="s">
        <v>90</v>
      </c>
      <c r="C546">
        <v>0</v>
      </c>
      <c r="D546" t="s">
        <v>91</v>
      </c>
      <c r="E546" t="s">
        <v>88</v>
      </c>
      <c r="F546" s="6">
        <v>0.45833333333333331</v>
      </c>
      <c r="G546">
        <v>0</v>
      </c>
      <c r="H546" s="6">
        <f>FLOOR(tblPivotData[[#This Row],[Time]],Summary!$B$6/1440)</f>
        <v>0.45833333333333331</v>
      </c>
      <c r="I546" s="46">
        <f>INDEX(PeakCalc!$L$10:$L$303,MATCH(tblPivotData[[#This Row],[Time]],PeakCalc!$G$10:$G$303,0))</f>
        <v>0</v>
      </c>
    </row>
    <row r="547" spans="1:9" x14ac:dyDescent="0.25">
      <c r="A547" t="s">
        <v>97</v>
      </c>
      <c r="B547" t="s">
        <v>90</v>
      </c>
      <c r="C547">
        <v>0</v>
      </c>
      <c r="D547" t="s">
        <v>91</v>
      </c>
      <c r="E547" t="s">
        <v>88</v>
      </c>
      <c r="F547" s="6">
        <v>0.46875</v>
      </c>
      <c r="G547">
        <v>0</v>
      </c>
      <c r="H547" s="6">
        <f>FLOOR(tblPivotData[[#This Row],[Time]],Summary!$B$6/1440)</f>
        <v>0.46875</v>
      </c>
      <c r="I547" s="46">
        <f>INDEX(PeakCalc!$L$10:$L$303,MATCH(tblPivotData[[#This Row],[Time]],PeakCalc!$G$10:$G$303,0))</f>
        <v>0</v>
      </c>
    </row>
    <row r="548" spans="1:9" x14ac:dyDescent="0.25">
      <c r="A548" t="s">
        <v>97</v>
      </c>
      <c r="B548" t="s">
        <v>90</v>
      </c>
      <c r="C548">
        <v>0</v>
      </c>
      <c r="D548" t="s">
        <v>91</v>
      </c>
      <c r="E548" t="s">
        <v>88</v>
      </c>
      <c r="F548" s="6">
        <v>0.47916666666666669</v>
      </c>
      <c r="G548">
        <v>0</v>
      </c>
      <c r="H548" s="6">
        <f>FLOOR(tblPivotData[[#This Row],[Time]],Summary!$B$6/1440)</f>
        <v>0.47916666666666663</v>
      </c>
      <c r="I548" s="46">
        <f>INDEX(PeakCalc!$L$10:$L$303,MATCH(tblPivotData[[#This Row],[Time]],PeakCalc!$G$10:$G$303,0))</f>
        <v>0</v>
      </c>
    </row>
    <row r="549" spans="1:9" x14ac:dyDescent="0.25">
      <c r="A549" t="s">
        <v>97</v>
      </c>
      <c r="B549" t="s">
        <v>90</v>
      </c>
      <c r="C549">
        <v>0</v>
      </c>
      <c r="D549" t="s">
        <v>91</v>
      </c>
      <c r="E549" t="s">
        <v>88</v>
      </c>
      <c r="F549" s="6">
        <v>0.48958333333333331</v>
      </c>
      <c r="G549">
        <v>0</v>
      </c>
      <c r="H549" s="6">
        <f>FLOOR(tblPivotData[[#This Row],[Time]],Summary!$B$6/1440)</f>
        <v>0.48958333333333331</v>
      </c>
      <c r="I549" s="46">
        <f>INDEX(PeakCalc!$L$10:$L$303,MATCH(tblPivotData[[#This Row],[Time]],PeakCalc!$G$10:$G$303,0))</f>
        <v>0</v>
      </c>
    </row>
    <row r="550" spans="1:9" x14ac:dyDescent="0.25">
      <c r="A550" t="s">
        <v>97</v>
      </c>
      <c r="B550" t="s">
        <v>90</v>
      </c>
      <c r="C550">
        <v>0</v>
      </c>
      <c r="D550" t="s">
        <v>91</v>
      </c>
      <c r="E550" t="s">
        <v>88</v>
      </c>
      <c r="F550" s="6">
        <v>0.5</v>
      </c>
      <c r="G550">
        <v>1</v>
      </c>
      <c r="H550" s="6">
        <f>FLOOR(tblPivotData[[#This Row],[Time]],Summary!$B$6/1440)</f>
        <v>0.5</v>
      </c>
      <c r="I550" s="46">
        <f>INDEX(PeakCalc!$L$10:$L$303,MATCH(tblPivotData[[#This Row],[Time]],PeakCalc!$G$10:$G$303,0))</f>
        <v>0</v>
      </c>
    </row>
    <row r="551" spans="1:9" x14ac:dyDescent="0.25">
      <c r="A551" t="s">
        <v>97</v>
      </c>
      <c r="B551" t="s">
        <v>90</v>
      </c>
      <c r="C551">
        <v>0</v>
      </c>
      <c r="D551" t="s">
        <v>91</v>
      </c>
      <c r="E551" t="s">
        <v>88</v>
      </c>
      <c r="F551" s="6">
        <v>0.51041666666666663</v>
      </c>
      <c r="G551">
        <v>1</v>
      </c>
      <c r="H551" s="6">
        <f>FLOOR(tblPivotData[[#This Row],[Time]],Summary!$B$6/1440)</f>
        <v>0.51041666666666663</v>
      </c>
      <c r="I551" s="46">
        <f>INDEX(PeakCalc!$L$10:$L$303,MATCH(tblPivotData[[#This Row],[Time]],PeakCalc!$G$10:$G$303,0))</f>
        <v>0</v>
      </c>
    </row>
    <row r="552" spans="1:9" x14ac:dyDescent="0.25">
      <c r="A552" t="s">
        <v>97</v>
      </c>
      <c r="B552" t="s">
        <v>90</v>
      </c>
      <c r="C552">
        <v>0</v>
      </c>
      <c r="D552" t="s">
        <v>91</v>
      </c>
      <c r="E552" t="s">
        <v>88</v>
      </c>
      <c r="F552" s="6">
        <v>0.52083333333333337</v>
      </c>
      <c r="G552">
        <v>0</v>
      </c>
      <c r="H552" s="6">
        <f>FLOOR(tblPivotData[[#This Row],[Time]],Summary!$B$6/1440)</f>
        <v>0.52083333333333326</v>
      </c>
      <c r="I552" s="46">
        <f>INDEX(PeakCalc!$L$10:$L$303,MATCH(tblPivotData[[#This Row],[Time]],PeakCalc!$G$10:$G$303,0))</f>
        <v>1</v>
      </c>
    </row>
    <row r="553" spans="1:9" x14ac:dyDescent="0.25">
      <c r="A553" t="s">
        <v>97</v>
      </c>
      <c r="B553" t="s">
        <v>90</v>
      </c>
      <c r="C553">
        <v>0</v>
      </c>
      <c r="D553" t="s">
        <v>91</v>
      </c>
      <c r="E553" t="s">
        <v>88</v>
      </c>
      <c r="F553" s="6">
        <v>0.53125</v>
      </c>
      <c r="G553">
        <v>0</v>
      </c>
      <c r="H553" s="6">
        <f>FLOOR(tblPivotData[[#This Row],[Time]],Summary!$B$6/1440)</f>
        <v>0.53125</v>
      </c>
      <c r="I553" s="46">
        <f>INDEX(PeakCalc!$L$10:$L$303,MATCH(tblPivotData[[#This Row],[Time]],PeakCalc!$G$10:$G$303,0))</f>
        <v>1</v>
      </c>
    </row>
    <row r="554" spans="1:9" x14ac:dyDescent="0.25">
      <c r="A554" t="s">
        <v>97</v>
      </c>
      <c r="B554" t="s">
        <v>90</v>
      </c>
      <c r="C554">
        <v>0</v>
      </c>
      <c r="D554" t="s">
        <v>91</v>
      </c>
      <c r="E554" t="s">
        <v>88</v>
      </c>
      <c r="F554" s="6">
        <v>0.54166666666666663</v>
      </c>
      <c r="G554">
        <v>0</v>
      </c>
      <c r="H554" s="6">
        <f>FLOOR(tblPivotData[[#This Row],[Time]],Summary!$B$6/1440)</f>
        <v>0.54166666666666663</v>
      </c>
      <c r="I554" s="46">
        <f>INDEX(PeakCalc!$L$10:$L$303,MATCH(tblPivotData[[#This Row],[Time]],PeakCalc!$G$10:$G$303,0))</f>
        <v>1</v>
      </c>
    </row>
    <row r="555" spans="1:9" x14ac:dyDescent="0.25">
      <c r="A555" t="s">
        <v>97</v>
      </c>
      <c r="B555" t="s">
        <v>90</v>
      </c>
      <c r="C555">
        <v>0</v>
      </c>
      <c r="D555" t="s">
        <v>91</v>
      </c>
      <c r="E555" t="s">
        <v>88</v>
      </c>
      <c r="F555" s="6">
        <v>0.55208333333333337</v>
      </c>
      <c r="G555">
        <v>0</v>
      </c>
      <c r="H555" s="6">
        <f>FLOOR(tblPivotData[[#This Row],[Time]],Summary!$B$6/1440)</f>
        <v>0.55208333333333326</v>
      </c>
      <c r="I555" s="46">
        <f>INDEX(PeakCalc!$L$10:$L$303,MATCH(tblPivotData[[#This Row],[Time]],PeakCalc!$G$10:$G$303,0))</f>
        <v>1</v>
      </c>
    </row>
    <row r="556" spans="1:9" x14ac:dyDescent="0.25">
      <c r="A556" t="s">
        <v>97</v>
      </c>
      <c r="B556" t="s">
        <v>90</v>
      </c>
      <c r="C556">
        <v>0</v>
      </c>
      <c r="D556" t="s">
        <v>91</v>
      </c>
      <c r="E556" t="s">
        <v>88</v>
      </c>
      <c r="F556" s="6">
        <v>0.5625</v>
      </c>
      <c r="G556">
        <v>0</v>
      </c>
      <c r="H556" s="6">
        <f>FLOOR(tblPivotData[[#This Row],[Time]],Summary!$B$6/1440)</f>
        <v>0.5625</v>
      </c>
      <c r="I556" s="46">
        <f>INDEX(PeakCalc!$L$10:$L$303,MATCH(tblPivotData[[#This Row],[Time]],PeakCalc!$G$10:$G$303,0))</f>
        <v>0</v>
      </c>
    </row>
    <row r="557" spans="1:9" x14ac:dyDescent="0.25">
      <c r="A557" t="s">
        <v>97</v>
      </c>
      <c r="B557" t="s">
        <v>90</v>
      </c>
      <c r="C557">
        <v>0</v>
      </c>
      <c r="D557" t="s">
        <v>91</v>
      </c>
      <c r="E557" t="s">
        <v>88</v>
      </c>
      <c r="F557" s="6">
        <v>0.57291666666666663</v>
      </c>
      <c r="G557">
        <v>0</v>
      </c>
      <c r="H557" s="6">
        <f>FLOOR(tblPivotData[[#This Row],[Time]],Summary!$B$6/1440)</f>
        <v>0.57291666666666663</v>
      </c>
      <c r="I557" s="46">
        <f>INDEX(PeakCalc!$L$10:$L$303,MATCH(tblPivotData[[#This Row],[Time]],PeakCalc!$G$10:$G$303,0))</f>
        <v>0</v>
      </c>
    </row>
    <row r="558" spans="1:9" x14ac:dyDescent="0.25">
      <c r="A558" t="s">
        <v>97</v>
      </c>
      <c r="B558" t="s">
        <v>90</v>
      </c>
      <c r="C558">
        <v>0</v>
      </c>
      <c r="D558" t="s">
        <v>91</v>
      </c>
      <c r="E558" t="s">
        <v>44</v>
      </c>
      <c r="F558" s="6">
        <v>0.625</v>
      </c>
      <c r="G558">
        <v>0</v>
      </c>
      <c r="H558" s="6">
        <f>FLOOR(tblPivotData[[#This Row],[Time]],Summary!$B$6/1440)</f>
        <v>0.625</v>
      </c>
      <c r="I558" s="46">
        <f>INDEX(PeakCalc!$L$10:$L$303,MATCH(tblPivotData[[#This Row],[Time]],PeakCalc!$G$10:$G$303,0))</f>
        <v>0</v>
      </c>
    </row>
    <row r="559" spans="1:9" x14ac:dyDescent="0.25">
      <c r="A559" t="s">
        <v>97</v>
      </c>
      <c r="B559" t="s">
        <v>90</v>
      </c>
      <c r="C559">
        <v>0</v>
      </c>
      <c r="D559" t="s">
        <v>91</v>
      </c>
      <c r="E559" t="s">
        <v>44</v>
      </c>
      <c r="F559" s="6">
        <v>0.63541666666666663</v>
      </c>
      <c r="G559">
        <v>0</v>
      </c>
      <c r="H559" s="6">
        <f>FLOOR(tblPivotData[[#This Row],[Time]],Summary!$B$6/1440)</f>
        <v>0.63541666666666663</v>
      </c>
      <c r="I559" s="46">
        <f>INDEX(PeakCalc!$L$10:$L$303,MATCH(tblPivotData[[#This Row],[Time]],PeakCalc!$G$10:$G$303,0))</f>
        <v>0</v>
      </c>
    </row>
    <row r="560" spans="1:9" x14ac:dyDescent="0.25">
      <c r="A560" t="s">
        <v>97</v>
      </c>
      <c r="B560" t="s">
        <v>90</v>
      </c>
      <c r="C560">
        <v>0</v>
      </c>
      <c r="D560" t="s">
        <v>91</v>
      </c>
      <c r="E560" t="s">
        <v>44</v>
      </c>
      <c r="F560" s="6">
        <v>0.64583333333333337</v>
      </c>
      <c r="G560">
        <v>0</v>
      </c>
      <c r="H560" s="6">
        <f>FLOOR(tblPivotData[[#This Row],[Time]],Summary!$B$6/1440)</f>
        <v>0.64583333333333326</v>
      </c>
      <c r="I560" s="46">
        <f>INDEX(PeakCalc!$L$10:$L$303,MATCH(tblPivotData[[#This Row],[Time]],PeakCalc!$G$10:$G$303,0))</f>
        <v>0</v>
      </c>
    </row>
    <row r="561" spans="1:9" x14ac:dyDescent="0.25">
      <c r="A561" t="s">
        <v>97</v>
      </c>
      <c r="B561" t="s">
        <v>90</v>
      </c>
      <c r="C561">
        <v>0</v>
      </c>
      <c r="D561" t="s">
        <v>91</v>
      </c>
      <c r="E561" t="s">
        <v>44</v>
      </c>
      <c r="F561" s="6">
        <v>0.65625</v>
      </c>
      <c r="G561">
        <v>3</v>
      </c>
      <c r="H561" s="6">
        <f>FLOOR(tblPivotData[[#This Row],[Time]],Summary!$B$6/1440)</f>
        <v>0.65625</v>
      </c>
      <c r="I561" s="46">
        <f>INDEX(PeakCalc!$L$10:$L$303,MATCH(tblPivotData[[#This Row],[Time]],PeakCalc!$G$10:$G$303,0))</f>
        <v>0</v>
      </c>
    </row>
    <row r="562" spans="1:9" x14ac:dyDescent="0.25">
      <c r="A562" t="s">
        <v>97</v>
      </c>
      <c r="B562" t="s">
        <v>90</v>
      </c>
      <c r="C562">
        <v>0</v>
      </c>
      <c r="D562" t="s">
        <v>91</v>
      </c>
      <c r="E562" t="s">
        <v>44</v>
      </c>
      <c r="F562" s="6">
        <v>0.66666666666666663</v>
      </c>
      <c r="G562">
        <v>0</v>
      </c>
      <c r="H562" s="6">
        <f>FLOOR(tblPivotData[[#This Row],[Time]],Summary!$B$6/1440)</f>
        <v>0.66666666666666663</v>
      </c>
      <c r="I562" s="46">
        <f>INDEX(PeakCalc!$L$10:$L$303,MATCH(tblPivotData[[#This Row],[Time]],PeakCalc!$G$10:$G$303,0))</f>
        <v>0</v>
      </c>
    </row>
    <row r="563" spans="1:9" x14ac:dyDescent="0.25">
      <c r="A563" t="s">
        <v>97</v>
      </c>
      <c r="B563" t="s">
        <v>90</v>
      </c>
      <c r="C563">
        <v>0</v>
      </c>
      <c r="D563" t="s">
        <v>91</v>
      </c>
      <c r="E563" t="s">
        <v>44</v>
      </c>
      <c r="F563" s="6">
        <v>0.67708333333333337</v>
      </c>
      <c r="G563">
        <v>0</v>
      </c>
      <c r="H563" s="6">
        <f>FLOOR(tblPivotData[[#This Row],[Time]],Summary!$B$6/1440)</f>
        <v>0.67708333333333326</v>
      </c>
      <c r="I563" s="46">
        <f>INDEX(PeakCalc!$L$10:$L$303,MATCH(tblPivotData[[#This Row],[Time]],PeakCalc!$G$10:$G$303,0))</f>
        <v>0</v>
      </c>
    </row>
    <row r="564" spans="1:9" x14ac:dyDescent="0.25">
      <c r="A564" t="s">
        <v>97</v>
      </c>
      <c r="B564" t="s">
        <v>90</v>
      </c>
      <c r="C564">
        <v>0</v>
      </c>
      <c r="D564" t="s">
        <v>91</v>
      </c>
      <c r="E564" t="s">
        <v>44</v>
      </c>
      <c r="F564" s="6">
        <v>0.6875</v>
      </c>
      <c r="G564">
        <v>0</v>
      </c>
      <c r="H564" s="6">
        <f>FLOOR(tblPivotData[[#This Row],[Time]],Summary!$B$6/1440)</f>
        <v>0.6875</v>
      </c>
      <c r="I564" s="46">
        <f>INDEX(PeakCalc!$L$10:$L$303,MATCH(tblPivotData[[#This Row],[Time]],PeakCalc!$G$10:$G$303,0))</f>
        <v>1</v>
      </c>
    </row>
    <row r="565" spans="1:9" x14ac:dyDescent="0.25">
      <c r="A565" t="s">
        <v>97</v>
      </c>
      <c r="B565" t="s">
        <v>90</v>
      </c>
      <c r="C565">
        <v>0</v>
      </c>
      <c r="D565" t="s">
        <v>91</v>
      </c>
      <c r="E565" t="s">
        <v>44</v>
      </c>
      <c r="F565" s="6">
        <v>0.69791666666666663</v>
      </c>
      <c r="G565">
        <v>0</v>
      </c>
      <c r="H565" s="6">
        <f>FLOOR(tblPivotData[[#This Row],[Time]],Summary!$B$6/1440)</f>
        <v>0.69791666666666663</v>
      </c>
      <c r="I565" s="46">
        <f>INDEX(PeakCalc!$L$10:$L$303,MATCH(tblPivotData[[#This Row],[Time]],PeakCalc!$G$10:$G$303,0))</f>
        <v>1</v>
      </c>
    </row>
    <row r="566" spans="1:9" x14ac:dyDescent="0.25">
      <c r="A566" t="s">
        <v>97</v>
      </c>
      <c r="B566" t="s">
        <v>90</v>
      </c>
      <c r="C566">
        <v>0</v>
      </c>
      <c r="D566" t="s">
        <v>91</v>
      </c>
      <c r="E566" t="s">
        <v>44</v>
      </c>
      <c r="F566" s="6">
        <v>0.70833333333333337</v>
      </c>
      <c r="G566">
        <v>2</v>
      </c>
      <c r="H566" s="6">
        <f>FLOOR(tblPivotData[[#This Row],[Time]],Summary!$B$6/1440)</f>
        <v>0.70833333333333326</v>
      </c>
      <c r="I566" s="46">
        <f>INDEX(PeakCalc!$L$10:$L$303,MATCH(tblPivotData[[#This Row],[Time]],PeakCalc!$G$10:$G$303,0))</f>
        <v>1</v>
      </c>
    </row>
    <row r="567" spans="1:9" x14ac:dyDescent="0.25">
      <c r="A567" t="s">
        <v>97</v>
      </c>
      <c r="B567" t="s">
        <v>90</v>
      </c>
      <c r="C567">
        <v>0</v>
      </c>
      <c r="D567" t="s">
        <v>91</v>
      </c>
      <c r="E567" t="s">
        <v>44</v>
      </c>
      <c r="F567" s="6">
        <v>0.71875</v>
      </c>
      <c r="G567">
        <v>1</v>
      </c>
      <c r="H567" s="6">
        <f>FLOOR(tblPivotData[[#This Row],[Time]],Summary!$B$6/1440)</f>
        <v>0.71875</v>
      </c>
      <c r="I567" s="46">
        <f>INDEX(PeakCalc!$L$10:$L$303,MATCH(tblPivotData[[#This Row],[Time]],PeakCalc!$G$10:$G$303,0))</f>
        <v>1</v>
      </c>
    </row>
    <row r="568" spans="1:9" x14ac:dyDescent="0.25">
      <c r="A568" t="s">
        <v>97</v>
      </c>
      <c r="B568" t="s">
        <v>90</v>
      </c>
      <c r="C568">
        <v>0</v>
      </c>
      <c r="D568" t="s">
        <v>91</v>
      </c>
      <c r="E568" t="s">
        <v>44</v>
      </c>
      <c r="F568" s="6">
        <v>0.72916666666666663</v>
      </c>
      <c r="G568">
        <v>0</v>
      </c>
      <c r="H568" s="6">
        <f>FLOOR(tblPivotData[[#This Row],[Time]],Summary!$B$6/1440)</f>
        <v>0.72916666666666663</v>
      </c>
      <c r="I568" s="46">
        <f>INDEX(PeakCalc!$L$10:$L$303,MATCH(tblPivotData[[#This Row],[Time]],PeakCalc!$G$10:$G$303,0))</f>
        <v>0</v>
      </c>
    </row>
    <row r="569" spans="1:9" x14ac:dyDescent="0.25">
      <c r="A569" t="s">
        <v>97</v>
      </c>
      <c r="B569" t="s">
        <v>90</v>
      </c>
      <c r="C569">
        <v>0</v>
      </c>
      <c r="D569" t="s">
        <v>91</v>
      </c>
      <c r="E569" t="s">
        <v>44</v>
      </c>
      <c r="F569" s="6">
        <v>0.73958333333333337</v>
      </c>
      <c r="G569">
        <v>1</v>
      </c>
      <c r="H569" s="6">
        <f>FLOOR(tblPivotData[[#This Row],[Time]],Summary!$B$6/1440)</f>
        <v>0.73958333333333326</v>
      </c>
      <c r="I569" s="46">
        <f>INDEX(PeakCalc!$L$10:$L$303,MATCH(tblPivotData[[#This Row],[Time]],PeakCalc!$G$10:$G$303,0))</f>
        <v>0</v>
      </c>
    </row>
    <row r="570" spans="1:9" x14ac:dyDescent="0.25">
      <c r="A570" t="s">
        <v>97</v>
      </c>
      <c r="B570" t="s">
        <v>90</v>
      </c>
      <c r="C570">
        <v>0</v>
      </c>
      <c r="D570" t="s">
        <v>91</v>
      </c>
      <c r="E570" t="s">
        <v>44</v>
      </c>
      <c r="F570" s="6">
        <v>0.75</v>
      </c>
      <c r="G570">
        <v>0</v>
      </c>
      <c r="H570" s="6">
        <f>FLOOR(tblPivotData[[#This Row],[Time]],Summary!$B$6/1440)</f>
        <v>0.75</v>
      </c>
      <c r="I570" s="46">
        <f>INDEX(PeakCalc!$L$10:$L$303,MATCH(tblPivotData[[#This Row],[Time]],PeakCalc!$G$10:$G$303,0))</f>
        <v>0</v>
      </c>
    </row>
    <row r="571" spans="1:9" x14ac:dyDescent="0.25">
      <c r="A571" t="s">
        <v>97</v>
      </c>
      <c r="B571" t="s">
        <v>90</v>
      </c>
      <c r="C571">
        <v>0</v>
      </c>
      <c r="D571" t="s">
        <v>91</v>
      </c>
      <c r="E571" t="s">
        <v>44</v>
      </c>
      <c r="F571" s="6">
        <v>0.76041666666666663</v>
      </c>
      <c r="G571">
        <v>0</v>
      </c>
      <c r="H571" s="6">
        <f>FLOOR(tblPivotData[[#This Row],[Time]],Summary!$B$6/1440)</f>
        <v>0.76041666666666663</v>
      </c>
      <c r="I571" s="46">
        <f>INDEX(PeakCalc!$L$10:$L$303,MATCH(tblPivotData[[#This Row],[Time]],PeakCalc!$G$10:$G$303,0))</f>
        <v>0</v>
      </c>
    </row>
    <row r="572" spans="1:9" x14ac:dyDescent="0.25">
      <c r="A572" t="s">
        <v>97</v>
      </c>
      <c r="B572" t="s">
        <v>90</v>
      </c>
      <c r="C572">
        <v>0</v>
      </c>
      <c r="D572" t="s">
        <v>92</v>
      </c>
      <c r="E572" t="s">
        <v>43</v>
      </c>
      <c r="F572" s="6">
        <v>0.27083333333333331</v>
      </c>
      <c r="G572">
        <v>1</v>
      </c>
      <c r="H572" s="6">
        <f>FLOOR(tblPivotData[[#This Row],[Time]],Summary!$B$6/1440)</f>
        <v>0.27083333333333331</v>
      </c>
      <c r="I572" s="46">
        <f>INDEX(PeakCalc!$L$10:$L$303,MATCH(tblPivotData[[#This Row],[Time]],PeakCalc!$G$10:$G$303,0))</f>
        <v>0</v>
      </c>
    </row>
    <row r="573" spans="1:9" x14ac:dyDescent="0.25">
      <c r="A573" t="s">
        <v>97</v>
      </c>
      <c r="B573" t="s">
        <v>90</v>
      </c>
      <c r="C573">
        <v>0</v>
      </c>
      <c r="D573" t="s">
        <v>92</v>
      </c>
      <c r="E573" t="s">
        <v>43</v>
      </c>
      <c r="F573" s="6">
        <v>0.28125</v>
      </c>
      <c r="G573">
        <v>0</v>
      </c>
      <c r="H573" s="6">
        <f>FLOOR(tblPivotData[[#This Row],[Time]],Summary!$B$6/1440)</f>
        <v>0.28125</v>
      </c>
      <c r="I573" s="46">
        <f>INDEX(PeakCalc!$L$10:$L$303,MATCH(tblPivotData[[#This Row],[Time]],PeakCalc!$G$10:$G$303,0))</f>
        <v>0</v>
      </c>
    </row>
    <row r="574" spans="1:9" x14ac:dyDescent="0.25">
      <c r="A574" t="s">
        <v>97</v>
      </c>
      <c r="B574" t="s">
        <v>90</v>
      </c>
      <c r="C574">
        <v>0</v>
      </c>
      <c r="D574" t="s">
        <v>92</v>
      </c>
      <c r="E574" t="s">
        <v>43</v>
      </c>
      <c r="F574" s="6">
        <v>0.29166666666666669</v>
      </c>
      <c r="G574">
        <v>4</v>
      </c>
      <c r="H574" s="6">
        <f>FLOOR(tblPivotData[[#This Row],[Time]],Summary!$B$6/1440)</f>
        <v>0.29166666666666663</v>
      </c>
      <c r="I574" s="46">
        <f>INDEX(PeakCalc!$L$10:$L$303,MATCH(tblPivotData[[#This Row],[Time]],PeakCalc!$G$10:$G$303,0))</f>
        <v>0</v>
      </c>
    </row>
    <row r="575" spans="1:9" x14ac:dyDescent="0.25">
      <c r="A575" t="s">
        <v>97</v>
      </c>
      <c r="B575" t="s">
        <v>90</v>
      </c>
      <c r="C575">
        <v>0</v>
      </c>
      <c r="D575" t="s">
        <v>92</v>
      </c>
      <c r="E575" t="s">
        <v>43</v>
      </c>
      <c r="F575" s="6">
        <v>0.30208333333333331</v>
      </c>
      <c r="G575">
        <v>5</v>
      </c>
      <c r="H575" s="6">
        <f>FLOOR(tblPivotData[[#This Row],[Time]],Summary!$B$6/1440)</f>
        <v>0.30208333333333331</v>
      </c>
      <c r="I575" s="46">
        <f>INDEX(PeakCalc!$L$10:$L$303,MATCH(tblPivotData[[#This Row],[Time]],PeakCalc!$G$10:$G$303,0))</f>
        <v>0</v>
      </c>
    </row>
    <row r="576" spans="1:9" x14ac:dyDescent="0.25">
      <c r="A576" t="s">
        <v>97</v>
      </c>
      <c r="B576" t="s">
        <v>90</v>
      </c>
      <c r="C576">
        <v>0</v>
      </c>
      <c r="D576" t="s">
        <v>92</v>
      </c>
      <c r="E576" t="s">
        <v>43</v>
      </c>
      <c r="F576" s="6">
        <v>0.3125</v>
      </c>
      <c r="G576">
        <v>7</v>
      </c>
      <c r="H576" s="6">
        <f>FLOOR(tblPivotData[[#This Row],[Time]],Summary!$B$6/1440)</f>
        <v>0.3125</v>
      </c>
      <c r="I576" s="46">
        <f>INDEX(PeakCalc!$L$10:$L$303,MATCH(tblPivotData[[#This Row],[Time]],PeakCalc!$G$10:$G$303,0))</f>
        <v>0</v>
      </c>
    </row>
    <row r="577" spans="1:9" x14ac:dyDescent="0.25">
      <c r="A577" t="s">
        <v>97</v>
      </c>
      <c r="B577" t="s">
        <v>90</v>
      </c>
      <c r="C577">
        <v>0</v>
      </c>
      <c r="D577" t="s">
        <v>92</v>
      </c>
      <c r="E577" t="s">
        <v>43</v>
      </c>
      <c r="F577" s="6">
        <v>0.32291666666666669</v>
      </c>
      <c r="G577">
        <v>8</v>
      </c>
      <c r="H577" s="6">
        <f>FLOOR(tblPivotData[[#This Row],[Time]],Summary!$B$6/1440)</f>
        <v>0.32291666666666663</v>
      </c>
      <c r="I577" s="46">
        <f>INDEX(PeakCalc!$L$10:$L$303,MATCH(tblPivotData[[#This Row],[Time]],PeakCalc!$G$10:$G$303,0))</f>
        <v>1</v>
      </c>
    </row>
    <row r="578" spans="1:9" x14ac:dyDescent="0.25">
      <c r="A578" t="s">
        <v>97</v>
      </c>
      <c r="B578" t="s">
        <v>90</v>
      </c>
      <c r="C578">
        <v>0</v>
      </c>
      <c r="D578" t="s">
        <v>92</v>
      </c>
      <c r="E578" t="s">
        <v>43</v>
      </c>
      <c r="F578" s="6">
        <v>0.33333333333333331</v>
      </c>
      <c r="G578">
        <v>10</v>
      </c>
      <c r="H578" s="6">
        <f>FLOOR(tblPivotData[[#This Row],[Time]],Summary!$B$6/1440)</f>
        <v>0.33333333333333331</v>
      </c>
      <c r="I578" s="46">
        <f>INDEX(PeakCalc!$L$10:$L$303,MATCH(tblPivotData[[#This Row],[Time]],PeakCalc!$G$10:$G$303,0))</f>
        <v>1</v>
      </c>
    </row>
    <row r="579" spans="1:9" x14ac:dyDescent="0.25">
      <c r="A579" t="s">
        <v>97</v>
      </c>
      <c r="B579" t="s">
        <v>90</v>
      </c>
      <c r="C579">
        <v>0</v>
      </c>
      <c r="D579" t="s">
        <v>92</v>
      </c>
      <c r="E579" t="s">
        <v>43</v>
      </c>
      <c r="F579" s="6">
        <v>0.34375</v>
      </c>
      <c r="G579">
        <v>7</v>
      </c>
      <c r="H579" s="6">
        <f>FLOOR(tblPivotData[[#This Row],[Time]],Summary!$B$6/1440)</f>
        <v>0.34375</v>
      </c>
      <c r="I579" s="46">
        <f>INDEX(PeakCalc!$L$10:$L$303,MATCH(tblPivotData[[#This Row],[Time]],PeakCalc!$G$10:$G$303,0))</f>
        <v>1</v>
      </c>
    </row>
    <row r="580" spans="1:9" x14ac:dyDescent="0.25">
      <c r="A580" t="s">
        <v>97</v>
      </c>
      <c r="B580" t="s">
        <v>90</v>
      </c>
      <c r="C580">
        <v>0</v>
      </c>
      <c r="D580" t="s">
        <v>92</v>
      </c>
      <c r="E580" t="s">
        <v>43</v>
      </c>
      <c r="F580" s="6">
        <v>0.35416666666666669</v>
      </c>
      <c r="G580">
        <v>4</v>
      </c>
      <c r="H580" s="6">
        <f>FLOOR(tblPivotData[[#This Row],[Time]],Summary!$B$6/1440)</f>
        <v>0.35416666666666663</v>
      </c>
      <c r="I580" s="46">
        <f>INDEX(PeakCalc!$L$10:$L$303,MATCH(tblPivotData[[#This Row],[Time]],PeakCalc!$G$10:$G$303,0))</f>
        <v>1</v>
      </c>
    </row>
    <row r="581" spans="1:9" x14ac:dyDescent="0.25">
      <c r="A581" t="s">
        <v>97</v>
      </c>
      <c r="B581" t="s">
        <v>90</v>
      </c>
      <c r="C581">
        <v>0</v>
      </c>
      <c r="D581" t="s">
        <v>92</v>
      </c>
      <c r="E581" t="s">
        <v>43</v>
      </c>
      <c r="F581" s="6">
        <v>0.36458333333333331</v>
      </c>
      <c r="G581">
        <v>7</v>
      </c>
      <c r="H581" s="6">
        <f>FLOOR(tblPivotData[[#This Row],[Time]],Summary!$B$6/1440)</f>
        <v>0.36458333333333331</v>
      </c>
      <c r="I581" s="46">
        <f>INDEX(PeakCalc!$L$10:$L$303,MATCH(tblPivotData[[#This Row],[Time]],PeakCalc!$G$10:$G$303,0))</f>
        <v>0</v>
      </c>
    </row>
    <row r="582" spans="1:9" x14ac:dyDescent="0.25">
      <c r="A582" t="s">
        <v>97</v>
      </c>
      <c r="B582" t="s">
        <v>90</v>
      </c>
      <c r="C582">
        <v>0</v>
      </c>
      <c r="D582" t="s">
        <v>92</v>
      </c>
      <c r="E582" t="s">
        <v>43</v>
      </c>
      <c r="F582" s="6">
        <v>0.375</v>
      </c>
      <c r="G582">
        <v>4</v>
      </c>
      <c r="H582" s="6">
        <f>FLOOR(tblPivotData[[#This Row],[Time]],Summary!$B$6/1440)</f>
        <v>0.375</v>
      </c>
      <c r="I582" s="46">
        <f>INDEX(PeakCalc!$L$10:$L$303,MATCH(tblPivotData[[#This Row],[Time]],PeakCalc!$G$10:$G$303,0))</f>
        <v>0</v>
      </c>
    </row>
    <row r="583" spans="1:9" x14ac:dyDescent="0.25">
      <c r="A583" t="s">
        <v>97</v>
      </c>
      <c r="B583" t="s">
        <v>90</v>
      </c>
      <c r="C583">
        <v>0</v>
      </c>
      <c r="D583" t="s">
        <v>92</v>
      </c>
      <c r="E583" t="s">
        <v>43</v>
      </c>
      <c r="F583" s="6">
        <v>0.38541666666666669</v>
      </c>
      <c r="G583">
        <v>4</v>
      </c>
      <c r="H583" s="6">
        <f>FLOOR(tblPivotData[[#This Row],[Time]],Summary!$B$6/1440)</f>
        <v>0.38541666666666663</v>
      </c>
      <c r="I583" s="46">
        <f>INDEX(PeakCalc!$L$10:$L$303,MATCH(tblPivotData[[#This Row],[Time]],PeakCalc!$G$10:$G$303,0))</f>
        <v>0</v>
      </c>
    </row>
    <row r="584" spans="1:9" x14ac:dyDescent="0.25">
      <c r="A584" t="s">
        <v>97</v>
      </c>
      <c r="B584" t="s">
        <v>90</v>
      </c>
      <c r="C584">
        <v>0</v>
      </c>
      <c r="D584" t="s">
        <v>92</v>
      </c>
      <c r="E584" t="s">
        <v>88</v>
      </c>
      <c r="F584" s="6">
        <v>0.45833333333333331</v>
      </c>
      <c r="G584">
        <v>5</v>
      </c>
      <c r="H584" s="6">
        <f>FLOOR(tblPivotData[[#This Row],[Time]],Summary!$B$6/1440)</f>
        <v>0.45833333333333331</v>
      </c>
      <c r="I584" s="46">
        <f>INDEX(PeakCalc!$L$10:$L$303,MATCH(tblPivotData[[#This Row],[Time]],PeakCalc!$G$10:$G$303,0))</f>
        <v>0</v>
      </c>
    </row>
    <row r="585" spans="1:9" x14ac:dyDescent="0.25">
      <c r="A585" t="s">
        <v>97</v>
      </c>
      <c r="B585" t="s">
        <v>90</v>
      </c>
      <c r="C585">
        <v>0</v>
      </c>
      <c r="D585" t="s">
        <v>92</v>
      </c>
      <c r="E585" t="s">
        <v>88</v>
      </c>
      <c r="F585" s="6">
        <v>0.46875</v>
      </c>
      <c r="G585">
        <v>7</v>
      </c>
      <c r="H585" s="6">
        <f>FLOOR(tblPivotData[[#This Row],[Time]],Summary!$B$6/1440)</f>
        <v>0.46875</v>
      </c>
      <c r="I585" s="46">
        <f>INDEX(PeakCalc!$L$10:$L$303,MATCH(tblPivotData[[#This Row],[Time]],PeakCalc!$G$10:$G$303,0))</f>
        <v>0</v>
      </c>
    </row>
    <row r="586" spans="1:9" x14ac:dyDescent="0.25">
      <c r="A586" t="s">
        <v>97</v>
      </c>
      <c r="B586" t="s">
        <v>90</v>
      </c>
      <c r="C586">
        <v>0</v>
      </c>
      <c r="D586" t="s">
        <v>92</v>
      </c>
      <c r="E586" t="s">
        <v>88</v>
      </c>
      <c r="F586" s="6">
        <v>0.47916666666666669</v>
      </c>
      <c r="G586">
        <v>0</v>
      </c>
      <c r="H586" s="6">
        <f>FLOOR(tblPivotData[[#This Row],[Time]],Summary!$B$6/1440)</f>
        <v>0.47916666666666663</v>
      </c>
      <c r="I586" s="46">
        <f>INDEX(PeakCalc!$L$10:$L$303,MATCH(tblPivotData[[#This Row],[Time]],PeakCalc!$G$10:$G$303,0))</f>
        <v>0</v>
      </c>
    </row>
    <row r="587" spans="1:9" x14ac:dyDescent="0.25">
      <c r="A587" t="s">
        <v>97</v>
      </c>
      <c r="B587" t="s">
        <v>90</v>
      </c>
      <c r="C587">
        <v>0</v>
      </c>
      <c r="D587" t="s">
        <v>92</v>
      </c>
      <c r="E587" t="s">
        <v>88</v>
      </c>
      <c r="F587" s="6">
        <v>0.48958333333333331</v>
      </c>
      <c r="G587">
        <v>5</v>
      </c>
      <c r="H587" s="6">
        <f>FLOOR(tblPivotData[[#This Row],[Time]],Summary!$B$6/1440)</f>
        <v>0.48958333333333331</v>
      </c>
      <c r="I587" s="46">
        <f>INDEX(PeakCalc!$L$10:$L$303,MATCH(tblPivotData[[#This Row],[Time]],PeakCalc!$G$10:$G$303,0))</f>
        <v>0</v>
      </c>
    </row>
    <row r="588" spans="1:9" x14ac:dyDescent="0.25">
      <c r="A588" t="s">
        <v>97</v>
      </c>
      <c r="B588" t="s">
        <v>90</v>
      </c>
      <c r="C588">
        <v>0</v>
      </c>
      <c r="D588" t="s">
        <v>92</v>
      </c>
      <c r="E588" t="s">
        <v>88</v>
      </c>
      <c r="F588" s="6">
        <v>0.5</v>
      </c>
      <c r="G588">
        <v>2</v>
      </c>
      <c r="H588" s="6">
        <f>FLOOR(tblPivotData[[#This Row],[Time]],Summary!$B$6/1440)</f>
        <v>0.5</v>
      </c>
      <c r="I588" s="46">
        <f>INDEX(PeakCalc!$L$10:$L$303,MATCH(tblPivotData[[#This Row],[Time]],PeakCalc!$G$10:$G$303,0))</f>
        <v>0</v>
      </c>
    </row>
    <row r="589" spans="1:9" x14ac:dyDescent="0.25">
      <c r="A589" t="s">
        <v>97</v>
      </c>
      <c r="B589" t="s">
        <v>90</v>
      </c>
      <c r="C589">
        <v>0</v>
      </c>
      <c r="D589" t="s">
        <v>92</v>
      </c>
      <c r="E589" t="s">
        <v>88</v>
      </c>
      <c r="F589" s="6">
        <v>0.51041666666666663</v>
      </c>
      <c r="G589">
        <v>6</v>
      </c>
      <c r="H589" s="6">
        <f>FLOOR(tblPivotData[[#This Row],[Time]],Summary!$B$6/1440)</f>
        <v>0.51041666666666663</v>
      </c>
      <c r="I589" s="46">
        <f>INDEX(PeakCalc!$L$10:$L$303,MATCH(tblPivotData[[#This Row],[Time]],PeakCalc!$G$10:$G$303,0))</f>
        <v>0</v>
      </c>
    </row>
    <row r="590" spans="1:9" x14ac:dyDescent="0.25">
      <c r="A590" t="s">
        <v>97</v>
      </c>
      <c r="B590" t="s">
        <v>90</v>
      </c>
      <c r="C590">
        <v>0</v>
      </c>
      <c r="D590" t="s">
        <v>92</v>
      </c>
      <c r="E590" t="s">
        <v>88</v>
      </c>
      <c r="F590" s="6">
        <v>0.52083333333333337</v>
      </c>
      <c r="G590">
        <v>3</v>
      </c>
      <c r="H590" s="6">
        <f>FLOOR(tblPivotData[[#This Row],[Time]],Summary!$B$6/1440)</f>
        <v>0.52083333333333326</v>
      </c>
      <c r="I590" s="46">
        <f>INDEX(PeakCalc!$L$10:$L$303,MATCH(tblPivotData[[#This Row],[Time]],PeakCalc!$G$10:$G$303,0))</f>
        <v>1</v>
      </c>
    </row>
    <row r="591" spans="1:9" x14ac:dyDescent="0.25">
      <c r="A591" t="s">
        <v>97</v>
      </c>
      <c r="B591" t="s">
        <v>90</v>
      </c>
      <c r="C591">
        <v>0</v>
      </c>
      <c r="D591" t="s">
        <v>92</v>
      </c>
      <c r="E591" t="s">
        <v>88</v>
      </c>
      <c r="F591" s="6">
        <v>0.53125</v>
      </c>
      <c r="G591">
        <v>6</v>
      </c>
      <c r="H591" s="6">
        <f>FLOOR(tblPivotData[[#This Row],[Time]],Summary!$B$6/1440)</f>
        <v>0.53125</v>
      </c>
      <c r="I591" s="46">
        <f>INDEX(PeakCalc!$L$10:$L$303,MATCH(tblPivotData[[#This Row],[Time]],PeakCalc!$G$10:$G$303,0))</f>
        <v>1</v>
      </c>
    </row>
    <row r="592" spans="1:9" x14ac:dyDescent="0.25">
      <c r="A592" t="s">
        <v>97</v>
      </c>
      <c r="B592" t="s">
        <v>90</v>
      </c>
      <c r="C592">
        <v>0</v>
      </c>
      <c r="D592" t="s">
        <v>92</v>
      </c>
      <c r="E592" t="s">
        <v>88</v>
      </c>
      <c r="F592" s="6">
        <v>0.54166666666666663</v>
      </c>
      <c r="G592">
        <v>7</v>
      </c>
      <c r="H592" s="6">
        <f>FLOOR(tblPivotData[[#This Row],[Time]],Summary!$B$6/1440)</f>
        <v>0.54166666666666663</v>
      </c>
      <c r="I592" s="46">
        <f>INDEX(PeakCalc!$L$10:$L$303,MATCH(tblPivotData[[#This Row],[Time]],PeakCalc!$G$10:$G$303,0))</f>
        <v>1</v>
      </c>
    </row>
    <row r="593" spans="1:9" x14ac:dyDescent="0.25">
      <c r="A593" t="s">
        <v>97</v>
      </c>
      <c r="B593" t="s">
        <v>90</v>
      </c>
      <c r="C593">
        <v>0</v>
      </c>
      <c r="D593" t="s">
        <v>92</v>
      </c>
      <c r="E593" t="s">
        <v>88</v>
      </c>
      <c r="F593" s="6">
        <v>0.55208333333333337</v>
      </c>
      <c r="G593">
        <v>3</v>
      </c>
      <c r="H593" s="6">
        <f>FLOOR(tblPivotData[[#This Row],[Time]],Summary!$B$6/1440)</f>
        <v>0.55208333333333326</v>
      </c>
      <c r="I593" s="46">
        <f>INDEX(PeakCalc!$L$10:$L$303,MATCH(tblPivotData[[#This Row],[Time]],PeakCalc!$G$10:$G$303,0))</f>
        <v>1</v>
      </c>
    </row>
    <row r="594" spans="1:9" x14ac:dyDescent="0.25">
      <c r="A594" t="s">
        <v>97</v>
      </c>
      <c r="B594" t="s">
        <v>90</v>
      </c>
      <c r="C594">
        <v>0</v>
      </c>
      <c r="D594" t="s">
        <v>92</v>
      </c>
      <c r="E594" t="s">
        <v>88</v>
      </c>
      <c r="F594" s="6">
        <v>0.5625</v>
      </c>
      <c r="G594">
        <v>6</v>
      </c>
      <c r="H594" s="6">
        <f>FLOOR(tblPivotData[[#This Row],[Time]],Summary!$B$6/1440)</f>
        <v>0.5625</v>
      </c>
      <c r="I594" s="46">
        <f>INDEX(PeakCalc!$L$10:$L$303,MATCH(tblPivotData[[#This Row],[Time]],PeakCalc!$G$10:$G$303,0))</f>
        <v>0</v>
      </c>
    </row>
    <row r="595" spans="1:9" x14ac:dyDescent="0.25">
      <c r="A595" t="s">
        <v>97</v>
      </c>
      <c r="B595" t="s">
        <v>90</v>
      </c>
      <c r="C595">
        <v>0</v>
      </c>
      <c r="D595" t="s">
        <v>92</v>
      </c>
      <c r="E595" t="s">
        <v>88</v>
      </c>
      <c r="F595" s="6">
        <v>0.57291666666666663</v>
      </c>
      <c r="G595">
        <v>8</v>
      </c>
      <c r="H595" s="6">
        <f>FLOOR(tblPivotData[[#This Row],[Time]],Summary!$B$6/1440)</f>
        <v>0.57291666666666663</v>
      </c>
      <c r="I595" s="46">
        <f>INDEX(PeakCalc!$L$10:$L$303,MATCH(tblPivotData[[#This Row],[Time]],PeakCalc!$G$10:$G$303,0))</f>
        <v>0</v>
      </c>
    </row>
    <row r="596" spans="1:9" x14ac:dyDescent="0.25">
      <c r="A596" t="s">
        <v>97</v>
      </c>
      <c r="B596" t="s">
        <v>90</v>
      </c>
      <c r="C596">
        <v>0</v>
      </c>
      <c r="D596" t="s">
        <v>92</v>
      </c>
      <c r="E596" t="s">
        <v>44</v>
      </c>
      <c r="F596" s="6">
        <v>0.625</v>
      </c>
      <c r="G596">
        <v>1</v>
      </c>
      <c r="H596" s="6">
        <f>FLOOR(tblPivotData[[#This Row],[Time]],Summary!$B$6/1440)</f>
        <v>0.625</v>
      </c>
      <c r="I596" s="46">
        <f>INDEX(PeakCalc!$L$10:$L$303,MATCH(tblPivotData[[#This Row],[Time]],PeakCalc!$G$10:$G$303,0))</f>
        <v>0</v>
      </c>
    </row>
    <row r="597" spans="1:9" x14ac:dyDescent="0.25">
      <c r="A597" t="s">
        <v>97</v>
      </c>
      <c r="B597" t="s">
        <v>90</v>
      </c>
      <c r="C597">
        <v>0</v>
      </c>
      <c r="D597" t="s">
        <v>92</v>
      </c>
      <c r="E597" t="s">
        <v>44</v>
      </c>
      <c r="F597" s="6">
        <v>0.63541666666666663</v>
      </c>
      <c r="G597">
        <v>6</v>
      </c>
      <c r="H597" s="6">
        <f>FLOOR(tblPivotData[[#This Row],[Time]],Summary!$B$6/1440)</f>
        <v>0.63541666666666663</v>
      </c>
      <c r="I597" s="46">
        <f>INDEX(PeakCalc!$L$10:$L$303,MATCH(tblPivotData[[#This Row],[Time]],PeakCalc!$G$10:$G$303,0))</f>
        <v>0</v>
      </c>
    </row>
    <row r="598" spans="1:9" x14ac:dyDescent="0.25">
      <c r="A598" t="s">
        <v>97</v>
      </c>
      <c r="B598" t="s">
        <v>90</v>
      </c>
      <c r="C598">
        <v>0</v>
      </c>
      <c r="D598" t="s">
        <v>92</v>
      </c>
      <c r="E598" t="s">
        <v>44</v>
      </c>
      <c r="F598" s="6">
        <v>0.64583333333333337</v>
      </c>
      <c r="G598">
        <v>3</v>
      </c>
      <c r="H598" s="6">
        <f>FLOOR(tblPivotData[[#This Row],[Time]],Summary!$B$6/1440)</f>
        <v>0.64583333333333326</v>
      </c>
      <c r="I598" s="46">
        <f>INDEX(PeakCalc!$L$10:$L$303,MATCH(tblPivotData[[#This Row],[Time]],PeakCalc!$G$10:$G$303,0))</f>
        <v>0</v>
      </c>
    </row>
    <row r="599" spans="1:9" x14ac:dyDescent="0.25">
      <c r="A599" t="s">
        <v>97</v>
      </c>
      <c r="B599" t="s">
        <v>90</v>
      </c>
      <c r="C599">
        <v>0</v>
      </c>
      <c r="D599" t="s">
        <v>92</v>
      </c>
      <c r="E599" t="s">
        <v>44</v>
      </c>
      <c r="F599" s="6">
        <v>0.65625</v>
      </c>
      <c r="G599">
        <v>2</v>
      </c>
      <c r="H599" s="6">
        <f>FLOOR(tblPivotData[[#This Row],[Time]],Summary!$B$6/1440)</f>
        <v>0.65625</v>
      </c>
      <c r="I599" s="46">
        <f>INDEX(PeakCalc!$L$10:$L$303,MATCH(tblPivotData[[#This Row],[Time]],PeakCalc!$G$10:$G$303,0))</f>
        <v>0</v>
      </c>
    </row>
    <row r="600" spans="1:9" x14ac:dyDescent="0.25">
      <c r="A600" t="s">
        <v>97</v>
      </c>
      <c r="B600" t="s">
        <v>90</v>
      </c>
      <c r="C600">
        <v>0</v>
      </c>
      <c r="D600" t="s">
        <v>92</v>
      </c>
      <c r="E600" t="s">
        <v>44</v>
      </c>
      <c r="F600" s="6">
        <v>0.66666666666666663</v>
      </c>
      <c r="G600">
        <v>5</v>
      </c>
      <c r="H600" s="6">
        <f>FLOOR(tblPivotData[[#This Row],[Time]],Summary!$B$6/1440)</f>
        <v>0.66666666666666663</v>
      </c>
      <c r="I600" s="46">
        <f>INDEX(PeakCalc!$L$10:$L$303,MATCH(tblPivotData[[#This Row],[Time]],PeakCalc!$G$10:$G$303,0))</f>
        <v>0</v>
      </c>
    </row>
    <row r="601" spans="1:9" x14ac:dyDescent="0.25">
      <c r="A601" t="s">
        <v>97</v>
      </c>
      <c r="B601" t="s">
        <v>90</v>
      </c>
      <c r="C601">
        <v>0</v>
      </c>
      <c r="D601" t="s">
        <v>92</v>
      </c>
      <c r="E601" t="s">
        <v>44</v>
      </c>
      <c r="F601" s="6">
        <v>0.67708333333333337</v>
      </c>
      <c r="G601">
        <v>4</v>
      </c>
      <c r="H601" s="6">
        <f>FLOOR(tblPivotData[[#This Row],[Time]],Summary!$B$6/1440)</f>
        <v>0.67708333333333326</v>
      </c>
      <c r="I601" s="46">
        <f>INDEX(PeakCalc!$L$10:$L$303,MATCH(tblPivotData[[#This Row],[Time]],PeakCalc!$G$10:$G$303,0))</f>
        <v>0</v>
      </c>
    </row>
    <row r="602" spans="1:9" x14ac:dyDescent="0.25">
      <c r="A602" t="s">
        <v>97</v>
      </c>
      <c r="B602" t="s">
        <v>90</v>
      </c>
      <c r="C602">
        <v>0</v>
      </c>
      <c r="D602" t="s">
        <v>92</v>
      </c>
      <c r="E602" t="s">
        <v>44</v>
      </c>
      <c r="F602" s="6">
        <v>0.6875</v>
      </c>
      <c r="G602">
        <v>6</v>
      </c>
      <c r="H602" s="6">
        <f>FLOOR(tblPivotData[[#This Row],[Time]],Summary!$B$6/1440)</f>
        <v>0.6875</v>
      </c>
      <c r="I602" s="46">
        <f>INDEX(PeakCalc!$L$10:$L$303,MATCH(tblPivotData[[#This Row],[Time]],PeakCalc!$G$10:$G$303,0))</f>
        <v>1</v>
      </c>
    </row>
    <row r="603" spans="1:9" x14ac:dyDescent="0.25">
      <c r="A603" t="s">
        <v>97</v>
      </c>
      <c r="B603" t="s">
        <v>90</v>
      </c>
      <c r="C603">
        <v>0</v>
      </c>
      <c r="D603" t="s">
        <v>92</v>
      </c>
      <c r="E603" t="s">
        <v>44</v>
      </c>
      <c r="F603" s="6">
        <v>0.69791666666666663</v>
      </c>
      <c r="G603">
        <v>4</v>
      </c>
      <c r="H603" s="6">
        <f>FLOOR(tblPivotData[[#This Row],[Time]],Summary!$B$6/1440)</f>
        <v>0.69791666666666663</v>
      </c>
      <c r="I603" s="46">
        <f>INDEX(PeakCalc!$L$10:$L$303,MATCH(tblPivotData[[#This Row],[Time]],PeakCalc!$G$10:$G$303,0))</f>
        <v>1</v>
      </c>
    </row>
    <row r="604" spans="1:9" x14ac:dyDescent="0.25">
      <c r="A604" t="s">
        <v>97</v>
      </c>
      <c r="B604" t="s">
        <v>90</v>
      </c>
      <c r="C604">
        <v>0</v>
      </c>
      <c r="D604" t="s">
        <v>92</v>
      </c>
      <c r="E604" t="s">
        <v>44</v>
      </c>
      <c r="F604" s="6">
        <v>0.70833333333333337</v>
      </c>
      <c r="G604">
        <v>6</v>
      </c>
      <c r="H604" s="6">
        <f>FLOOR(tblPivotData[[#This Row],[Time]],Summary!$B$6/1440)</f>
        <v>0.70833333333333326</v>
      </c>
      <c r="I604" s="46">
        <f>INDEX(PeakCalc!$L$10:$L$303,MATCH(tblPivotData[[#This Row],[Time]],PeakCalc!$G$10:$G$303,0))</f>
        <v>1</v>
      </c>
    </row>
    <row r="605" spans="1:9" x14ac:dyDescent="0.25">
      <c r="A605" t="s">
        <v>97</v>
      </c>
      <c r="B605" t="s">
        <v>90</v>
      </c>
      <c r="C605">
        <v>0</v>
      </c>
      <c r="D605" t="s">
        <v>92</v>
      </c>
      <c r="E605" t="s">
        <v>44</v>
      </c>
      <c r="F605" s="6">
        <v>0.71875</v>
      </c>
      <c r="G605">
        <v>4</v>
      </c>
      <c r="H605" s="6">
        <f>FLOOR(tblPivotData[[#This Row],[Time]],Summary!$B$6/1440)</f>
        <v>0.71875</v>
      </c>
      <c r="I605" s="46">
        <f>INDEX(PeakCalc!$L$10:$L$303,MATCH(tblPivotData[[#This Row],[Time]],PeakCalc!$G$10:$G$303,0))</f>
        <v>1</v>
      </c>
    </row>
    <row r="606" spans="1:9" x14ac:dyDescent="0.25">
      <c r="A606" t="s">
        <v>97</v>
      </c>
      <c r="B606" t="s">
        <v>90</v>
      </c>
      <c r="C606">
        <v>0</v>
      </c>
      <c r="D606" t="s">
        <v>92</v>
      </c>
      <c r="E606" t="s">
        <v>44</v>
      </c>
      <c r="F606" s="6">
        <v>0.72916666666666663</v>
      </c>
      <c r="G606">
        <v>4</v>
      </c>
      <c r="H606" s="6">
        <f>FLOOR(tblPivotData[[#This Row],[Time]],Summary!$B$6/1440)</f>
        <v>0.72916666666666663</v>
      </c>
      <c r="I606" s="46">
        <f>INDEX(PeakCalc!$L$10:$L$303,MATCH(tblPivotData[[#This Row],[Time]],PeakCalc!$G$10:$G$303,0))</f>
        <v>0</v>
      </c>
    </row>
    <row r="607" spans="1:9" x14ac:dyDescent="0.25">
      <c r="A607" t="s">
        <v>97</v>
      </c>
      <c r="B607" t="s">
        <v>90</v>
      </c>
      <c r="C607">
        <v>0</v>
      </c>
      <c r="D607" t="s">
        <v>92</v>
      </c>
      <c r="E607" t="s">
        <v>44</v>
      </c>
      <c r="F607" s="6">
        <v>0.73958333333333337</v>
      </c>
      <c r="G607">
        <v>3</v>
      </c>
      <c r="H607" s="6">
        <f>FLOOR(tblPivotData[[#This Row],[Time]],Summary!$B$6/1440)</f>
        <v>0.73958333333333326</v>
      </c>
      <c r="I607" s="46">
        <f>INDEX(PeakCalc!$L$10:$L$303,MATCH(tblPivotData[[#This Row],[Time]],PeakCalc!$G$10:$G$303,0))</f>
        <v>0</v>
      </c>
    </row>
    <row r="608" spans="1:9" x14ac:dyDescent="0.25">
      <c r="A608" t="s">
        <v>97</v>
      </c>
      <c r="B608" t="s">
        <v>90</v>
      </c>
      <c r="C608">
        <v>0</v>
      </c>
      <c r="D608" t="s">
        <v>92</v>
      </c>
      <c r="E608" t="s">
        <v>44</v>
      </c>
      <c r="F608" s="6">
        <v>0.75</v>
      </c>
      <c r="G608">
        <v>0</v>
      </c>
      <c r="H608" s="6">
        <f>FLOOR(tblPivotData[[#This Row],[Time]],Summary!$B$6/1440)</f>
        <v>0.75</v>
      </c>
      <c r="I608" s="46">
        <f>INDEX(PeakCalc!$L$10:$L$303,MATCH(tblPivotData[[#This Row],[Time]],PeakCalc!$G$10:$G$303,0))</f>
        <v>0</v>
      </c>
    </row>
    <row r="609" spans="1:9" x14ac:dyDescent="0.25">
      <c r="A609" t="s">
        <v>97</v>
      </c>
      <c r="B609" t="s">
        <v>90</v>
      </c>
      <c r="C609">
        <v>0</v>
      </c>
      <c r="D609" t="s">
        <v>92</v>
      </c>
      <c r="E609" t="s">
        <v>44</v>
      </c>
      <c r="F609" s="6">
        <v>0.76041666666666663</v>
      </c>
      <c r="G609">
        <v>3</v>
      </c>
      <c r="H609" s="6">
        <f>FLOOR(tblPivotData[[#This Row],[Time]],Summary!$B$6/1440)</f>
        <v>0.76041666666666663</v>
      </c>
      <c r="I609"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E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1" ht="18.75" x14ac:dyDescent="0.3">
      <c r="B2" s="3" t="s">
        <v>78</v>
      </c>
    </row>
    <row r="4" spans="2:31" x14ac:dyDescent="0.25">
      <c r="B4" t="s">
        <v>76</v>
      </c>
    </row>
    <row r="6" spans="2:31" x14ac:dyDescent="0.25">
      <c r="B6" s="12">
        <v>15</v>
      </c>
      <c r="C6" t="s">
        <v>34</v>
      </c>
    </row>
    <row r="8" spans="2:31" x14ac:dyDescent="0.25">
      <c r="B8" t="s">
        <v>77</v>
      </c>
    </row>
    <row r="10" spans="2:31"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2:31" x14ac:dyDescent="0.25">
      <c r="B11" s="23"/>
      <c r="C11" s="50" t="s">
        <v>94</v>
      </c>
      <c r="D11" s="51"/>
      <c r="E11" s="51"/>
      <c r="F11" s="51"/>
      <c r="G11" s="51"/>
      <c r="H11" s="51"/>
      <c r="I11" s="48" t="s">
        <v>99</v>
      </c>
      <c r="J11" s="50" t="s">
        <v>95</v>
      </c>
      <c r="K11" s="51"/>
      <c r="L11" s="51"/>
      <c r="M11" s="51"/>
      <c r="N11" s="51"/>
      <c r="O11" s="51"/>
      <c r="P11" s="48" t="s">
        <v>100</v>
      </c>
      <c r="Q11" s="50" t="s">
        <v>96</v>
      </c>
      <c r="R11" s="51"/>
      <c r="S11" s="51"/>
      <c r="T11" s="51"/>
      <c r="U11" s="51"/>
      <c r="V11" s="51"/>
      <c r="W11" s="48" t="s">
        <v>101</v>
      </c>
      <c r="X11" s="50" t="s">
        <v>97</v>
      </c>
      <c r="Y11" s="51"/>
      <c r="Z11" s="51"/>
      <c r="AA11" s="51"/>
      <c r="AB11" s="51"/>
      <c r="AC11" s="51"/>
      <c r="AD11" s="48" t="s">
        <v>102</v>
      </c>
      <c r="AE11" s="48" t="s">
        <v>49</v>
      </c>
    </row>
    <row r="12" spans="2:31" x14ac:dyDescent="0.25">
      <c r="B12" s="23"/>
      <c r="C12" s="48" t="s">
        <v>89</v>
      </c>
      <c r="D12" s="49"/>
      <c r="E12" s="48" t="s">
        <v>103</v>
      </c>
      <c r="F12" s="48" t="s">
        <v>90</v>
      </c>
      <c r="G12" s="49"/>
      <c r="H12" s="48" t="s">
        <v>104</v>
      </c>
      <c r="I12" s="49"/>
      <c r="J12" s="48" t="s">
        <v>89</v>
      </c>
      <c r="K12" s="49"/>
      <c r="L12" s="48" t="s">
        <v>103</v>
      </c>
      <c r="M12" s="48" t="s">
        <v>90</v>
      </c>
      <c r="N12" s="49"/>
      <c r="O12" s="48" t="s">
        <v>104</v>
      </c>
      <c r="P12" s="49"/>
      <c r="Q12" s="48" t="s">
        <v>89</v>
      </c>
      <c r="R12" s="49"/>
      <c r="S12" s="48" t="s">
        <v>103</v>
      </c>
      <c r="T12" s="48" t="s">
        <v>90</v>
      </c>
      <c r="U12" s="49"/>
      <c r="V12" s="48" t="s">
        <v>104</v>
      </c>
      <c r="W12" s="49"/>
      <c r="X12" s="48" t="s">
        <v>89</v>
      </c>
      <c r="Y12" s="49"/>
      <c r="Z12" s="48" t="s">
        <v>103</v>
      </c>
      <c r="AA12" s="48" t="s">
        <v>90</v>
      </c>
      <c r="AB12" s="49"/>
      <c r="AC12" s="48" t="s">
        <v>104</v>
      </c>
      <c r="AD12" s="49"/>
      <c r="AE12" s="49"/>
    </row>
    <row r="13" spans="2:31"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22" t="s">
        <v>91</v>
      </c>
      <c r="Y13" s="22" t="s">
        <v>92</v>
      </c>
      <c r="Z13" s="49"/>
      <c r="AA13" s="22" t="s">
        <v>91</v>
      </c>
      <c r="AB13" s="22" t="s">
        <v>92</v>
      </c>
      <c r="AC13" s="49"/>
      <c r="AD13" s="49"/>
      <c r="AE13" s="49"/>
    </row>
    <row r="14" spans="2:31" x14ac:dyDescent="0.25">
      <c r="B14" s="10" t="s">
        <v>43</v>
      </c>
      <c r="C14" s="46">
        <v>6</v>
      </c>
      <c r="D14" s="46">
        <v>9</v>
      </c>
      <c r="E14" s="46">
        <v>15</v>
      </c>
      <c r="F14" s="46">
        <v>5</v>
      </c>
      <c r="G14" s="46">
        <v>10</v>
      </c>
      <c r="H14" s="46">
        <v>15</v>
      </c>
      <c r="I14" s="46">
        <v>30</v>
      </c>
      <c r="J14" s="46">
        <v>5</v>
      </c>
      <c r="K14" s="46">
        <v>96</v>
      </c>
      <c r="L14" s="46">
        <v>101</v>
      </c>
      <c r="M14" s="46">
        <v>24</v>
      </c>
      <c r="N14" s="46">
        <v>17</v>
      </c>
      <c r="O14" s="46">
        <v>41</v>
      </c>
      <c r="P14" s="46">
        <v>142</v>
      </c>
      <c r="Q14" s="46">
        <v>1</v>
      </c>
      <c r="R14" s="46">
        <v>11</v>
      </c>
      <c r="S14" s="46">
        <v>12</v>
      </c>
      <c r="T14" s="46">
        <v>0</v>
      </c>
      <c r="U14" s="46">
        <v>14</v>
      </c>
      <c r="V14" s="46">
        <v>14</v>
      </c>
      <c r="W14" s="46">
        <v>26</v>
      </c>
      <c r="X14" s="46">
        <v>1</v>
      </c>
      <c r="Y14" s="46">
        <v>11</v>
      </c>
      <c r="Z14" s="46">
        <v>12</v>
      </c>
      <c r="AA14" s="46">
        <v>3</v>
      </c>
      <c r="AB14" s="46">
        <v>61</v>
      </c>
      <c r="AC14" s="46">
        <v>64</v>
      </c>
      <c r="AD14" s="46">
        <v>76</v>
      </c>
      <c r="AE14" s="46">
        <v>274</v>
      </c>
    </row>
    <row r="15" spans="2:31" x14ac:dyDescent="0.25">
      <c r="B15" s="11">
        <v>0.27083333333333331</v>
      </c>
      <c r="C15" s="46">
        <v>0</v>
      </c>
      <c r="D15" s="46">
        <v>0</v>
      </c>
      <c r="E15" s="46">
        <v>0</v>
      </c>
      <c r="F15" s="46">
        <v>1</v>
      </c>
      <c r="G15" s="46">
        <v>2</v>
      </c>
      <c r="H15" s="46">
        <v>3</v>
      </c>
      <c r="I15" s="46">
        <v>3</v>
      </c>
      <c r="J15" s="46">
        <v>0</v>
      </c>
      <c r="K15" s="46">
        <v>2</v>
      </c>
      <c r="L15" s="46">
        <v>2</v>
      </c>
      <c r="M15" s="46">
        <v>0</v>
      </c>
      <c r="N15" s="46">
        <v>0</v>
      </c>
      <c r="O15" s="46">
        <v>0</v>
      </c>
      <c r="P15" s="46">
        <v>2</v>
      </c>
      <c r="Q15" s="46">
        <v>0</v>
      </c>
      <c r="R15" s="46">
        <v>1</v>
      </c>
      <c r="S15" s="46">
        <v>1</v>
      </c>
      <c r="T15" s="46">
        <v>0</v>
      </c>
      <c r="U15" s="46">
        <v>2</v>
      </c>
      <c r="V15" s="46">
        <v>2</v>
      </c>
      <c r="W15" s="46">
        <v>3</v>
      </c>
      <c r="X15" s="46">
        <v>0</v>
      </c>
      <c r="Y15" s="46">
        <v>0</v>
      </c>
      <c r="Z15" s="46">
        <v>0</v>
      </c>
      <c r="AA15" s="46">
        <v>0</v>
      </c>
      <c r="AB15" s="46">
        <v>1</v>
      </c>
      <c r="AC15" s="46">
        <v>1</v>
      </c>
      <c r="AD15" s="46">
        <v>1</v>
      </c>
      <c r="AE15" s="46">
        <v>9</v>
      </c>
    </row>
    <row r="16" spans="2:31" x14ac:dyDescent="0.25">
      <c r="B16" s="11">
        <v>0.28125</v>
      </c>
      <c r="C16" s="46">
        <v>0</v>
      </c>
      <c r="D16" s="46">
        <v>0</v>
      </c>
      <c r="E16" s="46">
        <v>0</v>
      </c>
      <c r="F16" s="46">
        <v>1</v>
      </c>
      <c r="G16" s="46">
        <v>1</v>
      </c>
      <c r="H16" s="46">
        <v>2</v>
      </c>
      <c r="I16" s="46">
        <v>2</v>
      </c>
      <c r="J16" s="46">
        <v>0</v>
      </c>
      <c r="K16" s="46">
        <v>8</v>
      </c>
      <c r="L16" s="46">
        <v>8</v>
      </c>
      <c r="M16" s="46">
        <v>0</v>
      </c>
      <c r="N16" s="46">
        <v>1</v>
      </c>
      <c r="O16" s="46">
        <v>1</v>
      </c>
      <c r="P16" s="46">
        <v>9</v>
      </c>
      <c r="Q16" s="46">
        <v>0</v>
      </c>
      <c r="R16" s="46">
        <v>0</v>
      </c>
      <c r="S16" s="46">
        <v>0</v>
      </c>
      <c r="T16" s="46">
        <v>0</v>
      </c>
      <c r="U16" s="46">
        <v>0</v>
      </c>
      <c r="V16" s="46">
        <v>0</v>
      </c>
      <c r="W16" s="46">
        <v>0</v>
      </c>
      <c r="X16" s="46">
        <v>0</v>
      </c>
      <c r="Y16" s="46">
        <v>0</v>
      </c>
      <c r="Z16" s="46">
        <v>0</v>
      </c>
      <c r="AA16" s="46">
        <v>0</v>
      </c>
      <c r="AB16" s="46">
        <v>0</v>
      </c>
      <c r="AC16" s="46">
        <v>0</v>
      </c>
      <c r="AD16" s="46">
        <v>0</v>
      </c>
      <c r="AE16" s="46">
        <v>11</v>
      </c>
    </row>
    <row r="17" spans="2:31" x14ac:dyDescent="0.25">
      <c r="B17" s="11">
        <v>0.29166666666666669</v>
      </c>
      <c r="C17" s="46">
        <v>1</v>
      </c>
      <c r="D17" s="46">
        <v>0</v>
      </c>
      <c r="E17" s="46">
        <v>1</v>
      </c>
      <c r="F17" s="46">
        <v>0</v>
      </c>
      <c r="G17" s="46">
        <v>0</v>
      </c>
      <c r="H17" s="46">
        <v>0</v>
      </c>
      <c r="I17" s="46">
        <v>1</v>
      </c>
      <c r="J17" s="46">
        <v>0</v>
      </c>
      <c r="K17" s="46">
        <v>9</v>
      </c>
      <c r="L17" s="46">
        <v>9</v>
      </c>
      <c r="M17" s="46">
        <v>3</v>
      </c>
      <c r="N17" s="46">
        <v>4</v>
      </c>
      <c r="O17" s="46">
        <v>7</v>
      </c>
      <c r="P17" s="46">
        <v>16</v>
      </c>
      <c r="Q17" s="46">
        <v>0</v>
      </c>
      <c r="R17" s="46">
        <v>2</v>
      </c>
      <c r="S17" s="46">
        <v>2</v>
      </c>
      <c r="T17" s="46">
        <v>0</v>
      </c>
      <c r="U17" s="46">
        <v>2</v>
      </c>
      <c r="V17" s="46">
        <v>2</v>
      </c>
      <c r="W17" s="46">
        <v>4</v>
      </c>
      <c r="X17" s="46">
        <v>0</v>
      </c>
      <c r="Y17" s="46">
        <v>0</v>
      </c>
      <c r="Z17" s="46">
        <v>0</v>
      </c>
      <c r="AA17" s="46">
        <v>1</v>
      </c>
      <c r="AB17" s="46">
        <v>4</v>
      </c>
      <c r="AC17" s="46">
        <v>5</v>
      </c>
      <c r="AD17" s="46">
        <v>5</v>
      </c>
      <c r="AE17" s="46">
        <v>26</v>
      </c>
    </row>
    <row r="18" spans="2:31" x14ac:dyDescent="0.25">
      <c r="B18" s="11">
        <v>0.30208333333333331</v>
      </c>
      <c r="C18" s="46">
        <v>0</v>
      </c>
      <c r="D18" s="46">
        <v>1</v>
      </c>
      <c r="E18" s="46">
        <v>1</v>
      </c>
      <c r="F18" s="46">
        <v>0</v>
      </c>
      <c r="G18" s="46">
        <v>0</v>
      </c>
      <c r="H18" s="46">
        <v>0</v>
      </c>
      <c r="I18" s="46">
        <v>1</v>
      </c>
      <c r="J18" s="46">
        <v>0</v>
      </c>
      <c r="K18" s="46">
        <v>6</v>
      </c>
      <c r="L18" s="46">
        <v>6</v>
      </c>
      <c r="M18" s="46">
        <v>0</v>
      </c>
      <c r="N18" s="46">
        <v>3</v>
      </c>
      <c r="O18" s="46">
        <v>3</v>
      </c>
      <c r="P18" s="46">
        <v>9</v>
      </c>
      <c r="Q18" s="46">
        <v>0</v>
      </c>
      <c r="R18" s="46">
        <v>1</v>
      </c>
      <c r="S18" s="46">
        <v>1</v>
      </c>
      <c r="T18" s="46">
        <v>0</v>
      </c>
      <c r="U18" s="46">
        <v>0</v>
      </c>
      <c r="V18" s="46">
        <v>0</v>
      </c>
      <c r="W18" s="46">
        <v>1</v>
      </c>
      <c r="X18" s="46">
        <v>0</v>
      </c>
      <c r="Y18" s="46">
        <v>1</v>
      </c>
      <c r="Z18" s="46">
        <v>1</v>
      </c>
      <c r="AA18" s="46">
        <v>0</v>
      </c>
      <c r="AB18" s="46">
        <v>5</v>
      </c>
      <c r="AC18" s="46">
        <v>5</v>
      </c>
      <c r="AD18" s="46">
        <v>6</v>
      </c>
      <c r="AE18" s="46">
        <v>17</v>
      </c>
    </row>
    <row r="19" spans="2:31" x14ac:dyDescent="0.25">
      <c r="B19" s="11">
        <v>0.3125</v>
      </c>
      <c r="C19" s="46">
        <v>0</v>
      </c>
      <c r="D19" s="46">
        <v>1</v>
      </c>
      <c r="E19" s="46">
        <v>1</v>
      </c>
      <c r="F19" s="46">
        <v>1</v>
      </c>
      <c r="G19" s="46">
        <v>0</v>
      </c>
      <c r="H19" s="46">
        <v>1</v>
      </c>
      <c r="I19" s="46">
        <v>2</v>
      </c>
      <c r="J19" s="46">
        <v>0</v>
      </c>
      <c r="K19" s="46">
        <v>3</v>
      </c>
      <c r="L19" s="46">
        <v>3</v>
      </c>
      <c r="M19" s="46">
        <v>1</v>
      </c>
      <c r="N19" s="46">
        <v>0</v>
      </c>
      <c r="O19" s="46">
        <v>1</v>
      </c>
      <c r="P19" s="46">
        <v>4</v>
      </c>
      <c r="Q19" s="46">
        <v>1</v>
      </c>
      <c r="R19" s="46">
        <v>1</v>
      </c>
      <c r="S19" s="46">
        <v>2</v>
      </c>
      <c r="T19" s="46">
        <v>0</v>
      </c>
      <c r="U19" s="46">
        <v>1</v>
      </c>
      <c r="V19" s="46">
        <v>1</v>
      </c>
      <c r="W19" s="46">
        <v>3</v>
      </c>
      <c r="X19" s="46">
        <v>0</v>
      </c>
      <c r="Y19" s="46">
        <v>2</v>
      </c>
      <c r="Z19" s="46">
        <v>2</v>
      </c>
      <c r="AA19" s="46">
        <v>0</v>
      </c>
      <c r="AB19" s="46">
        <v>7</v>
      </c>
      <c r="AC19" s="46">
        <v>7</v>
      </c>
      <c r="AD19" s="46">
        <v>9</v>
      </c>
      <c r="AE19" s="46">
        <v>18</v>
      </c>
    </row>
    <row r="20" spans="2:31" x14ac:dyDescent="0.25">
      <c r="B20" s="11">
        <v>0.32291666666666669</v>
      </c>
      <c r="C20" s="46">
        <v>1</v>
      </c>
      <c r="D20" s="46">
        <v>0</v>
      </c>
      <c r="E20" s="46">
        <v>1</v>
      </c>
      <c r="F20" s="46">
        <v>0</v>
      </c>
      <c r="G20" s="46">
        <v>0</v>
      </c>
      <c r="H20" s="46">
        <v>0</v>
      </c>
      <c r="I20" s="46">
        <v>1</v>
      </c>
      <c r="J20" s="46">
        <v>1</v>
      </c>
      <c r="K20" s="46">
        <v>17</v>
      </c>
      <c r="L20" s="46">
        <v>18</v>
      </c>
      <c r="M20" s="46">
        <v>6</v>
      </c>
      <c r="N20" s="46">
        <v>1</v>
      </c>
      <c r="O20" s="46">
        <v>7</v>
      </c>
      <c r="P20" s="46">
        <v>25</v>
      </c>
      <c r="Q20" s="46">
        <v>0</v>
      </c>
      <c r="R20" s="46">
        <v>1</v>
      </c>
      <c r="S20" s="46">
        <v>1</v>
      </c>
      <c r="T20" s="46">
        <v>0</v>
      </c>
      <c r="U20" s="46">
        <v>0</v>
      </c>
      <c r="V20" s="46">
        <v>0</v>
      </c>
      <c r="W20" s="46">
        <v>1</v>
      </c>
      <c r="X20" s="46">
        <v>1</v>
      </c>
      <c r="Y20" s="46">
        <v>0</v>
      </c>
      <c r="Z20" s="46">
        <v>1</v>
      </c>
      <c r="AA20" s="46">
        <v>1</v>
      </c>
      <c r="AB20" s="46">
        <v>8</v>
      </c>
      <c r="AC20" s="46">
        <v>9</v>
      </c>
      <c r="AD20" s="46">
        <v>10</v>
      </c>
      <c r="AE20" s="46">
        <v>37</v>
      </c>
    </row>
    <row r="21" spans="2:31" x14ac:dyDescent="0.25">
      <c r="B21" s="11">
        <v>0.33333333333333331</v>
      </c>
      <c r="C21" s="46">
        <v>0</v>
      </c>
      <c r="D21" s="46">
        <v>0</v>
      </c>
      <c r="E21" s="46">
        <v>0</v>
      </c>
      <c r="F21" s="46">
        <v>0</v>
      </c>
      <c r="G21" s="46">
        <v>0</v>
      </c>
      <c r="H21" s="46">
        <v>0</v>
      </c>
      <c r="I21" s="46">
        <v>0</v>
      </c>
      <c r="J21" s="46">
        <v>1</v>
      </c>
      <c r="K21" s="46">
        <v>14</v>
      </c>
      <c r="L21" s="46">
        <v>15</v>
      </c>
      <c r="M21" s="46">
        <v>8</v>
      </c>
      <c r="N21" s="46">
        <v>2</v>
      </c>
      <c r="O21" s="46">
        <v>10</v>
      </c>
      <c r="P21" s="46">
        <v>25</v>
      </c>
      <c r="Q21" s="46">
        <v>0</v>
      </c>
      <c r="R21" s="46">
        <v>0</v>
      </c>
      <c r="S21" s="46">
        <v>0</v>
      </c>
      <c r="T21" s="46">
        <v>0</v>
      </c>
      <c r="U21" s="46">
        <v>0</v>
      </c>
      <c r="V21" s="46">
        <v>0</v>
      </c>
      <c r="W21" s="46">
        <v>0</v>
      </c>
      <c r="X21" s="46">
        <v>0</v>
      </c>
      <c r="Y21" s="46">
        <v>1</v>
      </c>
      <c r="Z21" s="46">
        <v>1</v>
      </c>
      <c r="AA21" s="46">
        <v>0</v>
      </c>
      <c r="AB21" s="46">
        <v>10</v>
      </c>
      <c r="AC21" s="46">
        <v>10</v>
      </c>
      <c r="AD21" s="46">
        <v>11</v>
      </c>
      <c r="AE21" s="46">
        <v>36</v>
      </c>
    </row>
    <row r="22" spans="2:31" x14ac:dyDescent="0.25">
      <c r="B22" s="11">
        <v>0.34375</v>
      </c>
      <c r="C22" s="46">
        <v>1</v>
      </c>
      <c r="D22" s="46">
        <v>0</v>
      </c>
      <c r="E22" s="46">
        <v>1</v>
      </c>
      <c r="F22" s="46">
        <v>1</v>
      </c>
      <c r="G22" s="46">
        <v>0</v>
      </c>
      <c r="H22" s="46">
        <v>1</v>
      </c>
      <c r="I22" s="46">
        <v>2</v>
      </c>
      <c r="J22" s="46">
        <v>1</v>
      </c>
      <c r="K22" s="46">
        <v>8</v>
      </c>
      <c r="L22" s="46">
        <v>9</v>
      </c>
      <c r="M22" s="46">
        <v>4</v>
      </c>
      <c r="N22" s="46">
        <v>0</v>
      </c>
      <c r="O22" s="46">
        <v>4</v>
      </c>
      <c r="P22" s="46">
        <v>13</v>
      </c>
      <c r="Q22" s="46">
        <v>0</v>
      </c>
      <c r="R22" s="46">
        <v>2</v>
      </c>
      <c r="S22" s="46">
        <v>2</v>
      </c>
      <c r="T22" s="46">
        <v>0</v>
      </c>
      <c r="U22" s="46">
        <v>0</v>
      </c>
      <c r="V22" s="46">
        <v>0</v>
      </c>
      <c r="W22" s="46">
        <v>2</v>
      </c>
      <c r="X22" s="46">
        <v>0</v>
      </c>
      <c r="Y22" s="46">
        <v>1</v>
      </c>
      <c r="Z22" s="46">
        <v>1</v>
      </c>
      <c r="AA22" s="46">
        <v>0</v>
      </c>
      <c r="AB22" s="46">
        <v>7</v>
      </c>
      <c r="AC22" s="46">
        <v>7</v>
      </c>
      <c r="AD22" s="46">
        <v>8</v>
      </c>
      <c r="AE22" s="46">
        <v>25</v>
      </c>
    </row>
    <row r="23" spans="2:31" x14ac:dyDescent="0.25">
      <c r="B23" s="11">
        <v>0.35416666666666669</v>
      </c>
      <c r="C23" s="46">
        <v>1</v>
      </c>
      <c r="D23" s="46">
        <v>0</v>
      </c>
      <c r="E23" s="46">
        <v>1</v>
      </c>
      <c r="F23" s="46">
        <v>1</v>
      </c>
      <c r="G23" s="46">
        <v>3</v>
      </c>
      <c r="H23" s="46">
        <v>4</v>
      </c>
      <c r="I23" s="46">
        <v>5</v>
      </c>
      <c r="J23" s="46">
        <v>1</v>
      </c>
      <c r="K23" s="46">
        <v>12</v>
      </c>
      <c r="L23" s="46">
        <v>13</v>
      </c>
      <c r="M23" s="46">
        <v>1</v>
      </c>
      <c r="N23" s="46">
        <v>0</v>
      </c>
      <c r="O23" s="46">
        <v>1</v>
      </c>
      <c r="P23" s="46">
        <v>14</v>
      </c>
      <c r="Q23" s="46">
        <v>0</v>
      </c>
      <c r="R23" s="46">
        <v>0</v>
      </c>
      <c r="S23" s="46">
        <v>0</v>
      </c>
      <c r="T23" s="46">
        <v>0</v>
      </c>
      <c r="U23" s="46">
        <v>3</v>
      </c>
      <c r="V23" s="46">
        <v>3</v>
      </c>
      <c r="W23" s="46">
        <v>3</v>
      </c>
      <c r="X23" s="46">
        <v>0</v>
      </c>
      <c r="Y23" s="46">
        <v>1</v>
      </c>
      <c r="Z23" s="46">
        <v>1</v>
      </c>
      <c r="AA23" s="46">
        <v>0</v>
      </c>
      <c r="AB23" s="46">
        <v>4</v>
      </c>
      <c r="AC23" s="46">
        <v>4</v>
      </c>
      <c r="AD23" s="46">
        <v>5</v>
      </c>
      <c r="AE23" s="46">
        <v>27</v>
      </c>
    </row>
    <row r="24" spans="2:31" x14ac:dyDescent="0.25">
      <c r="B24" s="11">
        <v>0.36458333333333331</v>
      </c>
      <c r="C24" s="46">
        <v>0</v>
      </c>
      <c r="D24" s="46">
        <v>1</v>
      </c>
      <c r="E24" s="46">
        <v>1</v>
      </c>
      <c r="F24" s="46">
        <v>0</v>
      </c>
      <c r="G24" s="46">
        <v>1</v>
      </c>
      <c r="H24" s="46">
        <v>1</v>
      </c>
      <c r="I24" s="46">
        <v>2</v>
      </c>
      <c r="J24" s="46">
        <v>1</v>
      </c>
      <c r="K24" s="46">
        <v>11</v>
      </c>
      <c r="L24" s="46">
        <v>12</v>
      </c>
      <c r="M24" s="46">
        <v>1</v>
      </c>
      <c r="N24" s="46">
        <v>1</v>
      </c>
      <c r="O24" s="46">
        <v>2</v>
      </c>
      <c r="P24" s="46">
        <v>14</v>
      </c>
      <c r="Q24" s="46">
        <v>0</v>
      </c>
      <c r="R24" s="46">
        <v>0</v>
      </c>
      <c r="S24" s="46">
        <v>0</v>
      </c>
      <c r="T24" s="46">
        <v>0</v>
      </c>
      <c r="U24" s="46">
        <v>2</v>
      </c>
      <c r="V24" s="46">
        <v>2</v>
      </c>
      <c r="W24" s="46">
        <v>2</v>
      </c>
      <c r="X24" s="46">
        <v>0</v>
      </c>
      <c r="Y24" s="46">
        <v>1</v>
      </c>
      <c r="Z24" s="46">
        <v>1</v>
      </c>
      <c r="AA24" s="46">
        <v>1</v>
      </c>
      <c r="AB24" s="46">
        <v>7</v>
      </c>
      <c r="AC24" s="46">
        <v>8</v>
      </c>
      <c r="AD24" s="46">
        <v>9</v>
      </c>
      <c r="AE24" s="46">
        <v>27</v>
      </c>
    </row>
    <row r="25" spans="2:31" x14ac:dyDescent="0.25">
      <c r="B25" s="11">
        <v>0.375</v>
      </c>
      <c r="C25" s="46">
        <v>1</v>
      </c>
      <c r="D25" s="46">
        <v>5</v>
      </c>
      <c r="E25" s="46">
        <v>6</v>
      </c>
      <c r="F25" s="46">
        <v>0</v>
      </c>
      <c r="G25" s="46">
        <v>2</v>
      </c>
      <c r="H25" s="46">
        <v>2</v>
      </c>
      <c r="I25" s="46">
        <v>8</v>
      </c>
      <c r="J25" s="46">
        <v>0</v>
      </c>
      <c r="K25" s="46">
        <v>3</v>
      </c>
      <c r="L25" s="46">
        <v>3</v>
      </c>
      <c r="M25" s="46">
        <v>0</v>
      </c>
      <c r="N25" s="46">
        <v>2</v>
      </c>
      <c r="O25" s="46">
        <v>2</v>
      </c>
      <c r="P25" s="46">
        <v>5</v>
      </c>
      <c r="Q25" s="46">
        <v>0</v>
      </c>
      <c r="R25" s="46">
        <v>2</v>
      </c>
      <c r="S25" s="46">
        <v>2</v>
      </c>
      <c r="T25" s="46">
        <v>0</v>
      </c>
      <c r="U25" s="46">
        <v>0</v>
      </c>
      <c r="V25" s="46">
        <v>0</v>
      </c>
      <c r="W25" s="46">
        <v>2</v>
      </c>
      <c r="X25" s="46">
        <v>0</v>
      </c>
      <c r="Y25" s="46">
        <v>4</v>
      </c>
      <c r="Z25" s="46">
        <v>4</v>
      </c>
      <c r="AA25" s="46">
        <v>0</v>
      </c>
      <c r="AB25" s="46">
        <v>4</v>
      </c>
      <c r="AC25" s="46">
        <v>4</v>
      </c>
      <c r="AD25" s="46">
        <v>8</v>
      </c>
      <c r="AE25" s="46">
        <v>23</v>
      </c>
    </row>
    <row r="26" spans="2:31" x14ac:dyDescent="0.25">
      <c r="B26" s="11">
        <v>0.38541666666666669</v>
      </c>
      <c r="C26" s="46">
        <v>1</v>
      </c>
      <c r="D26" s="46">
        <v>1</v>
      </c>
      <c r="E26" s="46">
        <v>2</v>
      </c>
      <c r="F26" s="46">
        <v>0</v>
      </c>
      <c r="G26" s="46">
        <v>1</v>
      </c>
      <c r="H26" s="46">
        <v>1</v>
      </c>
      <c r="I26" s="46">
        <v>3</v>
      </c>
      <c r="J26" s="46">
        <v>0</v>
      </c>
      <c r="K26" s="46">
        <v>3</v>
      </c>
      <c r="L26" s="46">
        <v>3</v>
      </c>
      <c r="M26" s="46">
        <v>0</v>
      </c>
      <c r="N26" s="46">
        <v>3</v>
      </c>
      <c r="O26" s="46">
        <v>3</v>
      </c>
      <c r="P26" s="46">
        <v>6</v>
      </c>
      <c r="Q26" s="46">
        <v>0</v>
      </c>
      <c r="R26" s="46">
        <v>1</v>
      </c>
      <c r="S26" s="46">
        <v>1</v>
      </c>
      <c r="T26" s="46">
        <v>0</v>
      </c>
      <c r="U26" s="46">
        <v>4</v>
      </c>
      <c r="V26" s="46">
        <v>4</v>
      </c>
      <c r="W26" s="46">
        <v>5</v>
      </c>
      <c r="X26" s="46">
        <v>0</v>
      </c>
      <c r="Y26" s="46">
        <v>0</v>
      </c>
      <c r="Z26" s="46">
        <v>0</v>
      </c>
      <c r="AA26" s="46">
        <v>0</v>
      </c>
      <c r="AB26" s="46">
        <v>4</v>
      </c>
      <c r="AC26" s="46">
        <v>4</v>
      </c>
      <c r="AD26" s="46">
        <v>4</v>
      </c>
      <c r="AE26" s="46">
        <v>18</v>
      </c>
    </row>
    <row r="27" spans="2:31" x14ac:dyDescent="0.25">
      <c r="B27" s="10" t="s">
        <v>44</v>
      </c>
      <c r="C27" s="46">
        <v>5</v>
      </c>
      <c r="D27" s="46">
        <v>33</v>
      </c>
      <c r="E27" s="46">
        <v>38</v>
      </c>
      <c r="F27" s="46">
        <v>2</v>
      </c>
      <c r="G27" s="46">
        <v>42</v>
      </c>
      <c r="H27" s="46">
        <v>44</v>
      </c>
      <c r="I27" s="46">
        <v>82</v>
      </c>
      <c r="J27" s="46">
        <v>9</v>
      </c>
      <c r="K27" s="46">
        <v>30</v>
      </c>
      <c r="L27" s="46">
        <v>39</v>
      </c>
      <c r="M27" s="46">
        <v>212</v>
      </c>
      <c r="N27" s="46">
        <v>129</v>
      </c>
      <c r="O27" s="46">
        <v>341</v>
      </c>
      <c r="P27" s="46">
        <v>380</v>
      </c>
      <c r="Q27" s="46">
        <v>0</v>
      </c>
      <c r="R27" s="46">
        <v>23</v>
      </c>
      <c r="S27" s="46">
        <v>23</v>
      </c>
      <c r="T27" s="46">
        <v>0</v>
      </c>
      <c r="U27" s="46">
        <v>27</v>
      </c>
      <c r="V27" s="46">
        <v>27</v>
      </c>
      <c r="W27" s="46">
        <v>50</v>
      </c>
      <c r="X27" s="46">
        <v>3</v>
      </c>
      <c r="Y27" s="46">
        <v>75</v>
      </c>
      <c r="Z27" s="46">
        <v>78</v>
      </c>
      <c r="AA27" s="46">
        <v>7</v>
      </c>
      <c r="AB27" s="46">
        <v>51</v>
      </c>
      <c r="AC27" s="46">
        <v>58</v>
      </c>
      <c r="AD27" s="46">
        <v>136</v>
      </c>
      <c r="AE27" s="46">
        <v>648</v>
      </c>
    </row>
    <row r="28" spans="2:31" x14ac:dyDescent="0.25">
      <c r="B28" s="11">
        <v>0.625</v>
      </c>
      <c r="C28" s="46">
        <v>0</v>
      </c>
      <c r="D28" s="46">
        <v>1</v>
      </c>
      <c r="E28" s="46">
        <v>1</v>
      </c>
      <c r="F28" s="46">
        <v>0</v>
      </c>
      <c r="G28" s="46">
        <v>6</v>
      </c>
      <c r="H28" s="46">
        <v>6</v>
      </c>
      <c r="I28" s="46">
        <v>7</v>
      </c>
      <c r="J28" s="46">
        <v>5</v>
      </c>
      <c r="K28" s="46">
        <v>3</v>
      </c>
      <c r="L28" s="46">
        <v>8</v>
      </c>
      <c r="M28" s="46">
        <v>8</v>
      </c>
      <c r="N28" s="46">
        <v>8</v>
      </c>
      <c r="O28" s="46">
        <v>16</v>
      </c>
      <c r="P28" s="46">
        <v>24</v>
      </c>
      <c r="Q28" s="46">
        <v>0</v>
      </c>
      <c r="R28" s="46">
        <v>2</v>
      </c>
      <c r="S28" s="46">
        <v>2</v>
      </c>
      <c r="T28" s="46">
        <v>0</v>
      </c>
      <c r="U28" s="46">
        <v>2</v>
      </c>
      <c r="V28" s="46">
        <v>2</v>
      </c>
      <c r="W28" s="46">
        <v>4</v>
      </c>
      <c r="X28" s="46">
        <v>0</v>
      </c>
      <c r="Y28" s="46">
        <v>4</v>
      </c>
      <c r="Z28" s="46">
        <v>4</v>
      </c>
      <c r="AA28" s="46">
        <v>0</v>
      </c>
      <c r="AB28" s="46">
        <v>1</v>
      </c>
      <c r="AC28" s="46">
        <v>1</v>
      </c>
      <c r="AD28" s="46">
        <v>5</v>
      </c>
      <c r="AE28" s="46">
        <v>40</v>
      </c>
    </row>
    <row r="29" spans="2:31" x14ac:dyDescent="0.25">
      <c r="B29" s="11">
        <v>0.63541666666666663</v>
      </c>
      <c r="C29" s="46">
        <v>0</v>
      </c>
      <c r="D29" s="46">
        <v>5</v>
      </c>
      <c r="E29" s="46">
        <v>5</v>
      </c>
      <c r="F29" s="46">
        <v>0</v>
      </c>
      <c r="G29" s="46">
        <v>0</v>
      </c>
      <c r="H29" s="46">
        <v>0</v>
      </c>
      <c r="I29" s="46">
        <v>5</v>
      </c>
      <c r="J29" s="46">
        <v>0</v>
      </c>
      <c r="K29" s="46">
        <v>1</v>
      </c>
      <c r="L29" s="46">
        <v>1</v>
      </c>
      <c r="M29" s="46">
        <v>10</v>
      </c>
      <c r="N29" s="46">
        <v>9</v>
      </c>
      <c r="O29" s="46">
        <v>19</v>
      </c>
      <c r="P29" s="46">
        <v>20</v>
      </c>
      <c r="Q29" s="46">
        <v>0</v>
      </c>
      <c r="R29" s="46">
        <v>0</v>
      </c>
      <c r="S29" s="46">
        <v>0</v>
      </c>
      <c r="T29" s="46">
        <v>0</v>
      </c>
      <c r="U29" s="46">
        <v>1</v>
      </c>
      <c r="V29" s="46">
        <v>1</v>
      </c>
      <c r="W29" s="46">
        <v>1</v>
      </c>
      <c r="X29" s="46">
        <v>0</v>
      </c>
      <c r="Y29" s="46">
        <v>10</v>
      </c>
      <c r="Z29" s="46">
        <v>10</v>
      </c>
      <c r="AA29" s="46">
        <v>0</v>
      </c>
      <c r="AB29" s="46">
        <v>6</v>
      </c>
      <c r="AC29" s="46">
        <v>6</v>
      </c>
      <c r="AD29" s="46">
        <v>16</v>
      </c>
      <c r="AE29" s="46">
        <v>42</v>
      </c>
    </row>
    <row r="30" spans="2:31" x14ac:dyDescent="0.25">
      <c r="B30" s="11">
        <v>0.64583333333333337</v>
      </c>
      <c r="C30" s="46">
        <v>0</v>
      </c>
      <c r="D30" s="46">
        <v>7</v>
      </c>
      <c r="E30" s="46">
        <v>7</v>
      </c>
      <c r="F30" s="46">
        <v>0</v>
      </c>
      <c r="G30" s="46">
        <v>5</v>
      </c>
      <c r="H30" s="46">
        <v>5</v>
      </c>
      <c r="I30" s="46">
        <v>12</v>
      </c>
      <c r="J30" s="46">
        <v>1</v>
      </c>
      <c r="K30" s="46">
        <v>3</v>
      </c>
      <c r="L30" s="46">
        <v>4</v>
      </c>
      <c r="M30" s="46">
        <v>7</v>
      </c>
      <c r="N30" s="46">
        <v>13</v>
      </c>
      <c r="O30" s="46">
        <v>20</v>
      </c>
      <c r="P30" s="46">
        <v>24</v>
      </c>
      <c r="Q30" s="46">
        <v>0</v>
      </c>
      <c r="R30" s="46">
        <v>0</v>
      </c>
      <c r="S30" s="46">
        <v>0</v>
      </c>
      <c r="T30" s="46">
        <v>0</v>
      </c>
      <c r="U30" s="46">
        <v>2</v>
      </c>
      <c r="V30" s="46">
        <v>2</v>
      </c>
      <c r="W30" s="46">
        <v>2</v>
      </c>
      <c r="X30" s="46">
        <v>0</v>
      </c>
      <c r="Y30" s="46">
        <v>5</v>
      </c>
      <c r="Z30" s="46">
        <v>5</v>
      </c>
      <c r="AA30" s="46">
        <v>0</v>
      </c>
      <c r="AB30" s="46">
        <v>3</v>
      </c>
      <c r="AC30" s="46">
        <v>3</v>
      </c>
      <c r="AD30" s="46">
        <v>8</v>
      </c>
      <c r="AE30" s="46">
        <v>46</v>
      </c>
    </row>
    <row r="31" spans="2:31" x14ac:dyDescent="0.25">
      <c r="B31" s="11">
        <v>0.65625</v>
      </c>
      <c r="C31" s="46">
        <v>0</v>
      </c>
      <c r="D31" s="46">
        <v>3</v>
      </c>
      <c r="E31" s="46">
        <v>3</v>
      </c>
      <c r="F31" s="46">
        <v>1</v>
      </c>
      <c r="G31" s="46">
        <v>1</v>
      </c>
      <c r="H31" s="46">
        <v>2</v>
      </c>
      <c r="I31" s="46">
        <v>5</v>
      </c>
      <c r="J31" s="46">
        <v>0</v>
      </c>
      <c r="K31" s="46">
        <v>2</v>
      </c>
      <c r="L31" s="46">
        <v>2</v>
      </c>
      <c r="M31" s="46">
        <v>14</v>
      </c>
      <c r="N31" s="46">
        <v>9</v>
      </c>
      <c r="O31" s="46">
        <v>23</v>
      </c>
      <c r="P31" s="46">
        <v>25</v>
      </c>
      <c r="Q31" s="46">
        <v>0</v>
      </c>
      <c r="R31" s="46">
        <v>0</v>
      </c>
      <c r="S31" s="46">
        <v>0</v>
      </c>
      <c r="T31" s="46">
        <v>0</v>
      </c>
      <c r="U31" s="46">
        <v>0</v>
      </c>
      <c r="V31" s="46">
        <v>0</v>
      </c>
      <c r="W31" s="46">
        <v>0</v>
      </c>
      <c r="X31" s="46">
        <v>1</v>
      </c>
      <c r="Y31" s="46">
        <v>8</v>
      </c>
      <c r="Z31" s="46">
        <v>9</v>
      </c>
      <c r="AA31" s="46">
        <v>3</v>
      </c>
      <c r="AB31" s="46">
        <v>2</v>
      </c>
      <c r="AC31" s="46">
        <v>5</v>
      </c>
      <c r="AD31" s="46">
        <v>14</v>
      </c>
      <c r="AE31" s="46">
        <v>44</v>
      </c>
    </row>
    <row r="32" spans="2:31" x14ac:dyDescent="0.25">
      <c r="B32" s="11">
        <v>0.66666666666666663</v>
      </c>
      <c r="C32" s="46">
        <v>0</v>
      </c>
      <c r="D32" s="46">
        <v>3</v>
      </c>
      <c r="E32" s="46">
        <v>3</v>
      </c>
      <c r="F32" s="46">
        <v>0</v>
      </c>
      <c r="G32" s="46">
        <v>3</v>
      </c>
      <c r="H32" s="46">
        <v>3</v>
      </c>
      <c r="I32" s="46">
        <v>6</v>
      </c>
      <c r="J32" s="46">
        <v>0</v>
      </c>
      <c r="K32" s="46">
        <v>2</v>
      </c>
      <c r="L32" s="46">
        <v>2</v>
      </c>
      <c r="M32" s="46">
        <v>12</v>
      </c>
      <c r="N32" s="46">
        <v>12</v>
      </c>
      <c r="O32" s="46">
        <v>24</v>
      </c>
      <c r="P32" s="46">
        <v>26</v>
      </c>
      <c r="Q32" s="46">
        <v>0</v>
      </c>
      <c r="R32" s="46">
        <v>0</v>
      </c>
      <c r="S32" s="46">
        <v>0</v>
      </c>
      <c r="T32" s="46">
        <v>0</v>
      </c>
      <c r="U32" s="46">
        <v>0</v>
      </c>
      <c r="V32" s="46">
        <v>0</v>
      </c>
      <c r="W32" s="46">
        <v>0</v>
      </c>
      <c r="X32" s="46">
        <v>0</v>
      </c>
      <c r="Y32" s="46">
        <v>7</v>
      </c>
      <c r="Z32" s="46">
        <v>7</v>
      </c>
      <c r="AA32" s="46">
        <v>0</v>
      </c>
      <c r="AB32" s="46">
        <v>5</v>
      </c>
      <c r="AC32" s="46">
        <v>5</v>
      </c>
      <c r="AD32" s="46">
        <v>12</v>
      </c>
      <c r="AE32" s="46">
        <v>44</v>
      </c>
    </row>
    <row r="33" spans="2:31" x14ac:dyDescent="0.25">
      <c r="B33" s="11">
        <v>0.67708333333333337</v>
      </c>
      <c r="C33" s="46">
        <v>1</v>
      </c>
      <c r="D33" s="46">
        <v>7</v>
      </c>
      <c r="E33" s="46">
        <v>8</v>
      </c>
      <c r="F33" s="46">
        <v>0</v>
      </c>
      <c r="G33" s="46">
        <v>1</v>
      </c>
      <c r="H33" s="46">
        <v>1</v>
      </c>
      <c r="I33" s="46">
        <v>9</v>
      </c>
      <c r="J33" s="46">
        <v>0</v>
      </c>
      <c r="K33" s="46">
        <v>0</v>
      </c>
      <c r="L33" s="46">
        <v>0</v>
      </c>
      <c r="M33" s="46">
        <v>17</v>
      </c>
      <c r="N33" s="46">
        <v>5</v>
      </c>
      <c r="O33" s="46">
        <v>22</v>
      </c>
      <c r="P33" s="46">
        <v>22</v>
      </c>
      <c r="Q33" s="46">
        <v>0</v>
      </c>
      <c r="R33" s="46">
        <v>1</v>
      </c>
      <c r="S33" s="46">
        <v>1</v>
      </c>
      <c r="T33" s="46">
        <v>0</v>
      </c>
      <c r="U33" s="46">
        <v>1</v>
      </c>
      <c r="V33" s="46">
        <v>1</v>
      </c>
      <c r="W33" s="46">
        <v>2</v>
      </c>
      <c r="X33" s="46">
        <v>0</v>
      </c>
      <c r="Y33" s="46">
        <v>4</v>
      </c>
      <c r="Z33" s="46">
        <v>4</v>
      </c>
      <c r="AA33" s="46">
        <v>0</v>
      </c>
      <c r="AB33" s="46">
        <v>4</v>
      </c>
      <c r="AC33" s="46">
        <v>4</v>
      </c>
      <c r="AD33" s="46">
        <v>8</v>
      </c>
      <c r="AE33" s="46">
        <v>41</v>
      </c>
    </row>
    <row r="34" spans="2:31" x14ac:dyDescent="0.25">
      <c r="B34" s="11">
        <v>0.6875</v>
      </c>
      <c r="C34" s="46">
        <v>1</v>
      </c>
      <c r="D34" s="46">
        <v>1</v>
      </c>
      <c r="E34" s="46">
        <v>2</v>
      </c>
      <c r="F34" s="46">
        <v>0</v>
      </c>
      <c r="G34" s="46">
        <v>6</v>
      </c>
      <c r="H34" s="46">
        <v>6</v>
      </c>
      <c r="I34" s="46">
        <v>8</v>
      </c>
      <c r="J34" s="46">
        <v>1</v>
      </c>
      <c r="K34" s="46">
        <v>7</v>
      </c>
      <c r="L34" s="46">
        <v>8</v>
      </c>
      <c r="M34" s="46">
        <v>12</v>
      </c>
      <c r="N34" s="46">
        <v>10</v>
      </c>
      <c r="O34" s="46">
        <v>22</v>
      </c>
      <c r="P34" s="46">
        <v>30</v>
      </c>
      <c r="Q34" s="46">
        <v>0</v>
      </c>
      <c r="R34" s="46">
        <v>2</v>
      </c>
      <c r="S34" s="46">
        <v>2</v>
      </c>
      <c r="T34" s="46">
        <v>0</v>
      </c>
      <c r="U34" s="46">
        <v>0</v>
      </c>
      <c r="V34" s="46">
        <v>0</v>
      </c>
      <c r="W34" s="46">
        <v>2</v>
      </c>
      <c r="X34" s="46">
        <v>1</v>
      </c>
      <c r="Y34" s="46">
        <v>11</v>
      </c>
      <c r="Z34" s="46">
        <v>12</v>
      </c>
      <c r="AA34" s="46">
        <v>0</v>
      </c>
      <c r="AB34" s="46">
        <v>6</v>
      </c>
      <c r="AC34" s="46">
        <v>6</v>
      </c>
      <c r="AD34" s="46">
        <v>18</v>
      </c>
      <c r="AE34" s="46">
        <v>58</v>
      </c>
    </row>
    <row r="35" spans="2:31" x14ac:dyDescent="0.25">
      <c r="B35" s="11">
        <v>0.69791666666666663</v>
      </c>
      <c r="C35" s="46">
        <v>0</v>
      </c>
      <c r="D35" s="46">
        <v>2</v>
      </c>
      <c r="E35" s="46">
        <v>2</v>
      </c>
      <c r="F35" s="46">
        <v>0</v>
      </c>
      <c r="G35" s="46">
        <v>1</v>
      </c>
      <c r="H35" s="46">
        <v>1</v>
      </c>
      <c r="I35" s="46">
        <v>3</v>
      </c>
      <c r="J35" s="46">
        <v>1</v>
      </c>
      <c r="K35" s="46">
        <v>0</v>
      </c>
      <c r="L35" s="46">
        <v>1</v>
      </c>
      <c r="M35" s="46">
        <v>28</v>
      </c>
      <c r="N35" s="46">
        <v>7</v>
      </c>
      <c r="O35" s="46">
        <v>35</v>
      </c>
      <c r="P35" s="46">
        <v>36</v>
      </c>
      <c r="Q35" s="46">
        <v>0</v>
      </c>
      <c r="R35" s="46">
        <v>2</v>
      </c>
      <c r="S35" s="46">
        <v>2</v>
      </c>
      <c r="T35" s="46">
        <v>0</v>
      </c>
      <c r="U35" s="46">
        <v>2</v>
      </c>
      <c r="V35" s="46">
        <v>2</v>
      </c>
      <c r="W35" s="46">
        <v>4</v>
      </c>
      <c r="X35" s="46">
        <v>0</v>
      </c>
      <c r="Y35" s="46">
        <v>4</v>
      </c>
      <c r="Z35" s="46">
        <v>4</v>
      </c>
      <c r="AA35" s="46">
        <v>0</v>
      </c>
      <c r="AB35" s="46">
        <v>4</v>
      </c>
      <c r="AC35" s="46">
        <v>4</v>
      </c>
      <c r="AD35" s="46">
        <v>8</v>
      </c>
      <c r="AE35" s="46">
        <v>51</v>
      </c>
    </row>
    <row r="36" spans="2:31" x14ac:dyDescent="0.25">
      <c r="B36" s="11">
        <v>0.70833333333333337</v>
      </c>
      <c r="C36" s="46">
        <v>1</v>
      </c>
      <c r="D36" s="46">
        <v>1</v>
      </c>
      <c r="E36" s="46">
        <v>2</v>
      </c>
      <c r="F36" s="46">
        <v>0</v>
      </c>
      <c r="G36" s="46">
        <v>6</v>
      </c>
      <c r="H36" s="46">
        <v>6</v>
      </c>
      <c r="I36" s="46">
        <v>8</v>
      </c>
      <c r="J36" s="46">
        <v>0</v>
      </c>
      <c r="K36" s="46">
        <v>1</v>
      </c>
      <c r="L36" s="46">
        <v>1</v>
      </c>
      <c r="M36" s="46">
        <v>25</v>
      </c>
      <c r="N36" s="46">
        <v>14</v>
      </c>
      <c r="O36" s="46">
        <v>39</v>
      </c>
      <c r="P36" s="46">
        <v>40</v>
      </c>
      <c r="Q36" s="46">
        <v>0</v>
      </c>
      <c r="R36" s="46">
        <v>2</v>
      </c>
      <c r="S36" s="46">
        <v>2</v>
      </c>
      <c r="T36" s="46">
        <v>0</v>
      </c>
      <c r="U36" s="46">
        <v>5</v>
      </c>
      <c r="V36" s="46">
        <v>5</v>
      </c>
      <c r="W36" s="46">
        <v>7</v>
      </c>
      <c r="X36" s="46">
        <v>0</v>
      </c>
      <c r="Y36" s="46">
        <v>7</v>
      </c>
      <c r="Z36" s="46">
        <v>7</v>
      </c>
      <c r="AA36" s="46">
        <v>2</v>
      </c>
      <c r="AB36" s="46">
        <v>6</v>
      </c>
      <c r="AC36" s="46">
        <v>8</v>
      </c>
      <c r="AD36" s="46">
        <v>15</v>
      </c>
      <c r="AE36" s="46">
        <v>70</v>
      </c>
    </row>
    <row r="37" spans="2:31" x14ac:dyDescent="0.25">
      <c r="B37" s="11">
        <v>0.71875</v>
      </c>
      <c r="C37" s="46">
        <v>0</v>
      </c>
      <c r="D37" s="46">
        <v>1</v>
      </c>
      <c r="E37" s="46">
        <v>1</v>
      </c>
      <c r="F37" s="46">
        <v>0</v>
      </c>
      <c r="G37" s="46">
        <v>4</v>
      </c>
      <c r="H37" s="46">
        <v>4</v>
      </c>
      <c r="I37" s="46">
        <v>5</v>
      </c>
      <c r="J37" s="46">
        <v>1</v>
      </c>
      <c r="K37" s="46">
        <v>4</v>
      </c>
      <c r="L37" s="46">
        <v>5</v>
      </c>
      <c r="M37" s="46">
        <v>30</v>
      </c>
      <c r="N37" s="46">
        <v>20</v>
      </c>
      <c r="O37" s="46">
        <v>50</v>
      </c>
      <c r="P37" s="46">
        <v>55</v>
      </c>
      <c r="Q37" s="46">
        <v>0</v>
      </c>
      <c r="R37" s="46">
        <v>4</v>
      </c>
      <c r="S37" s="46">
        <v>4</v>
      </c>
      <c r="T37" s="46">
        <v>0</v>
      </c>
      <c r="U37" s="46">
        <v>3</v>
      </c>
      <c r="V37" s="46">
        <v>3</v>
      </c>
      <c r="W37" s="46">
        <v>7</v>
      </c>
      <c r="X37" s="46">
        <v>0</v>
      </c>
      <c r="Y37" s="46">
        <v>4</v>
      </c>
      <c r="Z37" s="46">
        <v>4</v>
      </c>
      <c r="AA37" s="46">
        <v>1</v>
      </c>
      <c r="AB37" s="46">
        <v>4</v>
      </c>
      <c r="AC37" s="46">
        <v>5</v>
      </c>
      <c r="AD37" s="46">
        <v>9</v>
      </c>
      <c r="AE37" s="46">
        <v>76</v>
      </c>
    </row>
    <row r="38" spans="2:31" x14ac:dyDescent="0.25">
      <c r="B38" s="11">
        <v>0.72916666666666663</v>
      </c>
      <c r="C38" s="46">
        <v>1</v>
      </c>
      <c r="D38" s="46">
        <v>0</v>
      </c>
      <c r="E38" s="46">
        <v>1</v>
      </c>
      <c r="F38" s="46">
        <v>0</v>
      </c>
      <c r="G38" s="46">
        <v>3</v>
      </c>
      <c r="H38" s="46">
        <v>3</v>
      </c>
      <c r="I38" s="46">
        <v>4</v>
      </c>
      <c r="J38" s="46">
        <v>0</v>
      </c>
      <c r="K38" s="46">
        <v>1</v>
      </c>
      <c r="L38" s="46">
        <v>1</v>
      </c>
      <c r="M38" s="46">
        <v>24</v>
      </c>
      <c r="N38" s="46">
        <v>9</v>
      </c>
      <c r="O38" s="46">
        <v>33</v>
      </c>
      <c r="P38" s="46">
        <v>34</v>
      </c>
      <c r="Q38" s="46">
        <v>0</v>
      </c>
      <c r="R38" s="46">
        <v>6</v>
      </c>
      <c r="S38" s="46">
        <v>6</v>
      </c>
      <c r="T38" s="46">
        <v>0</v>
      </c>
      <c r="U38" s="46">
        <v>2</v>
      </c>
      <c r="V38" s="46">
        <v>2</v>
      </c>
      <c r="W38" s="46">
        <v>8</v>
      </c>
      <c r="X38" s="46">
        <v>0</v>
      </c>
      <c r="Y38" s="46">
        <v>6</v>
      </c>
      <c r="Z38" s="46">
        <v>6</v>
      </c>
      <c r="AA38" s="46">
        <v>0</v>
      </c>
      <c r="AB38" s="46">
        <v>4</v>
      </c>
      <c r="AC38" s="46">
        <v>4</v>
      </c>
      <c r="AD38" s="46">
        <v>10</v>
      </c>
      <c r="AE38" s="46">
        <v>56</v>
      </c>
    </row>
    <row r="39" spans="2:31" x14ac:dyDescent="0.25">
      <c r="B39" s="11">
        <v>0.73958333333333337</v>
      </c>
      <c r="C39" s="46">
        <v>0</v>
      </c>
      <c r="D39" s="46">
        <v>0</v>
      </c>
      <c r="E39" s="46">
        <v>0</v>
      </c>
      <c r="F39" s="46">
        <v>0</v>
      </c>
      <c r="G39" s="46">
        <v>2</v>
      </c>
      <c r="H39" s="46">
        <v>2</v>
      </c>
      <c r="I39" s="46">
        <v>2</v>
      </c>
      <c r="J39" s="46">
        <v>0</v>
      </c>
      <c r="K39" s="46">
        <v>1</v>
      </c>
      <c r="L39" s="46">
        <v>1</v>
      </c>
      <c r="M39" s="46">
        <v>5</v>
      </c>
      <c r="N39" s="46">
        <v>3</v>
      </c>
      <c r="O39" s="46">
        <v>8</v>
      </c>
      <c r="P39" s="46">
        <v>9</v>
      </c>
      <c r="Q39" s="46">
        <v>0</v>
      </c>
      <c r="R39" s="46">
        <v>3</v>
      </c>
      <c r="S39" s="46">
        <v>3</v>
      </c>
      <c r="T39" s="46">
        <v>0</v>
      </c>
      <c r="U39" s="46">
        <v>4</v>
      </c>
      <c r="V39" s="46">
        <v>4</v>
      </c>
      <c r="W39" s="46">
        <v>7</v>
      </c>
      <c r="X39" s="46">
        <v>1</v>
      </c>
      <c r="Y39" s="46">
        <v>3</v>
      </c>
      <c r="Z39" s="46">
        <v>4</v>
      </c>
      <c r="AA39" s="46">
        <v>1</v>
      </c>
      <c r="AB39" s="46">
        <v>3</v>
      </c>
      <c r="AC39" s="46">
        <v>4</v>
      </c>
      <c r="AD39" s="46">
        <v>8</v>
      </c>
      <c r="AE39" s="46">
        <v>26</v>
      </c>
    </row>
    <row r="40" spans="2:31" x14ac:dyDescent="0.25">
      <c r="B40" s="11">
        <v>0.75</v>
      </c>
      <c r="C40" s="46">
        <v>1</v>
      </c>
      <c r="D40" s="46">
        <v>0</v>
      </c>
      <c r="E40" s="46">
        <v>1</v>
      </c>
      <c r="F40" s="46">
        <v>0</v>
      </c>
      <c r="G40" s="46">
        <v>0</v>
      </c>
      <c r="H40" s="46">
        <v>0</v>
      </c>
      <c r="I40" s="46">
        <v>1</v>
      </c>
      <c r="J40" s="46">
        <v>0</v>
      </c>
      <c r="K40" s="46">
        <v>2</v>
      </c>
      <c r="L40" s="46">
        <v>2</v>
      </c>
      <c r="M40" s="46">
        <v>12</v>
      </c>
      <c r="N40" s="46">
        <v>7</v>
      </c>
      <c r="O40" s="46">
        <v>19</v>
      </c>
      <c r="P40" s="46">
        <v>21</v>
      </c>
      <c r="Q40" s="46">
        <v>0</v>
      </c>
      <c r="R40" s="46">
        <v>1</v>
      </c>
      <c r="S40" s="46">
        <v>1</v>
      </c>
      <c r="T40" s="46">
        <v>0</v>
      </c>
      <c r="U40" s="46">
        <v>3</v>
      </c>
      <c r="V40" s="46">
        <v>3</v>
      </c>
      <c r="W40" s="46">
        <v>4</v>
      </c>
      <c r="X40" s="46">
        <v>0</v>
      </c>
      <c r="Y40" s="46">
        <v>1</v>
      </c>
      <c r="Z40" s="46">
        <v>1</v>
      </c>
      <c r="AA40" s="46">
        <v>0</v>
      </c>
      <c r="AB40" s="46">
        <v>0</v>
      </c>
      <c r="AC40" s="46">
        <v>0</v>
      </c>
      <c r="AD40" s="46">
        <v>1</v>
      </c>
      <c r="AE40" s="46">
        <v>27</v>
      </c>
    </row>
    <row r="41" spans="2:31" x14ac:dyDescent="0.25">
      <c r="B41" s="11">
        <v>0.76041666666666663</v>
      </c>
      <c r="C41" s="46">
        <v>0</v>
      </c>
      <c r="D41" s="46">
        <v>2</v>
      </c>
      <c r="E41" s="46">
        <v>2</v>
      </c>
      <c r="F41" s="46">
        <v>1</v>
      </c>
      <c r="G41" s="46">
        <v>4</v>
      </c>
      <c r="H41" s="46">
        <v>5</v>
      </c>
      <c r="I41" s="46">
        <v>7</v>
      </c>
      <c r="J41" s="46">
        <v>0</v>
      </c>
      <c r="K41" s="46">
        <v>3</v>
      </c>
      <c r="L41" s="46">
        <v>3</v>
      </c>
      <c r="M41" s="46">
        <v>8</v>
      </c>
      <c r="N41" s="46">
        <v>3</v>
      </c>
      <c r="O41" s="46">
        <v>11</v>
      </c>
      <c r="P41" s="46">
        <v>14</v>
      </c>
      <c r="Q41" s="46">
        <v>0</v>
      </c>
      <c r="R41" s="46">
        <v>0</v>
      </c>
      <c r="S41" s="46">
        <v>0</v>
      </c>
      <c r="T41" s="46">
        <v>0</v>
      </c>
      <c r="U41" s="46">
        <v>2</v>
      </c>
      <c r="V41" s="46">
        <v>2</v>
      </c>
      <c r="W41" s="46">
        <v>2</v>
      </c>
      <c r="X41" s="46">
        <v>0</v>
      </c>
      <c r="Y41" s="46">
        <v>1</v>
      </c>
      <c r="Z41" s="46">
        <v>1</v>
      </c>
      <c r="AA41" s="46">
        <v>0</v>
      </c>
      <c r="AB41" s="46">
        <v>3</v>
      </c>
      <c r="AC41" s="46">
        <v>3</v>
      </c>
      <c r="AD41" s="46">
        <v>4</v>
      </c>
      <c r="AE41" s="46">
        <v>27</v>
      </c>
    </row>
    <row r="42" spans="2:31" x14ac:dyDescent="0.25">
      <c r="B42" s="10" t="s">
        <v>88</v>
      </c>
      <c r="C42" s="46">
        <v>6</v>
      </c>
      <c r="D42" s="46">
        <v>33</v>
      </c>
      <c r="E42" s="46">
        <v>39</v>
      </c>
      <c r="F42" s="46">
        <v>4</v>
      </c>
      <c r="G42" s="46">
        <v>23</v>
      </c>
      <c r="H42" s="46">
        <v>27</v>
      </c>
      <c r="I42" s="46">
        <v>66</v>
      </c>
      <c r="J42" s="46">
        <v>1</v>
      </c>
      <c r="K42" s="46">
        <v>39</v>
      </c>
      <c r="L42" s="46">
        <v>40</v>
      </c>
      <c r="M42" s="46">
        <v>12</v>
      </c>
      <c r="N42" s="46">
        <v>32</v>
      </c>
      <c r="O42" s="46">
        <v>44</v>
      </c>
      <c r="P42" s="46">
        <v>84</v>
      </c>
      <c r="Q42" s="46">
        <v>0</v>
      </c>
      <c r="R42" s="46">
        <v>18</v>
      </c>
      <c r="S42" s="46">
        <v>18</v>
      </c>
      <c r="T42" s="46">
        <v>0</v>
      </c>
      <c r="U42" s="46">
        <v>16</v>
      </c>
      <c r="V42" s="46">
        <v>16</v>
      </c>
      <c r="W42" s="46">
        <v>34</v>
      </c>
      <c r="X42" s="46">
        <v>2</v>
      </c>
      <c r="Y42" s="46">
        <v>57</v>
      </c>
      <c r="Z42" s="46">
        <v>59</v>
      </c>
      <c r="AA42" s="46">
        <v>2</v>
      </c>
      <c r="AB42" s="46">
        <v>58</v>
      </c>
      <c r="AC42" s="46">
        <v>60</v>
      </c>
      <c r="AD42" s="46">
        <v>119</v>
      </c>
      <c r="AE42" s="46">
        <v>303</v>
      </c>
    </row>
    <row r="43" spans="2:31" x14ac:dyDescent="0.25">
      <c r="B43" s="11">
        <v>0.45833333333333331</v>
      </c>
      <c r="C43" s="46">
        <v>0</v>
      </c>
      <c r="D43" s="46">
        <v>6</v>
      </c>
      <c r="E43" s="46">
        <v>6</v>
      </c>
      <c r="F43" s="46">
        <v>1</v>
      </c>
      <c r="G43" s="46">
        <v>4</v>
      </c>
      <c r="H43" s="46">
        <v>5</v>
      </c>
      <c r="I43" s="46">
        <v>11</v>
      </c>
      <c r="J43" s="46">
        <v>0</v>
      </c>
      <c r="K43" s="46">
        <v>0</v>
      </c>
      <c r="L43" s="46">
        <v>0</v>
      </c>
      <c r="M43" s="46">
        <v>0</v>
      </c>
      <c r="N43" s="46">
        <v>3</v>
      </c>
      <c r="O43" s="46">
        <v>3</v>
      </c>
      <c r="P43" s="46">
        <v>3</v>
      </c>
      <c r="Q43" s="46">
        <v>0</v>
      </c>
      <c r="R43" s="46">
        <v>6</v>
      </c>
      <c r="S43" s="46">
        <v>6</v>
      </c>
      <c r="T43" s="46">
        <v>0</v>
      </c>
      <c r="U43" s="46">
        <v>1</v>
      </c>
      <c r="V43" s="46">
        <v>1</v>
      </c>
      <c r="W43" s="46">
        <v>7</v>
      </c>
      <c r="X43" s="46">
        <v>0</v>
      </c>
      <c r="Y43" s="46">
        <v>5</v>
      </c>
      <c r="Z43" s="46">
        <v>5</v>
      </c>
      <c r="AA43" s="46">
        <v>0</v>
      </c>
      <c r="AB43" s="46">
        <v>5</v>
      </c>
      <c r="AC43" s="46">
        <v>5</v>
      </c>
      <c r="AD43" s="46">
        <v>10</v>
      </c>
      <c r="AE43" s="46">
        <v>31</v>
      </c>
    </row>
    <row r="44" spans="2:31" x14ac:dyDescent="0.25">
      <c r="B44" s="11">
        <v>0.46875</v>
      </c>
      <c r="C44" s="46">
        <v>1</v>
      </c>
      <c r="D44" s="46">
        <v>2</v>
      </c>
      <c r="E44" s="46">
        <v>3</v>
      </c>
      <c r="F44" s="46">
        <v>0</v>
      </c>
      <c r="G44" s="46">
        <v>2</v>
      </c>
      <c r="H44" s="46">
        <v>2</v>
      </c>
      <c r="I44" s="46">
        <v>5</v>
      </c>
      <c r="J44" s="46">
        <v>0</v>
      </c>
      <c r="K44" s="46">
        <v>2</v>
      </c>
      <c r="L44" s="46">
        <v>2</v>
      </c>
      <c r="M44" s="46">
        <v>2</v>
      </c>
      <c r="N44" s="46">
        <v>0</v>
      </c>
      <c r="O44" s="46">
        <v>2</v>
      </c>
      <c r="P44" s="46">
        <v>4</v>
      </c>
      <c r="Q44" s="46">
        <v>0</v>
      </c>
      <c r="R44" s="46">
        <v>0</v>
      </c>
      <c r="S44" s="46">
        <v>0</v>
      </c>
      <c r="T44" s="46">
        <v>0</v>
      </c>
      <c r="U44" s="46">
        <v>0</v>
      </c>
      <c r="V44" s="46">
        <v>0</v>
      </c>
      <c r="W44" s="46">
        <v>0</v>
      </c>
      <c r="X44" s="46">
        <v>0</v>
      </c>
      <c r="Y44" s="46">
        <v>6</v>
      </c>
      <c r="Z44" s="46">
        <v>6</v>
      </c>
      <c r="AA44" s="46">
        <v>0</v>
      </c>
      <c r="AB44" s="46">
        <v>7</v>
      </c>
      <c r="AC44" s="46">
        <v>7</v>
      </c>
      <c r="AD44" s="46">
        <v>13</v>
      </c>
      <c r="AE44" s="46">
        <v>22</v>
      </c>
    </row>
    <row r="45" spans="2:31" x14ac:dyDescent="0.25">
      <c r="B45" s="11">
        <v>0.47916666666666669</v>
      </c>
      <c r="C45" s="46">
        <v>0</v>
      </c>
      <c r="D45" s="46">
        <v>3</v>
      </c>
      <c r="E45" s="46">
        <v>3</v>
      </c>
      <c r="F45" s="46">
        <v>1</v>
      </c>
      <c r="G45" s="46">
        <v>0</v>
      </c>
      <c r="H45" s="46">
        <v>1</v>
      </c>
      <c r="I45" s="46">
        <v>4</v>
      </c>
      <c r="J45" s="46">
        <v>0</v>
      </c>
      <c r="K45" s="46">
        <v>3</v>
      </c>
      <c r="L45" s="46">
        <v>3</v>
      </c>
      <c r="M45" s="46">
        <v>0</v>
      </c>
      <c r="N45" s="46">
        <v>2</v>
      </c>
      <c r="O45" s="46">
        <v>2</v>
      </c>
      <c r="P45" s="46">
        <v>5</v>
      </c>
      <c r="Q45" s="46">
        <v>0</v>
      </c>
      <c r="R45" s="46">
        <v>0</v>
      </c>
      <c r="S45" s="46">
        <v>0</v>
      </c>
      <c r="T45" s="46">
        <v>0</v>
      </c>
      <c r="U45" s="46">
        <v>1</v>
      </c>
      <c r="V45" s="46">
        <v>1</v>
      </c>
      <c r="W45" s="46">
        <v>1</v>
      </c>
      <c r="X45" s="46">
        <v>1</v>
      </c>
      <c r="Y45" s="46">
        <v>2</v>
      </c>
      <c r="Z45" s="46">
        <v>3</v>
      </c>
      <c r="AA45" s="46">
        <v>0</v>
      </c>
      <c r="AB45" s="46">
        <v>0</v>
      </c>
      <c r="AC45" s="46">
        <v>0</v>
      </c>
      <c r="AD45" s="46">
        <v>3</v>
      </c>
      <c r="AE45" s="46">
        <v>13</v>
      </c>
    </row>
    <row r="46" spans="2:31" x14ac:dyDescent="0.25">
      <c r="B46" s="11">
        <v>0.48958333333333331</v>
      </c>
      <c r="C46" s="46">
        <v>2</v>
      </c>
      <c r="D46" s="46">
        <v>1</v>
      </c>
      <c r="E46" s="46">
        <v>3</v>
      </c>
      <c r="F46" s="46">
        <v>0</v>
      </c>
      <c r="G46" s="46">
        <v>2</v>
      </c>
      <c r="H46" s="46">
        <v>2</v>
      </c>
      <c r="I46" s="46">
        <v>5</v>
      </c>
      <c r="J46" s="46">
        <v>0</v>
      </c>
      <c r="K46" s="46">
        <v>1</v>
      </c>
      <c r="L46" s="46">
        <v>1</v>
      </c>
      <c r="M46" s="46">
        <v>0</v>
      </c>
      <c r="N46" s="46">
        <v>1</v>
      </c>
      <c r="O46" s="46">
        <v>1</v>
      </c>
      <c r="P46" s="46">
        <v>2</v>
      </c>
      <c r="Q46" s="46">
        <v>0</v>
      </c>
      <c r="R46" s="46">
        <v>2</v>
      </c>
      <c r="S46" s="46">
        <v>2</v>
      </c>
      <c r="T46" s="46">
        <v>0</v>
      </c>
      <c r="U46" s="46">
        <v>2</v>
      </c>
      <c r="V46" s="46">
        <v>2</v>
      </c>
      <c r="W46" s="46">
        <v>4</v>
      </c>
      <c r="X46" s="46">
        <v>1</v>
      </c>
      <c r="Y46" s="46">
        <v>5</v>
      </c>
      <c r="Z46" s="46">
        <v>6</v>
      </c>
      <c r="AA46" s="46">
        <v>0</v>
      </c>
      <c r="AB46" s="46">
        <v>5</v>
      </c>
      <c r="AC46" s="46">
        <v>5</v>
      </c>
      <c r="AD46" s="46">
        <v>11</v>
      </c>
      <c r="AE46" s="46">
        <v>22</v>
      </c>
    </row>
    <row r="47" spans="2:31" x14ac:dyDescent="0.25">
      <c r="B47" s="11">
        <v>0.5</v>
      </c>
      <c r="C47" s="46">
        <v>0</v>
      </c>
      <c r="D47" s="46">
        <v>3</v>
      </c>
      <c r="E47" s="46">
        <v>3</v>
      </c>
      <c r="F47" s="46">
        <v>0</v>
      </c>
      <c r="G47" s="46">
        <v>1</v>
      </c>
      <c r="H47" s="46">
        <v>1</v>
      </c>
      <c r="I47" s="46">
        <v>4</v>
      </c>
      <c r="J47" s="46">
        <v>0</v>
      </c>
      <c r="K47" s="46">
        <v>4</v>
      </c>
      <c r="L47" s="46">
        <v>4</v>
      </c>
      <c r="M47" s="46">
        <v>1</v>
      </c>
      <c r="N47" s="46">
        <v>1</v>
      </c>
      <c r="O47" s="46">
        <v>2</v>
      </c>
      <c r="P47" s="46">
        <v>6</v>
      </c>
      <c r="Q47" s="46">
        <v>0</v>
      </c>
      <c r="R47" s="46">
        <v>1</v>
      </c>
      <c r="S47" s="46">
        <v>1</v>
      </c>
      <c r="T47" s="46">
        <v>0</v>
      </c>
      <c r="U47" s="46">
        <v>2</v>
      </c>
      <c r="V47" s="46">
        <v>2</v>
      </c>
      <c r="W47" s="46">
        <v>3</v>
      </c>
      <c r="X47" s="46">
        <v>0</v>
      </c>
      <c r="Y47" s="46">
        <v>5</v>
      </c>
      <c r="Z47" s="46">
        <v>5</v>
      </c>
      <c r="AA47" s="46">
        <v>1</v>
      </c>
      <c r="AB47" s="46">
        <v>2</v>
      </c>
      <c r="AC47" s="46">
        <v>3</v>
      </c>
      <c r="AD47" s="46">
        <v>8</v>
      </c>
      <c r="AE47" s="46">
        <v>21</v>
      </c>
    </row>
    <row r="48" spans="2:31" x14ac:dyDescent="0.25">
      <c r="B48" s="11">
        <v>0.51041666666666663</v>
      </c>
      <c r="C48" s="46">
        <v>0</v>
      </c>
      <c r="D48" s="46">
        <v>1</v>
      </c>
      <c r="E48" s="46">
        <v>1</v>
      </c>
      <c r="F48" s="46">
        <v>0</v>
      </c>
      <c r="G48" s="46">
        <v>5</v>
      </c>
      <c r="H48" s="46">
        <v>5</v>
      </c>
      <c r="I48" s="46">
        <v>6</v>
      </c>
      <c r="J48" s="46">
        <v>0</v>
      </c>
      <c r="K48" s="46">
        <v>10</v>
      </c>
      <c r="L48" s="46">
        <v>10</v>
      </c>
      <c r="M48" s="46">
        <v>0</v>
      </c>
      <c r="N48" s="46">
        <v>1</v>
      </c>
      <c r="O48" s="46">
        <v>1</v>
      </c>
      <c r="P48" s="46">
        <v>11</v>
      </c>
      <c r="Q48" s="46">
        <v>0</v>
      </c>
      <c r="R48" s="46">
        <v>0</v>
      </c>
      <c r="S48" s="46">
        <v>0</v>
      </c>
      <c r="T48" s="46">
        <v>0</v>
      </c>
      <c r="U48" s="46">
        <v>1</v>
      </c>
      <c r="V48" s="46">
        <v>1</v>
      </c>
      <c r="W48" s="46">
        <v>1</v>
      </c>
      <c r="X48" s="46">
        <v>0</v>
      </c>
      <c r="Y48" s="46">
        <v>2</v>
      </c>
      <c r="Z48" s="46">
        <v>2</v>
      </c>
      <c r="AA48" s="46">
        <v>1</v>
      </c>
      <c r="AB48" s="46">
        <v>6</v>
      </c>
      <c r="AC48" s="46">
        <v>7</v>
      </c>
      <c r="AD48" s="46">
        <v>9</v>
      </c>
      <c r="AE48" s="46">
        <v>27</v>
      </c>
    </row>
    <row r="49" spans="2:31" x14ac:dyDescent="0.25">
      <c r="B49" s="11">
        <v>0.52083333333333337</v>
      </c>
      <c r="C49" s="46">
        <v>0</v>
      </c>
      <c r="D49" s="46">
        <v>4</v>
      </c>
      <c r="E49" s="46">
        <v>4</v>
      </c>
      <c r="F49" s="46">
        <v>0</v>
      </c>
      <c r="G49" s="46">
        <v>1</v>
      </c>
      <c r="H49" s="46">
        <v>1</v>
      </c>
      <c r="I49" s="46">
        <v>5</v>
      </c>
      <c r="J49" s="46">
        <v>0</v>
      </c>
      <c r="K49" s="46">
        <v>4</v>
      </c>
      <c r="L49" s="46">
        <v>4</v>
      </c>
      <c r="M49" s="46">
        <v>2</v>
      </c>
      <c r="N49" s="46">
        <v>7</v>
      </c>
      <c r="O49" s="46">
        <v>9</v>
      </c>
      <c r="P49" s="46">
        <v>13</v>
      </c>
      <c r="Q49" s="46">
        <v>0</v>
      </c>
      <c r="R49" s="46">
        <v>3</v>
      </c>
      <c r="S49" s="46">
        <v>3</v>
      </c>
      <c r="T49" s="46">
        <v>0</v>
      </c>
      <c r="U49" s="46">
        <v>3</v>
      </c>
      <c r="V49" s="46">
        <v>3</v>
      </c>
      <c r="W49" s="46">
        <v>6</v>
      </c>
      <c r="X49" s="46">
        <v>0</v>
      </c>
      <c r="Y49" s="46">
        <v>5</v>
      </c>
      <c r="Z49" s="46">
        <v>5</v>
      </c>
      <c r="AA49" s="46">
        <v>0</v>
      </c>
      <c r="AB49" s="46">
        <v>3</v>
      </c>
      <c r="AC49" s="46">
        <v>3</v>
      </c>
      <c r="AD49" s="46">
        <v>8</v>
      </c>
      <c r="AE49" s="46">
        <v>32</v>
      </c>
    </row>
    <row r="50" spans="2:31" x14ac:dyDescent="0.25">
      <c r="B50" s="11">
        <v>0.53125</v>
      </c>
      <c r="C50" s="46">
        <v>1</v>
      </c>
      <c r="D50" s="46">
        <v>3</v>
      </c>
      <c r="E50" s="46">
        <v>4</v>
      </c>
      <c r="F50" s="46">
        <v>0</v>
      </c>
      <c r="G50" s="46">
        <v>3</v>
      </c>
      <c r="H50" s="46">
        <v>3</v>
      </c>
      <c r="I50" s="46">
        <v>7</v>
      </c>
      <c r="J50" s="46">
        <v>0</v>
      </c>
      <c r="K50" s="46">
        <v>7</v>
      </c>
      <c r="L50" s="46">
        <v>7</v>
      </c>
      <c r="M50" s="46">
        <v>0</v>
      </c>
      <c r="N50" s="46">
        <v>2</v>
      </c>
      <c r="O50" s="46">
        <v>2</v>
      </c>
      <c r="P50" s="46">
        <v>9</v>
      </c>
      <c r="Q50" s="46">
        <v>0</v>
      </c>
      <c r="R50" s="46">
        <v>1</v>
      </c>
      <c r="S50" s="46">
        <v>1</v>
      </c>
      <c r="T50" s="46">
        <v>0</v>
      </c>
      <c r="U50" s="46">
        <v>2</v>
      </c>
      <c r="V50" s="46">
        <v>2</v>
      </c>
      <c r="W50" s="46">
        <v>3</v>
      </c>
      <c r="X50" s="46">
        <v>0</v>
      </c>
      <c r="Y50" s="46">
        <v>5</v>
      </c>
      <c r="Z50" s="46">
        <v>5</v>
      </c>
      <c r="AA50" s="46">
        <v>0</v>
      </c>
      <c r="AB50" s="46">
        <v>6</v>
      </c>
      <c r="AC50" s="46">
        <v>6</v>
      </c>
      <c r="AD50" s="46">
        <v>11</v>
      </c>
      <c r="AE50" s="46">
        <v>30</v>
      </c>
    </row>
    <row r="51" spans="2:31" x14ac:dyDescent="0.25">
      <c r="B51" s="11">
        <v>0.54166666666666663</v>
      </c>
      <c r="C51" s="46">
        <v>0</v>
      </c>
      <c r="D51" s="46">
        <v>1</v>
      </c>
      <c r="E51" s="46">
        <v>1</v>
      </c>
      <c r="F51" s="46">
        <v>0</v>
      </c>
      <c r="G51" s="46">
        <v>1</v>
      </c>
      <c r="H51" s="46">
        <v>1</v>
      </c>
      <c r="I51" s="46">
        <v>2</v>
      </c>
      <c r="J51" s="46">
        <v>0</v>
      </c>
      <c r="K51" s="46">
        <v>1</v>
      </c>
      <c r="L51" s="46">
        <v>1</v>
      </c>
      <c r="M51" s="46">
        <v>0</v>
      </c>
      <c r="N51" s="46">
        <v>5</v>
      </c>
      <c r="O51" s="46">
        <v>5</v>
      </c>
      <c r="P51" s="46">
        <v>6</v>
      </c>
      <c r="Q51" s="46">
        <v>0</v>
      </c>
      <c r="R51" s="46">
        <v>2</v>
      </c>
      <c r="S51" s="46">
        <v>2</v>
      </c>
      <c r="T51" s="46">
        <v>0</v>
      </c>
      <c r="U51" s="46">
        <v>2</v>
      </c>
      <c r="V51" s="46">
        <v>2</v>
      </c>
      <c r="W51" s="46">
        <v>4</v>
      </c>
      <c r="X51" s="46">
        <v>0</v>
      </c>
      <c r="Y51" s="46">
        <v>6</v>
      </c>
      <c r="Z51" s="46">
        <v>6</v>
      </c>
      <c r="AA51" s="46">
        <v>0</v>
      </c>
      <c r="AB51" s="46">
        <v>7</v>
      </c>
      <c r="AC51" s="46">
        <v>7</v>
      </c>
      <c r="AD51" s="46">
        <v>13</v>
      </c>
      <c r="AE51" s="46">
        <v>25</v>
      </c>
    </row>
    <row r="52" spans="2:31" x14ac:dyDescent="0.25">
      <c r="B52" s="11">
        <v>0.55208333333333337</v>
      </c>
      <c r="C52" s="46">
        <v>1</v>
      </c>
      <c r="D52" s="46">
        <v>4</v>
      </c>
      <c r="E52" s="46">
        <v>5</v>
      </c>
      <c r="F52" s="46">
        <v>1</v>
      </c>
      <c r="G52" s="46">
        <v>1</v>
      </c>
      <c r="H52" s="46">
        <v>2</v>
      </c>
      <c r="I52" s="46">
        <v>7</v>
      </c>
      <c r="J52" s="46">
        <v>1</v>
      </c>
      <c r="K52" s="46">
        <v>4</v>
      </c>
      <c r="L52" s="46">
        <v>5</v>
      </c>
      <c r="M52" s="46">
        <v>2</v>
      </c>
      <c r="N52" s="46">
        <v>2</v>
      </c>
      <c r="O52" s="46">
        <v>4</v>
      </c>
      <c r="P52" s="46">
        <v>9</v>
      </c>
      <c r="Q52" s="46">
        <v>0</v>
      </c>
      <c r="R52" s="46">
        <v>2</v>
      </c>
      <c r="S52" s="46">
        <v>2</v>
      </c>
      <c r="T52" s="46">
        <v>0</v>
      </c>
      <c r="U52" s="46">
        <v>1</v>
      </c>
      <c r="V52" s="46">
        <v>1</v>
      </c>
      <c r="W52" s="46">
        <v>3</v>
      </c>
      <c r="X52" s="46">
        <v>0</v>
      </c>
      <c r="Y52" s="46">
        <v>6</v>
      </c>
      <c r="Z52" s="46">
        <v>6</v>
      </c>
      <c r="AA52" s="46">
        <v>0</v>
      </c>
      <c r="AB52" s="46">
        <v>3</v>
      </c>
      <c r="AC52" s="46">
        <v>3</v>
      </c>
      <c r="AD52" s="46">
        <v>9</v>
      </c>
      <c r="AE52" s="46">
        <v>28</v>
      </c>
    </row>
    <row r="53" spans="2:31" x14ac:dyDescent="0.25">
      <c r="B53" s="11">
        <v>0.5625</v>
      </c>
      <c r="C53" s="46">
        <v>1</v>
      </c>
      <c r="D53" s="46">
        <v>0</v>
      </c>
      <c r="E53" s="46">
        <v>1</v>
      </c>
      <c r="F53" s="46">
        <v>1</v>
      </c>
      <c r="G53" s="46">
        <v>1</v>
      </c>
      <c r="H53" s="46">
        <v>2</v>
      </c>
      <c r="I53" s="46">
        <v>3</v>
      </c>
      <c r="J53" s="46">
        <v>0</v>
      </c>
      <c r="K53" s="46">
        <v>0</v>
      </c>
      <c r="L53" s="46">
        <v>0</v>
      </c>
      <c r="M53" s="46">
        <v>4</v>
      </c>
      <c r="N53" s="46">
        <v>4</v>
      </c>
      <c r="O53" s="46">
        <v>8</v>
      </c>
      <c r="P53" s="46">
        <v>8</v>
      </c>
      <c r="Q53" s="46">
        <v>0</v>
      </c>
      <c r="R53" s="46">
        <v>0</v>
      </c>
      <c r="S53" s="46">
        <v>0</v>
      </c>
      <c r="T53" s="46">
        <v>0</v>
      </c>
      <c r="U53" s="46">
        <v>1</v>
      </c>
      <c r="V53" s="46">
        <v>1</v>
      </c>
      <c r="W53" s="46">
        <v>1</v>
      </c>
      <c r="X53" s="46">
        <v>0</v>
      </c>
      <c r="Y53" s="46">
        <v>7</v>
      </c>
      <c r="Z53" s="46">
        <v>7</v>
      </c>
      <c r="AA53" s="46">
        <v>0</v>
      </c>
      <c r="AB53" s="46">
        <v>6</v>
      </c>
      <c r="AC53" s="46">
        <v>6</v>
      </c>
      <c r="AD53" s="46">
        <v>13</v>
      </c>
      <c r="AE53" s="46">
        <v>25</v>
      </c>
    </row>
    <row r="54" spans="2:31" x14ac:dyDescent="0.25">
      <c r="B54" s="11">
        <v>0.57291666666666663</v>
      </c>
      <c r="C54" s="46">
        <v>0</v>
      </c>
      <c r="D54" s="46">
        <v>5</v>
      </c>
      <c r="E54" s="46">
        <v>5</v>
      </c>
      <c r="F54" s="46">
        <v>0</v>
      </c>
      <c r="G54" s="46">
        <v>2</v>
      </c>
      <c r="H54" s="46">
        <v>2</v>
      </c>
      <c r="I54" s="46">
        <v>7</v>
      </c>
      <c r="J54" s="46">
        <v>0</v>
      </c>
      <c r="K54" s="46">
        <v>3</v>
      </c>
      <c r="L54" s="46">
        <v>3</v>
      </c>
      <c r="M54" s="46">
        <v>1</v>
      </c>
      <c r="N54" s="46">
        <v>4</v>
      </c>
      <c r="O54" s="46">
        <v>5</v>
      </c>
      <c r="P54" s="46">
        <v>8</v>
      </c>
      <c r="Q54" s="46">
        <v>0</v>
      </c>
      <c r="R54" s="46">
        <v>1</v>
      </c>
      <c r="S54" s="46">
        <v>1</v>
      </c>
      <c r="T54" s="46">
        <v>0</v>
      </c>
      <c r="U54" s="46">
        <v>0</v>
      </c>
      <c r="V54" s="46">
        <v>0</v>
      </c>
      <c r="W54" s="46">
        <v>1</v>
      </c>
      <c r="X54" s="46">
        <v>0</v>
      </c>
      <c r="Y54" s="46">
        <v>3</v>
      </c>
      <c r="Z54" s="46">
        <v>3</v>
      </c>
      <c r="AA54" s="46">
        <v>0</v>
      </c>
      <c r="AB54" s="46">
        <v>8</v>
      </c>
      <c r="AC54" s="46">
        <v>8</v>
      </c>
      <c r="AD54" s="46">
        <v>11</v>
      </c>
      <c r="AE54" s="46">
        <v>27</v>
      </c>
    </row>
  </sheetData>
  <mergeCells count="25">
    <mergeCell ref="W11:W13"/>
    <mergeCell ref="X11:AC11"/>
    <mergeCell ref="AD11:AD13"/>
    <mergeCell ref="AC12:AC13"/>
    <mergeCell ref="C11:H11"/>
    <mergeCell ref="I11:I13"/>
    <mergeCell ref="J11:O11"/>
    <mergeCell ref="P11:P13"/>
    <mergeCell ref="Q11:V11"/>
    <mergeCell ref="AE11:AE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s>
  <conditionalFormatting pivot="1" sqref="C14:AE54">
    <cfRule type="expression" dxfId="2" priority="2">
      <formula>C$12&lt;&gt;""</formula>
    </cfRule>
  </conditionalFormatting>
  <conditionalFormatting pivot="1" sqref="C14:AE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125</v>
      </c>
      <c r="I5">
        <f>MAX(I11:I303)</f>
        <v>115</v>
      </c>
      <c r="J5">
        <f>MAX(J11:J303)</f>
        <v>255</v>
      </c>
      <c r="K5">
        <f>MAX(K11:K303)</f>
        <v>0</v>
      </c>
      <c r="N5" t="s">
        <v>53</v>
      </c>
      <c r="O5">
        <f>INDEX($H5:$K5,1,MATCH($O$4,$H$10:$K$10,0))</f>
        <v>0</v>
      </c>
    </row>
    <row r="6" spans="1:21" x14ac:dyDescent="0.25">
      <c r="G6" t="s">
        <v>55</v>
      </c>
      <c r="H6" s="6">
        <f>IF(H5=0,0,H7-1/24)</f>
        <v>0.32291666666666669</v>
      </c>
      <c r="I6" s="6">
        <f t="shared" ref="I6:K6" si="0">IF(I5=0,0,I7-1/24)</f>
        <v>0.52083333333333337</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0.5625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125 vehicles between 07:45 and 08:45</v>
      </c>
      <c r="I8" s="6" t="str">
        <f>IF(I5=0,"","The peak hour for " &amp;I10&amp;" is "&amp;I5&amp;" vehicles between " &amp; TEXT(I6, "hh:mm")&amp; " and " &amp;TEXT(I7,"hh:mm"))</f>
        <v>The peak hour for INT is 115 vehicles between 12:30 and 13:30</v>
      </c>
      <c r="J8" s="6" t="str">
        <f>IF(J5=0,"","The peak hour for " &amp;J10&amp;" is "&amp;J5&amp;" vehicles between " &amp; TEXT(J6, "hh:mm")&amp; " and " &amp;TEXT(J7,"hh:mm"))</f>
        <v>The peak hour for PM is 255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9</v>
      </c>
      <c r="C11" s="46"/>
      <c r="D11" s="46"/>
      <c r="G11" s="7">
        <f>A11</f>
        <v>0.27083333333333331</v>
      </c>
      <c r="H11">
        <f>IF(B11&lt;&gt;0,SUMIF($G$11:$G11,"&gt;"&amp;$G11-1/24,B$11:B11),0)</f>
        <v>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9</v>
      </c>
      <c r="Q11">
        <f>P11*L11</f>
        <v>0</v>
      </c>
      <c r="S11" s="9">
        <v>0.27083333333333331</v>
      </c>
      <c r="T11" s="46">
        <v>9</v>
      </c>
      <c r="U11" s="46">
        <v>0</v>
      </c>
    </row>
    <row r="12" spans="1:21" x14ac:dyDescent="0.25">
      <c r="A12" s="9">
        <v>0.28125</v>
      </c>
      <c r="B12" s="46">
        <v>11</v>
      </c>
      <c r="C12" s="46"/>
      <c r="D12" s="46"/>
      <c r="G12" s="7">
        <f t="shared" ref="G12:G26" si="3">A12</f>
        <v>0.28125</v>
      </c>
      <c r="H12">
        <f>IF(B12&lt;&gt;0,SUMIF($G$11:$G12,"&gt;"&amp;$G12-1/24,B$11:B12),0)</f>
        <v>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11</v>
      </c>
      <c r="Q12">
        <f t="shared" ref="Q12:Q75" si="7">P12*L12</f>
        <v>0</v>
      </c>
      <c r="S12" s="9">
        <v>0.28125</v>
      </c>
      <c r="T12" s="46">
        <v>11</v>
      </c>
      <c r="U12" s="46">
        <v>0</v>
      </c>
    </row>
    <row r="13" spans="1:21" x14ac:dyDescent="0.25">
      <c r="A13" s="9">
        <v>0.29166666666666669</v>
      </c>
      <c r="B13" s="46">
        <v>26</v>
      </c>
      <c r="C13" s="46"/>
      <c r="D13" s="46"/>
      <c r="G13" s="7">
        <f t="shared" si="3"/>
        <v>0.29166666666666669</v>
      </c>
      <c r="H13">
        <f>IF(B13&lt;&gt;0,SUMIF($G$11:$G13,"&gt;"&amp;$G13-1/24,B$11:B13),0)</f>
        <v>46</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26</v>
      </c>
      <c r="Q13">
        <f t="shared" si="7"/>
        <v>0</v>
      </c>
      <c r="S13" s="9">
        <v>0.29166666666666669</v>
      </c>
      <c r="T13" s="46">
        <v>26</v>
      </c>
      <c r="U13" s="46">
        <v>0</v>
      </c>
    </row>
    <row r="14" spans="1:21" x14ac:dyDescent="0.25">
      <c r="A14" s="9">
        <v>0.30208333333333331</v>
      </c>
      <c r="B14" s="46">
        <v>17</v>
      </c>
      <c r="C14" s="46"/>
      <c r="D14" s="46"/>
      <c r="G14" s="7">
        <f t="shared" si="3"/>
        <v>0.30208333333333331</v>
      </c>
      <c r="H14">
        <f>IF(B14&lt;&gt;0,SUMIF($G$11:$G14,"&gt;"&amp;$G14-1/24,B$11:B14),0)</f>
        <v>63</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17</v>
      </c>
      <c r="Q14">
        <f t="shared" si="7"/>
        <v>0</v>
      </c>
      <c r="S14" s="9">
        <v>0.30208333333333331</v>
      </c>
      <c r="T14" s="46">
        <v>17</v>
      </c>
      <c r="U14" s="46">
        <v>0</v>
      </c>
    </row>
    <row r="15" spans="1:21" x14ac:dyDescent="0.25">
      <c r="A15" s="9">
        <v>0.3125</v>
      </c>
      <c r="B15" s="46">
        <v>18</v>
      </c>
      <c r="C15" s="46"/>
      <c r="D15" s="46"/>
      <c r="G15" s="7">
        <f t="shared" si="3"/>
        <v>0.3125</v>
      </c>
      <c r="H15">
        <f>IF(B15&lt;&gt;0,SUMIF($G$11:$G15,"&gt;"&amp;$G15-1/24,B$11:B15),0)</f>
        <v>72</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18</v>
      </c>
      <c r="Q15">
        <f t="shared" si="7"/>
        <v>0</v>
      </c>
      <c r="S15" s="9">
        <v>0.3125</v>
      </c>
      <c r="T15" s="46">
        <v>18</v>
      </c>
      <c r="U15" s="46">
        <v>0</v>
      </c>
    </row>
    <row r="16" spans="1:21" x14ac:dyDescent="0.25">
      <c r="A16" s="9">
        <v>0.32291666666666669</v>
      </c>
      <c r="B16" s="46">
        <v>37</v>
      </c>
      <c r="C16" s="46"/>
      <c r="D16" s="46"/>
      <c r="G16" s="7">
        <f t="shared" si="3"/>
        <v>0.32291666666666669</v>
      </c>
      <c r="H16">
        <f>IF(B16&lt;&gt;0,SUMIF($G$11:$G16,"&gt;"&amp;$G16-1/24,B$11:B16),0)</f>
        <v>98</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37</v>
      </c>
      <c r="Q16">
        <f t="shared" si="7"/>
        <v>37</v>
      </c>
      <c r="S16" s="9">
        <v>0.32291666666666669</v>
      </c>
      <c r="T16" s="46">
        <v>37</v>
      </c>
      <c r="U16" s="46">
        <v>37</v>
      </c>
    </row>
    <row r="17" spans="1:21" x14ac:dyDescent="0.25">
      <c r="A17" s="9">
        <v>0.33333333333333331</v>
      </c>
      <c r="B17" s="46">
        <v>36</v>
      </c>
      <c r="C17" s="46"/>
      <c r="D17" s="46"/>
      <c r="G17" s="7">
        <f t="shared" si="3"/>
        <v>0.33333333333333331</v>
      </c>
      <c r="H17">
        <f>IF(B17&lt;&gt;0,SUMIF($G$11:$G17,"&gt;"&amp;$G17-1/24,B$11:B17),0)</f>
        <v>108</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36</v>
      </c>
      <c r="Q17">
        <f t="shared" si="7"/>
        <v>36</v>
      </c>
      <c r="S17" s="9">
        <v>0.33333333333333331</v>
      </c>
      <c r="T17" s="46">
        <v>36</v>
      </c>
      <c r="U17" s="46">
        <v>36</v>
      </c>
    </row>
    <row r="18" spans="1:21" x14ac:dyDescent="0.25">
      <c r="A18" s="9">
        <v>0.34375</v>
      </c>
      <c r="B18" s="46">
        <v>25</v>
      </c>
      <c r="C18" s="46"/>
      <c r="D18" s="46"/>
      <c r="G18" s="7">
        <f t="shared" si="3"/>
        <v>0.34375</v>
      </c>
      <c r="H18">
        <f>IF(B18&lt;&gt;0,SUMIF($G$11:$G18,"&gt;"&amp;$G18-1/24,B$11:B18),0)</f>
        <v>116</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25</v>
      </c>
      <c r="Q18">
        <f t="shared" si="7"/>
        <v>25</v>
      </c>
      <c r="S18" s="9">
        <v>0.34375</v>
      </c>
      <c r="T18" s="46">
        <v>25</v>
      </c>
      <c r="U18" s="46">
        <v>25</v>
      </c>
    </row>
    <row r="19" spans="1:21" x14ac:dyDescent="0.25">
      <c r="A19" s="9">
        <v>0.35416666666666669</v>
      </c>
      <c r="B19" s="46">
        <v>27</v>
      </c>
      <c r="C19" s="46"/>
      <c r="D19" s="46"/>
      <c r="G19" s="7">
        <f t="shared" si="3"/>
        <v>0.35416666666666669</v>
      </c>
      <c r="H19">
        <f>IF(B19&lt;&gt;0,SUMIF($G$11:$G19,"&gt;"&amp;$G19-1/24,B$11:B19),0)</f>
        <v>125</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27</v>
      </c>
      <c r="Q19">
        <f t="shared" si="7"/>
        <v>27</v>
      </c>
      <c r="S19" s="9">
        <v>0.35416666666666669</v>
      </c>
      <c r="T19" s="46">
        <v>27</v>
      </c>
      <c r="U19" s="46">
        <v>27</v>
      </c>
    </row>
    <row r="20" spans="1:21" x14ac:dyDescent="0.25">
      <c r="A20" s="9">
        <v>0.36458333333333331</v>
      </c>
      <c r="B20" s="46">
        <v>27</v>
      </c>
      <c r="C20" s="46"/>
      <c r="D20" s="46"/>
      <c r="G20" s="7">
        <f t="shared" si="3"/>
        <v>0.36458333333333331</v>
      </c>
      <c r="H20">
        <f>IF(B20&lt;&gt;0,SUMIF($G$11:$G20,"&gt;"&amp;$G20-1/24,B$11:B20),0)</f>
        <v>115</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27</v>
      </c>
      <c r="Q20">
        <f t="shared" si="7"/>
        <v>0</v>
      </c>
      <c r="S20" s="9">
        <v>0.36458333333333331</v>
      </c>
      <c r="T20" s="46">
        <v>27</v>
      </c>
      <c r="U20" s="46">
        <v>0</v>
      </c>
    </row>
    <row r="21" spans="1:21" x14ac:dyDescent="0.25">
      <c r="A21" s="9">
        <v>0.375</v>
      </c>
      <c r="B21" s="46">
        <v>23</v>
      </c>
      <c r="C21" s="46"/>
      <c r="D21" s="46"/>
      <c r="G21" s="7">
        <f t="shared" si="3"/>
        <v>0.375</v>
      </c>
      <c r="H21">
        <f>IF(B21&lt;&gt;0,SUMIF($G$11:$G21,"&gt;"&amp;$G21-1/24,B$11:B21),0)</f>
        <v>102</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23</v>
      </c>
      <c r="Q21">
        <f t="shared" si="7"/>
        <v>0</v>
      </c>
      <c r="S21" s="9">
        <v>0.375</v>
      </c>
      <c r="T21" s="46">
        <v>23</v>
      </c>
      <c r="U21" s="46">
        <v>0</v>
      </c>
    </row>
    <row r="22" spans="1:21" x14ac:dyDescent="0.25">
      <c r="A22" s="9">
        <v>0.38541666666666669</v>
      </c>
      <c r="B22" s="46">
        <v>18</v>
      </c>
      <c r="C22" s="46"/>
      <c r="D22" s="46"/>
      <c r="G22" s="7">
        <f t="shared" si="3"/>
        <v>0.38541666666666669</v>
      </c>
      <c r="H22">
        <f>IF(B22&lt;&gt;0,SUMIF($G$11:$G22,"&gt;"&amp;$G22-1/24,B$11:B22),0)</f>
        <v>95</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18</v>
      </c>
      <c r="Q22">
        <f t="shared" si="7"/>
        <v>0</v>
      </c>
      <c r="S22" s="9">
        <v>0.38541666666666669</v>
      </c>
      <c r="T22" s="46">
        <v>18</v>
      </c>
      <c r="U22" s="46">
        <v>0</v>
      </c>
    </row>
    <row r="23" spans="1:21" x14ac:dyDescent="0.25">
      <c r="A23" s="9">
        <v>0.45833333333333331</v>
      </c>
      <c r="B23" s="46"/>
      <c r="C23" s="46">
        <v>31</v>
      </c>
      <c r="D23" s="46"/>
      <c r="G23" s="7">
        <f t="shared" si="3"/>
        <v>0.45833333333333331</v>
      </c>
      <c r="H23">
        <f>IF(B23&lt;&gt;0,SUMIF($G$11:$G23,"&gt;"&amp;$G23-1/24,B$11:B23),0)</f>
        <v>0</v>
      </c>
      <c r="I23">
        <f>IF(C23&lt;&gt;0,SUMIF($G$11:$G23,"&gt;"&amp;$G23-1/24,C$11:C23),0)</f>
        <v>31</v>
      </c>
      <c r="J23">
        <f>IF(D23&lt;&gt;0,SUMIF($G$11:$G23,"&gt;"&amp;$G23-1/24,D$11:D23),0)</f>
        <v>0</v>
      </c>
      <c r="K23">
        <f>IF(E23&lt;&gt;0,SUMIF($G$11:$G23,"&gt;"&amp;$G23-1/24,E$11:E23),0)</f>
        <v>0</v>
      </c>
      <c r="L23">
        <f t="shared" si="4"/>
        <v>0</v>
      </c>
      <c r="N23" t="str">
        <f t="shared" si="5"/>
        <v>INT</v>
      </c>
      <c r="O23" s="7">
        <f t="shared" si="2"/>
        <v>0.45833333333333331</v>
      </c>
      <c r="P23">
        <f t="shared" si="6"/>
        <v>31</v>
      </c>
      <c r="Q23">
        <f t="shared" si="7"/>
        <v>0</v>
      </c>
      <c r="S23" s="9" t="s">
        <v>49</v>
      </c>
      <c r="T23" s="46">
        <v>274</v>
      </c>
      <c r="U23" s="46">
        <v>125</v>
      </c>
    </row>
    <row r="24" spans="1:21" x14ac:dyDescent="0.25">
      <c r="A24" s="9">
        <v>0.46875</v>
      </c>
      <c r="B24" s="46"/>
      <c r="C24" s="46">
        <v>22</v>
      </c>
      <c r="D24" s="46"/>
      <c r="G24" s="7">
        <f t="shared" si="3"/>
        <v>0.46875</v>
      </c>
      <c r="H24">
        <f>IF(B24&lt;&gt;0,SUMIF($G$11:$G24,"&gt;"&amp;$G24-1/24,B$11:B24),0)</f>
        <v>0</v>
      </c>
      <c r="I24">
        <f>IF(C24&lt;&gt;0,SUMIF($G$11:$G24,"&gt;"&amp;$G24-1/24,C$11:C24),0)</f>
        <v>53</v>
      </c>
      <c r="J24">
        <f>IF(D24&lt;&gt;0,SUMIF($G$11:$G24,"&gt;"&amp;$G24-1/24,D$11:D24),0)</f>
        <v>0</v>
      </c>
      <c r="K24">
        <f>IF(E24&lt;&gt;0,SUMIF($G$11:$G24,"&gt;"&amp;$G24-1/24,E$11:E24),0)</f>
        <v>0</v>
      </c>
      <c r="L24">
        <f t="shared" si="4"/>
        <v>0</v>
      </c>
      <c r="N24" t="str">
        <f t="shared" si="5"/>
        <v>INT</v>
      </c>
      <c r="O24" s="7">
        <f t="shared" si="2"/>
        <v>0.46875</v>
      </c>
      <c r="P24">
        <f t="shared" si="6"/>
        <v>22</v>
      </c>
      <c r="Q24">
        <f t="shared" si="7"/>
        <v>0</v>
      </c>
    </row>
    <row r="25" spans="1:21" x14ac:dyDescent="0.25">
      <c r="A25" s="9">
        <v>0.47916666666666669</v>
      </c>
      <c r="B25" s="46"/>
      <c r="C25" s="46">
        <v>13</v>
      </c>
      <c r="D25" s="46"/>
      <c r="G25" s="7">
        <f t="shared" si="3"/>
        <v>0.47916666666666669</v>
      </c>
      <c r="H25">
        <f>IF(B25&lt;&gt;0,SUMIF($G$11:$G25,"&gt;"&amp;$G25-1/24,B$11:B25),0)</f>
        <v>0</v>
      </c>
      <c r="I25">
        <f>IF(C25&lt;&gt;0,SUMIF($G$11:$G25,"&gt;"&amp;$G25-1/24,C$11:C25),0)</f>
        <v>66</v>
      </c>
      <c r="J25">
        <f>IF(D25&lt;&gt;0,SUMIF($G$11:$G25,"&gt;"&amp;$G25-1/24,D$11:D25),0)</f>
        <v>0</v>
      </c>
      <c r="K25">
        <f>IF(E25&lt;&gt;0,SUMIF($G$11:$G25,"&gt;"&amp;$G25-1/24,E$11:E25),0)</f>
        <v>0</v>
      </c>
      <c r="L25">
        <f t="shared" si="4"/>
        <v>0</v>
      </c>
      <c r="N25" t="str">
        <f t="shared" si="5"/>
        <v>INT</v>
      </c>
      <c r="O25" s="7">
        <f t="shared" si="2"/>
        <v>0.47916666666666669</v>
      </c>
      <c r="P25">
        <f t="shared" si="6"/>
        <v>13</v>
      </c>
      <c r="Q25">
        <f t="shared" si="7"/>
        <v>0</v>
      </c>
    </row>
    <row r="26" spans="1:21" x14ac:dyDescent="0.25">
      <c r="A26" s="9">
        <v>0.48958333333333331</v>
      </c>
      <c r="B26" s="46"/>
      <c r="C26" s="46">
        <v>22</v>
      </c>
      <c r="D26" s="46"/>
      <c r="G26" s="7">
        <f t="shared" si="3"/>
        <v>0.48958333333333331</v>
      </c>
      <c r="H26">
        <f>IF(B26&lt;&gt;0,SUMIF($G$11:$G26,"&gt;"&amp;$G26-1/24,B$11:B26),0)</f>
        <v>0</v>
      </c>
      <c r="I26">
        <f>IF(C26&lt;&gt;0,SUMIF($G$11:$G26,"&gt;"&amp;$G26-1/24,C$11:C26),0)</f>
        <v>88</v>
      </c>
      <c r="J26">
        <f>IF(D26&lt;&gt;0,SUMIF($G$11:$G26,"&gt;"&amp;$G26-1/24,D$11:D26),0)</f>
        <v>0</v>
      </c>
      <c r="K26">
        <f>IF(E26&lt;&gt;0,SUMIF($G$11:$G26,"&gt;"&amp;$G26-1/24,E$11:E26),0)</f>
        <v>0</v>
      </c>
      <c r="L26">
        <f t="shared" si="4"/>
        <v>0</v>
      </c>
      <c r="N26" t="str">
        <f t="shared" si="5"/>
        <v>INT</v>
      </c>
      <c r="O26" s="7">
        <f t="shared" si="2"/>
        <v>0.48958333333333331</v>
      </c>
      <c r="P26">
        <f t="shared" si="6"/>
        <v>22</v>
      </c>
      <c r="Q26">
        <f t="shared" si="7"/>
        <v>0</v>
      </c>
    </row>
    <row r="27" spans="1:21" x14ac:dyDescent="0.25">
      <c r="A27" s="9">
        <v>0.5</v>
      </c>
      <c r="B27" s="46"/>
      <c r="C27" s="46">
        <v>21</v>
      </c>
      <c r="D27" s="46"/>
      <c r="G27" s="7">
        <f t="shared" ref="G27:G90" si="8">A27</f>
        <v>0.5</v>
      </c>
      <c r="H27">
        <f>IF(B27&lt;&gt;0,SUMIF($G$11:$G27,"&gt;"&amp;$G27-1/24,B$11:B27),0)</f>
        <v>0</v>
      </c>
      <c r="I27">
        <f>IF(C27&lt;&gt;0,SUMIF($G$11:$G27,"&gt;"&amp;$G27-1/24,C$11:C27),0)</f>
        <v>78</v>
      </c>
      <c r="J27">
        <f>IF(D27&lt;&gt;0,SUMIF($G$11:$G27,"&gt;"&amp;$G27-1/24,D$11:D27),0)</f>
        <v>0</v>
      </c>
      <c r="K27">
        <f>IF(E27&lt;&gt;0,SUMIF($G$11:$G27,"&gt;"&amp;$G27-1/24,E$11:E27),0)</f>
        <v>0</v>
      </c>
      <c r="L27">
        <f t="shared" si="4"/>
        <v>0</v>
      </c>
      <c r="N27" t="str">
        <f t="shared" si="5"/>
        <v>INT</v>
      </c>
      <c r="O27" s="7">
        <f t="shared" si="2"/>
        <v>0.5</v>
      </c>
      <c r="P27">
        <f t="shared" si="6"/>
        <v>21</v>
      </c>
      <c r="Q27">
        <f t="shared" si="7"/>
        <v>0</v>
      </c>
    </row>
    <row r="28" spans="1:21" x14ac:dyDescent="0.25">
      <c r="A28" s="9">
        <v>0.51041666666666663</v>
      </c>
      <c r="B28" s="46"/>
      <c r="C28" s="46">
        <v>27</v>
      </c>
      <c r="D28" s="46"/>
      <c r="G28" s="7">
        <f t="shared" si="8"/>
        <v>0.51041666666666663</v>
      </c>
      <c r="H28">
        <f>IF(B28&lt;&gt;0,SUMIF($G$11:$G28,"&gt;"&amp;$G28-1/24,B$11:B28),0)</f>
        <v>0</v>
      </c>
      <c r="I28">
        <f>IF(C28&lt;&gt;0,SUMIF($G$11:$G28,"&gt;"&amp;$G28-1/24,C$11:C28),0)</f>
        <v>83</v>
      </c>
      <c r="J28">
        <f>IF(D28&lt;&gt;0,SUMIF($G$11:$G28,"&gt;"&amp;$G28-1/24,D$11:D28),0)</f>
        <v>0</v>
      </c>
      <c r="K28">
        <f>IF(E28&lt;&gt;0,SUMIF($G$11:$G28,"&gt;"&amp;$G28-1/24,E$11:E28),0)</f>
        <v>0</v>
      </c>
      <c r="L28">
        <f t="shared" si="4"/>
        <v>0</v>
      </c>
      <c r="N28" t="str">
        <f t="shared" si="5"/>
        <v>INT</v>
      </c>
      <c r="O28" s="7">
        <f t="shared" si="2"/>
        <v>0.51041666666666663</v>
      </c>
      <c r="P28">
        <f t="shared" si="6"/>
        <v>27</v>
      </c>
      <c r="Q28">
        <f t="shared" si="7"/>
        <v>0</v>
      </c>
    </row>
    <row r="29" spans="1:21" x14ac:dyDescent="0.25">
      <c r="A29" s="9">
        <v>0.52083333333333337</v>
      </c>
      <c r="B29" s="46"/>
      <c r="C29" s="46">
        <v>32</v>
      </c>
      <c r="D29" s="46"/>
      <c r="G29" s="7">
        <f t="shared" si="8"/>
        <v>0.52083333333333337</v>
      </c>
      <c r="H29">
        <f>IF(B29&lt;&gt;0,SUMIF($G$11:$G29,"&gt;"&amp;$G29-1/24,B$11:B29),0)</f>
        <v>0</v>
      </c>
      <c r="I29">
        <f>IF(C29&lt;&gt;0,SUMIF($G$11:$G29,"&gt;"&amp;$G29-1/24,C$11:C29),0)</f>
        <v>102</v>
      </c>
      <c r="J29">
        <f>IF(D29&lt;&gt;0,SUMIF($G$11:$G29,"&gt;"&amp;$G29-1/24,D$11:D29),0)</f>
        <v>0</v>
      </c>
      <c r="K29">
        <f>IF(E29&lt;&gt;0,SUMIF($G$11:$G29,"&gt;"&amp;$G29-1/24,E$11:E29),0)</f>
        <v>0</v>
      </c>
      <c r="L29">
        <f t="shared" si="4"/>
        <v>1</v>
      </c>
      <c r="N29" t="str">
        <f t="shared" si="5"/>
        <v>INT</v>
      </c>
      <c r="O29" s="7">
        <f t="shared" si="2"/>
        <v>0.52083333333333337</v>
      </c>
      <c r="P29">
        <f t="shared" si="6"/>
        <v>32</v>
      </c>
      <c r="Q29">
        <f t="shared" si="7"/>
        <v>32</v>
      </c>
    </row>
    <row r="30" spans="1:21" x14ac:dyDescent="0.25">
      <c r="A30" s="9">
        <v>0.53125</v>
      </c>
      <c r="B30" s="46"/>
      <c r="C30" s="46">
        <v>30</v>
      </c>
      <c r="D30" s="46"/>
      <c r="G30" s="7">
        <f t="shared" si="8"/>
        <v>0.53125</v>
      </c>
      <c r="H30">
        <f>IF(B30&lt;&gt;0,SUMIF($G$11:$G30,"&gt;"&amp;$G30-1/24,B$11:B30),0)</f>
        <v>0</v>
      </c>
      <c r="I30">
        <f>IF(C30&lt;&gt;0,SUMIF($G$11:$G30,"&gt;"&amp;$G30-1/24,C$11:C30),0)</f>
        <v>110</v>
      </c>
      <c r="J30">
        <f>IF(D30&lt;&gt;0,SUMIF($G$11:$G30,"&gt;"&amp;$G30-1/24,D$11:D30),0)</f>
        <v>0</v>
      </c>
      <c r="K30">
        <f>IF(E30&lt;&gt;0,SUMIF($G$11:$G30,"&gt;"&amp;$G30-1/24,E$11:E30),0)</f>
        <v>0</v>
      </c>
      <c r="L30">
        <f t="shared" si="4"/>
        <v>1</v>
      </c>
      <c r="N30" t="str">
        <f t="shared" si="5"/>
        <v>INT</v>
      </c>
      <c r="O30" s="7">
        <f t="shared" si="2"/>
        <v>0.53125</v>
      </c>
      <c r="P30">
        <f t="shared" si="6"/>
        <v>30</v>
      </c>
      <c r="Q30">
        <f t="shared" si="7"/>
        <v>30</v>
      </c>
    </row>
    <row r="31" spans="1:21" x14ac:dyDescent="0.25">
      <c r="A31" s="9">
        <v>0.54166666666666663</v>
      </c>
      <c r="B31" s="46"/>
      <c r="C31" s="46">
        <v>25</v>
      </c>
      <c r="D31" s="46"/>
      <c r="G31" s="7">
        <f t="shared" si="8"/>
        <v>0.54166666666666663</v>
      </c>
      <c r="H31">
        <f>IF(B31&lt;&gt;0,SUMIF($G$11:$G31,"&gt;"&amp;$G31-1/24,B$11:B31),0)</f>
        <v>0</v>
      </c>
      <c r="I31">
        <f>IF(C31&lt;&gt;0,SUMIF($G$11:$G31,"&gt;"&amp;$G31-1/24,C$11:C31),0)</f>
        <v>114</v>
      </c>
      <c r="J31">
        <f>IF(D31&lt;&gt;0,SUMIF($G$11:$G31,"&gt;"&amp;$G31-1/24,D$11:D31),0)</f>
        <v>0</v>
      </c>
      <c r="K31">
        <f>IF(E31&lt;&gt;0,SUMIF($G$11:$G31,"&gt;"&amp;$G31-1/24,E$11:E31),0)</f>
        <v>0</v>
      </c>
      <c r="L31">
        <f t="shared" si="4"/>
        <v>1</v>
      </c>
      <c r="N31" t="str">
        <f t="shared" si="5"/>
        <v>INT</v>
      </c>
      <c r="O31" s="7">
        <f t="shared" si="2"/>
        <v>0.54166666666666663</v>
      </c>
      <c r="P31">
        <f t="shared" si="6"/>
        <v>25</v>
      </c>
      <c r="Q31">
        <f t="shared" si="7"/>
        <v>25</v>
      </c>
    </row>
    <row r="32" spans="1:21" x14ac:dyDescent="0.25">
      <c r="A32" s="9">
        <v>0.55208333333333337</v>
      </c>
      <c r="B32" s="46"/>
      <c r="C32" s="46">
        <v>28</v>
      </c>
      <c r="D32" s="46"/>
      <c r="G32" s="7">
        <f t="shared" si="8"/>
        <v>0.55208333333333337</v>
      </c>
      <c r="H32">
        <f>IF(B32&lt;&gt;0,SUMIF($G$11:$G32,"&gt;"&amp;$G32-1/24,B$11:B32),0)</f>
        <v>0</v>
      </c>
      <c r="I32">
        <f>IF(C32&lt;&gt;0,SUMIF($G$11:$G32,"&gt;"&amp;$G32-1/24,C$11:C32),0)</f>
        <v>115</v>
      </c>
      <c r="J32">
        <f>IF(D32&lt;&gt;0,SUMIF($G$11:$G32,"&gt;"&amp;$G32-1/24,D$11:D32),0)</f>
        <v>0</v>
      </c>
      <c r="K32">
        <f>IF(E32&lt;&gt;0,SUMIF($G$11:$G32,"&gt;"&amp;$G32-1/24,E$11:E32),0)</f>
        <v>0</v>
      </c>
      <c r="L32">
        <f t="shared" si="4"/>
        <v>1</v>
      </c>
      <c r="N32" t="str">
        <f t="shared" si="5"/>
        <v>INT</v>
      </c>
      <c r="O32" s="7">
        <f t="shared" si="2"/>
        <v>0.55208333333333337</v>
      </c>
      <c r="P32">
        <f t="shared" si="6"/>
        <v>28</v>
      </c>
      <c r="Q32">
        <f t="shared" si="7"/>
        <v>28</v>
      </c>
    </row>
    <row r="33" spans="1:17" x14ac:dyDescent="0.25">
      <c r="A33" s="9">
        <v>0.5625</v>
      </c>
      <c r="B33" s="46"/>
      <c r="C33" s="46">
        <v>25</v>
      </c>
      <c r="D33" s="46"/>
      <c r="G33" s="7">
        <f t="shared" si="8"/>
        <v>0.5625</v>
      </c>
      <c r="H33">
        <f>IF(B33&lt;&gt;0,SUMIF($G$11:$G33,"&gt;"&amp;$G33-1/24,B$11:B33),0)</f>
        <v>0</v>
      </c>
      <c r="I33">
        <f>IF(C33&lt;&gt;0,SUMIF($G$11:$G33,"&gt;"&amp;$G33-1/24,C$11:C33),0)</f>
        <v>108</v>
      </c>
      <c r="J33">
        <f>IF(D33&lt;&gt;0,SUMIF($G$11:$G33,"&gt;"&amp;$G33-1/24,D$11:D33),0)</f>
        <v>0</v>
      </c>
      <c r="K33">
        <f>IF(E33&lt;&gt;0,SUMIF($G$11:$G33,"&gt;"&amp;$G33-1/24,E$11:E33),0)</f>
        <v>0</v>
      </c>
      <c r="L33">
        <f t="shared" si="4"/>
        <v>0</v>
      </c>
      <c r="N33" t="str">
        <f t="shared" si="5"/>
        <v>INT</v>
      </c>
      <c r="O33" s="7">
        <f t="shared" si="2"/>
        <v>0.5625</v>
      </c>
      <c r="P33">
        <f t="shared" si="6"/>
        <v>25</v>
      </c>
      <c r="Q33">
        <f t="shared" si="7"/>
        <v>0</v>
      </c>
    </row>
    <row r="34" spans="1:17" x14ac:dyDescent="0.25">
      <c r="A34" s="9">
        <v>0.57291666666666663</v>
      </c>
      <c r="B34" s="46"/>
      <c r="C34" s="46">
        <v>27</v>
      </c>
      <c r="D34" s="46"/>
      <c r="G34" s="7">
        <f t="shared" si="8"/>
        <v>0.57291666666666663</v>
      </c>
      <c r="H34">
        <f>IF(B34&lt;&gt;0,SUMIF($G$11:$G34,"&gt;"&amp;$G34-1/24,B$11:B34),0)</f>
        <v>0</v>
      </c>
      <c r="I34">
        <f>IF(C34&lt;&gt;0,SUMIF($G$11:$G34,"&gt;"&amp;$G34-1/24,C$11:C34),0)</f>
        <v>105</v>
      </c>
      <c r="J34">
        <f>IF(D34&lt;&gt;0,SUMIF($G$11:$G34,"&gt;"&amp;$G34-1/24,D$11:D34),0)</f>
        <v>0</v>
      </c>
      <c r="K34">
        <f>IF(E34&lt;&gt;0,SUMIF($G$11:$G34,"&gt;"&amp;$G34-1/24,E$11:E34),0)</f>
        <v>0</v>
      </c>
      <c r="L34">
        <f t="shared" si="4"/>
        <v>0</v>
      </c>
      <c r="N34" t="str">
        <f t="shared" si="5"/>
        <v>INT</v>
      </c>
      <c r="O34" s="7">
        <f t="shared" si="2"/>
        <v>0.57291666666666663</v>
      </c>
      <c r="P34">
        <f t="shared" si="6"/>
        <v>27</v>
      </c>
      <c r="Q34">
        <f t="shared" si="7"/>
        <v>0</v>
      </c>
    </row>
    <row r="35" spans="1:17" x14ac:dyDescent="0.25">
      <c r="A35" s="9">
        <v>0.625</v>
      </c>
      <c r="B35" s="46"/>
      <c r="C35" s="46"/>
      <c r="D35" s="46">
        <v>40</v>
      </c>
      <c r="G35" s="7">
        <f t="shared" si="8"/>
        <v>0.625</v>
      </c>
      <c r="H35">
        <f>IF(B35&lt;&gt;0,SUMIF($G$11:$G35,"&gt;"&amp;$G35-1/24,B$11:B35),0)</f>
        <v>0</v>
      </c>
      <c r="I35">
        <f>IF(C35&lt;&gt;0,SUMIF($G$11:$G35,"&gt;"&amp;$G35-1/24,C$11:C35),0)</f>
        <v>0</v>
      </c>
      <c r="J35">
        <f>IF(D35&lt;&gt;0,SUMIF($G$11:$G35,"&gt;"&amp;$G35-1/24,D$11:D35),0)</f>
        <v>40</v>
      </c>
      <c r="K35">
        <f>IF(E35&lt;&gt;0,SUMIF($G$11:$G35,"&gt;"&amp;$G35-1/24,E$11:E35),0)</f>
        <v>0</v>
      </c>
      <c r="L35">
        <f t="shared" si="4"/>
        <v>0</v>
      </c>
      <c r="N35" t="str">
        <f t="shared" si="5"/>
        <v>PM</v>
      </c>
      <c r="O35" s="7">
        <f t="shared" si="2"/>
        <v>0.625</v>
      </c>
      <c r="P35">
        <f t="shared" si="6"/>
        <v>40</v>
      </c>
      <c r="Q35">
        <f t="shared" si="7"/>
        <v>0</v>
      </c>
    </row>
    <row r="36" spans="1:17" x14ac:dyDescent="0.25">
      <c r="A36" s="9">
        <v>0.63541666666666663</v>
      </c>
      <c r="B36" s="46"/>
      <c r="C36" s="46"/>
      <c r="D36" s="46">
        <v>42</v>
      </c>
      <c r="G36" s="7">
        <f t="shared" si="8"/>
        <v>0.63541666666666663</v>
      </c>
      <c r="H36">
        <f>IF(B36&lt;&gt;0,SUMIF($G$11:$G36,"&gt;"&amp;$G36-1/24,B$11:B36),0)</f>
        <v>0</v>
      </c>
      <c r="I36">
        <f>IF(C36&lt;&gt;0,SUMIF($G$11:$G36,"&gt;"&amp;$G36-1/24,C$11:C36),0)</f>
        <v>0</v>
      </c>
      <c r="J36">
        <f>IF(D36&lt;&gt;0,SUMIF($G$11:$G36,"&gt;"&amp;$G36-1/24,D$11:D36),0)</f>
        <v>82</v>
      </c>
      <c r="K36">
        <f>IF(E36&lt;&gt;0,SUMIF($G$11:$G36,"&gt;"&amp;$G36-1/24,E$11:E36),0)</f>
        <v>0</v>
      </c>
      <c r="L36">
        <f t="shared" si="4"/>
        <v>0</v>
      </c>
      <c r="N36" t="str">
        <f t="shared" si="5"/>
        <v>PM</v>
      </c>
      <c r="O36" s="7">
        <f t="shared" si="2"/>
        <v>0.63541666666666663</v>
      </c>
      <c r="P36">
        <f t="shared" si="6"/>
        <v>42</v>
      </c>
      <c r="Q36">
        <f t="shared" si="7"/>
        <v>0</v>
      </c>
    </row>
    <row r="37" spans="1:17" x14ac:dyDescent="0.25">
      <c r="A37" s="9">
        <v>0.64583333333333337</v>
      </c>
      <c r="B37" s="46"/>
      <c r="C37" s="46"/>
      <c r="D37" s="46">
        <v>46</v>
      </c>
      <c r="G37" s="7">
        <f t="shared" si="8"/>
        <v>0.64583333333333337</v>
      </c>
      <c r="H37">
        <f>IF(B37&lt;&gt;0,SUMIF($G$11:$G37,"&gt;"&amp;$G37-1/24,B$11:B37),0)</f>
        <v>0</v>
      </c>
      <c r="I37">
        <f>IF(C37&lt;&gt;0,SUMIF($G$11:$G37,"&gt;"&amp;$G37-1/24,C$11:C37),0)</f>
        <v>0</v>
      </c>
      <c r="J37">
        <f>IF(D37&lt;&gt;0,SUMIF($G$11:$G37,"&gt;"&amp;$G37-1/24,D$11:D37),0)</f>
        <v>128</v>
      </c>
      <c r="K37">
        <f>IF(E37&lt;&gt;0,SUMIF($G$11:$G37,"&gt;"&amp;$G37-1/24,E$11:E37),0)</f>
        <v>0</v>
      </c>
      <c r="L37">
        <f t="shared" si="4"/>
        <v>0</v>
      </c>
      <c r="N37" t="str">
        <f t="shared" si="5"/>
        <v>PM</v>
      </c>
      <c r="O37" s="7">
        <f t="shared" si="2"/>
        <v>0.64583333333333337</v>
      </c>
      <c r="P37">
        <f t="shared" si="6"/>
        <v>46</v>
      </c>
      <c r="Q37">
        <f t="shared" si="7"/>
        <v>0</v>
      </c>
    </row>
    <row r="38" spans="1:17" x14ac:dyDescent="0.25">
      <c r="A38" s="9">
        <v>0.65625</v>
      </c>
      <c r="B38" s="46"/>
      <c r="C38" s="46"/>
      <c r="D38" s="46">
        <v>44</v>
      </c>
      <c r="G38" s="7">
        <f t="shared" si="8"/>
        <v>0.65625</v>
      </c>
      <c r="H38">
        <f>IF(B38&lt;&gt;0,SUMIF($G$11:$G38,"&gt;"&amp;$G38-1/24,B$11:B38),0)</f>
        <v>0</v>
      </c>
      <c r="I38">
        <f>IF(C38&lt;&gt;0,SUMIF($G$11:$G38,"&gt;"&amp;$G38-1/24,C$11:C38),0)</f>
        <v>0</v>
      </c>
      <c r="J38">
        <f>IF(D38&lt;&gt;0,SUMIF($G$11:$G38,"&gt;"&amp;$G38-1/24,D$11:D38),0)</f>
        <v>172</v>
      </c>
      <c r="K38">
        <f>IF(E38&lt;&gt;0,SUMIF($G$11:$G38,"&gt;"&amp;$G38-1/24,E$11:E38),0)</f>
        <v>0</v>
      </c>
      <c r="L38">
        <f t="shared" si="4"/>
        <v>0</v>
      </c>
      <c r="N38" t="str">
        <f t="shared" si="5"/>
        <v>PM</v>
      </c>
      <c r="O38" s="7">
        <f t="shared" si="2"/>
        <v>0.65625</v>
      </c>
      <c r="P38">
        <f t="shared" si="6"/>
        <v>44</v>
      </c>
      <c r="Q38">
        <f t="shared" si="7"/>
        <v>0</v>
      </c>
    </row>
    <row r="39" spans="1:17" x14ac:dyDescent="0.25">
      <c r="A39" s="9">
        <v>0.66666666666666663</v>
      </c>
      <c r="B39" s="46"/>
      <c r="C39" s="46"/>
      <c r="D39" s="46">
        <v>44</v>
      </c>
      <c r="G39" s="7">
        <f t="shared" si="8"/>
        <v>0.66666666666666663</v>
      </c>
      <c r="H39">
        <f>IF(B39&lt;&gt;0,SUMIF($G$11:$G39,"&gt;"&amp;$G39-1/24,B$11:B39),0)</f>
        <v>0</v>
      </c>
      <c r="I39">
        <f>IF(C39&lt;&gt;0,SUMIF($G$11:$G39,"&gt;"&amp;$G39-1/24,C$11:C39),0)</f>
        <v>0</v>
      </c>
      <c r="J39">
        <f>IF(D39&lt;&gt;0,SUMIF($G$11:$G39,"&gt;"&amp;$G39-1/24,D$11:D39),0)</f>
        <v>176</v>
      </c>
      <c r="K39">
        <f>IF(E39&lt;&gt;0,SUMIF($G$11:$G39,"&gt;"&amp;$G39-1/24,E$11:E39),0)</f>
        <v>0</v>
      </c>
      <c r="L39">
        <f t="shared" si="4"/>
        <v>0</v>
      </c>
      <c r="N39" t="str">
        <f t="shared" si="5"/>
        <v>PM</v>
      </c>
      <c r="O39" s="7">
        <f t="shared" si="2"/>
        <v>0.66666666666666663</v>
      </c>
      <c r="P39">
        <f t="shared" si="6"/>
        <v>44</v>
      </c>
      <c r="Q39">
        <f t="shared" si="7"/>
        <v>0</v>
      </c>
    </row>
    <row r="40" spans="1:17" x14ac:dyDescent="0.25">
      <c r="A40" s="9">
        <v>0.67708333333333337</v>
      </c>
      <c r="B40" s="46"/>
      <c r="C40" s="46"/>
      <c r="D40" s="46">
        <v>41</v>
      </c>
      <c r="G40" s="7">
        <f t="shared" si="8"/>
        <v>0.67708333333333337</v>
      </c>
      <c r="H40">
        <f>IF(B40&lt;&gt;0,SUMIF($G$11:$G40,"&gt;"&amp;$G40-1/24,B$11:B40),0)</f>
        <v>0</v>
      </c>
      <c r="I40">
        <f>IF(C40&lt;&gt;0,SUMIF($G$11:$G40,"&gt;"&amp;$G40-1/24,C$11:C40),0)</f>
        <v>0</v>
      </c>
      <c r="J40">
        <f>IF(D40&lt;&gt;0,SUMIF($G$11:$G40,"&gt;"&amp;$G40-1/24,D$11:D40),0)</f>
        <v>175</v>
      </c>
      <c r="K40">
        <f>IF(E40&lt;&gt;0,SUMIF($G$11:$G40,"&gt;"&amp;$G40-1/24,E$11:E40),0)</f>
        <v>0</v>
      </c>
      <c r="L40">
        <f t="shared" si="4"/>
        <v>0</v>
      </c>
      <c r="N40" t="str">
        <f t="shared" si="5"/>
        <v>PM</v>
      </c>
      <c r="O40" s="7">
        <f t="shared" si="2"/>
        <v>0.67708333333333337</v>
      </c>
      <c r="P40">
        <f t="shared" si="6"/>
        <v>41</v>
      </c>
      <c r="Q40">
        <f t="shared" si="7"/>
        <v>0</v>
      </c>
    </row>
    <row r="41" spans="1:17" x14ac:dyDescent="0.25">
      <c r="A41" s="9">
        <v>0.6875</v>
      </c>
      <c r="B41" s="46"/>
      <c r="C41" s="46"/>
      <c r="D41" s="46">
        <v>58</v>
      </c>
      <c r="G41" s="7">
        <f t="shared" si="8"/>
        <v>0.6875</v>
      </c>
      <c r="H41">
        <f>IF(B41&lt;&gt;0,SUMIF($G$11:$G41,"&gt;"&amp;$G41-1/24,B$11:B41),0)</f>
        <v>0</v>
      </c>
      <c r="I41">
        <f>IF(C41&lt;&gt;0,SUMIF($G$11:$G41,"&gt;"&amp;$G41-1/24,C$11:C41),0)</f>
        <v>0</v>
      </c>
      <c r="J41">
        <f>IF(D41&lt;&gt;0,SUMIF($G$11:$G41,"&gt;"&amp;$G41-1/24,D$11:D41),0)</f>
        <v>187</v>
      </c>
      <c r="K41">
        <f>IF(E41&lt;&gt;0,SUMIF($G$11:$G41,"&gt;"&amp;$G41-1/24,E$11:E41),0)</f>
        <v>0</v>
      </c>
      <c r="L41">
        <f t="shared" si="4"/>
        <v>1</v>
      </c>
      <c r="N41" t="str">
        <f t="shared" si="5"/>
        <v>PM</v>
      </c>
      <c r="O41" s="7">
        <f t="shared" si="2"/>
        <v>0.6875</v>
      </c>
      <c r="P41">
        <f t="shared" si="6"/>
        <v>58</v>
      </c>
      <c r="Q41">
        <f t="shared" si="7"/>
        <v>58</v>
      </c>
    </row>
    <row r="42" spans="1:17" x14ac:dyDescent="0.25">
      <c r="A42" s="9">
        <v>0.69791666666666663</v>
      </c>
      <c r="B42" s="46"/>
      <c r="C42" s="46"/>
      <c r="D42" s="46">
        <v>51</v>
      </c>
      <c r="G42" s="7">
        <f t="shared" si="8"/>
        <v>0.69791666666666663</v>
      </c>
      <c r="H42">
        <f>IF(B42&lt;&gt;0,SUMIF($G$11:$G42,"&gt;"&amp;$G42-1/24,B$11:B42),0)</f>
        <v>0</v>
      </c>
      <c r="I42">
        <f>IF(C42&lt;&gt;0,SUMIF($G$11:$G42,"&gt;"&amp;$G42-1/24,C$11:C42),0)</f>
        <v>0</v>
      </c>
      <c r="J42">
        <f>IF(D42&lt;&gt;0,SUMIF($G$11:$G42,"&gt;"&amp;$G42-1/24,D$11:D42),0)</f>
        <v>194</v>
      </c>
      <c r="K42">
        <f>IF(E42&lt;&gt;0,SUMIF($G$11:$G42,"&gt;"&amp;$G42-1/24,E$11:E42),0)</f>
        <v>0</v>
      </c>
      <c r="L42">
        <f t="shared" si="4"/>
        <v>1</v>
      </c>
      <c r="N42" t="str">
        <f t="shared" si="5"/>
        <v>PM</v>
      </c>
      <c r="O42" s="7">
        <f t="shared" si="2"/>
        <v>0.69791666666666663</v>
      </c>
      <c r="P42">
        <f t="shared" si="6"/>
        <v>51</v>
      </c>
      <c r="Q42">
        <f t="shared" si="7"/>
        <v>51</v>
      </c>
    </row>
    <row r="43" spans="1:17" x14ac:dyDescent="0.25">
      <c r="A43" s="9">
        <v>0.70833333333333337</v>
      </c>
      <c r="B43" s="46"/>
      <c r="C43" s="46"/>
      <c r="D43" s="46">
        <v>70</v>
      </c>
      <c r="G43" s="7">
        <f t="shared" si="8"/>
        <v>0.70833333333333337</v>
      </c>
      <c r="H43">
        <f>IF(B43&lt;&gt;0,SUMIF($G$11:$G43,"&gt;"&amp;$G43-1/24,B$11:B43),0)</f>
        <v>0</v>
      </c>
      <c r="I43">
        <f>IF(C43&lt;&gt;0,SUMIF($G$11:$G43,"&gt;"&amp;$G43-1/24,C$11:C43),0)</f>
        <v>0</v>
      </c>
      <c r="J43">
        <f>IF(D43&lt;&gt;0,SUMIF($G$11:$G43,"&gt;"&amp;$G43-1/24,D$11:D43),0)</f>
        <v>220</v>
      </c>
      <c r="K43">
        <f>IF(E43&lt;&gt;0,SUMIF($G$11:$G43,"&gt;"&amp;$G43-1/24,E$11:E43),0)</f>
        <v>0</v>
      </c>
      <c r="L43">
        <f t="shared" si="4"/>
        <v>1</v>
      </c>
      <c r="N43" t="str">
        <f t="shared" si="5"/>
        <v>PM</v>
      </c>
      <c r="O43" s="7">
        <f t="shared" si="2"/>
        <v>0.70833333333333337</v>
      </c>
      <c r="P43">
        <f t="shared" si="6"/>
        <v>70</v>
      </c>
      <c r="Q43">
        <f t="shared" si="7"/>
        <v>70</v>
      </c>
    </row>
    <row r="44" spans="1:17" x14ac:dyDescent="0.25">
      <c r="A44" s="9">
        <v>0.71875</v>
      </c>
      <c r="B44" s="46"/>
      <c r="C44" s="46"/>
      <c r="D44" s="46">
        <v>76</v>
      </c>
      <c r="G44" s="7">
        <f t="shared" si="8"/>
        <v>0.71875</v>
      </c>
      <c r="H44">
        <f>IF(B44&lt;&gt;0,SUMIF($G$11:$G44,"&gt;"&amp;$G44-1/24,B$11:B44),0)</f>
        <v>0</v>
      </c>
      <c r="I44">
        <f>IF(C44&lt;&gt;0,SUMIF($G$11:$G44,"&gt;"&amp;$G44-1/24,C$11:C44),0)</f>
        <v>0</v>
      </c>
      <c r="J44">
        <f>IF(D44&lt;&gt;0,SUMIF($G$11:$G44,"&gt;"&amp;$G44-1/24,D$11:D44),0)</f>
        <v>255</v>
      </c>
      <c r="K44">
        <f>IF(E44&lt;&gt;0,SUMIF($G$11:$G44,"&gt;"&amp;$G44-1/24,E$11:E44),0)</f>
        <v>0</v>
      </c>
      <c r="L44">
        <f t="shared" si="4"/>
        <v>1</v>
      </c>
      <c r="N44" t="str">
        <f t="shared" si="5"/>
        <v>PM</v>
      </c>
      <c r="O44" s="7">
        <f t="shared" si="2"/>
        <v>0.71875</v>
      </c>
      <c r="P44">
        <f t="shared" si="6"/>
        <v>76</v>
      </c>
      <c r="Q44">
        <f t="shared" si="7"/>
        <v>76</v>
      </c>
    </row>
    <row r="45" spans="1:17" x14ac:dyDescent="0.25">
      <c r="A45" s="9">
        <v>0.72916666666666663</v>
      </c>
      <c r="B45" s="46"/>
      <c r="C45" s="46"/>
      <c r="D45" s="46">
        <v>56</v>
      </c>
      <c r="G45" s="7">
        <f t="shared" si="8"/>
        <v>0.72916666666666663</v>
      </c>
      <c r="H45">
        <f>IF(B45&lt;&gt;0,SUMIF($G$11:$G45,"&gt;"&amp;$G45-1/24,B$11:B45),0)</f>
        <v>0</v>
      </c>
      <c r="I45">
        <f>IF(C45&lt;&gt;0,SUMIF($G$11:$G45,"&gt;"&amp;$G45-1/24,C$11:C45),0)</f>
        <v>0</v>
      </c>
      <c r="J45">
        <f>IF(D45&lt;&gt;0,SUMIF($G$11:$G45,"&gt;"&amp;$G45-1/24,D$11:D45),0)</f>
        <v>253</v>
      </c>
      <c r="K45">
        <f>IF(E45&lt;&gt;0,SUMIF($G$11:$G45,"&gt;"&amp;$G45-1/24,E$11:E45),0)</f>
        <v>0</v>
      </c>
      <c r="L45">
        <f t="shared" si="4"/>
        <v>0</v>
      </c>
      <c r="N45" t="str">
        <f t="shared" si="5"/>
        <v>PM</v>
      </c>
      <c r="O45" s="7">
        <f t="shared" si="2"/>
        <v>0.72916666666666663</v>
      </c>
      <c r="P45">
        <f t="shared" si="6"/>
        <v>56</v>
      </c>
      <c r="Q45">
        <f t="shared" si="7"/>
        <v>0</v>
      </c>
    </row>
    <row r="46" spans="1:17" x14ac:dyDescent="0.25">
      <c r="A46" s="9">
        <v>0.73958333333333337</v>
      </c>
      <c r="B46" s="46"/>
      <c r="C46" s="46"/>
      <c r="D46" s="46">
        <v>26</v>
      </c>
      <c r="G46" s="7">
        <f t="shared" si="8"/>
        <v>0.73958333333333337</v>
      </c>
      <c r="H46">
        <f>IF(B46&lt;&gt;0,SUMIF($G$11:$G46,"&gt;"&amp;$G46-1/24,B$11:B46),0)</f>
        <v>0</v>
      </c>
      <c r="I46">
        <f>IF(C46&lt;&gt;0,SUMIF($G$11:$G46,"&gt;"&amp;$G46-1/24,C$11:C46),0)</f>
        <v>0</v>
      </c>
      <c r="J46">
        <f>IF(D46&lt;&gt;0,SUMIF($G$11:$G46,"&gt;"&amp;$G46-1/24,D$11:D46),0)</f>
        <v>228</v>
      </c>
      <c r="K46">
        <f>IF(E46&lt;&gt;0,SUMIF($G$11:$G46,"&gt;"&amp;$G46-1/24,E$11:E46),0)</f>
        <v>0</v>
      </c>
      <c r="L46">
        <f t="shared" si="4"/>
        <v>0</v>
      </c>
      <c r="N46" t="str">
        <f t="shared" si="5"/>
        <v>PM</v>
      </c>
      <c r="O46" s="7">
        <f t="shared" si="2"/>
        <v>0.73958333333333337</v>
      </c>
      <c r="P46">
        <f t="shared" si="6"/>
        <v>26</v>
      </c>
      <c r="Q46">
        <f t="shared" si="7"/>
        <v>0</v>
      </c>
    </row>
    <row r="47" spans="1:17" x14ac:dyDescent="0.25">
      <c r="A47" s="9">
        <v>0.75</v>
      </c>
      <c r="B47" s="46"/>
      <c r="C47" s="46"/>
      <c r="D47" s="46">
        <v>27</v>
      </c>
      <c r="G47" s="7">
        <f t="shared" si="8"/>
        <v>0.75</v>
      </c>
      <c r="H47">
        <f>IF(B47&lt;&gt;0,SUMIF($G$11:$G47,"&gt;"&amp;$G47-1/24,B$11:B47),0)</f>
        <v>0</v>
      </c>
      <c r="I47">
        <f>IF(C47&lt;&gt;0,SUMIF($G$11:$G47,"&gt;"&amp;$G47-1/24,C$11:C47),0)</f>
        <v>0</v>
      </c>
      <c r="J47">
        <f>IF(D47&lt;&gt;0,SUMIF($G$11:$G47,"&gt;"&amp;$G47-1/24,D$11:D47),0)</f>
        <v>185</v>
      </c>
      <c r="K47">
        <f>IF(E47&lt;&gt;0,SUMIF($G$11:$G47,"&gt;"&amp;$G47-1/24,E$11:E47),0)</f>
        <v>0</v>
      </c>
      <c r="L47">
        <f t="shared" si="4"/>
        <v>0</v>
      </c>
      <c r="N47" t="str">
        <f t="shared" si="5"/>
        <v>PM</v>
      </c>
      <c r="O47" s="7">
        <f t="shared" si="2"/>
        <v>0.75</v>
      </c>
      <c r="P47">
        <f t="shared" si="6"/>
        <v>27</v>
      </c>
      <c r="Q47">
        <f t="shared" si="7"/>
        <v>0</v>
      </c>
    </row>
    <row r="48" spans="1:17" x14ac:dyDescent="0.25">
      <c r="A48" s="9">
        <v>0.76041666666666663</v>
      </c>
      <c r="B48" s="46"/>
      <c r="C48" s="46"/>
      <c r="D48" s="46">
        <v>27</v>
      </c>
      <c r="G48" s="7">
        <f t="shared" si="8"/>
        <v>0.76041666666666663</v>
      </c>
      <c r="H48">
        <f>IF(B48&lt;&gt;0,SUMIF($G$11:$G48,"&gt;"&amp;$G48-1/24,B$11:B48),0)</f>
        <v>0</v>
      </c>
      <c r="I48">
        <f>IF(C48&lt;&gt;0,SUMIF($G$11:$G48,"&gt;"&amp;$G48-1/24,C$11:C48),0)</f>
        <v>0</v>
      </c>
      <c r="J48">
        <f>IF(D48&lt;&gt;0,SUMIF($G$11:$G48,"&gt;"&amp;$G48-1/24,D$11:D48),0)</f>
        <v>136</v>
      </c>
      <c r="K48">
        <f>IF(E48&lt;&gt;0,SUMIF($G$11:$G48,"&gt;"&amp;$G48-1/24,E$11:E48),0)</f>
        <v>0</v>
      </c>
      <c r="L48">
        <f t="shared" si="4"/>
        <v>0</v>
      </c>
      <c r="N48" t="str">
        <f t="shared" si="5"/>
        <v>PM</v>
      </c>
      <c r="O48" s="7">
        <f t="shared" si="2"/>
        <v>0.76041666666666663</v>
      </c>
      <c r="P48">
        <f t="shared" si="6"/>
        <v>27</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9</v>
      </c>
      <c r="E5" t="str">
        <f>"Vehicle Count by Exit Leg for "&amp;C2&amp;" Period"</f>
        <v>Vehicle Count by Exit Leg for AM Period</v>
      </c>
    </row>
    <row r="6" spans="2:5" x14ac:dyDescent="0.25">
      <c r="B6" s="9">
        <v>0.28125</v>
      </c>
      <c r="C6" s="46">
        <v>11</v>
      </c>
    </row>
    <row r="7" spans="2:5" x14ac:dyDescent="0.25">
      <c r="B7" s="9">
        <v>0.29166666666666669</v>
      </c>
      <c r="C7" s="46">
        <v>26</v>
      </c>
    </row>
    <row r="8" spans="2:5" x14ac:dyDescent="0.25">
      <c r="B8" s="9">
        <v>0.30208333333333331</v>
      </c>
      <c r="C8" s="46">
        <v>17</v>
      </c>
    </row>
    <row r="9" spans="2:5" x14ac:dyDescent="0.25">
      <c r="B9" s="9">
        <v>0.3125</v>
      </c>
      <c r="C9" s="46">
        <v>18</v>
      </c>
    </row>
    <row r="10" spans="2:5" x14ac:dyDescent="0.25">
      <c r="B10" s="9">
        <v>0.32291666666666669</v>
      </c>
      <c r="C10" s="46">
        <v>37</v>
      </c>
    </row>
    <row r="11" spans="2:5" x14ac:dyDescent="0.25">
      <c r="B11" s="9">
        <v>0.33333333333333331</v>
      </c>
      <c r="C11" s="46">
        <v>36</v>
      </c>
    </row>
    <row r="12" spans="2:5" x14ac:dyDescent="0.25">
      <c r="B12" s="9">
        <v>0.34375</v>
      </c>
      <c r="C12" s="46">
        <v>25</v>
      </c>
    </row>
    <row r="13" spans="2:5" x14ac:dyDescent="0.25">
      <c r="B13" s="9">
        <v>0.35416666666666669</v>
      </c>
      <c r="C13" s="46">
        <v>27</v>
      </c>
    </row>
    <row r="14" spans="2:5" x14ac:dyDescent="0.25">
      <c r="B14" s="9">
        <v>0.36458333333333331</v>
      </c>
      <c r="C14" s="46">
        <v>27</v>
      </c>
    </row>
    <row r="15" spans="2:5" x14ac:dyDescent="0.25">
      <c r="B15" s="9">
        <v>0.375</v>
      </c>
      <c r="C15" s="46">
        <v>23</v>
      </c>
    </row>
    <row r="16" spans="2:5" x14ac:dyDescent="0.25">
      <c r="B16" s="9">
        <v>0.38541666666666669</v>
      </c>
      <c r="C16" s="46">
        <v>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94</v>
      </c>
      <c r="L25" s="23" t="s">
        <v>96</v>
      </c>
      <c r="M25" s="23" t="s">
        <v>95</v>
      </c>
      <c r="N25" s="23" t="s">
        <v>97</v>
      </c>
      <c r="T25" s="23">
        <v>0</v>
      </c>
      <c r="X25" s="13"/>
    </row>
    <row r="26" spans="2:24" x14ac:dyDescent="0.25">
      <c r="B26" s="9">
        <v>0.27083333333333331</v>
      </c>
      <c r="C26" s="47">
        <v>9</v>
      </c>
      <c r="J26" s="9">
        <v>0.27083333333333331</v>
      </c>
      <c r="K26" s="47">
        <v>3</v>
      </c>
      <c r="L26" s="47">
        <v>3</v>
      </c>
      <c r="M26" s="47">
        <v>2</v>
      </c>
      <c r="N26" s="47">
        <v>1</v>
      </c>
      <c r="S26" s="9">
        <v>0.27083333333333331</v>
      </c>
      <c r="T26" s="47">
        <v>9</v>
      </c>
    </row>
    <row r="27" spans="2:24" x14ac:dyDescent="0.25">
      <c r="B27" s="9">
        <v>0.28125</v>
      </c>
      <c r="C27" s="47">
        <v>11</v>
      </c>
      <c r="J27" s="9">
        <v>0.28125</v>
      </c>
      <c r="K27" s="47">
        <v>2</v>
      </c>
      <c r="L27" s="47">
        <v>0</v>
      </c>
      <c r="M27" s="47">
        <v>9</v>
      </c>
      <c r="N27" s="47">
        <v>0</v>
      </c>
      <c r="S27" s="9">
        <v>0.28125</v>
      </c>
      <c r="T27" s="47">
        <v>11</v>
      </c>
    </row>
    <row r="28" spans="2:24" x14ac:dyDescent="0.25">
      <c r="B28" s="9">
        <v>0.29166666666666669</v>
      </c>
      <c r="C28" s="47">
        <v>26</v>
      </c>
      <c r="J28" s="9">
        <v>0.29166666666666669</v>
      </c>
      <c r="K28" s="47">
        <v>1</v>
      </c>
      <c r="L28" s="47">
        <v>4</v>
      </c>
      <c r="M28" s="47">
        <v>16</v>
      </c>
      <c r="N28" s="47">
        <v>5</v>
      </c>
      <c r="S28" s="9">
        <v>0.29166666666666669</v>
      </c>
      <c r="T28" s="47">
        <v>26</v>
      </c>
    </row>
    <row r="29" spans="2:24" x14ac:dyDescent="0.25">
      <c r="B29" s="9">
        <v>0.30208333333333331</v>
      </c>
      <c r="C29" s="47">
        <v>17</v>
      </c>
      <c r="J29" s="9">
        <v>0.30208333333333331</v>
      </c>
      <c r="K29" s="47">
        <v>1</v>
      </c>
      <c r="L29" s="47">
        <v>1</v>
      </c>
      <c r="M29" s="47">
        <v>9</v>
      </c>
      <c r="N29" s="47">
        <v>6</v>
      </c>
      <c r="S29" s="9">
        <v>0.30208333333333331</v>
      </c>
      <c r="T29" s="47">
        <v>17</v>
      </c>
    </row>
    <row r="30" spans="2:24" x14ac:dyDescent="0.25">
      <c r="B30" s="9">
        <v>0.3125</v>
      </c>
      <c r="C30" s="47">
        <v>18</v>
      </c>
      <c r="J30" s="9">
        <v>0.3125</v>
      </c>
      <c r="K30" s="47">
        <v>2</v>
      </c>
      <c r="L30" s="47">
        <v>3</v>
      </c>
      <c r="M30" s="47">
        <v>4</v>
      </c>
      <c r="N30" s="47">
        <v>9</v>
      </c>
      <c r="S30" s="9">
        <v>0.3125</v>
      </c>
      <c r="T30" s="47">
        <v>18</v>
      </c>
    </row>
    <row r="31" spans="2:24" x14ac:dyDescent="0.25">
      <c r="B31" s="9">
        <v>0.32291666666666669</v>
      </c>
      <c r="C31" s="47">
        <v>37</v>
      </c>
      <c r="J31" s="9">
        <v>0.32291666666666669</v>
      </c>
      <c r="K31" s="47">
        <v>1</v>
      </c>
      <c r="L31" s="47">
        <v>1</v>
      </c>
      <c r="M31" s="47">
        <v>25</v>
      </c>
      <c r="N31" s="47">
        <v>10</v>
      </c>
      <c r="S31" s="9">
        <v>0.32291666666666669</v>
      </c>
      <c r="T31" s="47">
        <v>37</v>
      </c>
    </row>
    <row r="32" spans="2:24" x14ac:dyDescent="0.25">
      <c r="B32" s="9">
        <v>0.33333333333333331</v>
      </c>
      <c r="C32" s="47">
        <v>36</v>
      </c>
      <c r="J32" s="9">
        <v>0.33333333333333331</v>
      </c>
      <c r="K32" s="47">
        <v>0</v>
      </c>
      <c r="L32" s="47">
        <v>0</v>
      </c>
      <c r="M32" s="47">
        <v>25</v>
      </c>
      <c r="N32" s="47">
        <v>11</v>
      </c>
      <c r="S32" s="9">
        <v>0.33333333333333331</v>
      </c>
      <c r="T32" s="47">
        <v>36</v>
      </c>
    </row>
    <row r="33" spans="2:20" x14ac:dyDescent="0.25">
      <c r="B33" s="9">
        <v>0.34375</v>
      </c>
      <c r="C33" s="47">
        <v>25</v>
      </c>
      <c r="J33" s="9">
        <v>0.34375</v>
      </c>
      <c r="K33" s="47">
        <v>2</v>
      </c>
      <c r="L33" s="47">
        <v>2</v>
      </c>
      <c r="M33" s="47">
        <v>13</v>
      </c>
      <c r="N33" s="47">
        <v>8</v>
      </c>
      <c r="S33" s="9">
        <v>0.34375</v>
      </c>
      <c r="T33" s="47">
        <v>25</v>
      </c>
    </row>
    <row r="34" spans="2:20" x14ac:dyDescent="0.25">
      <c r="B34" s="9">
        <v>0.35416666666666669</v>
      </c>
      <c r="C34" s="47">
        <v>27</v>
      </c>
      <c r="J34" s="9">
        <v>0.35416666666666669</v>
      </c>
      <c r="K34" s="47">
        <v>5</v>
      </c>
      <c r="L34" s="47">
        <v>3</v>
      </c>
      <c r="M34" s="47">
        <v>14</v>
      </c>
      <c r="N34" s="47">
        <v>5</v>
      </c>
      <c r="S34" s="9">
        <v>0.35416666666666669</v>
      </c>
      <c r="T34" s="47">
        <v>27</v>
      </c>
    </row>
    <row r="35" spans="2:20" x14ac:dyDescent="0.25">
      <c r="B35" s="9">
        <v>0.36458333333333331</v>
      </c>
      <c r="C35" s="47">
        <v>27</v>
      </c>
      <c r="J35" s="9">
        <v>0.36458333333333331</v>
      </c>
      <c r="K35" s="47">
        <v>2</v>
      </c>
      <c r="L35" s="47">
        <v>2</v>
      </c>
      <c r="M35" s="47">
        <v>14</v>
      </c>
      <c r="N35" s="47">
        <v>9</v>
      </c>
      <c r="S35" s="9">
        <v>0.36458333333333331</v>
      </c>
      <c r="T35" s="47">
        <v>27</v>
      </c>
    </row>
    <row r="36" spans="2:20" x14ac:dyDescent="0.25">
      <c r="B36" s="9">
        <v>0.375</v>
      </c>
      <c r="C36" s="47">
        <v>23</v>
      </c>
      <c r="J36" s="9">
        <v>0.375</v>
      </c>
      <c r="K36" s="47">
        <v>8</v>
      </c>
      <c r="L36" s="47">
        <v>2</v>
      </c>
      <c r="M36" s="47">
        <v>5</v>
      </c>
      <c r="N36" s="47">
        <v>8</v>
      </c>
      <c r="S36" s="9">
        <v>0.375</v>
      </c>
      <c r="T36" s="47">
        <v>23</v>
      </c>
    </row>
    <row r="37" spans="2:20" x14ac:dyDescent="0.25">
      <c r="B37" s="9">
        <v>0.38541666666666669</v>
      </c>
      <c r="C37" s="47">
        <v>18</v>
      </c>
      <c r="J37" s="9">
        <v>0.38541666666666669</v>
      </c>
      <c r="K37" s="47">
        <v>3</v>
      </c>
      <c r="L37" s="47">
        <v>5</v>
      </c>
      <c r="M37" s="47">
        <v>6</v>
      </c>
      <c r="N37" s="47">
        <v>4</v>
      </c>
      <c r="S37" s="9">
        <v>0.38541666666666669</v>
      </c>
      <c r="T37" s="47">
        <v>18</v>
      </c>
    </row>
    <row r="38" spans="2:20" x14ac:dyDescent="0.25">
      <c r="B38" s="9" t="s">
        <v>49</v>
      </c>
      <c r="C38" s="47">
        <v>274</v>
      </c>
      <c r="J38" s="9" t="s">
        <v>49</v>
      </c>
      <c r="K38" s="47">
        <v>30</v>
      </c>
      <c r="L38" s="47">
        <v>26</v>
      </c>
      <c r="M38" s="47">
        <v>142</v>
      </c>
      <c r="N38" s="47">
        <v>76</v>
      </c>
      <c r="S38" s="9" t="s">
        <v>49</v>
      </c>
      <c r="T38" s="47">
        <v>274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4"/>
  <sheetViews>
    <sheetView showGridLines="0" workbookViewId="0"/>
  </sheetViews>
  <sheetFormatPr defaultRowHeight="15" x14ac:dyDescent="0.25"/>
  <cols>
    <col min="1" max="1" width="3.7109375" customWidth="1"/>
    <col min="2" max="2" width="24.140625"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125 vehicles between 07:45 and 08:45</v>
      </c>
    </row>
    <row r="5" spans="2:2" x14ac:dyDescent="0.25">
      <c r="B5" s="6" t="str">
        <f>PeakCalc!I8</f>
        <v>The peak hour for INT is 115 vehicles between 12:30 and 13:30</v>
      </c>
    </row>
    <row r="6" spans="2:2" x14ac:dyDescent="0.25">
      <c r="B6" s="6" t="str">
        <f>PeakCalc!J8</f>
        <v>The peak hour for PM is 255 vehicles between 16:30 and 17:30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105</v>
      </c>
    </row>
    <row r="31" spans="2:11" x14ac:dyDescent="0.25">
      <c r="B31" s="23"/>
      <c r="C31" s="22" t="s">
        <v>91</v>
      </c>
      <c r="D31" s="22" t="s">
        <v>92</v>
      </c>
      <c r="E31" s="51"/>
      <c r="F31" s="22" t="s">
        <v>91</v>
      </c>
      <c r="G31" s="22" t="s">
        <v>92</v>
      </c>
      <c r="H31" s="49"/>
      <c r="I31" s="22" t="s">
        <v>91</v>
      </c>
      <c r="J31" s="22" t="s">
        <v>92</v>
      </c>
      <c r="K31" s="49"/>
    </row>
    <row r="32" spans="2:11" x14ac:dyDescent="0.25">
      <c r="B32" s="10" t="s">
        <v>94</v>
      </c>
      <c r="C32" s="46">
        <v>5</v>
      </c>
      <c r="D32" s="46">
        <v>3</v>
      </c>
      <c r="E32" s="46">
        <v>8</v>
      </c>
      <c r="F32" s="46">
        <v>2</v>
      </c>
      <c r="G32" s="46">
        <v>22</v>
      </c>
      <c r="H32" s="46">
        <v>24</v>
      </c>
      <c r="I32" s="46">
        <v>3</v>
      </c>
      <c r="J32" s="46">
        <v>18</v>
      </c>
      <c r="K32" s="46">
        <v>21</v>
      </c>
    </row>
    <row r="33" spans="2:11" x14ac:dyDescent="0.25">
      <c r="B33" s="14" t="s">
        <v>89</v>
      </c>
      <c r="C33" s="46">
        <v>3</v>
      </c>
      <c r="D33" s="46">
        <v>0</v>
      </c>
      <c r="E33" s="46">
        <v>3</v>
      </c>
      <c r="F33" s="46">
        <v>2</v>
      </c>
      <c r="G33" s="46">
        <v>5</v>
      </c>
      <c r="H33" s="46">
        <v>7</v>
      </c>
      <c r="I33" s="46">
        <v>2</v>
      </c>
      <c r="J33" s="46">
        <v>12</v>
      </c>
      <c r="K33" s="46">
        <v>14</v>
      </c>
    </row>
    <row r="34" spans="2:11" x14ac:dyDescent="0.25">
      <c r="B34" s="14" t="s">
        <v>90</v>
      </c>
      <c r="C34" s="46">
        <v>2</v>
      </c>
      <c r="D34" s="46">
        <v>3</v>
      </c>
      <c r="E34" s="46">
        <v>5</v>
      </c>
      <c r="F34" s="46">
        <v>0</v>
      </c>
      <c r="G34" s="46">
        <v>17</v>
      </c>
      <c r="H34" s="46">
        <v>17</v>
      </c>
      <c r="I34" s="46">
        <v>1</v>
      </c>
      <c r="J34" s="46">
        <v>6</v>
      </c>
      <c r="K34" s="46">
        <v>7</v>
      </c>
    </row>
    <row r="35" spans="2:11" x14ac:dyDescent="0.25">
      <c r="B35" s="10" t="s">
        <v>95</v>
      </c>
      <c r="C35" s="46">
        <v>23</v>
      </c>
      <c r="D35" s="46">
        <v>54</v>
      </c>
      <c r="E35" s="46">
        <v>77</v>
      </c>
      <c r="F35" s="46">
        <v>98</v>
      </c>
      <c r="G35" s="46">
        <v>63</v>
      </c>
      <c r="H35" s="46">
        <v>161</v>
      </c>
      <c r="I35" s="46">
        <v>5</v>
      </c>
      <c r="J35" s="46">
        <v>32</v>
      </c>
      <c r="K35" s="46">
        <v>37</v>
      </c>
    </row>
    <row r="36" spans="2:11" x14ac:dyDescent="0.25">
      <c r="B36" s="14" t="s">
        <v>89</v>
      </c>
      <c r="C36" s="46">
        <v>4</v>
      </c>
      <c r="D36" s="46">
        <v>51</v>
      </c>
      <c r="E36" s="46">
        <v>55</v>
      </c>
      <c r="F36" s="46">
        <v>3</v>
      </c>
      <c r="G36" s="46">
        <v>12</v>
      </c>
      <c r="H36" s="46">
        <v>15</v>
      </c>
      <c r="I36" s="46">
        <v>1</v>
      </c>
      <c r="J36" s="46">
        <v>16</v>
      </c>
      <c r="K36" s="46">
        <v>17</v>
      </c>
    </row>
    <row r="37" spans="2:11" x14ac:dyDescent="0.25">
      <c r="B37" s="14" t="s">
        <v>90</v>
      </c>
      <c r="C37" s="46">
        <v>19</v>
      </c>
      <c r="D37" s="46">
        <v>3</v>
      </c>
      <c r="E37" s="46">
        <v>22</v>
      </c>
      <c r="F37" s="46">
        <v>95</v>
      </c>
      <c r="G37" s="46">
        <v>51</v>
      </c>
      <c r="H37" s="46">
        <v>146</v>
      </c>
      <c r="I37" s="46">
        <v>4</v>
      </c>
      <c r="J37" s="46">
        <v>16</v>
      </c>
      <c r="K37" s="46">
        <v>20</v>
      </c>
    </row>
    <row r="38" spans="2:11" x14ac:dyDescent="0.25">
      <c r="B38" s="10" t="s">
        <v>96</v>
      </c>
      <c r="C38" s="46">
        <v>0</v>
      </c>
      <c r="D38" s="46">
        <v>6</v>
      </c>
      <c r="E38" s="46">
        <v>6</v>
      </c>
      <c r="F38" s="46">
        <v>0</v>
      </c>
      <c r="G38" s="46">
        <v>20</v>
      </c>
      <c r="H38" s="46">
        <v>20</v>
      </c>
      <c r="I38" s="46">
        <v>0</v>
      </c>
      <c r="J38" s="46">
        <v>16</v>
      </c>
      <c r="K38" s="46">
        <v>16</v>
      </c>
    </row>
    <row r="39" spans="2:11" x14ac:dyDescent="0.25">
      <c r="B39" s="14" t="s">
        <v>89</v>
      </c>
      <c r="C39" s="46">
        <v>0</v>
      </c>
      <c r="D39" s="46">
        <v>3</v>
      </c>
      <c r="E39" s="46">
        <v>3</v>
      </c>
      <c r="F39" s="46">
        <v>0</v>
      </c>
      <c r="G39" s="46">
        <v>10</v>
      </c>
      <c r="H39" s="46">
        <v>10</v>
      </c>
      <c r="I39" s="46">
        <v>0</v>
      </c>
      <c r="J39" s="46">
        <v>8</v>
      </c>
      <c r="K39" s="46">
        <v>8</v>
      </c>
    </row>
    <row r="40" spans="2:11" x14ac:dyDescent="0.25">
      <c r="B40" s="14" t="s">
        <v>90</v>
      </c>
      <c r="C40" s="46">
        <v>0</v>
      </c>
      <c r="D40" s="46">
        <v>3</v>
      </c>
      <c r="E40" s="46">
        <v>3</v>
      </c>
      <c r="F40" s="46">
        <v>0</v>
      </c>
      <c r="G40" s="46">
        <v>10</v>
      </c>
      <c r="H40" s="46">
        <v>10</v>
      </c>
      <c r="I40" s="46">
        <v>0</v>
      </c>
      <c r="J40" s="46">
        <v>8</v>
      </c>
      <c r="K40" s="46">
        <v>8</v>
      </c>
    </row>
    <row r="41" spans="2:11" x14ac:dyDescent="0.25">
      <c r="B41" s="10" t="s">
        <v>97</v>
      </c>
      <c r="C41" s="46">
        <v>2</v>
      </c>
      <c r="D41" s="46">
        <v>32</v>
      </c>
      <c r="E41" s="46">
        <v>34</v>
      </c>
      <c r="F41" s="46">
        <v>4</v>
      </c>
      <c r="G41" s="46">
        <v>46</v>
      </c>
      <c r="H41" s="46">
        <v>50</v>
      </c>
      <c r="I41" s="46">
        <v>0</v>
      </c>
      <c r="J41" s="46">
        <v>41</v>
      </c>
      <c r="K41" s="46">
        <v>41</v>
      </c>
    </row>
    <row r="42" spans="2:11" x14ac:dyDescent="0.25">
      <c r="B42" s="14" t="s">
        <v>89</v>
      </c>
      <c r="C42" s="46">
        <v>1</v>
      </c>
      <c r="D42" s="46">
        <v>3</v>
      </c>
      <c r="E42" s="46">
        <v>4</v>
      </c>
      <c r="F42" s="46">
        <v>1</v>
      </c>
      <c r="G42" s="46">
        <v>26</v>
      </c>
      <c r="H42" s="46">
        <v>27</v>
      </c>
      <c r="I42" s="46">
        <v>0</v>
      </c>
      <c r="J42" s="46">
        <v>22</v>
      </c>
      <c r="K42" s="46">
        <v>22</v>
      </c>
    </row>
    <row r="43" spans="2:11" x14ac:dyDescent="0.25">
      <c r="B43" s="14" t="s">
        <v>90</v>
      </c>
      <c r="C43" s="46">
        <v>1</v>
      </c>
      <c r="D43" s="46">
        <v>29</v>
      </c>
      <c r="E43" s="46">
        <v>30</v>
      </c>
      <c r="F43" s="46">
        <v>3</v>
      </c>
      <c r="G43" s="46">
        <v>20</v>
      </c>
      <c r="H43" s="46">
        <v>23</v>
      </c>
      <c r="I43" s="46">
        <v>0</v>
      </c>
      <c r="J43" s="46">
        <v>19</v>
      </c>
      <c r="K43" s="46">
        <v>19</v>
      </c>
    </row>
    <row r="44" spans="2:11" x14ac:dyDescent="0.25">
      <c r="B44" s="10" t="s">
        <v>49</v>
      </c>
      <c r="C44" s="46">
        <v>30</v>
      </c>
      <c r="D44" s="46">
        <v>95</v>
      </c>
      <c r="E44" s="46">
        <v>125</v>
      </c>
      <c r="F44" s="46">
        <v>104</v>
      </c>
      <c r="G44" s="46">
        <v>151</v>
      </c>
      <c r="H44" s="46">
        <v>255</v>
      </c>
      <c r="I44" s="46">
        <v>8</v>
      </c>
      <c r="J44" s="46">
        <v>107</v>
      </c>
      <c r="K44" s="46">
        <v>115</v>
      </c>
    </row>
  </sheetData>
  <mergeCells count="6">
    <mergeCell ref="F30:G30"/>
    <mergeCell ref="H30:H31"/>
    <mergeCell ref="I30:J30"/>
    <mergeCell ref="K30:K31"/>
    <mergeCell ref="C30:D30"/>
    <mergeCell ref="E30:E31"/>
  </mergeCells>
  <conditionalFormatting pivot="1" sqref="C32:K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98716-9C0C-494F-9E67-5256B702516A}">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172</v>
      </c>
      <c r="B1" s="61"/>
      <c r="C1" s="60" t="s">
        <v>171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170</v>
      </c>
      <c r="B2" s="61"/>
      <c r="C2" s="60" t="s">
        <v>169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168</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167</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166</v>
      </c>
      <c r="B10" s="61"/>
      <c r="C10" s="60" t="s">
        <v>165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164</v>
      </c>
      <c r="B11" s="61"/>
      <c r="C11" s="60" t="s">
        <v>163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162</v>
      </c>
      <c r="C12" s="58"/>
      <c r="D12" s="57"/>
      <c r="E12" s="59" t="s">
        <v>158</v>
      </c>
      <c r="F12" s="58"/>
      <c r="G12" s="57"/>
      <c r="H12" s="59" t="s">
        <v>161</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1</v>
      </c>
      <c r="C15" s="52">
        <v>0</v>
      </c>
      <c r="D15" s="52" t="s">
        <v>106</v>
      </c>
      <c r="E15" s="52" t="s">
        <v>106</v>
      </c>
      <c r="F15" s="52" t="s">
        <v>106</v>
      </c>
      <c r="G15" s="52" t="s">
        <v>106</v>
      </c>
      <c r="H15" s="52">
        <v>0</v>
      </c>
      <c r="I15" s="52">
        <v>0</v>
      </c>
      <c r="J15" s="52" t="s">
        <v>106</v>
      </c>
      <c r="K15" s="52" t="s">
        <v>106</v>
      </c>
      <c r="L15" s="52" t="s">
        <v>106</v>
      </c>
      <c r="M15" s="52" t="s">
        <v>106</v>
      </c>
      <c r="N15" s="52">
        <v>0</v>
      </c>
      <c r="O15" s="52">
        <v>0</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1</v>
      </c>
      <c r="C16" s="52">
        <v>0</v>
      </c>
      <c r="D16" s="52" t="s">
        <v>106</v>
      </c>
      <c r="E16" s="52" t="s">
        <v>106</v>
      </c>
      <c r="F16" s="52" t="s">
        <v>106</v>
      </c>
      <c r="G16" s="52" t="s">
        <v>106</v>
      </c>
      <c r="H16" s="52">
        <v>0</v>
      </c>
      <c r="I16" s="52">
        <v>0</v>
      </c>
      <c r="J16" s="52" t="s">
        <v>106</v>
      </c>
      <c r="K16" s="52" t="s">
        <v>106</v>
      </c>
      <c r="L16" s="52" t="s">
        <v>106</v>
      </c>
      <c r="M16" s="52" t="s">
        <v>106</v>
      </c>
      <c r="N16" s="52">
        <v>0</v>
      </c>
      <c r="O16" s="52">
        <v>0</v>
      </c>
      <c r="P16" s="52" t="s">
        <v>106</v>
      </c>
      <c r="Q16" s="52" t="s">
        <v>106</v>
      </c>
      <c r="R16" s="52" t="s">
        <v>106</v>
      </c>
      <c r="S16" s="52" t="s">
        <v>106</v>
      </c>
      <c r="T16" s="52">
        <v>0</v>
      </c>
      <c r="U16" s="52">
        <v>0</v>
      </c>
      <c r="V16" s="52" t="s">
        <v>106</v>
      </c>
      <c r="W16" s="52" t="s">
        <v>106</v>
      </c>
      <c r="X16" s="52" t="s">
        <v>106</v>
      </c>
      <c r="Y16" s="52" t="s">
        <v>106</v>
      </c>
    </row>
    <row r="17" spans="1:25" ht="15" customHeight="1" x14ac:dyDescent="0.2">
      <c r="A17" s="52" t="s">
        <v>142</v>
      </c>
      <c r="B17" s="52">
        <v>0</v>
      </c>
      <c r="C17" s="52">
        <v>1</v>
      </c>
      <c r="D17" s="52" t="s">
        <v>106</v>
      </c>
      <c r="E17" s="52" t="s">
        <v>106</v>
      </c>
      <c r="F17" s="52" t="s">
        <v>106</v>
      </c>
      <c r="G17" s="52" t="s">
        <v>106</v>
      </c>
      <c r="H17" s="52">
        <v>3</v>
      </c>
      <c r="I17" s="52">
        <v>0</v>
      </c>
      <c r="J17" s="52" t="s">
        <v>106</v>
      </c>
      <c r="K17" s="52" t="s">
        <v>106</v>
      </c>
      <c r="L17" s="52" t="s">
        <v>106</v>
      </c>
      <c r="M17" s="52" t="s">
        <v>106</v>
      </c>
      <c r="N17" s="52">
        <v>0</v>
      </c>
      <c r="O17" s="52">
        <v>0</v>
      </c>
      <c r="P17" s="52" t="s">
        <v>106</v>
      </c>
      <c r="Q17" s="52" t="s">
        <v>106</v>
      </c>
      <c r="R17" s="52" t="s">
        <v>106</v>
      </c>
      <c r="S17" s="52" t="s">
        <v>106</v>
      </c>
      <c r="T17" s="52">
        <v>1</v>
      </c>
      <c r="U17" s="52">
        <v>0</v>
      </c>
      <c r="V17" s="52" t="s">
        <v>106</v>
      </c>
      <c r="W17" s="52" t="s">
        <v>106</v>
      </c>
      <c r="X17" s="52" t="s">
        <v>106</v>
      </c>
      <c r="Y17" s="52" t="s">
        <v>106</v>
      </c>
    </row>
    <row r="18" spans="1:25" ht="15" customHeight="1" x14ac:dyDescent="0.2">
      <c r="A18" s="52" t="s">
        <v>141</v>
      </c>
      <c r="B18" s="52">
        <v>0</v>
      </c>
      <c r="C18" s="52">
        <v>0</v>
      </c>
      <c r="D18" s="52" t="s">
        <v>106</v>
      </c>
      <c r="E18" s="52" t="s">
        <v>106</v>
      </c>
      <c r="F18" s="52" t="s">
        <v>106</v>
      </c>
      <c r="G18" s="52" t="s">
        <v>106</v>
      </c>
      <c r="H18" s="52">
        <v>0</v>
      </c>
      <c r="I18" s="52">
        <v>0</v>
      </c>
      <c r="J18" s="52" t="s">
        <v>106</v>
      </c>
      <c r="K18" s="52" t="s">
        <v>106</v>
      </c>
      <c r="L18" s="52" t="s">
        <v>106</v>
      </c>
      <c r="M18" s="52" t="s">
        <v>106</v>
      </c>
      <c r="N18" s="52">
        <v>0</v>
      </c>
      <c r="O18" s="52">
        <v>0</v>
      </c>
      <c r="P18" s="52" t="s">
        <v>106</v>
      </c>
      <c r="Q18" s="52" t="s">
        <v>106</v>
      </c>
      <c r="R18" s="52" t="s">
        <v>106</v>
      </c>
      <c r="S18" s="52" t="s">
        <v>106</v>
      </c>
      <c r="T18" s="52">
        <v>0</v>
      </c>
      <c r="U18" s="52">
        <v>0</v>
      </c>
      <c r="V18" s="52" t="s">
        <v>106</v>
      </c>
      <c r="W18" s="52" t="s">
        <v>106</v>
      </c>
      <c r="X18" s="52" t="s">
        <v>106</v>
      </c>
      <c r="Y18" s="52" t="s">
        <v>106</v>
      </c>
    </row>
    <row r="19" spans="1:25" ht="15" customHeight="1" x14ac:dyDescent="0.2">
      <c r="A19" s="52" t="s">
        <v>140</v>
      </c>
      <c r="B19" s="52">
        <v>1</v>
      </c>
      <c r="C19" s="52">
        <v>0</v>
      </c>
      <c r="D19" s="52" t="s">
        <v>106</v>
      </c>
      <c r="E19" s="52" t="s">
        <v>106</v>
      </c>
      <c r="F19" s="52" t="s">
        <v>106</v>
      </c>
      <c r="G19" s="52" t="s">
        <v>106</v>
      </c>
      <c r="H19" s="52">
        <v>1</v>
      </c>
      <c r="I19" s="52">
        <v>0</v>
      </c>
      <c r="J19" s="52" t="s">
        <v>106</v>
      </c>
      <c r="K19" s="52" t="s">
        <v>106</v>
      </c>
      <c r="L19" s="52" t="s">
        <v>106</v>
      </c>
      <c r="M19" s="52" t="s">
        <v>106</v>
      </c>
      <c r="N19" s="52">
        <v>0</v>
      </c>
      <c r="O19" s="52">
        <v>1</v>
      </c>
      <c r="P19" s="52" t="s">
        <v>106</v>
      </c>
      <c r="Q19" s="52" t="s">
        <v>106</v>
      </c>
      <c r="R19" s="52" t="s">
        <v>106</v>
      </c>
      <c r="S19" s="52" t="s">
        <v>106</v>
      </c>
      <c r="T19" s="52">
        <v>0</v>
      </c>
      <c r="U19" s="52">
        <v>0</v>
      </c>
      <c r="V19" s="52" t="s">
        <v>106</v>
      </c>
      <c r="W19" s="52" t="s">
        <v>106</v>
      </c>
      <c r="X19" s="52" t="s">
        <v>106</v>
      </c>
      <c r="Y19" s="52" t="s">
        <v>106</v>
      </c>
    </row>
    <row r="20" spans="1:25" ht="15" customHeight="1" x14ac:dyDescent="0.2">
      <c r="A20" s="52" t="s">
        <v>139</v>
      </c>
      <c r="B20" s="52">
        <v>0</v>
      </c>
      <c r="C20" s="52">
        <v>1</v>
      </c>
      <c r="D20" s="52" t="s">
        <v>106</v>
      </c>
      <c r="E20" s="52" t="s">
        <v>106</v>
      </c>
      <c r="F20" s="52" t="s">
        <v>106</v>
      </c>
      <c r="G20" s="52" t="s">
        <v>106</v>
      </c>
      <c r="H20" s="52">
        <v>6</v>
      </c>
      <c r="I20" s="52">
        <v>1</v>
      </c>
      <c r="J20" s="52" t="s">
        <v>106</v>
      </c>
      <c r="K20" s="52" t="s">
        <v>106</v>
      </c>
      <c r="L20" s="52" t="s">
        <v>106</v>
      </c>
      <c r="M20" s="52" t="s">
        <v>106</v>
      </c>
      <c r="N20" s="52">
        <v>0</v>
      </c>
      <c r="O20" s="52">
        <v>0</v>
      </c>
      <c r="P20" s="52" t="s">
        <v>106</v>
      </c>
      <c r="Q20" s="52" t="s">
        <v>106</v>
      </c>
      <c r="R20" s="52" t="s">
        <v>106</v>
      </c>
      <c r="S20" s="52" t="s">
        <v>106</v>
      </c>
      <c r="T20" s="52">
        <v>1</v>
      </c>
      <c r="U20" s="52">
        <v>1</v>
      </c>
      <c r="V20" s="52" t="s">
        <v>106</v>
      </c>
      <c r="W20" s="52" t="s">
        <v>106</v>
      </c>
      <c r="X20" s="52" t="s">
        <v>106</v>
      </c>
      <c r="Y20" s="52" t="s">
        <v>106</v>
      </c>
    </row>
    <row r="21" spans="1:25" ht="15" customHeight="1" x14ac:dyDescent="0.2">
      <c r="A21" s="52" t="s">
        <v>138</v>
      </c>
      <c r="B21" s="52">
        <v>0</v>
      </c>
      <c r="C21" s="52">
        <v>0</v>
      </c>
      <c r="D21" s="52" t="s">
        <v>106</v>
      </c>
      <c r="E21" s="52" t="s">
        <v>106</v>
      </c>
      <c r="F21" s="52" t="s">
        <v>106</v>
      </c>
      <c r="G21" s="52" t="s">
        <v>106</v>
      </c>
      <c r="H21" s="52">
        <v>8</v>
      </c>
      <c r="I21" s="52">
        <v>1</v>
      </c>
      <c r="J21" s="52" t="s">
        <v>106</v>
      </c>
      <c r="K21" s="52" t="s">
        <v>106</v>
      </c>
      <c r="L21" s="52" t="s">
        <v>106</v>
      </c>
      <c r="M21" s="52" t="s">
        <v>106</v>
      </c>
      <c r="N21" s="52">
        <v>0</v>
      </c>
      <c r="O21" s="52">
        <v>0</v>
      </c>
      <c r="P21" s="52" t="s">
        <v>106</v>
      </c>
      <c r="Q21" s="52" t="s">
        <v>106</v>
      </c>
      <c r="R21" s="52" t="s">
        <v>106</v>
      </c>
      <c r="S21" s="52" t="s">
        <v>106</v>
      </c>
      <c r="T21" s="52">
        <v>0</v>
      </c>
      <c r="U21" s="52">
        <v>0</v>
      </c>
      <c r="V21" s="52" t="s">
        <v>106</v>
      </c>
      <c r="W21" s="52" t="s">
        <v>106</v>
      </c>
      <c r="X21" s="52" t="s">
        <v>106</v>
      </c>
      <c r="Y21" s="52" t="s">
        <v>106</v>
      </c>
    </row>
    <row r="22" spans="1:25" ht="15" customHeight="1" x14ac:dyDescent="0.2">
      <c r="A22" s="52" t="s">
        <v>137</v>
      </c>
      <c r="B22" s="52">
        <v>1</v>
      </c>
      <c r="C22" s="52">
        <v>1</v>
      </c>
      <c r="D22" s="52" t="s">
        <v>106</v>
      </c>
      <c r="E22" s="52" t="s">
        <v>106</v>
      </c>
      <c r="F22" s="52" t="s">
        <v>106</v>
      </c>
      <c r="G22" s="52" t="s">
        <v>106</v>
      </c>
      <c r="H22" s="52">
        <v>4</v>
      </c>
      <c r="I22" s="52">
        <v>1</v>
      </c>
      <c r="J22" s="52" t="s">
        <v>106</v>
      </c>
      <c r="K22" s="52" t="s">
        <v>106</v>
      </c>
      <c r="L22" s="52" t="s">
        <v>106</v>
      </c>
      <c r="M22" s="52" t="s">
        <v>106</v>
      </c>
      <c r="N22" s="52">
        <v>0</v>
      </c>
      <c r="O22" s="52">
        <v>0</v>
      </c>
      <c r="P22" s="52" t="s">
        <v>106</v>
      </c>
      <c r="Q22" s="52" t="s">
        <v>106</v>
      </c>
      <c r="R22" s="52" t="s">
        <v>106</v>
      </c>
      <c r="S22" s="52" t="s">
        <v>106</v>
      </c>
      <c r="T22" s="52">
        <v>0</v>
      </c>
      <c r="U22" s="52">
        <v>0</v>
      </c>
      <c r="V22" s="52" t="s">
        <v>106</v>
      </c>
      <c r="W22" s="52" t="s">
        <v>106</v>
      </c>
      <c r="X22" s="52" t="s">
        <v>106</v>
      </c>
      <c r="Y22" s="52" t="s">
        <v>106</v>
      </c>
    </row>
    <row r="23" spans="1:25" ht="15" customHeight="1" x14ac:dyDescent="0.2">
      <c r="A23" s="52" t="s">
        <v>136</v>
      </c>
      <c r="B23" s="52">
        <v>1</v>
      </c>
      <c r="C23" s="52">
        <v>1</v>
      </c>
      <c r="D23" s="52" t="s">
        <v>106</v>
      </c>
      <c r="E23" s="52" t="s">
        <v>106</v>
      </c>
      <c r="F23" s="52" t="s">
        <v>106</v>
      </c>
      <c r="G23" s="52" t="s">
        <v>106</v>
      </c>
      <c r="H23" s="52">
        <v>1</v>
      </c>
      <c r="I23" s="52">
        <v>1</v>
      </c>
      <c r="J23" s="52" t="s">
        <v>106</v>
      </c>
      <c r="K23" s="52" t="s">
        <v>106</v>
      </c>
      <c r="L23" s="52" t="s">
        <v>106</v>
      </c>
      <c r="M23" s="52" t="s">
        <v>106</v>
      </c>
      <c r="N23" s="52">
        <v>0</v>
      </c>
      <c r="O23" s="52">
        <v>0</v>
      </c>
      <c r="P23" s="52" t="s">
        <v>106</v>
      </c>
      <c r="Q23" s="52" t="s">
        <v>106</v>
      </c>
      <c r="R23" s="52" t="s">
        <v>106</v>
      </c>
      <c r="S23" s="52" t="s">
        <v>106</v>
      </c>
      <c r="T23" s="52">
        <v>0</v>
      </c>
      <c r="U23" s="52">
        <v>0</v>
      </c>
      <c r="V23" s="52" t="s">
        <v>106</v>
      </c>
      <c r="W23" s="52" t="s">
        <v>106</v>
      </c>
      <c r="X23" s="52" t="s">
        <v>106</v>
      </c>
      <c r="Y23" s="52" t="s">
        <v>106</v>
      </c>
    </row>
    <row r="24" spans="1:25" ht="15" customHeight="1" x14ac:dyDescent="0.2">
      <c r="A24" s="52" t="s">
        <v>135</v>
      </c>
      <c r="B24" s="52">
        <v>0</v>
      </c>
      <c r="C24" s="52">
        <v>0</v>
      </c>
      <c r="D24" s="52" t="s">
        <v>106</v>
      </c>
      <c r="E24" s="52" t="s">
        <v>106</v>
      </c>
      <c r="F24" s="52" t="s">
        <v>106</v>
      </c>
      <c r="G24" s="52" t="s">
        <v>106</v>
      </c>
      <c r="H24" s="52">
        <v>1</v>
      </c>
      <c r="I24" s="52">
        <v>1</v>
      </c>
      <c r="J24" s="52" t="s">
        <v>106</v>
      </c>
      <c r="K24" s="52" t="s">
        <v>106</v>
      </c>
      <c r="L24" s="52" t="s">
        <v>106</v>
      </c>
      <c r="M24" s="52" t="s">
        <v>106</v>
      </c>
      <c r="N24" s="52">
        <v>0</v>
      </c>
      <c r="O24" s="52">
        <v>0</v>
      </c>
      <c r="P24" s="52" t="s">
        <v>106</v>
      </c>
      <c r="Q24" s="52" t="s">
        <v>106</v>
      </c>
      <c r="R24" s="52" t="s">
        <v>106</v>
      </c>
      <c r="S24" s="52" t="s">
        <v>106</v>
      </c>
      <c r="T24" s="52">
        <v>1</v>
      </c>
      <c r="U24" s="52">
        <v>0</v>
      </c>
      <c r="V24" s="52" t="s">
        <v>106</v>
      </c>
      <c r="W24" s="52" t="s">
        <v>106</v>
      </c>
      <c r="X24" s="52" t="s">
        <v>106</v>
      </c>
      <c r="Y24" s="52" t="s">
        <v>106</v>
      </c>
    </row>
    <row r="25" spans="1:25" ht="15" customHeight="1" x14ac:dyDescent="0.2">
      <c r="A25" s="52" t="s">
        <v>134</v>
      </c>
      <c r="B25" s="52">
        <v>0</v>
      </c>
      <c r="C25" s="52">
        <v>1</v>
      </c>
      <c r="D25" s="52" t="s">
        <v>106</v>
      </c>
      <c r="E25" s="52" t="s">
        <v>106</v>
      </c>
      <c r="F25" s="52" t="s">
        <v>106</v>
      </c>
      <c r="G25" s="52" t="s">
        <v>106</v>
      </c>
      <c r="H25" s="52">
        <v>0</v>
      </c>
      <c r="I25" s="52">
        <v>0</v>
      </c>
      <c r="J25" s="52" t="s">
        <v>106</v>
      </c>
      <c r="K25" s="52" t="s">
        <v>106</v>
      </c>
      <c r="L25" s="52" t="s">
        <v>106</v>
      </c>
      <c r="M25" s="52" t="s">
        <v>106</v>
      </c>
      <c r="N25" s="52">
        <v>0</v>
      </c>
      <c r="O25" s="52">
        <v>0</v>
      </c>
      <c r="P25" s="52" t="s">
        <v>106</v>
      </c>
      <c r="Q25" s="52" t="s">
        <v>106</v>
      </c>
      <c r="R25" s="52" t="s">
        <v>106</v>
      </c>
      <c r="S25" s="52" t="s">
        <v>106</v>
      </c>
      <c r="T25" s="52">
        <v>0</v>
      </c>
      <c r="U25" s="52">
        <v>0</v>
      </c>
      <c r="V25" s="52" t="s">
        <v>106</v>
      </c>
      <c r="W25" s="52" t="s">
        <v>106</v>
      </c>
      <c r="X25" s="52" t="s">
        <v>106</v>
      </c>
      <c r="Y25" s="52" t="s">
        <v>106</v>
      </c>
    </row>
    <row r="26" spans="1:25" ht="15" customHeight="1" x14ac:dyDescent="0.2">
      <c r="A26" s="52" t="s">
        <v>133</v>
      </c>
      <c r="B26" s="52">
        <v>0</v>
      </c>
      <c r="C26" s="52">
        <v>1</v>
      </c>
      <c r="D26" s="52" t="s">
        <v>106</v>
      </c>
      <c r="E26" s="52" t="s">
        <v>106</v>
      </c>
      <c r="F26" s="52" t="s">
        <v>106</v>
      </c>
      <c r="G26" s="52" t="s">
        <v>106</v>
      </c>
      <c r="H26" s="52">
        <v>0</v>
      </c>
      <c r="I26" s="52">
        <v>0</v>
      </c>
      <c r="J26" s="52" t="s">
        <v>106</v>
      </c>
      <c r="K26" s="52" t="s">
        <v>106</v>
      </c>
      <c r="L26" s="52" t="s">
        <v>106</v>
      </c>
      <c r="M26" s="52" t="s">
        <v>106</v>
      </c>
      <c r="N26" s="52">
        <v>0</v>
      </c>
      <c r="O26" s="52">
        <v>0</v>
      </c>
      <c r="P26" s="52" t="s">
        <v>106</v>
      </c>
      <c r="Q26" s="52" t="s">
        <v>106</v>
      </c>
      <c r="R26" s="52" t="s">
        <v>106</v>
      </c>
      <c r="S26" s="52" t="s">
        <v>106</v>
      </c>
      <c r="T26" s="52">
        <v>0</v>
      </c>
      <c r="U26" s="52">
        <v>0</v>
      </c>
      <c r="V26" s="52" t="s">
        <v>106</v>
      </c>
      <c r="W26" s="52" t="s">
        <v>106</v>
      </c>
      <c r="X26" s="52" t="s">
        <v>106</v>
      </c>
      <c r="Y26" s="52" t="s">
        <v>106</v>
      </c>
    </row>
    <row r="27" spans="1:25" ht="15" customHeight="1" x14ac:dyDescent="0.2">
      <c r="A27" s="52" t="s">
        <v>132</v>
      </c>
      <c r="B27" s="52">
        <v>1</v>
      </c>
      <c r="C27" s="52">
        <v>0</v>
      </c>
      <c r="D27" s="52" t="s">
        <v>106</v>
      </c>
      <c r="E27" s="52" t="s">
        <v>106</v>
      </c>
      <c r="F27" s="52" t="s">
        <v>106</v>
      </c>
      <c r="G27" s="52" t="s">
        <v>106</v>
      </c>
      <c r="H27" s="52">
        <v>0</v>
      </c>
      <c r="I27" s="52">
        <v>0</v>
      </c>
      <c r="J27" s="52" t="s">
        <v>106</v>
      </c>
      <c r="K27" s="52" t="s">
        <v>106</v>
      </c>
      <c r="L27" s="52" t="s">
        <v>106</v>
      </c>
      <c r="M27" s="52" t="s">
        <v>106</v>
      </c>
      <c r="N27" s="52">
        <v>0</v>
      </c>
      <c r="O27" s="52">
        <v>0</v>
      </c>
      <c r="P27" s="52" t="s">
        <v>106</v>
      </c>
      <c r="Q27" s="52" t="s">
        <v>106</v>
      </c>
      <c r="R27" s="52" t="s">
        <v>106</v>
      </c>
      <c r="S27" s="52" t="s">
        <v>106</v>
      </c>
      <c r="T27" s="52">
        <v>0</v>
      </c>
      <c r="U27" s="52">
        <v>0</v>
      </c>
      <c r="V27" s="52" t="s">
        <v>106</v>
      </c>
      <c r="W27" s="52" t="s">
        <v>106</v>
      </c>
      <c r="X27" s="52" t="s">
        <v>106</v>
      </c>
      <c r="Y27" s="52" t="s">
        <v>106</v>
      </c>
    </row>
    <row r="28" spans="1:25" ht="15" customHeight="1" x14ac:dyDescent="0.2">
      <c r="A28" s="52" t="s">
        <v>131</v>
      </c>
      <c r="B28" s="52">
        <v>0</v>
      </c>
      <c r="C28" s="52">
        <v>1</v>
      </c>
      <c r="D28" s="52" t="s">
        <v>106</v>
      </c>
      <c r="E28" s="52" t="s">
        <v>106</v>
      </c>
      <c r="F28" s="52" t="s">
        <v>106</v>
      </c>
      <c r="G28" s="52" t="s">
        <v>106</v>
      </c>
      <c r="H28" s="52">
        <v>2</v>
      </c>
      <c r="I28" s="52">
        <v>0</v>
      </c>
      <c r="J28" s="52" t="s">
        <v>106</v>
      </c>
      <c r="K28" s="52" t="s">
        <v>106</v>
      </c>
      <c r="L28" s="52" t="s">
        <v>106</v>
      </c>
      <c r="M28" s="52" t="s">
        <v>106</v>
      </c>
      <c r="N28" s="52">
        <v>0</v>
      </c>
      <c r="O28" s="52">
        <v>0</v>
      </c>
      <c r="P28" s="52" t="s">
        <v>106</v>
      </c>
      <c r="Q28" s="52" t="s">
        <v>106</v>
      </c>
      <c r="R28" s="52" t="s">
        <v>106</v>
      </c>
      <c r="S28" s="52" t="s">
        <v>106</v>
      </c>
      <c r="T28" s="52">
        <v>0</v>
      </c>
      <c r="U28" s="52">
        <v>0</v>
      </c>
      <c r="V28" s="52" t="s">
        <v>106</v>
      </c>
      <c r="W28" s="52" t="s">
        <v>106</v>
      </c>
      <c r="X28" s="52" t="s">
        <v>106</v>
      </c>
      <c r="Y28" s="52" t="s">
        <v>106</v>
      </c>
    </row>
    <row r="29" spans="1:25" ht="15" customHeight="1" x14ac:dyDescent="0.2">
      <c r="A29" s="52" t="s">
        <v>130</v>
      </c>
      <c r="B29" s="52">
        <v>1</v>
      </c>
      <c r="C29" s="52">
        <v>0</v>
      </c>
      <c r="D29" s="52" t="s">
        <v>106</v>
      </c>
      <c r="E29" s="52" t="s">
        <v>106</v>
      </c>
      <c r="F29" s="52" t="s">
        <v>106</v>
      </c>
      <c r="G29" s="52" t="s">
        <v>106</v>
      </c>
      <c r="H29" s="52">
        <v>0</v>
      </c>
      <c r="I29" s="52">
        <v>0</v>
      </c>
      <c r="J29" s="52" t="s">
        <v>106</v>
      </c>
      <c r="K29" s="52" t="s">
        <v>106</v>
      </c>
      <c r="L29" s="52" t="s">
        <v>106</v>
      </c>
      <c r="M29" s="52" t="s">
        <v>106</v>
      </c>
      <c r="N29" s="52">
        <v>0</v>
      </c>
      <c r="O29" s="52">
        <v>0</v>
      </c>
      <c r="P29" s="52" t="s">
        <v>106</v>
      </c>
      <c r="Q29" s="52" t="s">
        <v>106</v>
      </c>
      <c r="R29" s="52" t="s">
        <v>106</v>
      </c>
      <c r="S29" s="52" t="s">
        <v>106</v>
      </c>
      <c r="T29" s="52">
        <v>0</v>
      </c>
      <c r="U29" s="52">
        <v>1</v>
      </c>
      <c r="V29" s="52" t="s">
        <v>106</v>
      </c>
      <c r="W29" s="52" t="s">
        <v>106</v>
      </c>
      <c r="X29" s="52" t="s">
        <v>106</v>
      </c>
      <c r="Y29" s="52" t="s">
        <v>106</v>
      </c>
    </row>
    <row r="30" spans="1:25" ht="15" customHeight="1" x14ac:dyDescent="0.2">
      <c r="A30" s="52" t="s">
        <v>129</v>
      </c>
      <c r="B30" s="52">
        <v>0</v>
      </c>
      <c r="C30" s="52">
        <v>2</v>
      </c>
      <c r="D30" s="52" t="s">
        <v>106</v>
      </c>
      <c r="E30" s="52" t="s">
        <v>106</v>
      </c>
      <c r="F30" s="52" t="s">
        <v>106</v>
      </c>
      <c r="G30" s="52" t="s">
        <v>106</v>
      </c>
      <c r="H30" s="52">
        <v>0</v>
      </c>
      <c r="I30" s="52">
        <v>0</v>
      </c>
      <c r="J30" s="52" t="s">
        <v>106</v>
      </c>
      <c r="K30" s="52" t="s">
        <v>106</v>
      </c>
      <c r="L30" s="52" t="s">
        <v>106</v>
      </c>
      <c r="M30" s="52" t="s">
        <v>106</v>
      </c>
      <c r="N30" s="52">
        <v>0</v>
      </c>
      <c r="O30" s="52">
        <v>0</v>
      </c>
      <c r="P30" s="52" t="s">
        <v>106</v>
      </c>
      <c r="Q30" s="52" t="s">
        <v>106</v>
      </c>
      <c r="R30" s="52" t="s">
        <v>106</v>
      </c>
      <c r="S30" s="52" t="s">
        <v>106</v>
      </c>
      <c r="T30" s="52">
        <v>0</v>
      </c>
      <c r="U30" s="52">
        <v>1</v>
      </c>
      <c r="V30" s="52" t="s">
        <v>106</v>
      </c>
      <c r="W30" s="52" t="s">
        <v>106</v>
      </c>
      <c r="X30" s="52" t="s">
        <v>106</v>
      </c>
      <c r="Y30" s="52" t="s">
        <v>106</v>
      </c>
    </row>
    <row r="31" spans="1:25" ht="15" customHeight="1" x14ac:dyDescent="0.2">
      <c r="A31" s="52" t="s">
        <v>128</v>
      </c>
      <c r="B31" s="52">
        <v>0</v>
      </c>
      <c r="C31" s="52">
        <v>0</v>
      </c>
      <c r="D31" s="52" t="s">
        <v>106</v>
      </c>
      <c r="E31" s="52" t="s">
        <v>106</v>
      </c>
      <c r="F31" s="52" t="s">
        <v>106</v>
      </c>
      <c r="G31" s="52" t="s">
        <v>106</v>
      </c>
      <c r="H31" s="52">
        <v>1</v>
      </c>
      <c r="I31" s="52">
        <v>0</v>
      </c>
      <c r="J31" s="52" t="s">
        <v>106</v>
      </c>
      <c r="K31" s="52" t="s">
        <v>106</v>
      </c>
      <c r="L31" s="52" t="s">
        <v>106</v>
      </c>
      <c r="M31" s="52" t="s">
        <v>106</v>
      </c>
      <c r="N31" s="52">
        <v>0</v>
      </c>
      <c r="O31" s="52">
        <v>0</v>
      </c>
      <c r="P31" s="52" t="s">
        <v>106</v>
      </c>
      <c r="Q31" s="52" t="s">
        <v>106</v>
      </c>
      <c r="R31" s="52" t="s">
        <v>106</v>
      </c>
      <c r="S31" s="52" t="s">
        <v>106</v>
      </c>
      <c r="T31" s="52">
        <v>1</v>
      </c>
      <c r="U31" s="52">
        <v>0</v>
      </c>
      <c r="V31" s="52" t="s">
        <v>106</v>
      </c>
      <c r="W31" s="52" t="s">
        <v>106</v>
      </c>
      <c r="X31" s="52" t="s">
        <v>106</v>
      </c>
      <c r="Y31" s="52" t="s">
        <v>106</v>
      </c>
    </row>
    <row r="32" spans="1:25" ht="15" customHeight="1" x14ac:dyDescent="0.2">
      <c r="A32" s="52" t="s">
        <v>127</v>
      </c>
      <c r="B32" s="52">
        <v>0</v>
      </c>
      <c r="C32" s="52">
        <v>0</v>
      </c>
      <c r="D32" s="52" t="s">
        <v>106</v>
      </c>
      <c r="E32" s="52" t="s">
        <v>106</v>
      </c>
      <c r="F32" s="52" t="s">
        <v>106</v>
      </c>
      <c r="G32" s="52" t="s">
        <v>106</v>
      </c>
      <c r="H32" s="52">
        <v>0</v>
      </c>
      <c r="I32" s="52">
        <v>0</v>
      </c>
      <c r="J32" s="52" t="s">
        <v>106</v>
      </c>
      <c r="K32" s="52" t="s">
        <v>106</v>
      </c>
      <c r="L32" s="52" t="s">
        <v>106</v>
      </c>
      <c r="M32" s="52" t="s">
        <v>106</v>
      </c>
      <c r="N32" s="52">
        <v>0</v>
      </c>
      <c r="O32" s="52">
        <v>0</v>
      </c>
      <c r="P32" s="52" t="s">
        <v>106</v>
      </c>
      <c r="Q32" s="52" t="s">
        <v>106</v>
      </c>
      <c r="R32" s="52" t="s">
        <v>106</v>
      </c>
      <c r="S32" s="52" t="s">
        <v>106</v>
      </c>
      <c r="T32" s="52">
        <v>1</v>
      </c>
      <c r="U32" s="52">
        <v>0</v>
      </c>
      <c r="V32" s="52" t="s">
        <v>106</v>
      </c>
      <c r="W32" s="52" t="s">
        <v>106</v>
      </c>
      <c r="X32" s="52" t="s">
        <v>106</v>
      </c>
      <c r="Y32" s="52" t="s">
        <v>106</v>
      </c>
    </row>
    <row r="33" spans="1:25" ht="15" customHeight="1" x14ac:dyDescent="0.2">
      <c r="A33" s="52" t="s">
        <v>126</v>
      </c>
      <c r="B33" s="52">
        <v>0</v>
      </c>
      <c r="C33" s="52">
        <v>0</v>
      </c>
      <c r="D33" s="52" t="s">
        <v>106</v>
      </c>
      <c r="E33" s="52" t="s">
        <v>106</v>
      </c>
      <c r="F33" s="52" t="s">
        <v>106</v>
      </c>
      <c r="G33" s="52" t="s">
        <v>106</v>
      </c>
      <c r="H33" s="52">
        <v>2</v>
      </c>
      <c r="I33" s="52">
        <v>0</v>
      </c>
      <c r="J33" s="52" t="s">
        <v>106</v>
      </c>
      <c r="K33" s="52" t="s">
        <v>106</v>
      </c>
      <c r="L33" s="52" t="s">
        <v>106</v>
      </c>
      <c r="M33" s="52" t="s">
        <v>106</v>
      </c>
      <c r="N33" s="52">
        <v>0</v>
      </c>
      <c r="O33" s="52">
        <v>0</v>
      </c>
      <c r="P33" s="52" t="s">
        <v>106</v>
      </c>
      <c r="Q33" s="52" t="s">
        <v>106</v>
      </c>
      <c r="R33" s="52" t="s">
        <v>106</v>
      </c>
      <c r="S33" s="52" t="s">
        <v>106</v>
      </c>
      <c r="T33" s="52">
        <v>0</v>
      </c>
      <c r="U33" s="52">
        <v>0</v>
      </c>
      <c r="V33" s="52" t="s">
        <v>106</v>
      </c>
      <c r="W33" s="52" t="s">
        <v>106</v>
      </c>
      <c r="X33" s="52" t="s">
        <v>106</v>
      </c>
      <c r="Y33" s="52" t="s">
        <v>106</v>
      </c>
    </row>
    <row r="34" spans="1:25" ht="15" customHeight="1" x14ac:dyDescent="0.2">
      <c r="A34" s="52" t="s">
        <v>125</v>
      </c>
      <c r="B34" s="52">
        <v>0</v>
      </c>
      <c r="C34" s="52">
        <v>1</v>
      </c>
      <c r="D34" s="52" t="s">
        <v>106</v>
      </c>
      <c r="E34" s="52" t="s">
        <v>106</v>
      </c>
      <c r="F34" s="52" t="s">
        <v>106</v>
      </c>
      <c r="G34" s="52" t="s">
        <v>106</v>
      </c>
      <c r="H34" s="52">
        <v>0</v>
      </c>
      <c r="I34" s="52">
        <v>0</v>
      </c>
      <c r="J34" s="52" t="s">
        <v>106</v>
      </c>
      <c r="K34" s="52" t="s">
        <v>106</v>
      </c>
      <c r="L34" s="52" t="s">
        <v>106</v>
      </c>
      <c r="M34" s="52" t="s">
        <v>106</v>
      </c>
      <c r="N34" s="52">
        <v>0</v>
      </c>
      <c r="O34" s="52">
        <v>0</v>
      </c>
      <c r="P34" s="52" t="s">
        <v>106</v>
      </c>
      <c r="Q34" s="52" t="s">
        <v>106</v>
      </c>
      <c r="R34" s="52" t="s">
        <v>106</v>
      </c>
      <c r="S34" s="52" t="s">
        <v>106</v>
      </c>
      <c r="T34" s="52">
        <v>0</v>
      </c>
      <c r="U34" s="52">
        <v>0</v>
      </c>
      <c r="V34" s="52" t="s">
        <v>106</v>
      </c>
      <c r="W34" s="52" t="s">
        <v>106</v>
      </c>
      <c r="X34" s="52" t="s">
        <v>106</v>
      </c>
      <c r="Y34" s="52" t="s">
        <v>106</v>
      </c>
    </row>
    <row r="35" spans="1:25" ht="15" customHeight="1" x14ac:dyDescent="0.2">
      <c r="A35" s="52" t="s">
        <v>124</v>
      </c>
      <c r="B35" s="52">
        <v>0</v>
      </c>
      <c r="C35" s="52">
        <v>0</v>
      </c>
      <c r="D35" s="52" t="s">
        <v>106</v>
      </c>
      <c r="E35" s="52" t="s">
        <v>106</v>
      </c>
      <c r="F35" s="52" t="s">
        <v>106</v>
      </c>
      <c r="G35" s="52" t="s">
        <v>106</v>
      </c>
      <c r="H35" s="52">
        <v>0</v>
      </c>
      <c r="I35" s="52">
        <v>0</v>
      </c>
      <c r="J35" s="52" t="s">
        <v>106</v>
      </c>
      <c r="K35" s="52" t="s">
        <v>106</v>
      </c>
      <c r="L35" s="52" t="s">
        <v>106</v>
      </c>
      <c r="M35" s="52" t="s">
        <v>106</v>
      </c>
      <c r="N35" s="52">
        <v>0</v>
      </c>
      <c r="O35" s="52">
        <v>0</v>
      </c>
      <c r="P35" s="52" t="s">
        <v>106</v>
      </c>
      <c r="Q35" s="52" t="s">
        <v>106</v>
      </c>
      <c r="R35" s="52" t="s">
        <v>106</v>
      </c>
      <c r="S35" s="52" t="s">
        <v>106</v>
      </c>
      <c r="T35" s="52">
        <v>0</v>
      </c>
      <c r="U35" s="52">
        <v>0</v>
      </c>
      <c r="V35" s="52" t="s">
        <v>106</v>
      </c>
      <c r="W35" s="52" t="s">
        <v>106</v>
      </c>
      <c r="X35" s="52" t="s">
        <v>106</v>
      </c>
      <c r="Y35" s="52" t="s">
        <v>106</v>
      </c>
    </row>
    <row r="36" spans="1:25" ht="15" customHeight="1" x14ac:dyDescent="0.2">
      <c r="A36" s="52" t="s">
        <v>123</v>
      </c>
      <c r="B36" s="52">
        <v>1</v>
      </c>
      <c r="C36" s="52">
        <v>1</v>
      </c>
      <c r="D36" s="52" t="s">
        <v>106</v>
      </c>
      <c r="E36" s="52" t="s">
        <v>106</v>
      </c>
      <c r="F36" s="52" t="s">
        <v>106</v>
      </c>
      <c r="G36" s="52" t="s">
        <v>106</v>
      </c>
      <c r="H36" s="52">
        <v>2</v>
      </c>
      <c r="I36" s="52">
        <v>1</v>
      </c>
      <c r="J36" s="52" t="s">
        <v>106</v>
      </c>
      <c r="K36" s="52" t="s">
        <v>106</v>
      </c>
      <c r="L36" s="52" t="s">
        <v>106</v>
      </c>
      <c r="M36" s="52" t="s">
        <v>106</v>
      </c>
      <c r="N36" s="52">
        <v>0</v>
      </c>
      <c r="O36" s="52">
        <v>0</v>
      </c>
      <c r="P36" s="52" t="s">
        <v>106</v>
      </c>
      <c r="Q36" s="52" t="s">
        <v>106</v>
      </c>
      <c r="R36" s="52" t="s">
        <v>106</v>
      </c>
      <c r="S36" s="52" t="s">
        <v>106</v>
      </c>
      <c r="T36" s="52">
        <v>0</v>
      </c>
      <c r="U36" s="52">
        <v>0</v>
      </c>
      <c r="V36" s="52" t="s">
        <v>106</v>
      </c>
      <c r="W36" s="52" t="s">
        <v>106</v>
      </c>
      <c r="X36" s="52" t="s">
        <v>106</v>
      </c>
      <c r="Y36" s="52" t="s">
        <v>106</v>
      </c>
    </row>
    <row r="37" spans="1:25" ht="15" customHeight="1" x14ac:dyDescent="0.2">
      <c r="A37" s="52" t="s">
        <v>122</v>
      </c>
      <c r="B37" s="52">
        <v>1</v>
      </c>
      <c r="C37" s="52">
        <v>1</v>
      </c>
      <c r="D37" s="52" t="s">
        <v>106</v>
      </c>
      <c r="E37" s="52" t="s">
        <v>106</v>
      </c>
      <c r="F37" s="52" t="s">
        <v>106</v>
      </c>
      <c r="G37" s="52" t="s">
        <v>106</v>
      </c>
      <c r="H37" s="52">
        <v>4</v>
      </c>
      <c r="I37" s="52">
        <v>0</v>
      </c>
      <c r="J37" s="52" t="s">
        <v>106</v>
      </c>
      <c r="K37" s="52" t="s">
        <v>106</v>
      </c>
      <c r="L37" s="52" t="s">
        <v>106</v>
      </c>
      <c r="M37" s="52" t="s">
        <v>106</v>
      </c>
      <c r="N37" s="52">
        <v>0</v>
      </c>
      <c r="O37" s="52">
        <v>0</v>
      </c>
      <c r="P37" s="52" t="s">
        <v>106</v>
      </c>
      <c r="Q37" s="52" t="s">
        <v>106</v>
      </c>
      <c r="R37" s="52" t="s">
        <v>106</v>
      </c>
      <c r="S37" s="52" t="s">
        <v>106</v>
      </c>
      <c r="T37" s="52">
        <v>0</v>
      </c>
      <c r="U37" s="52">
        <v>0</v>
      </c>
      <c r="V37" s="52" t="s">
        <v>106</v>
      </c>
      <c r="W37" s="52" t="s">
        <v>106</v>
      </c>
      <c r="X37" s="52" t="s">
        <v>106</v>
      </c>
      <c r="Y37" s="52" t="s">
        <v>106</v>
      </c>
    </row>
    <row r="38" spans="1:25" ht="15" customHeight="1" x14ac:dyDescent="0.2">
      <c r="A38" s="52" t="s">
        <v>121</v>
      </c>
      <c r="B38" s="52">
        <v>0</v>
      </c>
      <c r="C38" s="52">
        <v>0</v>
      </c>
      <c r="D38" s="52" t="s">
        <v>106</v>
      </c>
      <c r="E38" s="52" t="s">
        <v>106</v>
      </c>
      <c r="F38" s="52" t="s">
        <v>106</v>
      </c>
      <c r="G38" s="52" t="s">
        <v>106</v>
      </c>
      <c r="H38" s="52">
        <v>1</v>
      </c>
      <c r="I38" s="52">
        <v>0</v>
      </c>
      <c r="J38" s="52" t="s">
        <v>106</v>
      </c>
      <c r="K38" s="52" t="s">
        <v>106</v>
      </c>
      <c r="L38" s="52" t="s">
        <v>106</v>
      </c>
      <c r="M38" s="52" t="s">
        <v>106</v>
      </c>
      <c r="N38" s="52">
        <v>0</v>
      </c>
      <c r="O38" s="52">
        <v>0</v>
      </c>
      <c r="P38" s="52" t="s">
        <v>106</v>
      </c>
      <c r="Q38" s="52" t="s">
        <v>106</v>
      </c>
      <c r="R38" s="52" t="s">
        <v>106</v>
      </c>
      <c r="S38" s="52" t="s">
        <v>106</v>
      </c>
      <c r="T38" s="52">
        <v>0</v>
      </c>
      <c r="U38" s="52">
        <v>0</v>
      </c>
      <c r="V38" s="52" t="s">
        <v>106</v>
      </c>
      <c r="W38" s="52" t="s">
        <v>106</v>
      </c>
      <c r="X38" s="52" t="s">
        <v>106</v>
      </c>
      <c r="Y38" s="52" t="s">
        <v>106</v>
      </c>
    </row>
    <row r="39" spans="1:25" ht="15" customHeight="1" x14ac:dyDescent="0.2">
      <c r="A39" s="52" t="s">
        <v>120</v>
      </c>
      <c r="B39" s="52">
        <v>0</v>
      </c>
      <c r="C39" s="52">
        <v>0</v>
      </c>
      <c r="D39" s="52" t="s">
        <v>106</v>
      </c>
      <c r="E39" s="52" t="s">
        <v>106</v>
      </c>
      <c r="F39" s="52" t="s">
        <v>106</v>
      </c>
      <c r="G39" s="52" t="s">
        <v>106</v>
      </c>
      <c r="H39" s="52">
        <v>8</v>
      </c>
      <c r="I39" s="52">
        <v>5</v>
      </c>
      <c r="J39" s="52" t="s">
        <v>106</v>
      </c>
      <c r="K39" s="52" t="s">
        <v>106</v>
      </c>
      <c r="L39" s="52" t="s">
        <v>106</v>
      </c>
      <c r="M39" s="52" t="s">
        <v>106</v>
      </c>
      <c r="N39" s="52">
        <v>0</v>
      </c>
      <c r="O39" s="52">
        <v>0</v>
      </c>
      <c r="P39" s="52" t="s">
        <v>106</v>
      </c>
      <c r="Q39" s="52" t="s">
        <v>106</v>
      </c>
      <c r="R39" s="52" t="s">
        <v>106</v>
      </c>
      <c r="S39" s="52" t="s">
        <v>106</v>
      </c>
      <c r="T39" s="52">
        <v>0</v>
      </c>
      <c r="U39" s="52">
        <v>0</v>
      </c>
      <c r="V39" s="52" t="s">
        <v>106</v>
      </c>
      <c r="W39" s="52" t="s">
        <v>106</v>
      </c>
      <c r="X39" s="52" t="s">
        <v>106</v>
      </c>
      <c r="Y39" s="52" t="s">
        <v>106</v>
      </c>
    </row>
    <row r="40" spans="1:25" ht="15" customHeight="1" x14ac:dyDescent="0.2">
      <c r="A40" s="52" t="s">
        <v>119</v>
      </c>
      <c r="B40" s="52">
        <v>0</v>
      </c>
      <c r="C40" s="52">
        <v>0</v>
      </c>
      <c r="D40" s="52" t="s">
        <v>106</v>
      </c>
      <c r="E40" s="52" t="s">
        <v>106</v>
      </c>
      <c r="F40" s="52" t="s">
        <v>106</v>
      </c>
      <c r="G40" s="52" t="s">
        <v>106</v>
      </c>
      <c r="H40" s="52">
        <v>10</v>
      </c>
      <c r="I40" s="52">
        <v>0</v>
      </c>
      <c r="J40" s="52" t="s">
        <v>106</v>
      </c>
      <c r="K40" s="52" t="s">
        <v>106</v>
      </c>
      <c r="L40" s="52" t="s">
        <v>106</v>
      </c>
      <c r="M40" s="52" t="s">
        <v>106</v>
      </c>
      <c r="N40" s="52">
        <v>0</v>
      </c>
      <c r="O40" s="52">
        <v>0</v>
      </c>
      <c r="P40" s="52" t="s">
        <v>106</v>
      </c>
      <c r="Q40" s="52" t="s">
        <v>106</v>
      </c>
      <c r="R40" s="52" t="s">
        <v>106</v>
      </c>
      <c r="S40" s="52" t="s">
        <v>106</v>
      </c>
      <c r="T40" s="52">
        <v>0</v>
      </c>
      <c r="U40" s="52">
        <v>0</v>
      </c>
      <c r="V40" s="52" t="s">
        <v>106</v>
      </c>
      <c r="W40" s="52" t="s">
        <v>106</v>
      </c>
      <c r="X40" s="52" t="s">
        <v>106</v>
      </c>
      <c r="Y40" s="52" t="s">
        <v>106</v>
      </c>
    </row>
    <row r="41" spans="1:25" ht="15" customHeight="1" x14ac:dyDescent="0.2">
      <c r="A41" s="52" t="s">
        <v>118</v>
      </c>
      <c r="B41" s="52">
        <v>0</v>
      </c>
      <c r="C41" s="52">
        <v>0</v>
      </c>
      <c r="D41" s="52" t="s">
        <v>106</v>
      </c>
      <c r="E41" s="52" t="s">
        <v>106</v>
      </c>
      <c r="F41" s="52" t="s">
        <v>106</v>
      </c>
      <c r="G41" s="52" t="s">
        <v>106</v>
      </c>
      <c r="H41" s="52">
        <v>7</v>
      </c>
      <c r="I41" s="52">
        <v>1</v>
      </c>
      <c r="J41" s="52" t="s">
        <v>106</v>
      </c>
      <c r="K41" s="52" t="s">
        <v>106</v>
      </c>
      <c r="L41" s="52" t="s">
        <v>106</v>
      </c>
      <c r="M41" s="52" t="s">
        <v>106</v>
      </c>
      <c r="N41" s="52">
        <v>0</v>
      </c>
      <c r="O41" s="52">
        <v>0</v>
      </c>
      <c r="P41" s="52" t="s">
        <v>106</v>
      </c>
      <c r="Q41" s="52" t="s">
        <v>106</v>
      </c>
      <c r="R41" s="52" t="s">
        <v>106</v>
      </c>
      <c r="S41" s="52" t="s">
        <v>106</v>
      </c>
      <c r="T41" s="52">
        <v>0</v>
      </c>
      <c r="U41" s="52">
        <v>0</v>
      </c>
      <c r="V41" s="52" t="s">
        <v>106</v>
      </c>
      <c r="W41" s="52" t="s">
        <v>106</v>
      </c>
      <c r="X41" s="52" t="s">
        <v>106</v>
      </c>
      <c r="Y41" s="52" t="s">
        <v>106</v>
      </c>
    </row>
    <row r="42" spans="1:25" ht="15" customHeight="1" x14ac:dyDescent="0.2">
      <c r="A42" s="52" t="s">
        <v>117</v>
      </c>
      <c r="B42" s="52">
        <v>1</v>
      </c>
      <c r="C42" s="52">
        <v>0</v>
      </c>
      <c r="D42" s="52" t="s">
        <v>106</v>
      </c>
      <c r="E42" s="52" t="s">
        <v>106</v>
      </c>
      <c r="F42" s="52" t="s">
        <v>106</v>
      </c>
      <c r="G42" s="52" t="s">
        <v>106</v>
      </c>
      <c r="H42" s="52">
        <v>14</v>
      </c>
      <c r="I42" s="52">
        <v>0</v>
      </c>
      <c r="J42" s="52" t="s">
        <v>106</v>
      </c>
      <c r="K42" s="52" t="s">
        <v>106</v>
      </c>
      <c r="L42" s="52" t="s">
        <v>106</v>
      </c>
      <c r="M42" s="52" t="s">
        <v>106</v>
      </c>
      <c r="N42" s="52">
        <v>0</v>
      </c>
      <c r="O42" s="52">
        <v>0</v>
      </c>
      <c r="P42" s="52" t="s">
        <v>106</v>
      </c>
      <c r="Q42" s="52" t="s">
        <v>106</v>
      </c>
      <c r="R42" s="52" t="s">
        <v>106</v>
      </c>
      <c r="S42" s="52" t="s">
        <v>106</v>
      </c>
      <c r="T42" s="52">
        <v>3</v>
      </c>
      <c r="U42" s="52">
        <v>1</v>
      </c>
      <c r="V42" s="52" t="s">
        <v>106</v>
      </c>
      <c r="W42" s="52" t="s">
        <v>106</v>
      </c>
      <c r="X42" s="52" t="s">
        <v>106</v>
      </c>
      <c r="Y42" s="52" t="s">
        <v>106</v>
      </c>
    </row>
    <row r="43" spans="1:25" ht="15" customHeight="1" x14ac:dyDescent="0.2">
      <c r="A43" s="52" t="s">
        <v>116</v>
      </c>
      <c r="B43" s="52">
        <v>0</v>
      </c>
      <c r="C43" s="52">
        <v>0</v>
      </c>
      <c r="D43" s="52" t="s">
        <v>106</v>
      </c>
      <c r="E43" s="52" t="s">
        <v>106</v>
      </c>
      <c r="F43" s="52" t="s">
        <v>106</v>
      </c>
      <c r="G43" s="52" t="s">
        <v>106</v>
      </c>
      <c r="H43" s="52">
        <v>12</v>
      </c>
      <c r="I43" s="52">
        <v>0</v>
      </c>
      <c r="J43" s="52" t="s">
        <v>106</v>
      </c>
      <c r="K43" s="52" t="s">
        <v>106</v>
      </c>
      <c r="L43" s="52" t="s">
        <v>106</v>
      </c>
      <c r="M43" s="52" t="s">
        <v>106</v>
      </c>
      <c r="N43" s="52">
        <v>0</v>
      </c>
      <c r="O43" s="52">
        <v>0</v>
      </c>
      <c r="P43" s="52" t="s">
        <v>106</v>
      </c>
      <c r="Q43" s="52" t="s">
        <v>106</v>
      </c>
      <c r="R43" s="52" t="s">
        <v>106</v>
      </c>
      <c r="S43" s="52" t="s">
        <v>106</v>
      </c>
      <c r="T43" s="52">
        <v>0</v>
      </c>
      <c r="U43" s="52">
        <v>0</v>
      </c>
      <c r="V43" s="52" t="s">
        <v>106</v>
      </c>
      <c r="W43" s="52" t="s">
        <v>106</v>
      </c>
      <c r="X43" s="52" t="s">
        <v>106</v>
      </c>
      <c r="Y43" s="52" t="s">
        <v>106</v>
      </c>
    </row>
    <row r="44" spans="1:25" ht="15" customHeight="1" x14ac:dyDescent="0.2">
      <c r="A44" s="52" t="s">
        <v>115</v>
      </c>
      <c r="B44" s="52">
        <v>0</v>
      </c>
      <c r="C44" s="52">
        <v>1</v>
      </c>
      <c r="D44" s="52" t="s">
        <v>106</v>
      </c>
      <c r="E44" s="52" t="s">
        <v>106</v>
      </c>
      <c r="F44" s="52" t="s">
        <v>106</v>
      </c>
      <c r="G44" s="52" t="s">
        <v>106</v>
      </c>
      <c r="H44" s="52">
        <v>17</v>
      </c>
      <c r="I44" s="52">
        <v>0</v>
      </c>
      <c r="J44" s="52" t="s">
        <v>106</v>
      </c>
      <c r="K44" s="52" t="s">
        <v>106</v>
      </c>
      <c r="L44" s="52" t="s">
        <v>106</v>
      </c>
      <c r="M44" s="52" t="s">
        <v>106</v>
      </c>
      <c r="N44" s="52">
        <v>0</v>
      </c>
      <c r="O44" s="52">
        <v>0</v>
      </c>
      <c r="P44" s="52" t="s">
        <v>106</v>
      </c>
      <c r="Q44" s="52" t="s">
        <v>106</v>
      </c>
      <c r="R44" s="52" t="s">
        <v>106</v>
      </c>
      <c r="S44" s="52" t="s">
        <v>106</v>
      </c>
      <c r="T44" s="52">
        <v>0</v>
      </c>
      <c r="U44" s="52">
        <v>0</v>
      </c>
      <c r="V44" s="52" t="s">
        <v>106</v>
      </c>
      <c r="W44" s="52" t="s">
        <v>106</v>
      </c>
      <c r="X44" s="52" t="s">
        <v>106</v>
      </c>
      <c r="Y44" s="52" t="s">
        <v>106</v>
      </c>
    </row>
    <row r="45" spans="1:25" ht="15" customHeight="1" x14ac:dyDescent="0.2">
      <c r="A45" s="52" t="s">
        <v>114</v>
      </c>
      <c r="B45" s="52">
        <v>0</v>
      </c>
      <c r="C45" s="52">
        <v>1</v>
      </c>
      <c r="D45" s="52" t="s">
        <v>106</v>
      </c>
      <c r="E45" s="52" t="s">
        <v>106</v>
      </c>
      <c r="F45" s="52" t="s">
        <v>106</v>
      </c>
      <c r="G45" s="52" t="s">
        <v>106</v>
      </c>
      <c r="H45" s="52">
        <v>12</v>
      </c>
      <c r="I45" s="52">
        <v>1</v>
      </c>
      <c r="J45" s="52" t="s">
        <v>106</v>
      </c>
      <c r="K45" s="52" t="s">
        <v>106</v>
      </c>
      <c r="L45" s="52" t="s">
        <v>106</v>
      </c>
      <c r="M45" s="52" t="s">
        <v>106</v>
      </c>
      <c r="N45" s="52">
        <v>0</v>
      </c>
      <c r="O45" s="52">
        <v>0</v>
      </c>
      <c r="P45" s="52" t="s">
        <v>106</v>
      </c>
      <c r="Q45" s="52" t="s">
        <v>106</v>
      </c>
      <c r="R45" s="52" t="s">
        <v>106</v>
      </c>
      <c r="S45" s="52" t="s">
        <v>106</v>
      </c>
      <c r="T45" s="52">
        <v>0</v>
      </c>
      <c r="U45" s="52">
        <v>1</v>
      </c>
      <c r="V45" s="52" t="s">
        <v>106</v>
      </c>
      <c r="W45" s="52" t="s">
        <v>106</v>
      </c>
      <c r="X45" s="52" t="s">
        <v>106</v>
      </c>
      <c r="Y45" s="52" t="s">
        <v>106</v>
      </c>
    </row>
    <row r="46" spans="1:25" ht="15" customHeight="1" x14ac:dyDescent="0.2">
      <c r="A46" s="52" t="s">
        <v>113</v>
      </c>
      <c r="B46" s="52">
        <v>0</v>
      </c>
      <c r="C46" s="52">
        <v>0</v>
      </c>
      <c r="D46" s="52" t="s">
        <v>106</v>
      </c>
      <c r="E46" s="52" t="s">
        <v>106</v>
      </c>
      <c r="F46" s="52" t="s">
        <v>106</v>
      </c>
      <c r="G46" s="52" t="s">
        <v>106</v>
      </c>
      <c r="H46" s="52">
        <v>28</v>
      </c>
      <c r="I46" s="52">
        <v>1</v>
      </c>
      <c r="J46" s="52" t="s">
        <v>106</v>
      </c>
      <c r="K46" s="52" t="s">
        <v>106</v>
      </c>
      <c r="L46" s="52" t="s">
        <v>106</v>
      </c>
      <c r="M46" s="52" t="s">
        <v>106</v>
      </c>
      <c r="N46" s="52">
        <v>0</v>
      </c>
      <c r="O46" s="52">
        <v>0</v>
      </c>
      <c r="P46" s="52" t="s">
        <v>106</v>
      </c>
      <c r="Q46" s="52" t="s">
        <v>106</v>
      </c>
      <c r="R46" s="52" t="s">
        <v>106</v>
      </c>
      <c r="S46" s="52" t="s">
        <v>106</v>
      </c>
      <c r="T46" s="52">
        <v>0</v>
      </c>
      <c r="U46" s="52">
        <v>0</v>
      </c>
      <c r="V46" s="52" t="s">
        <v>106</v>
      </c>
      <c r="W46" s="52" t="s">
        <v>106</v>
      </c>
      <c r="X46" s="52" t="s">
        <v>106</v>
      </c>
      <c r="Y46" s="52" t="s">
        <v>106</v>
      </c>
    </row>
    <row r="47" spans="1:25" ht="15" customHeight="1" x14ac:dyDescent="0.2">
      <c r="A47" s="52" t="s">
        <v>112</v>
      </c>
      <c r="B47" s="52">
        <v>0</v>
      </c>
      <c r="C47" s="52">
        <v>1</v>
      </c>
      <c r="D47" s="52" t="s">
        <v>106</v>
      </c>
      <c r="E47" s="52" t="s">
        <v>106</v>
      </c>
      <c r="F47" s="52" t="s">
        <v>106</v>
      </c>
      <c r="G47" s="52" t="s">
        <v>106</v>
      </c>
      <c r="H47" s="52">
        <v>25</v>
      </c>
      <c r="I47" s="52">
        <v>0</v>
      </c>
      <c r="J47" s="52" t="s">
        <v>106</v>
      </c>
      <c r="K47" s="52" t="s">
        <v>106</v>
      </c>
      <c r="L47" s="52" t="s">
        <v>106</v>
      </c>
      <c r="M47" s="52" t="s">
        <v>106</v>
      </c>
      <c r="N47" s="52">
        <v>0</v>
      </c>
      <c r="O47" s="52">
        <v>0</v>
      </c>
      <c r="P47" s="52" t="s">
        <v>106</v>
      </c>
      <c r="Q47" s="52" t="s">
        <v>106</v>
      </c>
      <c r="R47" s="52" t="s">
        <v>106</v>
      </c>
      <c r="S47" s="52" t="s">
        <v>106</v>
      </c>
      <c r="T47" s="52">
        <v>2</v>
      </c>
      <c r="U47" s="52">
        <v>0</v>
      </c>
      <c r="V47" s="52" t="s">
        <v>106</v>
      </c>
      <c r="W47" s="52" t="s">
        <v>106</v>
      </c>
      <c r="X47" s="52" t="s">
        <v>106</v>
      </c>
      <c r="Y47" s="52" t="s">
        <v>106</v>
      </c>
    </row>
    <row r="48" spans="1:25" ht="15" customHeight="1" x14ac:dyDescent="0.2">
      <c r="A48" s="52" t="s">
        <v>111</v>
      </c>
      <c r="B48" s="52">
        <v>0</v>
      </c>
      <c r="C48" s="52">
        <v>0</v>
      </c>
      <c r="D48" s="52" t="s">
        <v>106</v>
      </c>
      <c r="E48" s="52" t="s">
        <v>106</v>
      </c>
      <c r="F48" s="52" t="s">
        <v>106</v>
      </c>
      <c r="G48" s="52" t="s">
        <v>106</v>
      </c>
      <c r="H48" s="52">
        <v>30</v>
      </c>
      <c r="I48" s="52">
        <v>1</v>
      </c>
      <c r="J48" s="52" t="s">
        <v>106</v>
      </c>
      <c r="K48" s="52" t="s">
        <v>106</v>
      </c>
      <c r="L48" s="52" t="s">
        <v>106</v>
      </c>
      <c r="M48" s="52" t="s">
        <v>106</v>
      </c>
      <c r="N48" s="52">
        <v>0</v>
      </c>
      <c r="O48" s="52">
        <v>0</v>
      </c>
      <c r="P48" s="52" t="s">
        <v>106</v>
      </c>
      <c r="Q48" s="52" t="s">
        <v>106</v>
      </c>
      <c r="R48" s="52" t="s">
        <v>106</v>
      </c>
      <c r="S48" s="52" t="s">
        <v>106</v>
      </c>
      <c r="T48" s="52">
        <v>1</v>
      </c>
      <c r="U48" s="52">
        <v>0</v>
      </c>
      <c r="V48" s="52" t="s">
        <v>106</v>
      </c>
      <c r="W48" s="52" t="s">
        <v>106</v>
      </c>
      <c r="X48" s="52" t="s">
        <v>106</v>
      </c>
      <c r="Y48" s="52" t="s">
        <v>106</v>
      </c>
    </row>
    <row r="49" spans="1:25" ht="15" customHeight="1" x14ac:dyDescent="0.2">
      <c r="A49" s="52" t="s">
        <v>110</v>
      </c>
      <c r="B49" s="52">
        <v>0</v>
      </c>
      <c r="C49" s="52">
        <v>1</v>
      </c>
      <c r="D49" s="52" t="s">
        <v>106</v>
      </c>
      <c r="E49" s="52" t="s">
        <v>106</v>
      </c>
      <c r="F49" s="52" t="s">
        <v>106</v>
      </c>
      <c r="G49" s="52" t="s">
        <v>106</v>
      </c>
      <c r="H49" s="52">
        <v>24</v>
      </c>
      <c r="I49" s="52">
        <v>0</v>
      </c>
      <c r="J49" s="52" t="s">
        <v>106</v>
      </c>
      <c r="K49" s="52" t="s">
        <v>106</v>
      </c>
      <c r="L49" s="52" t="s">
        <v>106</v>
      </c>
      <c r="M49" s="52" t="s">
        <v>106</v>
      </c>
      <c r="N49" s="52">
        <v>0</v>
      </c>
      <c r="O49" s="52">
        <v>0</v>
      </c>
      <c r="P49" s="52" t="s">
        <v>106</v>
      </c>
      <c r="Q49" s="52" t="s">
        <v>106</v>
      </c>
      <c r="R49" s="52" t="s">
        <v>106</v>
      </c>
      <c r="S49" s="52" t="s">
        <v>106</v>
      </c>
      <c r="T49" s="52">
        <v>0</v>
      </c>
      <c r="U49" s="52">
        <v>0</v>
      </c>
      <c r="V49" s="52" t="s">
        <v>106</v>
      </c>
      <c r="W49" s="52" t="s">
        <v>106</v>
      </c>
      <c r="X49" s="52" t="s">
        <v>106</v>
      </c>
      <c r="Y49" s="52" t="s">
        <v>106</v>
      </c>
    </row>
    <row r="50" spans="1:25" ht="15" customHeight="1" x14ac:dyDescent="0.2">
      <c r="A50" s="52" t="s">
        <v>109</v>
      </c>
      <c r="B50" s="52">
        <v>0</v>
      </c>
      <c r="C50" s="52">
        <v>0</v>
      </c>
      <c r="D50" s="52" t="s">
        <v>106</v>
      </c>
      <c r="E50" s="52" t="s">
        <v>106</v>
      </c>
      <c r="F50" s="52" t="s">
        <v>106</v>
      </c>
      <c r="G50" s="52" t="s">
        <v>106</v>
      </c>
      <c r="H50" s="52">
        <v>5</v>
      </c>
      <c r="I50" s="52">
        <v>0</v>
      </c>
      <c r="J50" s="52" t="s">
        <v>106</v>
      </c>
      <c r="K50" s="52" t="s">
        <v>106</v>
      </c>
      <c r="L50" s="52" t="s">
        <v>106</v>
      </c>
      <c r="M50" s="52" t="s">
        <v>106</v>
      </c>
      <c r="N50" s="52">
        <v>0</v>
      </c>
      <c r="O50" s="52">
        <v>0</v>
      </c>
      <c r="P50" s="52" t="s">
        <v>106</v>
      </c>
      <c r="Q50" s="52" t="s">
        <v>106</v>
      </c>
      <c r="R50" s="52" t="s">
        <v>106</v>
      </c>
      <c r="S50" s="52" t="s">
        <v>106</v>
      </c>
      <c r="T50" s="52">
        <v>1</v>
      </c>
      <c r="U50" s="52">
        <v>1</v>
      </c>
      <c r="V50" s="52" t="s">
        <v>106</v>
      </c>
      <c r="W50" s="52" t="s">
        <v>106</v>
      </c>
      <c r="X50" s="52" t="s">
        <v>106</v>
      </c>
      <c r="Y50" s="52" t="s">
        <v>106</v>
      </c>
    </row>
    <row r="51" spans="1:25" ht="15" customHeight="1" x14ac:dyDescent="0.2">
      <c r="A51" s="52" t="s">
        <v>108</v>
      </c>
      <c r="B51" s="52">
        <v>0</v>
      </c>
      <c r="C51" s="52">
        <v>1</v>
      </c>
      <c r="D51" s="52" t="s">
        <v>106</v>
      </c>
      <c r="E51" s="52" t="s">
        <v>106</v>
      </c>
      <c r="F51" s="52" t="s">
        <v>106</v>
      </c>
      <c r="G51" s="52" t="s">
        <v>106</v>
      </c>
      <c r="H51" s="52">
        <v>12</v>
      </c>
      <c r="I51" s="52">
        <v>0</v>
      </c>
      <c r="J51" s="52" t="s">
        <v>106</v>
      </c>
      <c r="K51" s="52" t="s">
        <v>106</v>
      </c>
      <c r="L51" s="52" t="s">
        <v>106</v>
      </c>
      <c r="M51" s="52" t="s">
        <v>106</v>
      </c>
      <c r="N51" s="52">
        <v>0</v>
      </c>
      <c r="O51" s="52">
        <v>0</v>
      </c>
      <c r="P51" s="52" t="s">
        <v>106</v>
      </c>
      <c r="Q51" s="52" t="s">
        <v>106</v>
      </c>
      <c r="R51" s="52" t="s">
        <v>106</v>
      </c>
      <c r="S51" s="52" t="s">
        <v>106</v>
      </c>
      <c r="T51" s="52">
        <v>0</v>
      </c>
      <c r="U51" s="52">
        <v>0</v>
      </c>
      <c r="V51" s="52" t="s">
        <v>106</v>
      </c>
      <c r="W51" s="52" t="s">
        <v>106</v>
      </c>
      <c r="X51" s="52" t="s">
        <v>106</v>
      </c>
      <c r="Y51" s="52" t="s">
        <v>106</v>
      </c>
    </row>
    <row r="52" spans="1:25" ht="15" customHeight="1" x14ac:dyDescent="0.2">
      <c r="A52" s="52" t="s">
        <v>107</v>
      </c>
      <c r="B52" s="52">
        <v>1</v>
      </c>
      <c r="C52" s="52">
        <v>0</v>
      </c>
      <c r="D52" s="52" t="s">
        <v>106</v>
      </c>
      <c r="E52" s="52" t="s">
        <v>106</v>
      </c>
      <c r="F52" s="52" t="s">
        <v>106</v>
      </c>
      <c r="G52" s="52" t="s">
        <v>106</v>
      </c>
      <c r="H52" s="52">
        <v>8</v>
      </c>
      <c r="I52" s="52">
        <v>0</v>
      </c>
      <c r="J52" s="52" t="s">
        <v>106</v>
      </c>
      <c r="K52" s="52" t="s">
        <v>106</v>
      </c>
      <c r="L52" s="52" t="s">
        <v>106</v>
      </c>
      <c r="M52" s="52" t="s">
        <v>106</v>
      </c>
      <c r="N52" s="52">
        <v>0</v>
      </c>
      <c r="O52" s="52">
        <v>0</v>
      </c>
      <c r="P52" s="52" t="s">
        <v>106</v>
      </c>
      <c r="Q52" s="52" t="s">
        <v>106</v>
      </c>
      <c r="R52" s="52" t="s">
        <v>106</v>
      </c>
      <c r="S52" s="52" t="s">
        <v>106</v>
      </c>
      <c r="T52" s="52">
        <v>0</v>
      </c>
      <c r="U52" s="52">
        <v>0</v>
      </c>
      <c r="V52" s="52" t="s">
        <v>106</v>
      </c>
      <c r="W52" s="52" t="s">
        <v>106</v>
      </c>
      <c r="X52" s="52" t="s">
        <v>106</v>
      </c>
      <c r="Y52" s="52" t="s">
        <v>106</v>
      </c>
    </row>
  </sheetData>
  <mergeCells count="38">
    <mergeCell ref="T12:V12"/>
    <mergeCell ref="W12:Y12"/>
    <mergeCell ref="Q13:S13"/>
    <mergeCell ref="T13:V13"/>
    <mergeCell ref="W13:Y13"/>
    <mergeCell ref="B13:D13"/>
    <mergeCell ref="E13:G13"/>
    <mergeCell ref="H13:J13"/>
    <mergeCell ref="K13:M13"/>
    <mergeCell ref="N13:P13"/>
    <mergeCell ref="A10:B10"/>
    <mergeCell ref="C10:BM10"/>
    <mergeCell ref="A11:B11"/>
    <mergeCell ref="C11:BM11"/>
    <mergeCell ref="B12:D12"/>
    <mergeCell ref="E12:G12"/>
    <mergeCell ref="H12:J12"/>
    <mergeCell ref="K12:M12"/>
    <mergeCell ref="N12:P12"/>
    <mergeCell ref="Q12:S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4B32-DE0C-43F6-8C48-2D994528E10F}">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172</v>
      </c>
      <c r="B1" s="61"/>
      <c r="C1" s="60" t="s">
        <v>171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170</v>
      </c>
      <c r="B2" s="61"/>
      <c r="C2" s="60" t="s">
        <v>169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168</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167</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166</v>
      </c>
      <c r="B10" s="61"/>
      <c r="C10" s="60" t="s">
        <v>165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164</v>
      </c>
      <c r="B11" s="61"/>
      <c r="C11" s="60" t="s">
        <v>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162</v>
      </c>
      <c r="C12" s="58"/>
      <c r="D12" s="57"/>
      <c r="E12" s="59" t="s">
        <v>158</v>
      </c>
      <c r="F12" s="58"/>
      <c r="G12" s="57"/>
      <c r="H12" s="59" t="s">
        <v>161</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2</v>
      </c>
      <c r="C15" s="52">
        <v>0</v>
      </c>
      <c r="D15" s="52" t="s">
        <v>106</v>
      </c>
      <c r="E15" s="52" t="s">
        <v>106</v>
      </c>
      <c r="F15" s="52" t="s">
        <v>106</v>
      </c>
      <c r="G15" s="52" t="s">
        <v>106</v>
      </c>
      <c r="H15" s="52">
        <v>0</v>
      </c>
      <c r="I15" s="52">
        <v>2</v>
      </c>
      <c r="J15" s="52" t="s">
        <v>106</v>
      </c>
      <c r="K15" s="52" t="s">
        <v>106</v>
      </c>
      <c r="L15" s="52" t="s">
        <v>106</v>
      </c>
      <c r="M15" s="52" t="s">
        <v>106</v>
      </c>
      <c r="N15" s="52">
        <v>1</v>
      </c>
      <c r="O15" s="52">
        <v>2</v>
      </c>
      <c r="P15" s="52" t="s">
        <v>106</v>
      </c>
      <c r="Q15" s="52" t="s">
        <v>106</v>
      </c>
      <c r="R15" s="52" t="s">
        <v>106</v>
      </c>
      <c r="S15" s="52" t="s">
        <v>106</v>
      </c>
      <c r="T15" s="52">
        <v>1</v>
      </c>
      <c r="U15" s="52">
        <v>0</v>
      </c>
      <c r="V15" s="52" t="s">
        <v>106</v>
      </c>
      <c r="W15" s="52" t="s">
        <v>106</v>
      </c>
      <c r="X15" s="52" t="s">
        <v>106</v>
      </c>
      <c r="Y15" s="52" t="s">
        <v>106</v>
      </c>
    </row>
    <row r="16" spans="1:65" ht="15" customHeight="1" x14ac:dyDescent="0.2">
      <c r="A16" s="52" t="s">
        <v>143</v>
      </c>
      <c r="B16" s="52">
        <v>1</v>
      </c>
      <c r="C16" s="52">
        <v>0</v>
      </c>
      <c r="D16" s="52" t="s">
        <v>106</v>
      </c>
      <c r="E16" s="52" t="s">
        <v>106</v>
      </c>
      <c r="F16" s="52" t="s">
        <v>106</v>
      </c>
      <c r="G16" s="52" t="s">
        <v>106</v>
      </c>
      <c r="H16" s="52">
        <v>1</v>
      </c>
      <c r="I16" s="52">
        <v>8</v>
      </c>
      <c r="J16" s="52" t="s">
        <v>106</v>
      </c>
      <c r="K16" s="52" t="s">
        <v>106</v>
      </c>
      <c r="L16" s="52" t="s">
        <v>106</v>
      </c>
      <c r="M16" s="52" t="s">
        <v>106</v>
      </c>
      <c r="N16" s="52">
        <v>0</v>
      </c>
      <c r="O16" s="52">
        <v>0</v>
      </c>
      <c r="P16" s="52" t="s">
        <v>106</v>
      </c>
      <c r="Q16" s="52" t="s">
        <v>106</v>
      </c>
      <c r="R16" s="52" t="s">
        <v>106</v>
      </c>
      <c r="S16" s="52" t="s">
        <v>106</v>
      </c>
      <c r="T16" s="52">
        <v>0</v>
      </c>
      <c r="U16" s="52">
        <v>0</v>
      </c>
      <c r="V16" s="52" t="s">
        <v>106</v>
      </c>
      <c r="W16" s="52" t="s">
        <v>106</v>
      </c>
      <c r="X16" s="52" t="s">
        <v>106</v>
      </c>
      <c r="Y16" s="52" t="s">
        <v>106</v>
      </c>
    </row>
    <row r="17" spans="1:25" ht="15" customHeight="1" x14ac:dyDescent="0.2">
      <c r="A17" s="52" t="s">
        <v>142</v>
      </c>
      <c r="B17" s="52">
        <v>0</v>
      </c>
      <c r="C17" s="52">
        <v>0</v>
      </c>
      <c r="D17" s="52" t="s">
        <v>106</v>
      </c>
      <c r="E17" s="52" t="s">
        <v>106</v>
      </c>
      <c r="F17" s="52" t="s">
        <v>106</v>
      </c>
      <c r="G17" s="52" t="s">
        <v>106</v>
      </c>
      <c r="H17" s="52">
        <v>4</v>
      </c>
      <c r="I17" s="52">
        <v>9</v>
      </c>
      <c r="J17" s="52" t="s">
        <v>106</v>
      </c>
      <c r="K17" s="52" t="s">
        <v>106</v>
      </c>
      <c r="L17" s="52" t="s">
        <v>106</v>
      </c>
      <c r="M17" s="52" t="s">
        <v>106</v>
      </c>
      <c r="N17" s="52">
        <v>2</v>
      </c>
      <c r="O17" s="52">
        <v>2</v>
      </c>
      <c r="P17" s="52" t="s">
        <v>106</v>
      </c>
      <c r="Q17" s="52" t="s">
        <v>106</v>
      </c>
      <c r="R17" s="52" t="s">
        <v>106</v>
      </c>
      <c r="S17" s="52" t="s">
        <v>106</v>
      </c>
      <c r="T17" s="52">
        <v>4</v>
      </c>
      <c r="U17" s="52">
        <v>0</v>
      </c>
      <c r="V17" s="52" t="s">
        <v>106</v>
      </c>
      <c r="W17" s="52" t="s">
        <v>106</v>
      </c>
      <c r="X17" s="52" t="s">
        <v>106</v>
      </c>
      <c r="Y17" s="52" t="s">
        <v>106</v>
      </c>
    </row>
    <row r="18" spans="1:25" ht="15" customHeight="1" x14ac:dyDescent="0.2">
      <c r="A18" s="52" t="s">
        <v>141</v>
      </c>
      <c r="B18" s="52">
        <v>0</v>
      </c>
      <c r="C18" s="52">
        <v>1</v>
      </c>
      <c r="D18" s="52" t="s">
        <v>106</v>
      </c>
      <c r="E18" s="52" t="s">
        <v>106</v>
      </c>
      <c r="F18" s="52" t="s">
        <v>106</v>
      </c>
      <c r="G18" s="52" t="s">
        <v>106</v>
      </c>
      <c r="H18" s="52">
        <v>3</v>
      </c>
      <c r="I18" s="52">
        <v>6</v>
      </c>
      <c r="J18" s="52" t="s">
        <v>106</v>
      </c>
      <c r="K18" s="52" t="s">
        <v>106</v>
      </c>
      <c r="L18" s="52" t="s">
        <v>106</v>
      </c>
      <c r="M18" s="52" t="s">
        <v>106</v>
      </c>
      <c r="N18" s="52">
        <v>1</v>
      </c>
      <c r="O18" s="52">
        <v>0</v>
      </c>
      <c r="P18" s="52" t="s">
        <v>106</v>
      </c>
      <c r="Q18" s="52" t="s">
        <v>106</v>
      </c>
      <c r="R18" s="52" t="s">
        <v>106</v>
      </c>
      <c r="S18" s="52" t="s">
        <v>106</v>
      </c>
      <c r="T18" s="52">
        <v>5</v>
      </c>
      <c r="U18" s="52">
        <v>1</v>
      </c>
      <c r="V18" s="52" t="s">
        <v>106</v>
      </c>
      <c r="W18" s="52" t="s">
        <v>106</v>
      </c>
      <c r="X18" s="52" t="s">
        <v>106</v>
      </c>
      <c r="Y18" s="52" t="s">
        <v>106</v>
      </c>
    </row>
    <row r="19" spans="1:25" ht="15" customHeight="1" x14ac:dyDescent="0.2">
      <c r="A19" s="52" t="s">
        <v>140</v>
      </c>
      <c r="B19" s="52">
        <v>0</v>
      </c>
      <c r="C19" s="52">
        <v>1</v>
      </c>
      <c r="D19" s="52" t="s">
        <v>106</v>
      </c>
      <c r="E19" s="52" t="s">
        <v>106</v>
      </c>
      <c r="F19" s="52" t="s">
        <v>106</v>
      </c>
      <c r="G19" s="52" t="s">
        <v>106</v>
      </c>
      <c r="H19" s="52">
        <v>0</v>
      </c>
      <c r="I19" s="52">
        <v>3</v>
      </c>
      <c r="J19" s="52" t="s">
        <v>106</v>
      </c>
      <c r="K19" s="52" t="s">
        <v>106</v>
      </c>
      <c r="L19" s="52" t="s">
        <v>106</v>
      </c>
      <c r="M19" s="52" t="s">
        <v>106</v>
      </c>
      <c r="N19" s="52">
        <v>1</v>
      </c>
      <c r="O19" s="52">
        <v>1</v>
      </c>
      <c r="P19" s="52" t="s">
        <v>106</v>
      </c>
      <c r="Q19" s="52" t="s">
        <v>106</v>
      </c>
      <c r="R19" s="52" t="s">
        <v>106</v>
      </c>
      <c r="S19" s="52" t="s">
        <v>106</v>
      </c>
      <c r="T19" s="52">
        <v>7</v>
      </c>
      <c r="U19" s="52">
        <v>2</v>
      </c>
      <c r="V19" s="52" t="s">
        <v>106</v>
      </c>
      <c r="W19" s="52" t="s">
        <v>106</v>
      </c>
      <c r="X19" s="52" t="s">
        <v>106</v>
      </c>
      <c r="Y19" s="52" t="s">
        <v>106</v>
      </c>
    </row>
    <row r="20" spans="1:25" ht="15" customHeight="1" x14ac:dyDescent="0.2">
      <c r="A20" s="52" t="s">
        <v>139</v>
      </c>
      <c r="B20" s="52">
        <v>0</v>
      </c>
      <c r="C20" s="52">
        <v>0</v>
      </c>
      <c r="D20" s="52" t="s">
        <v>106</v>
      </c>
      <c r="E20" s="52" t="s">
        <v>106</v>
      </c>
      <c r="F20" s="52" t="s">
        <v>106</v>
      </c>
      <c r="G20" s="52" t="s">
        <v>106</v>
      </c>
      <c r="H20" s="52">
        <v>1</v>
      </c>
      <c r="I20" s="52">
        <v>17</v>
      </c>
      <c r="J20" s="52" t="s">
        <v>106</v>
      </c>
      <c r="K20" s="52" t="s">
        <v>106</v>
      </c>
      <c r="L20" s="52" t="s">
        <v>106</v>
      </c>
      <c r="M20" s="52" t="s">
        <v>106</v>
      </c>
      <c r="N20" s="52">
        <v>1</v>
      </c>
      <c r="O20" s="52">
        <v>0</v>
      </c>
      <c r="P20" s="52" t="s">
        <v>106</v>
      </c>
      <c r="Q20" s="52" t="s">
        <v>106</v>
      </c>
      <c r="R20" s="52" t="s">
        <v>106</v>
      </c>
      <c r="S20" s="52" t="s">
        <v>106</v>
      </c>
      <c r="T20" s="52">
        <v>8</v>
      </c>
      <c r="U20" s="52">
        <v>0</v>
      </c>
      <c r="V20" s="52" t="s">
        <v>106</v>
      </c>
      <c r="W20" s="52" t="s">
        <v>106</v>
      </c>
      <c r="X20" s="52" t="s">
        <v>106</v>
      </c>
      <c r="Y20" s="52" t="s">
        <v>106</v>
      </c>
    </row>
    <row r="21" spans="1:25" ht="15" customHeight="1" x14ac:dyDescent="0.2">
      <c r="A21" s="52" t="s">
        <v>138</v>
      </c>
      <c r="B21" s="52">
        <v>0</v>
      </c>
      <c r="C21" s="52">
        <v>0</v>
      </c>
      <c r="D21" s="52" t="s">
        <v>106</v>
      </c>
      <c r="E21" s="52" t="s">
        <v>106</v>
      </c>
      <c r="F21" s="52" t="s">
        <v>106</v>
      </c>
      <c r="G21" s="52" t="s">
        <v>106</v>
      </c>
      <c r="H21" s="52">
        <v>2</v>
      </c>
      <c r="I21" s="52">
        <v>14</v>
      </c>
      <c r="J21" s="52" t="s">
        <v>106</v>
      </c>
      <c r="K21" s="62" t="s">
        <v>106</v>
      </c>
      <c r="L21" s="52" t="s">
        <v>106</v>
      </c>
      <c r="M21" s="52" t="s">
        <v>106</v>
      </c>
      <c r="N21" s="52">
        <v>0</v>
      </c>
      <c r="O21" s="52">
        <v>0</v>
      </c>
      <c r="P21" s="52" t="s">
        <v>106</v>
      </c>
      <c r="Q21" s="52" t="s">
        <v>106</v>
      </c>
      <c r="R21" s="52" t="s">
        <v>106</v>
      </c>
      <c r="S21" s="52" t="s">
        <v>106</v>
      </c>
      <c r="T21" s="52">
        <v>10</v>
      </c>
      <c r="U21" s="52">
        <v>1</v>
      </c>
      <c r="V21" s="52" t="s">
        <v>106</v>
      </c>
      <c r="W21" s="52" t="s">
        <v>106</v>
      </c>
      <c r="X21" s="52" t="s">
        <v>106</v>
      </c>
      <c r="Y21" s="52" t="s">
        <v>106</v>
      </c>
    </row>
    <row r="22" spans="1:25" ht="15" customHeight="1" x14ac:dyDescent="0.2">
      <c r="A22" s="52" t="s">
        <v>137</v>
      </c>
      <c r="B22" s="52">
        <v>0</v>
      </c>
      <c r="C22" s="52">
        <v>0</v>
      </c>
      <c r="D22" s="52" t="s">
        <v>106</v>
      </c>
      <c r="E22" s="52" t="s">
        <v>106</v>
      </c>
      <c r="F22" s="52" t="s">
        <v>106</v>
      </c>
      <c r="G22" s="52" t="s">
        <v>106</v>
      </c>
      <c r="H22" s="52">
        <v>0</v>
      </c>
      <c r="I22" s="52">
        <v>8</v>
      </c>
      <c r="J22" s="52" t="s">
        <v>106</v>
      </c>
      <c r="K22" s="62" t="s">
        <v>106</v>
      </c>
      <c r="L22" s="52" t="s">
        <v>106</v>
      </c>
      <c r="M22" s="52" t="s">
        <v>106</v>
      </c>
      <c r="N22" s="52">
        <v>2</v>
      </c>
      <c r="O22" s="52">
        <v>0</v>
      </c>
      <c r="P22" s="52" t="s">
        <v>106</v>
      </c>
      <c r="Q22" s="52" t="s">
        <v>106</v>
      </c>
      <c r="R22" s="52" t="s">
        <v>106</v>
      </c>
      <c r="S22" s="52" t="s">
        <v>106</v>
      </c>
      <c r="T22" s="52">
        <v>7</v>
      </c>
      <c r="U22" s="52">
        <v>1</v>
      </c>
      <c r="V22" s="52" t="s">
        <v>106</v>
      </c>
      <c r="W22" s="52" t="s">
        <v>106</v>
      </c>
      <c r="X22" s="52" t="s">
        <v>106</v>
      </c>
      <c r="Y22" s="52" t="s">
        <v>106</v>
      </c>
    </row>
    <row r="23" spans="1:25" ht="15" customHeight="1" x14ac:dyDescent="0.2">
      <c r="A23" s="52" t="s">
        <v>136</v>
      </c>
      <c r="B23" s="52">
        <v>3</v>
      </c>
      <c r="C23" s="52">
        <v>0</v>
      </c>
      <c r="D23" s="52" t="s">
        <v>106</v>
      </c>
      <c r="E23" s="52" t="s">
        <v>106</v>
      </c>
      <c r="F23" s="52" t="s">
        <v>106</v>
      </c>
      <c r="G23" s="52" t="s">
        <v>106</v>
      </c>
      <c r="H23" s="52">
        <v>0</v>
      </c>
      <c r="I23" s="52">
        <v>12</v>
      </c>
      <c r="J23" s="52" t="s">
        <v>106</v>
      </c>
      <c r="K23" s="62" t="s">
        <v>106</v>
      </c>
      <c r="L23" s="52" t="s">
        <v>106</v>
      </c>
      <c r="M23" s="52" t="s">
        <v>106</v>
      </c>
      <c r="N23" s="52">
        <v>0</v>
      </c>
      <c r="O23" s="52">
        <v>3</v>
      </c>
      <c r="P23" s="52" t="s">
        <v>106</v>
      </c>
      <c r="Q23" s="52" t="s">
        <v>106</v>
      </c>
      <c r="R23" s="52" t="s">
        <v>106</v>
      </c>
      <c r="S23" s="52" t="s">
        <v>106</v>
      </c>
      <c r="T23" s="52">
        <v>4</v>
      </c>
      <c r="U23" s="52">
        <v>1</v>
      </c>
      <c r="V23" s="52" t="s">
        <v>106</v>
      </c>
      <c r="W23" s="52" t="s">
        <v>106</v>
      </c>
      <c r="X23" s="52" t="s">
        <v>106</v>
      </c>
      <c r="Y23" s="52" t="s">
        <v>106</v>
      </c>
    </row>
    <row r="24" spans="1:25" ht="15" customHeight="1" x14ac:dyDescent="0.2">
      <c r="A24" s="52" t="s">
        <v>135</v>
      </c>
      <c r="B24" s="52">
        <v>1</v>
      </c>
      <c r="C24" s="52">
        <v>1</v>
      </c>
      <c r="D24" s="52" t="s">
        <v>106</v>
      </c>
      <c r="E24" s="52" t="s">
        <v>106</v>
      </c>
      <c r="F24" s="52" t="s">
        <v>106</v>
      </c>
      <c r="G24" s="52" t="s">
        <v>106</v>
      </c>
      <c r="H24" s="52">
        <v>1</v>
      </c>
      <c r="I24" s="52">
        <v>11</v>
      </c>
      <c r="J24" s="52" t="s">
        <v>106</v>
      </c>
      <c r="K24" s="62" t="s">
        <v>106</v>
      </c>
      <c r="L24" s="52" t="s">
        <v>106</v>
      </c>
      <c r="M24" s="52" t="s">
        <v>106</v>
      </c>
      <c r="N24" s="52">
        <v>0</v>
      </c>
      <c r="O24" s="52">
        <v>2</v>
      </c>
      <c r="P24" s="52" t="s">
        <v>106</v>
      </c>
      <c r="Q24" s="52" t="s">
        <v>106</v>
      </c>
      <c r="R24" s="52" t="s">
        <v>106</v>
      </c>
      <c r="S24" s="52" t="s">
        <v>106</v>
      </c>
      <c r="T24" s="52">
        <v>7</v>
      </c>
      <c r="U24" s="52">
        <v>1</v>
      </c>
      <c r="V24" s="52" t="s">
        <v>106</v>
      </c>
      <c r="W24" s="52" t="s">
        <v>106</v>
      </c>
      <c r="X24" s="52" t="s">
        <v>106</v>
      </c>
      <c r="Y24" s="52" t="s">
        <v>106</v>
      </c>
    </row>
    <row r="25" spans="1:25" ht="15" customHeight="1" x14ac:dyDescent="0.2">
      <c r="A25" s="52" t="s">
        <v>134</v>
      </c>
      <c r="B25" s="52">
        <v>2</v>
      </c>
      <c r="C25" s="52">
        <v>5</v>
      </c>
      <c r="D25" s="52" t="s">
        <v>106</v>
      </c>
      <c r="E25" s="52" t="s">
        <v>106</v>
      </c>
      <c r="F25" s="52" t="s">
        <v>106</v>
      </c>
      <c r="G25" s="52" t="s">
        <v>106</v>
      </c>
      <c r="H25" s="52">
        <v>2</v>
      </c>
      <c r="I25" s="52">
        <v>3</v>
      </c>
      <c r="J25" s="52" t="s">
        <v>106</v>
      </c>
      <c r="K25" s="62" t="s">
        <v>106</v>
      </c>
      <c r="L25" s="52" t="s">
        <v>106</v>
      </c>
      <c r="M25" s="52" t="s">
        <v>106</v>
      </c>
      <c r="N25" s="52">
        <v>2</v>
      </c>
      <c r="O25" s="52">
        <v>0</v>
      </c>
      <c r="P25" s="52" t="s">
        <v>106</v>
      </c>
      <c r="Q25" s="52" t="s">
        <v>106</v>
      </c>
      <c r="R25" s="52" t="s">
        <v>106</v>
      </c>
      <c r="S25" s="52" t="s">
        <v>106</v>
      </c>
      <c r="T25" s="52">
        <v>4</v>
      </c>
      <c r="U25" s="52">
        <v>4</v>
      </c>
      <c r="V25" s="52" t="s">
        <v>106</v>
      </c>
      <c r="W25" s="52" t="s">
        <v>106</v>
      </c>
      <c r="X25" s="52" t="s">
        <v>106</v>
      </c>
      <c r="Y25" s="52" t="s">
        <v>106</v>
      </c>
    </row>
    <row r="26" spans="1:25" ht="15" customHeight="1" x14ac:dyDescent="0.2">
      <c r="A26" s="52" t="s">
        <v>133</v>
      </c>
      <c r="B26" s="52">
        <v>1</v>
      </c>
      <c r="C26" s="52">
        <v>1</v>
      </c>
      <c r="D26" s="52" t="s">
        <v>106</v>
      </c>
      <c r="E26" s="52" t="s">
        <v>106</v>
      </c>
      <c r="F26" s="52" t="s">
        <v>106</v>
      </c>
      <c r="G26" s="52" t="s">
        <v>106</v>
      </c>
      <c r="H26" s="52">
        <v>3</v>
      </c>
      <c r="I26" s="52">
        <v>3</v>
      </c>
      <c r="J26" s="52" t="s">
        <v>106</v>
      </c>
      <c r="K26" s="62" t="s">
        <v>106</v>
      </c>
      <c r="L26" s="52" t="s">
        <v>106</v>
      </c>
      <c r="M26" s="52" t="s">
        <v>106</v>
      </c>
      <c r="N26" s="52">
        <v>1</v>
      </c>
      <c r="O26" s="52">
        <v>4</v>
      </c>
      <c r="P26" s="52" t="s">
        <v>106</v>
      </c>
      <c r="Q26" s="52" t="s">
        <v>106</v>
      </c>
      <c r="R26" s="52" t="s">
        <v>106</v>
      </c>
      <c r="S26" s="52" t="s">
        <v>106</v>
      </c>
      <c r="T26" s="52">
        <v>4</v>
      </c>
      <c r="U26" s="52">
        <v>0</v>
      </c>
      <c r="V26" s="52" t="s">
        <v>106</v>
      </c>
      <c r="W26" s="52" t="s">
        <v>106</v>
      </c>
      <c r="X26" s="52" t="s">
        <v>106</v>
      </c>
      <c r="Y26" s="52" t="s">
        <v>106</v>
      </c>
    </row>
    <row r="27" spans="1:25" ht="15" customHeight="1" x14ac:dyDescent="0.2">
      <c r="A27" s="52" t="s">
        <v>132</v>
      </c>
      <c r="B27" s="52">
        <v>4</v>
      </c>
      <c r="C27" s="52">
        <v>6</v>
      </c>
      <c r="D27" s="52" t="s">
        <v>106</v>
      </c>
      <c r="E27" s="52" t="s">
        <v>106</v>
      </c>
      <c r="F27" s="52" t="s">
        <v>106</v>
      </c>
      <c r="G27" s="52" t="s">
        <v>106</v>
      </c>
      <c r="H27" s="52">
        <v>3</v>
      </c>
      <c r="I27" s="52">
        <v>0</v>
      </c>
      <c r="J27" s="52" t="s">
        <v>106</v>
      </c>
      <c r="K27" s="52" t="s">
        <v>106</v>
      </c>
      <c r="L27" s="52" t="s">
        <v>106</v>
      </c>
      <c r="M27" s="52" t="s">
        <v>106</v>
      </c>
      <c r="N27" s="52">
        <v>6</v>
      </c>
      <c r="O27" s="52">
        <v>1</v>
      </c>
      <c r="P27" s="52" t="s">
        <v>106</v>
      </c>
      <c r="Q27" s="52" t="s">
        <v>106</v>
      </c>
      <c r="R27" s="52" t="s">
        <v>106</v>
      </c>
      <c r="S27" s="52" t="s">
        <v>106</v>
      </c>
      <c r="T27" s="52">
        <v>5</v>
      </c>
      <c r="U27" s="52">
        <v>5</v>
      </c>
      <c r="V27" s="52" t="s">
        <v>106</v>
      </c>
      <c r="W27" s="52" t="s">
        <v>106</v>
      </c>
      <c r="X27" s="52" t="s">
        <v>106</v>
      </c>
      <c r="Y27" s="52" t="s">
        <v>106</v>
      </c>
    </row>
    <row r="28" spans="1:25" ht="15" customHeight="1" x14ac:dyDescent="0.2">
      <c r="A28" s="52" t="s">
        <v>131</v>
      </c>
      <c r="B28" s="52">
        <v>2</v>
      </c>
      <c r="C28" s="52">
        <v>2</v>
      </c>
      <c r="D28" s="52" t="s">
        <v>106</v>
      </c>
      <c r="E28" s="52" t="s">
        <v>106</v>
      </c>
      <c r="F28" s="52" t="s">
        <v>106</v>
      </c>
      <c r="G28" s="52" t="s">
        <v>106</v>
      </c>
      <c r="H28" s="52">
        <v>0</v>
      </c>
      <c r="I28" s="52">
        <v>2</v>
      </c>
      <c r="J28" s="52" t="s">
        <v>106</v>
      </c>
      <c r="K28" s="52" t="s">
        <v>106</v>
      </c>
      <c r="L28" s="52" t="s">
        <v>106</v>
      </c>
      <c r="M28" s="52" t="s">
        <v>106</v>
      </c>
      <c r="N28" s="52">
        <v>0</v>
      </c>
      <c r="O28" s="52">
        <v>0</v>
      </c>
      <c r="P28" s="52" t="s">
        <v>106</v>
      </c>
      <c r="Q28" s="52" t="s">
        <v>106</v>
      </c>
      <c r="R28" s="52" t="s">
        <v>106</v>
      </c>
      <c r="S28" s="52" t="s">
        <v>106</v>
      </c>
      <c r="T28" s="52">
        <v>7</v>
      </c>
      <c r="U28" s="52">
        <v>6</v>
      </c>
      <c r="V28" s="52" t="s">
        <v>106</v>
      </c>
      <c r="W28" s="52" t="s">
        <v>106</v>
      </c>
      <c r="X28" s="52" t="s">
        <v>106</v>
      </c>
      <c r="Y28" s="52" t="s">
        <v>106</v>
      </c>
    </row>
    <row r="29" spans="1:25" ht="15" customHeight="1" x14ac:dyDescent="0.2">
      <c r="A29" s="52" t="s">
        <v>130</v>
      </c>
      <c r="B29" s="52">
        <v>0</v>
      </c>
      <c r="C29" s="52">
        <v>3</v>
      </c>
      <c r="D29" s="52" t="s">
        <v>106</v>
      </c>
      <c r="E29" s="52" t="s">
        <v>106</v>
      </c>
      <c r="F29" s="52" t="s">
        <v>106</v>
      </c>
      <c r="G29" s="52" t="s">
        <v>106</v>
      </c>
      <c r="H29" s="52">
        <v>2</v>
      </c>
      <c r="I29" s="52">
        <v>3</v>
      </c>
      <c r="J29" s="52" t="s">
        <v>106</v>
      </c>
      <c r="K29" s="52" t="s">
        <v>106</v>
      </c>
      <c r="L29" s="52" t="s">
        <v>106</v>
      </c>
      <c r="M29" s="52" t="s">
        <v>106</v>
      </c>
      <c r="N29" s="52">
        <v>0</v>
      </c>
      <c r="O29" s="52">
        <v>1</v>
      </c>
      <c r="P29" s="52" t="s">
        <v>106</v>
      </c>
      <c r="Q29" s="52" t="s">
        <v>106</v>
      </c>
      <c r="R29" s="52" t="s">
        <v>106</v>
      </c>
      <c r="S29" s="52" t="s">
        <v>106</v>
      </c>
      <c r="T29" s="52">
        <v>0</v>
      </c>
      <c r="U29" s="52">
        <v>2</v>
      </c>
      <c r="V29" s="52" t="s">
        <v>106</v>
      </c>
      <c r="W29" s="52" t="s">
        <v>106</v>
      </c>
      <c r="X29" s="52" t="s">
        <v>106</v>
      </c>
      <c r="Y29" s="52" t="s">
        <v>106</v>
      </c>
    </row>
    <row r="30" spans="1:25" ht="15" customHeight="1" x14ac:dyDescent="0.2">
      <c r="A30" s="52" t="s">
        <v>129</v>
      </c>
      <c r="B30" s="52">
        <v>2</v>
      </c>
      <c r="C30" s="52">
        <v>1</v>
      </c>
      <c r="D30" s="52" t="s">
        <v>106</v>
      </c>
      <c r="E30" s="52" t="s">
        <v>106</v>
      </c>
      <c r="F30" s="52" t="s">
        <v>106</v>
      </c>
      <c r="G30" s="52" t="s">
        <v>106</v>
      </c>
      <c r="H30" s="52">
        <v>1</v>
      </c>
      <c r="I30" s="52">
        <v>1</v>
      </c>
      <c r="J30" s="52" t="s">
        <v>106</v>
      </c>
      <c r="K30" s="52" t="s">
        <v>106</v>
      </c>
      <c r="L30" s="52" t="s">
        <v>106</v>
      </c>
      <c r="M30" s="52" t="s">
        <v>106</v>
      </c>
      <c r="N30" s="52">
        <v>2</v>
      </c>
      <c r="O30" s="52">
        <v>2</v>
      </c>
      <c r="P30" s="52" t="s">
        <v>106</v>
      </c>
      <c r="Q30" s="52" t="s">
        <v>106</v>
      </c>
      <c r="R30" s="52" t="s">
        <v>106</v>
      </c>
      <c r="S30" s="52" t="s">
        <v>106</v>
      </c>
      <c r="T30" s="52">
        <v>5</v>
      </c>
      <c r="U30" s="52">
        <v>5</v>
      </c>
      <c r="V30" s="52" t="s">
        <v>106</v>
      </c>
      <c r="W30" s="52" t="s">
        <v>106</v>
      </c>
      <c r="X30" s="52" t="s">
        <v>106</v>
      </c>
      <c r="Y30" s="52" t="s">
        <v>106</v>
      </c>
    </row>
    <row r="31" spans="1:25" ht="15" customHeight="1" x14ac:dyDescent="0.2">
      <c r="A31" s="52" t="s">
        <v>128</v>
      </c>
      <c r="B31" s="52">
        <v>1</v>
      </c>
      <c r="C31" s="52">
        <v>3</v>
      </c>
      <c r="D31" s="52" t="s">
        <v>106</v>
      </c>
      <c r="E31" s="52" t="s">
        <v>106</v>
      </c>
      <c r="F31" s="52" t="s">
        <v>106</v>
      </c>
      <c r="G31" s="52" t="s">
        <v>106</v>
      </c>
      <c r="H31" s="52">
        <v>1</v>
      </c>
      <c r="I31" s="52">
        <v>4</v>
      </c>
      <c r="J31" s="52" t="s">
        <v>106</v>
      </c>
      <c r="K31" s="52" t="s">
        <v>106</v>
      </c>
      <c r="L31" s="52" t="s">
        <v>106</v>
      </c>
      <c r="M31" s="52" t="s">
        <v>106</v>
      </c>
      <c r="N31" s="52">
        <v>1</v>
      </c>
      <c r="O31" s="52">
        <v>2</v>
      </c>
      <c r="P31" s="52" t="s">
        <v>106</v>
      </c>
      <c r="Q31" s="52" t="s">
        <v>106</v>
      </c>
      <c r="R31" s="52" t="s">
        <v>106</v>
      </c>
      <c r="S31" s="52" t="s">
        <v>106</v>
      </c>
      <c r="T31" s="52">
        <v>2</v>
      </c>
      <c r="U31" s="52">
        <v>5</v>
      </c>
      <c r="V31" s="52" t="s">
        <v>106</v>
      </c>
      <c r="W31" s="52" t="s">
        <v>106</v>
      </c>
      <c r="X31" s="52" t="s">
        <v>106</v>
      </c>
      <c r="Y31" s="52" t="s">
        <v>106</v>
      </c>
    </row>
    <row r="32" spans="1:25" ht="15" customHeight="1" x14ac:dyDescent="0.2">
      <c r="A32" s="52" t="s">
        <v>127</v>
      </c>
      <c r="B32" s="52">
        <v>5</v>
      </c>
      <c r="C32" s="52">
        <v>1</v>
      </c>
      <c r="D32" s="52" t="s">
        <v>106</v>
      </c>
      <c r="E32" s="52" t="s">
        <v>106</v>
      </c>
      <c r="F32" s="52" t="s">
        <v>106</v>
      </c>
      <c r="G32" s="52" t="s">
        <v>106</v>
      </c>
      <c r="H32" s="52">
        <v>1</v>
      </c>
      <c r="I32" s="52">
        <v>10</v>
      </c>
      <c r="J32" s="52" t="s">
        <v>106</v>
      </c>
      <c r="K32" s="52" t="s">
        <v>106</v>
      </c>
      <c r="L32" s="52" t="s">
        <v>106</v>
      </c>
      <c r="M32" s="52" t="s">
        <v>106</v>
      </c>
      <c r="N32" s="52">
        <v>0</v>
      </c>
      <c r="O32" s="52">
        <v>1</v>
      </c>
      <c r="P32" s="52" t="s">
        <v>106</v>
      </c>
      <c r="Q32" s="52" t="s">
        <v>106</v>
      </c>
      <c r="R32" s="52" t="s">
        <v>106</v>
      </c>
      <c r="S32" s="52" t="s">
        <v>106</v>
      </c>
      <c r="T32" s="52">
        <v>6</v>
      </c>
      <c r="U32" s="52">
        <v>2</v>
      </c>
      <c r="V32" s="52" t="s">
        <v>106</v>
      </c>
      <c r="W32" s="52" t="s">
        <v>106</v>
      </c>
      <c r="X32" s="52" t="s">
        <v>106</v>
      </c>
      <c r="Y32" s="52" t="s">
        <v>106</v>
      </c>
    </row>
    <row r="33" spans="1:25" ht="15" customHeight="1" x14ac:dyDescent="0.2">
      <c r="A33" s="52" t="s">
        <v>126</v>
      </c>
      <c r="B33" s="52">
        <v>1</v>
      </c>
      <c r="C33" s="52">
        <v>4</v>
      </c>
      <c r="D33" s="52" t="s">
        <v>106</v>
      </c>
      <c r="E33" s="52" t="s">
        <v>106</v>
      </c>
      <c r="F33" s="52" t="s">
        <v>106</v>
      </c>
      <c r="G33" s="52" t="s">
        <v>106</v>
      </c>
      <c r="H33" s="52">
        <v>7</v>
      </c>
      <c r="I33" s="52">
        <v>4</v>
      </c>
      <c r="J33" s="52" t="s">
        <v>106</v>
      </c>
      <c r="K33" s="52" t="s">
        <v>106</v>
      </c>
      <c r="L33" s="52" t="s">
        <v>106</v>
      </c>
      <c r="M33" s="52" t="s">
        <v>106</v>
      </c>
      <c r="N33" s="52">
        <v>3</v>
      </c>
      <c r="O33" s="52">
        <v>3</v>
      </c>
      <c r="P33" s="52" t="s">
        <v>106</v>
      </c>
      <c r="Q33" s="52" t="s">
        <v>106</v>
      </c>
      <c r="R33" s="52" t="s">
        <v>106</v>
      </c>
      <c r="S33" s="52" t="s">
        <v>106</v>
      </c>
      <c r="T33" s="52">
        <v>3</v>
      </c>
      <c r="U33" s="52">
        <v>5</v>
      </c>
      <c r="V33" s="52" t="s">
        <v>106</v>
      </c>
      <c r="W33" s="52" t="s">
        <v>106</v>
      </c>
      <c r="X33" s="52" t="s">
        <v>106</v>
      </c>
      <c r="Y33" s="52" t="s">
        <v>106</v>
      </c>
    </row>
    <row r="34" spans="1:25" ht="15" customHeight="1" x14ac:dyDescent="0.2">
      <c r="A34" s="52" t="s">
        <v>125</v>
      </c>
      <c r="B34" s="52">
        <v>3</v>
      </c>
      <c r="C34" s="52">
        <v>3</v>
      </c>
      <c r="D34" s="52" t="s">
        <v>106</v>
      </c>
      <c r="E34" s="52" t="s">
        <v>106</v>
      </c>
      <c r="F34" s="52" t="s">
        <v>106</v>
      </c>
      <c r="G34" s="52" t="s">
        <v>106</v>
      </c>
      <c r="H34" s="52">
        <v>2</v>
      </c>
      <c r="I34" s="52">
        <v>7</v>
      </c>
      <c r="J34" s="52" t="s">
        <v>106</v>
      </c>
      <c r="K34" s="52" t="s">
        <v>106</v>
      </c>
      <c r="L34" s="52" t="s">
        <v>106</v>
      </c>
      <c r="M34" s="52" t="s">
        <v>106</v>
      </c>
      <c r="N34" s="52">
        <v>1</v>
      </c>
      <c r="O34" s="52">
        <v>2</v>
      </c>
      <c r="P34" s="52" t="s">
        <v>106</v>
      </c>
      <c r="Q34" s="52" t="s">
        <v>106</v>
      </c>
      <c r="R34" s="52" t="s">
        <v>106</v>
      </c>
      <c r="S34" s="52" t="s">
        <v>106</v>
      </c>
      <c r="T34" s="52">
        <v>6</v>
      </c>
      <c r="U34" s="52">
        <v>5</v>
      </c>
      <c r="V34" s="52" t="s">
        <v>106</v>
      </c>
      <c r="W34" s="52" t="s">
        <v>106</v>
      </c>
      <c r="X34" s="52" t="s">
        <v>106</v>
      </c>
      <c r="Y34" s="52" t="s">
        <v>106</v>
      </c>
    </row>
    <row r="35" spans="1:25" ht="15" customHeight="1" x14ac:dyDescent="0.2">
      <c r="A35" s="52" t="s">
        <v>124</v>
      </c>
      <c r="B35" s="52">
        <v>1</v>
      </c>
      <c r="C35" s="52">
        <v>1</v>
      </c>
      <c r="D35" s="52" t="s">
        <v>106</v>
      </c>
      <c r="E35" s="52" t="s">
        <v>106</v>
      </c>
      <c r="F35" s="52" t="s">
        <v>106</v>
      </c>
      <c r="G35" s="52" t="s">
        <v>106</v>
      </c>
      <c r="H35" s="52">
        <v>5</v>
      </c>
      <c r="I35" s="52">
        <v>1</v>
      </c>
      <c r="J35" s="52" t="s">
        <v>106</v>
      </c>
      <c r="K35" s="52" t="s">
        <v>106</v>
      </c>
      <c r="L35" s="52" t="s">
        <v>106</v>
      </c>
      <c r="M35" s="52" t="s">
        <v>106</v>
      </c>
      <c r="N35" s="52">
        <v>2</v>
      </c>
      <c r="O35" s="52">
        <v>2</v>
      </c>
      <c r="P35" s="52" t="s">
        <v>106</v>
      </c>
      <c r="Q35" s="52" t="s">
        <v>106</v>
      </c>
      <c r="R35" s="52" t="s">
        <v>106</v>
      </c>
      <c r="S35" s="52" t="s">
        <v>106</v>
      </c>
      <c r="T35" s="52">
        <v>7</v>
      </c>
      <c r="U35" s="52">
        <v>6</v>
      </c>
      <c r="V35" s="52" t="s">
        <v>106</v>
      </c>
      <c r="W35" s="52" t="s">
        <v>106</v>
      </c>
      <c r="X35" s="52" t="s">
        <v>106</v>
      </c>
      <c r="Y35" s="52" t="s">
        <v>106</v>
      </c>
    </row>
    <row r="36" spans="1:25" ht="15" customHeight="1" x14ac:dyDescent="0.2">
      <c r="A36" s="52" t="s">
        <v>123</v>
      </c>
      <c r="B36" s="52">
        <v>1</v>
      </c>
      <c r="C36" s="52">
        <v>4</v>
      </c>
      <c r="D36" s="52" t="s">
        <v>106</v>
      </c>
      <c r="E36" s="52" t="s">
        <v>106</v>
      </c>
      <c r="F36" s="52" t="s">
        <v>106</v>
      </c>
      <c r="G36" s="52" t="s">
        <v>106</v>
      </c>
      <c r="H36" s="52">
        <v>2</v>
      </c>
      <c r="I36" s="52">
        <v>4</v>
      </c>
      <c r="J36" s="52" t="s">
        <v>106</v>
      </c>
      <c r="K36" s="52" t="s">
        <v>106</v>
      </c>
      <c r="L36" s="52" t="s">
        <v>106</v>
      </c>
      <c r="M36" s="52" t="s">
        <v>106</v>
      </c>
      <c r="N36" s="52">
        <v>2</v>
      </c>
      <c r="O36" s="52">
        <v>1</v>
      </c>
      <c r="P36" s="52" t="s">
        <v>106</v>
      </c>
      <c r="Q36" s="52" t="s">
        <v>106</v>
      </c>
      <c r="R36" s="52" t="s">
        <v>106</v>
      </c>
      <c r="S36" s="52" t="s">
        <v>106</v>
      </c>
      <c r="T36" s="52">
        <v>3</v>
      </c>
      <c r="U36" s="52">
        <v>6</v>
      </c>
      <c r="V36" s="52" t="s">
        <v>106</v>
      </c>
      <c r="W36" s="52" t="s">
        <v>106</v>
      </c>
      <c r="X36" s="52" t="s">
        <v>106</v>
      </c>
      <c r="Y36" s="52" t="s">
        <v>106</v>
      </c>
    </row>
    <row r="37" spans="1:25" ht="15" customHeight="1" x14ac:dyDescent="0.2">
      <c r="A37" s="52" t="s">
        <v>122</v>
      </c>
      <c r="B37" s="52">
        <v>1</v>
      </c>
      <c r="C37" s="52">
        <v>0</v>
      </c>
      <c r="D37" s="52" t="s">
        <v>106</v>
      </c>
      <c r="E37" s="52" t="s">
        <v>106</v>
      </c>
      <c r="F37" s="52" t="s">
        <v>106</v>
      </c>
      <c r="G37" s="52" t="s">
        <v>106</v>
      </c>
      <c r="H37" s="52">
        <v>4</v>
      </c>
      <c r="I37" s="52">
        <v>0</v>
      </c>
      <c r="J37" s="52" t="s">
        <v>106</v>
      </c>
      <c r="K37" s="52" t="s">
        <v>106</v>
      </c>
      <c r="L37" s="52" t="s">
        <v>106</v>
      </c>
      <c r="M37" s="52" t="s">
        <v>106</v>
      </c>
      <c r="N37" s="52">
        <v>0</v>
      </c>
      <c r="O37" s="52">
        <v>1</v>
      </c>
      <c r="P37" s="52" t="s">
        <v>106</v>
      </c>
      <c r="Q37" s="52" t="s">
        <v>106</v>
      </c>
      <c r="R37" s="52" t="s">
        <v>106</v>
      </c>
      <c r="S37" s="52" t="s">
        <v>106</v>
      </c>
      <c r="T37" s="52">
        <v>6</v>
      </c>
      <c r="U37" s="52">
        <v>7</v>
      </c>
      <c r="V37" s="52" t="s">
        <v>106</v>
      </c>
      <c r="W37" s="52" t="s">
        <v>106</v>
      </c>
      <c r="X37" s="52" t="s">
        <v>106</v>
      </c>
      <c r="Y37" s="52" t="s">
        <v>106</v>
      </c>
    </row>
    <row r="38" spans="1:25" ht="15" customHeight="1" x14ac:dyDescent="0.2">
      <c r="A38" s="52" t="s">
        <v>121</v>
      </c>
      <c r="B38" s="52">
        <v>2</v>
      </c>
      <c r="C38" s="52">
        <v>5</v>
      </c>
      <c r="D38" s="52" t="s">
        <v>106</v>
      </c>
      <c r="E38" s="52" t="s">
        <v>106</v>
      </c>
      <c r="F38" s="52" t="s">
        <v>106</v>
      </c>
      <c r="G38" s="52" t="s">
        <v>106</v>
      </c>
      <c r="H38" s="52">
        <v>4</v>
      </c>
      <c r="I38" s="52">
        <v>3</v>
      </c>
      <c r="J38" s="52" t="s">
        <v>106</v>
      </c>
      <c r="K38" s="52" t="s">
        <v>106</v>
      </c>
      <c r="L38" s="52" t="s">
        <v>106</v>
      </c>
      <c r="M38" s="52" t="s">
        <v>106</v>
      </c>
      <c r="N38" s="52">
        <v>1</v>
      </c>
      <c r="O38" s="52">
        <v>0</v>
      </c>
      <c r="P38" s="52" t="s">
        <v>106</v>
      </c>
      <c r="Q38" s="52" t="s">
        <v>106</v>
      </c>
      <c r="R38" s="52" t="s">
        <v>106</v>
      </c>
      <c r="S38" s="52" t="s">
        <v>106</v>
      </c>
      <c r="T38" s="52">
        <v>8</v>
      </c>
      <c r="U38" s="52">
        <v>3</v>
      </c>
      <c r="V38" s="52" t="s">
        <v>106</v>
      </c>
      <c r="W38" s="52" t="s">
        <v>106</v>
      </c>
      <c r="X38" s="52" t="s">
        <v>106</v>
      </c>
      <c r="Y38" s="52" t="s">
        <v>106</v>
      </c>
    </row>
    <row r="39" spans="1:25" ht="15" customHeight="1" x14ac:dyDescent="0.2">
      <c r="A39" s="52" t="s">
        <v>120</v>
      </c>
      <c r="B39" s="52">
        <v>6</v>
      </c>
      <c r="C39" s="52">
        <v>1</v>
      </c>
      <c r="D39" s="52" t="s">
        <v>106</v>
      </c>
      <c r="E39" s="52" t="s">
        <v>106</v>
      </c>
      <c r="F39" s="52" t="s">
        <v>106</v>
      </c>
      <c r="G39" s="52" t="s">
        <v>106</v>
      </c>
      <c r="H39" s="52">
        <v>8</v>
      </c>
      <c r="I39" s="52">
        <v>3</v>
      </c>
      <c r="J39" s="52" t="s">
        <v>106</v>
      </c>
      <c r="K39" s="52" t="s">
        <v>106</v>
      </c>
      <c r="L39" s="52" t="s">
        <v>106</v>
      </c>
      <c r="M39" s="52" t="s">
        <v>106</v>
      </c>
      <c r="N39" s="52">
        <v>2</v>
      </c>
      <c r="O39" s="52">
        <v>2</v>
      </c>
      <c r="P39" s="52" t="s">
        <v>106</v>
      </c>
      <c r="Q39" s="52" t="s">
        <v>106</v>
      </c>
      <c r="R39" s="52" t="s">
        <v>106</v>
      </c>
      <c r="S39" s="52" t="s">
        <v>106</v>
      </c>
      <c r="T39" s="52">
        <v>1</v>
      </c>
      <c r="U39" s="52">
        <v>4</v>
      </c>
      <c r="V39" s="52" t="s">
        <v>106</v>
      </c>
      <c r="W39" s="52" t="s">
        <v>106</v>
      </c>
      <c r="X39" s="52" t="s">
        <v>106</v>
      </c>
      <c r="Y39" s="52" t="s">
        <v>106</v>
      </c>
    </row>
    <row r="40" spans="1:25" ht="15" customHeight="1" x14ac:dyDescent="0.2">
      <c r="A40" s="52" t="s">
        <v>119</v>
      </c>
      <c r="B40" s="52">
        <v>0</v>
      </c>
      <c r="C40" s="52">
        <v>5</v>
      </c>
      <c r="D40" s="52" t="s">
        <v>106</v>
      </c>
      <c r="E40" s="52" t="s">
        <v>106</v>
      </c>
      <c r="F40" s="52" t="s">
        <v>106</v>
      </c>
      <c r="G40" s="52" t="s">
        <v>106</v>
      </c>
      <c r="H40" s="52">
        <v>9</v>
      </c>
      <c r="I40" s="52">
        <v>1</v>
      </c>
      <c r="J40" s="52" t="s">
        <v>106</v>
      </c>
      <c r="K40" s="52" t="s">
        <v>106</v>
      </c>
      <c r="L40" s="52" t="s">
        <v>106</v>
      </c>
      <c r="M40" s="52" t="s">
        <v>106</v>
      </c>
      <c r="N40" s="52">
        <v>0</v>
      </c>
      <c r="O40" s="52">
        <v>1</v>
      </c>
      <c r="P40" s="52" t="s">
        <v>106</v>
      </c>
      <c r="Q40" s="52" t="s">
        <v>106</v>
      </c>
      <c r="R40" s="52" t="s">
        <v>106</v>
      </c>
      <c r="S40" s="52" t="s">
        <v>106</v>
      </c>
      <c r="T40" s="52">
        <v>6</v>
      </c>
      <c r="U40" s="52">
        <v>10</v>
      </c>
      <c r="V40" s="52" t="s">
        <v>106</v>
      </c>
      <c r="W40" s="52" t="s">
        <v>106</v>
      </c>
      <c r="X40" s="52" t="s">
        <v>106</v>
      </c>
      <c r="Y40" s="52" t="s">
        <v>106</v>
      </c>
    </row>
    <row r="41" spans="1:25" ht="15" customHeight="1" x14ac:dyDescent="0.2">
      <c r="A41" s="52" t="s">
        <v>118</v>
      </c>
      <c r="B41" s="52">
        <v>5</v>
      </c>
      <c r="C41" s="52">
        <v>7</v>
      </c>
      <c r="D41" s="52" t="s">
        <v>106</v>
      </c>
      <c r="E41" s="52" t="s">
        <v>106</v>
      </c>
      <c r="F41" s="52" t="s">
        <v>106</v>
      </c>
      <c r="G41" s="52" t="s">
        <v>106</v>
      </c>
      <c r="H41" s="52">
        <v>13</v>
      </c>
      <c r="I41" s="52">
        <v>3</v>
      </c>
      <c r="J41" s="52" t="s">
        <v>106</v>
      </c>
      <c r="K41" s="52" t="s">
        <v>106</v>
      </c>
      <c r="L41" s="52" t="s">
        <v>106</v>
      </c>
      <c r="M41" s="52" t="s">
        <v>106</v>
      </c>
      <c r="N41" s="52">
        <v>0</v>
      </c>
      <c r="O41" s="52">
        <v>2</v>
      </c>
      <c r="P41" s="52" t="s">
        <v>106</v>
      </c>
      <c r="Q41" s="52" t="s">
        <v>106</v>
      </c>
      <c r="R41" s="52" t="s">
        <v>106</v>
      </c>
      <c r="S41" s="52" t="s">
        <v>106</v>
      </c>
      <c r="T41" s="52">
        <v>3</v>
      </c>
      <c r="U41" s="52">
        <v>5</v>
      </c>
      <c r="V41" s="52" t="s">
        <v>106</v>
      </c>
      <c r="W41" s="52" t="s">
        <v>106</v>
      </c>
      <c r="X41" s="52" t="s">
        <v>106</v>
      </c>
      <c r="Y41" s="52" t="s">
        <v>106</v>
      </c>
    </row>
    <row r="42" spans="1:25" ht="15" customHeight="1" x14ac:dyDescent="0.2">
      <c r="A42" s="52" t="s">
        <v>117</v>
      </c>
      <c r="B42" s="52">
        <v>1</v>
      </c>
      <c r="C42" s="52">
        <v>3</v>
      </c>
      <c r="D42" s="52" t="s">
        <v>106</v>
      </c>
      <c r="E42" s="52" t="s">
        <v>106</v>
      </c>
      <c r="F42" s="52" t="s">
        <v>106</v>
      </c>
      <c r="G42" s="52" t="s">
        <v>106</v>
      </c>
      <c r="H42" s="52">
        <v>9</v>
      </c>
      <c r="I42" s="52">
        <v>2</v>
      </c>
      <c r="J42" s="52" t="s">
        <v>106</v>
      </c>
      <c r="K42" s="52" t="s">
        <v>106</v>
      </c>
      <c r="L42" s="52" t="s">
        <v>106</v>
      </c>
      <c r="M42" s="52" t="s">
        <v>106</v>
      </c>
      <c r="N42" s="52">
        <v>0</v>
      </c>
      <c r="O42" s="52">
        <v>0</v>
      </c>
      <c r="P42" s="52" t="s">
        <v>106</v>
      </c>
      <c r="Q42" s="52" t="s">
        <v>106</v>
      </c>
      <c r="R42" s="52" t="s">
        <v>106</v>
      </c>
      <c r="S42" s="52" t="s">
        <v>106</v>
      </c>
      <c r="T42" s="52">
        <v>2</v>
      </c>
      <c r="U42" s="52">
        <v>8</v>
      </c>
      <c r="V42" s="52" t="s">
        <v>106</v>
      </c>
      <c r="W42" s="52" t="s">
        <v>106</v>
      </c>
      <c r="X42" s="52" t="s">
        <v>106</v>
      </c>
      <c r="Y42" s="52" t="s">
        <v>106</v>
      </c>
    </row>
    <row r="43" spans="1:25" ht="15" customHeight="1" x14ac:dyDescent="0.2">
      <c r="A43" s="52" t="s">
        <v>116</v>
      </c>
      <c r="B43" s="52">
        <v>3</v>
      </c>
      <c r="C43" s="52">
        <v>3</v>
      </c>
      <c r="D43" s="52" t="s">
        <v>106</v>
      </c>
      <c r="E43" s="52" t="s">
        <v>106</v>
      </c>
      <c r="F43" s="52" t="s">
        <v>106</v>
      </c>
      <c r="G43" s="52" t="s">
        <v>106</v>
      </c>
      <c r="H43" s="52">
        <v>12</v>
      </c>
      <c r="I43" s="52">
        <v>2</v>
      </c>
      <c r="J43" s="52" t="s">
        <v>106</v>
      </c>
      <c r="K43" s="52" t="s">
        <v>106</v>
      </c>
      <c r="L43" s="52" t="s">
        <v>106</v>
      </c>
      <c r="M43" s="52" t="s">
        <v>106</v>
      </c>
      <c r="N43" s="52">
        <v>0</v>
      </c>
      <c r="O43" s="52">
        <v>0</v>
      </c>
      <c r="P43" s="52" t="s">
        <v>106</v>
      </c>
      <c r="Q43" s="52" t="s">
        <v>106</v>
      </c>
      <c r="R43" s="52" t="s">
        <v>106</v>
      </c>
      <c r="S43" s="52" t="s">
        <v>106</v>
      </c>
      <c r="T43" s="52">
        <v>5</v>
      </c>
      <c r="U43" s="52">
        <v>7</v>
      </c>
      <c r="V43" s="52" t="s">
        <v>106</v>
      </c>
      <c r="W43" s="52" t="s">
        <v>106</v>
      </c>
      <c r="X43" s="52" t="s">
        <v>106</v>
      </c>
      <c r="Y43" s="52" t="s">
        <v>106</v>
      </c>
    </row>
    <row r="44" spans="1:25" ht="15" customHeight="1" x14ac:dyDescent="0.2">
      <c r="A44" s="52" t="s">
        <v>115</v>
      </c>
      <c r="B44" s="52">
        <v>1</v>
      </c>
      <c r="C44" s="52">
        <v>7</v>
      </c>
      <c r="D44" s="52" t="s">
        <v>106</v>
      </c>
      <c r="E44" s="52" t="s">
        <v>106</v>
      </c>
      <c r="F44" s="52" t="s">
        <v>106</v>
      </c>
      <c r="G44" s="52" t="s">
        <v>106</v>
      </c>
      <c r="H44" s="52">
        <v>5</v>
      </c>
      <c r="I44" s="52">
        <v>0</v>
      </c>
      <c r="J44" s="52" t="s">
        <v>106</v>
      </c>
      <c r="K44" s="52" t="s">
        <v>106</v>
      </c>
      <c r="L44" s="52" t="s">
        <v>106</v>
      </c>
      <c r="M44" s="52" t="s">
        <v>106</v>
      </c>
      <c r="N44" s="52">
        <v>1</v>
      </c>
      <c r="O44" s="52">
        <v>1</v>
      </c>
      <c r="P44" s="52" t="s">
        <v>106</v>
      </c>
      <c r="Q44" s="52" t="s">
        <v>106</v>
      </c>
      <c r="R44" s="52" t="s">
        <v>106</v>
      </c>
      <c r="S44" s="52" t="s">
        <v>106</v>
      </c>
      <c r="T44" s="52">
        <v>4</v>
      </c>
      <c r="U44" s="52">
        <v>4</v>
      </c>
      <c r="V44" s="52" t="s">
        <v>106</v>
      </c>
      <c r="W44" s="52" t="s">
        <v>106</v>
      </c>
      <c r="X44" s="52" t="s">
        <v>106</v>
      </c>
      <c r="Y44" s="52" t="s">
        <v>106</v>
      </c>
    </row>
    <row r="45" spans="1:25" ht="15" customHeight="1" x14ac:dyDescent="0.2">
      <c r="A45" s="52" t="s">
        <v>114</v>
      </c>
      <c r="B45" s="52">
        <v>6</v>
      </c>
      <c r="C45" s="52">
        <v>1</v>
      </c>
      <c r="D45" s="52" t="s">
        <v>106</v>
      </c>
      <c r="E45" s="52" t="s">
        <v>106</v>
      </c>
      <c r="F45" s="52" t="s">
        <v>106</v>
      </c>
      <c r="G45" s="52" t="s">
        <v>106</v>
      </c>
      <c r="H45" s="52">
        <v>10</v>
      </c>
      <c r="I45" s="52">
        <v>7</v>
      </c>
      <c r="J45" s="52" t="s">
        <v>106</v>
      </c>
      <c r="K45" s="52" t="s">
        <v>106</v>
      </c>
      <c r="L45" s="52" t="s">
        <v>106</v>
      </c>
      <c r="M45" s="52" t="s">
        <v>106</v>
      </c>
      <c r="N45" s="52">
        <v>2</v>
      </c>
      <c r="O45" s="52">
        <v>0</v>
      </c>
      <c r="P45" s="52" t="s">
        <v>106</v>
      </c>
      <c r="Q45" s="52" t="s">
        <v>106</v>
      </c>
      <c r="R45" s="52" t="s">
        <v>106</v>
      </c>
      <c r="S45" s="52" t="s">
        <v>106</v>
      </c>
      <c r="T45" s="52">
        <v>6</v>
      </c>
      <c r="U45" s="52">
        <v>11</v>
      </c>
      <c r="V45" s="52" t="s">
        <v>106</v>
      </c>
      <c r="W45" s="52" t="s">
        <v>106</v>
      </c>
      <c r="X45" s="52" t="s">
        <v>106</v>
      </c>
      <c r="Y45" s="52" t="s">
        <v>106</v>
      </c>
    </row>
    <row r="46" spans="1:25" ht="15" customHeight="1" x14ac:dyDescent="0.2">
      <c r="A46" s="52" t="s">
        <v>113</v>
      </c>
      <c r="B46" s="52">
        <v>1</v>
      </c>
      <c r="C46" s="52">
        <v>2</v>
      </c>
      <c r="D46" s="52" t="s">
        <v>106</v>
      </c>
      <c r="E46" s="52" t="s">
        <v>106</v>
      </c>
      <c r="F46" s="52" t="s">
        <v>106</v>
      </c>
      <c r="G46" s="52" t="s">
        <v>106</v>
      </c>
      <c r="H46" s="52">
        <v>7</v>
      </c>
      <c r="I46" s="52">
        <v>0</v>
      </c>
      <c r="J46" s="52" t="s">
        <v>106</v>
      </c>
      <c r="K46" s="52" t="s">
        <v>106</v>
      </c>
      <c r="L46" s="52" t="s">
        <v>106</v>
      </c>
      <c r="M46" s="52" t="s">
        <v>106</v>
      </c>
      <c r="N46" s="52">
        <v>2</v>
      </c>
      <c r="O46" s="52">
        <v>2</v>
      </c>
      <c r="P46" s="52" t="s">
        <v>106</v>
      </c>
      <c r="Q46" s="52" t="s">
        <v>106</v>
      </c>
      <c r="R46" s="52" t="s">
        <v>106</v>
      </c>
      <c r="S46" s="52" t="s">
        <v>106</v>
      </c>
      <c r="T46" s="52">
        <v>4</v>
      </c>
      <c r="U46" s="52">
        <v>4</v>
      </c>
      <c r="V46" s="52" t="s">
        <v>106</v>
      </c>
      <c r="W46" s="52" t="s">
        <v>106</v>
      </c>
      <c r="X46" s="52" t="s">
        <v>106</v>
      </c>
      <c r="Y46" s="52" t="s">
        <v>106</v>
      </c>
    </row>
    <row r="47" spans="1:25" ht="15" customHeight="1" x14ac:dyDescent="0.2">
      <c r="A47" s="52" t="s">
        <v>112</v>
      </c>
      <c r="B47" s="52">
        <v>6</v>
      </c>
      <c r="C47" s="52">
        <v>1</v>
      </c>
      <c r="D47" s="52" t="s">
        <v>106</v>
      </c>
      <c r="E47" s="52" t="s">
        <v>106</v>
      </c>
      <c r="F47" s="52" t="s">
        <v>106</v>
      </c>
      <c r="G47" s="52" t="s">
        <v>106</v>
      </c>
      <c r="H47" s="52">
        <v>14</v>
      </c>
      <c r="I47" s="52">
        <v>1</v>
      </c>
      <c r="J47" s="52" t="s">
        <v>106</v>
      </c>
      <c r="K47" s="52" t="s">
        <v>106</v>
      </c>
      <c r="L47" s="52" t="s">
        <v>106</v>
      </c>
      <c r="M47" s="52" t="s">
        <v>106</v>
      </c>
      <c r="N47" s="52">
        <v>2</v>
      </c>
      <c r="O47" s="52">
        <v>5</v>
      </c>
      <c r="P47" s="52" t="s">
        <v>106</v>
      </c>
      <c r="Q47" s="52" t="s">
        <v>106</v>
      </c>
      <c r="R47" s="52" t="s">
        <v>106</v>
      </c>
      <c r="S47" s="52" t="s">
        <v>106</v>
      </c>
      <c r="T47" s="52">
        <v>6</v>
      </c>
      <c r="U47" s="52">
        <v>7</v>
      </c>
      <c r="V47" s="52" t="s">
        <v>106</v>
      </c>
      <c r="W47" s="52" t="s">
        <v>106</v>
      </c>
      <c r="X47" s="52" t="s">
        <v>106</v>
      </c>
      <c r="Y47" s="52" t="s">
        <v>106</v>
      </c>
    </row>
    <row r="48" spans="1:25" ht="15" customHeight="1" x14ac:dyDescent="0.2">
      <c r="A48" s="52" t="s">
        <v>111</v>
      </c>
      <c r="B48" s="52">
        <v>4</v>
      </c>
      <c r="C48" s="52">
        <v>1</v>
      </c>
      <c r="D48" s="52" t="s">
        <v>106</v>
      </c>
      <c r="E48" s="52" t="s">
        <v>106</v>
      </c>
      <c r="F48" s="52" t="s">
        <v>106</v>
      </c>
      <c r="G48" s="52" t="s">
        <v>106</v>
      </c>
      <c r="H48" s="52">
        <v>20</v>
      </c>
      <c r="I48" s="52">
        <v>4</v>
      </c>
      <c r="J48" s="52" t="s">
        <v>106</v>
      </c>
      <c r="K48" s="52" t="s">
        <v>106</v>
      </c>
      <c r="L48" s="52" t="s">
        <v>106</v>
      </c>
      <c r="M48" s="52" t="s">
        <v>106</v>
      </c>
      <c r="N48" s="52">
        <v>4</v>
      </c>
      <c r="O48" s="52">
        <v>3</v>
      </c>
      <c r="P48" s="52" t="s">
        <v>106</v>
      </c>
      <c r="Q48" s="52" t="s">
        <v>106</v>
      </c>
      <c r="R48" s="52" t="s">
        <v>106</v>
      </c>
      <c r="S48" s="52" t="s">
        <v>106</v>
      </c>
      <c r="T48" s="52">
        <v>4</v>
      </c>
      <c r="U48" s="52">
        <v>4</v>
      </c>
      <c r="V48" s="52" t="s">
        <v>106</v>
      </c>
      <c r="W48" s="52" t="s">
        <v>106</v>
      </c>
      <c r="X48" s="52" t="s">
        <v>106</v>
      </c>
      <c r="Y48" s="52" t="s">
        <v>106</v>
      </c>
    </row>
    <row r="49" spans="1:25" ht="15" customHeight="1" x14ac:dyDescent="0.2">
      <c r="A49" s="52" t="s">
        <v>110</v>
      </c>
      <c r="B49" s="52">
        <v>3</v>
      </c>
      <c r="C49" s="52">
        <v>0</v>
      </c>
      <c r="D49" s="52" t="s">
        <v>106</v>
      </c>
      <c r="E49" s="52" t="s">
        <v>106</v>
      </c>
      <c r="F49" s="52" t="s">
        <v>106</v>
      </c>
      <c r="G49" s="52" t="s">
        <v>106</v>
      </c>
      <c r="H49" s="52">
        <v>9</v>
      </c>
      <c r="I49" s="52">
        <v>1</v>
      </c>
      <c r="J49" s="52" t="s">
        <v>106</v>
      </c>
      <c r="K49" s="52" t="s">
        <v>106</v>
      </c>
      <c r="L49" s="52" t="s">
        <v>106</v>
      </c>
      <c r="M49" s="52" t="s">
        <v>106</v>
      </c>
      <c r="N49" s="52">
        <v>6</v>
      </c>
      <c r="O49" s="52">
        <v>2</v>
      </c>
      <c r="P49" s="52" t="s">
        <v>106</v>
      </c>
      <c r="Q49" s="52" t="s">
        <v>106</v>
      </c>
      <c r="R49" s="52" t="s">
        <v>106</v>
      </c>
      <c r="S49" s="52" t="s">
        <v>106</v>
      </c>
      <c r="T49" s="52">
        <v>4</v>
      </c>
      <c r="U49" s="52">
        <v>6</v>
      </c>
      <c r="V49" s="52" t="s">
        <v>106</v>
      </c>
      <c r="W49" s="52" t="s">
        <v>106</v>
      </c>
      <c r="X49" s="52" t="s">
        <v>106</v>
      </c>
      <c r="Y49" s="52" t="s">
        <v>106</v>
      </c>
    </row>
    <row r="50" spans="1:25" ht="15" customHeight="1" x14ac:dyDescent="0.2">
      <c r="A50" s="52" t="s">
        <v>109</v>
      </c>
      <c r="B50" s="52">
        <v>2</v>
      </c>
      <c r="C50" s="52">
        <v>0</v>
      </c>
      <c r="D50" s="52" t="s">
        <v>106</v>
      </c>
      <c r="E50" s="52" t="s">
        <v>106</v>
      </c>
      <c r="F50" s="52" t="s">
        <v>106</v>
      </c>
      <c r="G50" s="52" t="s">
        <v>106</v>
      </c>
      <c r="H50" s="52">
        <v>3</v>
      </c>
      <c r="I50" s="52">
        <v>1</v>
      </c>
      <c r="J50" s="52" t="s">
        <v>106</v>
      </c>
      <c r="K50" s="52" t="s">
        <v>106</v>
      </c>
      <c r="L50" s="52" t="s">
        <v>106</v>
      </c>
      <c r="M50" s="52" t="s">
        <v>106</v>
      </c>
      <c r="N50" s="52">
        <v>3</v>
      </c>
      <c r="O50" s="52">
        <v>4</v>
      </c>
      <c r="P50" s="52" t="s">
        <v>106</v>
      </c>
      <c r="Q50" s="52" t="s">
        <v>106</v>
      </c>
      <c r="R50" s="52" t="s">
        <v>106</v>
      </c>
      <c r="S50" s="52" t="s">
        <v>106</v>
      </c>
      <c r="T50" s="52">
        <v>3</v>
      </c>
      <c r="U50" s="52">
        <v>3</v>
      </c>
      <c r="V50" s="52" t="s">
        <v>106</v>
      </c>
      <c r="W50" s="52" t="s">
        <v>106</v>
      </c>
      <c r="X50" s="52" t="s">
        <v>106</v>
      </c>
      <c r="Y50" s="52" t="s">
        <v>106</v>
      </c>
    </row>
    <row r="51" spans="1:25" ht="15" customHeight="1" x14ac:dyDescent="0.2">
      <c r="A51" s="52" t="s">
        <v>108</v>
      </c>
      <c r="B51" s="52">
        <v>0</v>
      </c>
      <c r="C51" s="52">
        <v>0</v>
      </c>
      <c r="D51" s="52" t="s">
        <v>106</v>
      </c>
      <c r="E51" s="52" t="s">
        <v>106</v>
      </c>
      <c r="F51" s="52" t="s">
        <v>106</v>
      </c>
      <c r="G51" s="52" t="s">
        <v>106</v>
      </c>
      <c r="H51" s="52">
        <v>7</v>
      </c>
      <c r="I51" s="52">
        <v>2</v>
      </c>
      <c r="J51" s="52" t="s">
        <v>106</v>
      </c>
      <c r="K51" s="52" t="s">
        <v>106</v>
      </c>
      <c r="L51" s="52" t="s">
        <v>106</v>
      </c>
      <c r="M51" s="52" t="s">
        <v>106</v>
      </c>
      <c r="N51" s="52">
        <v>1</v>
      </c>
      <c r="O51" s="52">
        <v>3</v>
      </c>
      <c r="P51" s="52" t="s">
        <v>106</v>
      </c>
      <c r="Q51" s="52" t="s">
        <v>106</v>
      </c>
      <c r="R51" s="52" t="s">
        <v>106</v>
      </c>
      <c r="S51" s="52" t="s">
        <v>106</v>
      </c>
      <c r="T51" s="52">
        <v>0</v>
      </c>
      <c r="U51" s="52">
        <v>1</v>
      </c>
      <c r="V51" s="52" t="s">
        <v>106</v>
      </c>
      <c r="W51" s="52" t="s">
        <v>106</v>
      </c>
      <c r="X51" s="52" t="s">
        <v>106</v>
      </c>
      <c r="Y51" s="52" t="s">
        <v>106</v>
      </c>
    </row>
    <row r="52" spans="1:25" ht="15" customHeight="1" x14ac:dyDescent="0.2">
      <c r="A52" s="52" t="s">
        <v>107</v>
      </c>
      <c r="B52" s="52">
        <v>4</v>
      </c>
      <c r="C52" s="52">
        <v>2</v>
      </c>
      <c r="D52" s="52" t="s">
        <v>106</v>
      </c>
      <c r="E52" s="52" t="s">
        <v>106</v>
      </c>
      <c r="F52" s="52" t="s">
        <v>106</v>
      </c>
      <c r="G52" s="52" t="s">
        <v>106</v>
      </c>
      <c r="H52" s="52">
        <v>3</v>
      </c>
      <c r="I52" s="52">
        <v>3</v>
      </c>
      <c r="J52" s="52" t="s">
        <v>106</v>
      </c>
      <c r="K52" s="52" t="s">
        <v>106</v>
      </c>
      <c r="L52" s="52" t="s">
        <v>106</v>
      </c>
      <c r="M52" s="52" t="s">
        <v>106</v>
      </c>
      <c r="N52" s="52">
        <v>0</v>
      </c>
      <c r="O52" s="52">
        <v>2</v>
      </c>
      <c r="P52" s="52" t="s">
        <v>106</v>
      </c>
      <c r="Q52" s="52" t="s">
        <v>106</v>
      </c>
      <c r="R52" s="52" t="s">
        <v>106</v>
      </c>
      <c r="S52" s="52" t="s">
        <v>106</v>
      </c>
      <c r="T52" s="52">
        <v>3</v>
      </c>
      <c r="U52" s="52">
        <v>1</v>
      </c>
      <c r="V52" s="52" t="s">
        <v>106</v>
      </c>
      <c r="W52" s="52" t="s">
        <v>106</v>
      </c>
      <c r="X52" s="52" t="s">
        <v>106</v>
      </c>
      <c r="Y52" s="52" t="s">
        <v>106</v>
      </c>
    </row>
  </sheetData>
  <mergeCells count="38">
    <mergeCell ref="T12:V12"/>
    <mergeCell ref="W12:Y12"/>
    <mergeCell ref="Q13:S13"/>
    <mergeCell ref="T13:V13"/>
    <mergeCell ref="W13:Y13"/>
    <mergeCell ref="B13:D13"/>
    <mergeCell ref="E13:G13"/>
    <mergeCell ref="H13:J13"/>
    <mergeCell ref="K13:M13"/>
    <mergeCell ref="N13:P13"/>
    <mergeCell ref="A10:B10"/>
    <mergeCell ref="C10:BM10"/>
    <mergeCell ref="A11:B11"/>
    <mergeCell ref="C11:BM11"/>
    <mergeCell ref="B12:D12"/>
    <mergeCell ref="E12:G12"/>
    <mergeCell ref="H12:J12"/>
    <mergeCell ref="K12:M12"/>
    <mergeCell ref="N12:P12"/>
    <mergeCell ref="Q12:S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2022-07-26T03:35:38Z</dcterms:modified>
</cp:coreProperties>
</file>