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7AF18F5-4020-486F-9EE5-36BD20DE41E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326" i="4"/>
  <c r="I26" i="4"/>
  <c r="I106" i="4"/>
  <c r="I186" i="4"/>
  <c r="I266" i="4"/>
  <c r="I46" i="4"/>
  <c r="I126" i="4"/>
  <c r="I206" i="4"/>
  <c r="I286" i="4"/>
  <c r="I306" i="4"/>
  <c r="I346" i="4"/>
  <c r="I18" i="4"/>
  <c r="I98" i="4"/>
  <c r="I178" i="4"/>
  <c r="I258" i="4"/>
  <c r="I38" i="4"/>
  <c r="I118" i="4"/>
  <c r="I198" i="4"/>
  <c r="I278" i="4"/>
  <c r="I58" i="4"/>
  <c r="I138" i="4"/>
  <c r="I218" i="4"/>
  <c r="I298" i="4"/>
  <c r="I78" i="4"/>
  <c r="I158" i="4"/>
  <c r="I238" i="4"/>
  <c r="I338" i="4"/>
  <c r="I358" i="4"/>
  <c r="I318" i="4"/>
  <c r="I23" i="4"/>
  <c r="I103" i="4"/>
  <c r="I183" i="4"/>
  <c r="I263" i="4"/>
  <c r="I43" i="4"/>
  <c r="I123" i="4"/>
  <c r="I203" i="4"/>
  <c r="I283" i="4"/>
  <c r="I63" i="4"/>
  <c r="I143" i="4"/>
  <c r="I223" i="4"/>
  <c r="I303" i="4"/>
  <c r="I3" i="4"/>
  <c r="I83" i="4"/>
  <c r="I163" i="4"/>
  <c r="I243" i="4"/>
  <c r="I323" i="4"/>
  <c r="I343" i="4"/>
  <c r="I25" i="4"/>
  <c r="I45" i="4"/>
  <c r="I125" i="4"/>
  <c r="I205" i="4"/>
  <c r="I285" i="4"/>
  <c r="I5" i="4"/>
  <c r="I85" i="4"/>
  <c r="I165" i="4"/>
  <c r="I245" i="4"/>
  <c r="I325" i="4"/>
  <c r="I145" i="4"/>
  <c r="I305" i="4"/>
  <c r="I185" i="4"/>
  <c r="I345" i="4"/>
  <c r="I65" i="4"/>
  <c r="I225" i="4"/>
  <c r="I105" i="4"/>
  <c r="I265" i="4"/>
  <c r="I13" i="4"/>
  <c r="I93" i="4"/>
  <c r="I173" i="4"/>
  <c r="I253" i="4"/>
  <c r="I333" i="4"/>
  <c r="I53" i="4"/>
  <c r="I133" i="4"/>
  <c r="I213" i="4"/>
  <c r="I293" i="4"/>
  <c r="I33" i="4"/>
  <c r="I113" i="4"/>
  <c r="I273" i="4"/>
  <c r="I153" i="4"/>
  <c r="I313" i="4"/>
  <c r="I193" i="4"/>
  <c r="I73" i="4"/>
  <c r="I233" i="4"/>
  <c r="I353" i="4"/>
  <c r="I50" i="4"/>
  <c r="I130" i="4"/>
  <c r="I210" i="4"/>
  <c r="I290" i="4"/>
  <c r="I70" i="4"/>
  <c r="I150" i="4"/>
  <c r="I230" i="4"/>
  <c r="I350" i="4"/>
  <c r="I10" i="4"/>
  <c r="I90" i="4"/>
  <c r="I170" i="4"/>
  <c r="I250" i="4"/>
  <c r="I30" i="4"/>
  <c r="I110" i="4"/>
  <c r="I190" i="4"/>
  <c r="I270" i="4"/>
  <c r="I330" i="4"/>
  <c r="I310" i="4"/>
  <c r="I7" i="4"/>
  <c r="I87" i="4"/>
  <c r="I167" i="4"/>
  <c r="I247" i="4"/>
  <c r="I327" i="4"/>
  <c r="I27" i="4"/>
  <c r="I107" i="4"/>
  <c r="I187" i="4"/>
  <c r="I267" i="4"/>
  <c r="I47" i="4"/>
  <c r="I127" i="4"/>
  <c r="I207" i="4"/>
  <c r="I287" i="4"/>
  <c r="I67" i="4"/>
  <c r="I147" i="4"/>
  <c r="I227" i="4"/>
  <c r="I307" i="4"/>
  <c r="I347" i="4"/>
  <c r="I60" i="4"/>
  <c r="I140" i="4"/>
  <c r="I220" i="4"/>
  <c r="I300" i="4"/>
  <c r="I80" i="4"/>
  <c r="I160" i="4"/>
  <c r="I240" i="4"/>
  <c r="I20" i="4"/>
  <c r="I100" i="4"/>
  <c r="I180" i="4"/>
  <c r="I260" i="4"/>
  <c r="I40" i="4"/>
  <c r="I120" i="4"/>
  <c r="I200" i="4"/>
  <c r="I280" i="4"/>
  <c r="I360" i="4"/>
  <c r="I320" i="4"/>
  <c r="I340" i="4"/>
  <c r="I2" i="4"/>
  <c r="I82" i="4"/>
  <c r="I162" i="4"/>
  <c r="I242" i="4"/>
  <c r="I22" i="4"/>
  <c r="I102" i="4"/>
  <c r="I182" i="4"/>
  <c r="I262" i="4"/>
  <c r="I42" i="4"/>
  <c r="I122" i="4"/>
  <c r="I202" i="4"/>
  <c r="I282" i="4"/>
  <c r="I62" i="4"/>
  <c r="I142" i="4"/>
  <c r="I222" i="4"/>
  <c r="I302" i="4"/>
  <c r="I342" i="4"/>
  <c r="I322" i="4"/>
  <c r="I34" i="4"/>
  <c r="I114" i="4"/>
  <c r="I194" i="4"/>
  <c r="I274" i="4"/>
  <c r="I54" i="4"/>
  <c r="I134" i="4"/>
  <c r="I214" i="4"/>
  <c r="I294" i="4"/>
  <c r="I74" i="4"/>
  <c r="I154" i="4"/>
  <c r="I234" i="4"/>
  <c r="I14" i="4"/>
  <c r="I94" i="4"/>
  <c r="I174" i="4"/>
  <c r="I254" i="4"/>
  <c r="I334" i="4"/>
  <c r="I354" i="4"/>
  <c r="I314" i="4"/>
  <c r="I71" i="4"/>
  <c r="I151" i="4"/>
  <c r="I231" i="4"/>
  <c r="I311" i="4"/>
  <c r="I11" i="4"/>
  <c r="I91" i="4"/>
  <c r="I171" i="4"/>
  <c r="I251" i="4"/>
  <c r="I331" i="4"/>
  <c r="I351" i="4"/>
  <c r="I31" i="4"/>
  <c r="I111" i="4"/>
  <c r="I191" i="4"/>
  <c r="I271" i="4"/>
  <c r="I51" i="4"/>
  <c r="I131" i="4"/>
  <c r="I211" i="4"/>
  <c r="I291" i="4"/>
  <c r="I28" i="4"/>
  <c r="I108" i="4"/>
  <c r="I188" i="4"/>
  <c r="I268" i="4"/>
  <c r="I48" i="4"/>
  <c r="I128" i="4"/>
  <c r="I208" i="4"/>
  <c r="I288" i="4"/>
  <c r="I348" i="4"/>
  <c r="I68" i="4"/>
  <c r="I148" i="4"/>
  <c r="I228" i="4"/>
  <c r="I308" i="4"/>
  <c r="I8" i="4"/>
  <c r="I88" i="4"/>
  <c r="I168" i="4"/>
  <c r="I248" i="4"/>
  <c r="I328" i="4"/>
  <c r="I44" i="4"/>
  <c r="I124" i="4"/>
  <c r="I204" i="4"/>
  <c r="I284" i="4"/>
  <c r="I64" i="4"/>
  <c r="I144" i="4"/>
  <c r="I224" i="4"/>
  <c r="I304" i="4"/>
  <c r="I4" i="4"/>
  <c r="I84" i="4"/>
  <c r="I164" i="4"/>
  <c r="I244" i="4"/>
  <c r="I24" i="4"/>
  <c r="I104" i="4"/>
  <c r="I184" i="4"/>
  <c r="I264" i="4"/>
  <c r="I344" i="4"/>
  <c r="I324" i="4"/>
  <c r="I12" i="4"/>
  <c r="I92" i="4"/>
  <c r="I172" i="4"/>
  <c r="I252" i="4"/>
  <c r="I32" i="4"/>
  <c r="I112" i="4"/>
  <c r="I192" i="4"/>
  <c r="I272" i="4"/>
  <c r="I332" i="4"/>
  <c r="I52" i="4"/>
  <c r="I132" i="4"/>
  <c r="I212" i="4"/>
  <c r="I292" i="4"/>
  <c r="I72" i="4"/>
  <c r="I152" i="4"/>
  <c r="I232" i="4"/>
  <c r="I312" i="4"/>
  <c r="I352" i="4"/>
  <c r="I55" i="4"/>
  <c r="I135" i="4"/>
  <c r="I215" i="4"/>
  <c r="I295" i="4"/>
  <c r="I75" i="4"/>
  <c r="I155" i="4"/>
  <c r="I235" i="4"/>
  <c r="I315" i="4"/>
  <c r="I15" i="4"/>
  <c r="I95" i="4"/>
  <c r="I175" i="4"/>
  <c r="I255" i="4"/>
  <c r="I35" i="4"/>
  <c r="I115" i="4"/>
  <c r="I195" i="4"/>
  <c r="I275" i="4"/>
  <c r="I355" i="4"/>
  <c r="I335" i="4"/>
  <c r="I9" i="4"/>
  <c r="I29" i="4"/>
  <c r="I109" i="4"/>
  <c r="I189" i="4"/>
  <c r="I269" i="4"/>
  <c r="I69" i="4"/>
  <c r="I149" i="4"/>
  <c r="I229" i="4"/>
  <c r="I309" i="4"/>
  <c r="I209" i="4"/>
  <c r="I49" i="4"/>
  <c r="I89" i="4"/>
  <c r="I249" i="4"/>
  <c r="I129" i="4"/>
  <c r="I289" i="4"/>
  <c r="I349" i="4"/>
  <c r="I169" i="4"/>
  <c r="I329" i="4"/>
  <c r="I41" i="4"/>
  <c r="I61" i="4"/>
  <c r="I141" i="4"/>
  <c r="I221" i="4"/>
  <c r="I301" i="4"/>
  <c r="I21" i="4"/>
  <c r="I101" i="4"/>
  <c r="I181" i="4"/>
  <c r="I261" i="4"/>
  <c r="I341" i="4"/>
  <c r="I81" i="4"/>
  <c r="I241" i="4"/>
  <c r="I121" i="4"/>
  <c r="I281" i="4"/>
  <c r="I361" i="4"/>
  <c r="I161" i="4"/>
  <c r="I321" i="4"/>
  <c r="I201" i="4"/>
  <c r="I57" i="4"/>
  <c r="I77" i="4"/>
  <c r="I157" i="4"/>
  <c r="I237" i="4"/>
  <c r="I317" i="4"/>
  <c r="I17" i="4"/>
  <c r="I37" i="4"/>
  <c r="I117" i="4"/>
  <c r="I197" i="4"/>
  <c r="I277" i="4"/>
  <c r="I177" i="4"/>
  <c r="I337" i="4"/>
  <c r="I357" i="4"/>
  <c r="I217" i="4"/>
  <c r="I97" i="4"/>
  <c r="I257" i="4"/>
  <c r="I137" i="4"/>
  <c r="I297" i="4"/>
  <c r="I76" i="4"/>
  <c r="I156" i="4"/>
  <c r="I236" i="4"/>
  <c r="I16" i="4"/>
  <c r="I96" i="4"/>
  <c r="I176" i="4"/>
  <c r="I256" i="4"/>
  <c r="I36" i="4"/>
  <c r="I116" i="4"/>
  <c r="I196" i="4"/>
  <c r="I276" i="4"/>
  <c r="I56" i="4"/>
  <c r="I136" i="4"/>
  <c r="I216" i="4"/>
  <c r="I296" i="4"/>
  <c r="I316" i="4"/>
  <c r="I356" i="4"/>
  <c r="I336" i="4"/>
  <c r="I39" i="4"/>
  <c r="I119" i="4"/>
  <c r="I199" i="4"/>
  <c r="I279" i="4"/>
  <c r="I59" i="4"/>
  <c r="I139" i="4"/>
  <c r="I219" i="4"/>
  <c r="I299" i="4"/>
  <c r="I79" i="4"/>
  <c r="I159" i="4"/>
  <c r="I239" i="4"/>
  <c r="I319" i="4"/>
  <c r="I19" i="4"/>
  <c r="I99" i="4"/>
  <c r="I179" i="4"/>
  <c r="I25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<sst xmlns="http://schemas.openxmlformats.org/spreadsheetml/2006/main" count="7719" uniqueCount="169">
  <si>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</si>
  <si>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</si>
  <si>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</si>
  <si>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</si>
  <si>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</si>
  <si>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</si>
  <si>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</si>
  <si>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</si>
  <si>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</si>
  <si>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</si>
  <si>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</si>
  <si>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</si>
  <si>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</si>
  <si>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</si>
  <si>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</si>
  <si>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</si>
  <si>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</si>
  <si>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</si>
  <si>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</si>
  <si>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</si>
  <si>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</si>
  <si>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</si>
  <si>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</si>
  <si>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</si>
  <si>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</si>
  <si>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</si>
  <si>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</si>
  <si>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</si>
  <si>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</si>
  <si>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</si>
  <si>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</si>
  <si>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</si>
  <si>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</si>
  <si>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</si>
  <si>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</si>
  <si>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</si>
  <si>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</si>
  <si>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</si>
  <si>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</si>
  <si>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</si>
  <si>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</si>
  <si>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</si>
  <si>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</si>
  <si>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</si>
  <si>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</si>
  <si>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</si>
  <si>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</si>
  <si>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</si>
  <si>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</si>
  <si>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</si>
  <si>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</si>
  <si>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</si>
  <si>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</si>
  <si>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</si>
  <si>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</si>
  <si>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</si>
  <si>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</si>
  <si>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</si>
  <si>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</si>
  <si>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</si>
  <si>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</si>
  <si>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</si>
  <si>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</si>
  <si>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</si>
  <si>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</si>
  <si>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</si>
  <si>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</si>
  <si>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</si>
  <si>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</si>
  <si>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</si>
  <si>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</si>
  <si>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</si>
  <si>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</si>
  <si>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</si>
  <si>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</si>
  <si>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</si>
  <si>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</si>
  <si>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</si>
  <si>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</si>
  <si>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</si>
  <si>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</si>
  <si>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</si>
  <si>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</si>
  <si>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</si>
  <si>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</si>
  <si>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</si>
  <si>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</si>
  <si>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</si>
  <si>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</si>
  <si>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</si>
  <si>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</si>
  <si>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</si>
  <si>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Peer Street_Waimairi Road_Intersection</t>
  </si>
  <si>
    <t>Waimairi Road North</t>
  </si>
  <si>
    <t>Waimairi Road South</t>
  </si>
  <si>
    <t>Peer Street South-West</t>
  </si>
  <si>
    <t>Thru to Waimairi Road South</t>
  </si>
  <si>
    <t>Bear Right into Peer Street South-West</t>
  </si>
  <si>
    <t>Hard Left into Peer Street South-West</t>
  </si>
  <si>
    <t>Thru to Waimairi Road North</t>
  </si>
  <si>
    <t>Bear Left into Waimairi Road North</t>
  </si>
  <si>
    <t>Hard Right into Waimairi Road South</t>
  </si>
  <si>
    <t>Peer Street_Waimairi Road_Intersection      Fine      22/11/2022</t>
  </si>
  <si>
    <t>Waimairi Road North Total</t>
  </si>
  <si>
    <t>Waimairi Road South Total</t>
  </si>
  <si>
    <t>Peer Street South-West Total</t>
  </si>
  <si>
    <t>Thru to Waimairi Road South Total</t>
  </si>
  <si>
    <t>Bear Right into Peer Street South-West Total</t>
  </si>
  <si>
    <t>Hard Left into Peer Street South-West Total</t>
  </si>
  <si>
    <t>Thru to Waimairi Road North Total</t>
  </si>
  <si>
    <t>Bear Left into Waimairi Road North Total</t>
  </si>
  <si>
    <t>Hard Right into Waimairi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</si>
  <si>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</si>
  <si>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</si>
  <si>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</si>
  <si>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</si>
  <si>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</si>
  <si>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</si>
  <si>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</si>
  <si>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</si>
  <si>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</si>
  <si>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</si>
  <si>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</si>
  <si>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</si>
  <si>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</si>
  <si>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</si>
  <si>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</si>
  <si>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</si>
  <si>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</si>
  <si>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</si>
  <si>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</si>
  <si>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</si>
  <si>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</si>
  <si>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</si>
  <si>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</si>
  <si>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</si>
  <si>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</si>
  <si>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</si>
  <si>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</si>
  <si>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</si>
  <si>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</si>
  <si>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</si>
  <si>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</si>
  <si>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</si>
  <si>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</si>
  <si>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</si>
  <si>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</si>
  <si>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</si>
  <si>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</si>
  <si>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</si>
  <si>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</si>
  <si>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</si>
  <si>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</si>
  <si>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</si>
  <si>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Peer St</t>
  </si>
  <si>
    <t>Waimairi Rd Northbound</t>
  </si>
  <si>
    <t>Waimairi Rd Southbound</t>
  </si>
  <si>
    <t>Lights</t>
  </si>
  <si>
    <t>Classification</t>
  </si>
  <si>
    <t>Road</t>
  </si>
  <si>
    <t>Type</t>
  </si>
  <si>
    <t>Project</t>
  </si>
  <si>
    <t>Site Code</t>
  </si>
  <si>
    <t>11/22/2022</t>
  </si>
  <si>
    <t>Start Date</t>
  </si>
  <si>
    <t>CCC I0958 Peer St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</si>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</sst>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89149A5-2598-40D8-9973-F550E7402BC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[I0958_Peer Street_Waimairi Road_Intersection_22-11-2022.xlsx]Graphs!pvtGraphApproach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Peer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142</c:v>
                </c:pt>
                <c:pt idx="2">
                  <c:v>143</c:v>
                </c:pt>
                <c:pt idx="3">
                  <c:v>219</c:v>
                </c:pt>
                <c:pt idx="4">
                  <c:v>191</c:v>
                </c:pt>
                <c:pt idx="5">
                  <c:v>179</c:v>
                </c:pt>
                <c:pt idx="6">
                  <c:v>201</c:v>
                </c:pt>
                <c:pt idx="7">
                  <c:v>189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Waimairi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189</c:v>
                </c:pt>
                <c:pt idx="1">
                  <c:v>262</c:v>
                </c:pt>
                <c:pt idx="2">
                  <c:v>275</c:v>
                </c:pt>
                <c:pt idx="3">
                  <c:v>243</c:v>
                </c:pt>
                <c:pt idx="4">
                  <c:v>216</c:v>
                </c:pt>
                <c:pt idx="5">
                  <c:v>201</c:v>
                </c:pt>
                <c:pt idx="6">
                  <c:v>237</c:v>
                </c:pt>
                <c:pt idx="7">
                  <c:v>188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26</c:v>
                </c:pt>
                <c:pt idx="2">
                  <c:v>35</c:v>
                </c:pt>
                <c:pt idx="3">
                  <c:v>24</c:v>
                </c:pt>
                <c:pt idx="4">
                  <c:v>24</c:v>
                </c:pt>
                <c:pt idx="5">
                  <c:v>42</c:v>
                </c:pt>
                <c:pt idx="6">
                  <c:v>66</c:v>
                </c:pt>
                <c:pt idx="7">
                  <c:v>56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[I0958_Peer Street_Waimairi Road_Intersection_22-11-2022.xlsx]Graphs!pvtGraphExit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Peer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153</c:v>
                </c:pt>
                <c:pt idx="1">
                  <c:v>205</c:v>
                </c:pt>
                <c:pt idx="2">
                  <c:v>205</c:v>
                </c:pt>
                <c:pt idx="3">
                  <c:v>175</c:v>
                </c:pt>
                <c:pt idx="4">
                  <c:v>163</c:v>
                </c:pt>
                <c:pt idx="5">
                  <c:v>140</c:v>
                </c:pt>
                <c:pt idx="6">
                  <c:v>177</c:v>
                </c:pt>
                <c:pt idx="7">
                  <c:v>135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Waimairi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163</c:v>
                </c:pt>
                <c:pt idx="2">
                  <c:v>168</c:v>
                </c:pt>
                <c:pt idx="3">
                  <c:v>224</c:v>
                </c:pt>
                <c:pt idx="4">
                  <c:v>198</c:v>
                </c:pt>
                <c:pt idx="5">
                  <c:v>188</c:v>
                </c:pt>
                <c:pt idx="6">
                  <c:v>238</c:v>
                </c:pt>
                <c:pt idx="7">
                  <c:v>215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62</c:v>
                </c:pt>
                <c:pt idx="2">
                  <c:v>80</c:v>
                </c:pt>
                <c:pt idx="3">
                  <c:v>87</c:v>
                </c:pt>
                <c:pt idx="4">
                  <c:v>70</c:v>
                </c:pt>
                <c:pt idx="5">
                  <c:v>94</c:v>
                </c:pt>
                <c:pt idx="6">
                  <c:v>89</c:v>
                </c:pt>
                <c:pt idx="7">
                  <c:v>83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[I0958_Peer Street_Waimairi Road_Intersection_22-11-2022.xlsx]GraphData!PivotTable2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285</c:v>
                </c:pt>
                <c:pt idx="1">
                  <c:v>430</c:v>
                </c:pt>
                <c:pt idx="2">
                  <c:v>453</c:v>
                </c:pt>
                <c:pt idx="3">
                  <c:v>486</c:v>
                </c:pt>
                <c:pt idx="4">
                  <c:v>431</c:v>
                </c:pt>
                <c:pt idx="5">
                  <c:v>422</c:v>
                </c:pt>
                <c:pt idx="6">
                  <c:v>504</c:v>
                </c:pt>
                <c:pt idx="7">
                  <c:v>433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[I0958_Peer Street_Waimairi Road_Intersection_22-11-2022.xlsx]PeakCalc!pvtPeak2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285</c:v>
                </c:pt>
                <c:pt idx="1">
                  <c:v>430</c:v>
                </c:pt>
                <c:pt idx="2">
                  <c:v>453</c:v>
                </c:pt>
                <c:pt idx="3">
                  <c:v>486</c:v>
                </c:pt>
                <c:pt idx="4">
                  <c:v>431</c:v>
                </c:pt>
                <c:pt idx="5">
                  <c:v>422</c:v>
                </c:pt>
                <c:pt idx="6">
                  <c:v>504</c:v>
                </c:pt>
                <c:pt idx="7">
                  <c:v>433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486</c:v>
                </c:pt>
                <c:pt idx="4">
                  <c:v>431</c:v>
                </c:pt>
                <c:pt idx="5">
                  <c:v>422</c:v>
                </c:pt>
                <c:pt idx="6">
                  <c:v>504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1026634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1141942</xdr:colOff>
      <xdr:row>5</xdr:row>
      <xdr:rowOff>3175</xdr:rowOff>
    </xdr:from>
    <xdr:to>
      <xdr:col>20</xdr:col>
      <xdr:colOff>668917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342899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776858796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1"/>
    </cacheField>
    <cacheField name="Peak" numFmtId="0">
      <sharedItems containsSemiMixedTypes="0" containsString="0" containsNumber="1" containsInteger="1" minValue="0" maxValue="54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77778125001" createdVersion="5" refreshedVersion="8" minRefreshableVersion="3" recordCount="360" xr:uid="{00000000-000A-0000-FFFF-FFFF01000000}">
  <cacheSource type="worksheet">
    <worksheetSource name="tblPivotData"/>
  </cacheSource>
  <cacheFields count="9">
    <cacheField name="Approach" numFmtId="0">
      <sharedItems count="6">
        <s v="Waimairi Road North"/>
        <s v="Waimairi Road South"/>
        <s v="Peer Street South-West"/>
        <s v="Great south Rd (North)" u="1"/>
        <s v="Great south Rd (South)" u="1"/>
        <s v="Grange Rd" u="1"/>
      </sharedItems>
    </cacheField>
    <cacheField name="Movement" numFmtId="0">
      <sharedItems count="14">
        <s v="Thru to Waimairi Road South"/>
        <s v="Bear Right into Peer Street South-West"/>
        <s v="Hard Left into Peer Street South-West"/>
        <s v="Thru to Waimairi Road North"/>
        <s v="Bear Left into Waimairi Road North"/>
        <s v="Hard Right into Waimairi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Waimairi Road South"/>
        <s v="Peer Street South-West"/>
        <s v="Waimairi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5"/>
    <n v="0"/>
  </r>
  <r>
    <x v="0"/>
    <x v="1"/>
    <n v="430"/>
    <n v="0"/>
  </r>
  <r>
    <x v="0"/>
    <x v="2"/>
    <n v="453"/>
    <n v="0"/>
  </r>
  <r>
    <x v="0"/>
    <x v="3"/>
    <n v="486"/>
    <n v="486"/>
  </r>
  <r>
    <x v="0"/>
    <x v="4"/>
    <n v="431"/>
    <n v="431"/>
  </r>
  <r>
    <x v="0"/>
    <x v="5"/>
    <n v="422"/>
    <n v="422"/>
  </r>
  <r>
    <x v="0"/>
    <x v="6"/>
    <n v="504"/>
    <n v="504"/>
  </r>
  <r>
    <x v="0"/>
    <x v="7"/>
    <n v="433"/>
    <n v="0"/>
  </r>
  <r>
    <x v="1"/>
    <x v="8"/>
    <n v="349"/>
    <n v="349"/>
  </r>
  <r>
    <x v="1"/>
    <x v="9"/>
    <n v="407"/>
    <n v="407"/>
  </r>
  <r>
    <x v="1"/>
    <x v="10"/>
    <n v="380"/>
    <n v="380"/>
  </r>
  <r>
    <x v="1"/>
    <x v="11"/>
    <n v="400"/>
    <n v="400"/>
  </r>
  <r>
    <x v="2"/>
    <x v="12"/>
    <n v="534"/>
    <n v="0"/>
  </r>
  <r>
    <x v="2"/>
    <x v="13"/>
    <n v="501"/>
    <n v="0"/>
  </r>
  <r>
    <x v="2"/>
    <x v="14"/>
    <n v="510"/>
    <n v="0"/>
  </r>
  <r>
    <x v="2"/>
    <x v="15"/>
    <n v="516"/>
    <n v="516"/>
  </r>
  <r>
    <x v="2"/>
    <x v="16"/>
    <n v="540"/>
    <n v="540"/>
  </r>
  <r>
    <x v="2"/>
    <x v="17"/>
    <n v="491"/>
    <n v="491"/>
  </r>
  <r>
    <x v="2"/>
    <x v="18"/>
    <n v="541"/>
    <n v="541"/>
  </r>
  <r>
    <x v="2"/>
    <x v="19"/>
    <n v="49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7"/>
    <x v="0"/>
    <x v="0"/>
  </r>
  <r>
    <x v="0"/>
    <x v="0"/>
    <x v="0"/>
    <x v="0"/>
    <x v="0"/>
    <x v="1"/>
    <n v="55"/>
    <x v="1"/>
    <x v="0"/>
  </r>
  <r>
    <x v="0"/>
    <x v="0"/>
    <x v="0"/>
    <x v="0"/>
    <x v="0"/>
    <x v="2"/>
    <n v="66"/>
    <x v="2"/>
    <x v="0"/>
  </r>
  <r>
    <x v="0"/>
    <x v="0"/>
    <x v="0"/>
    <x v="0"/>
    <x v="0"/>
    <x v="3"/>
    <n v="68"/>
    <x v="3"/>
    <x v="1"/>
  </r>
  <r>
    <x v="0"/>
    <x v="0"/>
    <x v="0"/>
    <x v="0"/>
    <x v="0"/>
    <x v="4"/>
    <n v="53"/>
    <x v="4"/>
    <x v="1"/>
  </r>
  <r>
    <x v="0"/>
    <x v="0"/>
    <x v="0"/>
    <x v="0"/>
    <x v="0"/>
    <x v="5"/>
    <n v="66"/>
    <x v="5"/>
    <x v="1"/>
  </r>
  <r>
    <x v="0"/>
    <x v="0"/>
    <x v="0"/>
    <x v="0"/>
    <x v="0"/>
    <x v="6"/>
    <n v="71"/>
    <x v="6"/>
    <x v="1"/>
  </r>
  <r>
    <x v="0"/>
    <x v="0"/>
    <x v="0"/>
    <x v="0"/>
    <x v="0"/>
    <x v="7"/>
    <n v="66"/>
    <x v="7"/>
    <x v="0"/>
  </r>
  <r>
    <x v="0"/>
    <x v="0"/>
    <x v="0"/>
    <x v="0"/>
    <x v="1"/>
    <x v="8"/>
    <n v="39"/>
    <x v="8"/>
    <x v="1"/>
  </r>
  <r>
    <x v="0"/>
    <x v="0"/>
    <x v="0"/>
    <x v="0"/>
    <x v="1"/>
    <x v="9"/>
    <n v="59"/>
    <x v="9"/>
    <x v="1"/>
  </r>
  <r>
    <x v="0"/>
    <x v="0"/>
    <x v="0"/>
    <x v="0"/>
    <x v="1"/>
    <x v="10"/>
    <n v="54"/>
    <x v="10"/>
    <x v="1"/>
  </r>
  <r>
    <x v="0"/>
    <x v="0"/>
    <x v="0"/>
    <x v="0"/>
    <x v="1"/>
    <x v="11"/>
    <n v="36"/>
    <x v="11"/>
    <x v="1"/>
  </r>
  <r>
    <x v="0"/>
    <x v="0"/>
    <x v="0"/>
    <x v="0"/>
    <x v="2"/>
    <x v="12"/>
    <n v="53"/>
    <x v="12"/>
    <x v="0"/>
  </r>
  <r>
    <x v="0"/>
    <x v="0"/>
    <x v="0"/>
    <x v="0"/>
    <x v="2"/>
    <x v="13"/>
    <n v="42"/>
    <x v="13"/>
    <x v="0"/>
  </r>
  <r>
    <x v="0"/>
    <x v="0"/>
    <x v="0"/>
    <x v="0"/>
    <x v="2"/>
    <x v="14"/>
    <n v="47"/>
    <x v="14"/>
    <x v="0"/>
  </r>
  <r>
    <x v="0"/>
    <x v="0"/>
    <x v="0"/>
    <x v="0"/>
    <x v="2"/>
    <x v="15"/>
    <n v="50"/>
    <x v="15"/>
    <x v="1"/>
  </r>
  <r>
    <x v="0"/>
    <x v="0"/>
    <x v="0"/>
    <x v="0"/>
    <x v="2"/>
    <x v="16"/>
    <n v="66"/>
    <x v="16"/>
    <x v="1"/>
  </r>
  <r>
    <x v="0"/>
    <x v="0"/>
    <x v="0"/>
    <x v="0"/>
    <x v="2"/>
    <x v="17"/>
    <n v="41"/>
    <x v="17"/>
    <x v="1"/>
  </r>
  <r>
    <x v="0"/>
    <x v="0"/>
    <x v="0"/>
    <x v="0"/>
    <x v="2"/>
    <x v="18"/>
    <n v="45"/>
    <x v="18"/>
    <x v="1"/>
  </r>
  <r>
    <x v="0"/>
    <x v="0"/>
    <x v="0"/>
    <x v="0"/>
    <x v="2"/>
    <x v="19"/>
    <n v="55"/>
    <x v="19"/>
    <x v="0"/>
  </r>
  <r>
    <x v="0"/>
    <x v="0"/>
    <x v="0"/>
    <x v="1"/>
    <x v="0"/>
    <x v="0"/>
    <n v="1"/>
    <x v="0"/>
    <x v="0"/>
  </r>
  <r>
    <x v="0"/>
    <x v="0"/>
    <x v="0"/>
    <x v="1"/>
    <x v="0"/>
    <x v="1"/>
    <n v="1"/>
    <x v="1"/>
    <x v="0"/>
  </r>
  <r>
    <x v="0"/>
    <x v="0"/>
    <x v="0"/>
    <x v="1"/>
    <x v="0"/>
    <x v="2"/>
    <n v="3"/>
    <x v="2"/>
    <x v="0"/>
  </r>
  <r>
    <x v="0"/>
    <x v="0"/>
    <x v="0"/>
    <x v="1"/>
    <x v="0"/>
    <x v="3"/>
    <n v="1"/>
    <x v="3"/>
    <x v="1"/>
  </r>
  <r>
    <x v="0"/>
    <x v="0"/>
    <x v="0"/>
    <x v="1"/>
    <x v="0"/>
    <x v="4"/>
    <n v="1"/>
    <x v="4"/>
    <x v="1"/>
  </r>
  <r>
    <x v="0"/>
    <x v="0"/>
    <x v="0"/>
    <x v="1"/>
    <x v="0"/>
    <x v="5"/>
    <n v="3"/>
    <x v="5"/>
    <x v="1"/>
  </r>
  <r>
    <x v="0"/>
    <x v="0"/>
    <x v="0"/>
    <x v="1"/>
    <x v="0"/>
    <x v="6"/>
    <n v="1"/>
    <x v="6"/>
    <x v="1"/>
  </r>
  <r>
    <x v="0"/>
    <x v="0"/>
    <x v="0"/>
    <x v="1"/>
    <x v="0"/>
    <x v="7"/>
    <n v="4"/>
    <x v="7"/>
    <x v="0"/>
  </r>
  <r>
    <x v="0"/>
    <x v="0"/>
    <x v="0"/>
    <x v="1"/>
    <x v="1"/>
    <x v="8"/>
    <n v="1"/>
    <x v="8"/>
    <x v="1"/>
  </r>
  <r>
    <x v="0"/>
    <x v="0"/>
    <x v="0"/>
    <x v="1"/>
    <x v="1"/>
    <x v="9"/>
    <n v="1"/>
    <x v="9"/>
    <x v="1"/>
  </r>
  <r>
    <x v="0"/>
    <x v="0"/>
    <x v="0"/>
    <x v="1"/>
    <x v="1"/>
    <x v="10"/>
    <n v="1"/>
    <x v="10"/>
    <x v="1"/>
  </r>
  <r>
    <x v="0"/>
    <x v="0"/>
    <x v="0"/>
    <x v="1"/>
    <x v="1"/>
    <x v="11"/>
    <n v="1"/>
    <x v="11"/>
    <x v="1"/>
  </r>
  <r>
    <x v="0"/>
    <x v="0"/>
    <x v="0"/>
    <x v="1"/>
    <x v="2"/>
    <x v="12"/>
    <n v="1"/>
    <x v="12"/>
    <x v="0"/>
  </r>
  <r>
    <x v="0"/>
    <x v="0"/>
    <x v="0"/>
    <x v="1"/>
    <x v="2"/>
    <x v="13"/>
    <n v="1"/>
    <x v="13"/>
    <x v="0"/>
  </r>
  <r>
    <x v="0"/>
    <x v="0"/>
    <x v="0"/>
    <x v="1"/>
    <x v="2"/>
    <x v="14"/>
    <n v="1"/>
    <x v="14"/>
    <x v="0"/>
  </r>
  <r>
    <x v="0"/>
    <x v="0"/>
    <x v="0"/>
    <x v="1"/>
    <x v="2"/>
    <x v="15"/>
    <n v="1"/>
    <x v="15"/>
    <x v="1"/>
  </r>
  <r>
    <x v="0"/>
    <x v="0"/>
    <x v="0"/>
    <x v="1"/>
    <x v="2"/>
    <x v="16"/>
    <n v="1"/>
    <x v="16"/>
    <x v="1"/>
  </r>
  <r>
    <x v="0"/>
    <x v="0"/>
    <x v="0"/>
    <x v="1"/>
    <x v="2"/>
    <x v="17"/>
    <n v="1"/>
    <x v="17"/>
    <x v="1"/>
  </r>
  <r>
    <x v="0"/>
    <x v="0"/>
    <x v="0"/>
    <x v="1"/>
    <x v="2"/>
    <x v="18"/>
    <n v="3"/>
    <x v="18"/>
    <x v="1"/>
  </r>
  <r>
    <x v="0"/>
    <x v="0"/>
    <x v="0"/>
    <x v="1"/>
    <x v="2"/>
    <x v="19"/>
    <n v="0"/>
    <x v="19"/>
    <x v="0"/>
  </r>
  <r>
    <x v="0"/>
    <x v="0"/>
    <x v="0"/>
    <x v="2"/>
    <x v="0"/>
    <x v="0"/>
    <n v="1"/>
    <x v="0"/>
    <x v="0"/>
  </r>
  <r>
    <x v="0"/>
    <x v="0"/>
    <x v="0"/>
    <x v="2"/>
    <x v="0"/>
    <x v="1"/>
    <n v="3"/>
    <x v="1"/>
    <x v="0"/>
  </r>
  <r>
    <x v="0"/>
    <x v="0"/>
    <x v="0"/>
    <x v="2"/>
    <x v="0"/>
    <x v="2"/>
    <n v="4"/>
    <x v="2"/>
    <x v="0"/>
  </r>
  <r>
    <x v="0"/>
    <x v="0"/>
    <x v="0"/>
    <x v="2"/>
    <x v="0"/>
    <x v="3"/>
    <n v="4"/>
    <x v="3"/>
    <x v="1"/>
  </r>
  <r>
    <x v="0"/>
    <x v="0"/>
    <x v="0"/>
    <x v="2"/>
    <x v="0"/>
    <x v="4"/>
    <n v="1"/>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1"/>
    <x v="13"/>
    <x v="0"/>
  </r>
  <r>
    <x v="0"/>
    <x v="0"/>
    <x v="0"/>
    <x v="2"/>
    <x v="2"/>
    <x v="14"/>
    <n v="1"/>
    <x v="14"/>
    <x v="0"/>
  </r>
  <r>
    <x v="0"/>
    <x v="0"/>
    <x v="0"/>
    <x v="2"/>
    <x v="2"/>
    <x v="15"/>
    <n v="2"/>
    <x v="15"/>
    <x v="1"/>
  </r>
  <r>
    <x v="0"/>
    <x v="0"/>
    <x v="0"/>
    <x v="2"/>
    <x v="2"/>
    <x v="16"/>
    <n v="0"/>
    <x v="16"/>
    <x v="1"/>
  </r>
  <r>
    <x v="0"/>
    <x v="0"/>
    <x v="0"/>
    <x v="2"/>
    <x v="2"/>
    <x v="17"/>
    <n v="0"/>
    <x v="17"/>
    <x v="1"/>
  </r>
  <r>
    <x v="0"/>
    <x v="0"/>
    <x v="0"/>
    <x v="2"/>
    <x v="2"/>
    <x v="18"/>
    <n v="0"/>
    <x v="18"/>
    <x v="1"/>
  </r>
  <r>
    <x v="0"/>
    <x v="0"/>
    <x v="0"/>
    <x v="2"/>
    <x v="2"/>
    <x v="19"/>
    <n v="0"/>
    <x v="19"/>
    <x v="0"/>
  </r>
  <r>
    <x v="0"/>
    <x v="1"/>
    <x v="1"/>
    <x v="0"/>
    <x v="0"/>
    <x v="0"/>
    <n v="145"/>
    <x v="0"/>
    <x v="0"/>
  </r>
  <r>
    <x v="0"/>
    <x v="1"/>
    <x v="1"/>
    <x v="0"/>
    <x v="0"/>
    <x v="1"/>
    <n v="201"/>
    <x v="1"/>
    <x v="0"/>
  </r>
  <r>
    <x v="0"/>
    <x v="1"/>
    <x v="1"/>
    <x v="0"/>
    <x v="0"/>
    <x v="2"/>
    <n v="198"/>
    <x v="2"/>
    <x v="0"/>
  </r>
  <r>
    <x v="0"/>
    <x v="1"/>
    <x v="1"/>
    <x v="0"/>
    <x v="0"/>
    <x v="3"/>
    <n v="166"/>
    <x v="3"/>
    <x v="1"/>
  </r>
  <r>
    <x v="0"/>
    <x v="1"/>
    <x v="1"/>
    <x v="0"/>
    <x v="0"/>
    <x v="4"/>
    <n v="157"/>
    <x v="4"/>
    <x v="1"/>
  </r>
  <r>
    <x v="0"/>
    <x v="1"/>
    <x v="1"/>
    <x v="0"/>
    <x v="0"/>
    <x v="5"/>
    <n v="125"/>
    <x v="5"/>
    <x v="1"/>
  </r>
  <r>
    <x v="0"/>
    <x v="1"/>
    <x v="1"/>
    <x v="0"/>
    <x v="0"/>
    <x v="6"/>
    <n v="159"/>
    <x v="6"/>
    <x v="1"/>
  </r>
  <r>
    <x v="0"/>
    <x v="1"/>
    <x v="1"/>
    <x v="0"/>
    <x v="0"/>
    <x v="7"/>
    <n v="112"/>
    <x v="7"/>
    <x v="0"/>
  </r>
  <r>
    <x v="0"/>
    <x v="1"/>
    <x v="1"/>
    <x v="0"/>
    <x v="1"/>
    <x v="8"/>
    <n v="102"/>
    <x v="8"/>
    <x v="1"/>
  </r>
  <r>
    <x v="0"/>
    <x v="1"/>
    <x v="1"/>
    <x v="0"/>
    <x v="1"/>
    <x v="9"/>
    <n v="116"/>
    <x v="9"/>
    <x v="1"/>
  </r>
  <r>
    <x v="0"/>
    <x v="1"/>
    <x v="1"/>
    <x v="0"/>
    <x v="1"/>
    <x v="10"/>
    <n v="92"/>
    <x v="10"/>
    <x v="1"/>
  </r>
  <r>
    <x v="0"/>
    <x v="1"/>
    <x v="1"/>
    <x v="0"/>
    <x v="1"/>
    <x v="11"/>
    <n v="124"/>
    <x v="11"/>
    <x v="1"/>
  </r>
  <r>
    <x v="0"/>
    <x v="1"/>
    <x v="1"/>
    <x v="0"/>
    <x v="2"/>
    <x v="12"/>
    <n v="166"/>
    <x v="12"/>
    <x v="0"/>
  </r>
  <r>
    <x v="0"/>
    <x v="1"/>
    <x v="1"/>
    <x v="0"/>
    <x v="2"/>
    <x v="13"/>
    <n v="147"/>
    <x v="13"/>
    <x v="0"/>
  </r>
  <r>
    <x v="0"/>
    <x v="1"/>
    <x v="1"/>
    <x v="0"/>
    <x v="2"/>
    <x v="14"/>
    <n v="178"/>
    <x v="14"/>
    <x v="0"/>
  </r>
  <r>
    <x v="0"/>
    <x v="1"/>
    <x v="1"/>
    <x v="0"/>
    <x v="2"/>
    <x v="15"/>
    <n v="170"/>
    <x v="15"/>
    <x v="1"/>
  </r>
  <r>
    <x v="0"/>
    <x v="1"/>
    <x v="1"/>
    <x v="0"/>
    <x v="2"/>
    <x v="16"/>
    <n v="161"/>
    <x v="16"/>
    <x v="1"/>
  </r>
  <r>
    <x v="0"/>
    <x v="1"/>
    <x v="1"/>
    <x v="0"/>
    <x v="2"/>
    <x v="17"/>
    <n v="157"/>
    <x v="17"/>
    <x v="1"/>
  </r>
  <r>
    <x v="0"/>
    <x v="1"/>
    <x v="1"/>
    <x v="0"/>
    <x v="2"/>
    <x v="18"/>
    <n v="157"/>
    <x v="18"/>
    <x v="1"/>
  </r>
  <r>
    <x v="0"/>
    <x v="1"/>
    <x v="1"/>
    <x v="0"/>
    <x v="2"/>
    <x v="19"/>
    <n v="160"/>
    <x v="19"/>
    <x v="0"/>
  </r>
  <r>
    <x v="0"/>
    <x v="1"/>
    <x v="1"/>
    <x v="1"/>
    <x v="0"/>
    <x v="0"/>
    <n v="3"/>
    <x v="0"/>
    <x v="0"/>
  </r>
  <r>
    <x v="0"/>
    <x v="1"/>
    <x v="1"/>
    <x v="1"/>
    <x v="0"/>
    <x v="1"/>
    <n v="2"/>
    <x v="1"/>
    <x v="0"/>
  </r>
  <r>
    <x v="0"/>
    <x v="1"/>
    <x v="1"/>
    <x v="1"/>
    <x v="0"/>
    <x v="2"/>
    <n v="2"/>
    <x v="2"/>
    <x v="0"/>
  </r>
  <r>
    <x v="0"/>
    <x v="1"/>
    <x v="1"/>
    <x v="1"/>
    <x v="0"/>
    <x v="3"/>
    <n v="3"/>
    <x v="3"/>
    <x v="1"/>
  </r>
  <r>
    <x v="0"/>
    <x v="1"/>
    <x v="1"/>
    <x v="1"/>
    <x v="0"/>
    <x v="4"/>
    <n v="2"/>
    <x v="4"/>
    <x v="1"/>
  </r>
  <r>
    <x v="0"/>
    <x v="1"/>
    <x v="1"/>
    <x v="1"/>
    <x v="0"/>
    <x v="5"/>
    <n v="6"/>
    <x v="5"/>
    <x v="1"/>
  </r>
  <r>
    <x v="0"/>
    <x v="1"/>
    <x v="1"/>
    <x v="1"/>
    <x v="0"/>
    <x v="6"/>
    <n v="3"/>
    <x v="6"/>
    <x v="1"/>
  </r>
  <r>
    <x v="0"/>
    <x v="1"/>
    <x v="1"/>
    <x v="1"/>
    <x v="0"/>
    <x v="7"/>
    <n v="6"/>
    <x v="7"/>
    <x v="0"/>
  </r>
  <r>
    <x v="0"/>
    <x v="1"/>
    <x v="1"/>
    <x v="1"/>
    <x v="1"/>
    <x v="8"/>
    <n v="6"/>
    <x v="8"/>
    <x v="1"/>
  </r>
  <r>
    <x v="0"/>
    <x v="1"/>
    <x v="1"/>
    <x v="1"/>
    <x v="1"/>
    <x v="9"/>
    <n v="4"/>
    <x v="9"/>
    <x v="1"/>
  </r>
  <r>
    <x v="0"/>
    <x v="1"/>
    <x v="1"/>
    <x v="1"/>
    <x v="1"/>
    <x v="10"/>
    <n v="3"/>
    <x v="10"/>
    <x v="1"/>
  </r>
  <r>
    <x v="0"/>
    <x v="1"/>
    <x v="1"/>
    <x v="1"/>
    <x v="1"/>
    <x v="11"/>
    <n v="4"/>
    <x v="11"/>
    <x v="1"/>
  </r>
  <r>
    <x v="0"/>
    <x v="1"/>
    <x v="1"/>
    <x v="1"/>
    <x v="2"/>
    <x v="12"/>
    <n v="5"/>
    <x v="12"/>
    <x v="0"/>
  </r>
  <r>
    <x v="0"/>
    <x v="1"/>
    <x v="1"/>
    <x v="1"/>
    <x v="2"/>
    <x v="13"/>
    <n v="1"/>
    <x v="13"/>
    <x v="0"/>
  </r>
  <r>
    <x v="0"/>
    <x v="1"/>
    <x v="1"/>
    <x v="1"/>
    <x v="2"/>
    <x v="14"/>
    <n v="0"/>
    <x v="14"/>
    <x v="0"/>
  </r>
  <r>
    <x v="0"/>
    <x v="1"/>
    <x v="1"/>
    <x v="1"/>
    <x v="2"/>
    <x v="15"/>
    <n v="0"/>
    <x v="15"/>
    <x v="1"/>
  </r>
  <r>
    <x v="0"/>
    <x v="1"/>
    <x v="1"/>
    <x v="1"/>
    <x v="2"/>
    <x v="16"/>
    <n v="1"/>
    <x v="16"/>
    <x v="1"/>
  </r>
  <r>
    <x v="0"/>
    <x v="1"/>
    <x v="1"/>
    <x v="1"/>
    <x v="2"/>
    <x v="17"/>
    <n v="2"/>
    <x v="17"/>
    <x v="1"/>
  </r>
  <r>
    <x v="0"/>
    <x v="1"/>
    <x v="1"/>
    <x v="1"/>
    <x v="2"/>
    <x v="18"/>
    <n v="4"/>
    <x v="18"/>
    <x v="1"/>
  </r>
  <r>
    <x v="0"/>
    <x v="1"/>
    <x v="1"/>
    <x v="1"/>
    <x v="2"/>
    <x v="19"/>
    <n v="0"/>
    <x v="19"/>
    <x v="0"/>
  </r>
  <r>
    <x v="0"/>
    <x v="1"/>
    <x v="1"/>
    <x v="2"/>
    <x v="0"/>
    <x v="0"/>
    <n v="2"/>
    <x v="0"/>
    <x v="0"/>
  </r>
  <r>
    <x v="0"/>
    <x v="1"/>
    <x v="1"/>
    <x v="2"/>
    <x v="0"/>
    <x v="1"/>
    <n v="0"/>
    <x v="1"/>
    <x v="0"/>
  </r>
  <r>
    <x v="0"/>
    <x v="1"/>
    <x v="1"/>
    <x v="2"/>
    <x v="0"/>
    <x v="2"/>
    <n v="2"/>
    <x v="2"/>
    <x v="0"/>
  </r>
  <r>
    <x v="0"/>
    <x v="1"/>
    <x v="1"/>
    <x v="2"/>
    <x v="0"/>
    <x v="3"/>
    <n v="1"/>
    <x v="3"/>
    <x v="1"/>
  </r>
  <r>
    <x v="0"/>
    <x v="1"/>
    <x v="1"/>
    <x v="2"/>
    <x v="0"/>
    <x v="4"/>
    <n v="2"/>
    <x v="4"/>
    <x v="1"/>
  </r>
  <r>
    <x v="0"/>
    <x v="1"/>
    <x v="1"/>
    <x v="2"/>
    <x v="0"/>
    <x v="5"/>
    <n v="1"/>
    <x v="5"/>
    <x v="1"/>
  </r>
  <r>
    <x v="0"/>
    <x v="1"/>
    <x v="1"/>
    <x v="2"/>
    <x v="0"/>
    <x v="6"/>
    <n v="2"/>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1"/>
    <x v="14"/>
    <x v="0"/>
  </r>
  <r>
    <x v="0"/>
    <x v="1"/>
    <x v="1"/>
    <x v="2"/>
    <x v="2"/>
    <x v="15"/>
    <n v="0"/>
    <x v="15"/>
    <x v="1"/>
  </r>
  <r>
    <x v="0"/>
    <x v="1"/>
    <x v="1"/>
    <x v="2"/>
    <x v="2"/>
    <x v="16"/>
    <n v="2"/>
    <x v="16"/>
    <x v="1"/>
  </r>
  <r>
    <x v="0"/>
    <x v="1"/>
    <x v="1"/>
    <x v="2"/>
    <x v="2"/>
    <x v="17"/>
    <n v="0"/>
    <x v="17"/>
    <x v="1"/>
  </r>
  <r>
    <x v="0"/>
    <x v="1"/>
    <x v="1"/>
    <x v="2"/>
    <x v="2"/>
    <x v="18"/>
    <n v="2"/>
    <x v="18"/>
    <x v="1"/>
  </r>
  <r>
    <x v="0"/>
    <x v="1"/>
    <x v="1"/>
    <x v="2"/>
    <x v="2"/>
    <x v="19"/>
    <n v="0"/>
    <x v="19"/>
    <x v="0"/>
  </r>
  <r>
    <x v="1"/>
    <x v="2"/>
    <x v="1"/>
    <x v="0"/>
    <x v="0"/>
    <x v="0"/>
    <n v="3"/>
    <x v="0"/>
    <x v="0"/>
  </r>
  <r>
    <x v="1"/>
    <x v="2"/>
    <x v="1"/>
    <x v="0"/>
    <x v="0"/>
    <x v="1"/>
    <n v="2"/>
    <x v="1"/>
    <x v="0"/>
  </r>
  <r>
    <x v="1"/>
    <x v="2"/>
    <x v="1"/>
    <x v="0"/>
    <x v="0"/>
    <x v="2"/>
    <n v="3"/>
    <x v="2"/>
    <x v="0"/>
  </r>
  <r>
    <x v="1"/>
    <x v="2"/>
    <x v="1"/>
    <x v="0"/>
    <x v="0"/>
    <x v="3"/>
    <n v="5"/>
    <x v="3"/>
    <x v="1"/>
  </r>
  <r>
    <x v="1"/>
    <x v="2"/>
    <x v="1"/>
    <x v="0"/>
    <x v="0"/>
    <x v="4"/>
    <n v="2"/>
    <x v="4"/>
    <x v="1"/>
  </r>
  <r>
    <x v="1"/>
    <x v="2"/>
    <x v="1"/>
    <x v="0"/>
    <x v="0"/>
    <x v="5"/>
    <n v="8"/>
    <x v="5"/>
    <x v="1"/>
  </r>
  <r>
    <x v="1"/>
    <x v="2"/>
    <x v="1"/>
    <x v="0"/>
    <x v="0"/>
    <x v="6"/>
    <n v="13"/>
    <x v="6"/>
    <x v="1"/>
  </r>
  <r>
    <x v="1"/>
    <x v="2"/>
    <x v="1"/>
    <x v="0"/>
    <x v="0"/>
    <x v="7"/>
    <n v="16"/>
    <x v="7"/>
    <x v="0"/>
  </r>
  <r>
    <x v="1"/>
    <x v="2"/>
    <x v="1"/>
    <x v="0"/>
    <x v="1"/>
    <x v="8"/>
    <n v="11"/>
    <x v="8"/>
    <x v="1"/>
  </r>
  <r>
    <x v="1"/>
    <x v="2"/>
    <x v="1"/>
    <x v="0"/>
    <x v="1"/>
    <x v="9"/>
    <n v="16"/>
    <x v="9"/>
    <x v="1"/>
  </r>
  <r>
    <x v="1"/>
    <x v="2"/>
    <x v="1"/>
    <x v="0"/>
    <x v="1"/>
    <x v="10"/>
    <n v="14"/>
    <x v="10"/>
    <x v="1"/>
  </r>
  <r>
    <x v="1"/>
    <x v="2"/>
    <x v="1"/>
    <x v="0"/>
    <x v="1"/>
    <x v="11"/>
    <n v="15"/>
    <x v="11"/>
    <x v="1"/>
  </r>
  <r>
    <x v="1"/>
    <x v="2"/>
    <x v="1"/>
    <x v="0"/>
    <x v="2"/>
    <x v="12"/>
    <n v="19"/>
    <x v="12"/>
    <x v="0"/>
  </r>
  <r>
    <x v="1"/>
    <x v="2"/>
    <x v="1"/>
    <x v="0"/>
    <x v="2"/>
    <x v="13"/>
    <n v="20"/>
    <x v="13"/>
    <x v="0"/>
  </r>
  <r>
    <x v="1"/>
    <x v="2"/>
    <x v="1"/>
    <x v="0"/>
    <x v="2"/>
    <x v="14"/>
    <n v="14"/>
    <x v="14"/>
    <x v="0"/>
  </r>
  <r>
    <x v="1"/>
    <x v="2"/>
    <x v="1"/>
    <x v="0"/>
    <x v="2"/>
    <x v="15"/>
    <n v="23"/>
    <x v="15"/>
    <x v="1"/>
  </r>
  <r>
    <x v="1"/>
    <x v="2"/>
    <x v="1"/>
    <x v="0"/>
    <x v="2"/>
    <x v="16"/>
    <n v="19"/>
    <x v="16"/>
    <x v="1"/>
  </r>
  <r>
    <x v="1"/>
    <x v="2"/>
    <x v="1"/>
    <x v="0"/>
    <x v="2"/>
    <x v="17"/>
    <n v="28"/>
    <x v="17"/>
    <x v="1"/>
  </r>
  <r>
    <x v="1"/>
    <x v="2"/>
    <x v="1"/>
    <x v="0"/>
    <x v="2"/>
    <x v="18"/>
    <n v="14"/>
    <x v="18"/>
    <x v="1"/>
  </r>
  <r>
    <x v="1"/>
    <x v="2"/>
    <x v="1"/>
    <x v="0"/>
    <x v="2"/>
    <x v="19"/>
    <n v="21"/>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1"/>
    <x v="7"/>
    <x v="0"/>
  </r>
  <r>
    <x v="1"/>
    <x v="2"/>
    <x v="1"/>
    <x v="1"/>
    <x v="1"/>
    <x v="8"/>
    <n v="0"/>
    <x v="8"/>
    <x v="1"/>
  </r>
  <r>
    <x v="1"/>
    <x v="2"/>
    <x v="1"/>
    <x v="1"/>
    <x v="1"/>
    <x v="9"/>
    <n v="2"/>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0"/>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11"/>
    <x v="0"/>
    <x v="0"/>
  </r>
  <r>
    <x v="1"/>
    <x v="3"/>
    <x v="2"/>
    <x v="0"/>
    <x v="0"/>
    <x v="1"/>
    <n v="21"/>
    <x v="1"/>
    <x v="0"/>
  </r>
  <r>
    <x v="1"/>
    <x v="3"/>
    <x v="2"/>
    <x v="0"/>
    <x v="0"/>
    <x v="2"/>
    <n v="29"/>
    <x v="2"/>
    <x v="0"/>
  </r>
  <r>
    <x v="1"/>
    <x v="3"/>
    <x v="2"/>
    <x v="0"/>
    <x v="0"/>
    <x v="3"/>
    <n v="16"/>
    <x v="3"/>
    <x v="1"/>
  </r>
  <r>
    <x v="1"/>
    <x v="3"/>
    <x v="2"/>
    <x v="0"/>
    <x v="0"/>
    <x v="4"/>
    <n v="21"/>
    <x v="4"/>
    <x v="1"/>
  </r>
  <r>
    <x v="1"/>
    <x v="3"/>
    <x v="2"/>
    <x v="0"/>
    <x v="0"/>
    <x v="5"/>
    <n v="31"/>
    <x v="5"/>
    <x v="1"/>
  </r>
  <r>
    <x v="1"/>
    <x v="3"/>
    <x v="2"/>
    <x v="0"/>
    <x v="0"/>
    <x v="6"/>
    <n v="51"/>
    <x v="6"/>
    <x v="1"/>
  </r>
  <r>
    <x v="1"/>
    <x v="3"/>
    <x v="2"/>
    <x v="0"/>
    <x v="0"/>
    <x v="7"/>
    <n v="33"/>
    <x v="7"/>
    <x v="0"/>
  </r>
  <r>
    <x v="1"/>
    <x v="3"/>
    <x v="2"/>
    <x v="0"/>
    <x v="1"/>
    <x v="8"/>
    <n v="55"/>
    <x v="8"/>
    <x v="1"/>
  </r>
  <r>
    <x v="1"/>
    <x v="3"/>
    <x v="2"/>
    <x v="0"/>
    <x v="1"/>
    <x v="9"/>
    <n v="49"/>
    <x v="9"/>
    <x v="1"/>
  </r>
  <r>
    <x v="1"/>
    <x v="3"/>
    <x v="2"/>
    <x v="0"/>
    <x v="1"/>
    <x v="10"/>
    <n v="61"/>
    <x v="10"/>
    <x v="1"/>
  </r>
  <r>
    <x v="1"/>
    <x v="3"/>
    <x v="2"/>
    <x v="0"/>
    <x v="1"/>
    <x v="11"/>
    <n v="58"/>
    <x v="11"/>
    <x v="1"/>
  </r>
  <r>
    <x v="1"/>
    <x v="3"/>
    <x v="2"/>
    <x v="0"/>
    <x v="2"/>
    <x v="12"/>
    <n v="70"/>
    <x v="12"/>
    <x v="0"/>
  </r>
  <r>
    <x v="1"/>
    <x v="3"/>
    <x v="2"/>
    <x v="0"/>
    <x v="2"/>
    <x v="13"/>
    <n v="70"/>
    <x v="13"/>
    <x v="0"/>
  </r>
  <r>
    <x v="1"/>
    <x v="3"/>
    <x v="2"/>
    <x v="0"/>
    <x v="2"/>
    <x v="14"/>
    <n v="66"/>
    <x v="14"/>
    <x v="0"/>
  </r>
  <r>
    <x v="1"/>
    <x v="3"/>
    <x v="2"/>
    <x v="0"/>
    <x v="2"/>
    <x v="15"/>
    <n v="56"/>
    <x v="15"/>
    <x v="1"/>
  </r>
  <r>
    <x v="1"/>
    <x v="3"/>
    <x v="2"/>
    <x v="0"/>
    <x v="2"/>
    <x v="16"/>
    <n v="61"/>
    <x v="16"/>
    <x v="1"/>
  </r>
  <r>
    <x v="1"/>
    <x v="3"/>
    <x v="2"/>
    <x v="0"/>
    <x v="2"/>
    <x v="17"/>
    <n v="89"/>
    <x v="17"/>
    <x v="1"/>
  </r>
  <r>
    <x v="1"/>
    <x v="3"/>
    <x v="2"/>
    <x v="0"/>
    <x v="2"/>
    <x v="18"/>
    <n v="61"/>
    <x v="18"/>
    <x v="1"/>
  </r>
  <r>
    <x v="1"/>
    <x v="3"/>
    <x v="2"/>
    <x v="0"/>
    <x v="2"/>
    <x v="19"/>
    <n v="53"/>
    <x v="19"/>
    <x v="0"/>
  </r>
  <r>
    <x v="1"/>
    <x v="3"/>
    <x v="2"/>
    <x v="1"/>
    <x v="0"/>
    <x v="0"/>
    <n v="0"/>
    <x v="0"/>
    <x v="0"/>
  </r>
  <r>
    <x v="1"/>
    <x v="3"/>
    <x v="2"/>
    <x v="1"/>
    <x v="0"/>
    <x v="1"/>
    <n v="3"/>
    <x v="1"/>
    <x v="0"/>
  </r>
  <r>
    <x v="1"/>
    <x v="3"/>
    <x v="2"/>
    <x v="1"/>
    <x v="0"/>
    <x v="2"/>
    <n v="2"/>
    <x v="2"/>
    <x v="0"/>
  </r>
  <r>
    <x v="1"/>
    <x v="3"/>
    <x v="2"/>
    <x v="1"/>
    <x v="0"/>
    <x v="3"/>
    <n v="1"/>
    <x v="3"/>
    <x v="1"/>
  </r>
  <r>
    <x v="1"/>
    <x v="3"/>
    <x v="2"/>
    <x v="1"/>
    <x v="0"/>
    <x v="4"/>
    <n v="1"/>
    <x v="4"/>
    <x v="1"/>
  </r>
  <r>
    <x v="1"/>
    <x v="3"/>
    <x v="2"/>
    <x v="1"/>
    <x v="0"/>
    <x v="5"/>
    <n v="2"/>
    <x v="5"/>
    <x v="1"/>
  </r>
  <r>
    <x v="1"/>
    <x v="3"/>
    <x v="2"/>
    <x v="1"/>
    <x v="0"/>
    <x v="6"/>
    <n v="2"/>
    <x v="6"/>
    <x v="1"/>
  </r>
  <r>
    <x v="1"/>
    <x v="3"/>
    <x v="2"/>
    <x v="1"/>
    <x v="0"/>
    <x v="7"/>
    <n v="4"/>
    <x v="7"/>
    <x v="0"/>
  </r>
  <r>
    <x v="1"/>
    <x v="3"/>
    <x v="2"/>
    <x v="1"/>
    <x v="1"/>
    <x v="8"/>
    <n v="2"/>
    <x v="8"/>
    <x v="1"/>
  </r>
  <r>
    <x v="1"/>
    <x v="3"/>
    <x v="2"/>
    <x v="1"/>
    <x v="1"/>
    <x v="9"/>
    <n v="1"/>
    <x v="9"/>
    <x v="1"/>
  </r>
  <r>
    <x v="1"/>
    <x v="3"/>
    <x v="2"/>
    <x v="1"/>
    <x v="1"/>
    <x v="10"/>
    <n v="4"/>
    <x v="10"/>
    <x v="1"/>
  </r>
  <r>
    <x v="1"/>
    <x v="3"/>
    <x v="2"/>
    <x v="1"/>
    <x v="1"/>
    <x v="11"/>
    <n v="1"/>
    <x v="11"/>
    <x v="1"/>
  </r>
  <r>
    <x v="1"/>
    <x v="3"/>
    <x v="2"/>
    <x v="1"/>
    <x v="2"/>
    <x v="12"/>
    <n v="1"/>
    <x v="12"/>
    <x v="0"/>
  </r>
  <r>
    <x v="1"/>
    <x v="3"/>
    <x v="2"/>
    <x v="1"/>
    <x v="2"/>
    <x v="13"/>
    <n v="0"/>
    <x v="13"/>
    <x v="0"/>
  </r>
  <r>
    <x v="1"/>
    <x v="3"/>
    <x v="2"/>
    <x v="1"/>
    <x v="2"/>
    <x v="14"/>
    <n v="2"/>
    <x v="14"/>
    <x v="0"/>
  </r>
  <r>
    <x v="1"/>
    <x v="3"/>
    <x v="2"/>
    <x v="1"/>
    <x v="2"/>
    <x v="15"/>
    <n v="2"/>
    <x v="15"/>
    <x v="1"/>
  </r>
  <r>
    <x v="1"/>
    <x v="3"/>
    <x v="2"/>
    <x v="1"/>
    <x v="2"/>
    <x v="16"/>
    <n v="0"/>
    <x v="16"/>
    <x v="1"/>
  </r>
  <r>
    <x v="1"/>
    <x v="3"/>
    <x v="2"/>
    <x v="1"/>
    <x v="2"/>
    <x v="17"/>
    <n v="2"/>
    <x v="17"/>
    <x v="1"/>
  </r>
  <r>
    <x v="1"/>
    <x v="3"/>
    <x v="2"/>
    <x v="1"/>
    <x v="2"/>
    <x v="18"/>
    <n v="3"/>
    <x v="18"/>
    <x v="1"/>
  </r>
  <r>
    <x v="1"/>
    <x v="3"/>
    <x v="2"/>
    <x v="1"/>
    <x v="2"/>
    <x v="19"/>
    <n v="0"/>
    <x v="19"/>
    <x v="0"/>
  </r>
  <r>
    <x v="1"/>
    <x v="3"/>
    <x v="2"/>
    <x v="2"/>
    <x v="0"/>
    <x v="0"/>
    <n v="0"/>
    <x v="0"/>
    <x v="0"/>
  </r>
  <r>
    <x v="1"/>
    <x v="3"/>
    <x v="2"/>
    <x v="2"/>
    <x v="0"/>
    <x v="1"/>
    <n v="0"/>
    <x v="1"/>
    <x v="0"/>
  </r>
  <r>
    <x v="1"/>
    <x v="3"/>
    <x v="2"/>
    <x v="2"/>
    <x v="0"/>
    <x v="2"/>
    <n v="1"/>
    <x v="2"/>
    <x v="0"/>
  </r>
  <r>
    <x v="1"/>
    <x v="3"/>
    <x v="2"/>
    <x v="2"/>
    <x v="0"/>
    <x v="3"/>
    <n v="2"/>
    <x v="3"/>
    <x v="1"/>
  </r>
  <r>
    <x v="1"/>
    <x v="3"/>
    <x v="2"/>
    <x v="2"/>
    <x v="0"/>
    <x v="4"/>
    <n v="0"/>
    <x v="4"/>
    <x v="1"/>
  </r>
  <r>
    <x v="1"/>
    <x v="3"/>
    <x v="2"/>
    <x v="2"/>
    <x v="0"/>
    <x v="5"/>
    <n v="1"/>
    <x v="5"/>
    <x v="1"/>
  </r>
  <r>
    <x v="1"/>
    <x v="3"/>
    <x v="2"/>
    <x v="2"/>
    <x v="0"/>
    <x v="6"/>
    <n v="0"/>
    <x v="6"/>
    <x v="1"/>
  </r>
  <r>
    <x v="1"/>
    <x v="3"/>
    <x v="2"/>
    <x v="2"/>
    <x v="0"/>
    <x v="7"/>
    <n v="2"/>
    <x v="7"/>
    <x v="0"/>
  </r>
  <r>
    <x v="1"/>
    <x v="3"/>
    <x v="2"/>
    <x v="2"/>
    <x v="1"/>
    <x v="8"/>
    <n v="0"/>
    <x v="8"/>
    <x v="1"/>
  </r>
  <r>
    <x v="1"/>
    <x v="3"/>
    <x v="2"/>
    <x v="2"/>
    <x v="1"/>
    <x v="9"/>
    <n v="0"/>
    <x v="9"/>
    <x v="1"/>
  </r>
  <r>
    <x v="1"/>
    <x v="3"/>
    <x v="2"/>
    <x v="2"/>
    <x v="1"/>
    <x v="10"/>
    <n v="1"/>
    <x v="10"/>
    <x v="1"/>
  </r>
  <r>
    <x v="1"/>
    <x v="3"/>
    <x v="2"/>
    <x v="2"/>
    <x v="1"/>
    <x v="11"/>
    <n v="2"/>
    <x v="11"/>
    <x v="1"/>
  </r>
  <r>
    <x v="1"/>
    <x v="3"/>
    <x v="2"/>
    <x v="2"/>
    <x v="2"/>
    <x v="12"/>
    <n v="2"/>
    <x v="12"/>
    <x v="0"/>
  </r>
  <r>
    <x v="1"/>
    <x v="3"/>
    <x v="2"/>
    <x v="2"/>
    <x v="2"/>
    <x v="13"/>
    <n v="2"/>
    <x v="13"/>
    <x v="0"/>
  </r>
  <r>
    <x v="1"/>
    <x v="3"/>
    <x v="2"/>
    <x v="2"/>
    <x v="2"/>
    <x v="14"/>
    <n v="4"/>
    <x v="14"/>
    <x v="0"/>
  </r>
  <r>
    <x v="1"/>
    <x v="3"/>
    <x v="2"/>
    <x v="2"/>
    <x v="2"/>
    <x v="15"/>
    <n v="3"/>
    <x v="15"/>
    <x v="1"/>
  </r>
  <r>
    <x v="1"/>
    <x v="3"/>
    <x v="2"/>
    <x v="2"/>
    <x v="2"/>
    <x v="16"/>
    <n v="2"/>
    <x v="16"/>
    <x v="1"/>
  </r>
  <r>
    <x v="1"/>
    <x v="3"/>
    <x v="2"/>
    <x v="2"/>
    <x v="2"/>
    <x v="17"/>
    <n v="3"/>
    <x v="17"/>
    <x v="1"/>
  </r>
  <r>
    <x v="1"/>
    <x v="3"/>
    <x v="2"/>
    <x v="2"/>
    <x v="2"/>
    <x v="18"/>
    <n v="6"/>
    <x v="18"/>
    <x v="1"/>
  </r>
  <r>
    <x v="1"/>
    <x v="3"/>
    <x v="2"/>
    <x v="2"/>
    <x v="2"/>
    <x v="19"/>
    <n v="2"/>
    <x v="19"/>
    <x v="0"/>
  </r>
  <r>
    <x v="2"/>
    <x v="4"/>
    <x v="2"/>
    <x v="0"/>
    <x v="0"/>
    <x v="0"/>
    <n v="74"/>
    <x v="0"/>
    <x v="0"/>
  </r>
  <r>
    <x v="2"/>
    <x v="4"/>
    <x v="2"/>
    <x v="0"/>
    <x v="0"/>
    <x v="1"/>
    <n v="137"/>
    <x v="1"/>
    <x v="0"/>
  </r>
  <r>
    <x v="2"/>
    <x v="4"/>
    <x v="2"/>
    <x v="0"/>
    <x v="0"/>
    <x v="2"/>
    <n v="129"/>
    <x v="2"/>
    <x v="0"/>
  </r>
  <r>
    <x v="2"/>
    <x v="4"/>
    <x v="2"/>
    <x v="0"/>
    <x v="0"/>
    <x v="3"/>
    <n v="200"/>
    <x v="3"/>
    <x v="1"/>
  </r>
  <r>
    <x v="2"/>
    <x v="4"/>
    <x v="2"/>
    <x v="0"/>
    <x v="0"/>
    <x v="4"/>
    <n v="166"/>
    <x v="4"/>
    <x v="1"/>
  </r>
  <r>
    <x v="2"/>
    <x v="4"/>
    <x v="2"/>
    <x v="0"/>
    <x v="0"/>
    <x v="5"/>
    <n v="149"/>
    <x v="5"/>
    <x v="1"/>
  </r>
  <r>
    <x v="2"/>
    <x v="4"/>
    <x v="2"/>
    <x v="0"/>
    <x v="0"/>
    <x v="6"/>
    <n v="171"/>
    <x v="6"/>
    <x v="1"/>
  </r>
  <r>
    <x v="2"/>
    <x v="4"/>
    <x v="2"/>
    <x v="0"/>
    <x v="0"/>
    <x v="7"/>
    <n v="166"/>
    <x v="7"/>
    <x v="0"/>
  </r>
  <r>
    <x v="2"/>
    <x v="4"/>
    <x v="2"/>
    <x v="0"/>
    <x v="1"/>
    <x v="8"/>
    <n v="124"/>
    <x v="8"/>
    <x v="1"/>
  </r>
  <r>
    <x v="2"/>
    <x v="4"/>
    <x v="2"/>
    <x v="0"/>
    <x v="1"/>
    <x v="9"/>
    <n v="143"/>
    <x v="9"/>
    <x v="1"/>
  </r>
  <r>
    <x v="2"/>
    <x v="4"/>
    <x v="2"/>
    <x v="0"/>
    <x v="1"/>
    <x v="10"/>
    <n v="130"/>
    <x v="10"/>
    <x v="1"/>
  </r>
  <r>
    <x v="2"/>
    <x v="4"/>
    <x v="2"/>
    <x v="0"/>
    <x v="1"/>
    <x v="11"/>
    <n v="144"/>
    <x v="11"/>
    <x v="1"/>
  </r>
  <r>
    <x v="2"/>
    <x v="4"/>
    <x v="2"/>
    <x v="0"/>
    <x v="2"/>
    <x v="12"/>
    <n v="207"/>
    <x v="12"/>
    <x v="0"/>
  </r>
  <r>
    <x v="2"/>
    <x v="4"/>
    <x v="2"/>
    <x v="0"/>
    <x v="2"/>
    <x v="13"/>
    <n v="201"/>
    <x v="13"/>
    <x v="0"/>
  </r>
  <r>
    <x v="2"/>
    <x v="4"/>
    <x v="2"/>
    <x v="0"/>
    <x v="2"/>
    <x v="14"/>
    <n v="185"/>
    <x v="14"/>
    <x v="0"/>
  </r>
  <r>
    <x v="2"/>
    <x v="4"/>
    <x v="2"/>
    <x v="0"/>
    <x v="2"/>
    <x v="15"/>
    <n v="180"/>
    <x v="15"/>
    <x v="1"/>
  </r>
  <r>
    <x v="2"/>
    <x v="4"/>
    <x v="2"/>
    <x v="0"/>
    <x v="2"/>
    <x v="16"/>
    <n v="212"/>
    <x v="16"/>
    <x v="1"/>
  </r>
  <r>
    <x v="2"/>
    <x v="4"/>
    <x v="2"/>
    <x v="0"/>
    <x v="2"/>
    <x v="17"/>
    <n v="159"/>
    <x v="17"/>
    <x v="1"/>
  </r>
  <r>
    <x v="2"/>
    <x v="4"/>
    <x v="2"/>
    <x v="0"/>
    <x v="2"/>
    <x v="18"/>
    <n v="219"/>
    <x v="18"/>
    <x v="1"/>
  </r>
  <r>
    <x v="2"/>
    <x v="4"/>
    <x v="2"/>
    <x v="0"/>
    <x v="2"/>
    <x v="19"/>
    <n v="177"/>
    <x v="19"/>
    <x v="0"/>
  </r>
  <r>
    <x v="2"/>
    <x v="4"/>
    <x v="2"/>
    <x v="1"/>
    <x v="0"/>
    <x v="0"/>
    <n v="5"/>
    <x v="0"/>
    <x v="0"/>
  </r>
  <r>
    <x v="2"/>
    <x v="4"/>
    <x v="2"/>
    <x v="1"/>
    <x v="0"/>
    <x v="1"/>
    <n v="2"/>
    <x v="1"/>
    <x v="0"/>
  </r>
  <r>
    <x v="2"/>
    <x v="4"/>
    <x v="2"/>
    <x v="1"/>
    <x v="0"/>
    <x v="2"/>
    <n v="5"/>
    <x v="2"/>
    <x v="0"/>
  </r>
  <r>
    <x v="2"/>
    <x v="4"/>
    <x v="2"/>
    <x v="1"/>
    <x v="0"/>
    <x v="3"/>
    <n v="4"/>
    <x v="3"/>
    <x v="1"/>
  </r>
  <r>
    <x v="2"/>
    <x v="4"/>
    <x v="2"/>
    <x v="1"/>
    <x v="0"/>
    <x v="4"/>
    <n v="9"/>
    <x v="4"/>
    <x v="1"/>
  </r>
  <r>
    <x v="2"/>
    <x v="4"/>
    <x v="2"/>
    <x v="1"/>
    <x v="0"/>
    <x v="5"/>
    <n v="4"/>
    <x v="5"/>
    <x v="1"/>
  </r>
  <r>
    <x v="2"/>
    <x v="4"/>
    <x v="2"/>
    <x v="1"/>
    <x v="0"/>
    <x v="6"/>
    <n v="11"/>
    <x v="6"/>
    <x v="1"/>
  </r>
  <r>
    <x v="2"/>
    <x v="4"/>
    <x v="2"/>
    <x v="1"/>
    <x v="0"/>
    <x v="7"/>
    <n v="10"/>
    <x v="7"/>
    <x v="0"/>
  </r>
  <r>
    <x v="2"/>
    <x v="4"/>
    <x v="2"/>
    <x v="1"/>
    <x v="1"/>
    <x v="8"/>
    <n v="5"/>
    <x v="8"/>
    <x v="1"/>
  </r>
  <r>
    <x v="2"/>
    <x v="4"/>
    <x v="2"/>
    <x v="1"/>
    <x v="1"/>
    <x v="9"/>
    <n v="6"/>
    <x v="9"/>
    <x v="1"/>
  </r>
  <r>
    <x v="2"/>
    <x v="4"/>
    <x v="2"/>
    <x v="1"/>
    <x v="1"/>
    <x v="10"/>
    <n v="8"/>
    <x v="10"/>
    <x v="1"/>
  </r>
  <r>
    <x v="2"/>
    <x v="4"/>
    <x v="2"/>
    <x v="1"/>
    <x v="1"/>
    <x v="11"/>
    <n v="5"/>
    <x v="11"/>
    <x v="1"/>
  </r>
  <r>
    <x v="2"/>
    <x v="4"/>
    <x v="2"/>
    <x v="1"/>
    <x v="2"/>
    <x v="12"/>
    <n v="1"/>
    <x v="12"/>
    <x v="0"/>
  </r>
  <r>
    <x v="2"/>
    <x v="4"/>
    <x v="2"/>
    <x v="1"/>
    <x v="2"/>
    <x v="13"/>
    <n v="3"/>
    <x v="13"/>
    <x v="0"/>
  </r>
  <r>
    <x v="2"/>
    <x v="4"/>
    <x v="2"/>
    <x v="1"/>
    <x v="2"/>
    <x v="14"/>
    <n v="0"/>
    <x v="14"/>
    <x v="0"/>
  </r>
  <r>
    <x v="2"/>
    <x v="4"/>
    <x v="2"/>
    <x v="1"/>
    <x v="2"/>
    <x v="15"/>
    <n v="2"/>
    <x v="15"/>
    <x v="1"/>
  </r>
  <r>
    <x v="2"/>
    <x v="4"/>
    <x v="2"/>
    <x v="1"/>
    <x v="2"/>
    <x v="16"/>
    <n v="1"/>
    <x v="16"/>
    <x v="1"/>
  </r>
  <r>
    <x v="2"/>
    <x v="4"/>
    <x v="2"/>
    <x v="1"/>
    <x v="2"/>
    <x v="17"/>
    <n v="1"/>
    <x v="17"/>
    <x v="1"/>
  </r>
  <r>
    <x v="2"/>
    <x v="4"/>
    <x v="2"/>
    <x v="1"/>
    <x v="2"/>
    <x v="18"/>
    <n v="1"/>
    <x v="18"/>
    <x v="1"/>
  </r>
  <r>
    <x v="2"/>
    <x v="4"/>
    <x v="2"/>
    <x v="1"/>
    <x v="2"/>
    <x v="19"/>
    <n v="2"/>
    <x v="19"/>
    <x v="0"/>
  </r>
  <r>
    <x v="2"/>
    <x v="4"/>
    <x v="2"/>
    <x v="2"/>
    <x v="0"/>
    <x v="0"/>
    <n v="2"/>
    <x v="0"/>
    <x v="0"/>
  </r>
  <r>
    <x v="2"/>
    <x v="4"/>
    <x v="2"/>
    <x v="2"/>
    <x v="0"/>
    <x v="1"/>
    <n v="0"/>
    <x v="1"/>
    <x v="0"/>
  </r>
  <r>
    <x v="2"/>
    <x v="4"/>
    <x v="2"/>
    <x v="2"/>
    <x v="0"/>
    <x v="2"/>
    <n v="2"/>
    <x v="2"/>
    <x v="0"/>
  </r>
  <r>
    <x v="2"/>
    <x v="4"/>
    <x v="2"/>
    <x v="2"/>
    <x v="0"/>
    <x v="3"/>
    <n v="1"/>
    <x v="3"/>
    <x v="1"/>
  </r>
  <r>
    <x v="2"/>
    <x v="4"/>
    <x v="2"/>
    <x v="2"/>
    <x v="0"/>
    <x v="4"/>
    <n v="1"/>
    <x v="4"/>
    <x v="1"/>
  </r>
  <r>
    <x v="2"/>
    <x v="4"/>
    <x v="2"/>
    <x v="2"/>
    <x v="0"/>
    <x v="5"/>
    <n v="1"/>
    <x v="5"/>
    <x v="1"/>
  </r>
  <r>
    <x v="2"/>
    <x v="4"/>
    <x v="2"/>
    <x v="2"/>
    <x v="0"/>
    <x v="6"/>
    <n v="3"/>
    <x v="6"/>
    <x v="1"/>
  </r>
  <r>
    <x v="2"/>
    <x v="4"/>
    <x v="2"/>
    <x v="2"/>
    <x v="0"/>
    <x v="7"/>
    <n v="0"/>
    <x v="7"/>
    <x v="0"/>
  </r>
  <r>
    <x v="2"/>
    <x v="4"/>
    <x v="2"/>
    <x v="2"/>
    <x v="1"/>
    <x v="8"/>
    <n v="0"/>
    <x v="8"/>
    <x v="1"/>
  </r>
  <r>
    <x v="2"/>
    <x v="4"/>
    <x v="2"/>
    <x v="2"/>
    <x v="1"/>
    <x v="9"/>
    <n v="0"/>
    <x v="9"/>
    <x v="1"/>
  </r>
  <r>
    <x v="2"/>
    <x v="4"/>
    <x v="2"/>
    <x v="2"/>
    <x v="1"/>
    <x v="10"/>
    <n v="1"/>
    <x v="10"/>
    <x v="1"/>
  </r>
  <r>
    <x v="2"/>
    <x v="4"/>
    <x v="2"/>
    <x v="2"/>
    <x v="1"/>
    <x v="11"/>
    <n v="1"/>
    <x v="11"/>
    <x v="1"/>
  </r>
  <r>
    <x v="2"/>
    <x v="4"/>
    <x v="2"/>
    <x v="2"/>
    <x v="2"/>
    <x v="12"/>
    <n v="0"/>
    <x v="12"/>
    <x v="0"/>
  </r>
  <r>
    <x v="2"/>
    <x v="4"/>
    <x v="2"/>
    <x v="2"/>
    <x v="2"/>
    <x v="13"/>
    <n v="2"/>
    <x v="13"/>
    <x v="0"/>
  </r>
  <r>
    <x v="2"/>
    <x v="4"/>
    <x v="2"/>
    <x v="2"/>
    <x v="2"/>
    <x v="14"/>
    <n v="2"/>
    <x v="14"/>
    <x v="0"/>
  </r>
  <r>
    <x v="2"/>
    <x v="4"/>
    <x v="2"/>
    <x v="2"/>
    <x v="2"/>
    <x v="15"/>
    <n v="2"/>
    <x v="15"/>
    <x v="1"/>
  </r>
  <r>
    <x v="2"/>
    <x v="4"/>
    <x v="2"/>
    <x v="2"/>
    <x v="2"/>
    <x v="16"/>
    <n v="1"/>
    <x v="16"/>
    <x v="1"/>
  </r>
  <r>
    <x v="2"/>
    <x v="4"/>
    <x v="2"/>
    <x v="2"/>
    <x v="2"/>
    <x v="17"/>
    <n v="0"/>
    <x v="17"/>
    <x v="1"/>
  </r>
  <r>
    <x v="2"/>
    <x v="4"/>
    <x v="2"/>
    <x v="2"/>
    <x v="2"/>
    <x v="18"/>
    <n v="2"/>
    <x v="18"/>
    <x v="1"/>
  </r>
  <r>
    <x v="2"/>
    <x v="4"/>
    <x v="2"/>
    <x v="2"/>
    <x v="2"/>
    <x v="19"/>
    <n v="4"/>
    <x v="19"/>
    <x v="0"/>
  </r>
  <r>
    <x v="2"/>
    <x v="5"/>
    <x v="0"/>
    <x v="0"/>
    <x v="0"/>
    <x v="0"/>
    <n v="1"/>
    <x v="0"/>
    <x v="0"/>
  </r>
  <r>
    <x v="2"/>
    <x v="5"/>
    <x v="0"/>
    <x v="0"/>
    <x v="0"/>
    <x v="1"/>
    <n v="3"/>
    <x v="1"/>
    <x v="0"/>
  </r>
  <r>
    <x v="2"/>
    <x v="5"/>
    <x v="0"/>
    <x v="0"/>
    <x v="0"/>
    <x v="2"/>
    <n v="6"/>
    <x v="2"/>
    <x v="0"/>
  </r>
  <r>
    <x v="2"/>
    <x v="5"/>
    <x v="0"/>
    <x v="0"/>
    <x v="0"/>
    <x v="3"/>
    <n v="14"/>
    <x v="3"/>
    <x v="1"/>
  </r>
  <r>
    <x v="2"/>
    <x v="5"/>
    <x v="0"/>
    <x v="0"/>
    <x v="0"/>
    <x v="4"/>
    <n v="14"/>
    <x v="4"/>
    <x v="1"/>
  </r>
  <r>
    <x v="2"/>
    <x v="5"/>
    <x v="0"/>
    <x v="0"/>
    <x v="0"/>
    <x v="5"/>
    <n v="25"/>
    <x v="5"/>
    <x v="1"/>
  </r>
  <r>
    <x v="2"/>
    <x v="5"/>
    <x v="0"/>
    <x v="0"/>
    <x v="0"/>
    <x v="6"/>
    <n v="15"/>
    <x v="6"/>
    <x v="1"/>
  </r>
  <r>
    <x v="2"/>
    <x v="5"/>
    <x v="0"/>
    <x v="0"/>
    <x v="0"/>
    <x v="7"/>
    <n v="13"/>
    <x v="7"/>
    <x v="0"/>
  </r>
  <r>
    <x v="2"/>
    <x v="5"/>
    <x v="0"/>
    <x v="0"/>
    <x v="1"/>
    <x v="8"/>
    <n v="4"/>
    <x v="8"/>
    <x v="1"/>
  </r>
  <r>
    <x v="2"/>
    <x v="5"/>
    <x v="0"/>
    <x v="0"/>
    <x v="1"/>
    <x v="9"/>
    <n v="10"/>
    <x v="9"/>
    <x v="1"/>
  </r>
  <r>
    <x v="2"/>
    <x v="5"/>
    <x v="0"/>
    <x v="0"/>
    <x v="1"/>
    <x v="10"/>
    <n v="10"/>
    <x v="10"/>
    <x v="1"/>
  </r>
  <r>
    <x v="2"/>
    <x v="5"/>
    <x v="0"/>
    <x v="0"/>
    <x v="1"/>
    <x v="11"/>
    <n v="9"/>
    <x v="11"/>
    <x v="1"/>
  </r>
  <r>
    <x v="2"/>
    <x v="5"/>
    <x v="0"/>
    <x v="0"/>
    <x v="2"/>
    <x v="12"/>
    <n v="9"/>
    <x v="12"/>
    <x v="0"/>
  </r>
  <r>
    <x v="2"/>
    <x v="5"/>
    <x v="0"/>
    <x v="0"/>
    <x v="2"/>
    <x v="13"/>
    <n v="10"/>
    <x v="13"/>
    <x v="0"/>
  </r>
  <r>
    <x v="2"/>
    <x v="5"/>
    <x v="0"/>
    <x v="0"/>
    <x v="2"/>
    <x v="14"/>
    <n v="8"/>
    <x v="14"/>
    <x v="0"/>
  </r>
  <r>
    <x v="2"/>
    <x v="5"/>
    <x v="0"/>
    <x v="0"/>
    <x v="2"/>
    <x v="15"/>
    <n v="25"/>
    <x v="15"/>
    <x v="1"/>
  </r>
  <r>
    <x v="2"/>
    <x v="5"/>
    <x v="0"/>
    <x v="0"/>
    <x v="2"/>
    <x v="16"/>
    <n v="13"/>
    <x v="16"/>
    <x v="1"/>
  </r>
  <r>
    <x v="2"/>
    <x v="5"/>
    <x v="0"/>
    <x v="0"/>
    <x v="2"/>
    <x v="17"/>
    <n v="8"/>
    <x v="17"/>
    <x v="1"/>
  </r>
  <r>
    <x v="2"/>
    <x v="5"/>
    <x v="0"/>
    <x v="0"/>
    <x v="2"/>
    <x v="18"/>
    <n v="24"/>
    <x v="18"/>
    <x v="1"/>
  </r>
  <r>
    <x v="2"/>
    <x v="5"/>
    <x v="0"/>
    <x v="0"/>
    <x v="2"/>
    <x v="19"/>
    <n v="18"/>
    <x v="19"/>
    <x v="0"/>
  </r>
  <r>
    <x v="2"/>
    <x v="5"/>
    <x v="0"/>
    <x v="1"/>
    <x v="0"/>
    <x v="0"/>
    <n v="0"/>
    <x v="0"/>
    <x v="0"/>
  </r>
  <r>
    <x v="2"/>
    <x v="5"/>
    <x v="0"/>
    <x v="1"/>
    <x v="0"/>
    <x v="1"/>
    <n v="0"/>
    <x v="1"/>
    <x v="0"/>
  </r>
  <r>
    <x v="2"/>
    <x v="5"/>
    <x v="0"/>
    <x v="1"/>
    <x v="0"/>
    <x v="2"/>
    <n v="0"/>
    <x v="2"/>
    <x v="0"/>
  </r>
  <r>
    <x v="2"/>
    <x v="5"/>
    <x v="0"/>
    <x v="1"/>
    <x v="0"/>
    <x v="3"/>
    <n v="0"/>
    <x v="3"/>
    <x v="1"/>
  </r>
  <r>
    <x v="2"/>
    <x v="5"/>
    <x v="0"/>
    <x v="1"/>
    <x v="0"/>
    <x v="4"/>
    <n v="1"/>
    <x v="4"/>
    <x v="1"/>
  </r>
  <r>
    <x v="2"/>
    <x v="5"/>
    <x v="0"/>
    <x v="1"/>
    <x v="0"/>
    <x v="5"/>
    <n v="0"/>
    <x v="5"/>
    <x v="1"/>
  </r>
  <r>
    <x v="2"/>
    <x v="5"/>
    <x v="0"/>
    <x v="1"/>
    <x v="0"/>
    <x v="6"/>
    <n v="1"/>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1"/>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Waimairi Road North</v>
      </c>
      <c r="C4" s="1" t="str">
        <f>Input!C31</f>
        <v>Waimairi Road South</v>
      </c>
      <c r="D4" s="1" t="str">
        <f>Input!C42</f>
        <v>Peer Street South-West</v>
      </c>
      <c r="E4" s="1">
        <f>Input!C53</f>
        <v>0</v>
      </c>
      <c r="F4" s="1">
        <f>Input!C64</f>
        <v>0</v>
      </c>
      <c r="G4" s="1">
        <f>Input!C75</f>
        <v>0</v>
      </c>
      <c r="H4" s="1">
        <f>Input!C86</f>
        <v>0</v>
      </c>
    </row>
    <row r="6" spans="2:8" x14ac:dyDescent="0.25">
      <c r="B6" t="s">
        <v>18</v>
      </c>
    </row>
    <row r="8" spans="2:8" x14ac:dyDescent="0.25">
      <c r="B8" s="1" t="str">
        <f>Input!C22</f>
        <v>Thru to Waimairi Road South</v>
      </c>
      <c r="C8" s="1" t="str">
        <f>Input!C33</f>
        <v>Hard Left into Peer Street South-West</v>
      </c>
      <c r="D8" s="1" t="str">
        <f>Input!C44</f>
        <v>Bear Left into Waimairi Road North</v>
      </c>
      <c r="E8" s="1">
        <f>Input!C55</f>
        <v>0</v>
      </c>
      <c r="F8" s="1">
        <f>Input!C66</f>
        <v>0</v>
      </c>
      <c r="G8" s="1">
        <f>Input!C77</f>
        <v>0</v>
      </c>
      <c r="H8" s="1">
        <f>Input!C88</f>
        <v>0</v>
      </c>
    </row>
    <row r="9" spans="2:8" x14ac:dyDescent="0.25">
      <c r="B9" s="1" t="str">
        <f>Input!C23</f>
        <v>Bear Right into Peer Street South-West</v>
      </c>
      <c r="C9" s="1" t="str">
        <f>Input!C34</f>
        <v>Thru to Waimairi Road North</v>
      </c>
      <c r="D9" s="1" t="str">
        <f>Input!C45</f>
        <v>Hard Right into Waimairi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Waimairi Road South</v>
      </c>
      <c r="C18" s="1" t="str">
        <f>Input!E33</f>
        <v>Peer Street South-West</v>
      </c>
      <c r="D18" s="1" t="str">
        <f>Input!E44</f>
        <v>Waimairi Road North</v>
      </c>
      <c r="E18" s="1">
        <f>Input!E55</f>
        <v>0</v>
      </c>
      <c r="F18" s="1">
        <f>Input!E66</f>
        <v>0</v>
      </c>
      <c r="G18" s="1">
        <f>Input!E77</f>
        <v>0</v>
      </c>
      <c r="H18" s="1">
        <f>Input!E88</f>
        <v>0</v>
      </c>
    </row>
    <row r="19" spans="2:8" x14ac:dyDescent="0.25">
      <c r="B19" s="1" t="str">
        <f>Input!E23</f>
        <v>Peer Street South-West</v>
      </c>
      <c r="C19" s="1" t="str">
        <f>Input!E34</f>
        <v>Waimairi Road North</v>
      </c>
      <c r="D19" s="1" t="str">
        <f>Input!E45</f>
        <v>Waimairi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Normal="10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37</v>
      </c>
      <c r="D8">
        <v>1</v>
      </c>
      <c r="E8">
        <v>1</v>
      </c>
      <c r="F8" s="28">
        <v>145</v>
      </c>
      <c r="G8">
        <v>3</v>
      </c>
      <c r="H8">
        <v>2</v>
      </c>
      <c r="I8" s="31">
        <v>3</v>
      </c>
      <c r="J8">
        <v>0</v>
      </c>
      <c r="K8">
        <v>0</v>
      </c>
      <c r="L8" s="28">
        <v>11</v>
      </c>
      <c r="M8">
        <v>0</v>
      </c>
      <c r="N8">
        <v>0</v>
      </c>
      <c r="O8" s="31">
        <v>74</v>
      </c>
      <c r="P8">
        <v>5</v>
      </c>
      <c r="Q8">
        <v>2</v>
      </c>
      <c r="R8" s="28">
        <v>1</v>
      </c>
      <c r="S8">
        <v>0</v>
      </c>
      <c r="T8" s="34">
        <v>0</v>
      </c>
    </row>
    <row r="9" spans="1:20" x14ac:dyDescent="0.25">
      <c r="A9" s="2" t="s">
        <v>43</v>
      </c>
      <c r="B9" s="7">
        <v>0.30208333333333331</v>
      </c>
      <c r="C9" s="31">
        <v>55</v>
      </c>
      <c r="D9">
        <v>1</v>
      </c>
      <c r="E9">
        <v>3</v>
      </c>
      <c r="F9" s="28">
        <v>201</v>
      </c>
      <c r="G9">
        <v>2</v>
      </c>
      <c r="H9">
        <v>0</v>
      </c>
      <c r="I9" s="31">
        <v>2</v>
      </c>
      <c r="J9">
        <v>0</v>
      </c>
      <c r="K9">
        <v>0</v>
      </c>
      <c r="L9" s="28">
        <v>21</v>
      </c>
      <c r="M9">
        <v>3</v>
      </c>
      <c r="N9">
        <v>0</v>
      </c>
      <c r="O9" s="31">
        <v>137</v>
      </c>
      <c r="P9">
        <v>2</v>
      </c>
      <c r="Q9">
        <v>0</v>
      </c>
      <c r="R9" s="28">
        <v>3</v>
      </c>
      <c r="S9">
        <v>0</v>
      </c>
      <c r="T9" s="34">
        <v>0</v>
      </c>
    </row>
    <row r="10" spans="1:20" x14ac:dyDescent="0.25">
      <c r="A10" s="2" t="s">
        <v>43</v>
      </c>
      <c r="B10" s="7">
        <v>0.3125</v>
      </c>
      <c r="C10" s="31">
        <v>66</v>
      </c>
      <c r="D10">
        <v>3</v>
      </c>
      <c r="E10">
        <v>4</v>
      </c>
      <c r="F10" s="28">
        <v>198</v>
      </c>
      <c r="G10">
        <v>2</v>
      </c>
      <c r="H10">
        <v>2</v>
      </c>
      <c r="I10" s="31">
        <v>3</v>
      </c>
      <c r="J10">
        <v>0</v>
      </c>
      <c r="K10">
        <v>0</v>
      </c>
      <c r="L10" s="28">
        <v>29</v>
      </c>
      <c r="M10">
        <v>2</v>
      </c>
      <c r="N10">
        <v>1</v>
      </c>
      <c r="O10" s="31">
        <v>129</v>
      </c>
      <c r="P10">
        <v>5</v>
      </c>
      <c r="Q10">
        <v>2</v>
      </c>
      <c r="R10" s="28">
        <v>6</v>
      </c>
      <c r="S10">
        <v>0</v>
      </c>
      <c r="T10" s="34">
        <v>1</v>
      </c>
    </row>
    <row r="11" spans="1:20" x14ac:dyDescent="0.25">
      <c r="A11" s="2" t="s">
        <v>43</v>
      </c>
      <c r="B11" s="7">
        <v>0.32291666666666669</v>
      </c>
      <c r="C11" s="31">
        <v>68</v>
      </c>
      <c r="D11">
        <v>1</v>
      </c>
      <c r="E11">
        <v>4</v>
      </c>
      <c r="F11" s="28">
        <v>166</v>
      </c>
      <c r="G11">
        <v>3</v>
      </c>
      <c r="H11">
        <v>1</v>
      </c>
      <c r="I11" s="31">
        <v>5</v>
      </c>
      <c r="J11">
        <v>0</v>
      </c>
      <c r="K11">
        <v>0</v>
      </c>
      <c r="L11" s="28">
        <v>16</v>
      </c>
      <c r="M11">
        <v>1</v>
      </c>
      <c r="N11">
        <v>2</v>
      </c>
      <c r="O11" s="31">
        <v>200</v>
      </c>
      <c r="P11">
        <v>4</v>
      </c>
      <c r="Q11">
        <v>1</v>
      </c>
      <c r="R11" s="28">
        <v>14</v>
      </c>
      <c r="S11">
        <v>0</v>
      </c>
      <c r="T11" s="34">
        <v>0</v>
      </c>
    </row>
    <row r="12" spans="1:20" x14ac:dyDescent="0.25">
      <c r="A12" s="2" t="s">
        <v>43</v>
      </c>
      <c r="B12" s="7">
        <v>0.33333333333333331</v>
      </c>
      <c r="C12" s="31">
        <v>53</v>
      </c>
      <c r="D12">
        <v>1</v>
      </c>
      <c r="E12">
        <v>1</v>
      </c>
      <c r="F12" s="28">
        <v>157</v>
      </c>
      <c r="G12">
        <v>2</v>
      </c>
      <c r="H12">
        <v>2</v>
      </c>
      <c r="I12" s="31">
        <v>2</v>
      </c>
      <c r="J12">
        <v>0</v>
      </c>
      <c r="K12">
        <v>0</v>
      </c>
      <c r="L12" s="28">
        <v>21</v>
      </c>
      <c r="M12">
        <v>1</v>
      </c>
      <c r="N12">
        <v>0</v>
      </c>
      <c r="O12" s="31">
        <v>166</v>
      </c>
      <c r="P12">
        <v>9</v>
      </c>
      <c r="Q12">
        <v>1</v>
      </c>
      <c r="R12" s="28">
        <v>14</v>
      </c>
      <c r="S12">
        <v>1</v>
      </c>
      <c r="T12" s="34">
        <v>0</v>
      </c>
    </row>
    <row r="13" spans="1:20" x14ac:dyDescent="0.25">
      <c r="A13" s="2" t="s">
        <v>43</v>
      </c>
      <c r="B13" s="7">
        <v>0.34375</v>
      </c>
      <c r="C13" s="31">
        <v>66</v>
      </c>
      <c r="D13">
        <v>3</v>
      </c>
      <c r="E13">
        <v>0</v>
      </c>
      <c r="F13" s="28">
        <v>125</v>
      </c>
      <c r="G13">
        <v>6</v>
      </c>
      <c r="H13">
        <v>1</v>
      </c>
      <c r="I13" s="31">
        <v>8</v>
      </c>
      <c r="J13">
        <v>0</v>
      </c>
      <c r="K13">
        <v>0</v>
      </c>
      <c r="L13" s="28">
        <v>31</v>
      </c>
      <c r="M13">
        <v>2</v>
      </c>
      <c r="N13">
        <v>1</v>
      </c>
      <c r="O13" s="31">
        <v>149</v>
      </c>
      <c r="P13">
        <v>4</v>
      </c>
      <c r="Q13">
        <v>1</v>
      </c>
      <c r="R13" s="28">
        <v>25</v>
      </c>
      <c r="S13">
        <v>0</v>
      </c>
      <c r="T13" s="34">
        <v>0</v>
      </c>
    </row>
    <row r="14" spans="1:20" x14ac:dyDescent="0.25">
      <c r="A14" s="2" t="s">
        <v>43</v>
      </c>
      <c r="B14" s="7">
        <v>0.35416666666666669</v>
      </c>
      <c r="C14" s="31">
        <v>71</v>
      </c>
      <c r="D14">
        <v>1</v>
      </c>
      <c r="E14">
        <v>1</v>
      </c>
      <c r="F14" s="28">
        <v>159</v>
      </c>
      <c r="G14">
        <v>3</v>
      </c>
      <c r="H14">
        <v>2</v>
      </c>
      <c r="I14" s="31">
        <v>13</v>
      </c>
      <c r="J14">
        <v>0</v>
      </c>
      <c r="K14">
        <v>0</v>
      </c>
      <c r="L14" s="28">
        <v>51</v>
      </c>
      <c r="M14">
        <v>2</v>
      </c>
      <c r="N14">
        <v>0</v>
      </c>
      <c r="O14" s="31">
        <v>171</v>
      </c>
      <c r="P14">
        <v>11</v>
      </c>
      <c r="Q14">
        <v>3</v>
      </c>
      <c r="R14" s="28">
        <v>15</v>
      </c>
      <c r="S14">
        <v>1</v>
      </c>
      <c r="T14" s="34">
        <v>0</v>
      </c>
    </row>
    <row r="15" spans="1:20" ht="15.75" thickBot="1" x14ac:dyDescent="0.3">
      <c r="A15" s="2" t="s">
        <v>43</v>
      </c>
      <c r="B15" s="7">
        <v>0.36458333333333331</v>
      </c>
      <c r="C15" s="31">
        <v>66</v>
      </c>
      <c r="D15">
        <v>4</v>
      </c>
      <c r="E15">
        <v>0</v>
      </c>
      <c r="F15" s="28">
        <v>112</v>
      </c>
      <c r="G15">
        <v>6</v>
      </c>
      <c r="H15">
        <v>0</v>
      </c>
      <c r="I15" s="31">
        <v>16</v>
      </c>
      <c r="J15">
        <v>1</v>
      </c>
      <c r="K15">
        <v>0</v>
      </c>
      <c r="L15" s="28">
        <v>33</v>
      </c>
      <c r="M15">
        <v>4</v>
      </c>
      <c r="N15">
        <v>2</v>
      </c>
      <c r="O15" s="31">
        <v>166</v>
      </c>
      <c r="P15">
        <v>10</v>
      </c>
      <c r="Q15">
        <v>0</v>
      </c>
      <c r="R15" s="28">
        <v>13</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39</v>
      </c>
      <c r="D17">
        <v>1</v>
      </c>
      <c r="E17">
        <v>0</v>
      </c>
      <c r="F17" s="28">
        <v>102</v>
      </c>
      <c r="G17">
        <v>6</v>
      </c>
      <c r="H17">
        <v>0</v>
      </c>
      <c r="I17" s="31">
        <v>11</v>
      </c>
      <c r="J17">
        <v>0</v>
      </c>
      <c r="K17">
        <v>0</v>
      </c>
      <c r="L17" s="28">
        <v>55</v>
      </c>
      <c r="M17">
        <v>2</v>
      </c>
      <c r="N17">
        <v>0</v>
      </c>
      <c r="O17" s="31">
        <v>124</v>
      </c>
      <c r="P17">
        <v>5</v>
      </c>
      <c r="Q17">
        <v>0</v>
      </c>
      <c r="R17" s="28">
        <v>4</v>
      </c>
      <c r="S17">
        <v>0</v>
      </c>
      <c r="T17" s="34">
        <v>0</v>
      </c>
    </row>
    <row r="18" spans="1:20" x14ac:dyDescent="0.25">
      <c r="A18" s="2" t="s">
        <v>91</v>
      </c>
      <c r="B18" s="7">
        <v>0.55208333333333337</v>
      </c>
      <c r="C18" s="31">
        <v>59</v>
      </c>
      <c r="D18">
        <v>1</v>
      </c>
      <c r="E18">
        <v>0</v>
      </c>
      <c r="F18" s="28">
        <v>116</v>
      </c>
      <c r="G18">
        <v>4</v>
      </c>
      <c r="H18">
        <v>0</v>
      </c>
      <c r="I18" s="31">
        <v>16</v>
      </c>
      <c r="J18">
        <v>2</v>
      </c>
      <c r="K18">
        <v>0</v>
      </c>
      <c r="L18" s="28">
        <v>49</v>
      </c>
      <c r="M18">
        <v>1</v>
      </c>
      <c r="N18">
        <v>0</v>
      </c>
      <c r="O18" s="31">
        <v>143</v>
      </c>
      <c r="P18">
        <v>6</v>
      </c>
      <c r="Q18">
        <v>0</v>
      </c>
      <c r="R18" s="28">
        <v>10</v>
      </c>
      <c r="S18">
        <v>0</v>
      </c>
      <c r="T18" s="34">
        <v>0</v>
      </c>
    </row>
    <row r="19" spans="1:20" x14ac:dyDescent="0.25">
      <c r="A19" s="2" t="s">
        <v>91</v>
      </c>
      <c r="B19" s="7">
        <v>0.5625</v>
      </c>
      <c r="C19" s="31">
        <v>54</v>
      </c>
      <c r="D19">
        <v>1</v>
      </c>
      <c r="E19">
        <v>1</v>
      </c>
      <c r="F19" s="28">
        <v>92</v>
      </c>
      <c r="G19">
        <v>3</v>
      </c>
      <c r="H19">
        <v>0</v>
      </c>
      <c r="I19" s="31">
        <v>14</v>
      </c>
      <c r="J19">
        <v>0</v>
      </c>
      <c r="K19">
        <v>0</v>
      </c>
      <c r="L19" s="28">
        <v>61</v>
      </c>
      <c r="M19">
        <v>4</v>
      </c>
      <c r="N19">
        <v>1</v>
      </c>
      <c r="O19" s="31">
        <v>130</v>
      </c>
      <c r="P19">
        <v>8</v>
      </c>
      <c r="Q19">
        <v>1</v>
      </c>
      <c r="R19" s="28">
        <v>10</v>
      </c>
      <c r="S19">
        <v>0</v>
      </c>
      <c r="T19" s="34">
        <v>0</v>
      </c>
    </row>
    <row r="20" spans="1:20" ht="15.75" thickBot="1" x14ac:dyDescent="0.3">
      <c r="A20" s="2" t="s">
        <v>91</v>
      </c>
      <c r="B20" s="7">
        <v>0.57291666666666663</v>
      </c>
      <c r="C20" s="31">
        <v>36</v>
      </c>
      <c r="D20">
        <v>1</v>
      </c>
      <c r="E20">
        <v>0</v>
      </c>
      <c r="F20" s="28">
        <v>124</v>
      </c>
      <c r="G20">
        <v>4</v>
      </c>
      <c r="H20">
        <v>0</v>
      </c>
      <c r="I20" s="31">
        <v>15</v>
      </c>
      <c r="J20">
        <v>0</v>
      </c>
      <c r="K20">
        <v>0</v>
      </c>
      <c r="L20" s="28">
        <v>58</v>
      </c>
      <c r="M20">
        <v>1</v>
      </c>
      <c r="N20">
        <v>2</v>
      </c>
      <c r="O20" s="31">
        <v>144</v>
      </c>
      <c r="P20">
        <v>5</v>
      </c>
      <c r="Q20">
        <v>1</v>
      </c>
      <c r="R20" s="28">
        <v>9</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53</v>
      </c>
      <c r="D22">
        <v>1</v>
      </c>
      <c r="E22">
        <v>0</v>
      </c>
      <c r="F22" s="28">
        <v>166</v>
      </c>
      <c r="G22">
        <v>5</v>
      </c>
      <c r="H22">
        <v>0</v>
      </c>
      <c r="I22" s="31">
        <v>19</v>
      </c>
      <c r="J22">
        <v>0</v>
      </c>
      <c r="K22">
        <v>0</v>
      </c>
      <c r="L22" s="28">
        <v>70</v>
      </c>
      <c r="M22">
        <v>1</v>
      </c>
      <c r="N22">
        <v>2</v>
      </c>
      <c r="O22" s="31">
        <v>207</v>
      </c>
      <c r="P22">
        <v>1</v>
      </c>
      <c r="Q22">
        <v>0</v>
      </c>
      <c r="R22" s="28">
        <v>9</v>
      </c>
      <c r="S22">
        <v>0</v>
      </c>
      <c r="T22" s="34">
        <v>0</v>
      </c>
    </row>
    <row r="23" spans="1:20" x14ac:dyDescent="0.25">
      <c r="A23" s="2" t="s">
        <v>44</v>
      </c>
      <c r="B23" s="7">
        <v>0.67708333333333337</v>
      </c>
      <c r="C23" s="31">
        <v>42</v>
      </c>
      <c r="D23">
        <v>1</v>
      </c>
      <c r="E23">
        <v>1</v>
      </c>
      <c r="F23" s="28">
        <v>147</v>
      </c>
      <c r="G23">
        <v>1</v>
      </c>
      <c r="H23">
        <v>1</v>
      </c>
      <c r="I23" s="31">
        <v>20</v>
      </c>
      <c r="J23">
        <v>0</v>
      </c>
      <c r="K23">
        <v>0</v>
      </c>
      <c r="L23" s="28">
        <v>70</v>
      </c>
      <c r="M23">
        <v>0</v>
      </c>
      <c r="N23">
        <v>2</v>
      </c>
      <c r="O23" s="31">
        <v>201</v>
      </c>
      <c r="P23">
        <v>3</v>
      </c>
      <c r="Q23">
        <v>2</v>
      </c>
      <c r="R23" s="28">
        <v>10</v>
      </c>
      <c r="S23">
        <v>0</v>
      </c>
      <c r="T23" s="34">
        <v>0</v>
      </c>
    </row>
    <row r="24" spans="1:20" x14ac:dyDescent="0.25">
      <c r="A24" s="2" t="s">
        <v>44</v>
      </c>
      <c r="B24" s="7">
        <v>0.6875</v>
      </c>
      <c r="C24" s="31">
        <v>47</v>
      </c>
      <c r="D24">
        <v>1</v>
      </c>
      <c r="E24">
        <v>1</v>
      </c>
      <c r="F24" s="28">
        <v>178</v>
      </c>
      <c r="G24">
        <v>0</v>
      </c>
      <c r="H24">
        <v>1</v>
      </c>
      <c r="I24" s="31">
        <v>14</v>
      </c>
      <c r="J24">
        <v>0</v>
      </c>
      <c r="K24">
        <v>1</v>
      </c>
      <c r="L24" s="28">
        <v>66</v>
      </c>
      <c r="M24">
        <v>2</v>
      </c>
      <c r="N24">
        <v>4</v>
      </c>
      <c r="O24" s="31">
        <v>185</v>
      </c>
      <c r="P24">
        <v>0</v>
      </c>
      <c r="Q24">
        <v>2</v>
      </c>
      <c r="R24" s="28">
        <v>8</v>
      </c>
      <c r="S24">
        <v>0</v>
      </c>
      <c r="T24" s="34">
        <v>0</v>
      </c>
    </row>
    <row r="25" spans="1:20" x14ac:dyDescent="0.25">
      <c r="A25" s="2" t="s">
        <v>44</v>
      </c>
      <c r="B25" s="7">
        <v>0.69791666666666663</v>
      </c>
      <c r="C25" s="31">
        <v>50</v>
      </c>
      <c r="D25">
        <v>1</v>
      </c>
      <c r="E25">
        <v>2</v>
      </c>
      <c r="F25" s="28">
        <v>170</v>
      </c>
      <c r="G25">
        <v>0</v>
      </c>
      <c r="H25">
        <v>0</v>
      </c>
      <c r="I25" s="31">
        <v>23</v>
      </c>
      <c r="J25">
        <v>0</v>
      </c>
      <c r="K25">
        <v>0</v>
      </c>
      <c r="L25" s="28">
        <v>56</v>
      </c>
      <c r="M25">
        <v>2</v>
      </c>
      <c r="N25">
        <v>3</v>
      </c>
      <c r="O25" s="31">
        <v>180</v>
      </c>
      <c r="P25">
        <v>2</v>
      </c>
      <c r="Q25">
        <v>2</v>
      </c>
      <c r="R25" s="28">
        <v>25</v>
      </c>
      <c r="S25">
        <v>0</v>
      </c>
      <c r="T25" s="34">
        <v>0</v>
      </c>
    </row>
    <row r="26" spans="1:20" x14ac:dyDescent="0.25">
      <c r="A26" s="2" t="s">
        <v>44</v>
      </c>
      <c r="B26" s="7">
        <v>0.70833333333333337</v>
      </c>
      <c r="C26" s="31">
        <v>66</v>
      </c>
      <c r="D26">
        <v>1</v>
      </c>
      <c r="E26">
        <v>0</v>
      </c>
      <c r="F26" s="28">
        <v>161</v>
      </c>
      <c r="G26">
        <v>1</v>
      </c>
      <c r="H26">
        <v>2</v>
      </c>
      <c r="I26" s="31">
        <v>19</v>
      </c>
      <c r="J26">
        <v>0</v>
      </c>
      <c r="K26">
        <v>0</v>
      </c>
      <c r="L26" s="28">
        <v>61</v>
      </c>
      <c r="M26">
        <v>0</v>
      </c>
      <c r="N26">
        <v>2</v>
      </c>
      <c r="O26" s="31">
        <v>212</v>
      </c>
      <c r="P26">
        <v>1</v>
      </c>
      <c r="Q26">
        <v>1</v>
      </c>
      <c r="R26" s="28">
        <v>13</v>
      </c>
      <c r="S26">
        <v>0</v>
      </c>
      <c r="T26" s="34">
        <v>0</v>
      </c>
    </row>
    <row r="27" spans="1:20" x14ac:dyDescent="0.25">
      <c r="A27" s="2" t="s">
        <v>44</v>
      </c>
      <c r="B27" s="7">
        <v>0.71875</v>
      </c>
      <c r="C27" s="31">
        <v>41</v>
      </c>
      <c r="D27">
        <v>1</v>
      </c>
      <c r="E27">
        <v>0</v>
      </c>
      <c r="F27" s="28">
        <v>157</v>
      </c>
      <c r="G27">
        <v>2</v>
      </c>
      <c r="H27">
        <v>0</v>
      </c>
      <c r="I27" s="31">
        <v>28</v>
      </c>
      <c r="J27">
        <v>0</v>
      </c>
      <c r="K27">
        <v>0</v>
      </c>
      <c r="L27" s="28">
        <v>89</v>
      </c>
      <c r="M27">
        <v>2</v>
      </c>
      <c r="N27">
        <v>3</v>
      </c>
      <c r="O27" s="31">
        <v>159</v>
      </c>
      <c r="P27">
        <v>1</v>
      </c>
      <c r="Q27">
        <v>0</v>
      </c>
      <c r="R27" s="28">
        <v>8</v>
      </c>
      <c r="S27">
        <v>0</v>
      </c>
      <c r="T27" s="34">
        <v>0</v>
      </c>
    </row>
    <row r="28" spans="1:20" x14ac:dyDescent="0.25">
      <c r="A28" s="2" t="s">
        <v>44</v>
      </c>
      <c r="B28" s="7">
        <v>0.72916666666666663</v>
      </c>
      <c r="C28" s="31">
        <v>45</v>
      </c>
      <c r="D28">
        <v>3</v>
      </c>
      <c r="E28">
        <v>0</v>
      </c>
      <c r="F28" s="28">
        <v>157</v>
      </c>
      <c r="G28">
        <v>4</v>
      </c>
      <c r="H28">
        <v>2</v>
      </c>
      <c r="I28" s="31">
        <v>14</v>
      </c>
      <c r="J28">
        <v>0</v>
      </c>
      <c r="K28">
        <v>0</v>
      </c>
      <c r="L28" s="28">
        <v>61</v>
      </c>
      <c r="M28">
        <v>3</v>
      </c>
      <c r="N28">
        <v>6</v>
      </c>
      <c r="O28" s="31">
        <v>219</v>
      </c>
      <c r="P28">
        <v>1</v>
      </c>
      <c r="Q28">
        <v>2</v>
      </c>
      <c r="R28" s="28">
        <v>24</v>
      </c>
      <c r="S28">
        <v>0</v>
      </c>
      <c r="T28" s="34">
        <v>0</v>
      </c>
    </row>
    <row r="29" spans="1:20" ht="15.75" thickBot="1" x14ac:dyDescent="0.3">
      <c r="A29" s="23" t="s">
        <v>44</v>
      </c>
      <c r="B29" s="48">
        <v>0.73958333333333337</v>
      </c>
      <c r="C29" s="39">
        <v>55</v>
      </c>
      <c r="D29" s="38">
        <v>0</v>
      </c>
      <c r="E29" s="38">
        <v>0</v>
      </c>
      <c r="F29" s="40">
        <v>160</v>
      </c>
      <c r="G29" s="38">
        <v>0</v>
      </c>
      <c r="H29" s="38">
        <v>0</v>
      </c>
      <c r="I29" s="39">
        <v>21</v>
      </c>
      <c r="J29" s="38">
        <v>0</v>
      </c>
      <c r="K29" s="38">
        <v>0</v>
      </c>
      <c r="L29" s="40">
        <v>53</v>
      </c>
      <c r="M29" s="38">
        <v>0</v>
      </c>
      <c r="N29" s="38">
        <v>2</v>
      </c>
      <c r="O29" s="39">
        <v>177</v>
      </c>
      <c r="P29" s="38">
        <v>2</v>
      </c>
      <c r="Q29" s="38">
        <v>4</v>
      </c>
      <c r="R29" s="40">
        <v>18</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37</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55</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66</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68</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53</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66</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71</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66</v>
      </c>
      <c r="H9" s="6">
        <f>FLOOR(tblPivotData[[#This Row],[Time]],Summary!$B$6/1440)</f>
        <v>0.36458333333333331</v>
      </c>
      <c r="I9">
        <f>INDEX(PeakCalc!$L$10:$L$303,MATCH(tblPivotData[[#This Row],[Time]],PeakCalc!$G$10:$G$303,0))</f>
        <v>0</v>
      </c>
    </row>
    <row r="10" spans="1:9" x14ac:dyDescent="0.25">
      <c r="A10" t="s">
        <v>93</v>
      </c>
      <c r="B10" t="s">
        <v>96</v>
      </c>
      <c r="C10" t="s">
        <v>94</v>
      </c>
      <c r="D10" t="s">
        <v>79</v>
      </c>
      <c r="E10" t="s">
        <v>91</v>
      </c>
      <c r="F10" s="6">
        <v>0.54166666666666663</v>
      </c>
      <c r="G10">
        <v>39</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91</v>
      </c>
      <c r="F11" s="6">
        <v>0.55208333333333337</v>
      </c>
      <c r="G11">
        <v>59</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91</v>
      </c>
      <c r="F12" s="6">
        <v>0.5625</v>
      </c>
      <c r="G12">
        <v>54</v>
      </c>
      <c r="H12" s="6">
        <f>FLOOR(tblPivotData[[#This Row],[Time]],Summary!$B$6/1440)</f>
        <v>0.5625</v>
      </c>
      <c r="I12">
        <f>INDEX(PeakCalc!$L$10:$L$303,MATCH(tblPivotData[[#This Row],[Time]],PeakCalc!$G$10:$G$303,0))</f>
        <v>1</v>
      </c>
    </row>
    <row r="13" spans="1:9" x14ac:dyDescent="0.25">
      <c r="A13" t="s">
        <v>93</v>
      </c>
      <c r="B13" t="s">
        <v>96</v>
      </c>
      <c r="C13" t="s">
        <v>94</v>
      </c>
      <c r="D13" t="s">
        <v>79</v>
      </c>
      <c r="E13" t="s">
        <v>91</v>
      </c>
      <c r="F13" s="6">
        <v>0.57291666666666663</v>
      </c>
      <c r="G13">
        <v>36</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53</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42</v>
      </c>
      <c r="H15" s="6">
        <f>FLOOR(tblPivotData[[#This Row],[Time]],Summary!$B$6/1440)</f>
        <v>0.67708333333333326</v>
      </c>
      <c r="I15">
        <f>INDEX(PeakCalc!$L$10:$L$303,MATCH(tblPivotData[[#This Row],[Time]],PeakCalc!$G$10:$G$303,0))</f>
        <v>0</v>
      </c>
    </row>
    <row r="16" spans="1:9" x14ac:dyDescent="0.25">
      <c r="A16" t="s">
        <v>93</v>
      </c>
      <c r="B16" t="s">
        <v>96</v>
      </c>
      <c r="C16" t="s">
        <v>94</v>
      </c>
      <c r="D16" t="s">
        <v>79</v>
      </c>
      <c r="E16" t="s">
        <v>44</v>
      </c>
      <c r="F16" s="6">
        <v>0.6875</v>
      </c>
      <c r="G16">
        <v>47</v>
      </c>
      <c r="H16" s="6">
        <f>FLOOR(tblPivotData[[#This Row],[Time]],Summary!$B$6/1440)</f>
        <v>0.6875</v>
      </c>
      <c r="I16">
        <f>INDEX(PeakCalc!$L$10:$L$303,MATCH(tblPivotData[[#This Row],[Time]],PeakCalc!$G$10:$G$303,0))</f>
        <v>0</v>
      </c>
    </row>
    <row r="17" spans="1:9" x14ac:dyDescent="0.25">
      <c r="A17" t="s">
        <v>93</v>
      </c>
      <c r="B17" t="s">
        <v>96</v>
      </c>
      <c r="C17" t="s">
        <v>94</v>
      </c>
      <c r="D17" t="s">
        <v>79</v>
      </c>
      <c r="E17" t="s">
        <v>44</v>
      </c>
      <c r="F17" s="6">
        <v>0.69791666666666663</v>
      </c>
      <c r="G17">
        <v>50</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66</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41</v>
      </c>
      <c r="H19" s="6">
        <f>FLOOR(tblPivotData[[#This Row],[Time]],Summary!$B$6/1440)</f>
        <v>0.71875</v>
      </c>
      <c r="I19">
        <f>INDEX(PeakCalc!$L$10:$L$303,MATCH(tblPivotData[[#This Row],[Time]],PeakCalc!$G$10:$G$303,0))</f>
        <v>1</v>
      </c>
    </row>
    <row r="20" spans="1:9" x14ac:dyDescent="0.25">
      <c r="A20" t="s">
        <v>93</v>
      </c>
      <c r="B20" t="s">
        <v>96</v>
      </c>
      <c r="C20" t="s">
        <v>94</v>
      </c>
      <c r="D20" t="s">
        <v>79</v>
      </c>
      <c r="E20" t="s">
        <v>44</v>
      </c>
      <c r="F20" s="6">
        <v>0.72916666666666663</v>
      </c>
      <c r="G20">
        <v>45</v>
      </c>
      <c r="H20" s="6">
        <f>FLOOR(tblPivotData[[#This Row],[Time]],Summary!$B$6/1440)</f>
        <v>0.72916666666666663</v>
      </c>
      <c r="I20">
        <f>INDEX(PeakCalc!$L$10:$L$303,MATCH(tblPivotData[[#This Row],[Time]],PeakCalc!$G$10:$G$303,0))</f>
        <v>1</v>
      </c>
    </row>
    <row r="21" spans="1:9" x14ac:dyDescent="0.25">
      <c r="A21" t="s">
        <v>93</v>
      </c>
      <c r="B21" t="s">
        <v>96</v>
      </c>
      <c r="C21" t="s">
        <v>94</v>
      </c>
      <c r="D21" t="s">
        <v>79</v>
      </c>
      <c r="E21" t="s">
        <v>44</v>
      </c>
      <c r="F21" s="6">
        <v>0.73958333333333337</v>
      </c>
      <c r="G21">
        <v>55</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3</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3</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4</v>
      </c>
      <c r="H29" s="6">
        <f>FLOOR(tblPivotData[[#This Row],[Time]],Summary!$B$6/1440)</f>
        <v>0.36458333333333331</v>
      </c>
      <c r="I29">
        <f>INDEX(PeakCalc!$L$10:$L$303,MATCH(tblPivotData[[#This Row],[Time]],PeakCalc!$G$10:$G$303,0))</f>
        <v>0</v>
      </c>
    </row>
    <row r="30" spans="1:9" x14ac:dyDescent="0.25">
      <c r="A30" t="s">
        <v>93</v>
      </c>
      <c r="B30" t="s">
        <v>96</v>
      </c>
      <c r="C30" t="s">
        <v>94</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f>INDEX(PeakCalc!$L$10:$L$303,MATCH(tblPivotData[[#This Row],[Time]],PeakCalc!$G$10:$G$303,0))</f>
        <v>0</v>
      </c>
    </row>
    <row r="36" spans="1:9" x14ac:dyDescent="0.25">
      <c r="A36" t="s">
        <v>93</v>
      </c>
      <c r="B36" t="s">
        <v>96</v>
      </c>
      <c r="C36" t="s">
        <v>94</v>
      </c>
      <c r="D36" t="s">
        <v>89</v>
      </c>
      <c r="E36" t="s">
        <v>44</v>
      </c>
      <c r="F36" s="6">
        <v>0.6875</v>
      </c>
      <c r="G36">
        <v>1</v>
      </c>
      <c r="H36" s="6">
        <f>FLOOR(tblPivotData[[#This Row],[Time]],Summary!$B$6/1440)</f>
        <v>0.6875</v>
      </c>
      <c r="I36">
        <f>INDEX(PeakCalc!$L$10:$L$303,MATCH(tblPivotData[[#This Row],[Time]],PeakCalc!$G$10:$G$303,0))</f>
        <v>0</v>
      </c>
    </row>
    <row r="37" spans="1:9" x14ac:dyDescent="0.25">
      <c r="A37" t="s">
        <v>93</v>
      </c>
      <c r="B37" t="s">
        <v>96</v>
      </c>
      <c r="C37" t="s">
        <v>94</v>
      </c>
      <c r="D37" t="s">
        <v>89</v>
      </c>
      <c r="E37" t="s">
        <v>44</v>
      </c>
      <c r="F37" s="6">
        <v>0.69791666666666663</v>
      </c>
      <c r="G37">
        <v>1</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f>INDEX(PeakCalc!$L$10:$L$303,MATCH(tblPivotData[[#This Row],[Time]],PeakCalc!$G$10:$G$303,0))</f>
        <v>1</v>
      </c>
    </row>
    <row r="40" spans="1:9" x14ac:dyDescent="0.25">
      <c r="A40" t="s">
        <v>93</v>
      </c>
      <c r="B40" t="s">
        <v>96</v>
      </c>
      <c r="C40" t="s">
        <v>94</v>
      </c>
      <c r="D40" t="s">
        <v>89</v>
      </c>
      <c r="E40" t="s">
        <v>44</v>
      </c>
      <c r="F40" s="6">
        <v>0.72916666666666663</v>
      </c>
      <c r="G40">
        <v>3</v>
      </c>
      <c r="H40" s="6">
        <f>FLOOR(tblPivotData[[#This Row],[Time]],Summary!$B$6/1440)</f>
        <v>0.72916666666666663</v>
      </c>
      <c r="I40">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93</v>
      </c>
      <c r="B43" t="s">
        <v>96</v>
      </c>
      <c r="C43" t="s">
        <v>94</v>
      </c>
      <c r="D43" t="s">
        <v>90</v>
      </c>
      <c r="E43" t="s">
        <v>43</v>
      </c>
      <c r="F43" s="6">
        <v>0.30208333333333331</v>
      </c>
      <c r="G43">
        <v>3</v>
      </c>
      <c r="H43" s="6">
        <f>FLOOR(tblPivotData[[#This Row],[Time]],Summary!$B$6/1440)</f>
        <v>0.30208333333333331</v>
      </c>
      <c r="I43">
        <f>INDEX(PeakCalc!$L$10:$L$303,MATCH(tblPivotData[[#This Row],[Time]],PeakCalc!$G$10:$G$303,0))</f>
        <v>0</v>
      </c>
    </row>
    <row r="44" spans="1:9" x14ac:dyDescent="0.25">
      <c r="A44" t="s">
        <v>93</v>
      </c>
      <c r="B44" t="s">
        <v>96</v>
      </c>
      <c r="C44" t="s">
        <v>94</v>
      </c>
      <c r="D44" t="s">
        <v>90</v>
      </c>
      <c r="E44" t="s">
        <v>43</v>
      </c>
      <c r="F44" s="6">
        <v>0.3125</v>
      </c>
      <c r="G44">
        <v>4</v>
      </c>
      <c r="H44" s="6">
        <f>FLOOR(tblPivotData[[#This Row],[Time]],Summary!$B$6/1440)</f>
        <v>0.3125</v>
      </c>
      <c r="I44">
        <f>INDEX(PeakCalc!$L$10:$L$303,MATCH(tblPivotData[[#This Row],[Time]],PeakCalc!$G$10:$G$303,0))</f>
        <v>0</v>
      </c>
    </row>
    <row r="45" spans="1:9" x14ac:dyDescent="0.25">
      <c r="A45" t="s">
        <v>93</v>
      </c>
      <c r="B45" t="s">
        <v>96</v>
      </c>
      <c r="C45" t="s">
        <v>94</v>
      </c>
      <c r="D45" t="s">
        <v>90</v>
      </c>
      <c r="E45" t="s">
        <v>43</v>
      </c>
      <c r="F45" s="6">
        <v>0.32291666666666669</v>
      </c>
      <c r="G45">
        <v>4</v>
      </c>
      <c r="H45" s="6">
        <f>FLOOR(tblPivotData[[#This Row],[Time]],Summary!$B$6/1440)</f>
        <v>0.32291666666666663</v>
      </c>
      <c r="I45">
        <f>INDEX(PeakCalc!$L$10:$L$303,MATCH(tblPivotData[[#This Row],[Time]],PeakCalc!$G$10:$G$303,0))</f>
        <v>1</v>
      </c>
    </row>
    <row r="46" spans="1:9" x14ac:dyDescent="0.25">
      <c r="A46" t="s">
        <v>93</v>
      </c>
      <c r="B46" t="s">
        <v>96</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90</v>
      </c>
      <c r="E52" t="s">
        <v>91</v>
      </c>
      <c r="F52" s="6">
        <v>0.5625</v>
      </c>
      <c r="G52">
        <v>1</v>
      </c>
      <c r="H52" s="6">
        <f>FLOOR(tblPivotData[[#This Row],[Time]],Summary!$B$6/1440)</f>
        <v>0.5625</v>
      </c>
      <c r="I52">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f>INDEX(PeakCalc!$L$10:$L$303,MATCH(tblPivotData[[#This Row],[Time]],PeakCalc!$G$10:$G$303,0))</f>
        <v>0</v>
      </c>
    </row>
    <row r="56" spans="1:9" x14ac:dyDescent="0.25">
      <c r="A56" t="s">
        <v>93</v>
      </c>
      <c r="B56" t="s">
        <v>96</v>
      </c>
      <c r="C56" t="s">
        <v>94</v>
      </c>
      <c r="D56" t="s">
        <v>90</v>
      </c>
      <c r="E56" t="s">
        <v>44</v>
      </c>
      <c r="F56" s="6">
        <v>0.6875</v>
      </c>
      <c r="G56">
        <v>1</v>
      </c>
      <c r="H56" s="6">
        <f>FLOOR(tblPivotData[[#This Row],[Time]],Summary!$B$6/1440)</f>
        <v>0.6875</v>
      </c>
      <c r="I56">
        <f>INDEX(PeakCalc!$L$10:$L$303,MATCH(tblPivotData[[#This Row],[Time]],PeakCalc!$G$10:$G$303,0))</f>
        <v>0</v>
      </c>
    </row>
    <row r="57" spans="1:9" x14ac:dyDescent="0.25">
      <c r="A57" t="s">
        <v>93</v>
      </c>
      <c r="B57" t="s">
        <v>96</v>
      </c>
      <c r="C57" t="s">
        <v>94</v>
      </c>
      <c r="D57" t="s">
        <v>90</v>
      </c>
      <c r="E57" t="s">
        <v>44</v>
      </c>
      <c r="F57" s="6">
        <v>0.69791666666666663</v>
      </c>
      <c r="G57">
        <v>2</v>
      </c>
      <c r="H57" s="6">
        <f>FLOOR(tblPivotData[[#This Row],[Time]],Summary!$B$6/1440)</f>
        <v>0.69791666666666663</v>
      </c>
      <c r="I57">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1</v>
      </c>
    </row>
    <row r="61" spans="1:9" x14ac:dyDescent="0.25">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145</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201</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198</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166</v>
      </c>
      <c r="H65" s="6">
        <f>FLOOR(tblPivotData[[#This Row],[Time]],Summary!$B$6/1440)</f>
        <v>0.32291666666666663</v>
      </c>
      <c r="I65">
        <f>INDEX(PeakCalc!$L$10:$L$303,MATCH(tblPivotData[[#This Row],[Time]],PeakCalc!$G$10:$G$303,0))</f>
        <v>1</v>
      </c>
    </row>
    <row r="66" spans="1:9" x14ac:dyDescent="0.25">
      <c r="A66" t="s">
        <v>93</v>
      </c>
      <c r="B66" t="s">
        <v>97</v>
      </c>
      <c r="C66" t="s">
        <v>95</v>
      </c>
      <c r="D66" t="s">
        <v>79</v>
      </c>
      <c r="E66" t="s">
        <v>43</v>
      </c>
      <c r="F66" s="6">
        <v>0.33333333333333331</v>
      </c>
      <c r="G66">
        <v>157</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125</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159</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112</v>
      </c>
      <c r="H69" s="6">
        <f>FLOOR(tblPivotData[[#This Row],[Time]],Summary!$B$6/1440)</f>
        <v>0.36458333333333331</v>
      </c>
      <c r="I69">
        <f>INDEX(PeakCalc!$L$10:$L$303,MATCH(tblPivotData[[#This Row],[Time]],PeakCalc!$G$10:$G$303,0))</f>
        <v>0</v>
      </c>
    </row>
    <row r="70" spans="1:9" x14ac:dyDescent="0.25">
      <c r="A70" t="s">
        <v>93</v>
      </c>
      <c r="B70" t="s">
        <v>97</v>
      </c>
      <c r="C70" t="s">
        <v>95</v>
      </c>
      <c r="D70" t="s">
        <v>79</v>
      </c>
      <c r="E70" t="s">
        <v>91</v>
      </c>
      <c r="F70" s="6">
        <v>0.54166666666666663</v>
      </c>
      <c r="G70">
        <v>102</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91</v>
      </c>
      <c r="F71" s="6">
        <v>0.55208333333333337</v>
      </c>
      <c r="G71">
        <v>116</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91</v>
      </c>
      <c r="F72" s="6">
        <v>0.5625</v>
      </c>
      <c r="G72">
        <v>92</v>
      </c>
      <c r="H72" s="6">
        <f>FLOOR(tblPivotData[[#This Row],[Time]],Summary!$B$6/1440)</f>
        <v>0.5625</v>
      </c>
      <c r="I72">
        <f>INDEX(PeakCalc!$L$10:$L$303,MATCH(tblPivotData[[#This Row],[Time]],PeakCalc!$G$10:$G$303,0))</f>
        <v>1</v>
      </c>
    </row>
    <row r="73" spans="1:9" x14ac:dyDescent="0.25">
      <c r="A73" t="s">
        <v>93</v>
      </c>
      <c r="B73" t="s">
        <v>97</v>
      </c>
      <c r="C73" t="s">
        <v>95</v>
      </c>
      <c r="D73" t="s">
        <v>79</v>
      </c>
      <c r="E73" t="s">
        <v>91</v>
      </c>
      <c r="F73" s="6">
        <v>0.57291666666666663</v>
      </c>
      <c r="G73">
        <v>124</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166</v>
      </c>
      <c r="H74" s="6">
        <f>FLOOR(tblPivotData[[#This Row],[Time]],Summary!$B$6/1440)</f>
        <v>0.66666666666666663</v>
      </c>
      <c r="I74">
        <f>INDEX(PeakCalc!$L$10:$L$303,MATCH(tblPivotData[[#This Row],[Time]],PeakCalc!$G$10:$G$303,0))</f>
        <v>0</v>
      </c>
    </row>
    <row r="75" spans="1:9" x14ac:dyDescent="0.25">
      <c r="A75" t="s">
        <v>93</v>
      </c>
      <c r="B75" t="s">
        <v>97</v>
      </c>
      <c r="C75" t="s">
        <v>95</v>
      </c>
      <c r="D75" t="s">
        <v>79</v>
      </c>
      <c r="E75" t="s">
        <v>44</v>
      </c>
      <c r="F75" s="6">
        <v>0.67708333333333337</v>
      </c>
      <c r="G75">
        <v>147</v>
      </c>
      <c r="H75" s="6">
        <f>FLOOR(tblPivotData[[#This Row],[Time]],Summary!$B$6/1440)</f>
        <v>0.67708333333333326</v>
      </c>
      <c r="I75">
        <f>INDEX(PeakCalc!$L$10:$L$303,MATCH(tblPivotData[[#This Row],[Time]],PeakCalc!$G$10:$G$303,0))</f>
        <v>0</v>
      </c>
    </row>
    <row r="76" spans="1:9" x14ac:dyDescent="0.25">
      <c r="A76" t="s">
        <v>93</v>
      </c>
      <c r="B76" t="s">
        <v>97</v>
      </c>
      <c r="C76" t="s">
        <v>95</v>
      </c>
      <c r="D76" t="s">
        <v>79</v>
      </c>
      <c r="E76" t="s">
        <v>44</v>
      </c>
      <c r="F76" s="6">
        <v>0.6875</v>
      </c>
      <c r="G76">
        <v>178</v>
      </c>
      <c r="H76" s="6">
        <f>FLOOR(tblPivotData[[#This Row],[Time]],Summary!$B$6/1440)</f>
        <v>0.6875</v>
      </c>
      <c r="I76">
        <f>INDEX(PeakCalc!$L$10:$L$303,MATCH(tblPivotData[[#This Row],[Time]],PeakCalc!$G$10:$G$303,0))</f>
        <v>0</v>
      </c>
    </row>
    <row r="77" spans="1:9" x14ac:dyDescent="0.25">
      <c r="A77" t="s">
        <v>93</v>
      </c>
      <c r="B77" t="s">
        <v>97</v>
      </c>
      <c r="C77" t="s">
        <v>95</v>
      </c>
      <c r="D77" t="s">
        <v>79</v>
      </c>
      <c r="E77" t="s">
        <v>44</v>
      </c>
      <c r="F77" s="6">
        <v>0.69791666666666663</v>
      </c>
      <c r="G77">
        <v>170</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161</v>
      </c>
      <c r="H78" s="6">
        <f>FLOOR(tblPivotData[[#This Row],[Time]],Summary!$B$6/1440)</f>
        <v>0.70833333333333326</v>
      </c>
      <c r="I78">
        <f>INDEX(PeakCalc!$L$10:$L$303,MATCH(tblPivotData[[#This Row],[Time]],PeakCalc!$G$10:$G$303,0))</f>
        <v>1</v>
      </c>
    </row>
    <row r="79" spans="1:9" x14ac:dyDescent="0.25">
      <c r="A79" t="s">
        <v>93</v>
      </c>
      <c r="B79" t="s">
        <v>97</v>
      </c>
      <c r="C79" t="s">
        <v>95</v>
      </c>
      <c r="D79" t="s">
        <v>79</v>
      </c>
      <c r="E79" t="s">
        <v>44</v>
      </c>
      <c r="F79" s="6">
        <v>0.71875</v>
      </c>
      <c r="G79">
        <v>157</v>
      </c>
      <c r="H79" s="6">
        <f>FLOOR(tblPivotData[[#This Row],[Time]],Summary!$B$6/1440)</f>
        <v>0.71875</v>
      </c>
      <c r="I79">
        <f>INDEX(PeakCalc!$L$10:$L$303,MATCH(tblPivotData[[#This Row],[Time]],PeakCalc!$G$10:$G$303,0))</f>
        <v>1</v>
      </c>
    </row>
    <row r="80" spans="1:9" x14ac:dyDescent="0.25">
      <c r="A80" t="s">
        <v>93</v>
      </c>
      <c r="B80" t="s">
        <v>97</v>
      </c>
      <c r="C80" t="s">
        <v>95</v>
      </c>
      <c r="D80" t="s">
        <v>79</v>
      </c>
      <c r="E80" t="s">
        <v>44</v>
      </c>
      <c r="F80" s="6">
        <v>0.72916666666666663</v>
      </c>
      <c r="G80">
        <v>157</v>
      </c>
      <c r="H80" s="6">
        <f>FLOOR(tblPivotData[[#This Row],[Time]],Summary!$B$6/1440)</f>
        <v>0.72916666666666663</v>
      </c>
      <c r="I80">
        <f>INDEX(PeakCalc!$L$10:$L$303,MATCH(tblPivotData[[#This Row],[Time]],PeakCalc!$G$10:$G$303,0))</f>
        <v>1</v>
      </c>
    </row>
    <row r="81" spans="1:9" x14ac:dyDescent="0.25">
      <c r="A81" t="s">
        <v>93</v>
      </c>
      <c r="B81" t="s">
        <v>97</v>
      </c>
      <c r="C81" t="s">
        <v>95</v>
      </c>
      <c r="D81" t="s">
        <v>79</v>
      </c>
      <c r="E81" t="s">
        <v>44</v>
      </c>
      <c r="F81" s="6">
        <v>0.73958333333333337</v>
      </c>
      <c r="G81">
        <v>160</v>
      </c>
      <c r="H81" s="6">
        <f>FLOOR(tblPivotData[[#This Row],[Time]],Summary!$B$6/1440)</f>
        <v>0.73958333333333326</v>
      </c>
      <c r="I81">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97</v>
      </c>
      <c r="C83" t="s">
        <v>95</v>
      </c>
      <c r="D83" t="s">
        <v>89</v>
      </c>
      <c r="E83" t="s">
        <v>43</v>
      </c>
      <c r="F83" s="6">
        <v>0.30208333333333331</v>
      </c>
      <c r="G83">
        <v>2</v>
      </c>
      <c r="H83" s="6">
        <f>FLOOR(tblPivotData[[#This Row],[Time]],Summary!$B$6/1440)</f>
        <v>0.30208333333333331</v>
      </c>
      <c r="I83">
        <f>INDEX(PeakCalc!$L$10:$L$303,MATCH(tblPivotData[[#This Row],[Time]],PeakCalc!$G$10:$G$303,0))</f>
        <v>0</v>
      </c>
    </row>
    <row r="84" spans="1:9" x14ac:dyDescent="0.25">
      <c r="A84" t="s">
        <v>93</v>
      </c>
      <c r="B84" t="s">
        <v>97</v>
      </c>
      <c r="C84" t="s">
        <v>95</v>
      </c>
      <c r="D84" t="s">
        <v>89</v>
      </c>
      <c r="E84" t="s">
        <v>43</v>
      </c>
      <c r="F84" s="6">
        <v>0.3125</v>
      </c>
      <c r="G84">
        <v>2</v>
      </c>
      <c r="H84" s="6">
        <f>FLOOR(tblPivotData[[#This Row],[Time]],Summary!$B$6/1440)</f>
        <v>0.3125</v>
      </c>
      <c r="I84">
        <f>INDEX(PeakCalc!$L$10:$L$303,MATCH(tblPivotData[[#This Row],[Time]],PeakCalc!$G$10:$G$303,0))</f>
        <v>0</v>
      </c>
    </row>
    <row r="85" spans="1:9" x14ac:dyDescent="0.25">
      <c r="A85" t="s">
        <v>93</v>
      </c>
      <c r="B85" t="s">
        <v>97</v>
      </c>
      <c r="C85" t="s">
        <v>95</v>
      </c>
      <c r="D85" t="s">
        <v>89</v>
      </c>
      <c r="E85" t="s">
        <v>43</v>
      </c>
      <c r="F85" s="6">
        <v>0.32291666666666669</v>
      </c>
      <c r="G85">
        <v>3</v>
      </c>
      <c r="H85" s="6">
        <f>FLOOR(tblPivotData[[#This Row],[Time]],Summary!$B$6/1440)</f>
        <v>0.32291666666666663</v>
      </c>
      <c r="I85">
        <f>INDEX(PeakCalc!$L$10:$L$303,MATCH(tblPivotData[[#This Row],[Time]],PeakCalc!$G$10:$G$303,0))</f>
        <v>1</v>
      </c>
    </row>
    <row r="86" spans="1:9" x14ac:dyDescent="0.25">
      <c r="A86" t="s">
        <v>93</v>
      </c>
      <c r="B86" t="s">
        <v>97</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25">
      <c r="A87" t="s">
        <v>93</v>
      </c>
      <c r="B87" t="s">
        <v>97</v>
      </c>
      <c r="C87" t="s">
        <v>95</v>
      </c>
      <c r="D87" t="s">
        <v>89</v>
      </c>
      <c r="E87" t="s">
        <v>43</v>
      </c>
      <c r="F87" s="6">
        <v>0.34375</v>
      </c>
      <c r="G87">
        <v>6</v>
      </c>
      <c r="H87" s="6">
        <f>FLOOR(tblPivotData[[#This Row],[Time]],Summary!$B$6/1440)</f>
        <v>0.34375</v>
      </c>
      <c r="I87">
        <f>INDEX(PeakCalc!$L$10:$L$303,MATCH(tblPivotData[[#This Row],[Time]],PeakCalc!$G$10:$G$303,0))</f>
        <v>1</v>
      </c>
    </row>
    <row r="88" spans="1:9" x14ac:dyDescent="0.25">
      <c r="A88" t="s">
        <v>93</v>
      </c>
      <c r="B88" t="s">
        <v>97</v>
      </c>
      <c r="C88" t="s">
        <v>95</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93</v>
      </c>
      <c r="B89" t="s">
        <v>97</v>
      </c>
      <c r="C89" t="s">
        <v>95</v>
      </c>
      <c r="D89" t="s">
        <v>89</v>
      </c>
      <c r="E89" t="s">
        <v>43</v>
      </c>
      <c r="F89" s="6">
        <v>0.36458333333333331</v>
      </c>
      <c r="G89">
        <v>6</v>
      </c>
      <c r="H89" s="6">
        <f>FLOOR(tblPivotData[[#This Row],[Time]],Summary!$B$6/1440)</f>
        <v>0.36458333333333331</v>
      </c>
      <c r="I89">
        <f>INDEX(PeakCalc!$L$10:$L$303,MATCH(tblPivotData[[#This Row],[Time]],PeakCalc!$G$10:$G$303,0))</f>
        <v>0</v>
      </c>
    </row>
    <row r="90" spans="1:9" x14ac:dyDescent="0.25">
      <c r="A90" t="s">
        <v>93</v>
      </c>
      <c r="B90" t="s">
        <v>97</v>
      </c>
      <c r="C90" t="s">
        <v>95</v>
      </c>
      <c r="D90" t="s">
        <v>89</v>
      </c>
      <c r="E90" t="s">
        <v>91</v>
      </c>
      <c r="F90" s="6">
        <v>0.54166666666666663</v>
      </c>
      <c r="G90">
        <v>6</v>
      </c>
      <c r="H90" s="6">
        <f>FLOOR(tblPivotData[[#This Row],[Time]],Summary!$B$6/1440)</f>
        <v>0.54166666666666663</v>
      </c>
      <c r="I90">
        <f>INDEX(PeakCalc!$L$10:$L$303,MATCH(tblPivotData[[#This Row],[Time]],PeakCalc!$G$10:$G$303,0))</f>
        <v>1</v>
      </c>
    </row>
    <row r="91" spans="1:9" x14ac:dyDescent="0.25">
      <c r="A91" t="s">
        <v>93</v>
      </c>
      <c r="B91" t="s">
        <v>97</v>
      </c>
      <c r="C91" t="s">
        <v>95</v>
      </c>
      <c r="D91" t="s">
        <v>89</v>
      </c>
      <c r="E91" t="s">
        <v>91</v>
      </c>
      <c r="F91" s="6">
        <v>0.55208333333333337</v>
      </c>
      <c r="G91">
        <v>4</v>
      </c>
      <c r="H91" s="6">
        <f>FLOOR(tblPivotData[[#This Row],[Time]],Summary!$B$6/1440)</f>
        <v>0.55208333333333326</v>
      </c>
      <c r="I91">
        <f>INDEX(PeakCalc!$L$10:$L$303,MATCH(tblPivotData[[#This Row],[Time]],PeakCalc!$G$10:$G$303,0))</f>
        <v>1</v>
      </c>
    </row>
    <row r="92" spans="1:9" x14ac:dyDescent="0.25">
      <c r="A92" t="s">
        <v>93</v>
      </c>
      <c r="B92" t="s">
        <v>97</v>
      </c>
      <c r="C92" t="s">
        <v>95</v>
      </c>
      <c r="D92" t="s">
        <v>89</v>
      </c>
      <c r="E92" t="s">
        <v>91</v>
      </c>
      <c r="F92" s="6">
        <v>0.5625</v>
      </c>
      <c r="G92">
        <v>3</v>
      </c>
      <c r="H92" s="6">
        <f>FLOOR(tblPivotData[[#This Row],[Time]],Summary!$B$6/1440)</f>
        <v>0.5625</v>
      </c>
      <c r="I92">
        <f>INDEX(PeakCalc!$L$10:$L$303,MATCH(tblPivotData[[#This Row],[Time]],PeakCalc!$G$10:$G$303,0))</f>
        <v>1</v>
      </c>
    </row>
    <row r="93" spans="1:9" x14ac:dyDescent="0.25">
      <c r="A93" t="s">
        <v>93</v>
      </c>
      <c r="B93" t="s">
        <v>97</v>
      </c>
      <c r="C93" t="s">
        <v>95</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93</v>
      </c>
      <c r="B94" t="s">
        <v>97</v>
      </c>
      <c r="C94" t="s">
        <v>95</v>
      </c>
      <c r="D94" t="s">
        <v>89</v>
      </c>
      <c r="E94" t="s">
        <v>44</v>
      </c>
      <c r="F94" s="6">
        <v>0.66666666666666663</v>
      </c>
      <c r="G94">
        <v>5</v>
      </c>
      <c r="H94" s="6">
        <f>FLOOR(tblPivotData[[#This Row],[Time]],Summary!$B$6/1440)</f>
        <v>0.66666666666666663</v>
      </c>
      <c r="I94">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97</v>
      </c>
      <c r="C99" t="s">
        <v>95</v>
      </c>
      <c r="D99" t="s">
        <v>89</v>
      </c>
      <c r="E99" t="s">
        <v>44</v>
      </c>
      <c r="F99" s="6">
        <v>0.71875</v>
      </c>
      <c r="G99">
        <v>2</v>
      </c>
      <c r="H99" s="6">
        <f>FLOOR(tblPivotData[[#This Row],[Time]],Summary!$B$6/1440)</f>
        <v>0.71875</v>
      </c>
      <c r="I99">
        <f>INDEX(PeakCalc!$L$10:$L$303,MATCH(tblPivotData[[#This Row],[Time]],PeakCalc!$G$10:$G$303,0))</f>
        <v>1</v>
      </c>
    </row>
    <row r="100" spans="1:9" x14ac:dyDescent="0.25">
      <c r="A100" t="s">
        <v>93</v>
      </c>
      <c r="B100" t="s">
        <v>97</v>
      </c>
      <c r="C100" t="s">
        <v>95</v>
      </c>
      <c r="D100" t="s">
        <v>89</v>
      </c>
      <c r="E100" t="s">
        <v>44</v>
      </c>
      <c r="F100" s="6">
        <v>0.72916666666666663</v>
      </c>
      <c r="G100">
        <v>4</v>
      </c>
      <c r="H100" s="6">
        <f>FLOOR(tblPivotData[[#This Row],[Time]],Summary!$B$6/1440)</f>
        <v>0.72916666666666663</v>
      </c>
      <c r="I100">
        <f>INDEX(PeakCalc!$L$10:$L$303,MATCH(tblPivotData[[#This Row],[Time]],PeakCalc!$G$10:$G$303,0))</f>
        <v>1</v>
      </c>
    </row>
    <row r="101" spans="1:9" x14ac:dyDescent="0.25">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90</v>
      </c>
      <c r="E104" t="s">
        <v>43</v>
      </c>
      <c r="F104" s="6">
        <v>0.3125</v>
      </c>
      <c r="G104">
        <v>2</v>
      </c>
      <c r="H104" s="6">
        <f>FLOOR(tblPivotData[[#This Row],[Time]],Summary!$B$6/1440)</f>
        <v>0.3125</v>
      </c>
      <c r="I104">
        <f>INDEX(PeakCalc!$L$10:$L$303,MATCH(tblPivotData[[#This Row],[Time]],PeakCalc!$G$10:$G$303,0))</f>
        <v>0</v>
      </c>
    </row>
    <row r="105" spans="1:9" x14ac:dyDescent="0.25">
      <c r="A105" t="s">
        <v>93</v>
      </c>
      <c r="B105" t="s">
        <v>97</v>
      </c>
      <c r="C105" t="s">
        <v>95</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93</v>
      </c>
      <c r="B106" t="s">
        <v>97</v>
      </c>
      <c r="C106" t="s">
        <v>95</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93</v>
      </c>
      <c r="B107" t="s">
        <v>97</v>
      </c>
      <c r="C107" t="s">
        <v>95</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97</v>
      </c>
      <c r="C108" t="s">
        <v>95</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97</v>
      </c>
      <c r="C116" t="s">
        <v>95</v>
      </c>
      <c r="D116" t="s">
        <v>90</v>
      </c>
      <c r="E116" t="s">
        <v>44</v>
      </c>
      <c r="F116" s="6">
        <v>0.6875</v>
      </c>
      <c r="G116">
        <v>1</v>
      </c>
      <c r="H116" s="6">
        <f>FLOOR(tblPivotData[[#This Row],[Time]],Summary!$B$6/1440)</f>
        <v>0.6875</v>
      </c>
      <c r="I116">
        <f>INDEX(PeakCalc!$L$10:$L$303,MATCH(tblPivotData[[#This Row],[Time]],PeakCalc!$G$10:$G$303,0))</f>
        <v>0</v>
      </c>
    </row>
    <row r="117" spans="1:9" x14ac:dyDescent="0.25">
      <c r="A117" t="s">
        <v>93</v>
      </c>
      <c r="B117" t="s">
        <v>97</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97</v>
      </c>
      <c r="C120" t="s">
        <v>95</v>
      </c>
      <c r="D120" t="s">
        <v>90</v>
      </c>
      <c r="E120" t="s">
        <v>44</v>
      </c>
      <c r="F120" s="6">
        <v>0.72916666666666663</v>
      </c>
      <c r="G120">
        <v>2</v>
      </c>
      <c r="H120" s="6">
        <f>FLOOR(tblPivotData[[#This Row],[Time]],Summary!$B$6/1440)</f>
        <v>0.72916666666666663</v>
      </c>
      <c r="I120">
        <f>INDEX(PeakCalc!$L$10:$L$303,MATCH(tblPivotData[[#This Row],[Time]],PeakCalc!$G$10:$G$303,0))</f>
        <v>1</v>
      </c>
    </row>
    <row r="121" spans="1:9" x14ac:dyDescent="0.25">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3</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25">
      <c r="A126" t="s">
        <v>94</v>
      </c>
      <c r="B126" t="s">
        <v>98</v>
      </c>
      <c r="C126" t="s">
        <v>95</v>
      </c>
      <c r="D126" t="s">
        <v>79</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8</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13</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16</v>
      </c>
      <c r="H129" s="6">
        <f>FLOOR(tblPivotData[[#This Row],[Time]],Summary!$B$6/1440)</f>
        <v>0.36458333333333331</v>
      </c>
      <c r="I129">
        <f>INDEX(PeakCalc!$L$10:$L$303,MATCH(tblPivotData[[#This Row],[Time]],PeakCalc!$G$10:$G$303,0))</f>
        <v>0</v>
      </c>
    </row>
    <row r="130" spans="1:9" x14ac:dyDescent="0.25">
      <c r="A130" t="s">
        <v>94</v>
      </c>
      <c r="B130" t="s">
        <v>98</v>
      </c>
      <c r="C130" t="s">
        <v>95</v>
      </c>
      <c r="D130" t="s">
        <v>79</v>
      </c>
      <c r="E130" t="s">
        <v>91</v>
      </c>
      <c r="F130" s="6">
        <v>0.54166666666666663</v>
      </c>
      <c r="G130">
        <v>11</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91</v>
      </c>
      <c r="F131" s="6">
        <v>0.55208333333333337</v>
      </c>
      <c r="G131">
        <v>16</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91</v>
      </c>
      <c r="F132" s="6">
        <v>0.5625</v>
      </c>
      <c r="G132">
        <v>14</v>
      </c>
      <c r="H132" s="6">
        <f>FLOOR(tblPivotData[[#This Row],[Time]],Summary!$B$6/1440)</f>
        <v>0.5625</v>
      </c>
      <c r="I132">
        <f>INDEX(PeakCalc!$L$10:$L$303,MATCH(tblPivotData[[#This Row],[Time]],PeakCalc!$G$10:$G$303,0))</f>
        <v>1</v>
      </c>
    </row>
    <row r="133" spans="1:9" x14ac:dyDescent="0.25">
      <c r="A133" t="s">
        <v>94</v>
      </c>
      <c r="B133" t="s">
        <v>98</v>
      </c>
      <c r="C133" t="s">
        <v>95</v>
      </c>
      <c r="D133" t="s">
        <v>79</v>
      </c>
      <c r="E133" t="s">
        <v>91</v>
      </c>
      <c r="F133" s="6">
        <v>0.57291666666666663</v>
      </c>
      <c r="G133">
        <v>15</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19</v>
      </c>
      <c r="H134" s="6">
        <f>FLOOR(tblPivotData[[#This Row],[Time]],Summary!$B$6/1440)</f>
        <v>0.66666666666666663</v>
      </c>
      <c r="I134">
        <f>INDEX(PeakCalc!$L$10:$L$303,MATCH(tblPivotData[[#This Row],[Time]],PeakCalc!$G$10:$G$303,0))</f>
        <v>0</v>
      </c>
    </row>
    <row r="135" spans="1:9" x14ac:dyDescent="0.25">
      <c r="A135" t="s">
        <v>94</v>
      </c>
      <c r="B135" t="s">
        <v>98</v>
      </c>
      <c r="C135" t="s">
        <v>95</v>
      </c>
      <c r="D135" t="s">
        <v>79</v>
      </c>
      <c r="E135" t="s">
        <v>44</v>
      </c>
      <c r="F135" s="6">
        <v>0.67708333333333337</v>
      </c>
      <c r="G135">
        <v>20</v>
      </c>
      <c r="H135" s="6">
        <f>FLOOR(tblPivotData[[#This Row],[Time]],Summary!$B$6/1440)</f>
        <v>0.67708333333333326</v>
      </c>
      <c r="I135">
        <f>INDEX(PeakCalc!$L$10:$L$303,MATCH(tblPivotData[[#This Row],[Time]],PeakCalc!$G$10:$G$303,0))</f>
        <v>0</v>
      </c>
    </row>
    <row r="136" spans="1:9" x14ac:dyDescent="0.25">
      <c r="A136" t="s">
        <v>94</v>
      </c>
      <c r="B136" t="s">
        <v>98</v>
      </c>
      <c r="C136" t="s">
        <v>95</v>
      </c>
      <c r="D136" t="s">
        <v>79</v>
      </c>
      <c r="E136" t="s">
        <v>44</v>
      </c>
      <c r="F136" s="6">
        <v>0.6875</v>
      </c>
      <c r="G136">
        <v>14</v>
      </c>
      <c r="H136" s="6">
        <f>FLOOR(tblPivotData[[#This Row],[Time]],Summary!$B$6/1440)</f>
        <v>0.6875</v>
      </c>
      <c r="I136">
        <f>INDEX(PeakCalc!$L$10:$L$303,MATCH(tblPivotData[[#This Row],[Time]],PeakCalc!$G$10:$G$303,0))</f>
        <v>0</v>
      </c>
    </row>
    <row r="137" spans="1:9" x14ac:dyDescent="0.25">
      <c r="A137" t="s">
        <v>94</v>
      </c>
      <c r="B137" t="s">
        <v>98</v>
      </c>
      <c r="C137" t="s">
        <v>95</v>
      </c>
      <c r="D137" t="s">
        <v>79</v>
      </c>
      <c r="E137" t="s">
        <v>44</v>
      </c>
      <c r="F137" s="6">
        <v>0.69791666666666663</v>
      </c>
      <c r="G137">
        <v>23</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19</v>
      </c>
      <c r="H138" s="6">
        <f>FLOOR(tblPivotData[[#This Row],[Time]],Summary!$B$6/1440)</f>
        <v>0.70833333333333326</v>
      </c>
      <c r="I138">
        <f>INDEX(PeakCalc!$L$10:$L$303,MATCH(tblPivotData[[#This Row],[Time]],PeakCalc!$G$10:$G$303,0))</f>
        <v>1</v>
      </c>
    </row>
    <row r="139" spans="1:9" x14ac:dyDescent="0.25">
      <c r="A139" t="s">
        <v>94</v>
      </c>
      <c r="B139" t="s">
        <v>98</v>
      </c>
      <c r="C139" t="s">
        <v>95</v>
      </c>
      <c r="D139" t="s">
        <v>79</v>
      </c>
      <c r="E139" t="s">
        <v>44</v>
      </c>
      <c r="F139" s="6">
        <v>0.71875</v>
      </c>
      <c r="G139">
        <v>28</v>
      </c>
      <c r="H139" s="6">
        <f>FLOOR(tblPivotData[[#This Row],[Time]],Summary!$B$6/1440)</f>
        <v>0.71875</v>
      </c>
      <c r="I139">
        <f>INDEX(PeakCalc!$L$10:$L$303,MATCH(tblPivotData[[#This Row],[Time]],PeakCalc!$G$10:$G$303,0))</f>
        <v>1</v>
      </c>
    </row>
    <row r="140" spans="1:9" x14ac:dyDescent="0.25">
      <c r="A140" t="s">
        <v>94</v>
      </c>
      <c r="B140" t="s">
        <v>98</v>
      </c>
      <c r="C140" t="s">
        <v>95</v>
      </c>
      <c r="D140" t="s">
        <v>79</v>
      </c>
      <c r="E140" t="s">
        <v>44</v>
      </c>
      <c r="F140" s="6">
        <v>0.72916666666666663</v>
      </c>
      <c r="G140">
        <v>14</v>
      </c>
      <c r="H140" s="6">
        <f>FLOOR(tblPivotData[[#This Row],[Time]],Summary!$B$6/1440)</f>
        <v>0.72916666666666663</v>
      </c>
      <c r="I140">
        <f>INDEX(PeakCalc!$L$10:$L$303,MATCH(tblPivotData[[#This Row],[Time]],PeakCalc!$G$10:$G$303,0))</f>
        <v>1</v>
      </c>
    </row>
    <row r="141" spans="1:9" x14ac:dyDescent="0.25">
      <c r="A141" t="s">
        <v>94</v>
      </c>
      <c r="B141" t="s">
        <v>98</v>
      </c>
      <c r="C141" t="s">
        <v>95</v>
      </c>
      <c r="D141" t="s">
        <v>79</v>
      </c>
      <c r="E141" t="s">
        <v>44</v>
      </c>
      <c r="F141" s="6">
        <v>0.73958333333333337</v>
      </c>
      <c r="G141">
        <v>21</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98</v>
      </c>
      <c r="C176" t="s">
        <v>95</v>
      </c>
      <c r="D176" t="s">
        <v>90</v>
      </c>
      <c r="E176" t="s">
        <v>44</v>
      </c>
      <c r="F176" s="6">
        <v>0.6875</v>
      </c>
      <c r="G176">
        <v>1</v>
      </c>
      <c r="H176" s="6">
        <f>FLOOR(tblPivotData[[#This Row],[Time]],Summary!$B$6/1440)</f>
        <v>0.6875</v>
      </c>
      <c r="I176">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11</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21</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29</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16</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21</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31</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51</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33</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91</v>
      </c>
      <c r="F190" s="6">
        <v>0.54166666666666663</v>
      </c>
      <c r="G190">
        <v>55</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91</v>
      </c>
      <c r="F191" s="6">
        <v>0.55208333333333337</v>
      </c>
      <c r="G191">
        <v>49</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91</v>
      </c>
      <c r="F192" s="6">
        <v>0.5625</v>
      </c>
      <c r="G192">
        <v>61</v>
      </c>
      <c r="H192" s="6">
        <f>FLOOR(tblPivotData[[#This Row],[Time]],Summary!$B$6/1440)</f>
        <v>0.5625</v>
      </c>
      <c r="I192">
        <f>INDEX(PeakCalc!$L$10:$L$303,MATCH(tblPivotData[[#This Row],[Time]],PeakCalc!$G$10:$G$303,0))</f>
        <v>1</v>
      </c>
    </row>
    <row r="193" spans="1:9" x14ac:dyDescent="0.25">
      <c r="A193" t="s">
        <v>94</v>
      </c>
      <c r="B193" t="s">
        <v>99</v>
      </c>
      <c r="C193" t="s">
        <v>93</v>
      </c>
      <c r="D193" t="s">
        <v>79</v>
      </c>
      <c r="E193" t="s">
        <v>91</v>
      </c>
      <c r="F193" s="6">
        <v>0.57291666666666663</v>
      </c>
      <c r="G193">
        <v>58</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70</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70</v>
      </c>
      <c r="H195" s="6">
        <f>FLOOR(tblPivotData[[#This Row],[Time]],Summary!$B$6/1440)</f>
        <v>0.67708333333333326</v>
      </c>
      <c r="I195">
        <f>INDEX(PeakCalc!$L$10:$L$303,MATCH(tblPivotData[[#This Row],[Time]],PeakCalc!$G$10:$G$303,0))</f>
        <v>0</v>
      </c>
    </row>
    <row r="196" spans="1:9" x14ac:dyDescent="0.25">
      <c r="A196" t="s">
        <v>94</v>
      </c>
      <c r="B196" t="s">
        <v>99</v>
      </c>
      <c r="C196" t="s">
        <v>93</v>
      </c>
      <c r="D196" t="s">
        <v>79</v>
      </c>
      <c r="E196" t="s">
        <v>44</v>
      </c>
      <c r="F196" s="6">
        <v>0.6875</v>
      </c>
      <c r="G196">
        <v>66</v>
      </c>
      <c r="H196" s="6">
        <f>FLOOR(tblPivotData[[#This Row],[Time]],Summary!$B$6/1440)</f>
        <v>0.6875</v>
      </c>
      <c r="I196">
        <f>INDEX(PeakCalc!$L$10:$L$303,MATCH(tblPivotData[[#This Row],[Time]],PeakCalc!$G$10:$G$303,0))</f>
        <v>0</v>
      </c>
    </row>
    <row r="197" spans="1:9" x14ac:dyDescent="0.25">
      <c r="A197" t="s">
        <v>94</v>
      </c>
      <c r="B197" t="s">
        <v>99</v>
      </c>
      <c r="C197" t="s">
        <v>93</v>
      </c>
      <c r="D197" t="s">
        <v>79</v>
      </c>
      <c r="E197" t="s">
        <v>44</v>
      </c>
      <c r="F197" s="6">
        <v>0.69791666666666663</v>
      </c>
      <c r="G197">
        <v>56</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61</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89</v>
      </c>
      <c r="H199" s="6">
        <f>FLOOR(tblPivotData[[#This Row],[Time]],Summary!$B$6/1440)</f>
        <v>0.71875</v>
      </c>
      <c r="I199">
        <f>INDEX(PeakCalc!$L$10:$L$303,MATCH(tblPivotData[[#This Row],[Time]],PeakCalc!$G$10:$G$303,0))</f>
        <v>1</v>
      </c>
    </row>
    <row r="200" spans="1:9" x14ac:dyDescent="0.25">
      <c r="A200" t="s">
        <v>94</v>
      </c>
      <c r="B200" t="s">
        <v>99</v>
      </c>
      <c r="C200" t="s">
        <v>93</v>
      </c>
      <c r="D200" t="s">
        <v>79</v>
      </c>
      <c r="E200" t="s">
        <v>44</v>
      </c>
      <c r="F200" s="6">
        <v>0.72916666666666663</v>
      </c>
      <c r="G200">
        <v>61</v>
      </c>
      <c r="H200" s="6">
        <f>FLOOR(tblPivotData[[#This Row],[Time]],Summary!$B$6/1440)</f>
        <v>0.72916666666666663</v>
      </c>
      <c r="I200">
        <f>INDEX(PeakCalc!$L$10:$L$303,MATCH(tblPivotData[[#This Row],[Time]],PeakCalc!$G$10:$G$303,0))</f>
        <v>1</v>
      </c>
    </row>
    <row r="201" spans="1:9" x14ac:dyDescent="0.25">
      <c r="A201" t="s">
        <v>94</v>
      </c>
      <c r="B201" t="s">
        <v>99</v>
      </c>
      <c r="C201" t="s">
        <v>93</v>
      </c>
      <c r="D201" t="s">
        <v>79</v>
      </c>
      <c r="E201" t="s">
        <v>44</v>
      </c>
      <c r="F201" s="6">
        <v>0.73958333333333337</v>
      </c>
      <c r="G201">
        <v>53</v>
      </c>
      <c r="H201" s="6">
        <f>FLOOR(tblPivotData[[#This Row],[Time]],Summary!$B$6/1440)</f>
        <v>0.73958333333333326</v>
      </c>
      <c r="I201">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94</v>
      </c>
      <c r="B204" t="s">
        <v>99</v>
      </c>
      <c r="C204" t="s">
        <v>93</v>
      </c>
      <c r="D204" t="s">
        <v>89</v>
      </c>
      <c r="E204" t="s">
        <v>43</v>
      </c>
      <c r="F204" s="6">
        <v>0.3125</v>
      </c>
      <c r="G204">
        <v>2</v>
      </c>
      <c r="H204" s="6">
        <f>FLOOR(tblPivotData[[#This Row],[Time]],Summary!$B$6/1440)</f>
        <v>0.3125</v>
      </c>
      <c r="I204">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94</v>
      </c>
      <c r="B206" t="s">
        <v>99</v>
      </c>
      <c r="C206" t="s">
        <v>93</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94</v>
      </c>
      <c r="B207" t="s">
        <v>99</v>
      </c>
      <c r="C207" t="s">
        <v>93</v>
      </c>
      <c r="D207" t="s">
        <v>89</v>
      </c>
      <c r="E207" t="s">
        <v>43</v>
      </c>
      <c r="F207" s="6">
        <v>0.34375</v>
      </c>
      <c r="G207">
        <v>2</v>
      </c>
      <c r="H207" s="6">
        <f>FLOOR(tblPivotData[[#This Row],[Time]],Summary!$B$6/1440)</f>
        <v>0.34375</v>
      </c>
      <c r="I207">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94</v>
      </c>
      <c r="B209" t="s">
        <v>99</v>
      </c>
      <c r="C209" t="s">
        <v>93</v>
      </c>
      <c r="D209" t="s">
        <v>89</v>
      </c>
      <c r="E209" t="s">
        <v>43</v>
      </c>
      <c r="F209" s="6">
        <v>0.36458333333333331</v>
      </c>
      <c r="G209">
        <v>4</v>
      </c>
      <c r="H209" s="6">
        <f>FLOOR(tblPivotData[[#This Row],[Time]],Summary!$B$6/1440)</f>
        <v>0.36458333333333331</v>
      </c>
      <c r="I209">
        <f>INDEX(PeakCalc!$L$10:$L$303,MATCH(tblPivotData[[#This Row],[Time]],PeakCalc!$G$10:$G$303,0))</f>
        <v>0</v>
      </c>
    </row>
    <row r="210" spans="1:9" x14ac:dyDescent="0.25">
      <c r="A210" t="s">
        <v>94</v>
      </c>
      <c r="B210" t="s">
        <v>99</v>
      </c>
      <c r="C210" t="s">
        <v>93</v>
      </c>
      <c r="D210" t="s">
        <v>89</v>
      </c>
      <c r="E210" t="s">
        <v>91</v>
      </c>
      <c r="F210" s="6">
        <v>0.54166666666666663</v>
      </c>
      <c r="G210">
        <v>2</v>
      </c>
      <c r="H210" s="6">
        <f>FLOOR(tblPivotData[[#This Row],[Time]],Summary!$B$6/1440)</f>
        <v>0.54166666666666663</v>
      </c>
      <c r="I210">
        <f>INDEX(PeakCalc!$L$10:$L$303,MATCH(tblPivotData[[#This Row],[Time]],PeakCalc!$G$10:$G$303,0))</f>
        <v>1</v>
      </c>
    </row>
    <row r="211" spans="1:9" x14ac:dyDescent="0.25">
      <c r="A211" t="s">
        <v>94</v>
      </c>
      <c r="B211" t="s">
        <v>99</v>
      </c>
      <c r="C211" t="s">
        <v>93</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99</v>
      </c>
      <c r="C212" t="s">
        <v>93</v>
      </c>
      <c r="D212" t="s">
        <v>89</v>
      </c>
      <c r="E212" t="s">
        <v>91</v>
      </c>
      <c r="F212" s="6">
        <v>0.5625</v>
      </c>
      <c r="G212">
        <v>4</v>
      </c>
      <c r="H212" s="6">
        <f>FLOOR(tblPivotData[[#This Row],[Time]],Summary!$B$6/1440)</f>
        <v>0.5625</v>
      </c>
      <c r="I212">
        <f>INDEX(PeakCalc!$L$10:$L$303,MATCH(tblPivotData[[#This Row],[Time]],PeakCalc!$G$10:$G$303,0))</f>
        <v>1</v>
      </c>
    </row>
    <row r="213" spans="1:9" x14ac:dyDescent="0.25">
      <c r="A213" t="s">
        <v>94</v>
      </c>
      <c r="B213" t="s">
        <v>99</v>
      </c>
      <c r="C213" t="s">
        <v>93</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f>INDEX(PeakCalc!$L$10:$L$303,MATCH(tblPivotData[[#This Row],[Time]],PeakCalc!$G$10:$G$303,0))</f>
        <v>0</v>
      </c>
    </row>
    <row r="217" spans="1:9" x14ac:dyDescent="0.25">
      <c r="A217" t="s">
        <v>94</v>
      </c>
      <c r="B217" t="s">
        <v>99</v>
      </c>
      <c r="C217" t="s">
        <v>93</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99</v>
      </c>
      <c r="C219" t="s">
        <v>93</v>
      </c>
      <c r="D219" t="s">
        <v>89</v>
      </c>
      <c r="E219" t="s">
        <v>44</v>
      </c>
      <c r="F219" s="6">
        <v>0.71875</v>
      </c>
      <c r="G219">
        <v>2</v>
      </c>
      <c r="H219" s="6">
        <f>FLOOR(tblPivotData[[#This Row],[Time]],Summary!$B$6/1440)</f>
        <v>0.71875</v>
      </c>
      <c r="I219">
        <f>INDEX(PeakCalc!$L$10:$L$303,MATCH(tblPivotData[[#This Row],[Time]],PeakCalc!$G$10:$G$303,0))</f>
        <v>1</v>
      </c>
    </row>
    <row r="220" spans="1:9" x14ac:dyDescent="0.25">
      <c r="A220" t="s">
        <v>94</v>
      </c>
      <c r="B220" t="s">
        <v>99</v>
      </c>
      <c r="C220" t="s">
        <v>93</v>
      </c>
      <c r="D220" t="s">
        <v>89</v>
      </c>
      <c r="E220" t="s">
        <v>44</v>
      </c>
      <c r="F220" s="6">
        <v>0.72916666666666663</v>
      </c>
      <c r="G220">
        <v>3</v>
      </c>
      <c r="H220" s="6">
        <f>FLOOR(tblPivotData[[#This Row],[Time]],Summary!$B$6/1440)</f>
        <v>0.72916666666666663</v>
      </c>
      <c r="I220">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90</v>
      </c>
      <c r="E224" t="s">
        <v>43</v>
      </c>
      <c r="F224" s="6">
        <v>0.3125</v>
      </c>
      <c r="G224">
        <v>1</v>
      </c>
      <c r="H224" s="6">
        <f>FLOOR(tblPivotData[[#This Row],[Time]],Summary!$B$6/1440)</f>
        <v>0.3125</v>
      </c>
      <c r="I224">
        <f>INDEX(PeakCalc!$L$10:$L$303,MATCH(tblPivotData[[#This Row],[Time]],PeakCalc!$G$10:$G$303,0))</f>
        <v>0</v>
      </c>
    </row>
    <row r="225" spans="1:9" x14ac:dyDescent="0.25">
      <c r="A225" t="s">
        <v>94</v>
      </c>
      <c r="B225" t="s">
        <v>99</v>
      </c>
      <c r="C225" t="s">
        <v>93</v>
      </c>
      <c r="D225" t="s">
        <v>90</v>
      </c>
      <c r="E225" t="s">
        <v>43</v>
      </c>
      <c r="F225" s="6">
        <v>0.32291666666666669</v>
      </c>
      <c r="G225">
        <v>2</v>
      </c>
      <c r="H225" s="6">
        <f>FLOOR(tblPivotData[[#This Row],[Time]],Summary!$B$6/1440)</f>
        <v>0.32291666666666663</v>
      </c>
      <c r="I225">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90</v>
      </c>
      <c r="E229" t="s">
        <v>43</v>
      </c>
      <c r="F229" s="6">
        <v>0.36458333333333331</v>
      </c>
      <c r="G229">
        <v>2</v>
      </c>
      <c r="H229" s="6">
        <f>FLOOR(tblPivotData[[#This Row],[Time]],Summary!$B$6/1440)</f>
        <v>0.36458333333333331</v>
      </c>
      <c r="I22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90</v>
      </c>
      <c r="E232" t="s">
        <v>91</v>
      </c>
      <c r="F232" s="6">
        <v>0.5625</v>
      </c>
      <c r="G232">
        <v>1</v>
      </c>
      <c r="H232" s="6">
        <f>FLOOR(tblPivotData[[#This Row],[Time]],Summary!$B$6/1440)</f>
        <v>0.5625</v>
      </c>
      <c r="I232">
        <f>INDEX(PeakCalc!$L$10:$L$303,MATCH(tblPivotData[[#This Row],[Time]],PeakCalc!$G$10:$G$303,0))</f>
        <v>1</v>
      </c>
    </row>
    <row r="233" spans="1:9" x14ac:dyDescent="0.25">
      <c r="A233" t="s">
        <v>94</v>
      </c>
      <c r="B233" t="s">
        <v>99</v>
      </c>
      <c r="C233" t="s">
        <v>93</v>
      </c>
      <c r="D233" t="s">
        <v>90</v>
      </c>
      <c r="E233" t="s">
        <v>91</v>
      </c>
      <c r="F233" s="6">
        <v>0.57291666666666663</v>
      </c>
      <c r="G233">
        <v>2</v>
      </c>
      <c r="H233" s="6">
        <f>FLOOR(tblPivotData[[#This Row],[Time]],Summary!$B$6/1440)</f>
        <v>0.57291666666666663</v>
      </c>
      <c r="I233">
        <f>INDEX(PeakCalc!$L$10:$L$303,MATCH(tblPivotData[[#This Row],[Time]],PeakCalc!$G$10:$G$303,0))</f>
        <v>1</v>
      </c>
    </row>
    <row r="234" spans="1:9" x14ac:dyDescent="0.25">
      <c r="A234" t="s">
        <v>94</v>
      </c>
      <c r="B234" t="s">
        <v>99</v>
      </c>
      <c r="C234" t="s">
        <v>93</v>
      </c>
      <c r="D234" t="s">
        <v>90</v>
      </c>
      <c r="E234" t="s">
        <v>44</v>
      </c>
      <c r="F234" s="6">
        <v>0.66666666666666663</v>
      </c>
      <c r="G234">
        <v>2</v>
      </c>
      <c r="H234" s="6">
        <f>FLOOR(tblPivotData[[#This Row],[Time]],Summary!$B$6/1440)</f>
        <v>0.66666666666666663</v>
      </c>
      <c r="I234">
        <f>INDEX(PeakCalc!$L$10:$L$303,MATCH(tblPivotData[[#This Row],[Time]],PeakCalc!$G$10:$G$303,0))</f>
        <v>0</v>
      </c>
    </row>
    <row r="235" spans="1:9" x14ac:dyDescent="0.25">
      <c r="A235" t="s">
        <v>94</v>
      </c>
      <c r="B235" t="s">
        <v>99</v>
      </c>
      <c r="C235" t="s">
        <v>93</v>
      </c>
      <c r="D235" t="s">
        <v>90</v>
      </c>
      <c r="E235" t="s">
        <v>44</v>
      </c>
      <c r="F235" s="6">
        <v>0.67708333333333337</v>
      </c>
      <c r="G235">
        <v>2</v>
      </c>
      <c r="H235" s="6">
        <f>FLOOR(tblPivotData[[#This Row],[Time]],Summary!$B$6/1440)</f>
        <v>0.67708333333333326</v>
      </c>
      <c r="I235">
        <f>INDEX(PeakCalc!$L$10:$L$303,MATCH(tblPivotData[[#This Row],[Time]],PeakCalc!$G$10:$G$303,0))</f>
        <v>0</v>
      </c>
    </row>
    <row r="236" spans="1:9" x14ac:dyDescent="0.25">
      <c r="A236" t="s">
        <v>94</v>
      </c>
      <c r="B236" t="s">
        <v>99</v>
      </c>
      <c r="C236" t="s">
        <v>93</v>
      </c>
      <c r="D236" t="s">
        <v>90</v>
      </c>
      <c r="E236" t="s">
        <v>44</v>
      </c>
      <c r="F236" s="6">
        <v>0.6875</v>
      </c>
      <c r="G236">
        <v>4</v>
      </c>
      <c r="H236" s="6">
        <f>FLOOR(tblPivotData[[#This Row],[Time]],Summary!$B$6/1440)</f>
        <v>0.6875</v>
      </c>
      <c r="I236">
        <f>INDEX(PeakCalc!$L$10:$L$303,MATCH(tblPivotData[[#This Row],[Time]],PeakCalc!$G$10:$G$303,0))</f>
        <v>0</v>
      </c>
    </row>
    <row r="237" spans="1:9" x14ac:dyDescent="0.25">
      <c r="A237" t="s">
        <v>94</v>
      </c>
      <c r="B237" t="s">
        <v>99</v>
      </c>
      <c r="C237" t="s">
        <v>93</v>
      </c>
      <c r="D237" t="s">
        <v>90</v>
      </c>
      <c r="E237" t="s">
        <v>44</v>
      </c>
      <c r="F237" s="6">
        <v>0.69791666666666663</v>
      </c>
      <c r="G237">
        <v>3</v>
      </c>
      <c r="H237" s="6">
        <f>FLOOR(tblPivotData[[#This Row],[Time]],Summary!$B$6/1440)</f>
        <v>0.69791666666666663</v>
      </c>
      <c r="I237">
        <f>INDEX(PeakCalc!$L$10:$L$303,MATCH(tblPivotData[[#This Row],[Time]],PeakCalc!$G$10:$G$303,0))</f>
        <v>1</v>
      </c>
    </row>
    <row r="238" spans="1:9" x14ac:dyDescent="0.25">
      <c r="A238" t="s">
        <v>94</v>
      </c>
      <c r="B238" t="s">
        <v>99</v>
      </c>
      <c r="C238" t="s">
        <v>93</v>
      </c>
      <c r="D238" t="s">
        <v>90</v>
      </c>
      <c r="E238" t="s">
        <v>44</v>
      </c>
      <c r="F238" s="6">
        <v>0.70833333333333337</v>
      </c>
      <c r="G238">
        <v>2</v>
      </c>
      <c r="H238" s="6">
        <f>FLOOR(tblPivotData[[#This Row],[Time]],Summary!$B$6/1440)</f>
        <v>0.70833333333333326</v>
      </c>
      <c r="I238">
        <f>INDEX(PeakCalc!$L$10:$L$303,MATCH(tblPivotData[[#This Row],[Time]],PeakCalc!$G$10:$G$303,0))</f>
        <v>1</v>
      </c>
    </row>
    <row r="239" spans="1:9" x14ac:dyDescent="0.25">
      <c r="A239" t="s">
        <v>94</v>
      </c>
      <c r="B239" t="s">
        <v>99</v>
      </c>
      <c r="C239" t="s">
        <v>93</v>
      </c>
      <c r="D239" t="s">
        <v>90</v>
      </c>
      <c r="E239" t="s">
        <v>44</v>
      </c>
      <c r="F239" s="6">
        <v>0.71875</v>
      </c>
      <c r="G239">
        <v>3</v>
      </c>
      <c r="H239" s="6">
        <f>FLOOR(tblPivotData[[#This Row],[Time]],Summary!$B$6/1440)</f>
        <v>0.71875</v>
      </c>
      <c r="I239">
        <f>INDEX(PeakCalc!$L$10:$L$303,MATCH(tblPivotData[[#This Row],[Time]],PeakCalc!$G$10:$G$303,0))</f>
        <v>1</v>
      </c>
    </row>
    <row r="240" spans="1:9" x14ac:dyDescent="0.25">
      <c r="A240" t="s">
        <v>94</v>
      </c>
      <c r="B240" t="s">
        <v>99</v>
      </c>
      <c r="C240" t="s">
        <v>93</v>
      </c>
      <c r="D240" t="s">
        <v>90</v>
      </c>
      <c r="E240" t="s">
        <v>44</v>
      </c>
      <c r="F240" s="6">
        <v>0.72916666666666663</v>
      </c>
      <c r="G240">
        <v>6</v>
      </c>
      <c r="H240" s="6">
        <f>FLOOR(tblPivotData[[#This Row],[Time]],Summary!$B$6/1440)</f>
        <v>0.72916666666666663</v>
      </c>
      <c r="I240">
        <f>INDEX(PeakCalc!$L$10:$L$303,MATCH(tblPivotData[[#This Row],[Time]],PeakCalc!$G$10:$G$303,0))</f>
        <v>1</v>
      </c>
    </row>
    <row r="241" spans="1:9" x14ac:dyDescent="0.25">
      <c r="A241" t="s">
        <v>94</v>
      </c>
      <c r="B241" t="s">
        <v>99</v>
      </c>
      <c r="C241" t="s">
        <v>93</v>
      </c>
      <c r="D241" t="s">
        <v>90</v>
      </c>
      <c r="E241" t="s">
        <v>44</v>
      </c>
      <c r="F241" s="6">
        <v>0.73958333333333337</v>
      </c>
      <c r="G241">
        <v>2</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74</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137</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129</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200</v>
      </c>
      <c r="H245" s="6">
        <f>FLOOR(tblPivotData[[#This Row],[Time]],Summary!$B$6/1440)</f>
        <v>0.32291666666666663</v>
      </c>
      <c r="I245">
        <f>INDEX(PeakCalc!$L$10:$L$303,MATCH(tblPivotData[[#This Row],[Time]],PeakCalc!$G$10:$G$303,0))</f>
        <v>1</v>
      </c>
    </row>
    <row r="246" spans="1:9" x14ac:dyDescent="0.25">
      <c r="A246" t="s">
        <v>95</v>
      </c>
      <c r="B246" t="s">
        <v>100</v>
      </c>
      <c r="C246" t="s">
        <v>93</v>
      </c>
      <c r="D246" t="s">
        <v>79</v>
      </c>
      <c r="E246" t="s">
        <v>43</v>
      </c>
      <c r="F246" s="6">
        <v>0.33333333333333331</v>
      </c>
      <c r="G246">
        <v>166</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149</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171</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166</v>
      </c>
      <c r="H249" s="6">
        <f>FLOOR(tblPivotData[[#This Row],[Time]],Summary!$B$6/1440)</f>
        <v>0.36458333333333331</v>
      </c>
      <c r="I249">
        <f>INDEX(PeakCalc!$L$10:$L$303,MATCH(tblPivotData[[#This Row],[Time]],PeakCalc!$G$10:$G$303,0))</f>
        <v>0</v>
      </c>
    </row>
    <row r="250" spans="1:9" x14ac:dyDescent="0.25">
      <c r="A250" t="s">
        <v>95</v>
      </c>
      <c r="B250" t="s">
        <v>100</v>
      </c>
      <c r="C250" t="s">
        <v>93</v>
      </c>
      <c r="D250" t="s">
        <v>79</v>
      </c>
      <c r="E250" t="s">
        <v>91</v>
      </c>
      <c r="F250" s="6">
        <v>0.54166666666666663</v>
      </c>
      <c r="G250">
        <v>124</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91</v>
      </c>
      <c r="F251" s="6">
        <v>0.55208333333333337</v>
      </c>
      <c r="G251">
        <v>143</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91</v>
      </c>
      <c r="F252" s="6">
        <v>0.5625</v>
      </c>
      <c r="G252">
        <v>130</v>
      </c>
      <c r="H252" s="6">
        <f>FLOOR(tblPivotData[[#This Row],[Time]],Summary!$B$6/1440)</f>
        <v>0.5625</v>
      </c>
      <c r="I252">
        <f>INDEX(PeakCalc!$L$10:$L$303,MATCH(tblPivotData[[#This Row],[Time]],PeakCalc!$G$10:$G$303,0))</f>
        <v>1</v>
      </c>
    </row>
    <row r="253" spans="1:9" x14ac:dyDescent="0.25">
      <c r="A253" t="s">
        <v>95</v>
      </c>
      <c r="B253" t="s">
        <v>100</v>
      </c>
      <c r="C253" t="s">
        <v>93</v>
      </c>
      <c r="D253" t="s">
        <v>79</v>
      </c>
      <c r="E253" t="s">
        <v>91</v>
      </c>
      <c r="F253" s="6">
        <v>0.57291666666666663</v>
      </c>
      <c r="G253">
        <v>144</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207</v>
      </c>
      <c r="H254" s="6">
        <f>FLOOR(tblPivotData[[#This Row],[Time]],Summary!$B$6/1440)</f>
        <v>0.66666666666666663</v>
      </c>
      <c r="I254">
        <f>INDEX(PeakCalc!$L$10:$L$303,MATCH(tblPivotData[[#This Row],[Time]],PeakCalc!$G$10:$G$303,0))</f>
        <v>0</v>
      </c>
    </row>
    <row r="255" spans="1:9" x14ac:dyDescent="0.25">
      <c r="A255" t="s">
        <v>95</v>
      </c>
      <c r="B255" t="s">
        <v>100</v>
      </c>
      <c r="C255" t="s">
        <v>93</v>
      </c>
      <c r="D255" t="s">
        <v>79</v>
      </c>
      <c r="E255" t="s">
        <v>44</v>
      </c>
      <c r="F255" s="6">
        <v>0.67708333333333337</v>
      </c>
      <c r="G255">
        <v>201</v>
      </c>
      <c r="H255" s="6">
        <f>FLOOR(tblPivotData[[#This Row],[Time]],Summary!$B$6/1440)</f>
        <v>0.67708333333333326</v>
      </c>
      <c r="I255">
        <f>INDEX(PeakCalc!$L$10:$L$303,MATCH(tblPivotData[[#This Row],[Time]],PeakCalc!$G$10:$G$303,0))</f>
        <v>0</v>
      </c>
    </row>
    <row r="256" spans="1:9" x14ac:dyDescent="0.25">
      <c r="A256" t="s">
        <v>95</v>
      </c>
      <c r="B256" t="s">
        <v>100</v>
      </c>
      <c r="C256" t="s">
        <v>93</v>
      </c>
      <c r="D256" t="s">
        <v>79</v>
      </c>
      <c r="E256" t="s">
        <v>44</v>
      </c>
      <c r="F256" s="6">
        <v>0.6875</v>
      </c>
      <c r="G256">
        <v>185</v>
      </c>
      <c r="H256" s="6">
        <f>FLOOR(tblPivotData[[#This Row],[Time]],Summary!$B$6/1440)</f>
        <v>0.6875</v>
      </c>
      <c r="I256">
        <f>INDEX(PeakCalc!$L$10:$L$303,MATCH(tblPivotData[[#This Row],[Time]],PeakCalc!$G$10:$G$303,0))</f>
        <v>0</v>
      </c>
    </row>
    <row r="257" spans="1:9" x14ac:dyDescent="0.25">
      <c r="A257" t="s">
        <v>95</v>
      </c>
      <c r="B257" t="s">
        <v>100</v>
      </c>
      <c r="C257" t="s">
        <v>93</v>
      </c>
      <c r="D257" t="s">
        <v>79</v>
      </c>
      <c r="E257" t="s">
        <v>44</v>
      </c>
      <c r="F257" s="6">
        <v>0.69791666666666663</v>
      </c>
      <c r="G257">
        <v>180</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212</v>
      </c>
      <c r="H258" s="6">
        <f>FLOOR(tblPivotData[[#This Row],[Time]],Summary!$B$6/1440)</f>
        <v>0.70833333333333326</v>
      </c>
      <c r="I258">
        <f>INDEX(PeakCalc!$L$10:$L$303,MATCH(tblPivotData[[#This Row],[Time]],PeakCalc!$G$10:$G$303,0))</f>
        <v>1</v>
      </c>
    </row>
    <row r="259" spans="1:9" x14ac:dyDescent="0.25">
      <c r="A259" t="s">
        <v>95</v>
      </c>
      <c r="B259" t="s">
        <v>100</v>
      </c>
      <c r="C259" t="s">
        <v>93</v>
      </c>
      <c r="D259" t="s">
        <v>79</v>
      </c>
      <c r="E259" t="s">
        <v>44</v>
      </c>
      <c r="F259" s="6">
        <v>0.71875</v>
      </c>
      <c r="G259">
        <v>159</v>
      </c>
      <c r="H259" s="6">
        <f>FLOOR(tblPivotData[[#This Row],[Time]],Summary!$B$6/1440)</f>
        <v>0.71875</v>
      </c>
      <c r="I259">
        <f>INDEX(PeakCalc!$L$10:$L$303,MATCH(tblPivotData[[#This Row],[Time]],PeakCalc!$G$10:$G$303,0))</f>
        <v>1</v>
      </c>
    </row>
    <row r="260" spans="1:9" x14ac:dyDescent="0.25">
      <c r="A260" t="s">
        <v>95</v>
      </c>
      <c r="B260" t="s">
        <v>100</v>
      </c>
      <c r="C260" t="s">
        <v>93</v>
      </c>
      <c r="D260" t="s">
        <v>79</v>
      </c>
      <c r="E260" t="s">
        <v>44</v>
      </c>
      <c r="F260" s="6">
        <v>0.72916666666666663</v>
      </c>
      <c r="G260">
        <v>219</v>
      </c>
      <c r="H260" s="6">
        <f>FLOOR(tblPivotData[[#This Row],[Time]],Summary!$B$6/1440)</f>
        <v>0.72916666666666663</v>
      </c>
      <c r="I260">
        <f>INDEX(PeakCalc!$L$10:$L$303,MATCH(tblPivotData[[#This Row],[Time]],PeakCalc!$G$10:$G$303,0))</f>
        <v>1</v>
      </c>
    </row>
    <row r="261" spans="1:9" x14ac:dyDescent="0.25">
      <c r="A261" t="s">
        <v>95</v>
      </c>
      <c r="B261" t="s">
        <v>100</v>
      </c>
      <c r="C261" t="s">
        <v>93</v>
      </c>
      <c r="D261" t="s">
        <v>79</v>
      </c>
      <c r="E261" t="s">
        <v>44</v>
      </c>
      <c r="F261" s="6">
        <v>0.73958333333333337</v>
      </c>
      <c r="G261">
        <v>177</v>
      </c>
      <c r="H261" s="6">
        <f>FLOOR(tblPivotData[[#This Row],[Time]],Summary!$B$6/1440)</f>
        <v>0.73958333333333326</v>
      </c>
      <c r="I261">
        <f>INDEX(PeakCalc!$L$10:$L$303,MATCH(tblPivotData[[#This Row],[Time]],PeakCalc!$G$10:$G$303,0))</f>
        <v>0</v>
      </c>
    </row>
    <row r="262" spans="1:9" x14ac:dyDescent="0.25">
      <c r="A262" t="s">
        <v>95</v>
      </c>
      <c r="B262" t="s">
        <v>100</v>
      </c>
      <c r="C262" t="s">
        <v>93</v>
      </c>
      <c r="D262" t="s">
        <v>89</v>
      </c>
      <c r="E262" t="s">
        <v>43</v>
      </c>
      <c r="F262" s="6">
        <v>0.29166666666666669</v>
      </c>
      <c r="G262">
        <v>5</v>
      </c>
      <c r="H262" s="6">
        <f>FLOOR(tblPivotData[[#This Row],[Time]],Summary!$B$6/1440)</f>
        <v>0.29166666666666663</v>
      </c>
      <c r="I262">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95</v>
      </c>
      <c r="B264" t="s">
        <v>100</v>
      </c>
      <c r="C264" t="s">
        <v>93</v>
      </c>
      <c r="D264" t="s">
        <v>89</v>
      </c>
      <c r="E264" t="s">
        <v>43</v>
      </c>
      <c r="F264" s="6">
        <v>0.3125</v>
      </c>
      <c r="G264">
        <v>5</v>
      </c>
      <c r="H264" s="6">
        <f>FLOOR(tblPivotData[[#This Row],[Time]],Summary!$B$6/1440)</f>
        <v>0.3125</v>
      </c>
      <c r="I264">
        <f>INDEX(PeakCalc!$L$10:$L$303,MATCH(tblPivotData[[#This Row],[Time]],PeakCalc!$G$10:$G$303,0))</f>
        <v>0</v>
      </c>
    </row>
    <row r="265" spans="1:9" x14ac:dyDescent="0.25">
      <c r="A265" t="s">
        <v>95</v>
      </c>
      <c r="B265" t="s">
        <v>100</v>
      </c>
      <c r="C265" t="s">
        <v>93</v>
      </c>
      <c r="D265" t="s">
        <v>89</v>
      </c>
      <c r="E265" t="s">
        <v>43</v>
      </c>
      <c r="F265" s="6">
        <v>0.32291666666666669</v>
      </c>
      <c r="G265">
        <v>4</v>
      </c>
      <c r="H265" s="6">
        <f>FLOOR(tblPivotData[[#This Row],[Time]],Summary!$B$6/1440)</f>
        <v>0.32291666666666663</v>
      </c>
      <c r="I265">
        <f>INDEX(PeakCalc!$L$10:$L$303,MATCH(tblPivotData[[#This Row],[Time]],PeakCalc!$G$10:$G$303,0))</f>
        <v>1</v>
      </c>
    </row>
    <row r="266" spans="1:9" x14ac:dyDescent="0.25">
      <c r="A266" t="s">
        <v>95</v>
      </c>
      <c r="B266" t="s">
        <v>100</v>
      </c>
      <c r="C266" t="s">
        <v>93</v>
      </c>
      <c r="D266" t="s">
        <v>89</v>
      </c>
      <c r="E266" t="s">
        <v>43</v>
      </c>
      <c r="F266" s="6">
        <v>0.33333333333333331</v>
      </c>
      <c r="G266">
        <v>9</v>
      </c>
      <c r="H266" s="6">
        <f>FLOOR(tblPivotData[[#This Row],[Time]],Summary!$B$6/1440)</f>
        <v>0.33333333333333331</v>
      </c>
      <c r="I266">
        <f>INDEX(PeakCalc!$L$10:$L$303,MATCH(tblPivotData[[#This Row],[Time]],PeakCalc!$G$10:$G$303,0))</f>
        <v>1</v>
      </c>
    </row>
    <row r="267" spans="1:9" x14ac:dyDescent="0.25">
      <c r="A267" t="s">
        <v>95</v>
      </c>
      <c r="B267" t="s">
        <v>100</v>
      </c>
      <c r="C267" t="s">
        <v>93</v>
      </c>
      <c r="D267" t="s">
        <v>89</v>
      </c>
      <c r="E267" t="s">
        <v>43</v>
      </c>
      <c r="F267" s="6">
        <v>0.34375</v>
      </c>
      <c r="G267">
        <v>4</v>
      </c>
      <c r="H267" s="6">
        <f>FLOOR(tblPivotData[[#This Row],[Time]],Summary!$B$6/1440)</f>
        <v>0.34375</v>
      </c>
      <c r="I267">
        <f>INDEX(PeakCalc!$L$10:$L$303,MATCH(tblPivotData[[#This Row],[Time]],PeakCalc!$G$10:$G$303,0))</f>
        <v>1</v>
      </c>
    </row>
    <row r="268" spans="1:9" x14ac:dyDescent="0.25">
      <c r="A268" t="s">
        <v>95</v>
      </c>
      <c r="B268" t="s">
        <v>100</v>
      </c>
      <c r="C268" t="s">
        <v>93</v>
      </c>
      <c r="D268" t="s">
        <v>89</v>
      </c>
      <c r="E268" t="s">
        <v>43</v>
      </c>
      <c r="F268" s="6">
        <v>0.35416666666666669</v>
      </c>
      <c r="G268">
        <v>11</v>
      </c>
      <c r="H268" s="6">
        <f>FLOOR(tblPivotData[[#This Row],[Time]],Summary!$B$6/1440)</f>
        <v>0.35416666666666663</v>
      </c>
      <c r="I268">
        <f>INDEX(PeakCalc!$L$10:$L$303,MATCH(tblPivotData[[#This Row],[Time]],PeakCalc!$G$10:$G$303,0))</f>
        <v>1</v>
      </c>
    </row>
    <row r="269" spans="1:9" x14ac:dyDescent="0.25">
      <c r="A269" t="s">
        <v>95</v>
      </c>
      <c r="B269" t="s">
        <v>100</v>
      </c>
      <c r="C269" t="s">
        <v>93</v>
      </c>
      <c r="D269" t="s">
        <v>89</v>
      </c>
      <c r="E269" t="s">
        <v>43</v>
      </c>
      <c r="F269" s="6">
        <v>0.36458333333333331</v>
      </c>
      <c r="G269">
        <v>10</v>
      </c>
      <c r="H269" s="6">
        <f>FLOOR(tblPivotData[[#This Row],[Time]],Summary!$B$6/1440)</f>
        <v>0.36458333333333331</v>
      </c>
      <c r="I269">
        <f>INDEX(PeakCalc!$L$10:$L$303,MATCH(tblPivotData[[#This Row],[Time]],PeakCalc!$G$10:$G$303,0))</f>
        <v>0</v>
      </c>
    </row>
    <row r="270" spans="1:9" x14ac:dyDescent="0.25">
      <c r="A270" t="s">
        <v>95</v>
      </c>
      <c r="B270" t="s">
        <v>100</v>
      </c>
      <c r="C270" t="s">
        <v>93</v>
      </c>
      <c r="D270" t="s">
        <v>89</v>
      </c>
      <c r="E270" t="s">
        <v>91</v>
      </c>
      <c r="F270" s="6">
        <v>0.54166666666666663</v>
      </c>
      <c r="G270">
        <v>5</v>
      </c>
      <c r="H270" s="6">
        <f>FLOOR(tblPivotData[[#This Row],[Time]],Summary!$B$6/1440)</f>
        <v>0.54166666666666663</v>
      </c>
      <c r="I270">
        <f>INDEX(PeakCalc!$L$10:$L$303,MATCH(tblPivotData[[#This Row],[Time]],PeakCalc!$G$10:$G$303,0))</f>
        <v>1</v>
      </c>
    </row>
    <row r="271" spans="1:9" x14ac:dyDescent="0.25">
      <c r="A271" t="s">
        <v>95</v>
      </c>
      <c r="B271" t="s">
        <v>100</v>
      </c>
      <c r="C271" t="s">
        <v>93</v>
      </c>
      <c r="D271" t="s">
        <v>89</v>
      </c>
      <c r="E271" t="s">
        <v>91</v>
      </c>
      <c r="F271" s="6">
        <v>0.55208333333333337</v>
      </c>
      <c r="G271">
        <v>6</v>
      </c>
      <c r="H271" s="6">
        <f>FLOOR(tblPivotData[[#This Row],[Time]],Summary!$B$6/1440)</f>
        <v>0.55208333333333326</v>
      </c>
      <c r="I271">
        <f>INDEX(PeakCalc!$L$10:$L$303,MATCH(tblPivotData[[#This Row],[Time]],PeakCalc!$G$10:$G$303,0))</f>
        <v>1</v>
      </c>
    </row>
    <row r="272" spans="1:9" x14ac:dyDescent="0.25">
      <c r="A272" t="s">
        <v>95</v>
      </c>
      <c r="B272" t="s">
        <v>100</v>
      </c>
      <c r="C272" t="s">
        <v>93</v>
      </c>
      <c r="D272" t="s">
        <v>89</v>
      </c>
      <c r="E272" t="s">
        <v>91</v>
      </c>
      <c r="F272" s="6">
        <v>0.5625</v>
      </c>
      <c r="G272">
        <v>8</v>
      </c>
      <c r="H272" s="6">
        <f>FLOOR(tblPivotData[[#This Row],[Time]],Summary!$B$6/1440)</f>
        <v>0.5625</v>
      </c>
      <c r="I272">
        <f>INDEX(PeakCalc!$L$10:$L$303,MATCH(tblPivotData[[#This Row],[Time]],PeakCalc!$G$10:$G$303,0))</f>
        <v>1</v>
      </c>
    </row>
    <row r="273" spans="1:9" x14ac:dyDescent="0.25">
      <c r="A273" t="s">
        <v>95</v>
      </c>
      <c r="B273" t="s">
        <v>100</v>
      </c>
      <c r="C273" t="s">
        <v>93</v>
      </c>
      <c r="D273" t="s">
        <v>89</v>
      </c>
      <c r="E273" t="s">
        <v>91</v>
      </c>
      <c r="F273" s="6">
        <v>0.57291666666666663</v>
      </c>
      <c r="G273">
        <v>5</v>
      </c>
      <c r="H273" s="6">
        <f>FLOOR(tblPivotData[[#This Row],[Time]],Summary!$B$6/1440)</f>
        <v>0.57291666666666663</v>
      </c>
      <c r="I273">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95</v>
      </c>
      <c r="B275" t="s">
        <v>100</v>
      </c>
      <c r="C275" t="s">
        <v>93</v>
      </c>
      <c r="D275" t="s">
        <v>89</v>
      </c>
      <c r="E275" t="s">
        <v>44</v>
      </c>
      <c r="F275" s="6">
        <v>0.67708333333333337</v>
      </c>
      <c r="G275">
        <v>3</v>
      </c>
      <c r="H275" s="6">
        <f>FLOOR(tblPivotData[[#This Row],[Time]],Summary!$B$6/1440)</f>
        <v>0.67708333333333326</v>
      </c>
      <c r="I275">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f>INDEX(PeakCalc!$L$10:$L$303,MATCH(tblPivotData[[#This Row],[Time]],PeakCalc!$G$10:$G$303,0))</f>
        <v>0</v>
      </c>
    </row>
    <row r="277" spans="1:9" x14ac:dyDescent="0.25">
      <c r="A277" t="s">
        <v>95</v>
      </c>
      <c r="B277" t="s">
        <v>100</v>
      </c>
      <c r="C277" t="s">
        <v>93</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f>INDEX(PeakCalc!$L$10:$L$303,MATCH(tblPivotData[[#This Row],[Time]],PeakCalc!$G$10:$G$303,0))</f>
        <v>1</v>
      </c>
    </row>
    <row r="281" spans="1:9" x14ac:dyDescent="0.25">
      <c r="A281" t="s">
        <v>95</v>
      </c>
      <c r="B281" t="s">
        <v>100</v>
      </c>
      <c r="C281" t="s">
        <v>93</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95</v>
      </c>
      <c r="B282" t="s">
        <v>100</v>
      </c>
      <c r="C282" t="s">
        <v>93</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100</v>
      </c>
      <c r="C284" t="s">
        <v>93</v>
      </c>
      <c r="D284" t="s">
        <v>90</v>
      </c>
      <c r="E284" t="s">
        <v>43</v>
      </c>
      <c r="F284" s="6">
        <v>0.3125</v>
      </c>
      <c r="G284">
        <v>2</v>
      </c>
      <c r="H284" s="6">
        <f>FLOOR(tblPivotData[[#This Row],[Time]],Summary!$B$6/1440)</f>
        <v>0.3125</v>
      </c>
      <c r="I284">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95</v>
      </c>
      <c r="B286" t="s">
        <v>100</v>
      </c>
      <c r="C286" t="s">
        <v>93</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f>INDEX(PeakCalc!$L$10:$L$303,MATCH(tblPivotData[[#This Row],[Time]],PeakCalc!$G$10:$G$303,0))</f>
        <v>1</v>
      </c>
    </row>
    <row r="288" spans="1:9" x14ac:dyDescent="0.25">
      <c r="A288" t="s">
        <v>95</v>
      </c>
      <c r="B288" t="s">
        <v>100</v>
      </c>
      <c r="C288" t="s">
        <v>93</v>
      </c>
      <c r="D288" t="s">
        <v>90</v>
      </c>
      <c r="E288" t="s">
        <v>43</v>
      </c>
      <c r="F288" s="6">
        <v>0.35416666666666669</v>
      </c>
      <c r="G288">
        <v>3</v>
      </c>
      <c r="H288" s="6">
        <f>FLOOR(tblPivotData[[#This Row],[Time]],Summary!$B$6/1440)</f>
        <v>0.35416666666666663</v>
      </c>
      <c r="I288">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100</v>
      </c>
      <c r="C292" t="s">
        <v>93</v>
      </c>
      <c r="D292" t="s">
        <v>90</v>
      </c>
      <c r="E292" t="s">
        <v>91</v>
      </c>
      <c r="F292" s="6">
        <v>0.5625</v>
      </c>
      <c r="G292">
        <v>1</v>
      </c>
      <c r="H292" s="6">
        <f>FLOOR(tblPivotData[[#This Row],[Time]],Summary!$B$6/1440)</f>
        <v>0.5625</v>
      </c>
      <c r="I292">
        <f>INDEX(PeakCalc!$L$10:$L$303,MATCH(tblPivotData[[#This Row],[Time]],PeakCalc!$G$10:$G$303,0))</f>
        <v>1</v>
      </c>
    </row>
    <row r="293" spans="1:9" x14ac:dyDescent="0.25">
      <c r="A293" t="s">
        <v>95</v>
      </c>
      <c r="B293" t="s">
        <v>100</v>
      </c>
      <c r="C293" t="s">
        <v>93</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100</v>
      </c>
      <c r="C295" t="s">
        <v>93</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95</v>
      </c>
      <c r="B296" t="s">
        <v>100</v>
      </c>
      <c r="C296" t="s">
        <v>93</v>
      </c>
      <c r="D296" t="s">
        <v>90</v>
      </c>
      <c r="E296" t="s">
        <v>44</v>
      </c>
      <c r="F296" s="6">
        <v>0.6875</v>
      </c>
      <c r="G296">
        <v>2</v>
      </c>
      <c r="H296" s="6">
        <f>FLOOR(tblPivotData[[#This Row],[Time]],Summary!$B$6/1440)</f>
        <v>0.6875</v>
      </c>
      <c r="I296">
        <f>INDEX(PeakCalc!$L$10:$L$303,MATCH(tblPivotData[[#This Row],[Time]],PeakCalc!$G$10:$G$303,0))</f>
        <v>0</v>
      </c>
    </row>
    <row r="297" spans="1:9" x14ac:dyDescent="0.25">
      <c r="A297" t="s">
        <v>95</v>
      </c>
      <c r="B297" t="s">
        <v>100</v>
      </c>
      <c r="C297" t="s">
        <v>93</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95</v>
      </c>
      <c r="B298" t="s">
        <v>100</v>
      </c>
      <c r="C298" t="s">
        <v>93</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f>INDEX(PeakCalc!$L$10:$L$303,MATCH(tblPivotData[[#This Row],[Time]],PeakCalc!$G$10:$G$303,0))</f>
        <v>1</v>
      </c>
    </row>
    <row r="300" spans="1:9" x14ac:dyDescent="0.25">
      <c r="A300" t="s">
        <v>95</v>
      </c>
      <c r="B300" t="s">
        <v>100</v>
      </c>
      <c r="C300" t="s">
        <v>93</v>
      </c>
      <c r="D300" t="s">
        <v>90</v>
      </c>
      <c r="E300" t="s">
        <v>44</v>
      </c>
      <c r="F300" s="6">
        <v>0.72916666666666663</v>
      </c>
      <c r="G300">
        <v>2</v>
      </c>
      <c r="H300" s="6">
        <f>FLOOR(tblPivotData[[#This Row],[Time]],Summary!$B$6/1440)</f>
        <v>0.72916666666666663</v>
      </c>
      <c r="I300">
        <f>INDEX(PeakCalc!$L$10:$L$303,MATCH(tblPivotData[[#This Row],[Time]],PeakCalc!$G$10:$G$303,0))</f>
        <v>1</v>
      </c>
    </row>
    <row r="301" spans="1:9" x14ac:dyDescent="0.25">
      <c r="A301" t="s">
        <v>95</v>
      </c>
      <c r="B301" t="s">
        <v>100</v>
      </c>
      <c r="C301" t="s">
        <v>93</v>
      </c>
      <c r="D301" t="s">
        <v>90</v>
      </c>
      <c r="E301" t="s">
        <v>44</v>
      </c>
      <c r="F301" s="6">
        <v>0.73958333333333337</v>
      </c>
      <c r="G301">
        <v>4</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6</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14</v>
      </c>
      <c r="H305" s="6">
        <f>FLOOR(tblPivotData[[#This Row],[Time]],Summary!$B$6/1440)</f>
        <v>0.32291666666666663</v>
      </c>
      <c r="I305">
        <f>INDEX(PeakCalc!$L$10:$L$303,MATCH(tblPivotData[[#This Row],[Time]],PeakCalc!$G$10:$G$303,0))</f>
        <v>1</v>
      </c>
    </row>
    <row r="306" spans="1:9" x14ac:dyDescent="0.25">
      <c r="A306" t="s">
        <v>95</v>
      </c>
      <c r="B306" t="s">
        <v>101</v>
      </c>
      <c r="C306" t="s">
        <v>94</v>
      </c>
      <c r="D306" t="s">
        <v>79</v>
      </c>
      <c r="E306" t="s">
        <v>43</v>
      </c>
      <c r="F306" s="6">
        <v>0.33333333333333331</v>
      </c>
      <c r="G306">
        <v>14</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25</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15</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13</v>
      </c>
      <c r="H309" s="6">
        <f>FLOOR(tblPivotData[[#This Row],[Time]],Summary!$B$6/1440)</f>
        <v>0.36458333333333331</v>
      </c>
      <c r="I309">
        <f>INDEX(PeakCalc!$L$10:$L$303,MATCH(tblPivotData[[#This Row],[Time]],PeakCalc!$G$10:$G$303,0))</f>
        <v>0</v>
      </c>
    </row>
    <row r="310" spans="1:9" x14ac:dyDescent="0.25">
      <c r="A310" t="s">
        <v>95</v>
      </c>
      <c r="B310" t="s">
        <v>101</v>
      </c>
      <c r="C310" t="s">
        <v>94</v>
      </c>
      <c r="D310" t="s">
        <v>79</v>
      </c>
      <c r="E310" t="s">
        <v>91</v>
      </c>
      <c r="F310" s="6">
        <v>0.54166666666666663</v>
      </c>
      <c r="G310">
        <v>4</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91</v>
      </c>
      <c r="F311" s="6">
        <v>0.55208333333333337</v>
      </c>
      <c r="G311">
        <v>10</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91</v>
      </c>
      <c r="F312" s="6">
        <v>0.5625</v>
      </c>
      <c r="G312">
        <v>10</v>
      </c>
      <c r="H312" s="6">
        <f>FLOOR(tblPivotData[[#This Row],[Time]],Summary!$B$6/1440)</f>
        <v>0.5625</v>
      </c>
      <c r="I312">
        <f>INDEX(PeakCalc!$L$10:$L$303,MATCH(tblPivotData[[#This Row],[Time]],PeakCalc!$G$10:$G$303,0))</f>
        <v>1</v>
      </c>
    </row>
    <row r="313" spans="1:9" x14ac:dyDescent="0.25">
      <c r="A313" t="s">
        <v>95</v>
      </c>
      <c r="B313" t="s">
        <v>101</v>
      </c>
      <c r="C313" t="s">
        <v>94</v>
      </c>
      <c r="D313" t="s">
        <v>79</v>
      </c>
      <c r="E313" t="s">
        <v>91</v>
      </c>
      <c r="F313" s="6">
        <v>0.57291666666666663</v>
      </c>
      <c r="G313">
        <v>9</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9</v>
      </c>
      <c r="H314" s="6">
        <f>FLOOR(tblPivotData[[#This Row],[Time]],Summary!$B$6/1440)</f>
        <v>0.66666666666666663</v>
      </c>
      <c r="I314">
        <f>INDEX(PeakCalc!$L$10:$L$303,MATCH(tblPivotData[[#This Row],[Time]],PeakCalc!$G$10:$G$303,0))</f>
        <v>0</v>
      </c>
    </row>
    <row r="315" spans="1:9" x14ac:dyDescent="0.25">
      <c r="A315" t="s">
        <v>95</v>
      </c>
      <c r="B315" t="s">
        <v>101</v>
      </c>
      <c r="C315" t="s">
        <v>94</v>
      </c>
      <c r="D315" t="s">
        <v>79</v>
      </c>
      <c r="E315" t="s">
        <v>44</v>
      </c>
      <c r="F315" s="6">
        <v>0.67708333333333337</v>
      </c>
      <c r="G315">
        <v>10</v>
      </c>
      <c r="H315" s="6">
        <f>FLOOR(tblPivotData[[#This Row],[Time]],Summary!$B$6/1440)</f>
        <v>0.67708333333333326</v>
      </c>
      <c r="I315">
        <f>INDEX(PeakCalc!$L$10:$L$303,MATCH(tblPivotData[[#This Row],[Time]],PeakCalc!$G$10:$G$303,0))</f>
        <v>0</v>
      </c>
    </row>
    <row r="316" spans="1:9" x14ac:dyDescent="0.25">
      <c r="A316" t="s">
        <v>95</v>
      </c>
      <c r="B316" t="s">
        <v>101</v>
      </c>
      <c r="C316" t="s">
        <v>94</v>
      </c>
      <c r="D316" t="s">
        <v>79</v>
      </c>
      <c r="E316" t="s">
        <v>44</v>
      </c>
      <c r="F316" s="6">
        <v>0.6875</v>
      </c>
      <c r="G316">
        <v>8</v>
      </c>
      <c r="H316" s="6">
        <f>FLOOR(tblPivotData[[#This Row],[Time]],Summary!$B$6/1440)</f>
        <v>0.6875</v>
      </c>
      <c r="I316">
        <f>INDEX(PeakCalc!$L$10:$L$303,MATCH(tblPivotData[[#This Row],[Time]],PeakCalc!$G$10:$G$303,0))</f>
        <v>0</v>
      </c>
    </row>
    <row r="317" spans="1:9" x14ac:dyDescent="0.25">
      <c r="A317" t="s">
        <v>95</v>
      </c>
      <c r="B317" t="s">
        <v>101</v>
      </c>
      <c r="C317" t="s">
        <v>94</v>
      </c>
      <c r="D317" t="s">
        <v>79</v>
      </c>
      <c r="E317" t="s">
        <v>44</v>
      </c>
      <c r="F317" s="6">
        <v>0.69791666666666663</v>
      </c>
      <c r="G317">
        <v>25</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13</v>
      </c>
      <c r="H318" s="6">
        <f>FLOOR(tblPivotData[[#This Row],[Time]],Summary!$B$6/1440)</f>
        <v>0.70833333333333326</v>
      </c>
      <c r="I318">
        <f>INDEX(PeakCalc!$L$10:$L$303,MATCH(tblPivotData[[#This Row],[Time]],PeakCalc!$G$10:$G$303,0))</f>
        <v>1</v>
      </c>
    </row>
    <row r="319" spans="1:9" x14ac:dyDescent="0.25">
      <c r="A319" t="s">
        <v>95</v>
      </c>
      <c r="B319" t="s">
        <v>101</v>
      </c>
      <c r="C319" t="s">
        <v>94</v>
      </c>
      <c r="D319" t="s">
        <v>79</v>
      </c>
      <c r="E319" t="s">
        <v>44</v>
      </c>
      <c r="F319" s="6">
        <v>0.71875</v>
      </c>
      <c r="G319">
        <v>8</v>
      </c>
      <c r="H319" s="6">
        <f>FLOOR(tblPivotData[[#This Row],[Time]],Summary!$B$6/1440)</f>
        <v>0.71875</v>
      </c>
      <c r="I319">
        <f>INDEX(PeakCalc!$L$10:$L$303,MATCH(tblPivotData[[#This Row],[Time]],PeakCalc!$G$10:$G$303,0))</f>
        <v>1</v>
      </c>
    </row>
    <row r="320" spans="1:9" x14ac:dyDescent="0.25">
      <c r="A320" t="s">
        <v>95</v>
      </c>
      <c r="B320" t="s">
        <v>101</v>
      </c>
      <c r="C320" t="s">
        <v>94</v>
      </c>
      <c r="D320" t="s">
        <v>79</v>
      </c>
      <c r="E320" t="s">
        <v>44</v>
      </c>
      <c r="F320" s="6">
        <v>0.72916666666666663</v>
      </c>
      <c r="G320">
        <v>24</v>
      </c>
      <c r="H320" s="6">
        <f>FLOOR(tblPivotData[[#This Row],[Time]],Summary!$B$6/1440)</f>
        <v>0.72916666666666663</v>
      </c>
      <c r="I320">
        <f>INDEX(PeakCalc!$L$10:$L$303,MATCH(tblPivotData[[#This Row],[Time]],PeakCalc!$G$10:$G$303,0))</f>
        <v>1</v>
      </c>
    </row>
    <row r="321" spans="1:9" x14ac:dyDescent="0.25">
      <c r="A321" t="s">
        <v>95</v>
      </c>
      <c r="B321" t="s">
        <v>101</v>
      </c>
      <c r="C321" t="s">
        <v>94</v>
      </c>
      <c r="D321" t="s">
        <v>79</v>
      </c>
      <c r="E321" t="s">
        <v>44</v>
      </c>
      <c r="F321" s="6">
        <v>0.73958333333333337</v>
      </c>
      <c r="G321">
        <v>18</v>
      </c>
      <c r="H321" s="6">
        <f>FLOOR(tblPivotData[[#This Row],[Time]],Summary!$B$6/1440)</f>
        <v>0.73958333333333326</v>
      </c>
      <c r="I321">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94</v>
      </c>
      <c r="D344" t="s">
        <v>90</v>
      </c>
      <c r="E344" t="s">
        <v>43</v>
      </c>
      <c r="F344" s="6">
        <v>0.3125</v>
      </c>
      <c r="G344">
        <v>1</v>
      </c>
      <c r="H344" s="6">
        <f>FLOOR(tblPivotData[[#This Row],[Time]],Summary!$B$6/1440)</f>
        <v>0.3125</v>
      </c>
      <c r="I344">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482</v>
      </c>
      <c r="D14">
        <v>15</v>
      </c>
      <c r="E14">
        <v>14</v>
      </c>
      <c r="F14">
        <v>511</v>
      </c>
      <c r="G14">
        <v>1263</v>
      </c>
      <c r="H14">
        <v>27</v>
      </c>
      <c r="I14">
        <v>10</v>
      </c>
      <c r="J14">
        <v>1300</v>
      </c>
      <c r="K14">
        <v>1811</v>
      </c>
      <c r="L14">
        <v>52</v>
      </c>
      <c r="M14">
        <v>1</v>
      </c>
      <c r="N14">
        <v>0</v>
      </c>
      <c r="O14">
        <v>53</v>
      </c>
      <c r="P14">
        <v>213</v>
      </c>
      <c r="Q14">
        <v>15</v>
      </c>
      <c r="R14">
        <v>6</v>
      </c>
      <c r="S14">
        <v>234</v>
      </c>
      <c r="T14">
        <v>287</v>
      </c>
      <c r="U14">
        <v>1192</v>
      </c>
      <c r="V14">
        <v>50</v>
      </c>
      <c r="W14">
        <v>10</v>
      </c>
      <c r="X14">
        <v>1252</v>
      </c>
      <c r="Y14">
        <v>91</v>
      </c>
      <c r="Z14">
        <v>2</v>
      </c>
      <c r="AA14">
        <v>1</v>
      </c>
      <c r="AB14">
        <v>94</v>
      </c>
      <c r="AC14">
        <v>1346</v>
      </c>
      <c r="AD14">
        <v>3444</v>
      </c>
    </row>
    <row r="15" spans="2:30" x14ac:dyDescent="0.25">
      <c r="B15" s="11">
        <v>0.29166666666666669</v>
      </c>
      <c r="C15">
        <v>37</v>
      </c>
      <c r="D15">
        <v>1</v>
      </c>
      <c r="E15">
        <v>1</v>
      </c>
      <c r="F15">
        <v>39</v>
      </c>
      <c r="G15">
        <v>145</v>
      </c>
      <c r="H15">
        <v>3</v>
      </c>
      <c r="I15">
        <v>2</v>
      </c>
      <c r="J15">
        <v>150</v>
      </c>
      <c r="K15">
        <v>189</v>
      </c>
      <c r="L15">
        <v>3</v>
      </c>
      <c r="M15">
        <v>0</v>
      </c>
      <c r="N15">
        <v>0</v>
      </c>
      <c r="O15">
        <v>3</v>
      </c>
      <c r="P15">
        <v>11</v>
      </c>
      <c r="Q15">
        <v>0</v>
      </c>
      <c r="R15">
        <v>0</v>
      </c>
      <c r="S15">
        <v>11</v>
      </c>
      <c r="T15">
        <v>14</v>
      </c>
      <c r="U15">
        <v>74</v>
      </c>
      <c r="V15">
        <v>5</v>
      </c>
      <c r="W15">
        <v>2</v>
      </c>
      <c r="X15">
        <v>81</v>
      </c>
      <c r="Y15">
        <v>1</v>
      </c>
      <c r="Z15">
        <v>0</v>
      </c>
      <c r="AA15">
        <v>0</v>
      </c>
      <c r="AB15">
        <v>1</v>
      </c>
      <c r="AC15">
        <v>82</v>
      </c>
      <c r="AD15">
        <v>285</v>
      </c>
    </row>
    <row r="16" spans="2:30" x14ac:dyDescent="0.25">
      <c r="B16" s="11">
        <v>0.30208333333333331</v>
      </c>
      <c r="C16">
        <v>55</v>
      </c>
      <c r="D16">
        <v>1</v>
      </c>
      <c r="E16">
        <v>3</v>
      </c>
      <c r="F16">
        <v>59</v>
      </c>
      <c r="G16">
        <v>201</v>
      </c>
      <c r="H16">
        <v>2</v>
      </c>
      <c r="I16">
        <v>0</v>
      </c>
      <c r="J16">
        <v>203</v>
      </c>
      <c r="K16">
        <v>262</v>
      </c>
      <c r="L16">
        <v>2</v>
      </c>
      <c r="M16">
        <v>0</v>
      </c>
      <c r="N16">
        <v>0</v>
      </c>
      <c r="O16">
        <v>2</v>
      </c>
      <c r="P16">
        <v>21</v>
      </c>
      <c r="Q16">
        <v>3</v>
      </c>
      <c r="R16">
        <v>0</v>
      </c>
      <c r="S16">
        <v>24</v>
      </c>
      <c r="T16">
        <v>26</v>
      </c>
      <c r="U16">
        <v>137</v>
      </c>
      <c r="V16">
        <v>2</v>
      </c>
      <c r="W16">
        <v>0</v>
      </c>
      <c r="X16">
        <v>139</v>
      </c>
      <c r="Y16">
        <v>3</v>
      </c>
      <c r="Z16">
        <v>0</v>
      </c>
      <c r="AA16">
        <v>0</v>
      </c>
      <c r="AB16">
        <v>3</v>
      </c>
      <c r="AC16">
        <v>142</v>
      </c>
      <c r="AD16">
        <v>430</v>
      </c>
    </row>
    <row r="17" spans="2:30" x14ac:dyDescent="0.25">
      <c r="B17" s="11">
        <v>0.3125</v>
      </c>
      <c r="C17">
        <v>66</v>
      </c>
      <c r="D17">
        <v>3</v>
      </c>
      <c r="E17">
        <v>4</v>
      </c>
      <c r="F17">
        <v>73</v>
      </c>
      <c r="G17">
        <v>198</v>
      </c>
      <c r="H17">
        <v>2</v>
      </c>
      <c r="I17">
        <v>2</v>
      </c>
      <c r="J17">
        <v>202</v>
      </c>
      <c r="K17">
        <v>275</v>
      </c>
      <c r="L17">
        <v>3</v>
      </c>
      <c r="M17">
        <v>0</v>
      </c>
      <c r="N17">
        <v>0</v>
      </c>
      <c r="O17">
        <v>3</v>
      </c>
      <c r="P17">
        <v>29</v>
      </c>
      <c r="Q17">
        <v>2</v>
      </c>
      <c r="R17">
        <v>1</v>
      </c>
      <c r="S17">
        <v>32</v>
      </c>
      <c r="T17">
        <v>35</v>
      </c>
      <c r="U17">
        <v>129</v>
      </c>
      <c r="V17">
        <v>5</v>
      </c>
      <c r="W17">
        <v>2</v>
      </c>
      <c r="X17">
        <v>136</v>
      </c>
      <c r="Y17">
        <v>6</v>
      </c>
      <c r="Z17">
        <v>0</v>
      </c>
      <c r="AA17">
        <v>1</v>
      </c>
      <c r="AB17">
        <v>7</v>
      </c>
      <c r="AC17">
        <v>143</v>
      </c>
      <c r="AD17">
        <v>453</v>
      </c>
    </row>
    <row r="18" spans="2:30" x14ac:dyDescent="0.25">
      <c r="B18" s="11">
        <v>0.32291666666666669</v>
      </c>
      <c r="C18">
        <v>68</v>
      </c>
      <c r="D18">
        <v>1</v>
      </c>
      <c r="E18">
        <v>4</v>
      </c>
      <c r="F18">
        <v>73</v>
      </c>
      <c r="G18">
        <v>166</v>
      </c>
      <c r="H18">
        <v>3</v>
      </c>
      <c r="I18">
        <v>1</v>
      </c>
      <c r="J18">
        <v>170</v>
      </c>
      <c r="K18">
        <v>243</v>
      </c>
      <c r="L18">
        <v>5</v>
      </c>
      <c r="M18">
        <v>0</v>
      </c>
      <c r="N18">
        <v>0</v>
      </c>
      <c r="O18">
        <v>5</v>
      </c>
      <c r="P18">
        <v>16</v>
      </c>
      <c r="Q18">
        <v>1</v>
      </c>
      <c r="R18">
        <v>2</v>
      </c>
      <c r="S18">
        <v>19</v>
      </c>
      <c r="T18">
        <v>24</v>
      </c>
      <c r="U18">
        <v>200</v>
      </c>
      <c r="V18">
        <v>4</v>
      </c>
      <c r="W18">
        <v>1</v>
      </c>
      <c r="X18">
        <v>205</v>
      </c>
      <c r="Y18">
        <v>14</v>
      </c>
      <c r="Z18">
        <v>0</v>
      </c>
      <c r="AA18">
        <v>0</v>
      </c>
      <c r="AB18">
        <v>14</v>
      </c>
      <c r="AC18">
        <v>219</v>
      </c>
      <c r="AD18">
        <v>486</v>
      </c>
    </row>
    <row r="19" spans="2:30" x14ac:dyDescent="0.25">
      <c r="B19" s="11">
        <v>0.33333333333333331</v>
      </c>
      <c r="C19">
        <v>53</v>
      </c>
      <c r="D19">
        <v>1</v>
      </c>
      <c r="E19">
        <v>1</v>
      </c>
      <c r="F19">
        <v>55</v>
      </c>
      <c r="G19">
        <v>157</v>
      </c>
      <c r="H19">
        <v>2</v>
      </c>
      <c r="I19">
        <v>2</v>
      </c>
      <c r="J19">
        <v>161</v>
      </c>
      <c r="K19">
        <v>216</v>
      </c>
      <c r="L19">
        <v>2</v>
      </c>
      <c r="M19">
        <v>0</v>
      </c>
      <c r="N19">
        <v>0</v>
      </c>
      <c r="O19">
        <v>2</v>
      </c>
      <c r="P19">
        <v>21</v>
      </c>
      <c r="Q19">
        <v>1</v>
      </c>
      <c r="R19">
        <v>0</v>
      </c>
      <c r="S19">
        <v>22</v>
      </c>
      <c r="T19">
        <v>24</v>
      </c>
      <c r="U19">
        <v>166</v>
      </c>
      <c r="V19">
        <v>9</v>
      </c>
      <c r="W19">
        <v>1</v>
      </c>
      <c r="X19">
        <v>176</v>
      </c>
      <c r="Y19">
        <v>14</v>
      </c>
      <c r="Z19">
        <v>1</v>
      </c>
      <c r="AA19">
        <v>0</v>
      </c>
      <c r="AB19">
        <v>15</v>
      </c>
      <c r="AC19">
        <v>191</v>
      </c>
      <c r="AD19">
        <v>431</v>
      </c>
    </row>
    <row r="20" spans="2:30" x14ac:dyDescent="0.25">
      <c r="B20" s="11">
        <v>0.34375</v>
      </c>
      <c r="C20">
        <v>66</v>
      </c>
      <c r="D20">
        <v>3</v>
      </c>
      <c r="E20">
        <v>0</v>
      </c>
      <c r="F20">
        <v>69</v>
      </c>
      <c r="G20">
        <v>125</v>
      </c>
      <c r="H20">
        <v>6</v>
      </c>
      <c r="I20">
        <v>1</v>
      </c>
      <c r="J20">
        <v>132</v>
      </c>
      <c r="K20">
        <v>201</v>
      </c>
      <c r="L20">
        <v>8</v>
      </c>
      <c r="M20">
        <v>0</v>
      </c>
      <c r="N20">
        <v>0</v>
      </c>
      <c r="O20">
        <v>8</v>
      </c>
      <c r="P20">
        <v>31</v>
      </c>
      <c r="Q20">
        <v>2</v>
      </c>
      <c r="R20">
        <v>1</v>
      </c>
      <c r="S20">
        <v>34</v>
      </c>
      <c r="T20">
        <v>42</v>
      </c>
      <c r="U20">
        <v>149</v>
      </c>
      <c r="V20">
        <v>4</v>
      </c>
      <c r="W20">
        <v>1</v>
      </c>
      <c r="X20">
        <v>154</v>
      </c>
      <c r="Y20">
        <v>25</v>
      </c>
      <c r="Z20">
        <v>0</v>
      </c>
      <c r="AA20">
        <v>0</v>
      </c>
      <c r="AB20">
        <v>25</v>
      </c>
      <c r="AC20">
        <v>179</v>
      </c>
      <c r="AD20">
        <v>422</v>
      </c>
    </row>
    <row r="21" spans="2:30" x14ac:dyDescent="0.25">
      <c r="B21" s="11">
        <v>0.35416666666666669</v>
      </c>
      <c r="C21">
        <v>71</v>
      </c>
      <c r="D21">
        <v>1</v>
      </c>
      <c r="E21">
        <v>1</v>
      </c>
      <c r="F21">
        <v>73</v>
      </c>
      <c r="G21">
        <v>159</v>
      </c>
      <c r="H21">
        <v>3</v>
      </c>
      <c r="I21">
        <v>2</v>
      </c>
      <c r="J21">
        <v>164</v>
      </c>
      <c r="K21">
        <v>237</v>
      </c>
      <c r="L21">
        <v>13</v>
      </c>
      <c r="M21">
        <v>0</v>
      </c>
      <c r="N21">
        <v>0</v>
      </c>
      <c r="O21">
        <v>13</v>
      </c>
      <c r="P21">
        <v>51</v>
      </c>
      <c r="Q21">
        <v>2</v>
      </c>
      <c r="R21">
        <v>0</v>
      </c>
      <c r="S21">
        <v>53</v>
      </c>
      <c r="T21">
        <v>66</v>
      </c>
      <c r="U21">
        <v>171</v>
      </c>
      <c r="V21">
        <v>11</v>
      </c>
      <c r="W21">
        <v>3</v>
      </c>
      <c r="X21">
        <v>185</v>
      </c>
      <c r="Y21">
        <v>15</v>
      </c>
      <c r="Z21">
        <v>1</v>
      </c>
      <c r="AA21">
        <v>0</v>
      </c>
      <c r="AB21">
        <v>16</v>
      </c>
      <c r="AC21">
        <v>201</v>
      </c>
      <c r="AD21">
        <v>504</v>
      </c>
    </row>
    <row r="22" spans="2:30" x14ac:dyDescent="0.25">
      <c r="B22" s="11">
        <v>0.36458333333333331</v>
      </c>
      <c r="C22">
        <v>66</v>
      </c>
      <c r="D22">
        <v>4</v>
      </c>
      <c r="E22">
        <v>0</v>
      </c>
      <c r="F22">
        <v>70</v>
      </c>
      <c r="G22">
        <v>112</v>
      </c>
      <c r="H22">
        <v>6</v>
      </c>
      <c r="I22">
        <v>0</v>
      </c>
      <c r="J22">
        <v>118</v>
      </c>
      <c r="K22">
        <v>188</v>
      </c>
      <c r="L22">
        <v>16</v>
      </c>
      <c r="M22">
        <v>1</v>
      </c>
      <c r="N22">
        <v>0</v>
      </c>
      <c r="O22">
        <v>17</v>
      </c>
      <c r="P22">
        <v>33</v>
      </c>
      <c r="Q22">
        <v>4</v>
      </c>
      <c r="R22">
        <v>2</v>
      </c>
      <c r="S22">
        <v>39</v>
      </c>
      <c r="T22">
        <v>56</v>
      </c>
      <c r="U22">
        <v>166</v>
      </c>
      <c r="V22">
        <v>10</v>
      </c>
      <c r="W22">
        <v>0</v>
      </c>
      <c r="X22">
        <v>176</v>
      </c>
      <c r="Y22">
        <v>13</v>
      </c>
      <c r="Z22">
        <v>0</v>
      </c>
      <c r="AA22">
        <v>0</v>
      </c>
      <c r="AB22">
        <v>13</v>
      </c>
      <c r="AC22">
        <v>189</v>
      </c>
      <c r="AD22">
        <v>433</v>
      </c>
    </row>
    <row r="23" spans="2:30" x14ac:dyDescent="0.25">
      <c r="B23" s="10" t="s">
        <v>44</v>
      </c>
      <c r="C23">
        <v>399</v>
      </c>
      <c r="D23">
        <v>9</v>
      </c>
      <c r="E23">
        <v>4</v>
      </c>
      <c r="F23">
        <v>412</v>
      </c>
      <c r="G23">
        <v>1296</v>
      </c>
      <c r="H23">
        <v>13</v>
      </c>
      <c r="I23">
        <v>6</v>
      </c>
      <c r="J23">
        <v>1315</v>
      </c>
      <c r="K23">
        <v>1727</v>
      </c>
      <c r="L23">
        <v>158</v>
      </c>
      <c r="M23">
        <v>0</v>
      </c>
      <c r="N23">
        <v>1</v>
      </c>
      <c r="O23">
        <v>159</v>
      </c>
      <c r="P23">
        <v>526</v>
      </c>
      <c r="Q23">
        <v>10</v>
      </c>
      <c r="R23">
        <v>24</v>
      </c>
      <c r="S23">
        <v>560</v>
      </c>
      <c r="T23">
        <v>719</v>
      </c>
      <c r="U23">
        <v>1540</v>
      </c>
      <c r="V23">
        <v>11</v>
      </c>
      <c r="W23">
        <v>13</v>
      </c>
      <c r="X23">
        <v>1564</v>
      </c>
      <c r="Y23">
        <v>115</v>
      </c>
      <c r="Z23">
        <v>0</v>
      </c>
      <c r="AA23">
        <v>0</v>
      </c>
      <c r="AB23">
        <v>115</v>
      </c>
      <c r="AC23">
        <v>1679</v>
      </c>
      <c r="AD23">
        <v>4125</v>
      </c>
    </row>
    <row r="24" spans="2:30" x14ac:dyDescent="0.25">
      <c r="B24" s="11">
        <v>0.66666666666666663</v>
      </c>
      <c r="C24">
        <v>53</v>
      </c>
      <c r="D24">
        <v>1</v>
      </c>
      <c r="E24">
        <v>0</v>
      </c>
      <c r="F24">
        <v>54</v>
      </c>
      <c r="G24">
        <v>166</v>
      </c>
      <c r="H24">
        <v>5</v>
      </c>
      <c r="I24">
        <v>0</v>
      </c>
      <c r="J24">
        <v>171</v>
      </c>
      <c r="K24">
        <v>225</v>
      </c>
      <c r="L24">
        <v>19</v>
      </c>
      <c r="M24">
        <v>0</v>
      </c>
      <c r="N24">
        <v>0</v>
      </c>
      <c r="O24">
        <v>19</v>
      </c>
      <c r="P24">
        <v>70</v>
      </c>
      <c r="Q24">
        <v>1</v>
      </c>
      <c r="R24">
        <v>2</v>
      </c>
      <c r="S24">
        <v>73</v>
      </c>
      <c r="T24">
        <v>92</v>
      </c>
      <c r="U24">
        <v>207</v>
      </c>
      <c r="V24">
        <v>1</v>
      </c>
      <c r="W24">
        <v>0</v>
      </c>
      <c r="X24">
        <v>208</v>
      </c>
      <c r="Y24">
        <v>9</v>
      </c>
      <c r="Z24">
        <v>0</v>
      </c>
      <c r="AA24">
        <v>0</v>
      </c>
      <c r="AB24">
        <v>9</v>
      </c>
      <c r="AC24">
        <v>217</v>
      </c>
      <c r="AD24">
        <v>534</v>
      </c>
    </row>
    <row r="25" spans="2:30" x14ac:dyDescent="0.25">
      <c r="B25" s="11">
        <v>0.67708333333333337</v>
      </c>
      <c r="C25">
        <v>42</v>
      </c>
      <c r="D25">
        <v>1</v>
      </c>
      <c r="E25">
        <v>1</v>
      </c>
      <c r="F25">
        <v>44</v>
      </c>
      <c r="G25">
        <v>147</v>
      </c>
      <c r="H25">
        <v>1</v>
      </c>
      <c r="I25">
        <v>1</v>
      </c>
      <c r="J25">
        <v>149</v>
      </c>
      <c r="K25">
        <v>193</v>
      </c>
      <c r="L25">
        <v>20</v>
      </c>
      <c r="M25">
        <v>0</v>
      </c>
      <c r="N25">
        <v>0</v>
      </c>
      <c r="O25">
        <v>20</v>
      </c>
      <c r="P25">
        <v>70</v>
      </c>
      <c r="Q25">
        <v>0</v>
      </c>
      <c r="R25">
        <v>2</v>
      </c>
      <c r="S25">
        <v>72</v>
      </c>
      <c r="T25">
        <v>92</v>
      </c>
      <c r="U25">
        <v>201</v>
      </c>
      <c r="V25">
        <v>3</v>
      </c>
      <c r="W25">
        <v>2</v>
      </c>
      <c r="X25">
        <v>206</v>
      </c>
      <c r="Y25">
        <v>10</v>
      </c>
      <c r="Z25">
        <v>0</v>
      </c>
      <c r="AA25">
        <v>0</v>
      </c>
      <c r="AB25">
        <v>10</v>
      </c>
      <c r="AC25">
        <v>216</v>
      </c>
      <c r="AD25">
        <v>501</v>
      </c>
    </row>
    <row r="26" spans="2:30" x14ac:dyDescent="0.25">
      <c r="B26" s="11">
        <v>0.6875</v>
      </c>
      <c r="C26">
        <v>47</v>
      </c>
      <c r="D26">
        <v>1</v>
      </c>
      <c r="E26">
        <v>1</v>
      </c>
      <c r="F26">
        <v>49</v>
      </c>
      <c r="G26">
        <v>178</v>
      </c>
      <c r="H26">
        <v>0</v>
      </c>
      <c r="I26">
        <v>1</v>
      </c>
      <c r="J26">
        <v>179</v>
      </c>
      <c r="K26">
        <v>228</v>
      </c>
      <c r="L26">
        <v>14</v>
      </c>
      <c r="M26">
        <v>0</v>
      </c>
      <c r="N26">
        <v>1</v>
      </c>
      <c r="O26">
        <v>15</v>
      </c>
      <c r="P26">
        <v>66</v>
      </c>
      <c r="Q26">
        <v>2</v>
      </c>
      <c r="R26">
        <v>4</v>
      </c>
      <c r="S26">
        <v>72</v>
      </c>
      <c r="T26">
        <v>87</v>
      </c>
      <c r="U26">
        <v>185</v>
      </c>
      <c r="V26">
        <v>0</v>
      </c>
      <c r="W26">
        <v>2</v>
      </c>
      <c r="X26">
        <v>187</v>
      </c>
      <c r="Y26">
        <v>8</v>
      </c>
      <c r="Z26">
        <v>0</v>
      </c>
      <c r="AA26">
        <v>0</v>
      </c>
      <c r="AB26">
        <v>8</v>
      </c>
      <c r="AC26">
        <v>195</v>
      </c>
      <c r="AD26">
        <v>510</v>
      </c>
    </row>
    <row r="27" spans="2:30" x14ac:dyDescent="0.25">
      <c r="B27" s="11">
        <v>0.69791666666666663</v>
      </c>
      <c r="C27">
        <v>50</v>
      </c>
      <c r="D27">
        <v>1</v>
      </c>
      <c r="E27">
        <v>2</v>
      </c>
      <c r="F27">
        <v>53</v>
      </c>
      <c r="G27">
        <v>170</v>
      </c>
      <c r="H27">
        <v>0</v>
      </c>
      <c r="I27">
        <v>0</v>
      </c>
      <c r="J27">
        <v>170</v>
      </c>
      <c r="K27">
        <v>223</v>
      </c>
      <c r="L27">
        <v>23</v>
      </c>
      <c r="M27">
        <v>0</v>
      </c>
      <c r="N27">
        <v>0</v>
      </c>
      <c r="O27">
        <v>23</v>
      </c>
      <c r="P27">
        <v>56</v>
      </c>
      <c r="Q27">
        <v>2</v>
      </c>
      <c r="R27">
        <v>3</v>
      </c>
      <c r="S27">
        <v>61</v>
      </c>
      <c r="T27">
        <v>84</v>
      </c>
      <c r="U27">
        <v>180</v>
      </c>
      <c r="V27">
        <v>2</v>
      </c>
      <c r="W27">
        <v>2</v>
      </c>
      <c r="X27">
        <v>184</v>
      </c>
      <c r="Y27">
        <v>25</v>
      </c>
      <c r="Z27">
        <v>0</v>
      </c>
      <c r="AA27">
        <v>0</v>
      </c>
      <c r="AB27">
        <v>25</v>
      </c>
      <c r="AC27">
        <v>209</v>
      </c>
      <c r="AD27">
        <v>516</v>
      </c>
    </row>
    <row r="28" spans="2:30" x14ac:dyDescent="0.25">
      <c r="B28" s="11">
        <v>0.70833333333333337</v>
      </c>
      <c r="C28">
        <v>66</v>
      </c>
      <c r="D28">
        <v>1</v>
      </c>
      <c r="E28">
        <v>0</v>
      </c>
      <c r="F28">
        <v>67</v>
      </c>
      <c r="G28">
        <v>161</v>
      </c>
      <c r="H28">
        <v>1</v>
      </c>
      <c r="I28">
        <v>2</v>
      </c>
      <c r="J28">
        <v>164</v>
      </c>
      <c r="K28">
        <v>231</v>
      </c>
      <c r="L28">
        <v>19</v>
      </c>
      <c r="M28">
        <v>0</v>
      </c>
      <c r="N28">
        <v>0</v>
      </c>
      <c r="O28">
        <v>19</v>
      </c>
      <c r="P28">
        <v>61</v>
      </c>
      <c r="Q28">
        <v>0</v>
      </c>
      <c r="R28">
        <v>2</v>
      </c>
      <c r="S28">
        <v>63</v>
      </c>
      <c r="T28">
        <v>82</v>
      </c>
      <c r="U28">
        <v>212</v>
      </c>
      <c r="V28">
        <v>1</v>
      </c>
      <c r="W28">
        <v>1</v>
      </c>
      <c r="X28">
        <v>214</v>
      </c>
      <c r="Y28">
        <v>13</v>
      </c>
      <c r="Z28">
        <v>0</v>
      </c>
      <c r="AA28">
        <v>0</v>
      </c>
      <c r="AB28">
        <v>13</v>
      </c>
      <c r="AC28">
        <v>227</v>
      </c>
      <c r="AD28">
        <v>540</v>
      </c>
    </row>
    <row r="29" spans="2:30" x14ac:dyDescent="0.25">
      <c r="B29" s="11">
        <v>0.71875</v>
      </c>
      <c r="C29">
        <v>41</v>
      </c>
      <c r="D29">
        <v>1</v>
      </c>
      <c r="E29">
        <v>0</v>
      </c>
      <c r="F29">
        <v>42</v>
      </c>
      <c r="G29">
        <v>157</v>
      </c>
      <c r="H29">
        <v>2</v>
      </c>
      <c r="I29">
        <v>0</v>
      </c>
      <c r="J29">
        <v>159</v>
      </c>
      <c r="K29">
        <v>201</v>
      </c>
      <c r="L29">
        <v>28</v>
      </c>
      <c r="M29">
        <v>0</v>
      </c>
      <c r="N29">
        <v>0</v>
      </c>
      <c r="O29">
        <v>28</v>
      </c>
      <c r="P29">
        <v>89</v>
      </c>
      <c r="Q29">
        <v>2</v>
      </c>
      <c r="R29">
        <v>3</v>
      </c>
      <c r="S29">
        <v>94</v>
      </c>
      <c r="T29">
        <v>122</v>
      </c>
      <c r="U29">
        <v>159</v>
      </c>
      <c r="V29">
        <v>1</v>
      </c>
      <c r="W29">
        <v>0</v>
      </c>
      <c r="X29">
        <v>160</v>
      </c>
      <c r="Y29">
        <v>8</v>
      </c>
      <c r="Z29">
        <v>0</v>
      </c>
      <c r="AA29">
        <v>0</v>
      </c>
      <c r="AB29">
        <v>8</v>
      </c>
      <c r="AC29">
        <v>168</v>
      </c>
      <c r="AD29">
        <v>491</v>
      </c>
    </row>
    <row r="30" spans="2:30" x14ac:dyDescent="0.25">
      <c r="B30" s="11">
        <v>0.72916666666666663</v>
      </c>
      <c r="C30">
        <v>45</v>
      </c>
      <c r="D30">
        <v>3</v>
      </c>
      <c r="E30">
        <v>0</v>
      </c>
      <c r="F30">
        <v>48</v>
      </c>
      <c r="G30">
        <v>157</v>
      </c>
      <c r="H30">
        <v>4</v>
      </c>
      <c r="I30">
        <v>2</v>
      </c>
      <c r="J30">
        <v>163</v>
      </c>
      <c r="K30">
        <v>211</v>
      </c>
      <c r="L30">
        <v>14</v>
      </c>
      <c r="M30">
        <v>0</v>
      </c>
      <c r="N30">
        <v>0</v>
      </c>
      <c r="O30">
        <v>14</v>
      </c>
      <c r="P30">
        <v>61</v>
      </c>
      <c r="Q30">
        <v>3</v>
      </c>
      <c r="R30">
        <v>6</v>
      </c>
      <c r="S30">
        <v>70</v>
      </c>
      <c r="T30">
        <v>84</v>
      </c>
      <c r="U30">
        <v>219</v>
      </c>
      <c r="V30">
        <v>1</v>
      </c>
      <c r="W30">
        <v>2</v>
      </c>
      <c r="X30">
        <v>222</v>
      </c>
      <c r="Y30">
        <v>24</v>
      </c>
      <c r="Z30">
        <v>0</v>
      </c>
      <c r="AA30">
        <v>0</v>
      </c>
      <c r="AB30">
        <v>24</v>
      </c>
      <c r="AC30">
        <v>246</v>
      </c>
      <c r="AD30">
        <v>541</v>
      </c>
    </row>
    <row r="31" spans="2:30" x14ac:dyDescent="0.25">
      <c r="B31" s="11">
        <v>0.73958333333333337</v>
      </c>
      <c r="C31">
        <v>55</v>
      </c>
      <c r="D31">
        <v>0</v>
      </c>
      <c r="E31">
        <v>0</v>
      </c>
      <c r="F31">
        <v>55</v>
      </c>
      <c r="G31">
        <v>160</v>
      </c>
      <c r="H31">
        <v>0</v>
      </c>
      <c r="I31">
        <v>0</v>
      </c>
      <c r="J31">
        <v>160</v>
      </c>
      <c r="K31">
        <v>215</v>
      </c>
      <c r="L31">
        <v>21</v>
      </c>
      <c r="M31">
        <v>0</v>
      </c>
      <c r="N31">
        <v>0</v>
      </c>
      <c r="O31">
        <v>21</v>
      </c>
      <c r="P31">
        <v>53</v>
      </c>
      <c r="Q31">
        <v>0</v>
      </c>
      <c r="R31">
        <v>2</v>
      </c>
      <c r="S31">
        <v>55</v>
      </c>
      <c r="T31">
        <v>76</v>
      </c>
      <c r="U31">
        <v>177</v>
      </c>
      <c r="V31">
        <v>2</v>
      </c>
      <c r="W31">
        <v>4</v>
      </c>
      <c r="X31">
        <v>183</v>
      </c>
      <c r="Y31">
        <v>18</v>
      </c>
      <c r="Z31">
        <v>0</v>
      </c>
      <c r="AA31">
        <v>0</v>
      </c>
      <c r="AB31">
        <v>18</v>
      </c>
      <c r="AC31">
        <v>201</v>
      </c>
      <c r="AD31">
        <v>492</v>
      </c>
    </row>
    <row r="32" spans="2:30" x14ac:dyDescent="0.25">
      <c r="B32" s="10" t="s">
        <v>91</v>
      </c>
      <c r="C32">
        <v>188</v>
      </c>
      <c r="D32">
        <v>4</v>
      </c>
      <c r="E32">
        <v>1</v>
      </c>
      <c r="F32">
        <v>193</v>
      </c>
      <c r="G32">
        <v>434</v>
      </c>
      <c r="H32">
        <v>17</v>
      </c>
      <c r="I32">
        <v>0</v>
      </c>
      <c r="J32">
        <v>451</v>
      </c>
      <c r="K32">
        <v>644</v>
      </c>
      <c r="L32">
        <v>56</v>
      </c>
      <c r="M32">
        <v>2</v>
      </c>
      <c r="N32">
        <v>0</v>
      </c>
      <c r="O32">
        <v>58</v>
      </c>
      <c r="P32">
        <v>223</v>
      </c>
      <c r="Q32">
        <v>8</v>
      </c>
      <c r="R32">
        <v>3</v>
      </c>
      <c r="S32">
        <v>234</v>
      </c>
      <c r="T32">
        <v>292</v>
      </c>
      <c r="U32">
        <v>541</v>
      </c>
      <c r="V32">
        <v>24</v>
      </c>
      <c r="W32">
        <v>2</v>
      </c>
      <c r="X32">
        <v>567</v>
      </c>
      <c r="Y32">
        <v>33</v>
      </c>
      <c r="Z32">
        <v>0</v>
      </c>
      <c r="AA32">
        <v>0</v>
      </c>
      <c r="AB32">
        <v>33</v>
      </c>
      <c r="AC32">
        <v>600</v>
      </c>
      <c r="AD32">
        <v>1536</v>
      </c>
    </row>
    <row r="33" spans="2:30" x14ac:dyDescent="0.25">
      <c r="B33" s="11">
        <v>0.54166666666666663</v>
      </c>
      <c r="C33">
        <v>39</v>
      </c>
      <c r="D33">
        <v>1</v>
      </c>
      <c r="E33">
        <v>0</v>
      </c>
      <c r="F33">
        <v>40</v>
      </c>
      <c r="G33">
        <v>102</v>
      </c>
      <c r="H33">
        <v>6</v>
      </c>
      <c r="I33">
        <v>0</v>
      </c>
      <c r="J33">
        <v>108</v>
      </c>
      <c r="K33">
        <v>148</v>
      </c>
      <c r="L33">
        <v>11</v>
      </c>
      <c r="M33">
        <v>0</v>
      </c>
      <c r="N33">
        <v>0</v>
      </c>
      <c r="O33">
        <v>11</v>
      </c>
      <c r="P33">
        <v>55</v>
      </c>
      <c r="Q33">
        <v>2</v>
      </c>
      <c r="R33">
        <v>0</v>
      </c>
      <c r="S33">
        <v>57</v>
      </c>
      <c r="T33">
        <v>68</v>
      </c>
      <c r="U33">
        <v>124</v>
      </c>
      <c r="V33">
        <v>5</v>
      </c>
      <c r="W33">
        <v>0</v>
      </c>
      <c r="X33">
        <v>129</v>
      </c>
      <c r="Y33">
        <v>4</v>
      </c>
      <c r="Z33">
        <v>0</v>
      </c>
      <c r="AA33">
        <v>0</v>
      </c>
      <c r="AB33">
        <v>4</v>
      </c>
      <c r="AC33">
        <v>133</v>
      </c>
      <c r="AD33">
        <v>349</v>
      </c>
    </row>
    <row r="34" spans="2:30" x14ac:dyDescent="0.25">
      <c r="B34" s="11">
        <v>0.55208333333333337</v>
      </c>
      <c r="C34">
        <v>59</v>
      </c>
      <c r="D34">
        <v>1</v>
      </c>
      <c r="E34">
        <v>0</v>
      </c>
      <c r="F34">
        <v>60</v>
      </c>
      <c r="G34">
        <v>116</v>
      </c>
      <c r="H34">
        <v>4</v>
      </c>
      <c r="I34">
        <v>0</v>
      </c>
      <c r="J34">
        <v>120</v>
      </c>
      <c r="K34">
        <v>180</v>
      </c>
      <c r="L34">
        <v>16</v>
      </c>
      <c r="M34">
        <v>2</v>
      </c>
      <c r="N34">
        <v>0</v>
      </c>
      <c r="O34">
        <v>18</v>
      </c>
      <c r="P34">
        <v>49</v>
      </c>
      <c r="Q34">
        <v>1</v>
      </c>
      <c r="R34">
        <v>0</v>
      </c>
      <c r="S34">
        <v>50</v>
      </c>
      <c r="T34">
        <v>68</v>
      </c>
      <c r="U34">
        <v>143</v>
      </c>
      <c r="V34">
        <v>6</v>
      </c>
      <c r="W34">
        <v>0</v>
      </c>
      <c r="X34">
        <v>149</v>
      </c>
      <c r="Y34">
        <v>10</v>
      </c>
      <c r="Z34">
        <v>0</v>
      </c>
      <c r="AA34">
        <v>0</v>
      </c>
      <c r="AB34">
        <v>10</v>
      </c>
      <c r="AC34">
        <v>159</v>
      </c>
      <c r="AD34">
        <v>407</v>
      </c>
    </row>
    <row r="35" spans="2:30" x14ac:dyDescent="0.25">
      <c r="B35" s="11">
        <v>0.5625</v>
      </c>
      <c r="C35">
        <v>54</v>
      </c>
      <c r="D35">
        <v>1</v>
      </c>
      <c r="E35">
        <v>1</v>
      </c>
      <c r="F35">
        <v>56</v>
      </c>
      <c r="G35">
        <v>92</v>
      </c>
      <c r="H35">
        <v>3</v>
      </c>
      <c r="I35">
        <v>0</v>
      </c>
      <c r="J35">
        <v>95</v>
      </c>
      <c r="K35">
        <v>151</v>
      </c>
      <c r="L35">
        <v>14</v>
      </c>
      <c r="M35">
        <v>0</v>
      </c>
      <c r="N35">
        <v>0</v>
      </c>
      <c r="O35">
        <v>14</v>
      </c>
      <c r="P35">
        <v>61</v>
      </c>
      <c r="Q35">
        <v>4</v>
      </c>
      <c r="R35">
        <v>1</v>
      </c>
      <c r="S35">
        <v>66</v>
      </c>
      <c r="T35">
        <v>80</v>
      </c>
      <c r="U35">
        <v>130</v>
      </c>
      <c r="V35">
        <v>8</v>
      </c>
      <c r="W35">
        <v>1</v>
      </c>
      <c r="X35">
        <v>139</v>
      </c>
      <c r="Y35">
        <v>10</v>
      </c>
      <c r="Z35">
        <v>0</v>
      </c>
      <c r="AA35">
        <v>0</v>
      </c>
      <c r="AB35">
        <v>10</v>
      </c>
      <c r="AC35">
        <v>149</v>
      </c>
      <c r="AD35">
        <v>380</v>
      </c>
    </row>
    <row r="36" spans="2:30" x14ac:dyDescent="0.25">
      <c r="B36" s="11">
        <v>0.57291666666666663</v>
      </c>
      <c r="C36">
        <v>36</v>
      </c>
      <c r="D36">
        <v>1</v>
      </c>
      <c r="E36">
        <v>0</v>
      </c>
      <c r="F36">
        <v>37</v>
      </c>
      <c r="G36">
        <v>124</v>
      </c>
      <c r="H36">
        <v>4</v>
      </c>
      <c r="I36">
        <v>0</v>
      </c>
      <c r="J36">
        <v>128</v>
      </c>
      <c r="K36">
        <v>165</v>
      </c>
      <c r="L36">
        <v>15</v>
      </c>
      <c r="M36">
        <v>0</v>
      </c>
      <c r="N36">
        <v>0</v>
      </c>
      <c r="O36">
        <v>15</v>
      </c>
      <c r="P36">
        <v>58</v>
      </c>
      <c r="Q36">
        <v>1</v>
      </c>
      <c r="R36">
        <v>2</v>
      </c>
      <c r="S36">
        <v>61</v>
      </c>
      <c r="T36">
        <v>76</v>
      </c>
      <c r="U36">
        <v>144</v>
      </c>
      <c r="V36">
        <v>5</v>
      </c>
      <c r="W36">
        <v>1</v>
      </c>
      <c r="X36">
        <v>150</v>
      </c>
      <c r="Y36">
        <v>9</v>
      </c>
      <c r="Z36">
        <v>0</v>
      </c>
      <c r="AA36">
        <v>0</v>
      </c>
      <c r="AB36">
        <v>9</v>
      </c>
      <c r="AC36">
        <v>159</v>
      </c>
      <c r="AD36">
        <v>400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1843</v>
      </c>
      <c r="I5">
        <f>MAX(I11:I303)</f>
        <v>1536</v>
      </c>
      <c r="J5">
        <f>MAX(J11:J303)</f>
        <v>2088</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1843 vehicles between 07:45 and 08:45</v>
      </c>
      <c r="I8" s="6" t="str">
        <f>IF(I5=0,"","The peak hour for " &amp;I10&amp;" is "&amp;I5&amp;" vehicles between " &amp; TEXT(I6, "hh:mm")&amp; " and " &amp;TEXT(I7,"hh:mm"))</f>
        <v>The peak hour for INT is 1536 vehicles between 13:00 and 14:00</v>
      </c>
      <c r="J8" s="6" t="str">
        <f>IF(J5=0,"","The peak hour for " &amp;J10&amp;" is "&amp;J5&amp;" vehicles between " &amp; TEXT(J6, "hh:mm")&amp; " and " &amp;TEXT(J7,"hh:mm"))</f>
        <v>The peak hour for PM is 2088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285</v>
      </c>
      <c r="G11" s="7">
        <f>A11</f>
        <v>0.29166666666666669</v>
      </c>
      <c r="H11">
        <f>IF(B11&lt;&gt;0,SUMIF($G$11:$G11,"&gt;"&amp;$G11-1/24,B$11:B11),0)</f>
        <v>285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285</v>
      </c>
      <c r="Q11">
        <f>P11*L11</f>
        <v>0</v>
      </c>
      <c r="S11" s="9">
        <v>0.29166666666666669</v>
      </c>
      <c r="T11">
        <v>285</v>
      </c>
      <c r="U11">
        <v>0</v>
      </c>
    </row>
    <row r="12" spans="1:21" x14ac:dyDescent="0.25">
      <c r="A12" s="9">
        <v>0.30208333333333331</v>
      </c>
      <c r="B12">
        <v>430</v>
      </c>
      <c r="G12" s="7">
        <f t="shared" ref="G12:G26" si="3">A12</f>
        <v>0.30208333333333331</v>
      </c>
      <c r="H12">
        <f>IF(B12&lt;&gt;0,SUMIF($G$11:$G12,"&gt;"&amp;$G12-1/24,B$11:B12),0)</f>
        <v>715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430</v>
      </c>
      <c r="Q12">
        <f t="shared" ref="Q12:Q75" si="7">P12*L12</f>
        <v>0</v>
      </c>
      <c r="S12" s="9">
        <v>0.30208333333333331</v>
      </c>
      <c r="T12">
        <v>430</v>
      </c>
      <c r="U12">
        <v>0</v>
      </c>
    </row>
    <row r="13" spans="1:21" x14ac:dyDescent="0.25">
      <c r="A13" s="9">
        <v>0.3125</v>
      </c>
      <c r="B13">
        <v>453</v>
      </c>
      <c r="G13" s="7">
        <f t="shared" si="3"/>
        <v>0.3125</v>
      </c>
      <c r="H13">
        <f>IF(B13&lt;&gt;0,SUMIF($G$11:$G13,"&gt;"&amp;$G13-1/24,B$11:B13),0)</f>
        <v>1168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453</v>
      </c>
      <c r="Q13">
        <f t="shared" si="7"/>
        <v>0</v>
      </c>
      <c r="S13" s="9">
        <v>0.3125</v>
      </c>
      <c r="T13">
        <v>453</v>
      </c>
      <c r="U13">
        <v>0</v>
      </c>
    </row>
    <row r="14" spans="1:21" x14ac:dyDescent="0.25">
      <c r="A14" s="9">
        <v>0.32291666666666669</v>
      </c>
      <c r="B14">
        <v>486</v>
      </c>
      <c r="G14" s="7">
        <f t="shared" si="3"/>
        <v>0.32291666666666669</v>
      </c>
      <c r="H14">
        <f>IF(B14&lt;&gt;0,SUMIF($G$11:$G14,"&gt;"&amp;$G14-1/24,B$11:B14),0)</f>
        <v>1654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486</v>
      </c>
      <c r="Q14">
        <f t="shared" si="7"/>
        <v>486</v>
      </c>
      <c r="S14" s="9">
        <v>0.32291666666666669</v>
      </c>
      <c r="T14">
        <v>486</v>
      </c>
      <c r="U14">
        <v>486</v>
      </c>
    </row>
    <row r="15" spans="1:21" x14ac:dyDescent="0.25">
      <c r="A15" s="9">
        <v>0.33333333333333331</v>
      </c>
      <c r="B15">
        <v>431</v>
      </c>
      <c r="G15" s="7">
        <f t="shared" si="3"/>
        <v>0.33333333333333331</v>
      </c>
      <c r="H15">
        <f>IF(B15&lt;&gt;0,SUMIF($G$11:$G15,"&gt;"&amp;$G15-1/24,B$11:B15),0)</f>
        <v>1800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431</v>
      </c>
      <c r="Q15">
        <f t="shared" si="7"/>
        <v>431</v>
      </c>
      <c r="S15" s="9">
        <v>0.33333333333333331</v>
      </c>
      <c r="T15">
        <v>431</v>
      </c>
      <c r="U15">
        <v>431</v>
      </c>
    </row>
    <row r="16" spans="1:21" x14ac:dyDescent="0.25">
      <c r="A16" s="9">
        <v>0.34375</v>
      </c>
      <c r="B16">
        <v>422</v>
      </c>
      <c r="G16" s="7">
        <f t="shared" si="3"/>
        <v>0.34375</v>
      </c>
      <c r="H16">
        <f>IF(B16&lt;&gt;0,SUMIF($G$11:$G16,"&gt;"&amp;$G16-1/24,B$11:B16),0)</f>
        <v>1792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422</v>
      </c>
      <c r="Q16">
        <f t="shared" si="7"/>
        <v>422</v>
      </c>
      <c r="S16" s="9">
        <v>0.34375</v>
      </c>
      <c r="T16">
        <v>422</v>
      </c>
      <c r="U16">
        <v>422</v>
      </c>
    </row>
    <row r="17" spans="1:21" x14ac:dyDescent="0.25">
      <c r="A17" s="9">
        <v>0.35416666666666669</v>
      </c>
      <c r="B17">
        <v>504</v>
      </c>
      <c r="G17" s="7">
        <f t="shared" si="3"/>
        <v>0.35416666666666669</v>
      </c>
      <c r="H17">
        <f>IF(B17&lt;&gt;0,SUMIF($G$11:$G17,"&gt;"&amp;$G17-1/24,B$11:B17),0)</f>
        <v>1843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504</v>
      </c>
      <c r="Q17">
        <f t="shared" si="7"/>
        <v>504</v>
      </c>
      <c r="S17" s="9">
        <v>0.35416666666666669</v>
      </c>
      <c r="T17">
        <v>504</v>
      </c>
      <c r="U17">
        <v>504</v>
      </c>
    </row>
    <row r="18" spans="1:21" x14ac:dyDescent="0.25">
      <c r="A18" s="9">
        <v>0.36458333333333331</v>
      </c>
      <c r="B18">
        <v>433</v>
      </c>
      <c r="G18" s="7">
        <f t="shared" si="3"/>
        <v>0.36458333333333331</v>
      </c>
      <c r="H18">
        <f>IF(B18&lt;&gt;0,SUMIF($G$11:$G18,"&gt;"&amp;$G18-1/24,B$11:B18),0)</f>
        <v>1790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433</v>
      </c>
      <c r="Q18">
        <f t="shared" si="7"/>
        <v>0</v>
      </c>
      <c r="S18" s="9">
        <v>0.36458333333333331</v>
      </c>
      <c r="T18">
        <v>433</v>
      </c>
      <c r="U18">
        <v>0</v>
      </c>
    </row>
    <row r="19" spans="1:21" x14ac:dyDescent="0.25">
      <c r="A19" s="9">
        <v>0.54166666666666663</v>
      </c>
      <c r="C19">
        <v>349</v>
      </c>
      <c r="G19" s="7">
        <f t="shared" si="3"/>
        <v>0.54166666666666663</v>
      </c>
      <c r="H19">
        <f>IF(B19&lt;&gt;0,SUMIF($G$11:$G19,"&gt;"&amp;$G19-1/24,B$11:B19),0)</f>
        <v>0</v>
      </c>
      <c r="I19">
        <f>IF(C19&lt;&gt;0,SUMIF($G$11:$G19,"&gt;"&amp;$G19-1/24,C$11:C19),0)</f>
        <v>349</v>
      </c>
      <c r="J19">
        <f>IF(D19&lt;&gt;0,SUMIF($G$11:$G19,"&gt;"&amp;$G19-1/24,D$11:D19),0)</f>
        <v>0</v>
      </c>
      <c r="K19">
        <f>IF(E19&lt;&gt;0,SUMIF($G$11:$G19,"&gt;"&amp;$G19-1/24,E$11:E19),0)</f>
        <v>0</v>
      </c>
      <c r="L19">
        <f t="shared" si="4"/>
        <v>1</v>
      </c>
      <c r="N19" t="str">
        <f t="shared" si="5"/>
        <v>INT</v>
      </c>
      <c r="O19" s="7">
        <f t="shared" si="2"/>
        <v>0.54166666666666663</v>
      </c>
      <c r="P19">
        <f t="shared" si="6"/>
        <v>349</v>
      </c>
      <c r="Q19">
        <f t="shared" si="7"/>
        <v>349</v>
      </c>
      <c r="S19" s="9" t="s">
        <v>49</v>
      </c>
      <c r="T19">
        <v>3444</v>
      </c>
      <c r="U19">
        <v>1843</v>
      </c>
    </row>
    <row r="20" spans="1:21" x14ac:dyDescent="0.25">
      <c r="A20" s="9">
        <v>0.55208333333333337</v>
      </c>
      <c r="C20">
        <v>407</v>
      </c>
      <c r="G20" s="7">
        <f t="shared" si="3"/>
        <v>0.55208333333333337</v>
      </c>
      <c r="H20">
        <f>IF(B20&lt;&gt;0,SUMIF($G$11:$G20,"&gt;"&amp;$G20-1/24,B$11:B20),0)</f>
        <v>0</v>
      </c>
      <c r="I20">
        <f>IF(C20&lt;&gt;0,SUMIF($G$11:$G20,"&gt;"&amp;$G20-1/24,C$11:C20),0)</f>
        <v>756</v>
      </c>
      <c r="J20">
        <f>IF(D20&lt;&gt;0,SUMIF($G$11:$G20,"&gt;"&amp;$G20-1/24,D$11:D20),0)</f>
        <v>0</v>
      </c>
      <c r="K20">
        <f>IF(E20&lt;&gt;0,SUMIF($G$11:$G20,"&gt;"&amp;$G20-1/24,E$11:E20),0)</f>
        <v>0</v>
      </c>
      <c r="L20">
        <f t="shared" si="4"/>
        <v>1</v>
      </c>
      <c r="N20" t="str">
        <f t="shared" si="5"/>
        <v>INT</v>
      </c>
      <c r="O20" s="7">
        <f t="shared" si="2"/>
        <v>0.55208333333333337</v>
      </c>
      <c r="P20">
        <f t="shared" si="6"/>
        <v>407</v>
      </c>
      <c r="Q20">
        <f t="shared" si="7"/>
        <v>407</v>
      </c>
    </row>
    <row r="21" spans="1:21" x14ac:dyDescent="0.25">
      <c r="A21" s="9">
        <v>0.5625</v>
      </c>
      <c r="C21">
        <v>380</v>
      </c>
      <c r="G21" s="7">
        <f t="shared" si="3"/>
        <v>0.5625</v>
      </c>
      <c r="H21">
        <f>IF(B21&lt;&gt;0,SUMIF($G$11:$G21,"&gt;"&amp;$G21-1/24,B$11:B21),0)</f>
        <v>0</v>
      </c>
      <c r="I21">
        <f>IF(C21&lt;&gt;0,SUMIF($G$11:$G21,"&gt;"&amp;$G21-1/24,C$11:C21),0)</f>
        <v>1136</v>
      </c>
      <c r="J21">
        <f>IF(D21&lt;&gt;0,SUMIF($G$11:$G21,"&gt;"&amp;$G21-1/24,D$11:D21),0)</f>
        <v>0</v>
      </c>
      <c r="K21">
        <f>IF(E21&lt;&gt;0,SUMIF($G$11:$G21,"&gt;"&amp;$G21-1/24,E$11:E21),0)</f>
        <v>0</v>
      </c>
      <c r="L21">
        <f t="shared" si="4"/>
        <v>1</v>
      </c>
      <c r="N21" t="str">
        <f t="shared" si="5"/>
        <v>INT</v>
      </c>
      <c r="O21" s="7">
        <f t="shared" si="2"/>
        <v>0.5625</v>
      </c>
      <c r="P21">
        <f t="shared" si="6"/>
        <v>380</v>
      </c>
      <c r="Q21">
        <f t="shared" si="7"/>
        <v>380</v>
      </c>
    </row>
    <row r="22" spans="1:21" x14ac:dyDescent="0.25">
      <c r="A22" s="9">
        <v>0.57291666666666663</v>
      </c>
      <c r="C22">
        <v>400</v>
      </c>
      <c r="G22" s="7">
        <f t="shared" si="3"/>
        <v>0.57291666666666663</v>
      </c>
      <c r="H22">
        <f>IF(B22&lt;&gt;0,SUMIF($G$11:$G22,"&gt;"&amp;$G22-1/24,B$11:B22),0)</f>
        <v>0</v>
      </c>
      <c r="I22">
        <f>IF(C22&lt;&gt;0,SUMIF($G$11:$G22,"&gt;"&amp;$G22-1/24,C$11:C22),0)</f>
        <v>1536</v>
      </c>
      <c r="J22">
        <f>IF(D22&lt;&gt;0,SUMIF($G$11:$G22,"&gt;"&amp;$G22-1/24,D$11:D22),0)</f>
        <v>0</v>
      </c>
      <c r="K22">
        <f>IF(E22&lt;&gt;0,SUMIF($G$11:$G22,"&gt;"&amp;$G22-1/24,E$11:E22),0)</f>
        <v>0</v>
      </c>
      <c r="L22">
        <f t="shared" si="4"/>
        <v>1</v>
      </c>
      <c r="N22" t="str">
        <f t="shared" si="5"/>
        <v>INT</v>
      </c>
      <c r="O22" s="7">
        <f t="shared" si="2"/>
        <v>0.57291666666666663</v>
      </c>
      <c r="P22">
        <f t="shared" si="6"/>
        <v>400</v>
      </c>
      <c r="Q22">
        <f t="shared" si="7"/>
        <v>400</v>
      </c>
    </row>
    <row r="23" spans="1:21" x14ac:dyDescent="0.25">
      <c r="A23" s="9">
        <v>0.66666666666666663</v>
      </c>
      <c r="D23">
        <v>534</v>
      </c>
      <c r="G23" s="7">
        <f t="shared" si="3"/>
        <v>0.66666666666666663</v>
      </c>
      <c r="H23">
        <f>IF(B23&lt;&gt;0,SUMIF($G$11:$G23,"&gt;"&amp;$G23-1/24,B$11:B23),0)</f>
        <v>0</v>
      </c>
      <c r="I23">
        <f>IF(C23&lt;&gt;0,SUMIF($G$11:$G23,"&gt;"&amp;$G23-1/24,C$11:C23),0)</f>
        <v>0</v>
      </c>
      <c r="J23">
        <f>IF(D23&lt;&gt;0,SUMIF($G$11:$G23,"&gt;"&amp;$G23-1/24,D$11:D23),0)</f>
        <v>534</v>
      </c>
      <c r="K23">
        <f>IF(E23&lt;&gt;0,SUMIF($G$11:$G23,"&gt;"&amp;$G23-1/24,E$11:E23),0)</f>
        <v>0</v>
      </c>
      <c r="L23">
        <f t="shared" si="4"/>
        <v>0</v>
      </c>
      <c r="N23" t="str">
        <f t="shared" si="5"/>
        <v>PM</v>
      </c>
      <c r="O23" s="7">
        <f t="shared" si="2"/>
        <v>0.66666666666666663</v>
      </c>
      <c r="P23">
        <f t="shared" si="6"/>
        <v>534</v>
      </c>
      <c r="Q23">
        <f t="shared" si="7"/>
        <v>0</v>
      </c>
    </row>
    <row r="24" spans="1:21" x14ac:dyDescent="0.25">
      <c r="A24" s="9">
        <v>0.67708333333333337</v>
      </c>
      <c r="D24">
        <v>501</v>
      </c>
      <c r="G24" s="7">
        <f t="shared" si="3"/>
        <v>0.67708333333333337</v>
      </c>
      <c r="H24">
        <f>IF(B24&lt;&gt;0,SUMIF($G$11:$G24,"&gt;"&amp;$G24-1/24,B$11:B24),0)</f>
        <v>0</v>
      </c>
      <c r="I24">
        <f>IF(C24&lt;&gt;0,SUMIF($G$11:$G24,"&gt;"&amp;$G24-1/24,C$11:C24),0)</f>
        <v>0</v>
      </c>
      <c r="J24">
        <f>IF(D24&lt;&gt;0,SUMIF($G$11:$G24,"&gt;"&amp;$G24-1/24,D$11:D24),0)</f>
        <v>1035</v>
      </c>
      <c r="K24">
        <f>IF(E24&lt;&gt;0,SUMIF($G$11:$G24,"&gt;"&amp;$G24-1/24,E$11:E24),0)</f>
        <v>0</v>
      </c>
      <c r="L24">
        <f t="shared" si="4"/>
        <v>0</v>
      </c>
      <c r="N24" t="str">
        <f t="shared" si="5"/>
        <v>PM</v>
      </c>
      <c r="O24" s="7">
        <f t="shared" si="2"/>
        <v>0.67708333333333337</v>
      </c>
      <c r="P24">
        <f t="shared" si="6"/>
        <v>501</v>
      </c>
      <c r="Q24">
        <f t="shared" si="7"/>
        <v>0</v>
      </c>
    </row>
    <row r="25" spans="1:21" x14ac:dyDescent="0.25">
      <c r="A25" s="9">
        <v>0.6875</v>
      </c>
      <c r="D25">
        <v>510</v>
      </c>
      <c r="G25" s="7">
        <f t="shared" si="3"/>
        <v>0.6875</v>
      </c>
      <c r="H25">
        <f>IF(B25&lt;&gt;0,SUMIF($G$11:$G25,"&gt;"&amp;$G25-1/24,B$11:B25),0)</f>
        <v>0</v>
      </c>
      <c r="I25">
        <f>IF(C25&lt;&gt;0,SUMIF($G$11:$G25,"&gt;"&amp;$G25-1/24,C$11:C25),0)</f>
        <v>0</v>
      </c>
      <c r="J25">
        <f>IF(D25&lt;&gt;0,SUMIF($G$11:$G25,"&gt;"&amp;$G25-1/24,D$11:D25),0)</f>
        <v>1545</v>
      </c>
      <c r="K25">
        <f>IF(E25&lt;&gt;0,SUMIF($G$11:$G25,"&gt;"&amp;$G25-1/24,E$11:E25),0)</f>
        <v>0</v>
      </c>
      <c r="L25">
        <f t="shared" si="4"/>
        <v>0</v>
      </c>
      <c r="N25" t="str">
        <f t="shared" si="5"/>
        <v>PM</v>
      </c>
      <c r="O25" s="7">
        <f t="shared" si="2"/>
        <v>0.6875</v>
      </c>
      <c r="P25">
        <f t="shared" si="6"/>
        <v>510</v>
      </c>
      <c r="Q25">
        <f t="shared" si="7"/>
        <v>0</v>
      </c>
    </row>
    <row r="26" spans="1:21" x14ac:dyDescent="0.25">
      <c r="A26" s="9">
        <v>0.69791666666666663</v>
      </c>
      <c r="D26">
        <v>516</v>
      </c>
      <c r="G26" s="7">
        <f t="shared" si="3"/>
        <v>0.69791666666666663</v>
      </c>
      <c r="H26">
        <f>IF(B26&lt;&gt;0,SUMIF($G$11:$G26,"&gt;"&amp;$G26-1/24,B$11:B26),0)</f>
        <v>0</v>
      </c>
      <c r="I26">
        <f>IF(C26&lt;&gt;0,SUMIF($G$11:$G26,"&gt;"&amp;$G26-1/24,C$11:C26),0)</f>
        <v>0</v>
      </c>
      <c r="J26">
        <f>IF(D26&lt;&gt;0,SUMIF($G$11:$G26,"&gt;"&amp;$G26-1/24,D$11:D26),0)</f>
        <v>2061</v>
      </c>
      <c r="K26">
        <f>IF(E26&lt;&gt;0,SUMIF($G$11:$G26,"&gt;"&amp;$G26-1/24,E$11:E26),0)</f>
        <v>0</v>
      </c>
      <c r="L26">
        <f t="shared" si="4"/>
        <v>1</v>
      </c>
      <c r="N26" t="str">
        <f t="shared" si="5"/>
        <v>PM</v>
      </c>
      <c r="O26" s="7">
        <f t="shared" si="2"/>
        <v>0.69791666666666663</v>
      </c>
      <c r="P26">
        <f t="shared" si="6"/>
        <v>516</v>
      </c>
      <c r="Q26">
        <f t="shared" si="7"/>
        <v>516</v>
      </c>
    </row>
    <row r="27" spans="1:21" x14ac:dyDescent="0.25">
      <c r="A27" s="9">
        <v>0.70833333333333337</v>
      </c>
      <c r="D27">
        <v>540</v>
      </c>
      <c r="G27" s="7">
        <f t="shared" ref="G27:G90" si="8">A27</f>
        <v>0.70833333333333337</v>
      </c>
      <c r="H27">
        <f>IF(B27&lt;&gt;0,SUMIF($G$11:$G27,"&gt;"&amp;$G27-1/24,B$11:B27),0)</f>
        <v>0</v>
      </c>
      <c r="I27">
        <f>IF(C27&lt;&gt;0,SUMIF($G$11:$G27,"&gt;"&amp;$G27-1/24,C$11:C27),0)</f>
        <v>0</v>
      </c>
      <c r="J27">
        <f>IF(D27&lt;&gt;0,SUMIF($G$11:$G27,"&gt;"&amp;$G27-1/24,D$11:D27),0)</f>
        <v>2067</v>
      </c>
      <c r="K27">
        <f>IF(E27&lt;&gt;0,SUMIF($G$11:$G27,"&gt;"&amp;$G27-1/24,E$11:E27),0)</f>
        <v>0</v>
      </c>
      <c r="L27">
        <f t="shared" si="4"/>
        <v>1</v>
      </c>
      <c r="N27" t="str">
        <f t="shared" si="5"/>
        <v>PM</v>
      </c>
      <c r="O27" s="7">
        <f t="shared" si="2"/>
        <v>0.70833333333333337</v>
      </c>
      <c r="P27">
        <f t="shared" si="6"/>
        <v>540</v>
      </c>
      <c r="Q27">
        <f t="shared" si="7"/>
        <v>540</v>
      </c>
    </row>
    <row r="28" spans="1:21" x14ac:dyDescent="0.25">
      <c r="A28" s="9">
        <v>0.71875</v>
      </c>
      <c r="D28">
        <v>491</v>
      </c>
      <c r="G28" s="7">
        <f t="shared" si="8"/>
        <v>0.71875</v>
      </c>
      <c r="H28">
        <f>IF(B28&lt;&gt;0,SUMIF($G$11:$G28,"&gt;"&amp;$G28-1/24,B$11:B28),0)</f>
        <v>0</v>
      </c>
      <c r="I28">
        <f>IF(C28&lt;&gt;0,SUMIF($G$11:$G28,"&gt;"&amp;$G28-1/24,C$11:C28),0)</f>
        <v>0</v>
      </c>
      <c r="J28">
        <f>IF(D28&lt;&gt;0,SUMIF($G$11:$G28,"&gt;"&amp;$G28-1/24,D$11:D28),0)</f>
        <v>2057</v>
      </c>
      <c r="K28">
        <f>IF(E28&lt;&gt;0,SUMIF($G$11:$G28,"&gt;"&amp;$G28-1/24,E$11:E28),0)</f>
        <v>0</v>
      </c>
      <c r="L28">
        <f t="shared" si="4"/>
        <v>1</v>
      </c>
      <c r="N28" t="str">
        <f t="shared" si="5"/>
        <v>PM</v>
      </c>
      <c r="O28" s="7">
        <f t="shared" si="2"/>
        <v>0.71875</v>
      </c>
      <c r="P28">
        <f t="shared" si="6"/>
        <v>491</v>
      </c>
      <c r="Q28">
        <f t="shared" si="7"/>
        <v>491</v>
      </c>
    </row>
    <row r="29" spans="1:21" x14ac:dyDescent="0.25">
      <c r="A29" s="9">
        <v>0.72916666666666663</v>
      </c>
      <c r="D29">
        <v>541</v>
      </c>
      <c r="G29" s="7">
        <f t="shared" si="8"/>
        <v>0.72916666666666663</v>
      </c>
      <c r="H29">
        <f>IF(B29&lt;&gt;0,SUMIF($G$11:$G29,"&gt;"&amp;$G29-1/24,B$11:B29),0)</f>
        <v>0</v>
      </c>
      <c r="I29">
        <f>IF(C29&lt;&gt;0,SUMIF($G$11:$G29,"&gt;"&amp;$G29-1/24,C$11:C29),0)</f>
        <v>0</v>
      </c>
      <c r="J29">
        <f>IF(D29&lt;&gt;0,SUMIF($G$11:$G29,"&gt;"&amp;$G29-1/24,D$11:D29),0)</f>
        <v>2088</v>
      </c>
      <c r="K29">
        <f>IF(E29&lt;&gt;0,SUMIF($G$11:$G29,"&gt;"&amp;$G29-1/24,E$11:E29),0)</f>
        <v>0</v>
      </c>
      <c r="L29">
        <f t="shared" si="4"/>
        <v>1</v>
      </c>
      <c r="N29" t="str">
        <f t="shared" si="5"/>
        <v>PM</v>
      </c>
      <c r="O29" s="7">
        <f t="shared" si="2"/>
        <v>0.72916666666666663</v>
      </c>
      <c r="P29">
        <f t="shared" si="6"/>
        <v>541</v>
      </c>
      <c r="Q29">
        <f t="shared" si="7"/>
        <v>541</v>
      </c>
    </row>
    <row r="30" spans="1:21" x14ac:dyDescent="0.25">
      <c r="A30" s="9">
        <v>0.73958333333333337</v>
      </c>
      <c r="D30">
        <v>492</v>
      </c>
      <c r="G30" s="7">
        <f t="shared" si="8"/>
        <v>0.73958333333333337</v>
      </c>
      <c r="H30">
        <f>IF(B30&lt;&gt;0,SUMIF($G$11:$G30,"&gt;"&amp;$G30-1/24,B$11:B30),0)</f>
        <v>0</v>
      </c>
      <c r="I30">
        <f>IF(C30&lt;&gt;0,SUMIF($G$11:$G30,"&gt;"&amp;$G30-1/24,C$11:C30),0)</f>
        <v>0</v>
      </c>
      <c r="J30">
        <f>IF(D30&lt;&gt;0,SUMIF($G$11:$G30,"&gt;"&amp;$G30-1/24,D$11:D30),0)</f>
        <v>2064</v>
      </c>
      <c r="K30">
        <f>IF(E30&lt;&gt;0,SUMIF($G$11:$G30,"&gt;"&amp;$G30-1/24,E$11:E30),0)</f>
        <v>0</v>
      </c>
      <c r="L30">
        <f t="shared" si="4"/>
        <v>0</v>
      </c>
      <c r="N30" t="str">
        <f t="shared" si="5"/>
        <v>PM</v>
      </c>
      <c r="O30" s="7">
        <f t="shared" si="2"/>
        <v>0.73958333333333337</v>
      </c>
      <c r="P30">
        <f t="shared" si="6"/>
        <v>492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285</v>
      </c>
      <c r="E5" t="str">
        <f>"Vehicle Count by Exit Leg for "&amp;C2&amp;" Period"</f>
        <v>Vehicle Count by Exit Leg for AM Period</v>
      </c>
    </row>
    <row r="6" spans="2:5" x14ac:dyDescent="0.25">
      <c r="B6" s="9">
        <v>0.30208333333333331</v>
      </c>
      <c r="C6">
        <v>430</v>
      </c>
    </row>
    <row r="7" spans="2:5" x14ac:dyDescent="0.25">
      <c r="B7" s="9">
        <v>0.3125</v>
      </c>
      <c r="C7">
        <v>453</v>
      </c>
    </row>
    <row r="8" spans="2:5" x14ac:dyDescent="0.25">
      <c r="B8" s="9">
        <v>0.32291666666666669</v>
      </c>
      <c r="C8">
        <v>486</v>
      </c>
    </row>
    <row r="9" spans="2:5" x14ac:dyDescent="0.25">
      <c r="B9" s="9">
        <v>0.33333333333333331</v>
      </c>
      <c r="C9">
        <v>431</v>
      </c>
    </row>
    <row r="10" spans="2:5" x14ac:dyDescent="0.25">
      <c r="B10" s="9">
        <v>0.34375</v>
      </c>
      <c r="C10">
        <v>422</v>
      </c>
    </row>
    <row r="11" spans="2:5" x14ac:dyDescent="0.25">
      <c r="B11" s="9">
        <v>0.35416666666666669</v>
      </c>
      <c r="C11">
        <v>504</v>
      </c>
    </row>
    <row r="12" spans="2:5" x14ac:dyDescent="0.25">
      <c r="B12" s="9">
        <v>0.36458333333333331</v>
      </c>
      <c r="C12">
        <v>433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42578125" bestFit="1" customWidth="1"/>
    <col min="12" max="13" width="19.85546875" bestFit="1" customWidth="1"/>
    <col min="14" max="14" width="8.28515625" customWidth="1"/>
    <col min="15" max="15" width="5.5703125" customWidth="1"/>
    <col min="16" max="18" width="3.28515625" customWidth="1"/>
    <col min="19" max="19" width="11.28515625" bestFit="1" customWidth="1"/>
    <col min="20" max="20" width="22.42578125" bestFit="1" customWidth="1"/>
    <col min="21"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93</v>
      </c>
      <c r="M25" s="16" t="s">
        <v>94</v>
      </c>
      <c r="T25" s="16" t="s">
        <v>95</v>
      </c>
      <c r="U25" s="16" t="s">
        <v>93</v>
      </c>
      <c r="V25" s="16" t="s">
        <v>94</v>
      </c>
      <c r="X25" s="13"/>
    </row>
    <row r="26" spans="2:24" x14ac:dyDescent="0.25">
      <c r="B26" s="9">
        <v>0.29166666666666669</v>
      </c>
      <c r="C26" s="16">
        <v>285</v>
      </c>
      <c r="J26" s="9">
        <v>0.29166666666666669</v>
      </c>
      <c r="K26" s="16">
        <v>82</v>
      </c>
      <c r="L26" s="16">
        <v>189</v>
      </c>
      <c r="M26" s="16">
        <v>14</v>
      </c>
      <c r="S26" s="9">
        <v>0.29166666666666669</v>
      </c>
      <c r="T26" s="16">
        <v>153</v>
      </c>
      <c r="U26" s="16">
        <v>92</v>
      </c>
      <c r="V26" s="16">
        <v>40</v>
      </c>
    </row>
    <row r="27" spans="2:24" x14ac:dyDescent="0.25">
      <c r="B27" s="9">
        <v>0.30208333333333331</v>
      </c>
      <c r="C27" s="16">
        <v>430</v>
      </c>
      <c r="J27" s="9">
        <v>0.30208333333333331</v>
      </c>
      <c r="K27" s="16">
        <v>142</v>
      </c>
      <c r="L27" s="16">
        <v>262</v>
      </c>
      <c r="M27" s="16">
        <v>26</v>
      </c>
      <c r="S27" s="9">
        <v>0.30208333333333331</v>
      </c>
      <c r="T27" s="16">
        <v>205</v>
      </c>
      <c r="U27" s="16">
        <v>163</v>
      </c>
      <c r="V27" s="16">
        <v>62</v>
      </c>
    </row>
    <row r="28" spans="2:24" x14ac:dyDescent="0.25">
      <c r="B28" s="9">
        <v>0.3125</v>
      </c>
      <c r="C28" s="16">
        <v>453</v>
      </c>
      <c r="J28" s="9">
        <v>0.3125</v>
      </c>
      <c r="K28" s="16">
        <v>143</v>
      </c>
      <c r="L28" s="16">
        <v>275</v>
      </c>
      <c r="M28" s="16">
        <v>35</v>
      </c>
      <c r="S28" s="9">
        <v>0.3125</v>
      </c>
      <c r="T28" s="16">
        <v>205</v>
      </c>
      <c r="U28" s="16">
        <v>168</v>
      </c>
      <c r="V28" s="16">
        <v>80</v>
      </c>
    </row>
    <row r="29" spans="2:24" x14ac:dyDescent="0.25">
      <c r="B29" s="9">
        <v>0.32291666666666669</v>
      </c>
      <c r="C29" s="16">
        <v>486</v>
      </c>
      <c r="J29" s="9">
        <v>0.32291666666666669</v>
      </c>
      <c r="K29" s="16">
        <v>219</v>
      </c>
      <c r="L29" s="16">
        <v>243</v>
      </c>
      <c r="M29" s="16">
        <v>24</v>
      </c>
      <c r="S29" s="9">
        <v>0.32291666666666669</v>
      </c>
      <c r="T29" s="16">
        <v>175</v>
      </c>
      <c r="U29" s="16">
        <v>224</v>
      </c>
      <c r="V29" s="16">
        <v>87</v>
      </c>
    </row>
    <row r="30" spans="2:24" x14ac:dyDescent="0.25">
      <c r="B30" s="9">
        <v>0.33333333333333331</v>
      </c>
      <c r="C30" s="16">
        <v>431</v>
      </c>
      <c r="J30" s="9">
        <v>0.33333333333333331</v>
      </c>
      <c r="K30" s="16">
        <v>191</v>
      </c>
      <c r="L30" s="16">
        <v>216</v>
      </c>
      <c r="M30" s="16">
        <v>24</v>
      </c>
      <c r="S30" s="9">
        <v>0.33333333333333331</v>
      </c>
      <c r="T30" s="16">
        <v>163</v>
      </c>
      <c r="U30" s="16">
        <v>198</v>
      </c>
      <c r="V30" s="16">
        <v>70</v>
      </c>
    </row>
    <row r="31" spans="2:24" x14ac:dyDescent="0.25">
      <c r="B31" s="9">
        <v>0.34375</v>
      </c>
      <c r="C31" s="16">
        <v>422</v>
      </c>
      <c r="J31" s="9">
        <v>0.34375</v>
      </c>
      <c r="K31" s="16">
        <v>179</v>
      </c>
      <c r="L31" s="16">
        <v>201</v>
      </c>
      <c r="M31" s="16">
        <v>42</v>
      </c>
      <c r="S31" s="9">
        <v>0.34375</v>
      </c>
      <c r="T31" s="16">
        <v>140</v>
      </c>
      <c r="U31" s="16">
        <v>188</v>
      </c>
      <c r="V31" s="16">
        <v>94</v>
      </c>
    </row>
    <row r="32" spans="2:24" x14ac:dyDescent="0.25">
      <c r="B32" s="9">
        <v>0.35416666666666669</v>
      </c>
      <c r="C32" s="16">
        <v>504</v>
      </c>
      <c r="J32" s="9">
        <v>0.35416666666666669</v>
      </c>
      <c r="K32" s="16">
        <v>201</v>
      </c>
      <c r="L32" s="16">
        <v>237</v>
      </c>
      <c r="M32" s="16">
        <v>66</v>
      </c>
      <c r="S32" s="9">
        <v>0.35416666666666669</v>
      </c>
      <c r="T32" s="16">
        <v>177</v>
      </c>
      <c r="U32" s="16">
        <v>238</v>
      </c>
      <c r="V32" s="16">
        <v>89</v>
      </c>
    </row>
    <row r="33" spans="2:22" x14ac:dyDescent="0.25">
      <c r="B33" s="9">
        <v>0.36458333333333331</v>
      </c>
      <c r="C33" s="16">
        <v>433</v>
      </c>
      <c r="J33" s="9">
        <v>0.36458333333333331</v>
      </c>
      <c r="K33" s="16">
        <v>189</v>
      </c>
      <c r="L33" s="16">
        <v>188</v>
      </c>
      <c r="M33" s="16">
        <v>56</v>
      </c>
      <c r="S33" s="9">
        <v>0.36458333333333331</v>
      </c>
      <c r="T33" s="16">
        <v>135</v>
      </c>
      <c r="U33" s="16">
        <v>215</v>
      </c>
      <c r="V33" s="16">
        <v>83</v>
      </c>
    </row>
    <row r="34" spans="2:22" x14ac:dyDescent="0.25">
      <c r="B34" s="9" t="s">
        <v>49</v>
      </c>
      <c r="C34" s="16">
        <v>3444</v>
      </c>
      <c r="J34" s="9" t="s">
        <v>49</v>
      </c>
      <c r="K34" s="16">
        <v>1346</v>
      </c>
      <c r="L34" s="16">
        <v>1811</v>
      </c>
      <c r="M34" s="16">
        <v>287</v>
      </c>
      <c r="S34" s="9" t="s">
        <v>49</v>
      </c>
      <c r="T34" s="16">
        <v>1353</v>
      </c>
      <c r="U34" s="16">
        <v>1486</v>
      </c>
      <c r="V34" s="16">
        <v>605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1843 vehicles between 07:45 and 08:45</v>
      </c>
    </row>
    <row r="5" spans="2:2" x14ac:dyDescent="0.25">
      <c r="B5" s="6" t="str">
        <f>PeakCalc!I8</f>
        <v>The peak hour for INT is 1536 vehicles between 13:00 and 14:00</v>
      </c>
    </row>
    <row r="6" spans="2:2" x14ac:dyDescent="0.25">
      <c r="B6" s="6" t="str">
        <f>PeakCalc!J8</f>
        <v>The peak hour for PM is 2088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865</v>
      </c>
      <c r="D32">
        <v>20</v>
      </c>
      <c r="E32">
        <v>12</v>
      </c>
      <c r="F32">
        <v>897</v>
      </c>
      <c r="G32">
        <v>847</v>
      </c>
      <c r="H32">
        <v>13</v>
      </c>
      <c r="I32">
        <v>6</v>
      </c>
      <c r="J32">
        <v>866</v>
      </c>
      <c r="K32">
        <v>622</v>
      </c>
      <c r="L32">
        <v>21</v>
      </c>
      <c r="M32">
        <v>1</v>
      </c>
      <c r="N32">
        <v>644</v>
      </c>
    </row>
    <row r="33" spans="2:14" x14ac:dyDescent="0.25">
      <c r="B33" s="14" t="s">
        <v>96</v>
      </c>
      <c r="C33">
        <v>258</v>
      </c>
      <c r="D33">
        <v>6</v>
      </c>
      <c r="E33">
        <v>6</v>
      </c>
      <c r="F33">
        <v>270</v>
      </c>
      <c r="G33">
        <v>202</v>
      </c>
      <c r="H33">
        <v>6</v>
      </c>
      <c r="I33">
        <v>2</v>
      </c>
      <c r="J33">
        <v>210</v>
      </c>
      <c r="K33">
        <v>188</v>
      </c>
      <c r="L33">
        <v>4</v>
      </c>
      <c r="M33">
        <v>1</v>
      </c>
      <c r="N33">
        <v>193</v>
      </c>
    </row>
    <row r="34" spans="2:14" x14ac:dyDescent="0.25">
      <c r="B34" s="14" t="s">
        <v>97</v>
      </c>
      <c r="C34">
        <v>607</v>
      </c>
      <c r="D34">
        <v>14</v>
      </c>
      <c r="E34">
        <v>6</v>
      </c>
      <c r="F34">
        <v>627</v>
      </c>
      <c r="G34">
        <v>645</v>
      </c>
      <c r="H34">
        <v>7</v>
      </c>
      <c r="I34">
        <v>4</v>
      </c>
      <c r="J34">
        <v>656</v>
      </c>
      <c r="K34">
        <v>434</v>
      </c>
      <c r="L34">
        <v>17</v>
      </c>
      <c r="M34">
        <v>0</v>
      </c>
      <c r="N34">
        <v>451</v>
      </c>
    </row>
    <row r="35" spans="2:14" x14ac:dyDescent="0.25">
      <c r="B35" s="10" t="s">
        <v>94</v>
      </c>
      <c r="C35">
        <v>147</v>
      </c>
      <c r="D35">
        <v>6</v>
      </c>
      <c r="E35">
        <v>3</v>
      </c>
      <c r="F35">
        <v>156</v>
      </c>
      <c r="G35">
        <v>351</v>
      </c>
      <c r="H35">
        <v>7</v>
      </c>
      <c r="I35">
        <v>14</v>
      </c>
      <c r="J35">
        <v>372</v>
      </c>
      <c r="K35">
        <v>279</v>
      </c>
      <c r="L35">
        <v>10</v>
      </c>
      <c r="M35">
        <v>3</v>
      </c>
      <c r="N35">
        <v>292</v>
      </c>
    </row>
    <row r="36" spans="2:14" x14ac:dyDescent="0.25">
      <c r="B36" s="14" t="s">
        <v>98</v>
      </c>
      <c r="C36">
        <v>28</v>
      </c>
      <c r="D36">
        <v>0</v>
      </c>
      <c r="E36">
        <v>0</v>
      </c>
      <c r="F36">
        <v>28</v>
      </c>
      <c r="G36">
        <v>84</v>
      </c>
      <c r="H36">
        <v>0</v>
      </c>
      <c r="I36">
        <v>0</v>
      </c>
      <c r="J36">
        <v>84</v>
      </c>
      <c r="K36">
        <v>56</v>
      </c>
      <c r="L36">
        <v>2</v>
      </c>
      <c r="M36">
        <v>0</v>
      </c>
      <c r="N36">
        <v>58</v>
      </c>
    </row>
    <row r="37" spans="2:14" x14ac:dyDescent="0.25">
      <c r="B37" s="14" t="s">
        <v>99</v>
      </c>
      <c r="C37">
        <v>119</v>
      </c>
      <c r="D37">
        <v>6</v>
      </c>
      <c r="E37">
        <v>3</v>
      </c>
      <c r="F37">
        <v>128</v>
      </c>
      <c r="G37">
        <v>267</v>
      </c>
      <c r="H37">
        <v>7</v>
      </c>
      <c r="I37">
        <v>14</v>
      </c>
      <c r="J37">
        <v>288</v>
      </c>
      <c r="K37">
        <v>223</v>
      </c>
      <c r="L37">
        <v>8</v>
      </c>
      <c r="M37">
        <v>3</v>
      </c>
      <c r="N37">
        <v>234</v>
      </c>
    </row>
    <row r="38" spans="2:14" x14ac:dyDescent="0.25">
      <c r="B38" s="10" t="s">
        <v>95</v>
      </c>
      <c r="C38">
        <v>754</v>
      </c>
      <c r="D38">
        <v>30</v>
      </c>
      <c r="E38">
        <v>6</v>
      </c>
      <c r="F38">
        <v>790</v>
      </c>
      <c r="G38">
        <v>840</v>
      </c>
      <c r="H38">
        <v>5</v>
      </c>
      <c r="I38">
        <v>5</v>
      </c>
      <c r="J38">
        <v>850</v>
      </c>
      <c r="K38">
        <v>574</v>
      </c>
      <c r="L38">
        <v>24</v>
      </c>
      <c r="M38">
        <v>2</v>
      </c>
      <c r="N38">
        <v>600</v>
      </c>
    </row>
    <row r="39" spans="2:14" x14ac:dyDescent="0.25">
      <c r="B39" s="14" t="s">
        <v>100</v>
      </c>
      <c r="C39">
        <v>686</v>
      </c>
      <c r="D39">
        <v>28</v>
      </c>
      <c r="E39">
        <v>6</v>
      </c>
      <c r="F39">
        <v>720</v>
      </c>
      <c r="G39">
        <v>770</v>
      </c>
      <c r="H39">
        <v>5</v>
      </c>
      <c r="I39">
        <v>5</v>
      </c>
      <c r="J39">
        <v>780</v>
      </c>
      <c r="K39">
        <v>541</v>
      </c>
      <c r="L39">
        <v>24</v>
      </c>
      <c r="M39">
        <v>2</v>
      </c>
      <c r="N39">
        <v>567</v>
      </c>
    </row>
    <row r="40" spans="2:14" x14ac:dyDescent="0.25">
      <c r="B40" s="14" t="s">
        <v>101</v>
      </c>
      <c r="C40">
        <v>68</v>
      </c>
      <c r="D40">
        <v>2</v>
      </c>
      <c r="E40">
        <v>0</v>
      </c>
      <c r="F40">
        <v>70</v>
      </c>
      <c r="G40">
        <v>70</v>
      </c>
      <c r="H40">
        <v>0</v>
      </c>
      <c r="I40">
        <v>0</v>
      </c>
      <c r="J40">
        <v>70</v>
      </c>
      <c r="K40">
        <v>33</v>
      </c>
      <c r="L40">
        <v>0</v>
      </c>
      <c r="M40">
        <v>0</v>
      </c>
      <c r="N40">
        <v>33</v>
      </c>
    </row>
    <row r="41" spans="2:14" x14ac:dyDescent="0.25">
      <c r="B41" s="10" t="s">
        <v>49</v>
      </c>
      <c r="C41">
        <v>1766</v>
      </c>
      <c r="D41">
        <v>56</v>
      </c>
      <c r="E41">
        <v>21</v>
      </c>
      <c r="F41">
        <v>1843</v>
      </c>
      <c r="G41">
        <v>2038</v>
      </c>
      <c r="H41">
        <v>25</v>
      </c>
      <c r="I41">
        <v>25</v>
      </c>
      <c r="J41">
        <v>2088</v>
      </c>
      <c r="K41">
        <v>1475</v>
      </c>
      <c r="L41">
        <v>55</v>
      </c>
      <c r="M41">
        <v>6</v>
      </c>
      <c r="N41">
        <v>1536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0828-02E0-4514-96C7-CDA1B390FBA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37</v>
      </c>
      <c r="F15" s="53">
        <v>145</v>
      </c>
      <c r="G15" s="53" t="s">
        <v>113</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v>3</v>
      </c>
      <c r="AI15" s="53" t="s">
        <v>113</v>
      </c>
      <c r="AJ15" s="53" t="s">
        <v>113</v>
      </c>
      <c r="AK15" s="53">
        <v>11</v>
      </c>
      <c r="AL15" s="53" t="s">
        <v>113</v>
      </c>
      <c r="AM15" s="53" t="s">
        <v>113</v>
      </c>
      <c r="AN15" s="53" t="s">
        <v>113</v>
      </c>
      <c r="AO15" s="53">
        <v>0</v>
      </c>
      <c r="AP15" s="53" t="s">
        <v>113</v>
      </c>
      <c r="AQ15" s="53" t="s">
        <v>113</v>
      </c>
      <c r="AR15" s="53">
        <v>74</v>
      </c>
      <c r="AS15" s="53" t="s">
        <v>113</v>
      </c>
      <c r="AT15" s="53" t="s">
        <v>113</v>
      </c>
      <c r="AU15" s="53" t="s">
        <v>113</v>
      </c>
      <c r="AV15" s="53">
        <v>1</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55</v>
      </c>
      <c r="F16" s="53">
        <v>201</v>
      </c>
      <c r="G16" s="53" t="s">
        <v>113</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v>2</v>
      </c>
      <c r="AI16" s="53" t="s">
        <v>113</v>
      </c>
      <c r="AJ16" s="53" t="s">
        <v>113</v>
      </c>
      <c r="AK16" s="53">
        <v>21</v>
      </c>
      <c r="AL16" s="53" t="s">
        <v>113</v>
      </c>
      <c r="AM16" s="53" t="s">
        <v>113</v>
      </c>
      <c r="AN16" s="53" t="s">
        <v>113</v>
      </c>
      <c r="AO16" s="53">
        <v>0</v>
      </c>
      <c r="AP16" s="53" t="s">
        <v>113</v>
      </c>
      <c r="AQ16" s="53" t="s">
        <v>113</v>
      </c>
      <c r="AR16" s="53">
        <v>137</v>
      </c>
      <c r="AS16" s="53" t="s">
        <v>113</v>
      </c>
      <c r="AT16" s="53" t="s">
        <v>113</v>
      </c>
      <c r="AU16" s="53" t="s">
        <v>113</v>
      </c>
      <c r="AV16" s="53">
        <v>3</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66</v>
      </c>
      <c r="F17" s="53">
        <v>198</v>
      </c>
      <c r="G17" s="53" t="s">
        <v>113</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v>3</v>
      </c>
      <c r="AI17" s="53" t="s">
        <v>113</v>
      </c>
      <c r="AJ17" s="53" t="s">
        <v>113</v>
      </c>
      <c r="AK17" s="53">
        <v>29</v>
      </c>
      <c r="AL17" s="53" t="s">
        <v>113</v>
      </c>
      <c r="AM17" s="53" t="s">
        <v>113</v>
      </c>
      <c r="AN17" s="53" t="s">
        <v>113</v>
      </c>
      <c r="AO17" s="53">
        <v>0</v>
      </c>
      <c r="AP17" s="53" t="s">
        <v>113</v>
      </c>
      <c r="AQ17" s="53" t="s">
        <v>113</v>
      </c>
      <c r="AR17" s="53">
        <v>129</v>
      </c>
      <c r="AS17" s="53" t="s">
        <v>113</v>
      </c>
      <c r="AT17" s="53" t="s">
        <v>113</v>
      </c>
      <c r="AU17" s="53" t="s">
        <v>113</v>
      </c>
      <c r="AV17" s="53">
        <v>6</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68</v>
      </c>
      <c r="F18" s="53">
        <v>166</v>
      </c>
      <c r="G18" s="53" t="s">
        <v>113</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v>5</v>
      </c>
      <c r="AI18" s="53" t="s">
        <v>113</v>
      </c>
      <c r="AJ18" s="53" t="s">
        <v>113</v>
      </c>
      <c r="AK18" s="53">
        <v>16</v>
      </c>
      <c r="AL18" s="53" t="s">
        <v>113</v>
      </c>
      <c r="AM18" s="53" t="s">
        <v>113</v>
      </c>
      <c r="AN18" s="53" t="s">
        <v>113</v>
      </c>
      <c r="AO18" s="53">
        <v>0</v>
      </c>
      <c r="AP18" s="53" t="s">
        <v>113</v>
      </c>
      <c r="AQ18" s="53" t="s">
        <v>113</v>
      </c>
      <c r="AR18" s="53">
        <v>200</v>
      </c>
      <c r="AS18" s="53" t="s">
        <v>113</v>
      </c>
      <c r="AT18" s="53" t="s">
        <v>113</v>
      </c>
      <c r="AU18" s="53" t="s">
        <v>113</v>
      </c>
      <c r="AV18" s="53">
        <v>14</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53</v>
      </c>
      <c r="F19" s="53">
        <v>157</v>
      </c>
      <c r="G19" s="53" t="s">
        <v>113</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v>2</v>
      </c>
      <c r="AI19" s="53" t="s">
        <v>113</v>
      </c>
      <c r="AJ19" s="53" t="s">
        <v>113</v>
      </c>
      <c r="AK19" s="53">
        <v>21</v>
      </c>
      <c r="AL19" s="53" t="s">
        <v>113</v>
      </c>
      <c r="AM19" s="53" t="s">
        <v>113</v>
      </c>
      <c r="AN19" s="53" t="s">
        <v>113</v>
      </c>
      <c r="AO19" s="53">
        <v>0</v>
      </c>
      <c r="AP19" s="53" t="s">
        <v>113</v>
      </c>
      <c r="AQ19" s="53" t="s">
        <v>113</v>
      </c>
      <c r="AR19" s="53">
        <v>166</v>
      </c>
      <c r="AS19" s="53" t="s">
        <v>113</v>
      </c>
      <c r="AT19" s="53" t="s">
        <v>113</v>
      </c>
      <c r="AU19" s="53" t="s">
        <v>113</v>
      </c>
      <c r="AV19" s="53">
        <v>14</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66</v>
      </c>
      <c r="F20" s="53">
        <v>125</v>
      </c>
      <c r="G20" s="53" t="s">
        <v>113</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v>8</v>
      </c>
      <c r="AI20" s="53" t="s">
        <v>113</v>
      </c>
      <c r="AJ20" s="53" t="s">
        <v>113</v>
      </c>
      <c r="AK20" s="53">
        <v>31</v>
      </c>
      <c r="AL20" s="53" t="s">
        <v>113</v>
      </c>
      <c r="AM20" s="53" t="s">
        <v>113</v>
      </c>
      <c r="AN20" s="53" t="s">
        <v>113</v>
      </c>
      <c r="AO20" s="53">
        <v>0</v>
      </c>
      <c r="AP20" s="53" t="s">
        <v>113</v>
      </c>
      <c r="AQ20" s="53" t="s">
        <v>113</v>
      </c>
      <c r="AR20" s="53">
        <v>149</v>
      </c>
      <c r="AS20" s="53" t="s">
        <v>113</v>
      </c>
      <c r="AT20" s="53" t="s">
        <v>113</v>
      </c>
      <c r="AU20" s="53" t="s">
        <v>113</v>
      </c>
      <c r="AV20" s="53">
        <v>25</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71</v>
      </c>
      <c r="F21" s="53">
        <v>159</v>
      </c>
      <c r="G21" s="53" t="s">
        <v>113</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v>13</v>
      </c>
      <c r="AI21" s="53" t="s">
        <v>113</v>
      </c>
      <c r="AJ21" s="53" t="s">
        <v>113</v>
      </c>
      <c r="AK21" s="53">
        <v>51</v>
      </c>
      <c r="AL21" s="53" t="s">
        <v>113</v>
      </c>
      <c r="AM21" s="53" t="s">
        <v>113</v>
      </c>
      <c r="AN21" s="53" t="s">
        <v>113</v>
      </c>
      <c r="AO21" s="53">
        <v>0</v>
      </c>
      <c r="AP21" s="53" t="s">
        <v>113</v>
      </c>
      <c r="AQ21" s="53" t="s">
        <v>113</v>
      </c>
      <c r="AR21" s="53">
        <v>171</v>
      </c>
      <c r="AS21" s="53" t="s">
        <v>113</v>
      </c>
      <c r="AT21" s="53" t="s">
        <v>113</v>
      </c>
      <c r="AU21" s="53" t="s">
        <v>113</v>
      </c>
      <c r="AV21" s="53">
        <v>15</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66</v>
      </c>
      <c r="F22" s="53">
        <v>112</v>
      </c>
      <c r="G22" s="53" t="s">
        <v>113</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v>16</v>
      </c>
      <c r="AI22" s="53" t="s">
        <v>113</v>
      </c>
      <c r="AJ22" s="53" t="s">
        <v>113</v>
      </c>
      <c r="AK22" s="53">
        <v>33</v>
      </c>
      <c r="AL22" s="53" t="s">
        <v>113</v>
      </c>
      <c r="AM22" s="53" t="s">
        <v>113</v>
      </c>
      <c r="AN22" s="53" t="s">
        <v>113</v>
      </c>
      <c r="AO22" s="53">
        <v>0</v>
      </c>
      <c r="AP22" s="53" t="s">
        <v>113</v>
      </c>
      <c r="AQ22" s="53" t="s">
        <v>113</v>
      </c>
      <c r="AR22" s="53">
        <v>166</v>
      </c>
      <c r="AS22" s="53" t="s">
        <v>113</v>
      </c>
      <c r="AT22" s="53" t="s">
        <v>113</v>
      </c>
      <c r="AU22" s="53" t="s">
        <v>113</v>
      </c>
      <c r="AV22" s="53">
        <v>13</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0</v>
      </c>
      <c r="F23" s="53">
        <v>0</v>
      </c>
      <c r="G23" s="53" t="s">
        <v>113</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v>0</v>
      </c>
      <c r="AI23" s="53" t="s">
        <v>113</v>
      </c>
      <c r="AJ23" s="53" t="s">
        <v>113</v>
      </c>
      <c r="AK23" s="53">
        <v>0</v>
      </c>
      <c r="AL23" s="53" t="s">
        <v>113</v>
      </c>
      <c r="AM23" s="53" t="s">
        <v>113</v>
      </c>
      <c r="AN23" s="53" t="s">
        <v>113</v>
      </c>
      <c r="AO23" s="53">
        <v>0</v>
      </c>
      <c r="AP23" s="53" t="s">
        <v>113</v>
      </c>
      <c r="AQ23" s="53" t="s">
        <v>113</v>
      </c>
      <c r="AR23" s="53">
        <v>0</v>
      </c>
      <c r="AS23" s="53" t="s">
        <v>113</v>
      </c>
      <c r="AT23" s="53" t="s">
        <v>113</v>
      </c>
      <c r="AU23" s="53" t="s">
        <v>113</v>
      </c>
      <c r="AV23" s="53">
        <v>0</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39</v>
      </c>
      <c r="F24" s="53">
        <v>102</v>
      </c>
      <c r="G24" s="53" t="s">
        <v>113</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v>11</v>
      </c>
      <c r="AI24" s="53" t="s">
        <v>113</v>
      </c>
      <c r="AJ24" s="53" t="s">
        <v>113</v>
      </c>
      <c r="AK24" s="53">
        <v>55</v>
      </c>
      <c r="AL24" s="53" t="s">
        <v>113</v>
      </c>
      <c r="AM24" s="53" t="s">
        <v>113</v>
      </c>
      <c r="AN24" s="53" t="s">
        <v>113</v>
      </c>
      <c r="AO24" s="53">
        <v>0</v>
      </c>
      <c r="AP24" s="53" t="s">
        <v>113</v>
      </c>
      <c r="AQ24" s="53" t="s">
        <v>113</v>
      </c>
      <c r="AR24" s="53">
        <v>124</v>
      </c>
      <c r="AS24" s="53" t="s">
        <v>113</v>
      </c>
      <c r="AT24" s="53" t="s">
        <v>113</v>
      </c>
      <c r="AU24" s="53" t="s">
        <v>113</v>
      </c>
      <c r="AV24" s="53">
        <v>4</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59</v>
      </c>
      <c r="F25" s="53">
        <v>116</v>
      </c>
      <c r="G25" s="53" t="s">
        <v>113</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v>16</v>
      </c>
      <c r="AI25" s="53" t="s">
        <v>113</v>
      </c>
      <c r="AJ25" s="53" t="s">
        <v>113</v>
      </c>
      <c r="AK25" s="53">
        <v>49</v>
      </c>
      <c r="AL25" s="53" t="s">
        <v>113</v>
      </c>
      <c r="AM25" s="53" t="s">
        <v>113</v>
      </c>
      <c r="AN25" s="53" t="s">
        <v>113</v>
      </c>
      <c r="AO25" s="53">
        <v>0</v>
      </c>
      <c r="AP25" s="53" t="s">
        <v>113</v>
      </c>
      <c r="AQ25" s="53" t="s">
        <v>113</v>
      </c>
      <c r="AR25" s="53">
        <v>143</v>
      </c>
      <c r="AS25" s="53" t="s">
        <v>113</v>
      </c>
      <c r="AT25" s="53" t="s">
        <v>113</v>
      </c>
      <c r="AU25" s="53" t="s">
        <v>113</v>
      </c>
      <c r="AV25" s="53">
        <v>10</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54</v>
      </c>
      <c r="F26" s="53">
        <v>92</v>
      </c>
      <c r="G26" s="53" t="s">
        <v>113</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v>14</v>
      </c>
      <c r="AI26" s="53" t="s">
        <v>113</v>
      </c>
      <c r="AJ26" s="53" t="s">
        <v>113</v>
      </c>
      <c r="AK26" s="53">
        <v>61</v>
      </c>
      <c r="AL26" s="53" t="s">
        <v>113</v>
      </c>
      <c r="AM26" s="53" t="s">
        <v>113</v>
      </c>
      <c r="AN26" s="53" t="s">
        <v>113</v>
      </c>
      <c r="AO26" s="53">
        <v>0</v>
      </c>
      <c r="AP26" s="53" t="s">
        <v>113</v>
      </c>
      <c r="AQ26" s="53" t="s">
        <v>113</v>
      </c>
      <c r="AR26" s="53">
        <v>130</v>
      </c>
      <c r="AS26" s="53" t="s">
        <v>113</v>
      </c>
      <c r="AT26" s="53" t="s">
        <v>113</v>
      </c>
      <c r="AU26" s="53" t="s">
        <v>113</v>
      </c>
      <c r="AV26" s="53">
        <v>10</v>
      </c>
      <c r="AW26" s="53">
        <v>0</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36</v>
      </c>
      <c r="F27" s="53">
        <v>124</v>
      </c>
      <c r="G27" s="53" t="s">
        <v>113</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v>15</v>
      </c>
      <c r="AI27" s="53" t="s">
        <v>113</v>
      </c>
      <c r="AJ27" s="53" t="s">
        <v>113</v>
      </c>
      <c r="AK27" s="53">
        <v>58</v>
      </c>
      <c r="AL27" s="53" t="s">
        <v>113</v>
      </c>
      <c r="AM27" s="53" t="s">
        <v>113</v>
      </c>
      <c r="AN27" s="53" t="s">
        <v>113</v>
      </c>
      <c r="AO27" s="53">
        <v>0</v>
      </c>
      <c r="AP27" s="53" t="s">
        <v>113</v>
      </c>
      <c r="AQ27" s="53" t="s">
        <v>113</v>
      </c>
      <c r="AR27" s="53">
        <v>144</v>
      </c>
      <c r="AS27" s="53" t="s">
        <v>113</v>
      </c>
      <c r="AT27" s="53" t="s">
        <v>113</v>
      </c>
      <c r="AU27" s="53" t="s">
        <v>113</v>
      </c>
      <c r="AV27" s="53">
        <v>9</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v>0</v>
      </c>
      <c r="G28" s="53" t="s">
        <v>113</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v>0</v>
      </c>
      <c r="AI28" s="53" t="s">
        <v>113</v>
      </c>
      <c r="AJ28" s="53" t="s">
        <v>113</v>
      </c>
      <c r="AK28" s="53">
        <v>0</v>
      </c>
      <c r="AL28" s="53" t="s">
        <v>113</v>
      </c>
      <c r="AM28" s="53" t="s">
        <v>113</v>
      </c>
      <c r="AN28" s="53" t="s">
        <v>113</v>
      </c>
      <c r="AO28" s="53">
        <v>0</v>
      </c>
      <c r="AP28" s="53" t="s">
        <v>113</v>
      </c>
      <c r="AQ28" s="53" t="s">
        <v>113</v>
      </c>
      <c r="AR28" s="53">
        <v>0</v>
      </c>
      <c r="AS28" s="53" t="s">
        <v>113</v>
      </c>
      <c r="AT28" s="53" t="s">
        <v>113</v>
      </c>
      <c r="AU28" s="53" t="s">
        <v>113</v>
      </c>
      <c r="AV28" s="53">
        <v>0</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53</v>
      </c>
      <c r="F29" s="53">
        <v>166</v>
      </c>
      <c r="G29" s="53" t="s">
        <v>113</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v>19</v>
      </c>
      <c r="AI29" s="53" t="s">
        <v>113</v>
      </c>
      <c r="AJ29" s="53" t="s">
        <v>113</v>
      </c>
      <c r="AK29" s="53">
        <v>70</v>
      </c>
      <c r="AL29" s="53" t="s">
        <v>113</v>
      </c>
      <c r="AM29" s="53" t="s">
        <v>113</v>
      </c>
      <c r="AN29" s="53" t="s">
        <v>113</v>
      </c>
      <c r="AO29" s="53">
        <v>0</v>
      </c>
      <c r="AP29" s="53" t="s">
        <v>113</v>
      </c>
      <c r="AQ29" s="53" t="s">
        <v>113</v>
      </c>
      <c r="AR29" s="53">
        <v>207</v>
      </c>
      <c r="AS29" s="53" t="s">
        <v>113</v>
      </c>
      <c r="AT29" s="53" t="s">
        <v>113</v>
      </c>
      <c r="AU29" s="53" t="s">
        <v>113</v>
      </c>
      <c r="AV29" s="53">
        <v>9</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42</v>
      </c>
      <c r="F30" s="53">
        <v>147</v>
      </c>
      <c r="G30" s="53" t="s">
        <v>113</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v>20</v>
      </c>
      <c r="AI30" s="53" t="s">
        <v>113</v>
      </c>
      <c r="AJ30" s="53" t="s">
        <v>113</v>
      </c>
      <c r="AK30" s="53">
        <v>70</v>
      </c>
      <c r="AL30" s="53" t="s">
        <v>113</v>
      </c>
      <c r="AM30" s="53" t="s">
        <v>113</v>
      </c>
      <c r="AN30" s="53" t="s">
        <v>113</v>
      </c>
      <c r="AO30" s="53">
        <v>0</v>
      </c>
      <c r="AP30" s="53" t="s">
        <v>113</v>
      </c>
      <c r="AQ30" s="53" t="s">
        <v>113</v>
      </c>
      <c r="AR30" s="53">
        <v>201</v>
      </c>
      <c r="AS30" s="53" t="s">
        <v>113</v>
      </c>
      <c r="AT30" s="53" t="s">
        <v>113</v>
      </c>
      <c r="AU30" s="53" t="s">
        <v>113</v>
      </c>
      <c r="AV30" s="53">
        <v>10</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47</v>
      </c>
      <c r="F31" s="53">
        <v>178</v>
      </c>
      <c r="G31" s="53" t="s">
        <v>113</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v>14</v>
      </c>
      <c r="AI31" s="53" t="s">
        <v>113</v>
      </c>
      <c r="AJ31" s="53" t="s">
        <v>113</v>
      </c>
      <c r="AK31" s="53">
        <v>66</v>
      </c>
      <c r="AL31" s="53" t="s">
        <v>113</v>
      </c>
      <c r="AM31" s="53" t="s">
        <v>113</v>
      </c>
      <c r="AN31" s="53" t="s">
        <v>113</v>
      </c>
      <c r="AO31" s="53">
        <v>0</v>
      </c>
      <c r="AP31" s="53" t="s">
        <v>113</v>
      </c>
      <c r="AQ31" s="53" t="s">
        <v>113</v>
      </c>
      <c r="AR31" s="53">
        <v>185</v>
      </c>
      <c r="AS31" s="53" t="s">
        <v>113</v>
      </c>
      <c r="AT31" s="53" t="s">
        <v>113</v>
      </c>
      <c r="AU31" s="53" t="s">
        <v>113</v>
      </c>
      <c r="AV31" s="53">
        <v>8</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50</v>
      </c>
      <c r="F32" s="53">
        <v>170</v>
      </c>
      <c r="G32" s="53" t="s">
        <v>113</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v>23</v>
      </c>
      <c r="AI32" s="53" t="s">
        <v>113</v>
      </c>
      <c r="AJ32" s="53" t="s">
        <v>113</v>
      </c>
      <c r="AK32" s="53">
        <v>56</v>
      </c>
      <c r="AL32" s="53" t="s">
        <v>113</v>
      </c>
      <c r="AM32" s="53" t="s">
        <v>113</v>
      </c>
      <c r="AN32" s="53" t="s">
        <v>113</v>
      </c>
      <c r="AO32" s="53">
        <v>0</v>
      </c>
      <c r="AP32" s="53" t="s">
        <v>113</v>
      </c>
      <c r="AQ32" s="53" t="s">
        <v>113</v>
      </c>
      <c r="AR32" s="53">
        <v>180</v>
      </c>
      <c r="AS32" s="53" t="s">
        <v>113</v>
      </c>
      <c r="AT32" s="53" t="s">
        <v>113</v>
      </c>
      <c r="AU32" s="53" t="s">
        <v>113</v>
      </c>
      <c r="AV32" s="53">
        <v>25</v>
      </c>
      <c r="AW32" s="53">
        <v>1</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66</v>
      </c>
      <c r="F33" s="53">
        <v>161</v>
      </c>
      <c r="G33" s="53" t="s">
        <v>113</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v>19</v>
      </c>
      <c r="AI33" s="53" t="s">
        <v>113</v>
      </c>
      <c r="AJ33" s="53" t="s">
        <v>113</v>
      </c>
      <c r="AK33" s="53">
        <v>61</v>
      </c>
      <c r="AL33" s="53" t="s">
        <v>113</v>
      </c>
      <c r="AM33" s="53" t="s">
        <v>113</v>
      </c>
      <c r="AN33" s="53" t="s">
        <v>113</v>
      </c>
      <c r="AO33" s="53">
        <v>0</v>
      </c>
      <c r="AP33" s="53" t="s">
        <v>113</v>
      </c>
      <c r="AQ33" s="53" t="s">
        <v>113</v>
      </c>
      <c r="AR33" s="53">
        <v>212</v>
      </c>
      <c r="AS33" s="53" t="s">
        <v>113</v>
      </c>
      <c r="AT33" s="53" t="s">
        <v>113</v>
      </c>
      <c r="AU33" s="53" t="s">
        <v>113</v>
      </c>
      <c r="AV33" s="53">
        <v>13</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41</v>
      </c>
      <c r="F34" s="53">
        <v>157</v>
      </c>
      <c r="G34" s="53" t="s">
        <v>113</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v>28</v>
      </c>
      <c r="AI34" s="53" t="s">
        <v>113</v>
      </c>
      <c r="AJ34" s="53" t="s">
        <v>113</v>
      </c>
      <c r="AK34" s="53">
        <v>89</v>
      </c>
      <c r="AL34" s="53" t="s">
        <v>113</v>
      </c>
      <c r="AM34" s="53" t="s">
        <v>113</v>
      </c>
      <c r="AN34" s="53" t="s">
        <v>113</v>
      </c>
      <c r="AO34" s="53">
        <v>0</v>
      </c>
      <c r="AP34" s="53" t="s">
        <v>113</v>
      </c>
      <c r="AQ34" s="53" t="s">
        <v>113</v>
      </c>
      <c r="AR34" s="53">
        <v>159</v>
      </c>
      <c r="AS34" s="53" t="s">
        <v>113</v>
      </c>
      <c r="AT34" s="53" t="s">
        <v>113</v>
      </c>
      <c r="AU34" s="53" t="s">
        <v>113</v>
      </c>
      <c r="AV34" s="53">
        <v>8</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45</v>
      </c>
      <c r="F35" s="53">
        <v>157</v>
      </c>
      <c r="G35" s="53" t="s">
        <v>113</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v>14</v>
      </c>
      <c r="AI35" s="53" t="s">
        <v>113</v>
      </c>
      <c r="AJ35" s="53" t="s">
        <v>113</v>
      </c>
      <c r="AK35" s="53">
        <v>61</v>
      </c>
      <c r="AL35" s="53" t="s">
        <v>113</v>
      </c>
      <c r="AM35" s="53" t="s">
        <v>113</v>
      </c>
      <c r="AN35" s="53" t="s">
        <v>113</v>
      </c>
      <c r="AO35" s="53">
        <v>0</v>
      </c>
      <c r="AP35" s="53" t="s">
        <v>113</v>
      </c>
      <c r="AQ35" s="53" t="s">
        <v>113</v>
      </c>
      <c r="AR35" s="53">
        <v>219</v>
      </c>
      <c r="AS35" s="53" t="s">
        <v>113</v>
      </c>
      <c r="AT35" s="53" t="s">
        <v>113</v>
      </c>
      <c r="AU35" s="53" t="s">
        <v>113</v>
      </c>
      <c r="AV35" s="53">
        <v>24</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55</v>
      </c>
      <c r="F36" s="53">
        <v>160</v>
      </c>
      <c r="G36" s="53" t="s">
        <v>113</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v>21</v>
      </c>
      <c r="AI36" s="53" t="s">
        <v>113</v>
      </c>
      <c r="AJ36" s="53" t="s">
        <v>113</v>
      </c>
      <c r="AK36" s="53">
        <v>53</v>
      </c>
      <c r="AL36" s="53" t="s">
        <v>113</v>
      </c>
      <c r="AM36" s="53" t="s">
        <v>113</v>
      </c>
      <c r="AN36" s="53" t="s">
        <v>113</v>
      </c>
      <c r="AO36" s="53">
        <v>0</v>
      </c>
      <c r="AP36" s="53" t="s">
        <v>113</v>
      </c>
      <c r="AQ36" s="53" t="s">
        <v>113</v>
      </c>
      <c r="AR36" s="53">
        <v>177</v>
      </c>
      <c r="AS36" s="53" t="s">
        <v>113</v>
      </c>
      <c r="AT36" s="53" t="s">
        <v>113</v>
      </c>
      <c r="AU36" s="53" t="s">
        <v>113</v>
      </c>
      <c r="AV36" s="53">
        <v>18</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v>0</v>
      </c>
      <c r="G37" s="53" t="s">
        <v>113</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v>0</v>
      </c>
      <c r="AI37" s="53" t="s">
        <v>113</v>
      </c>
      <c r="AJ37" s="53" t="s">
        <v>113</v>
      </c>
      <c r="AK37" s="53">
        <v>0</v>
      </c>
      <c r="AL37" s="53" t="s">
        <v>113</v>
      </c>
      <c r="AM37" s="53" t="s">
        <v>113</v>
      </c>
      <c r="AN37" s="53" t="s">
        <v>113</v>
      </c>
      <c r="AO37" s="53">
        <v>0</v>
      </c>
      <c r="AP37" s="53" t="s">
        <v>113</v>
      </c>
      <c r="AQ37" s="53" t="s">
        <v>113</v>
      </c>
      <c r="AR37" s="53">
        <v>0</v>
      </c>
      <c r="AS37" s="53" t="s">
        <v>113</v>
      </c>
      <c r="AT37" s="53" t="s">
        <v>113</v>
      </c>
      <c r="AU37" s="53" t="s">
        <v>113</v>
      </c>
      <c r="AV37" s="53">
        <v>0</v>
      </c>
      <c r="AW37" s="53">
        <v>0</v>
      </c>
      <c r="AX37" s="53" t="s">
        <v>113</v>
      </c>
      <c r="AY37" s="53" t="s">
        <v>113</v>
      </c>
      <c r="AZ37" s="53" t="s">
        <v>113</v>
      </c>
      <c r="BA37" s="53" t="s">
        <v>113</v>
      </c>
      <c r="BB37" s="53" t="s">
        <v>113</v>
      </c>
      <c r="BC37" s="53" t="s">
        <v>113</v>
      </c>
      <c r="BD37" s="53" t="s">
        <v>113</v>
      </c>
      <c r="BE37" s="53" t="s">
        <v>113</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16B1-71D7-4D26-95FC-68ACA3F3CE3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1</v>
      </c>
      <c r="F15" s="53">
        <v>3</v>
      </c>
      <c r="G15" s="53" t="s">
        <v>113</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v>0</v>
      </c>
      <c r="AI15" s="53" t="s">
        <v>113</v>
      </c>
      <c r="AJ15" s="53" t="s">
        <v>113</v>
      </c>
      <c r="AK15" s="53">
        <v>0</v>
      </c>
      <c r="AL15" s="53" t="s">
        <v>113</v>
      </c>
      <c r="AM15" s="53" t="s">
        <v>113</v>
      </c>
      <c r="AN15" s="53" t="s">
        <v>113</v>
      </c>
      <c r="AO15" s="53">
        <v>0</v>
      </c>
      <c r="AP15" s="53" t="s">
        <v>113</v>
      </c>
      <c r="AQ15" s="53" t="s">
        <v>113</v>
      </c>
      <c r="AR15" s="53">
        <v>5</v>
      </c>
      <c r="AS15" s="53" t="s">
        <v>113</v>
      </c>
      <c r="AT15" s="53" t="s">
        <v>113</v>
      </c>
      <c r="AU15" s="53" t="s">
        <v>113</v>
      </c>
      <c r="AV15" s="53">
        <v>0</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1</v>
      </c>
      <c r="F16" s="53">
        <v>2</v>
      </c>
      <c r="G16" s="53" t="s">
        <v>113</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v>0</v>
      </c>
      <c r="AI16" s="53" t="s">
        <v>113</v>
      </c>
      <c r="AJ16" s="53" t="s">
        <v>113</v>
      </c>
      <c r="AK16" s="53">
        <v>3</v>
      </c>
      <c r="AL16" s="53" t="s">
        <v>113</v>
      </c>
      <c r="AM16" s="53" t="s">
        <v>113</v>
      </c>
      <c r="AN16" s="53" t="s">
        <v>113</v>
      </c>
      <c r="AO16" s="53">
        <v>0</v>
      </c>
      <c r="AP16" s="53" t="s">
        <v>113</v>
      </c>
      <c r="AQ16" s="53" t="s">
        <v>113</v>
      </c>
      <c r="AR16" s="53">
        <v>2</v>
      </c>
      <c r="AS16" s="53" t="s">
        <v>113</v>
      </c>
      <c r="AT16" s="53" t="s">
        <v>113</v>
      </c>
      <c r="AU16" s="53" t="s">
        <v>113</v>
      </c>
      <c r="AV16" s="53">
        <v>0</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3</v>
      </c>
      <c r="F17" s="53">
        <v>2</v>
      </c>
      <c r="G17" s="53" t="s">
        <v>113</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v>0</v>
      </c>
      <c r="AI17" s="53" t="s">
        <v>113</v>
      </c>
      <c r="AJ17" s="53" t="s">
        <v>113</v>
      </c>
      <c r="AK17" s="53">
        <v>2</v>
      </c>
      <c r="AL17" s="53" t="s">
        <v>113</v>
      </c>
      <c r="AM17" s="53" t="s">
        <v>113</v>
      </c>
      <c r="AN17" s="53" t="s">
        <v>113</v>
      </c>
      <c r="AO17" s="53">
        <v>0</v>
      </c>
      <c r="AP17" s="53" t="s">
        <v>113</v>
      </c>
      <c r="AQ17" s="53" t="s">
        <v>113</v>
      </c>
      <c r="AR17" s="53">
        <v>5</v>
      </c>
      <c r="AS17" s="53" t="s">
        <v>113</v>
      </c>
      <c r="AT17" s="53" t="s">
        <v>113</v>
      </c>
      <c r="AU17" s="53" t="s">
        <v>113</v>
      </c>
      <c r="AV17" s="53">
        <v>0</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1</v>
      </c>
      <c r="F18" s="53">
        <v>3</v>
      </c>
      <c r="G18" s="53" t="s">
        <v>113</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v>0</v>
      </c>
      <c r="AI18" s="53" t="s">
        <v>113</v>
      </c>
      <c r="AJ18" s="53" t="s">
        <v>113</v>
      </c>
      <c r="AK18" s="53">
        <v>1</v>
      </c>
      <c r="AL18" s="53" t="s">
        <v>113</v>
      </c>
      <c r="AM18" s="53" t="s">
        <v>113</v>
      </c>
      <c r="AN18" s="53" t="s">
        <v>113</v>
      </c>
      <c r="AO18" s="53">
        <v>0</v>
      </c>
      <c r="AP18" s="53" t="s">
        <v>113</v>
      </c>
      <c r="AQ18" s="53" t="s">
        <v>113</v>
      </c>
      <c r="AR18" s="53">
        <v>4</v>
      </c>
      <c r="AS18" s="53" t="s">
        <v>113</v>
      </c>
      <c r="AT18" s="53" t="s">
        <v>113</v>
      </c>
      <c r="AU18" s="53" t="s">
        <v>113</v>
      </c>
      <c r="AV18" s="53">
        <v>0</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1</v>
      </c>
      <c r="F19" s="53">
        <v>2</v>
      </c>
      <c r="G19" s="53" t="s">
        <v>113</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v>0</v>
      </c>
      <c r="AI19" s="53" t="s">
        <v>113</v>
      </c>
      <c r="AJ19" s="53" t="s">
        <v>113</v>
      </c>
      <c r="AK19" s="53">
        <v>1</v>
      </c>
      <c r="AL19" s="53" t="s">
        <v>113</v>
      </c>
      <c r="AM19" s="53" t="s">
        <v>113</v>
      </c>
      <c r="AN19" s="53" t="s">
        <v>113</v>
      </c>
      <c r="AO19" s="53">
        <v>0</v>
      </c>
      <c r="AP19" s="53" t="s">
        <v>113</v>
      </c>
      <c r="AQ19" s="53" t="s">
        <v>113</v>
      </c>
      <c r="AR19" s="53">
        <v>9</v>
      </c>
      <c r="AS19" s="53" t="s">
        <v>113</v>
      </c>
      <c r="AT19" s="53" t="s">
        <v>113</v>
      </c>
      <c r="AU19" s="53" t="s">
        <v>113</v>
      </c>
      <c r="AV19" s="53">
        <v>1</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3</v>
      </c>
      <c r="F20" s="53">
        <v>6</v>
      </c>
      <c r="G20" s="53" t="s">
        <v>113</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v>0</v>
      </c>
      <c r="AI20" s="53" t="s">
        <v>113</v>
      </c>
      <c r="AJ20" s="53" t="s">
        <v>113</v>
      </c>
      <c r="AK20" s="53">
        <v>2</v>
      </c>
      <c r="AL20" s="53" t="s">
        <v>113</v>
      </c>
      <c r="AM20" s="53" t="s">
        <v>113</v>
      </c>
      <c r="AN20" s="53" t="s">
        <v>113</v>
      </c>
      <c r="AO20" s="53">
        <v>0</v>
      </c>
      <c r="AP20" s="53" t="s">
        <v>113</v>
      </c>
      <c r="AQ20" s="53" t="s">
        <v>113</v>
      </c>
      <c r="AR20" s="53">
        <v>4</v>
      </c>
      <c r="AS20" s="53" t="s">
        <v>113</v>
      </c>
      <c r="AT20" s="53" t="s">
        <v>113</v>
      </c>
      <c r="AU20" s="53" t="s">
        <v>113</v>
      </c>
      <c r="AV20" s="53">
        <v>0</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1</v>
      </c>
      <c r="F21" s="53">
        <v>3</v>
      </c>
      <c r="G21" s="53" t="s">
        <v>113</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v>0</v>
      </c>
      <c r="AI21" s="53" t="s">
        <v>113</v>
      </c>
      <c r="AJ21" s="53" t="s">
        <v>113</v>
      </c>
      <c r="AK21" s="53">
        <v>2</v>
      </c>
      <c r="AL21" s="53" t="s">
        <v>113</v>
      </c>
      <c r="AM21" s="53" t="s">
        <v>113</v>
      </c>
      <c r="AN21" s="53" t="s">
        <v>113</v>
      </c>
      <c r="AO21" s="53">
        <v>0</v>
      </c>
      <c r="AP21" s="53" t="s">
        <v>113</v>
      </c>
      <c r="AQ21" s="53" t="s">
        <v>113</v>
      </c>
      <c r="AR21" s="53">
        <v>11</v>
      </c>
      <c r="AS21" s="53" t="s">
        <v>113</v>
      </c>
      <c r="AT21" s="53" t="s">
        <v>113</v>
      </c>
      <c r="AU21" s="53" t="s">
        <v>113</v>
      </c>
      <c r="AV21" s="53">
        <v>1</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4</v>
      </c>
      <c r="F22" s="53">
        <v>6</v>
      </c>
      <c r="G22" s="53" t="s">
        <v>113</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v>1</v>
      </c>
      <c r="AI22" s="53" t="s">
        <v>113</v>
      </c>
      <c r="AJ22" s="53" t="s">
        <v>113</v>
      </c>
      <c r="AK22" s="53">
        <v>4</v>
      </c>
      <c r="AL22" s="53" t="s">
        <v>113</v>
      </c>
      <c r="AM22" s="53" t="s">
        <v>113</v>
      </c>
      <c r="AN22" s="53" t="s">
        <v>113</v>
      </c>
      <c r="AO22" s="53">
        <v>0</v>
      </c>
      <c r="AP22" s="53" t="s">
        <v>113</v>
      </c>
      <c r="AQ22" s="53" t="s">
        <v>113</v>
      </c>
      <c r="AR22" s="53">
        <v>10</v>
      </c>
      <c r="AS22" s="53" t="s">
        <v>113</v>
      </c>
      <c r="AT22" s="53" t="s">
        <v>113</v>
      </c>
      <c r="AU22" s="53" t="s">
        <v>113</v>
      </c>
      <c r="AV22" s="53">
        <v>0</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0</v>
      </c>
      <c r="F23" s="53">
        <v>0</v>
      </c>
      <c r="G23" s="53" t="s">
        <v>113</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v>0</v>
      </c>
      <c r="AI23" s="53" t="s">
        <v>113</v>
      </c>
      <c r="AJ23" s="53" t="s">
        <v>113</v>
      </c>
      <c r="AK23" s="53">
        <v>0</v>
      </c>
      <c r="AL23" s="53" t="s">
        <v>113</v>
      </c>
      <c r="AM23" s="53" t="s">
        <v>113</v>
      </c>
      <c r="AN23" s="53" t="s">
        <v>113</v>
      </c>
      <c r="AO23" s="53">
        <v>0</v>
      </c>
      <c r="AP23" s="53" t="s">
        <v>113</v>
      </c>
      <c r="AQ23" s="53" t="s">
        <v>113</v>
      </c>
      <c r="AR23" s="53">
        <v>0</v>
      </c>
      <c r="AS23" s="53" t="s">
        <v>113</v>
      </c>
      <c r="AT23" s="53" t="s">
        <v>113</v>
      </c>
      <c r="AU23" s="53" t="s">
        <v>113</v>
      </c>
      <c r="AV23" s="53">
        <v>0</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1</v>
      </c>
      <c r="F24" s="53">
        <v>6</v>
      </c>
      <c r="G24" s="53" t="s">
        <v>113</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v>0</v>
      </c>
      <c r="AI24" s="53" t="s">
        <v>113</v>
      </c>
      <c r="AJ24" s="53" t="s">
        <v>113</v>
      </c>
      <c r="AK24" s="53">
        <v>2</v>
      </c>
      <c r="AL24" s="53" t="s">
        <v>113</v>
      </c>
      <c r="AM24" s="53" t="s">
        <v>113</v>
      </c>
      <c r="AN24" s="53" t="s">
        <v>113</v>
      </c>
      <c r="AO24" s="53">
        <v>0</v>
      </c>
      <c r="AP24" s="53" t="s">
        <v>113</v>
      </c>
      <c r="AQ24" s="53" t="s">
        <v>113</v>
      </c>
      <c r="AR24" s="53">
        <v>5</v>
      </c>
      <c r="AS24" s="53" t="s">
        <v>113</v>
      </c>
      <c r="AT24" s="53" t="s">
        <v>113</v>
      </c>
      <c r="AU24" s="53" t="s">
        <v>113</v>
      </c>
      <c r="AV24" s="53">
        <v>0</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1</v>
      </c>
      <c r="F25" s="53">
        <v>4</v>
      </c>
      <c r="G25" s="53" t="s">
        <v>113</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v>2</v>
      </c>
      <c r="AI25" s="53" t="s">
        <v>113</v>
      </c>
      <c r="AJ25" s="53" t="s">
        <v>113</v>
      </c>
      <c r="AK25" s="53">
        <v>1</v>
      </c>
      <c r="AL25" s="53" t="s">
        <v>113</v>
      </c>
      <c r="AM25" s="53" t="s">
        <v>113</v>
      </c>
      <c r="AN25" s="53" t="s">
        <v>113</v>
      </c>
      <c r="AO25" s="53">
        <v>0</v>
      </c>
      <c r="AP25" s="53" t="s">
        <v>113</v>
      </c>
      <c r="AQ25" s="53" t="s">
        <v>113</v>
      </c>
      <c r="AR25" s="53">
        <v>6</v>
      </c>
      <c r="AS25" s="53" t="s">
        <v>113</v>
      </c>
      <c r="AT25" s="53" t="s">
        <v>113</v>
      </c>
      <c r="AU25" s="53" t="s">
        <v>113</v>
      </c>
      <c r="AV25" s="53">
        <v>0</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1</v>
      </c>
      <c r="F26" s="53">
        <v>3</v>
      </c>
      <c r="G26" s="53" t="s">
        <v>113</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v>0</v>
      </c>
      <c r="AI26" s="53" t="s">
        <v>113</v>
      </c>
      <c r="AJ26" s="53" t="s">
        <v>113</v>
      </c>
      <c r="AK26" s="53">
        <v>4</v>
      </c>
      <c r="AL26" s="53" t="s">
        <v>113</v>
      </c>
      <c r="AM26" s="53" t="s">
        <v>113</v>
      </c>
      <c r="AN26" s="53" t="s">
        <v>113</v>
      </c>
      <c r="AO26" s="53">
        <v>0</v>
      </c>
      <c r="AP26" s="53" t="s">
        <v>113</v>
      </c>
      <c r="AQ26" s="53" t="s">
        <v>113</v>
      </c>
      <c r="AR26" s="53">
        <v>8</v>
      </c>
      <c r="AS26" s="53" t="s">
        <v>113</v>
      </c>
      <c r="AT26" s="53" t="s">
        <v>113</v>
      </c>
      <c r="AU26" s="53" t="s">
        <v>113</v>
      </c>
      <c r="AV26" s="53">
        <v>0</v>
      </c>
      <c r="AW26" s="53">
        <v>0</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1</v>
      </c>
      <c r="F27" s="53">
        <v>4</v>
      </c>
      <c r="G27" s="53" t="s">
        <v>113</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v>0</v>
      </c>
      <c r="AI27" s="53" t="s">
        <v>113</v>
      </c>
      <c r="AJ27" s="53" t="s">
        <v>113</v>
      </c>
      <c r="AK27" s="53">
        <v>1</v>
      </c>
      <c r="AL27" s="53" t="s">
        <v>113</v>
      </c>
      <c r="AM27" s="53" t="s">
        <v>113</v>
      </c>
      <c r="AN27" s="53" t="s">
        <v>113</v>
      </c>
      <c r="AO27" s="53">
        <v>0</v>
      </c>
      <c r="AP27" s="53" t="s">
        <v>113</v>
      </c>
      <c r="AQ27" s="53" t="s">
        <v>113</v>
      </c>
      <c r="AR27" s="53">
        <v>5</v>
      </c>
      <c r="AS27" s="53" t="s">
        <v>113</v>
      </c>
      <c r="AT27" s="53" t="s">
        <v>113</v>
      </c>
      <c r="AU27" s="53" t="s">
        <v>113</v>
      </c>
      <c r="AV27" s="53">
        <v>0</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v>0</v>
      </c>
      <c r="G28" s="53" t="s">
        <v>113</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v>0</v>
      </c>
      <c r="AI28" s="53" t="s">
        <v>113</v>
      </c>
      <c r="AJ28" s="53" t="s">
        <v>113</v>
      </c>
      <c r="AK28" s="53">
        <v>0</v>
      </c>
      <c r="AL28" s="53" t="s">
        <v>113</v>
      </c>
      <c r="AM28" s="53" t="s">
        <v>113</v>
      </c>
      <c r="AN28" s="53" t="s">
        <v>113</v>
      </c>
      <c r="AO28" s="53">
        <v>0</v>
      </c>
      <c r="AP28" s="53" t="s">
        <v>113</v>
      </c>
      <c r="AQ28" s="53" t="s">
        <v>113</v>
      </c>
      <c r="AR28" s="53">
        <v>0</v>
      </c>
      <c r="AS28" s="53" t="s">
        <v>113</v>
      </c>
      <c r="AT28" s="53" t="s">
        <v>113</v>
      </c>
      <c r="AU28" s="53" t="s">
        <v>113</v>
      </c>
      <c r="AV28" s="53">
        <v>0</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1</v>
      </c>
      <c r="F29" s="53">
        <v>5</v>
      </c>
      <c r="G29" s="53" t="s">
        <v>113</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v>0</v>
      </c>
      <c r="AI29" s="53" t="s">
        <v>113</v>
      </c>
      <c r="AJ29" s="53" t="s">
        <v>113</v>
      </c>
      <c r="AK29" s="53">
        <v>1</v>
      </c>
      <c r="AL29" s="53" t="s">
        <v>113</v>
      </c>
      <c r="AM29" s="53" t="s">
        <v>113</v>
      </c>
      <c r="AN29" s="53" t="s">
        <v>113</v>
      </c>
      <c r="AO29" s="53">
        <v>0</v>
      </c>
      <c r="AP29" s="53" t="s">
        <v>113</v>
      </c>
      <c r="AQ29" s="53" t="s">
        <v>113</v>
      </c>
      <c r="AR29" s="53">
        <v>1</v>
      </c>
      <c r="AS29" s="53" t="s">
        <v>113</v>
      </c>
      <c r="AT29" s="53" t="s">
        <v>113</v>
      </c>
      <c r="AU29" s="53" t="s">
        <v>113</v>
      </c>
      <c r="AV29" s="53">
        <v>0</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1</v>
      </c>
      <c r="F30" s="53">
        <v>1</v>
      </c>
      <c r="G30" s="53" t="s">
        <v>113</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v>0</v>
      </c>
      <c r="AI30" s="53" t="s">
        <v>113</v>
      </c>
      <c r="AJ30" s="53" t="s">
        <v>113</v>
      </c>
      <c r="AK30" s="53">
        <v>0</v>
      </c>
      <c r="AL30" s="53" t="s">
        <v>113</v>
      </c>
      <c r="AM30" s="53" t="s">
        <v>113</v>
      </c>
      <c r="AN30" s="53" t="s">
        <v>113</v>
      </c>
      <c r="AO30" s="53">
        <v>0</v>
      </c>
      <c r="AP30" s="53" t="s">
        <v>113</v>
      </c>
      <c r="AQ30" s="53" t="s">
        <v>113</v>
      </c>
      <c r="AR30" s="53">
        <v>3</v>
      </c>
      <c r="AS30" s="53" t="s">
        <v>113</v>
      </c>
      <c r="AT30" s="53" t="s">
        <v>113</v>
      </c>
      <c r="AU30" s="53" t="s">
        <v>113</v>
      </c>
      <c r="AV30" s="53">
        <v>0</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1</v>
      </c>
      <c r="F31" s="53">
        <v>0</v>
      </c>
      <c r="G31" s="53" t="s">
        <v>113</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v>0</v>
      </c>
      <c r="AI31" s="53" t="s">
        <v>113</v>
      </c>
      <c r="AJ31" s="53" t="s">
        <v>113</v>
      </c>
      <c r="AK31" s="53">
        <v>2</v>
      </c>
      <c r="AL31" s="53" t="s">
        <v>113</v>
      </c>
      <c r="AM31" s="53" t="s">
        <v>113</v>
      </c>
      <c r="AN31" s="53" t="s">
        <v>113</v>
      </c>
      <c r="AO31" s="53">
        <v>0</v>
      </c>
      <c r="AP31" s="53" t="s">
        <v>113</v>
      </c>
      <c r="AQ31" s="53" t="s">
        <v>113</v>
      </c>
      <c r="AR31" s="53">
        <v>0</v>
      </c>
      <c r="AS31" s="53" t="s">
        <v>113</v>
      </c>
      <c r="AT31" s="53" t="s">
        <v>113</v>
      </c>
      <c r="AU31" s="53" t="s">
        <v>113</v>
      </c>
      <c r="AV31" s="53">
        <v>0</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1</v>
      </c>
      <c r="F32" s="53">
        <v>0</v>
      </c>
      <c r="G32" s="53" t="s">
        <v>113</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v>0</v>
      </c>
      <c r="AI32" s="53" t="s">
        <v>113</v>
      </c>
      <c r="AJ32" s="53" t="s">
        <v>113</v>
      </c>
      <c r="AK32" s="53">
        <v>2</v>
      </c>
      <c r="AL32" s="53" t="s">
        <v>113</v>
      </c>
      <c r="AM32" s="53" t="s">
        <v>113</v>
      </c>
      <c r="AN32" s="53" t="s">
        <v>113</v>
      </c>
      <c r="AO32" s="53">
        <v>0</v>
      </c>
      <c r="AP32" s="53" t="s">
        <v>113</v>
      </c>
      <c r="AQ32" s="53" t="s">
        <v>113</v>
      </c>
      <c r="AR32" s="53">
        <v>2</v>
      </c>
      <c r="AS32" s="53" t="s">
        <v>113</v>
      </c>
      <c r="AT32" s="53" t="s">
        <v>113</v>
      </c>
      <c r="AU32" s="53" t="s">
        <v>113</v>
      </c>
      <c r="AV32" s="53">
        <v>0</v>
      </c>
      <c r="AW32" s="53">
        <v>0</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1</v>
      </c>
      <c r="F33" s="53">
        <v>1</v>
      </c>
      <c r="G33" s="53" t="s">
        <v>113</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v>0</v>
      </c>
      <c r="AI33" s="53" t="s">
        <v>113</v>
      </c>
      <c r="AJ33" s="53" t="s">
        <v>113</v>
      </c>
      <c r="AK33" s="53">
        <v>0</v>
      </c>
      <c r="AL33" s="53" t="s">
        <v>113</v>
      </c>
      <c r="AM33" s="53" t="s">
        <v>113</v>
      </c>
      <c r="AN33" s="53" t="s">
        <v>113</v>
      </c>
      <c r="AO33" s="53">
        <v>0</v>
      </c>
      <c r="AP33" s="53" t="s">
        <v>113</v>
      </c>
      <c r="AQ33" s="53" t="s">
        <v>113</v>
      </c>
      <c r="AR33" s="53">
        <v>1</v>
      </c>
      <c r="AS33" s="53" t="s">
        <v>113</v>
      </c>
      <c r="AT33" s="53" t="s">
        <v>113</v>
      </c>
      <c r="AU33" s="53" t="s">
        <v>113</v>
      </c>
      <c r="AV33" s="53">
        <v>0</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1</v>
      </c>
      <c r="F34" s="53">
        <v>2</v>
      </c>
      <c r="G34" s="53" t="s">
        <v>113</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v>0</v>
      </c>
      <c r="AI34" s="53" t="s">
        <v>113</v>
      </c>
      <c r="AJ34" s="53" t="s">
        <v>113</v>
      </c>
      <c r="AK34" s="53">
        <v>2</v>
      </c>
      <c r="AL34" s="53" t="s">
        <v>113</v>
      </c>
      <c r="AM34" s="53" t="s">
        <v>113</v>
      </c>
      <c r="AN34" s="53" t="s">
        <v>113</v>
      </c>
      <c r="AO34" s="53">
        <v>0</v>
      </c>
      <c r="AP34" s="53" t="s">
        <v>113</v>
      </c>
      <c r="AQ34" s="53" t="s">
        <v>113</v>
      </c>
      <c r="AR34" s="53">
        <v>1</v>
      </c>
      <c r="AS34" s="53" t="s">
        <v>113</v>
      </c>
      <c r="AT34" s="53" t="s">
        <v>113</v>
      </c>
      <c r="AU34" s="53" t="s">
        <v>113</v>
      </c>
      <c r="AV34" s="53">
        <v>0</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3</v>
      </c>
      <c r="F35" s="53">
        <v>4</v>
      </c>
      <c r="G35" s="53" t="s">
        <v>113</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v>0</v>
      </c>
      <c r="AI35" s="53" t="s">
        <v>113</v>
      </c>
      <c r="AJ35" s="53" t="s">
        <v>113</v>
      </c>
      <c r="AK35" s="53">
        <v>3</v>
      </c>
      <c r="AL35" s="53" t="s">
        <v>113</v>
      </c>
      <c r="AM35" s="53" t="s">
        <v>113</v>
      </c>
      <c r="AN35" s="53" t="s">
        <v>113</v>
      </c>
      <c r="AO35" s="53">
        <v>0</v>
      </c>
      <c r="AP35" s="53" t="s">
        <v>113</v>
      </c>
      <c r="AQ35" s="53" t="s">
        <v>113</v>
      </c>
      <c r="AR35" s="53">
        <v>1</v>
      </c>
      <c r="AS35" s="53" t="s">
        <v>113</v>
      </c>
      <c r="AT35" s="53" t="s">
        <v>113</v>
      </c>
      <c r="AU35" s="53" t="s">
        <v>113</v>
      </c>
      <c r="AV35" s="53">
        <v>0</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0</v>
      </c>
      <c r="F36" s="53">
        <v>0</v>
      </c>
      <c r="G36" s="53" t="s">
        <v>113</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v>0</v>
      </c>
      <c r="AI36" s="53" t="s">
        <v>113</v>
      </c>
      <c r="AJ36" s="53" t="s">
        <v>113</v>
      </c>
      <c r="AK36" s="53">
        <v>0</v>
      </c>
      <c r="AL36" s="53" t="s">
        <v>113</v>
      </c>
      <c r="AM36" s="53" t="s">
        <v>113</v>
      </c>
      <c r="AN36" s="53" t="s">
        <v>113</v>
      </c>
      <c r="AO36" s="53">
        <v>0</v>
      </c>
      <c r="AP36" s="53" t="s">
        <v>113</v>
      </c>
      <c r="AQ36" s="53" t="s">
        <v>113</v>
      </c>
      <c r="AR36" s="53">
        <v>2</v>
      </c>
      <c r="AS36" s="53" t="s">
        <v>113</v>
      </c>
      <c r="AT36" s="53" t="s">
        <v>113</v>
      </c>
      <c r="AU36" s="53" t="s">
        <v>113</v>
      </c>
      <c r="AV36" s="53">
        <v>0</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v>0</v>
      </c>
      <c r="G37" s="53" t="s">
        <v>113</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v>0</v>
      </c>
      <c r="AI37" s="53" t="s">
        <v>113</v>
      </c>
      <c r="AJ37" s="53" t="s">
        <v>113</v>
      </c>
      <c r="AK37" s="53">
        <v>0</v>
      </c>
      <c r="AL37" s="53" t="s">
        <v>113</v>
      </c>
      <c r="AM37" s="53" t="s">
        <v>113</v>
      </c>
      <c r="AN37" s="53" t="s">
        <v>113</v>
      </c>
      <c r="AO37" s="53">
        <v>0</v>
      </c>
      <c r="AP37" s="53" t="s">
        <v>113</v>
      </c>
      <c r="AQ37" s="53" t="s">
        <v>113</v>
      </c>
      <c r="AR37" s="53">
        <v>0</v>
      </c>
      <c r="AS37" s="53" t="s">
        <v>113</v>
      </c>
      <c r="AT37" s="53" t="s">
        <v>113</v>
      </c>
      <c r="AU37" s="53" t="s">
        <v>113</v>
      </c>
      <c r="AV37" s="53">
        <v>0</v>
      </c>
      <c r="AW37" s="53">
        <v>0</v>
      </c>
      <c r="AX37" s="53" t="s">
        <v>113</v>
      </c>
      <c r="AY37" s="53" t="s">
        <v>113</v>
      </c>
      <c r="AZ37" s="53" t="s">
        <v>113</v>
      </c>
      <c r="BA37" s="53" t="s">
        <v>113</v>
      </c>
      <c r="BB37" s="53" t="s">
        <v>113</v>
      </c>
      <c r="BC37" s="53" t="s">
        <v>113</v>
      </c>
      <c r="BD37" s="53" t="s">
        <v>113</v>
      </c>
      <c r="BE37" s="53" t="s">
        <v>113</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6040-94D0-43FC-933A-2EEAC40101D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1</v>
      </c>
      <c r="F15" s="53">
        <v>2</v>
      </c>
      <c r="G15" s="53" t="s">
        <v>113</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v>0</v>
      </c>
      <c r="AI15" s="53" t="s">
        <v>113</v>
      </c>
      <c r="AJ15" s="53" t="s">
        <v>113</v>
      </c>
      <c r="AK15" s="53">
        <v>0</v>
      </c>
      <c r="AL15" s="53" t="s">
        <v>113</v>
      </c>
      <c r="AM15" s="53" t="s">
        <v>113</v>
      </c>
      <c r="AN15" s="53" t="s">
        <v>113</v>
      </c>
      <c r="AO15" s="53">
        <v>0</v>
      </c>
      <c r="AP15" s="53" t="s">
        <v>113</v>
      </c>
      <c r="AQ15" s="53" t="s">
        <v>113</v>
      </c>
      <c r="AR15" s="53">
        <v>2</v>
      </c>
      <c r="AS15" s="53" t="s">
        <v>113</v>
      </c>
      <c r="AT15" s="53" t="s">
        <v>113</v>
      </c>
      <c r="AU15" s="53" t="s">
        <v>113</v>
      </c>
      <c r="AV15" s="53">
        <v>0</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3</v>
      </c>
      <c r="F16" s="53">
        <v>0</v>
      </c>
      <c r="G16" s="53" t="s">
        <v>113</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v>0</v>
      </c>
      <c r="AI16" s="53" t="s">
        <v>113</v>
      </c>
      <c r="AJ16" s="53" t="s">
        <v>113</v>
      </c>
      <c r="AK16" s="53">
        <v>0</v>
      </c>
      <c r="AL16" s="53" t="s">
        <v>113</v>
      </c>
      <c r="AM16" s="53" t="s">
        <v>113</v>
      </c>
      <c r="AN16" s="53" t="s">
        <v>113</v>
      </c>
      <c r="AO16" s="53">
        <v>0</v>
      </c>
      <c r="AP16" s="53" t="s">
        <v>113</v>
      </c>
      <c r="AQ16" s="53" t="s">
        <v>113</v>
      </c>
      <c r="AR16" s="53">
        <v>0</v>
      </c>
      <c r="AS16" s="53" t="s">
        <v>113</v>
      </c>
      <c r="AT16" s="53" t="s">
        <v>113</v>
      </c>
      <c r="AU16" s="53" t="s">
        <v>113</v>
      </c>
      <c r="AV16" s="53">
        <v>0</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4</v>
      </c>
      <c r="F17" s="53">
        <v>2</v>
      </c>
      <c r="G17" s="53" t="s">
        <v>113</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v>0</v>
      </c>
      <c r="AI17" s="53" t="s">
        <v>113</v>
      </c>
      <c r="AJ17" s="53" t="s">
        <v>113</v>
      </c>
      <c r="AK17" s="53">
        <v>1</v>
      </c>
      <c r="AL17" s="53" t="s">
        <v>113</v>
      </c>
      <c r="AM17" s="53" t="s">
        <v>113</v>
      </c>
      <c r="AN17" s="53" t="s">
        <v>113</v>
      </c>
      <c r="AO17" s="53">
        <v>0</v>
      </c>
      <c r="AP17" s="53" t="s">
        <v>113</v>
      </c>
      <c r="AQ17" s="53" t="s">
        <v>113</v>
      </c>
      <c r="AR17" s="53">
        <v>2</v>
      </c>
      <c r="AS17" s="53" t="s">
        <v>113</v>
      </c>
      <c r="AT17" s="53" t="s">
        <v>113</v>
      </c>
      <c r="AU17" s="53" t="s">
        <v>113</v>
      </c>
      <c r="AV17" s="53">
        <v>1</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4</v>
      </c>
      <c r="F18" s="53">
        <v>1</v>
      </c>
      <c r="G18" s="53" t="s">
        <v>113</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v>0</v>
      </c>
      <c r="AI18" s="53" t="s">
        <v>113</v>
      </c>
      <c r="AJ18" s="53" t="s">
        <v>113</v>
      </c>
      <c r="AK18" s="53">
        <v>2</v>
      </c>
      <c r="AL18" s="53" t="s">
        <v>113</v>
      </c>
      <c r="AM18" s="53" t="s">
        <v>113</v>
      </c>
      <c r="AN18" s="53" t="s">
        <v>113</v>
      </c>
      <c r="AO18" s="53">
        <v>0</v>
      </c>
      <c r="AP18" s="53" t="s">
        <v>113</v>
      </c>
      <c r="AQ18" s="53" t="s">
        <v>113</v>
      </c>
      <c r="AR18" s="53">
        <v>1</v>
      </c>
      <c r="AS18" s="53" t="s">
        <v>113</v>
      </c>
      <c r="AT18" s="53" t="s">
        <v>113</v>
      </c>
      <c r="AU18" s="53" t="s">
        <v>113</v>
      </c>
      <c r="AV18" s="53">
        <v>0</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1</v>
      </c>
      <c r="F19" s="53">
        <v>2</v>
      </c>
      <c r="G19" s="53" t="s">
        <v>113</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v>0</v>
      </c>
      <c r="AI19" s="53" t="s">
        <v>113</v>
      </c>
      <c r="AJ19" s="53" t="s">
        <v>113</v>
      </c>
      <c r="AK19" s="53">
        <v>0</v>
      </c>
      <c r="AL19" s="53" t="s">
        <v>113</v>
      </c>
      <c r="AM19" s="53" t="s">
        <v>113</v>
      </c>
      <c r="AN19" s="53" t="s">
        <v>113</v>
      </c>
      <c r="AO19" s="53">
        <v>0</v>
      </c>
      <c r="AP19" s="53" t="s">
        <v>113</v>
      </c>
      <c r="AQ19" s="53" t="s">
        <v>113</v>
      </c>
      <c r="AR19" s="53">
        <v>1</v>
      </c>
      <c r="AS19" s="53" t="s">
        <v>113</v>
      </c>
      <c r="AT19" s="53" t="s">
        <v>113</v>
      </c>
      <c r="AU19" s="53" t="s">
        <v>113</v>
      </c>
      <c r="AV19" s="53">
        <v>0</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0</v>
      </c>
      <c r="F20" s="53">
        <v>1</v>
      </c>
      <c r="G20" s="53" t="s">
        <v>113</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v>0</v>
      </c>
      <c r="AI20" s="53" t="s">
        <v>113</v>
      </c>
      <c r="AJ20" s="53" t="s">
        <v>113</v>
      </c>
      <c r="AK20" s="53">
        <v>1</v>
      </c>
      <c r="AL20" s="53" t="s">
        <v>113</v>
      </c>
      <c r="AM20" s="53" t="s">
        <v>113</v>
      </c>
      <c r="AN20" s="53" t="s">
        <v>113</v>
      </c>
      <c r="AO20" s="53">
        <v>0</v>
      </c>
      <c r="AP20" s="53" t="s">
        <v>113</v>
      </c>
      <c r="AQ20" s="53" t="s">
        <v>113</v>
      </c>
      <c r="AR20" s="53">
        <v>1</v>
      </c>
      <c r="AS20" s="53" t="s">
        <v>113</v>
      </c>
      <c r="AT20" s="53" t="s">
        <v>113</v>
      </c>
      <c r="AU20" s="53" t="s">
        <v>113</v>
      </c>
      <c r="AV20" s="53">
        <v>0</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1</v>
      </c>
      <c r="F21" s="53">
        <v>2</v>
      </c>
      <c r="G21" s="53" t="s">
        <v>113</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v>0</v>
      </c>
      <c r="AI21" s="53" t="s">
        <v>113</v>
      </c>
      <c r="AJ21" s="53" t="s">
        <v>113</v>
      </c>
      <c r="AK21" s="53">
        <v>0</v>
      </c>
      <c r="AL21" s="53" t="s">
        <v>113</v>
      </c>
      <c r="AM21" s="53" t="s">
        <v>113</v>
      </c>
      <c r="AN21" s="53" t="s">
        <v>113</v>
      </c>
      <c r="AO21" s="53">
        <v>0</v>
      </c>
      <c r="AP21" s="53" t="s">
        <v>113</v>
      </c>
      <c r="AQ21" s="53" t="s">
        <v>113</v>
      </c>
      <c r="AR21" s="53">
        <v>3</v>
      </c>
      <c r="AS21" s="53" t="s">
        <v>113</v>
      </c>
      <c r="AT21" s="53" t="s">
        <v>113</v>
      </c>
      <c r="AU21" s="53" t="s">
        <v>113</v>
      </c>
      <c r="AV21" s="53">
        <v>0</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0</v>
      </c>
      <c r="F22" s="53">
        <v>0</v>
      </c>
      <c r="G22" s="53" t="s">
        <v>113</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v>0</v>
      </c>
      <c r="AI22" s="53" t="s">
        <v>113</v>
      </c>
      <c r="AJ22" s="53" t="s">
        <v>113</v>
      </c>
      <c r="AK22" s="53">
        <v>2</v>
      </c>
      <c r="AL22" s="53" t="s">
        <v>113</v>
      </c>
      <c r="AM22" s="53" t="s">
        <v>113</v>
      </c>
      <c r="AN22" s="53" t="s">
        <v>113</v>
      </c>
      <c r="AO22" s="53">
        <v>0</v>
      </c>
      <c r="AP22" s="53" t="s">
        <v>113</v>
      </c>
      <c r="AQ22" s="53" t="s">
        <v>113</v>
      </c>
      <c r="AR22" s="53">
        <v>0</v>
      </c>
      <c r="AS22" s="53" t="s">
        <v>113</v>
      </c>
      <c r="AT22" s="53" t="s">
        <v>113</v>
      </c>
      <c r="AU22" s="53" t="s">
        <v>113</v>
      </c>
      <c r="AV22" s="53">
        <v>0</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0</v>
      </c>
      <c r="F23" s="53">
        <v>0</v>
      </c>
      <c r="G23" s="53" t="s">
        <v>113</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v>0</v>
      </c>
      <c r="AI23" s="53" t="s">
        <v>113</v>
      </c>
      <c r="AJ23" s="53" t="s">
        <v>113</v>
      </c>
      <c r="AK23" s="53">
        <v>0</v>
      </c>
      <c r="AL23" s="53" t="s">
        <v>113</v>
      </c>
      <c r="AM23" s="53" t="s">
        <v>113</v>
      </c>
      <c r="AN23" s="53" t="s">
        <v>113</v>
      </c>
      <c r="AO23" s="53">
        <v>0</v>
      </c>
      <c r="AP23" s="53" t="s">
        <v>113</v>
      </c>
      <c r="AQ23" s="53" t="s">
        <v>113</v>
      </c>
      <c r="AR23" s="53">
        <v>0</v>
      </c>
      <c r="AS23" s="53" t="s">
        <v>113</v>
      </c>
      <c r="AT23" s="53" t="s">
        <v>113</v>
      </c>
      <c r="AU23" s="53" t="s">
        <v>113</v>
      </c>
      <c r="AV23" s="53">
        <v>0</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0</v>
      </c>
      <c r="F24" s="53">
        <v>0</v>
      </c>
      <c r="G24" s="53" t="s">
        <v>113</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v>0</v>
      </c>
      <c r="AI24" s="53" t="s">
        <v>113</v>
      </c>
      <c r="AJ24" s="53" t="s">
        <v>113</v>
      </c>
      <c r="AK24" s="53">
        <v>0</v>
      </c>
      <c r="AL24" s="53" t="s">
        <v>113</v>
      </c>
      <c r="AM24" s="53" t="s">
        <v>113</v>
      </c>
      <c r="AN24" s="53" t="s">
        <v>113</v>
      </c>
      <c r="AO24" s="53">
        <v>0</v>
      </c>
      <c r="AP24" s="53" t="s">
        <v>113</v>
      </c>
      <c r="AQ24" s="53" t="s">
        <v>113</v>
      </c>
      <c r="AR24" s="53">
        <v>0</v>
      </c>
      <c r="AS24" s="53" t="s">
        <v>113</v>
      </c>
      <c r="AT24" s="53" t="s">
        <v>113</v>
      </c>
      <c r="AU24" s="53" t="s">
        <v>113</v>
      </c>
      <c r="AV24" s="53">
        <v>0</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0</v>
      </c>
      <c r="F25" s="53">
        <v>0</v>
      </c>
      <c r="G25" s="53" t="s">
        <v>113</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v>0</v>
      </c>
      <c r="AI25" s="53" t="s">
        <v>113</v>
      </c>
      <c r="AJ25" s="53" t="s">
        <v>113</v>
      </c>
      <c r="AK25" s="53">
        <v>0</v>
      </c>
      <c r="AL25" s="53" t="s">
        <v>113</v>
      </c>
      <c r="AM25" s="53" t="s">
        <v>113</v>
      </c>
      <c r="AN25" s="53" t="s">
        <v>113</v>
      </c>
      <c r="AO25" s="53">
        <v>0</v>
      </c>
      <c r="AP25" s="53" t="s">
        <v>113</v>
      </c>
      <c r="AQ25" s="53" t="s">
        <v>113</v>
      </c>
      <c r="AR25" s="53">
        <v>0</v>
      </c>
      <c r="AS25" s="53" t="s">
        <v>113</v>
      </c>
      <c r="AT25" s="53" t="s">
        <v>113</v>
      </c>
      <c r="AU25" s="53" t="s">
        <v>113</v>
      </c>
      <c r="AV25" s="53">
        <v>0</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1</v>
      </c>
      <c r="F26" s="53">
        <v>0</v>
      </c>
      <c r="G26" s="53" t="s">
        <v>113</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v>0</v>
      </c>
      <c r="AI26" s="53" t="s">
        <v>113</v>
      </c>
      <c r="AJ26" s="53" t="s">
        <v>113</v>
      </c>
      <c r="AK26" s="53">
        <v>1</v>
      </c>
      <c r="AL26" s="53" t="s">
        <v>113</v>
      </c>
      <c r="AM26" s="53" t="s">
        <v>113</v>
      </c>
      <c r="AN26" s="53" t="s">
        <v>113</v>
      </c>
      <c r="AO26" s="53">
        <v>0</v>
      </c>
      <c r="AP26" s="53" t="s">
        <v>113</v>
      </c>
      <c r="AQ26" s="53" t="s">
        <v>113</v>
      </c>
      <c r="AR26" s="53">
        <v>1</v>
      </c>
      <c r="AS26" s="53" t="s">
        <v>113</v>
      </c>
      <c r="AT26" s="53" t="s">
        <v>113</v>
      </c>
      <c r="AU26" s="53" t="s">
        <v>113</v>
      </c>
      <c r="AV26" s="53">
        <v>0</v>
      </c>
      <c r="AW26" s="53">
        <v>0</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0</v>
      </c>
      <c r="F27" s="53">
        <v>0</v>
      </c>
      <c r="G27" s="53" t="s">
        <v>113</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v>0</v>
      </c>
      <c r="AI27" s="53" t="s">
        <v>113</v>
      </c>
      <c r="AJ27" s="53" t="s">
        <v>113</v>
      </c>
      <c r="AK27" s="53">
        <v>2</v>
      </c>
      <c r="AL27" s="53" t="s">
        <v>113</v>
      </c>
      <c r="AM27" s="53" t="s">
        <v>113</v>
      </c>
      <c r="AN27" s="53" t="s">
        <v>113</v>
      </c>
      <c r="AO27" s="53">
        <v>0</v>
      </c>
      <c r="AP27" s="53" t="s">
        <v>113</v>
      </c>
      <c r="AQ27" s="53" t="s">
        <v>113</v>
      </c>
      <c r="AR27" s="53">
        <v>1</v>
      </c>
      <c r="AS27" s="53" t="s">
        <v>113</v>
      </c>
      <c r="AT27" s="53" t="s">
        <v>113</v>
      </c>
      <c r="AU27" s="53" t="s">
        <v>113</v>
      </c>
      <c r="AV27" s="53">
        <v>0</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v>0</v>
      </c>
      <c r="G28" s="53" t="s">
        <v>113</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v>0</v>
      </c>
      <c r="AI28" s="53" t="s">
        <v>113</v>
      </c>
      <c r="AJ28" s="53" t="s">
        <v>113</v>
      </c>
      <c r="AK28" s="53">
        <v>0</v>
      </c>
      <c r="AL28" s="53" t="s">
        <v>113</v>
      </c>
      <c r="AM28" s="53" t="s">
        <v>113</v>
      </c>
      <c r="AN28" s="53" t="s">
        <v>113</v>
      </c>
      <c r="AO28" s="53">
        <v>0</v>
      </c>
      <c r="AP28" s="53" t="s">
        <v>113</v>
      </c>
      <c r="AQ28" s="53" t="s">
        <v>113</v>
      </c>
      <c r="AR28" s="53">
        <v>0</v>
      </c>
      <c r="AS28" s="53" t="s">
        <v>113</v>
      </c>
      <c r="AT28" s="53" t="s">
        <v>113</v>
      </c>
      <c r="AU28" s="53" t="s">
        <v>113</v>
      </c>
      <c r="AV28" s="53">
        <v>0</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0</v>
      </c>
      <c r="F29" s="53">
        <v>0</v>
      </c>
      <c r="G29" s="53" t="s">
        <v>113</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v>0</v>
      </c>
      <c r="AI29" s="53" t="s">
        <v>113</v>
      </c>
      <c r="AJ29" s="53" t="s">
        <v>113</v>
      </c>
      <c r="AK29" s="53">
        <v>2</v>
      </c>
      <c r="AL29" s="53" t="s">
        <v>113</v>
      </c>
      <c r="AM29" s="53" t="s">
        <v>113</v>
      </c>
      <c r="AN29" s="53" t="s">
        <v>113</v>
      </c>
      <c r="AO29" s="53">
        <v>0</v>
      </c>
      <c r="AP29" s="53" t="s">
        <v>113</v>
      </c>
      <c r="AQ29" s="53" t="s">
        <v>113</v>
      </c>
      <c r="AR29" s="53">
        <v>0</v>
      </c>
      <c r="AS29" s="53" t="s">
        <v>113</v>
      </c>
      <c r="AT29" s="53" t="s">
        <v>113</v>
      </c>
      <c r="AU29" s="53" t="s">
        <v>113</v>
      </c>
      <c r="AV29" s="53">
        <v>0</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1</v>
      </c>
      <c r="F30" s="53">
        <v>1</v>
      </c>
      <c r="G30" s="53" t="s">
        <v>113</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v>0</v>
      </c>
      <c r="AI30" s="53" t="s">
        <v>113</v>
      </c>
      <c r="AJ30" s="53" t="s">
        <v>113</v>
      </c>
      <c r="AK30" s="53">
        <v>2</v>
      </c>
      <c r="AL30" s="53" t="s">
        <v>113</v>
      </c>
      <c r="AM30" s="53" t="s">
        <v>113</v>
      </c>
      <c r="AN30" s="53" t="s">
        <v>113</v>
      </c>
      <c r="AO30" s="53">
        <v>0</v>
      </c>
      <c r="AP30" s="53" t="s">
        <v>113</v>
      </c>
      <c r="AQ30" s="53" t="s">
        <v>113</v>
      </c>
      <c r="AR30" s="53">
        <v>2</v>
      </c>
      <c r="AS30" s="53" t="s">
        <v>113</v>
      </c>
      <c r="AT30" s="53" t="s">
        <v>113</v>
      </c>
      <c r="AU30" s="53" t="s">
        <v>113</v>
      </c>
      <c r="AV30" s="53">
        <v>0</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1</v>
      </c>
      <c r="F31" s="53">
        <v>1</v>
      </c>
      <c r="G31" s="53" t="s">
        <v>113</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v>1</v>
      </c>
      <c r="AI31" s="53" t="s">
        <v>113</v>
      </c>
      <c r="AJ31" s="53" t="s">
        <v>113</v>
      </c>
      <c r="AK31" s="53">
        <v>4</v>
      </c>
      <c r="AL31" s="53" t="s">
        <v>113</v>
      </c>
      <c r="AM31" s="53" t="s">
        <v>113</v>
      </c>
      <c r="AN31" s="53" t="s">
        <v>113</v>
      </c>
      <c r="AO31" s="53">
        <v>0</v>
      </c>
      <c r="AP31" s="53" t="s">
        <v>113</v>
      </c>
      <c r="AQ31" s="53" t="s">
        <v>113</v>
      </c>
      <c r="AR31" s="53">
        <v>2</v>
      </c>
      <c r="AS31" s="53" t="s">
        <v>113</v>
      </c>
      <c r="AT31" s="53" t="s">
        <v>113</v>
      </c>
      <c r="AU31" s="53" t="s">
        <v>113</v>
      </c>
      <c r="AV31" s="53">
        <v>0</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2</v>
      </c>
      <c r="F32" s="53">
        <v>0</v>
      </c>
      <c r="G32" s="53" t="s">
        <v>113</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v>0</v>
      </c>
      <c r="AI32" s="53" t="s">
        <v>113</v>
      </c>
      <c r="AJ32" s="53" t="s">
        <v>113</v>
      </c>
      <c r="AK32" s="53">
        <v>3</v>
      </c>
      <c r="AL32" s="53" t="s">
        <v>113</v>
      </c>
      <c r="AM32" s="53" t="s">
        <v>113</v>
      </c>
      <c r="AN32" s="53" t="s">
        <v>113</v>
      </c>
      <c r="AO32" s="53">
        <v>0</v>
      </c>
      <c r="AP32" s="53" t="s">
        <v>113</v>
      </c>
      <c r="AQ32" s="53" t="s">
        <v>113</v>
      </c>
      <c r="AR32" s="53">
        <v>2</v>
      </c>
      <c r="AS32" s="53" t="s">
        <v>113</v>
      </c>
      <c r="AT32" s="53" t="s">
        <v>113</v>
      </c>
      <c r="AU32" s="53" t="s">
        <v>113</v>
      </c>
      <c r="AV32" s="53">
        <v>0</v>
      </c>
      <c r="AW32" s="53">
        <v>0</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0</v>
      </c>
      <c r="F33" s="53">
        <v>2</v>
      </c>
      <c r="G33" s="53" t="s">
        <v>113</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v>0</v>
      </c>
      <c r="AI33" s="53" t="s">
        <v>113</v>
      </c>
      <c r="AJ33" s="53" t="s">
        <v>113</v>
      </c>
      <c r="AK33" s="53">
        <v>2</v>
      </c>
      <c r="AL33" s="53" t="s">
        <v>113</v>
      </c>
      <c r="AM33" s="53" t="s">
        <v>113</v>
      </c>
      <c r="AN33" s="53" t="s">
        <v>113</v>
      </c>
      <c r="AO33" s="53">
        <v>0</v>
      </c>
      <c r="AP33" s="53" t="s">
        <v>113</v>
      </c>
      <c r="AQ33" s="53" t="s">
        <v>113</v>
      </c>
      <c r="AR33" s="53">
        <v>1</v>
      </c>
      <c r="AS33" s="53" t="s">
        <v>113</v>
      </c>
      <c r="AT33" s="53" t="s">
        <v>113</v>
      </c>
      <c r="AU33" s="53" t="s">
        <v>113</v>
      </c>
      <c r="AV33" s="53">
        <v>0</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0</v>
      </c>
      <c r="F34" s="53">
        <v>0</v>
      </c>
      <c r="G34" s="53" t="s">
        <v>113</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v>0</v>
      </c>
      <c r="AI34" s="53" t="s">
        <v>113</v>
      </c>
      <c r="AJ34" s="53" t="s">
        <v>113</v>
      </c>
      <c r="AK34" s="53">
        <v>3</v>
      </c>
      <c r="AL34" s="53" t="s">
        <v>113</v>
      </c>
      <c r="AM34" s="53" t="s">
        <v>113</v>
      </c>
      <c r="AN34" s="53" t="s">
        <v>113</v>
      </c>
      <c r="AO34" s="53">
        <v>0</v>
      </c>
      <c r="AP34" s="53" t="s">
        <v>113</v>
      </c>
      <c r="AQ34" s="53" t="s">
        <v>113</v>
      </c>
      <c r="AR34" s="53">
        <v>0</v>
      </c>
      <c r="AS34" s="53" t="s">
        <v>113</v>
      </c>
      <c r="AT34" s="53" t="s">
        <v>113</v>
      </c>
      <c r="AU34" s="53" t="s">
        <v>113</v>
      </c>
      <c r="AV34" s="53">
        <v>0</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0</v>
      </c>
      <c r="F35" s="53">
        <v>2</v>
      </c>
      <c r="G35" s="53" t="s">
        <v>113</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v>0</v>
      </c>
      <c r="AI35" s="53" t="s">
        <v>113</v>
      </c>
      <c r="AJ35" s="53" t="s">
        <v>113</v>
      </c>
      <c r="AK35" s="53">
        <v>6</v>
      </c>
      <c r="AL35" s="53" t="s">
        <v>113</v>
      </c>
      <c r="AM35" s="53" t="s">
        <v>113</v>
      </c>
      <c r="AN35" s="53" t="s">
        <v>113</v>
      </c>
      <c r="AO35" s="53">
        <v>0</v>
      </c>
      <c r="AP35" s="53" t="s">
        <v>113</v>
      </c>
      <c r="AQ35" s="53" t="s">
        <v>113</v>
      </c>
      <c r="AR35" s="53">
        <v>2</v>
      </c>
      <c r="AS35" s="53" t="s">
        <v>113</v>
      </c>
      <c r="AT35" s="53" t="s">
        <v>113</v>
      </c>
      <c r="AU35" s="53" t="s">
        <v>113</v>
      </c>
      <c r="AV35" s="53">
        <v>0</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0</v>
      </c>
      <c r="F36" s="53">
        <v>0</v>
      </c>
      <c r="G36" s="53" t="s">
        <v>113</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v>0</v>
      </c>
      <c r="AI36" s="53" t="s">
        <v>113</v>
      </c>
      <c r="AJ36" s="53" t="s">
        <v>113</v>
      </c>
      <c r="AK36" s="53">
        <v>2</v>
      </c>
      <c r="AL36" s="53" t="s">
        <v>113</v>
      </c>
      <c r="AM36" s="53" t="s">
        <v>113</v>
      </c>
      <c r="AN36" s="53" t="s">
        <v>113</v>
      </c>
      <c r="AO36" s="53">
        <v>0</v>
      </c>
      <c r="AP36" s="53" t="s">
        <v>113</v>
      </c>
      <c r="AQ36" s="53" t="s">
        <v>113</v>
      </c>
      <c r="AR36" s="53">
        <v>4</v>
      </c>
      <c r="AS36" s="53" t="s">
        <v>113</v>
      </c>
      <c r="AT36" s="53" t="s">
        <v>113</v>
      </c>
      <c r="AU36" s="53" t="s">
        <v>113</v>
      </c>
      <c r="AV36" s="53">
        <v>0</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v>0</v>
      </c>
      <c r="G37" s="53" t="s">
        <v>113</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v>0</v>
      </c>
      <c r="AI37" s="53" t="s">
        <v>113</v>
      </c>
      <c r="AJ37" s="53" t="s">
        <v>113</v>
      </c>
      <c r="AK37" s="53">
        <v>0</v>
      </c>
      <c r="AL37" s="53" t="s">
        <v>113</v>
      </c>
      <c r="AM37" s="53" t="s">
        <v>113</v>
      </c>
      <c r="AN37" s="53" t="s">
        <v>113</v>
      </c>
      <c r="AO37" s="53">
        <v>0</v>
      </c>
      <c r="AP37" s="53" t="s">
        <v>113</v>
      </c>
      <c r="AQ37" s="53" t="s">
        <v>113</v>
      </c>
      <c r="AR37" s="53">
        <v>0</v>
      </c>
      <c r="AS37" s="53" t="s">
        <v>113</v>
      </c>
      <c r="AT37" s="53" t="s">
        <v>113</v>
      </c>
      <c r="AU37" s="53" t="s">
        <v>113</v>
      </c>
      <c r="AV37" s="53">
        <v>0</v>
      </c>
      <c r="AW37" s="53">
        <v>0</v>
      </c>
      <c r="AX37" s="53" t="s">
        <v>113</v>
      </c>
      <c r="AY37" s="53" t="s">
        <v>113</v>
      </c>
      <c r="AZ37" s="53" t="s">
        <v>113</v>
      </c>
      <c r="BA37" s="53" t="s">
        <v>113</v>
      </c>
      <c r="BB37" s="53" t="s">
        <v>113</v>
      </c>
      <c r="BC37" s="53" t="s">
        <v>113</v>
      </c>
      <c r="BD37" s="53" t="s">
        <v>113</v>
      </c>
      <c r="BE37" s="53" t="s">
        <v>113</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B81AA-79C2-4350-8B7C-BA43AC7FD37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v>39</v>
      </c>
      <c r="F15" s="53">
        <v>150</v>
      </c>
      <c r="G15" s="53" t="s">
        <v>113</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v>3</v>
      </c>
      <c r="AI15" s="53" t="s">
        <v>113</v>
      </c>
      <c r="AJ15" s="53" t="s">
        <v>113</v>
      </c>
      <c r="AK15" s="53">
        <v>11</v>
      </c>
      <c r="AL15" s="53" t="s">
        <v>113</v>
      </c>
      <c r="AM15" s="53" t="s">
        <v>113</v>
      </c>
      <c r="AN15" s="53" t="s">
        <v>113</v>
      </c>
      <c r="AO15" s="53">
        <v>0</v>
      </c>
      <c r="AP15" s="53" t="s">
        <v>113</v>
      </c>
      <c r="AQ15" s="53" t="s">
        <v>113</v>
      </c>
      <c r="AR15" s="53">
        <v>81</v>
      </c>
      <c r="AS15" s="53" t="s">
        <v>113</v>
      </c>
      <c r="AT15" s="53" t="s">
        <v>113</v>
      </c>
      <c r="AU15" s="53" t="s">
        <v>113</v>
      </c>
      <c r="AV15" s="53">
        <v>1</v>
      </c>
      <c r="AW15" s="53">
        <v>0</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135</v>
      </c>
      <c r="B16" s="53" t="s">
        <v>113</v>
      </c>
      <c r="C16" s="53" t="s">
        <v>113</v>
      </c>
      <c r="D16" s="53" t="s">
        <v>113</v>
      </c>
      <c r="E16" s="53">
        <v>59</v>
      </c>
      <c r="F16" s="53">
        <v>203</v>
      </c>
      <c r="G16" s="53" t="s">
        <v>113</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v>2</v>
      </c>
      <c r="AI16" s="53" t="s">
        <v>113</v>
      </c>
      <c r="AJ16" s="53" t="s">
        <v>113</v>
      </c>
      <c r="AK16" s="53">
        <v>24</v>
      </c>
      <c r="AL16" s="53" t="s">
        <v>113</v>
      </c>
      <c r="AM16" s="53" t="s">
        <v>113</v>
      </c>
      <c r="AN16" s="53" t="s">
        <v>113</v>
      </c>
      <c r="AO16" s="53">
        <v>0</v>
      </c>
      <c r="AP16" s="53" t="s">
        <v>113</v>
      </c>
      <c r="AQ16" s="53" t="s">
        <v>113</v>
      </c>
      <c r="AR16" s="53">
        <v>139</v>
      </c>
      <c r="AS16" s="53" t="s">
        <v>113</v>
      </c>
      <c r="AT16" s="53" t="s">
        <v>113</v>
      </c>
      <c r="AU16" s="53" t="s">
        <v>113</v>
      </c>
      <c r="AV16" s="53">
        <v>3</v>
      </c>
      <c r="AW16" s="53">
        <v>0</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134</v>
      </c>
      <c r="B17" s="53" t="s">
        <v>113</v>
      </c>
      <c r="C17" s="53" t="s">
        <v>113</v>
      </c>
      <c r="D17" s="53" t="s">
        <v>113</v>
      </c>
      <c r="E17" s="53">
        <v>73</v>
      </c>
      <c r="F17" s="53">
        <v>202</v>
      </c>
      <c r="G17" s="53" t="s">
        <v>113</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v>3</v>
      </c>
      <c r="AI17" s="53" t="s">
        <v>113</v>
      </c>
      <c r="AJ17" s="53" t="s">
        <v>113</v>
      </c>
      <c r="AK17" s="53">
        <v>32</v>
      </c>
      <c r="AL17" s="53" t="s">
        <v>113</v>
      </c>
      <c r="AM17" s="53" t="s">
        <v>113</v>
      </c>
      <c r="AN17" s="53" t="s">
        <v>113</v>
      </c>
      <c r="AO17" s="53">
        <v>0</v>
      </c>
      <c r="AP17" s="53" t="s">
        <v>113</v>
      </c>
      <c r="AQ17" s="53" t="s">
        <v>113</v>
      </c>
      <c r="AR17" s="53">
        <v>136</v>
      </c>
      <c r="AS17" s="53" t="s">
        <v>113</v>
      </c>
      <c r="AT17" s="53" t="s">
        <v>113</v>
      </c>
      <c r="AU17" s="53" t="s">
        <v>113</v>
      </c>
      <c r="AV17" s="53">
        <v>7</v>
      </c>
      <c r="AW17" s="53">
        <v>0</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133</v>
      </c>
      <c r="B18" s="53" t="s">
        <v>113</v>
      </c>
      <c r="C18" s="53" t="s">
        <v>113</v>
      </c>
      <c r="D18" s="53" t="s">
        <v>113</v>
      </c>
      <c r="E18" s="53">
        <v>73</v>
      </c>
      <c r="F18" s="53">
        <v>170</v>
      </c>
      <c r="G18" s="53" t="s">
        <v>113</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v>5</v>
      </c>
      <c r="AI18" s="53" t="s">
        <v>113</v>
      </c>
      <c r="AJ18" s="53" t="s">
        <v>113</v>
      </c>
      <c r="AK18" s="53">
        <v>19</v>
      </c>
      <c r="AL18" s="53" t="s">
        <v>113</v>
      </c>
      <c r="AM18" s="53" t="s">
        <v>113</v>
      </c>
      <c r="AN18" s="53" t="s">
        <v>113</v>
      </c>
      <c r="AO18" s="53">
        <v>0</v>
      </c>
      <c r="AP18" s="53" t="s">
        <v>113</v>
      </c>
      <c r="AQ18" s="53" t="s">
        <v>113</v>
      </c>
      <c r="AR18" s="53">
        <v>205</v>
      </c>
      <c r="AS18" s="53" t="s">
        <v>113</v>
      </c>
      <c r="AT18" s="53" t="s">
        <v>113</v>
      </c>
      <c r="AU18" s="53" t="s">
        <v>113</v>
      </c>
      <c r="AV18" s="53">
        <v>14</v>
      </c>
      <c r="AW18" s="53">
        <v>0</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132</v>
      </c>
      <c r="B19" s="53" t="s">
        <v>113</v>
      </c>
      <c r="C19" s="53" t="s">
        <v>113</v>
      </c>
      <c r="D19" s="53" t="s">
        <v>113</v>
      </c>
      <c r="E19" s="53">
        <v>55</v>
      </c>
      <c r="F19" s="53">
        <v>161</v>
      </c>
      <c r="G19" s="53" t="s">
        <v>113</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v>2</v>
      </c>
      <c r="AI19" s="53" t="s">
        <v>113</v>
      </c>
      <c r="AJ19" s="53" t="s">
        <v>113</v>
      </c>
      <c r="AK19" s="53">
        <v>22</v>
      </c>
      <c r="AL19" s="53" t="s">
        <v>113</v>
      </c>
      <c r="AM19" s="53" t="s">
        <v>113</v>
      </c>
      <c r="AN19" s="53" t="s">
        <v>113</v>
      </c>
      <c r="AO19" s="53">
        <v>0</v>
      </c>
      <c r="AP19" s="53" t="s">
        <v>113</v>
      </c>
      <c r="AQ19" s="53" t="s">
        <v>113</v>
      </c>
      <c r="AR19" s="53">
        <v>176</v>
      </c>
      <c r="AS19" s="53" t="s">
        <v>113</v>
      </c>
      <c r="AT19" s="53" t="s">
        <v>113</v>
      </c>
      <c r="AU19" s="53" t="s">
        <v>113</v>
      </c>
      <c r="AV19" s="53">
        <v>15</v>
      </c>
      <c r="AW19" s="53">
        <v>0</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131</v>
      </c>
      <c r="B20" s="53" t="s">
        <v>113</v>
      </c>
      <c r="C20" s="53" t="s">
        <v>113</v>
      </c>
      <c r="D20" s="53" t="s">
        <v>113</v>
      </c>
      <c r="E20" s="53">
        <v>69</v>
      </c>
      <c r="F20" s="53">
        <v>132</v>
      </c>
      <c r="G20" s="53" t="s">
        <v>113</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v>8</v>
      </c>
      <c r="AI20" s="53" t="s">
        <v>113</v>
      </c>
      <c r="AJ20" s="53" t="s">
        <v>113</v>
      </c>
      <c r="AK20" s="53">
        <v>34</v>
      </c>
      <c r="AL20" s="53" t="s">
        <v>113</v>
      </c>
      <c r="AM20" s="53" t="s">
        <v>113</v>
      </c>
      <c r="AN20" s="53" t="s">
        <v>113</v>
      </c>
      <c r="AO20" s="53">
        <v>0</v>
      </c>
      <c r="AP20" s="53" t="s">
        <v>113</v>
      </c>
      <c r="AQ20" s="53" t="s">
        <v>113</v>
      </c>
      <c r="AR20" s="53">
        <v>154</v>
      </c>
      <c r="AS20" s="53" t="s">
        <v>113</v>
      </c>
      <c r="AT20" s="53" t="s">
        <v>113</v>
      </c>
      <c r="AU20" s="53" t="s">
        <v>113</v>
      </c>
      <c r="AV20" s="53">
        <v>25</v>
      </c>
      <c r="AW20" s="53">
        <v>0</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130</v>
      </c>
      <c r="B21" s="53" t="s">
        <v>113</v>
      </c>
      <c r="C21" s="53" t="s">
        <v>113</v>
      </c>
      <c r="D21" s="53" t="s">
        <v>113</v>
      </c>
      <c r="E21" s="53">
        <v>73</v>
      </c>
      <c r="F21" s="53">
        <v>164</v>
      </c>
      <c r="G21" s="53" t="s">
        <v>113</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v>13</v>
      </c>
      <c r="AI21" s="53" t="s">
        <v>113</v>
      </c>
      <c r="AJ21" s="53" t="s">
        <v>113</v>
      </c>
      <c r="AK21" s="53">
        <v>53</v>
      </c>
      <c r="AL21" s="53" t="s">
        <v>113</v>
      </c>
      <c r="AM21" s="53" t="s">
        <v>113</v>
      </c>
      <c r="AN21" s="53" t="s">
        <v>113</v>
      </c>
      <c r="AO21" s="53">
        <v>0</v>
      </c>
      <c r="AP21" s="53" t="s">
        <v>113</v>
      </c>
      <c r="AQ21" s="53" t="s">
        <v>113</v>
      </c>
      <c r="AR21" s="53">
        <v>185</v>
      </c>
      <c r="AS21" s="53" t="s">
        <v>113</v>
      </c>
      <c r="AT21" s="53" t="s">
        <v>113</v>
      </c>
      <c r="AU21" s="53" t="s">
        <v>113</v>
      </c>
      <c r="AV21" s="53">
        <v>16</v>
      </c>
      <c r="AW21" s="53">
        <v>0</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129</v>
      </c>
      <c r="B22" s="53" t="s">
        <v>113</v>
      </c>
      <c r="C22" s="53" t="s">
        <v>113</v>
      </c>
      <c r="D22" s="53" t="s">
        <v>113</v>
      </c>
      <c r="E22" s="53">
        <v>70</v>
      </c>
      <c r="F22" s="53">
        <v>118</v>
      </c>
      <c r="G22" s="53" t="s">
        <v>113</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v>17</v>
      </c>
      <c r="AI22" s="53" t="s">
        <v>113</v>
      </c>
      <c r="AJ22" s="53" t="s">
        <v>113</v>
      </c>
      <c r="AK22" s="53">
        <v>39</v>
      </c>
      <c r="AL22" s="53" t="s">
        <v>113</v>
      </c>
      <c r="AM22" s="53" t="s">
        <v>113</v>
      </c>
      <c r="AN22" s="53" t="s">
        <v>113</v>
      </c>
      <c r="AO22" s="53">
        <v>0</v>
      </c>
      <c r="AP22" s="53" t="s">
        <v>113</v>
      </c>
      <c r="AQ22" s="53" t="s">
        <v>113</v>
      </c>
      <c r="AR22" s="53">
        <v>176</v>
      </c>
      <c r="AS22" s="53" t="s">
        <v>113</v>
      </c>
      <c r="AT22" s="53" t="s">
        <v>113</v>
      </c>
      <c r="AU22" s="53" t="s">
        <v>113</v>
      </c>
      <c r="AV22" s="53">
        <v>13</v>
      </c>
      <c r="AW22" s="53">
        <v>0</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128</v>
      </c>
      <c r="B23" s="53" t="s">
        <v>113</v>
      </c>
      <c r="C23" s="53" t="s">
        <v>113</v>
      </c>
      <c r="D23" s="53" t="s">
        <v>113</v>
      </c>
      <c r="E23" s="53">
        <v>0</v>
      </c>
      <c r="F23" s="53">
        <v>0</v>
      </c>
      <c r="G23" s="53" t="s">
        <v>113</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v>0</v>
      </c>
      <c r="AI23" s="53" t="s">
        <v>113</v>
      </c>
      <c r="AJ23" s="53" t="s">
        <v>113</v>
      </c>
      <c r="AK23" s="53">
        <v>0</v>
      </c>
      <c r="AL23" s="53" t="s">
        <v>113</v>
      </c>
      <c r="AM23" s="53" t="s">
        <v>113</v>
      </c>
      <c r="AN23" s="53" t="s">
        <v>113</v>
      </c>
      <c r="AO23" s="53">
        <v>0</v>
      </c>
      <c r="AP23" s="53" t="s">
        <v>113</v>
      </c>
      <c r="AQ23" s="53" t="s">
        <v>113</v>
      </c>
      <c r="AR23" s="53">
        <v>0</v>
      </c>
      <c r="AS23" s="53" t="s">
        <v>113</v>
      </c>
      <c r="AT23" s="53" t="s">
        <v>113</v>
      </c>
      <c r="AU23" s="53" t="s">
        <v>113</v>
      </c>
      <c r="AV23" s="53">
        <v>0</v>
      </c>
      <c r="AW23" s="53">
        <v>0</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127</v>
      </c>
      <c r="B24" s="53" t="s">
        <v>113</v>
      </c>
      <c r="C24" s="53" t="s">
        <v>113</v>
      </c>
      <c r="D24" s="53" t="s">
        <v>113</v>
      </c>
      <c r="E24" s="53">
        <v>40</v>
      </c>
      <c r="F24" s="53">
        <v>108</v>
      </c>
      <c r="G24" s="53" t="s">
        <v>113</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v>11</v>
      </c>
      <c r="AI24" s="53" t="s">
        <v>113</v>
      </c>
      <c r="AJ24" s="53" t="s">
        <v>113</v>
      </c>
      <c r="AK24" s="53">
        <v>57</v>
      </c>
      <c r="AL24" s="53" t="s">
        <v>113</v>
      </c>
      <c r="AM24" s="53" t="s">
        <v>113</v>
      </c>
      <c r="AN24" s="53" t="s">
        <v>113</v>
      </c>
      <c r="AO24" s="53">
        <v>0</v>
      </c>
      <c r="AP24" s="53" t="s">
        <v>113</v>
      </c>
      <c r="AQ24" s="53" t="s">
        <v>113</v>
      </c>
      <c r="AR24" s="53">
        <v>129</v>
      </c>
      <c r="AS24" s="53" t="s">
        <v>113</v>
      </c>
      <c r="AT24" s="53" t="s">
        <v>113</v>
      </c>
      <c r="AU24" s="53" t="s">
        <v>113</v>
      </c>
      <c r="AV24" s="53">
        <v>4</v>
      </c>
      <c r="AW24" s="53">
        <v>0</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126</v>
      </c>
      <c r="B25" s="53" t="s">
        <v>113</v>
      </c>
      <c r="C25" s="53" t="s">
        <v>113</v>
      </c>
      <c r="D25" s="53" t="s">
        <v>113</v>
      </c>
      <c r="E25" s="53">
        <v>60</v>
      </c>
      <c r="F25" s="53">
        <v>120</v>
      </c>
      <c r="G25" s="53" t="s">
        <v>113</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v>18</v>
      </c>
      <c r="AI25" s="53" t="s">
        <v>113</v>
      </c>
      <c r="AJ25" s="53" t="s">
        <v>113</v>
      </c>
      <c r="AK25" s="53">
        <v>50</v>
      </c>
      <c r="AL25" s="53" t="s">
        <v>113</v>
      </c>
      <c r="AM25" s="53" t="s">
        <v>113</v>
      </c>
      <c r="AN25" s="53" t="s">
        <v>113</v>
      </c>
      <c r="AO25" s="53">
        <v>0</v>
      </c>
      <c r="AP25" s="53" t="s">
        <v>113</v>
      </c>
      <c r="AQ25" s="53" t="s">
        <v>113</v>
      </c>
      <c r="AR25" s="53">
        <v>149</v>
      </c>
      <c r="AS25" s="53" t="s">
        <v>113</v>
      </c>
      <c r="AT25" s="53" t="s">
        <v>113</v>
      </c>
      <c r="AU25" s="53" t="s">
        <v>113</v>
      </c>
      <c r="AV25" s="53">
        <v>10</v>
      </c>
      <c r="AW25" s="53">
        <v>0</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125</v>
      </c>
      <c r="B26" s="53" t="s">
        <v>113</v>
      </c>
      <c r="C26" s="53" t="s">
        <v>113</v>
      </c>
      <c r="D26" s="53" t="s">
        <v>113</v>
      </c>
      <c r="E26" s="53">
        <v>56</v>
      </c>
      <c r="F26" s="53">
        <v>95</v>
      </c>
      <c r="G26" s="53" t="s">
        <v>113</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v>14</v>
      </c>
      <c r="AI26" s="53" t="s">
        <v>113</v>
      </c>
      <c r="AJ26" s="53" t="s">
        <v>113</v>
      </c>
      <c r="AK26" s="53">
        <v>66</v>
      </c>
      <c r="AL26" s="53" t="s">
        <v>113</v>
      </c>
      <c r="AM26" s="53" t="s">
        <v>113</v>
      </c>
      <c r="AN26" s="53" t="s">
        <v>113</v>
      </c>
      <c r="AO26" s="53">
        <v>0</v>
      </c>
      <c r="AP26" s="53" t="s">
        <v>113</v>
      </c>
      <c r="AQ26" s="53" t="s">
        <v>113</v>
      </c>
      <c r="AR26" s="53">
        <v>139</v>
      </c>
      <c r="AS26" s="53" t="s">
        <v>113</v>
      </c>
      <c r="AT26" s="53" t="s">
        <v>113</v>
      </c>
      <c r="AU26" s="53" t="s">
        <v>113</v>
      </c>
      <c r="AV26" s="53">
        <v>10</v>
      </c>
      <c r="AW26" s="53">
        <v>0</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124</v>
      </c>
      <c r="B27" s="53" t="s">
        <v>113</v>
      </c>
      <c r="C27" s="53" t="s">
        <v>113</v>
      </c>
      <c r="D27" s="53" t="s">
        <v>113</v>
      </c>
      <c r="E27" s="53">
        <v>37</v>
      </c>
      <c r="F27" s="53">
        <v>128</v>
      </c>
      <c r="G27" s="53" t="s">
        <v>113</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v>15</v>
      </c>
      <c r="AI27" s="53" t="s">
        <v>113</v>
      </c>
      <c r="AJ27" s="53" t="s">
        <v>113</v>
      </c>
      <c r="AK27" s="53">
        <v>61</v>
      </c>
      <c r="AL27" s="53" t="s">
        <v>113</v>
      </c>
      <c r="AM27" s="53" t="s">
        <v>113</v>
      </c>
      <c r="AN27" s="53" t="s">
        <v>113</v>
      </c>
      <c r="AO27" s="53">
        <v>0</v>
      </c>
      <c r="AP27" s="53" t="s">
        <v>113</v>
      </c>
      <c r="AQ27" s="53" t="s">
        <v>113</v>
      </c>
      <c r="AR27" s="53">
        <v>150</v>
      </c>
      <c r="AS27" s="53" t="s">
        <v>113</v>
      </c>
      <c r="AT27" s="53" t="s">
        <v>113</v>
      </c>
      <c r="AU27" s="53" t="s">
        <v>113</v>
      </c>
      <c r="AV27" s="53">
        <v>9</v>
      </c>
      <c r="AW27" s="53">
        <v>0</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123</v>
      </c>
      <c r="B28" s="53" t="s">
        <v>113</v>
      </c>
      <c r="C28" s="53" t="s">
        <v>113</v>
      </c>
      <c r="D28" s="53" t="s">
        <v>113</v>
      </c>
      <c r="E28" s="53">
        <v>0</v>
      </c>
      <c r="F28" s="53">
        <v>0</v>
      </c>
      <c r="G28" s="53" t="s">
        <v>113</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v>0</v>
      </c>
      <c r="AI28" s="53" t="s">
        <v>113</v>
      </c>
      <c r="AJ28" s="53" t="s">
        <v>113</v>
      </c>
      <c r="AK28" s="53">
        <v>0</v>
      </c>
      <c r="AL28" s="53" t="s">
        <v>113</v>
      </c>
      <c r="AM28" s="53" t="s">
        <v>113</v>
      </c>
      <c r="AN28" s="53" t="s">
        <v>113</v>
      </c>
      <c r="AO28" s="53">
        <v>0</v>
      </c>
      <c r="AP28" s="53" t="s">
        <v>113</v>
      </c>
      <c r="AQ28" s="53" t="s">
        <v>113</v>
      </c>
      <c r="AR28" s="53">
        <v>0</v>
      </c>
      <c r="AS28" s="53" t="s">
        <v>113</v>
      </c>
      <c r="AT28" s="53" t="s">
        <v>113</v>
      </c>
      <c r="AU28" s="53" t="s">
        <v>113</v>
      </c>
      <c r="AV28" s="53">
        <v>0</v>
      </c>
      <c r="AW28" s="53">
        <v>0</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122</v>
      </c>
      <c r="B29" s="53" t="s">
        <v>113</v>
      </c>
      <c r="C29" s="53" t="s">
        <v>113</v>
      </c>
      <c r="D29" s="53" t="s">
        <v>113</v>
      </c>
      <c r="E29" s="53">
        <v>54</v>
      </c>
      <c r="F29" s="53">
        <v>171</v>
      </c>
      <c r="G29" s="53" t="s">
        <v>113</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v>19</v>
      </c>
      <c r="AI29" s="53" t="s">
        <v>113</v>
      </c>
      <c r="AJ29" s="53" t="s">
        <v>113</v>
      </c>
      <c r="AK29" s="53">
        <v>73</v>
      </c>
      <c r="AL29" s="53" t="s">
        <v>113</v>
      </c>
      <c r="AM29" s="53" t="s">
        <v>113</v>
      </c>
      <c r="AN29" s="53" t="s">
        <v>113</v>
      </c>
      <c r="AO29" s="53">
        <v>0</v>
      </c>
      <c r="AP29" s="53" t="s">
        <v>113</v>
      </c>
      <c r="AQ29" s="53" t="s">
        <v>113</v>
      </c>
      <c r="AR29" s="53">
        <v>208</v>
      </c>
      <c r="AS29" s="53" t="s">
        <v>113</v>
      </c>
      <c r="AT29" s="53" t="s">
        <v>113</v>
      </c>
      <c r="AU29" s="53" t="s">
        <v>113</v>
      </c>
      <c r="AV29" s="53">
        <v>9</v>
      </c>
      <c r="AW29" s="53">
        <v>0</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121</v>
      </c>
      <c r="B30" s="53" t="s">
        <v>113</v>
      </c>
      <c r="C30" s="53" t="s">
        <v>113</v>
      </c>
      <c r="D30" s="53" t="s">
        <v>113</v>
      </c>
      <c r="E30" s="53">
        <v>44</v>
      </c>
      <c r="F30" s="53">
        <v>149</v>
      </c>
      <c r="G30" s="53" t="s">
        <v>113</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v>20</v>
      </c>
      <c r="AI30" s="53" t="s">
        <v>113</v>
      </c>
      <c r="AJ30" s="53" t="s">
        <v>113</v>
      </c>
      <c r="AK30" s="53">
        <v>72</v>
      </c>
      <c r="AL30" s="53" t="s">
        <v>113</v>
      </c>
      <c r="AM30" s="53" t="s">
        <v>113</v>
      </c>
      <c r="AN30" s="53" t="s">
        <v>113</v>
      </c>
      <c r="AO30" s="53">
        <v>0</v>
      </c>
      <c r="AP30" s="53" t="s">
        <v>113</v>
      </c>
      <c r="AQ30" s="53" t="s">
        <v>113</v>
      </c>
      <c r="AR30" s="53">
        <v>206</v>
      </c>
      <c r="AS30" s="53" t="s">
        <v>113</v>
      </c>
      <c r="AT30" s="53" t="s">
        <v>113</v>
      </c>
      <c r="AU30" s="53" t="s">
        <v>113</v>
      </c>
      <c r="AV30" s="53">
        <v>10</v>
      </c>
      <c r="AW30" s="53">
        <v>0</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120</v>
      </c>
      <c r="B31" s="53" t="s">
        <v>113</v>
      </c>
      <c r="C31" s="53" t="s">
        <v>113</v>
      </c>
      <c r="D31" s="53" t="s">
        <v>113</v>
      </c>
      <c r="E31" s="53">
        <v>49</v>
      </c>
      <c r="F31" s="53">
        <v>179</v>
      </c>
      <c r="G31" s="53" t="s">
        <v>113</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v>15</v>
      </c>
      <c r="AI31" s="53" t="s">
        <v>113</v>
      </c>
      <c r="AJ31" s="53" t="s">
        <v>113</v>
      </c>
      <c r="AK31" s="53">
        <v>72</v>
      </c>
      <c r="AL31" s="53" t="s">
        <v>113</v>
      </c>
      <c r="AM31" s="53" t="s">
        <v>113</v>
      </c>
      <c r="AN31" s="53" t="s">
        <v>113</v>
      </c>
      <c r="AO31" s="53">
        <v>0</v>
      </c>
      <c r="AP31" s="53" t="s">
        <v>113</v>
      </c>
      <c r="AQ31" s="53" t="s">
        <v>113</v>
      </c>
      <c r="AR31" s="53">
        <v>187</v>
      </c>
      <c r="AS31" s="53" t="s">
        <v>113</v>
      </c>
      <c r="AT31" s="53" t="s">
        <v>113</v>
      </c>
      <c r="AU31" s="53" t="s">
        <v>113</v>
      </c>
      <c r="AV31" s="53">
        <v>8</v>
      </c>
      <c r="AW31" s="53">
        <v>0</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119</v>
      </c>
      <c r="B32" s="53" t="s">
        <v>113</v>
      </c>
      <c r="C32" s="53" t="s">
        <v>113</v>
      </c>
      <c r="D32" s="53" t="s">
        <v>113</v>
      </c>
      <c r="E32" s="53">
        <v>53</v>
      </c>
      <c r="F32" s="53">
        <v>170</v>
      </c>
      <c r="G32" s="53" t="s">
        <v>113</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v>23</v>
      </c>
      <c r="AI32" s="53" t="s">
        <v>113</v>
      </c>
      <c r="AJ32" s="53" t="s">
        <v>113</v>
      </c>
      <c r="AK32" s="53">
        <v>61</v>
      </c>
      <c r="AL32" s="53" t="s">
        <v>113</v>
      </c>
      <c r="AM32" s="53" t="s">
        <v>113</v>
      </c>
      <c r="AN32" s="53" t="s">
        <v>113</v>
      </c>
      <c r="AO32" s="53">
        <v>0</v>
      </c>
      <c r="AP32" s="53" t="s">
        <v>113</v>
      </c>
      <c r="AQ32" s="53" t="s">
        <v>113</v>
      </c>
      <c r="AR32" s="53">
        <v>184</v>
      </c>
      <c r="AS32" s="53" t="s">
        <v>113</v>
      </c>
      <c r="AT32" s="53" t="s">
        <v>113</v>
      </c>
      <c r="AU32" s="53" t="s">
        <v>113</v>
      </c>
      <c r="AV32" s="53">
        <v>25</v>
      </c>
      <c r="AW32" s="53">
        <v>1</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118</v>
      </c>
      <c r="B33" s="53" t="s">
        <v>113</v>
      </c>
      <c r="C33" s="53" t="s">
        <v>113</v>
      </c>
      <c r="D33" s="53" t="s">
        <v>113</v>
      </c>
      <c r="E33" s="53">
        <v>67</v>
      </c>
      <c r="F33" s="53">
        <v>164</v>
      </c>
      <c r="G33" s="53" t="s">
        <v>113</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v>19</v>
      </c>
      <c r="AI33" s="53" t="s">
        <v>113</v>
      </c>
      <c r="AJ33" s="53" t="s">
        <v>113</v>
      </c>
      <c r="AK33" s="53">
        <v>63</v>
      </c>
      <c r="AL33" s="53" t="s">
        <v>113</v>
      </c>
      <c r="AM33" s="53" t="s">
        <v>113</v>
      </c>
      <c r="AN33" s="53" t="s">
        <v>113</v>
      </c>
      <c r="AO33" s="53">
        <v>0</v>
      </c>
      <c r="AP33" s="53" t="s">
        <v>113</v>
      </c>
      <c r="AQ33" s="53" t="s">
        <v>113</v>
      </c>
      <c r="AR33" s="53">
        <v>214</v>
      </c>
      <c r="AS33" s="53" t="s">
        <v>113</v>
      </c>
      <c r="AT33" s="53" t="s">
        <v>113</v>
      </c>
      <c r="AU33" s="53" t="s">
        <v>113</v>
      </c>
      <c r="AV33" s="53">
        <v>13</v>
      </c>
      <c r="AW33" s="53">
        <v>0</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117</v>
      </c>
      <c r="B34" s="53" t="s">
        <v>113</v>
      </c>
      <c r="C34" s="53" t="s">
        <v>113</v>
      </c>
      <c r="D34" s="53" t="s">
        <v>113</v>
      </c>
      <c r="E34" s="53">
        <v>42</v>
      </c>
      <c r="F34" s="53">
        <v>159</v>
      </c>
      <c r="G34" s="53" t="s">
        <v>113</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v>28</v>
      </c>
      <c r="AI34" s="53" t="s">
        <v>113</v>
      </c>
      <c r="AJ34" s="53" t="s">
        <v>113</v>
      </c>
      <c r="AK34" s="53">
        <v>94</v>
      </c>
      <c r="AL34" s="53" t="s">
        <v>113</v>
      </c>
      <c r="AM34" s="53" t="s">
        <v>113</v>
      </c>
      <c r="AN34" s="53" t="s">
        <v>113</v>
      </c>
      <c r="AO34" s="53">
        <v>0</v>
      </c>
      <c r="AP34" s="53" t="s">
        <v>113</v>
      </c>
      <c r="AQ34" s="53" t="s">
        <v>113</v>
      </c>
      <c r="AR34" s="53">
        <v>160</v>
      </c>
      <c r="AS34" s="53" t="s">
        <v>113</v>
      </c>
      <c r="AT34" s="53" t="s">
        <v>113</v>
      </c>
      <c r="AU34" s="53" t="s">
        <v>113</v>
      </c>
      <c r="AV34" s="53">
        <v>8</v>
      </c>
      <c r="AW34" s="53">
        <v>0</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116</v>
      </c>
      <c r="B35" s="53" t="s">
        <v>113</v>
      </c>
      <c r="C35" s="53" t="s">
        <v>113</v>
      </c>
      <c r="D35" s="53" t="s">
        <v>113</v>
      </c>
      <c r="E35" s="53">
        <v>48</v>
      </c>
      <c r="F35" s="53">
        <v>163</v>
      </c>
      <c r="G35" s="53" t="s">
        <v>113</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v>14</v>
      </c>
      <c r="AI35" s="53" t="s">
        <v>113</v>
      </c>
      <c r="AJ35" s="53" t="s">
        <v>113</v>
      </c>
      <c r="AK35" s="53">
        <v>70</v>
      </c>
      <c r="AL35" s="53" t="s">
        <v>113</v>
      </c>
      <c r="AM35" s="53" t="s">
        <v>113</v>
      </c>
      <c r="AN35" s="53" t="s">
        <v>113</v>
      </c>
      <c r="AO35" s="53">
        <v>0</v>
      </c>
      <c r="AP35" s="53" t="s">
        <v>113</v>
      </c>
      <c r="AQ35" s="53" t="s">
        <v>113</v>
      </c>
      <c r="AR35" s="53">
        <v>222</v>
      </c>
      <c r="AS35" s="53" t="s">
        <v>113</v>
      </c>
      <c r="AT35" s="53" t="s">
        <v>113</v>
      </c>
      <c r="AU35" s="53" t="s">
        <v>113</v>
      </c>
      <c r="AV35" s="53">
        <v>24</v>
      </c>
      <c r="AW35" s="53">
        <v>0</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row r="36" spans="1:65" ht="15" customHeight="1" x14ac:dyDescent="0.2">
      <c r="A36" s="53" t="s">
        <v>115</v>
      </c>
      <c r="B36" s="53" t="s">
        <v>113</v>
      </c>
      <c r="C36" s="53" t="s">
        <v>113</v>
      </c>
      <c r="D36" s="53" t="s">
        <v>113</v>
      </c>
      <c r="E36" s="53">
        <v>55</v>
      </c>
      <c r="F36" s="53">
        <v>160</v>
      </c>
      <c r="G36" s="53" t="s">
        <v>113</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v>21</v>
      </c>
      <c r="AI36" s="53" t="s">
        <v>113</v>
      </c>
      <c r="AJ36" s="53" t="s">
        <v>113</v>
      </c>
      <c r="AK36" s="53">
        <v>55</v>
      </c>
      <c r="AL36" s="53" t="s">
        <v>113</v>
      </c>
      <c r="AM36" s="53" t="s">
        <v>113</v>
      </c>
      <c r="AN36" s="53" t="s">
        <v>113</v>
      </c>
      <c r="AO36" s="53">
        <v>0</v>
      </c>
      <c r="AP36" s="53" t="s">
        <v>113</v>
      </c>
      <c r="AQ36" s="53" t="s">
        <v>113</v>
      </c>
      <c r="AR36" s="53">
        <v>183</v>
      </c>
      <c r="AS36" s="53" t="s">
        <v>113</v>
      </c>
      <c r="AT36" s="53" t="s">
        <v>113</v>
      </c>
      <c r="AU36" s="53" t="s">
        <v>113</v>
      </c>
      <c r="AV36" s="53">
        <v>18</v>
      </c>
      <c r="AW36" s="53">
        <v>0</v>
      </c>
      <c r="AX36" s="53" t="s">
        <v>113</v>
      </c>
      <c r="AY36" s="53" t="s">
        <v>113</v>
      </c>
      <c r="AZ36" s="53" t="s">
        <v>113</v>
      </c>
      <c r="BA36" s="53" t="s">
        <v>113</v>
      </c>
      <c r="BB36" s="53" t="s">
        <v>113</v>
      </c>
      <c r="BC36" s="53" t="s">
        <v>113</v>
      </c>
      <c r="BD36" s="53" t="s">
        <v>113</v>
      </c>
      <c r="BE36" s="53" t="s">
        <v>113</v>
      </c>
      <c r="BF36" s="53" t="s">
        <v>113</v>
      </c>
      <c r="BG36" s="53" t="s">
        <v>113</v>
      </c>
      <c r="BH36" s="53" t="s">
        <v>113</v>
      </c>
      <c r="BI36" s="53" t="s">
        <v>113</v>
      </c>
      <c r="BJ36" s="53" t="s">
        <v>113</v>
      </c>
      <c r="BK36" s="53" t="s">
        <v>113</v>
      </c>
      <c r="BL36" s="53" t="s">
        <v>113</v>
      </c>
      <c r="BM36" s="53" t="s">
        <v>113</v>
      </c>
    </row>
    <row r="37" spans="1:65" ht="15" customHeight="1" x14ac:dyDescent="0.2">
      <c r="A37" s="53" t="s">
        <v>114</v>
      </c>
      <c r="B37" s="53" t="s">
        <v>113</v>
      </c>
      <c r="C37" s="53" t="s">
        <v>113</v>
      </c>
      <c r="D37" s="53" t="s">
        <v>113</v>
      </c>
      <c r="E37" s="53">
        <v>0</v>
      </c>
      <c r="F37" s="53">
        <v>0</v>
      </c>
      <c r="G37" s="53" t="s">
        <v>113</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v>0</v>
      </c>
      <c r="AI37" s="53" t="s">
        <v>113</v>
      </c>
      <c r="AJ37" s="53" t="s">
        <v>113</v>
      </c>
      <c r="AK37" s="53">
        <v>0</v>
      </c>
      <c r="AL37" s="53" t="s">
        <v>113</v>
      </c>
      <c r="AM37" s="53" t="s">
        <v>113</v>
      </c>
      <c r="AN37" s="53" t="s">
        <v>113</v>
      </c>
      <c r="AO37" s="53">
        <v>0</v>
      </c>
      <c r="AP37" s="53" t="s">
        <v>113</v>
      </c>
      <c r="AQ37" s="53" t="s">
        <v>113</v>
      </c>
      <c r="AR37" s="53">
        <v>0</v>
      </c>
      <c r="AS37" s="53" t="s">
        <v>113</v>
      </c>
      <c r="AT37" s="53" t="s">
        <v>113</v>
      </c>
      <c r="AU37" s="53" t="s">
        <v>113</v>
      </c>
      <c r="AV37" s="53">
        <v>0</v>
      </c>
      <c r="AW37" s="53">
        <v>0</v>
      </c>
      <c r="AX37" s="53" t="s">
        <v>113</v>
      </c>
      <c r="AY37" s="53" t="s">
        <v>113</v>
      </c>
      <c r="AZ37" s="53" t="s">
        <v>113</v>
      </c>
      <c r="BA37" s="53" t="s">
        <v>113</v>
      </c>
      <c r="BB37" s="53" t="s">
        <v>113</v>
      </c>
      <c r="BC37" s="53" t="s">
        <v>113</v>
      </c>
      <c r="BD37" s="53" t="s">
        <v>113</v>
      </c>
      <c r="BE37" s="53" t="s">
        <v>113</v>
      </c>
      <c r="BF37" s="53" t="s">
        <v>113</v>
      </c>
      <c r="BG37" s="53" t="s">
        <v>113</v>
      </c>
      <c r="BH37" s="53" t="s">
        <v>113</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2022-12-20T02:38:16Z</dcterms:modified>
</cp:coreProperties>
</file>