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D53FF15-9514-4473-A41D-769462EC0C26}"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Q132" i="6" s="1"/>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Q109" i="6" s="1"/>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Q224" i="6" s="1"/>
  <c r="L206" i="6"/>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53" i="6"/>
  <c r="Q259" i="6"/>
  <c r="Q243" i="6"/>
  <c r="Q219" i="6"/>
  <c r="Q187" i="6"/>
  <c r="Q163" i="6"/>
  <c r="Q155" i="6"/>
  <c r="Q139" i="6"/>
  <c r="Q107" i="6"/>
  <c r="Q282" i="6"/>
  <c r="Q250" i="6"/>
  <c r="Q202" i="6"/>
  <c r="Q162" i="6"/>
  <c r="Q106" i="6"/>
  <c r="Q50" i="6"/>
  <c r="Q280" i="6"/>
  <c r="Q268" i="6"/>
  <c r="Q177" i="6"/>
  <c r="Q140" i="6"/>
  <c r="Q110" i="6"/>
  <c r="Q71" i="6"/>
  <c r="Q300" i="6"/>
  <c r="Q73" i="6"/>
  <c r="Q48" i="6"/>
  <c r="Q302" i="6"/>
  <c r="Q238" i="6"/>
  <c r="Q199" i="6"/>
  <c r="Q96" i="6"/>
  <c r="Q287" i="6"/>
  <c r="Q248" i="6"/>
  <c r="Q303" i="6"/>
  <c r="Q278" i="6"/>
  <c r="Q239" i="6"/>
  <c r="Q200" i="6"/>
  <c r="Q175" i="6"/>
  <c r="Q150" i="6"/>
  <c r="Q111" i="6"/>
  <c r="Q86" i="6"/>
  <c r="Q288" i="6"/>
  <c r="Q185" i="6"/>
  <c r="Q46" i="6"/>
  <c r="Q272" i="6"/>
  <c r="Q244" i="6"/>
  <c r="Q81" i="6"/>
  <c r="Q233" i="6"/>
  <c r="Q183" i="6"/>
  <c r="Q105" i="6"/>
  <c r="Q286" i="6"/>
  <c r="Q256" i="6"/>
  <c r="Q246" i="6"/>
  <c r="Q116" i="6"/>
  <c r="Q64" i="6"/>
  <c r="Q95" i="6"/>
  <c r="Q296" i="6"/>
  <c r="Q78" i="6"/>
  <c r="Q206" i="6"/>
  <c r="Q54" i="6"/>
  <c r="Q180" i="6"/>
  <c r="Q104" i="6"/>
  <c r="H8" i="6"/>
  <c r="B4" i="7" s="1"/>
  <c r="O6" i="6"/>
  <c r="I6" i="4" l="1"/>
  <c r="I226" i="4"/>
  <c r="I306" i="4"/>
  <c r="I126" i="4"/>
  <c r="I286" i="4"/>
  <c r="I346" i="4"/>
  <c r="I206" i="4"/>
  <c r="I266" i="4"/>
  <c r="I26" i="4"/>
  <c r="I186" i="4"/>
  <c r="I146" i="4"/>
  <c r="I106" i="4"/>
  <c r="I166" i="4"/>
  <c r="I46" i="4"/>
  <c r="I66" i="4"/>
  <c r="I246" i="4"/>
  <c r="I326" i="4"/>
  <c r="I86" i="4"/>
  <c r="I103" i="4"/>
  <c r="I323" i="4"/>
  <c r="I23" i="4"/>
  <c r="I283" i="4"/>
  <c r="I263" i="4"/>
  <c r="I183" i="4"/>
  <c r="I243" i="4"/>
  <c r="I3" i="4"/>
  <c r="I203" i="4"/>
  <c r="I223" i="4"/>
  <c r="I163" i="4"/>
  <c r="I343" i="4"/>
  <c r="I303" i="4"/>
  <c r="I143" i="4"/>
  <c r="I63" i="4"/>
  <c r="I123" i="4"/>
  <c r="I83" i="4"/>
  <c r="I43" i="4"/>
  <c r="I205" i="4"/>
  <c r="I105" i="4"/>
  <c r="I85" i="4"/>
  <c r="I305" i="4"/>
  <c r="I285" i="4"/>
  <c r="I185" i="4"/>
  <c r="I165" i="4"/>
  <c r="I65" i="4"/>
  <c r="I45" i="4"/>
  <c r="I265" i="4"/>
  <c r="I245" i="4"/>
  <c r="I145" i="4"/>
  <c r="I125" i="4"/>
  <c r="I25" i="4"/>
  <c r="I345" i="4"/>
  <c r="I5" i="4"/>
  <c r="I325" i="4"/>
  <c r="I225" i="4"/>
  <c r="I2" i="4"/>
  <c r="I282" i="4"/>
  <c r="I262" i="4"/>
  <c r="I322" i="4"/>
  <c r="I82" i="4"/>
  <c r="I22" i="4"/>
  <c r="I182" i="4"/>
  <c r="I242" i="4"/>
  <c r="I162" i="4"/>
  <c r="I122" i="4"/>
  <c r="I102" i="4"/>
  <c r="I342" i="4"/>
  <c r="I42" i="4"/>
  <c r="I222" i="4"/>
  <c r="I302" i="4"/>
  <c r="I62" i="4"/>
  <c r="I142" i="4"/>
  <c r="I202" i="4"/>
  <c r="I44" i="4"/>
  <c r="I64" i="4"/>
  <c r="I244" i="4"/>
  <c r="I264" i="4"/>
  <c r="I124" i="4"/>
  <c r="I144" i="4"/>
  <c r="I4" i="4"/>
  <c r="I324" i="4"/>
  <c r="I24" i="4"/>
  <c r="I344" i="4"/>
  <c r="I204" i="4"/>
  <c r="I224" i="4"/>
  <c r="I84" i="4"/>
  <c r="I104" i="4"/>
  <c r="I284" i="4"/>
  <c r="I304" i="4"/>
  <c r="I164" i="4"/>
  <c r="I184" i="4"/>
  <c r="I172" i="4"/>
  <c r="I192" i="4"/>
  <c r="I52" i="4"/>
  <c r="I72" i="4"/>
  <c r="I252" i="4"/>
  <c r="I272" i="4"/>
  <c r="I132" i="4"/>
  <c r="I152" i="4"/>
  <c r="I12" i="4"/>
  <c r="I332" i="4"/>
  <c r="I32" i="4"/>
  <c r="I352" i="4"/>
  <c r="I212" i="4"/>
  <c r="I232" i="4"/>
  <c r="I92" i="4"/>
  <c r="I112" i="4"/>
  <c r="I292" i="4"/>
  <c r="I312" i="4"/>
  <c r="I269" i="4"/>
  <c r="I169" i="4"/>
  <c r="I149" i="4"/>
  <c r="I49" i="4"/>
  <c r="I29" i="4"/>
  <c r="I349" i="4"/>
  <c r="I249" i="4"/>
  <c r="I229" i="4"/>
  <c r="I129" i="4"/>
  <c r="I109" i="4"/>
  <c r="I9" i="4"/>
  <c r="I329" i="4"/>
  <c r="I309" i="4"/>
  <c r="I209" i="4"/>
  <c r="I189" i="4"/>
  <c r="I89" i="4"/>
  <c r="I69" i="4"/>
  <c r="I289" i="4"/>
  <c r="I357" i="4"/>
  <c r="I77" i="4"/>
  <c r="I297" i="4"/>
  <c r="I277" i="4"/>
  <c r="I177" i="4"/>
  <c r="I157" i="4"/>
  <c r="I57" i="4"/>
  <c r="I37" i="4"/>
  <c r="I257" i="4"/>
  <c r="I237" i="4"/>
  <c r="I137" i="4"/>
  <c r="I117" i="4"/>
  <c r="I17" i="4"/>
  <c r="I337" i="4"/>
  <c r="I317" i="4"/>
  <c r="I217" i="4"/>
  <c r="I197" i="4"/>
  <c r="I97" i="4"/>
  <c r="I236" i="4"/>
  <c r="I256" i="4"/>
  <c r="I116" i="4"/>
  <c r="I136" i="4"/>
  <c r="I316" i="4"/>
  <c r="I16" i="4"/>
  <c r="I336" i="4"/>
  <c r="I196" i="4"/>
  <c r="I216" i="4"/>
  <c r="I76" i="4"/>
  <c r="I96" i="4"/>
  <c r="I276" i="4"/>
  <c r="I296" i="4"/>
  <c r="I156" i="4"/>
  <c r="I176" i="4"/>
  <c r="I36" i="4"/>
  <c r="I356" i="4"/>
  <c r="I56" i="4"/>
  <c r="I299" i="4"/>
  <c r="I199" i="4"/>
  <c r="I259" i="4"/>
  <c r="I159" i="4"/>
  <c r="I219" i="4"/>
  <c r="I179" i="4"/>
  <c r="I239" i="4"/>
  <c r="I139" i="4"/>
  <c r="I339" i="4"/>
  <c r="I319" i="4"/>
  <c r="I39" i="4"/>
  <c r="I99" i="4"/>
  <c r="I59" i="4"/>
  <c r="I279" i="4"/>
  <c r="I19" i="4"/>
  <c r="I119" i="4"/>
  <c r="I359" i="4"/>
  <c r="I79" i="4"/>
  <c r="I158" i="4"/>
  <c r="I138" i="4"/>
  <c r="I78" i="4"/>
  <c r="I38" i="4"/>
  <c r="I318" i="4"/>
  <c r="I98" i="4"/>
  <c r="I358" i="4"/>
  <c r="I198" i="4"/>
  <c r="I58" i="4"/>
  <c r="I278" i="4"/>
  <c r="I338" i="4"/>
  <c r="I218" i="4"/>
  <c r="I118" i="4"/>
  <c r="I18" i="4"/>
  <c r="I178" i="4"/>
  <c r="I258" i="4"/>
  <c r="I238" i="4"/>
  <c r="I298" i="4"/>
  <c r="I13" i="4"/>
  <c r="I333" i="4"/>
  <c r="I233" i="4"/>
  <c r="I213" i="4"/>
  <c r="I113" i="4"/>
  <c r="I93" i="4"/>
  <c r="I313" i="4"/>
  <c r="I293" i="4"/>
  <c r="I193" i="4"/>
  <c r="I173" i="4"/>
  <c r="I73" i="4"/>
  <c r="I53" i="4"/>
  <c r="I273" i="4"/>
  <c r="I253" i="4"/>
  <c r="I153" i="4"/>
  <c r="I133" i="4"/>
  <c r="I33" i="4"/>
  <c r="I353" i="4"/>
  <c r="I350" i="4"/>
  <c r="I110" i="4"/>
  <c r="I50" i="4"/>
  <c r="I310" i="4"/>
  <c r="I10" i="4"/>
  <c r="I330" i="4"/>
  <c r="I150" i="4"/>
  <c r="I230" i="4"/>
  <c r="I290" i="4"/>
  <c r="I210" i="4"/>
  <c r="I170" i="4"/>
  <c r="I70" i="4"/>
  <c r="I30" i="4"/>
  <c r="I130" i="4"/>
  <c r="I190" i="4"/>
  <c r="I250" i="4"/>
  <c r="I90" i="4"/>
  <c r="I270" i="4"/>
  <c r="I107" i="4"/>
  <c r="I67" i="4"/>
  <c r="I127" i="4"/>
  <c r="I207" i="4"/>
  <c r="I307" i="4"/>
  <c r="I27" i="4"/>
  <c r="I287" i="4"/>
  <c r="I87" i="4"/>
  <c r="I7" i="4"/>
  <c r="I267" i="4"/>
  <c r="I227" i="4"/>
  <c r="I47" i="4"/>
  <c r="I247" i="4"/>
  <c r="I187" i="4"/>
  <c r="I167" i="4"/>
  <c r="I327" i="4"/>
  <c r="I147" i="4"/>
  <c r="I347" i="4"/>
  <c r="I300" i="4"/>
  <c r="I320" i="4"/>
  <c r="I180" i="4"/>
  <c r="I200" i="4"/>
  <c r="I60" i="4"/>
  <c r="I80" i="4"/>
  <c r="I260" i="4"/>
  <c r="I280" i="4"/>
  <c r="I140" i="4"/>
  <c r="I160" i="4"/>
  <c r="I20" i="4"/>
  <c r="I340" i="4"/>
  <c r="I40" i="4"/>
  <c r="I360" i="4"/>
  <c r="I220" i="4"/>
  <c r="I240" i="4"/>
  <c r="I100" i="4"/>
  <c r="I120" i="4"/>
  <c r="I294" i="4"/>
  <c r="I74" i="4"/>
  <c r="I334" i="4"/>
  <c r="I354" i="4"/>
  <c r="I54" i="4"/>
  <c r="I14" i="4"/>
  <c r="I174" i="4"/>
  <c r="I134" i="4"/>
  <c r="I254" i="4"/>
  <c r="I314" i="4"/>
  <c r="I234" i="4"/>
  <c r="I194" i="4"/>
  <c r="I94" i="4"/>
  <c r="I154" i="4"/>
  <c r="I214" i="4"/>
  <c r="I274" i="4"/>
  <c r="I34" i="4"/>
  <c r="I114" i="4"/>
  <c r="I151" i="4"/>
  <c r="I351" i="4"/>
  <c r="I331" i="4"/>
  <c r="I171" i="4"/>
  <c r="I131" i="4"/>
  <c r="I231" i="4"/>
  <c r="I31" i="4"/>
  <c r="I91" i="4"/>
  <c r="I11" i="4"/>
  <c r="I71" i="4"/>
  <c r="I191" i="4"/>
  <c r="I51" i="4"/>
  <c r="I271" i="4"/>
  <c r="I111" i="4"/>
  <c r="I291" i="4"/>
  <c r="I251" i="4"/>
  <c r="I211" i="4"/>
  <c r="I311" i="4"/>
  <c r="I108" i="4"/>
  <c r="I128" i="4"/>
  <c r="I308" i="4"/>
  <c r="I8" i="4"/>
  <c r="I328" i="4"/>
  <c r="I188" i="4"/>
  <c r="I208" i="4"/>
  <c r="I68" i="4"/>
  <c r="I88" i="4"/>
  <c r="I268" i="4"/>
  <c r="I288" i="4"/>
  <c r="I148" i="4"/>
  <c r="I168" i="4"/>
  <c r="I28" i="4"/>
  <c r="I348" i="4"/>
  <c r="I48" i="4"/>
  <c r="I228" i="4"/>
  <c r="I248" i="4"/>
  <c r="I175" i="4"/>
  <c r="I195" i="4"/>
  <c r="I155" i="4"/>
  <c r="I55" i="4"/>
  <c r="I135" i="4"/>
  <c r="I115" i="4"/>
  <c r="I15" i="4"/>
  <c r="I215" i="4"/>
  <c r="I75" i="4"/>
  <c r="I35" i="4"/>
  <c r="I255" i="4"/>
  <c r="I355" i="4"/>
  <c r="I95" i="4"/>
  <c r="I335" i="4"/>
  <c r="I295" i="4"/>
  <c r="I315" i="4"/>
  <c r="I275" i="4"/>
  <c r="I235" i="4"/>
  <c r="I141" i="4"/>
  <c r="I41" i="4"/>
  <c r="I361" i="4"/>
  <c r="I21" i="4"/>
  <c r="I341" i="4"/>
  <c r="I241" i="4"/>
  <c r="I221" i="4"/>
  <c r="I121" i="4"/>
  <c r="I101" i="4"/>
  <c r="I321" i="4"/>
  <c r="I301" i="4"/>
  <c r="I201" i="4"/>
  <c r="I181" i="4"/>
  <c r="I81" i="4"/>
  <c r="I61" i="4"/>
  <c r="I281" i="4"/>
  <c r="I261" i="4"/>
  <c r="I1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<sst xmlns="http://schemas.openxmlformats.org/spreadsheetml/2006/main" count="7494" uniqueCount="167">
  <si>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</si>
  <si>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</si>
  <si>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</si>
  <si>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</si>
  <si>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</si>
  <si>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</si>
  <si>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</si>
  <si>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</si>
  <si>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</si>
  <si>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</si>
  <si>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</si>
  <si>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</si>
  <si>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</si>
  <si>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</si>
  <si>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</si>
  <si>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</si>
  <si>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</si>
  <si>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</si>
  <si>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</si>
  <si>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</si>
  <si>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</si>
  <si>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</si>
  <si>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</si>
  <si>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</si>
  <si>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</si>
  <si>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</si>
  <si>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</si>
  <si>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</si>
  <si>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</si>
  <si>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</si>
  <si>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</si>
  <si>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</si>
  <si>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</si>
  <si>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</si>
  <si>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</si>
  <si>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</si>
  <si>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</si>
  <si>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</si>
  <si>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</si>
  <si>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</si>
  <si>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</si>
  <si>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</si>
  <si>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</si>
  <si>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</si>
  <si>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</si>
  <si>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</si>
  <si>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</si>
  <si>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</si>
  <si>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</si>
  <si>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</si>
  <si>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</si>
  <si>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</si>
  <si>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</si>
  <si>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</si>
  <si>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</si>
  <si>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</si>
  <si>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</si>
  <si>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</si>
  <si>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</si>
  <si>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</si>
  <si>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</si>
  <si>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</si>
  <si>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</si>
  <si>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</si>
  <si>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</si>
  <si>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</si>
  <si>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</si>
  <si>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</si>
  <si>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</si>
  <si>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</si>
  <si>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</si>
  <si>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</si>
  <si>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</si>
  <si>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</si>
  <si>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</si>
  <si>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</si>
  <si>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</si>
  <si>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</si>
  <si>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</si>
  <si>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</si>
  <si>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</si>
  <si>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</si>
  <si>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</si>
  <si>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</si>
  <si>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</si>
  <si>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</si>
  <si>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</si>
  <si>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</si>
  <si>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</si>
  <si>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</si>
  <si>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</si>
  <si>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Halswell Junction Road_Sabys Road_Intersection</t>
  </si>
  <si>
    <t>Halswell Junction Road South-East</t>
  </si>
  <si>
    <t>Sabys Road South</t>
  </si>
  <si>
    <t>Halswell Junction Road North-West</t>
  </si>
  <si>
    <t>Hard Left into Sabys Road South</t>
  </si>
  <si>
    <t>Thru to Halswell Junction Road North-West</t>
  </si>
  <si>
    <t>Bear Left into Halswell Junction Road North-West</t>
  </si>
  <si>
    <t>Hard Right into Halswell Junction Road South-East</t>
  </si>
  <si>
    <t>Thru to Halswell Junction Road South-East</t>
  </si>
  <si>
    <t>Bear Right into Sabys Road South</t>
  </si>
  <si>
    <t>Halswell Junction Road_Sabys Road_Intersection      Fine      5/12/2024</t>
  </si>
  <si>
    <t>Halswell Junction Road South-East Total</t>
  </si>
  <si>
    <t>Sabys Road South Total</t>
  </si>
  <si>
    <t>Halswell Junction Road North-West Total</t>
  </si>
  <si>
    <t>Hard Left into Sabys Road South Total</t>
  </si>
  <si>
    <t>Thru to Halswell Junction Road North-West Total</t>
  </si>
  <si>
    <t>Bear Left into Halswell Junction Road North-West Total</t>
  </si>
  <si>
    <t>Hard Right into Halswell Junction Road South-East Total</t>
  </si>
  <si>
    <t>Thru to Halswell Junction Road South-East Total</t>
  </si>
  <si>
    <t>Bear Right into Sabys Road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</si>
  <si>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</si>
  <si>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</si>
  <si>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</si>
  <si>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</si>
  <si>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</si>
  <si>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</si>
  <si>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</si>
  <si>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</si>
  <si>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</si>
  <si>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</si>
  <si>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</si>
  <si>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</si>
  <si>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</si>
  <si>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</si>
  <si>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</si>
  <si>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</si>
  <si>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</si>
  <si>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</si>
  <si>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</si>
  <si>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</si>
  <si>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</si>
  <si>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</si>
  <si>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</si>
  <si>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</si>
  <si>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</si>
  <si>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</si>
  <si>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</si>
  <si>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</si>
  <si>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</si>
  <si>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</si>
  <si>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</si>
  <si>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</si>
  <si>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</si>
  <si>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</si>
  <si>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</si>
  <si>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</si>
  <si>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</si>
  <si>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</si>
  <si>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</si>
  <si>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</si>
  <si>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Halswell Junction Rd Eastbound</t>
  </si>
  <si>
    <t>n/a</t>
  </si>
  <si>
    <t>Sabys Rd</t>
  </si>
  <si>
    <t>Halswell Junction Rd Westbound</t>
  </si>
  <si>
    <t>Lights</t>
  </si>
  <si>
    <t>Classification</t>
  </si>
  <si>
    <t>Road</t>
  </si>
  <si>
    <t>Type</t>
  </si>
  <si>
    <t>Project</t>
  </si>
  <si>
    <t>Site Code</t>
  </si>
  <si>
    <t>12/05/2024</t>
  </si>
  <si>
    <t>Start Date</t>
  </si>
  <si>
    <t>CCC I0826 Halswell Junction Rd - Sabys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</si>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</sst>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FDB19FC-50A6-421C-BFC5-D97F63951DC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[I0826_Halswell Junction Road_Sabys Road_Intersection_05-12-2024.xlsx]Graphs!pvtGraphApproach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Junction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65</c:v>
                </c:pt>
                <c:pt idx="1">
                  <c:v>74</c:v>
                </c:pt>
                <c:pt idx="2">
                  <c:v>97</c:v>
                </c:pt>
                <c:pt idx="3">
                  <c:v>100</c:v>
                </c:pt>
                <c:pt idx="4">
                  <c:v>85</c:v>
                </c:pt>
                <c:pt idx="5">
                  <c:v>90</c:v>
                </c:pt>
                <c:pt idx="6">
                  <c:v>80</c:v>
                </c:pt>
                <c:pt idx="7">
                  <c:v>81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Junction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61</c:v>
                </c:pt>
                <c:pt idx="1">
                  <c:v>83</c:v>
                </c:pt>
                <c:pt idx="2">
                  <c:v>103</c:v>
                </c:pt>
                <c:pt idx="3">
                  <c:v>85</c:v>
                </c:pt>
                <c:pt idx="4">
                  <c:v>83</c:v>
                </c:pt>
                <c:pt idx="5">
                  <c:v>101</c:v>
                </c:pt>
                <c:pt idx="6">
                  <c:v>71</c:v>
                </c:pt>
                <c:pt idx="7">
                  <c:v>81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Sabys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59</c:v>
                </c:pt>
                <c:pt idx="1">
                  <c:v>63</c:v>
                </c:pt>
                <c:pt idx="2">
                  <c:v>75</c:v>
                </c:pt>
                <c:pt idx="3">
                  <c:v>84</c:v>
                </c:pt>
                <c:pt idx="4">
                  <c:v>60</c:v>
                </c:pt>
                <c:pt idx="5">
                  <c:v>100</c:v>
                </c:pt>
                <c:pt idx="6">
                  <c:v>87</c:v>
                </c:pt>
                <c:pt idx="7">
                  <c:v>72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[I0826_Halswell Junction Road_Sabys Road_Intersection_05-12-2024.xlsx]Graphs!pvtGraphExit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Halswell Junction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66</c:v>
                </c:pt>
                <c:pt idx="1">
                  <c:v>84</c:v>
                </c:pt>
                <c:pt idx="2">
                  <c:v>108</c:v>
                </c:pt>
                <c:pt idx="3">
                  <c:v>90</c:v>
                </c:pt>
                <c:pt idx="4">
                  <c:v>86</c:v>
                </c:pt>
                <c:pt idx="5">
                  <c:v>122</c:v>
                </c:pt>
                <c:pt idx="6">
                  <c:v>111</c:v>
                </c:pt>
                <c:pt idx="7">
                  <c:v>95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Junction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91</c:v>
                </c:pt>
                <c:pt idx="1">
                  <c:v>106</c:v>
                </c:pt>
                <c:pt idx="2">
                  <c:v>126</c:v>
                </c:pt>
                <c:pt idx="3">
                  <c:v>145</c:v>
                </c:pt>
                <c:pt idx="4">
                  <c:v>105</c:v>
                </c:pt>
                <c:pt idx="5">
                  <c:v>124</c:v>
                </c:pt>
                <c:pt idx="6">
                  <c:v>98</c:v>
                </c:pt>
                <c:pt idx="7">
                  <c:v>103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Sabys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c:v>
                </c:pt>
                <c:pt idx="1">
                  <c:v>30</c:v>
                </c:pt>
                <c:pt idx="2">
                  <c:v>41</c:v>
                </c:pt>
                <c:pt idx="3">
                  <c:v>34</c:v>
                </c:pt>
                <c:pt idx="4">
                  <c:v>37</c:v>
                </c:pt>
                <c:pt idx="5">
                  <c:v>45</c:v>
                </c:pt>
                <c:pt idx="6">
                  <c:v>29</c:v>
                </c:pt>
                <c:pt idx="7">
                  <c:v>36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[I0826_Halswell Junction Road_Sabys Road_Intersection_05-12-2024.xlsx]GraphData!PivotTable2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185</c:v>
                </c:pt>
                <c:pt idx="1">
                  <c:v>220</c:v>
                </c:pt>
                <c:pt idx="2">
                  <c:v>275</c:v>
                </c:pt>
                <c:pt idx="3">
                  <c:v>269</c:v>
                </c:pt>
                <c:pt idx="4">
                  <c:v>228</c:v>
                </c:pt>
                <c:pt idx="5">
                  <c:v>291</c:v>
                </c:pt>
                <c:pt idx="6">
                  <c:v>238</c:v>
                </c:pt>
                <c:pt idx="7">
                  <c:v>234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[I0826_Halswell Junction Road_Sabys Road_Intersection_05-12-2024.xlsx]PeakCalc!pvtPeak2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185</c:v>
                </c:pt>
                <c:pt idx="1">
                  <c:v>220</c:v>
                </c:pt>
                <c:pt idx="2">
                  <c:v>275</c:v>
                </c:pt>
                <c:pt idx="3">
                  <c:v>269</c:v>
                </c:pt>
                <c:pt idx="4">
                  <c:v>228</c:v>
                </c:pt>
                <c:pt idx="5">
                  <c:v>291</c:v>
                </c:pt>
                <c:pt idx="6">
                  <c:v>238</c:v>
                </c:pt>
                <c:pt idx="7">
                  <c:v>234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275</c:v>
                </c:pt>
                <c:pt idx="3">
                  <c:v>269</c:v>
                </c:pt>
                <c:pt idx="4">
                  <c:v>228</c:v>
                </c:pt>
                <c:pt idx="5">
                  <c:v>291</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11</xdr:col>
      <xdr:colOff>1847689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1962997</xdr:colOff>
      <xdr:row>5</xdr:row>
      <xdr:rowOff>3175</xdr:rowOff>
    </xdr:from>
    <xdr:to>
      <xdr:col>19</xdr:col>
      <xdr:colOff>1219462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1878329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564434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7.45194340277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49"/>
    </cacheField>
    <cacheField name="Peak" numFmtId="0">
      <sharedItems containsSemiMixedTypes="0" containsString="0" containsNumber="1" containsInteger="1" minValue="0" maxValue="34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7.452017013886" createdVersion="5" refreshedVersion="8" minRefreshableVersion="3" recordCount="360" xr:uid="{00000000-000A-0000-FFFF-FFFF01000000}">
  <cacheSource type="worksheet">
    <worksheetSource name="tblPivotData"/>
  </cacheSource>
  <cacheFields count="9">
    <cacheField name="Approach" numFmtId="0">
      <sharedItems count="6">
        <s v="Halswell Junction Road South-East"/>
        <s v="Sabys Road South"/>
        <s v="Halswell Junction Road North-West"/>
        <s v="Great south Rd (North)" u="1"/>
        <s v="Great south Rd (South)" u="1"/>
        <s v="Grange Rd" u="1"/>
      </sharedItems>
    </cacheField>
    <cacheField name="Movement" numFmtId="0">
      <sharedItems count="14">
        <s v="Hard Left into Sabys Road South"/>
        <s v="Thru to Halswell Junction Road North-West"/>
        <s v="Bear Left into Halswell Junction Road North-West"/>
        <s v="Hard Right into Halswell Junction Road South-East"/>
        <s v="Thru to Halswell Junction Road South-East"/>
        <s v="Bear Right into Saby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Sabys Road South"/>
        <s v="Halswell Junction Road North-West"/>
        <s v="Halswell Junction Road Sou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1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5"/>
    <n v="0"/>
  </r>
  <r>
    <x v="0"/>
    <x v="1"/>
    <n v="220"/>
    <n v="0"/>
  </r>
  <r>
    <x v="0"/>
    <x v="2"/>
    <n v="275"/>
    <n v="275"/>
  </r>
  <r>
    <x v="0"/>
    <x v="3"/>
    <n v="269"/>
    <n v="269"/>
  </r>
  <r>
    <x v="0"/>
    <x v="4"/>
    <n v="228"/>
    <n v="228"/>
  </r>
  <r>
    <x v="0"/>
    <x v="5"/>
    <n v="291"/>
    <n v="291"/>
  </r>
  <r>
    <x v="0"/>
    <x v="6"/>
    <n v="238"/>
    <n v="0"/>
  </r>
  <r>
    <x v="0"/>
    <x v="7"/>
    <n v="234"/>
    <n v="0"/>
  </r>
  <r>
    <x v="1"/>
    <x v="8"/>
    <n v="171"/>
    <n v="171"/>
  </r>
  <r>
    <x v="1"/>
    <x v="9"/>
    <n v="189"/>
    <n v="189"/>
  </r>
  <r>
    <x v="1"/>
    <x v="10"/>
    <n v="181"/>
    <n v="181"/>
  </r>
  <r>
    <x v="1"/>
    <x v="11"/>
    <n v="191"/>
    <n v="191"/>
  </r>
  <r>
    <x v="2"/>
    <x v="12"/>
    <n v="299"/>
    <n v="0"/>
  </r>
  <r>
    <x v="2"/>
    <x v="13"/>
    <n v="310"/>
    <n v="0"/>
  </r>
  <r>
    <x v="2"/>
    <x v="14"/>
    <n v="349"/>
    <n v="349"/>
  </r>
  <r>
    <x v="2"/>
    <x v="15"/>
    <n v="316"/>
    <n v="316"/>
  </r>
  <r>
    <x v="2"/>
    <x v="16"/>
    <n v="345"/>
    <n v="345"/>
  </r>
  <r>
    <x v="2"/>
    <x v="17"/>
    <n v="337"/>
    <n v="337"/>
  </r>
  <r>
    <x v="2"/>
    <x v="18"/>
    <n v="300"/>
    <n v="0"/>
  </r>
  <r>
    <x v="2"/>
    <x v="19"/>
    <n v="23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5"/>
    <x v="0"/>
    <x v="0"/>
  </r>
  <r>
    <x v="0"/>
    <x v="0"/>
    <x v="0"/>
    <x v="0"/>
    <x v="0"/>
    <x v="1"/>
    <n v="22"/>
    <x v="1"/>
    <x v="0"/>
  </r>
  <r>
    <x v="0"/>
    <x v="0"/>
    <x v="0"/>
    <x v="0"/>
    <x v="0"/>
    <x v="2"/>
    <n v="26"/>
    <x v="2"/>
    <x v="1"/>
  </r>
  <r>
    <x v="0"/>
    <x v="0"/>
    <x v="0"/>
    <x v="0"/>
    <x v="0"/>
    <x v="3"/>
    <n v="26"/>
    <x v="3"/>
    <x v="1"/>
  </r>
  <r>
    <x v="0"/>
    <x v="0"/>
    <x v="0"/>
    <x v="0"/>
    <x v="0"/>
    <x v="4"/>
    <n v="24"/>
    <x v="4"/>
    <x v="1"/>
  </r>
  <r>
    <x v="0"/>
    <x v="0"/>
    <x v="0"/>
    <x v="0"/>
    <x v="0"/>
    <x v="5"/>
    <n v="25"/>
    <x v="5"/>
    <x v="1"/>
  </r>
  <r>
    <x v="0"/>
    <x v="0"/>
    <x v="0"/>
    <x v="0"/>
    <x v="0"/>
    <x v="6"/>
    <n v="15"/>
    <x v="6"/>
    <x v="0"/>
  </r>
  <r>
    <x v="0"/>
    <x v="0"/>
    <x v="0"/>
    <x v="0"/>
    <x v="0"/>
    <x v="7"/>
    <n v="25"/>
    <x v="7"/>
    <x v="0"/>
  </r>
  <r>
    <x v="0"/>
    <x v="0"/>
    <x v="0"/>
    <x v="0"/>
    <x v="1"/>
    <x v="8"/>
    <n v="24"/>
    <x v="8"/>
    <x v="1"/>
  </r>
  <r>
    <x v="0"/>
    <x v="0"/>
    <x v="0"/>
    <x v="0"/>
    <x v="1"/>
    <x v="9"/>
    <n v="18"/>
    <x v="9"/>
    <x v="1"/>
  </r>
  <r>
    <x v="0"/>
    <x v="0"/>
    <x v="0"/>
    <x v="0"/>
    <x v="1"/>
    <x v="10"/>
    <n v="17"/>
    <x v="10"/>
    <x v="1"/>
  </r>
  <r>
    <x v="0"/>
    <x v="0"/>
    <x v="0"/>
    <x v="0"/>
    <x v="1"/>
    <x v="11"/>
    <n v="20"/>
    <x v="11"/>
    <x v="1"/>
  </r>
  <r>
    <x v="0"/>
    <x v="0"/>
    <x v="0"/>
    <x v="0"/>
    <x v="2"/>
    <x v="12"/>
    <n v="36"/>
    <x v="12"/>
    <x v="0"/>
  </r>
  <r>
    <x v="0"/>
    <x v="0"/>
    <x v="0"/>
    <x v="0"/>
    <x v="2"/>
    <x v="13"/>
    <n v="48"/>
    <x v="13"/>
    <x v="0"/>
  </r>
  <r>
    <x v="0"/>
    <x v="0"/>
    <x v="0"/>
    <x v="0"/>
    <x v="2"/>
    <x v="14"/>
    <n v="61"/>
    <x v="14"/>
    <x v="1"/>
  </r>
  <r>
    <x v="0"/>
    <x v="0"/>
    <x v="0"/>
    <x v="0"/>
    <x v="2"/>
    <x v="15"/>
    <n v="31"/>
    <x v="15"/>
    <x v="1"/>
  </r>
  <r>
    <x v="0"/>
    <x v="0"/>
    <x v="0"/>
    <x v="0"/>
    <x v="2"/>
    <x v="16"/>
    <n v="47"/>
    <x v="16"/>
    <x v="1"/>
  </r>
  <r>
    <x v="0"/>
    <x v="0"/>
    <x v="0"/>
    <x v="0"/>
    <x v="2"/>
    <x v="17"/>
    <n v="36"/>
    <x v="17"/>
    <x v="1"/>
  </r>
  <r>
    <x v="0"/>
    <x v="0"/>
    <x v="0"/>
    <x v="0"/>
    <x v="2"/>
    <x v="18"/>
    <n v="41"/>
    <x v="18"/>
    <x v="0"/>
  </r>
  <r>
    <x v="0"/>
    <x v="0"/>
    <x v="0"/>
    <x v="0"/>
    <x v="2"/>
    <x v="19"/>
    <n v="29"/>
    <x v="19"/>
    <x v="0"/>
  </r>
  <r>
    <x v="0"/>
    <x v="0"/>
    <x v="0"/>
    <x v="1"/>
    <x v="0"/>
    <x v="0"/>
    <n v="2"/>
    <x v="0"/>
    <x v="0"/>
  </r>
  <r>
    <x v="0"/>
    <x v="0"/>
    <x v="0"/>
    <x v="1"/>
    <x v="0"/>
    <x v="1"/>
    <n v="0"/>
    <x v="1"/>
    <x v="0"/>
  </r>
  <r>
    <x v="0"/>
    <x v="0"/>
    <x v="0"/>
    <x v="1"/>
    <x v="0"/>
    <x v="2"/>
    <n v="1"/>
    <x v="2"/>
    <x v="1"/>
  </r>
  <r>
    <x v="0"/>
    <x v="0"/>
    <x v="0"/>
    <x v="1"/>
    <x v="0"/>
    <x v="3"/>
    <n v="0"/>
    <x v="3"/>
    <x v="1"/>
  </r>
  <r>
    <x v="0"/>
    <x v="0"/>
    <x v="0"/>
    <x v="1"/>
    <x v="0"/>
    <x v="4"/>
    <n v="0"/>
    <x v="4"/>
    <x v="1"/>
  </r>
  <r>
    <x v="0"/>
    <x v="0"/>
    <x v="0"/>
    <x v="1"/>
    <x v="0"/>
    <x v="5"/>
    <n v="1"/>
    <x v="5"/>
    <x v="1"/>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3"/>
    <x v="11"/>
    <x v="1"/>
  </r>
  <r>
    <x v="0"/>
    <x v="0"/>
    <x v="0"/>
    <x v="1"/>
    <x v="2"/>
    <x v="12"/>
    <n v="1"/>
    <x v="12"/>
    <x v="0"/>
  </r>
  <r>
    <x v="0"/>
    <x v="0"/>
    <x v="0"/>
    <x v="1"/>
    <x v="2"/>
    <x v="13"/>
    <n v="0"/>
    <x v="13"/>
    <x v="0"/>
  </r>
  <r>
    <x v="0"/>
    <x v="0"/>
    <x v="0"/>
    <x v="1"/>
    <x v="2"/>
    <x v="14"/>
    <n v="2"/>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1"/>
    <x v="5"/>
    <x v="1"/>
  </r>
  <r>
    <x v="0"/>
    <x v="0"/>
    <x v="0"/>
    <x v="2"/>
    <x v="0"/>
    <x v="6"/>
    <n v="2"/>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1"/>
    <x v="14"/>
    <x v="1"/>
  </r>
  <r>
    <x v="0"/>
    <x v="0"/>
    <x v="0"/>
    <x v="2"/>
    <x v="2"/>
    <x v="15"/>
    <n v="0"/>
    <x v="15"/>
    <x v="1"/>
  </r>
  <r>
    <x v="0"/>
    <x v="0"/>
    <x v="0"/>
    <x v="2"/>
    <x v="2"/>
    <x v="16"/>
    <n v="0"/>
    <x v="16"/>
    <x v="1"/>
  </r>
  <r>
    <x v="0"/>
    <x v="0"/>
    <x v="0"/>
    <x v="2"/>
    <x v="2"/>
    <x v="17"/>
    <n v="0"/>
    <x v="17"/>
    <x v="1"/>
  </r>
  <r>
    <x v="0"/>
    <x v="0"/>
    <x v="0"/>
    <x v="2"/>
    <x v="2"/>
    <x v="18"/>
    <n v="1"/>
    <x v="18"/>
    <x v="0"/>
  </r>
  <r>
    <x v="0"/>
    <x v="0"/>
    <x v="0"/>
    <x v="2"/>
    <x v="2"/>
    <x v="19"/>
    <n v="0"/>
    <x v="19"/>
    <x v="0"/>
  </r>
  <r>
    <x v="0"/>
    <x v="1"/>
    <x v="1"/>
    <x v="0"/>
    <x v="0"/>
    <x v="0"/>
    <n v="41"/>
    <x v="0"/>
    <x v="0"/>
  </r>
  <r>
    <x v="0"/>
    <x v="1"/>
    <x v="1"/>
    <x v="0"/>
    <x v="0"/>
    <x v="1"/>
    <n v="58"/>
    <x v="1"/>
    <x v="0"/>
  </r>
  <r>
    <x v="0"/>
    <x v="1"/>
    <x v="1"/>
    <x v="0"/>
    <x v="0"/>
    <x v="2"/>
    <n v="69"/>
    <x v="2"/>
    <x v="1"/>
  </r>
  <r>
    <x v="0"/>
    <x v="1"/>
    <x v="1"/>
    <x v="0"/>
    <x v="0"/>
    <x v="3"/>
    <n v="52"/>
    <x v="3"/>
    <x v="1"/>
  </r>
  <r>
    <x v="0"/>
    <x v="1"/>
    <x v="1"/>
    <x v="0"/>
    <x v="0"/>
    <x v="4"/>
    <n v="53"/>
    <x v="4"/>
    <x v="1"/>
  </r>
  <r>
    <x v="0"/>
    <x v="1"/>
    <x v="1"/>
    <x v="0"/>
    <x v="0"/>
    <x v="5"/>
    <n v="70"/>
    <x v="5"/>
    <x v="1"/>
  </r>
  <r>
    <x v="0"/>
    <x v="1"/>
    <x v="1"/>
    <x v="0"/>
    <x v="0"/>
    <x v="6"/>
    <n v="54"/>
    <x v="6"/>
    <x v="0"/>
  </r>
  <r>
    <x v="0"/>
    <x v="1"/>
    <x v="1"/>
    <x v="0"/>
    <x v="0"/>
    <x v="7"/>
    <n v="51"/>
    <x v="7"/>
    <x v="0"/>
  </r>
  <r>
    <x v="0"/>
    <x v="1"/>
    <x v="1"/>
    <x v="0"/>
    <x v="1"/>
    <x v="8"/>
    <n v="48"/>
    <x v="8"/>
    <x v="1"/>
  </r>
  <r>
    <x v="0"/>
    <x v="1"/>
    <x v="1"/>
    <x v="0"/>
    <x v="1"/>
    <x v="9"/>
    <n v="48"/>
    <x v="9"/>
    <x v="1"/>
  </r>
  <r>
    <x v="0"/>
    <x v="1"/>
    <x v="1"/>
    <x v="0"/>
    <x v="1"/>
    <x v="10"/>
    <n v="53"/>
    <x v="10"/>
    <x v="1"/>
  </r>
  <r>
    <x v="0"/>
    <x v="1"/>
    <x v="1"/>
    <x v="0"/>
    <x v="1"/>
    <x v="11"/>
    <n v="48"/>
    <x v="11"/>
    <x v="1"/>
  </r>
  <r>
    <x v="0"/>
    <x v="1"/>
    <x v="1"/>
    <x v="0"/>
    <x v="2"/>
    <x v="12"/>
    <n v="83"/>
    <x v="12"/>
    <x v="0"/>
  </r>
  <r>
    <x v="0"/>
    <x v="1"/>
    <x v="1"/>
    <x v="0"/>
    <x v="2"/>
    <x v="13"/>
    <n v="76"/>
    <x v="13"/>
    <x v="0"/>
  </r>
  <r>
    <x v="0"/>
    <x v="1"/>
    <x v="1"/>
    <x v="0"/>
    <x v="2"/>
    <x v="14"/>
    <n v="83"/>
    <x v="14"/>
    <x v="1"/>
  </r>
  <r>
    <x v="0"/>
    <x v="1"/>
    <x v="1"/>
    <x v="0"/>
    <x v="2"/>
    <x v="15"/>
    <n v="77"/>
    <x v="15"/>
    <x v="1"/>
  </r>
  <r>
    <x v="0"/>
    <x v="1"/>
    <x v="1"/>
    <x v="0"/>
    <x v="2"/>
    <x v="16"/>
    <n v="93"/>
    <x v="16"/>
    <x v="1"/>
  </r>
  <r>
    <x v="0"/>
    <x v="1"/>
    <x v="1"/>
    <x v="0"/>
    <x v="2"/>
    <x v="17"/>
    <n v="81"/>
    <x v="17"/>
    <x v="1"/>
  </r>
  <r>
    <x v="0"/>
    <x v="1"/>
    <x v="1"/>
    <x v="0"/>
    <x v="2"/>
    <x v="18"/>
    <n v="76"/>
    <x v="18"/>
    <x v="0"/>
  </r>
  <r>
    <x v="0"/>
    <x v="1"/>
    <x v="1"/>
    <x v="0"/>
    <x v="2"/>
    <x v="19"/>
    <n v="54"/>
    <x v="19"/>
    <x v="0"/>
  </r>
  <r>
    <x v="0"/>
    <x v="1"/>
    <x v="1"/>
    <x v="1"/>
    <x v="0"/>
    <x v="0"/>
    <n v="3"/>
    <x v="0"/>
    <x v="0"/>
  </r>
  <r>
    <x v="0"/>
    <x v="1"/>
    <x v="1"/>
    <x v="1"/>
    <x v="0"/>
    <x v="1"/>
    <n v="2"/>
    <x v="1"/>
    <x v="0"/>
  </r>
  <r>
    <x v="0"/>
    <x v="1"/>
    <x v="1"/>
    <x v="1"/>
    <x v="0"/>
    <x v="2"/>
    <n v="6"/>
    <x v="2"/>
    <x v="1"/>
  </r>
  <r>
    <x v="0"/>
    <x v="1"/>
    <x v="1"/>
    <x v="1"/>
    <x v="0"/>
    <x v="3"/>
    <n v="6"/>
    <x v="3"/>
    <x v="1"/>
  </r>
  <r>
    <x v="0"/>
    <x v="1"/>
    <x v="1"/>
    <x v="1"/>
    <x v="0"/>
    <x v="4"/>
    <n v="5"/>
    <x v="4"/>
    <x v="1"/>
  </r>
  <r>
    <x v="0"/>
    <x v="1"/>
    <x v="1"/>
    <x v="1"/>
    <x v="0"/>
    <x v="5"/>
    <n v="3"/>
    <x v="5"/>
    <x v="1"/>
  </r>
  <r>
    <x v="0"/>
    <x v="1"/>
    <x v="1"/>
    <x v="1"/>
    <x v="0"/>
    <x v="6"/>
    <n v="0"/>
    <x v="6"/>
    <x v="0"/>
  </r>
  <r>
    <x v="0"/>
    <x v="1"/>
    <x v="1"/>
    <x v="1"/>
    <x v="0"/>
    <x v="7"/>
    <n v="4"/>
    <x v="7"/>
    <x v="0"/>
  </r>
  <r>
    <x v="0"/>
    <x v="1"/>
    <x v="1"/>
    <x v="1"/>
    <x v="1"/>
    <x v="8"/>
    <n v="5"/>
    <x v="8"/>
    <x v="1"/>
  </r>
  <r>
    <x v="0"/>
    <x v="1"/>
    <x v="1"/>
    <x v="1"/>
    <x v="1"/>
    <x v="9"/>
    <n v="6"/>
    <x v="9"/>
    <x v="1"/>
  </r>
  <r>
    <x v="0"/>
    <x v="1"/>
    <x v="1"/>
    <x v="1"/>
    <x v="1"/>
    <x v="10"/>
    <n v="4"/>
    <x v="10"/>
    <x v="1"/>
  </r>
  <r>
    <x v="0"/>
    <x v="1"/>
    <x v="1"/>
    <x v="1"/>
    <x v="1"/>
    <x v="11"/>
    <n v="8"/>
    <x v="11"/>
    <x v="1"/>
  </r>
  <r>
    <x v="0"/>
    <x v="1"/>
    <x v="1"/>
    <x v="1"/>
    <x v="2"/>
    <x v="12"/>
    <n v="4"/>
    <x v="12"/>
    <x v="0"/>
  </r>
  <r>
    <x v="0"/>
    <x v="1"/>
    <x v="1"/>
    <x v="1"/>
    <x v="2"/>
    <x v="13"/>
    <n v="3"/>
    <x v="13"/>
    <x v="0"/>
  </r>
  <r>
    <x v="0"/>
    <x v="1"/>
    <x v="1"/>
    <x v="1"/>
    <x v="2"/>
    <x v="14"/>
    <n v="7"/>
    <x v="14"/>
    <x v="1"/>
  </r>
  <r>
    <x v="0"/>
    <x v="1"/>
    <x v="1"/>
    <x v="1"/>
    <x v="2"/>
    <x v="15"/>
    <n v="7"/>
    <x v="15"/>
    <x v="1"/>
  </r>
  <r>
    <x v="0"/>
    <x v="1"/>
    <x v="1"/>
    <x v="1"/>
    <x v="2"/>
    <x v="16"/>
    <n v="3"/>
    <x v="16"/>
    <x v="1"/>
  </r>
  <r>
    <x v="0"/>
    <x v="1"/>
    <x v="1"/>
    <x v="1"/>
    <x v="2"/>
    <x v="17"/>
    <n v="2"/>
    <x v="17"/>
    <x v="1"/>
  </r>
  <r>
    <x v="0"/>
    <x v="1"/>
    <x v="1"/>
    <x v="1"/>
    <x v="2"/>
    <x v="18"/>
    <n v="2"/>
    <x v="18"/>
    <x v="0"/>
  </r>
  <r>
    <x v="0"/>
    <x v="1"/>
    <x v="1"/>
    <x v="1"/>
    <x v="2"/>
    <x v="19"/>
    <n v="3"/>
    <x v="19"/>
    <x v="0"/>
  </r>
  <r>
    <x v="0"/>
    <x v="1"/>
    <x v="1"/>
    <x v="2"/>
    <x v="0"/>
    <x v="0"/>
    <n v="0"/>
    <x v="0"/>
    <x v="0"/>
  </r>
  <r>
    <x v="0"/>
    <x v="1"/>
    <x v="1"/>
    <x v="2"/>
    <x v="0"/>
    <x v="1"/>
    <n v="1"/>
    <x v="1"/>
    <x v="0"/>
  </r>
  <r>
    <x v="0"/>
    <x v="1"/>
    <x v="1"/>
    <x v="2"/>
    <x v="0"/>
    <x v="2"/>
    <n v="1"/>
    <x v="2"/>
    <x v="1"/>
  </r>
  <r>
    <x v="0"/>
    <x v="1"/>
    <x v="1"/>
    <x v="2"/>
    <x v="0"/>
    <x v="3"/>
    <n v="1"/>
    <x v="3"/>
    <x v="1"/>
  </r>
  <r>
    <x v="0"/>
    <x v="1"/>
    <x v="1"/>
    <x v="2"/>
    <x v="0"/>
    <x v="4"/>
    <n v="1"/>
    <x v="4"/>
    <x v="1"/>
  </r>
  <r>
    <x v="0"/>
    <x v="1"/>
    <x v="1"/>
    <x v="2"/>
    <x v="0"/>
    <x v="5"/>
    <n v="1"/>
    <x v="5"/>
    <x v="1"/>
  </r>
  <r>
    <x v="0"/>
    <x v="1"/>
    <x v="1"/>
    <x v="2"/>
    <x v="0"/>
    <x v="6"/>
    <n v="0"/>
    <x v="6"/>
    <x v="0"/>
  </r>
  <r>
    <x v="0"/>
    <x v="1"/>
    <x v="1"/>
    <x v="2"/>
    <x v="0"/>
    <x v="7"/>
    <n v="1"/>
    <x v="7"/>
    <x v="0"/>
  </r>
  <r>
    <x v="0"/>
    <x v="1"/>
    <x v="1"/>
    <x v="2"/>
    <x v="1"/>
    <x v="8"/>
    <n v="2"/>
    <x v="8"/>
    <x v="1"/>
  </r>
  <r>
    <x v="0"/>
    <x v="1"/>
    <x v="1"/>
    <x v="2"/>
    <x v="1"/>
    <x v="9"/>
    <n v="0"/>
    <x v="9"/>
    <x v="1"/>
  </r>
  <r>
    <x v="0"/>
    <x v="1"/>
    <x v="1"/>
    <x v="2"/>
    <x v="1"/>
    <x v="10"/>
    <n v="2"/>
    <x v="10"/>
    <x v="1"/>
  </r>
  <r>
    <x v="0"/>
    <x v="1"/>
    <x v="1"/>
    <x v="2"/>
    <x v="1"/>
    <x v="11"/>
    <n v="0"/>
    <x v="11"/>
    <x v="1"/>
  </r>
  <r>
    <x v="0"/>
    <x v="1"/>
    <x v="1"/>
    <x v="2"/>
    <x v="2"/>
    <x v="12"/>
    <n v="0"/>
    <x v="12"/>
    <x v="0"/>
  </r>
  <r>
    <x v="0"/>
    <x v="1"/>
    <x v="1"/>
    <x v="2"/>
    <x v="2"/>
    <x v="13"/>
    <n v="0"/>
    <x v="13"/>
    <x v="0"/>
  </r>
  <r>
    <x v="0"/>
    <x v="1"/>
    <x v="1"/>
    <x v="2"/>
    <x v="2"/>
    <x v="14"/>
    <n v="3"/>
    <x v="14"/>
    <x v="1"/>
  </r>
  <r>
    <x v="0"/>
    <x v="1"/>
    <x v="1"/>
    <x v="2"/>
    <x v="2"/>
    <x v="15"/>
    <n v="0"/>
    <x v="15"/>
    <x v="1"/>
  </r>
  <r>
    <x v="0"/>
    <x v="1"/>
    <x v="1"/>
    <x v="2"/>
    <x v="2"/>
    <x v="16"/>
    <n v="0"/>
    <x v="16"/>
    <x v="1"/>
  </r>
  <r>
    <x v="0"/>
    <x v="1"/>
    <x v="1"/>
    <x v="2"/>
    <x v="2"/>
    <x v="17"/>
    <n v="4"/>
    <x v="17"/>
    <x v="1"/>
  </r>
  <r>
    <x v="0"/>
    <x v="1"/>
    <x v="1"/>
    <x v="2"/>
    <x v="2"/>
    <x v="18"/>
    <n v="3"/>
    <x v="18"/>
    <x v="0"/>
  </r>
  <r>
    <x v="0"/>
    <x v="1"/>
    <x v="1"/>
    <x v="2"/>
    <x v="2"/>
    <x v="19"/>
    <n v="2"/>
    <x v="19"/>
    <x v="0"/>
  </r>
  <r>
    <x v="1"/>
    <x v="2"/>
    <x v="1"/>
    <x v="0"/>
    <x v="0"/>
    <x v="0"/>
    <n v="22"/>
    <x v="0"/>
    <x v="0"/>
  </r>
  <r>
    <x v="1"/>
    <x v="2"/>
    <x v="1"/>
    <x v="0"/>
    <x v="0"/>
    <x v="1"/>
    <n v="23"/>
    <x v="1"/>
    <x v="0"/>
  </r>
  <r>
    <x v="1"/>
    <x v="2"/>
    <x v="1"/>
    <x v="0"/>
    <x v="0"/>
    <x v="2"/>
    <n v="31"/>
    <x v="2"/>
    <x v="1"/>
  </r>
  <r>
    <x v="1"/>
    <x v="2"/>
    <x v="1"/>
    <x v="0"/>
    <x v="0"/>
    <x v="3"/>
    <n v="31"/>
    <x v="3"/>
    <x v="1"/>
  </r>
  <r>
    <x v="1"/>
    <x v="2"/>
    <x v="1"/>
    <x v="0"/>
    <x v="0"/>
    <x v="4"/>
    <n v="25"/>
    <x v="4"/>
    <x v="1"/>
  </r>
  <r>
    <x v="1"/>
    <x v="2"/>
    <x v="1"/>
    <x v="0"/>
    <x v="0"/>
    <x v="5"/>
    <n v="48"/>
    <x v="5"/>
    <x v="1"/>
  </r>
  <r>
    <x v="1"/>
    <x v="2"/>
    <x v="1"/>
    <x v="0"/>
    <x v="0"/>
    <x v="6"/>
    <n v="55"/>
    <x v="6"/>
    <x v="0"/>
  </r>
  <r>
    <x v="1"/>
    <x v="2"/>
    <x v="1"/>
    <x v="0"/>
    <x v="0"/>
    <x v="7"/>
    <n v="39"/>
    <x v="7"/>
    <x v="0"/>
  </r>
  <r>
    <x v="1"/>
    <x v="2"/>
    <x v="1"/>
    <x v="0"/>
    <x v="1"/>
    <x v="8"/>
    <n v="12"/>
    <x v="8"/>
    <x v="1"/>
  </r>
  <r>
    <x v="1"/>
    <x v="2"/>
    <x v="1"/>
    <x v="0"/>
    <x v="1"/>
    <x v="9"/>
    <n v="18"/>
    <x v="9"/>
    <x v="1"/>
  </r>
  <r>
    <x v="1"/>
    <x v="2"/>
    <x v="1"/>
    <x v="0"/>
    <x v="1"/>
    <x v="10"/>
    <n v="18"/>
    <x v="10"/>
    <x v="1"/>
  </r>
  <r>
    <x v="1"/>
    <x v="2"/>
    <x v="1"/>
    <x v="0"/>
    <x v="1"/>
    <x v="11"/>
    <n v="10"/>
    <x v="11"/>
    <x v="1"/>
  </r>
  <r>
    <x v="1"/>
    <x v="2"/>
    <x v="1"/>
    <x v="0"/>
    <x v="2"/>
    <x v="12"/>
    <n v="18"/>
    <x v="12"/>
    <x v="0"/>
  </r>
  <r>
    <x v="1"/>
    <x v="2"/>
    <x v="1"/>
    <x v="0"/>
    <x v="2"/>
    <x v="13"/>
    <n v="18"/>
    <x v="13"/>
    <x v="0"/>
  </r>
  <r>
    <x v="1"/>
    <x v="2"/>
    <x v="1"/>
    <x v="0"/>
    <x v="2"/>
    <x v="14"/>
    <n v="32"/>
    <x v="14"/>
    <x v="1"/>
  </r>
  <r>
    <x v="1"/>
    <x v="2"/>
    <x v="1"/>
    <x v="0"/>
    <x v="2"/>
    <x v="15"/>
    <n v="19"/>
    <x v="15"/>
    <x v="1"/>
  </r>
  <r>
    <x v="1"/>
    <x v="2"/>
    <x v="1"/>
    <x v="0"/>
    <x v="2"/>
    <x v="16"/>
    <n v="20"/>
    <x v="16"/>
    <x v="1"/>
  </r>
  <r>
    <x v="1"/>
    <x v="2"/>
    <x v="1"/>
    <x v="0"/>
    <x v="2"/>
    <x v="17"/>
    <n v="34"/>
    <x v="17"/>
    <x v="1"/>
  </r>
  <r>
    <x v="1"/>
    <x v="2"/>
    <x v="1"/>
    <x v="0"/>
    <x v="2"/>
    <x v="18"/>
    <n v="19"/>
    <x v="18"/>
    <x v="0"/>
  </r>
  <r>
    <x v="1"/>
    <x v="2"/>
    <x v="1"/>
    <x v="0"/>
    <x v="2"/>
    <x v="19"/>
    <n v="17"/>
    <x v="19"/>
    <x v="0"/>
  </r>
  <r>
    <x v="1"/>
    <x v="2"/>
    <x v="1"/>
    <x v="1"/>
    <x v="0"/>
    <x v="0"/>
    <n v="0"/>
    <x v="0"/>
    <x v="0"/>
  </r>
  <r>
    <x v="1"/>
    <x v="2"/>
    <x v="1"/>
    <x v="1"/>
    <x v="0"/>
    <x v="1"/>
    <n v="0"/>
    <x v="1"/>
    <x v="0"/>
  </r>
  <r>
    <x v="1"/>
    <x v="2"/>
    <x v="1"/>
    <x v="1"/>
    <x v="0"/>
    <x v="2"/>
    <n v="1"/>
    <x v="2"/>
    <x v="1"/>
  </r>
  <r>
    <x v="1"/>
    <x v="2"/>
    <x v="1"/>
    <x v="1"/>
    <x v="0"/>
    <x v="3"/>
    <n v="0"/>
    <x v="3"/>
    <x v="1"/>
  </r>
  <r>
    <x v="1"/>
    <x v="2"/>
    <x v="1"/>
    <x v="1"/>
    <x v="0"/>
    <x v="4"/>
    <n v="1"/>
    <x v="4"/>
    <x v="1"/>
  </r>
  <r>
    <x v="1"/>
    <x v="2"/>
    <x v="1"/>
    <x v="1"/>
    <x v="0"/>
    <x v="5"/>
    <n v="0"/>
    <x v="5"/>
    <x v="1"/>
  </r>
  <r>
    <x v="1"/>
    <x v="2"/>
    <x v="1"/>
    <x v="1"/>
    <x v="0"/>
    <x v="6"/>
    <n v="1"/>
    <x v="6"/>
    <x v="0"/>
  </r>
  <r>
    <x v="1"/>
    <x v="2"/>
    <x v="1"/>
    <x v="1"/>
    <x v="0"/>
    <x v="7"/>
    <n v="0"/>
    <x v="7"/>
    <x v="0"/>
  </r>
  <r>
    <x v="1"/>
    <x v="2"/>
    <x v="1"/>
    <x v="1"/>
    <x v="1"/>
    <x v="8"/>
    <n v="0"/>
    <x v="8"/>
    <x v="1"/>
  </r>
  <r>
    <x v="1"/>
    <x v="2"/>
    <x v="1"/>
    <x v="1"/>
    <x v="1"/>
    <x v="9"/>
    <n v="0"/>
    <x v="9"/>
    <x v="1"/>
  </r>
  <r>
    <x v="1"/>
    <x v="2"/>
    <x v="1"/>
    <x v="1"/>
    <x v="1"/>
    <x v="10"/>
    <n v="0"/>
    <x v="10"/>
    <x v="1"/>
  </r>
  <r>
    <x v="1"/>
    <x v="2"/>
    <x v="1"/>
    <x v="1"/>
    <x v="1"/>
    <x v="11"/>
    <n v="1"/>
    <x v="11"/>
    <x v="1"/>
  </r>
  <r>
    <x v="1"/>
    <x v="2"/>
    <x v="1"/>
    <x v="1"/>
    <x v="2"/>
    <x v="12"/>
    <n v="1"/>
    <x v="12"/>
    <x v="0"/>
  </r>
  <r>
    <x v="1"/>
    <x v="2"/>
    <x v="1"/>
    <x v="1"/>
    <x v="2"/>
    <x v="13"/>
    <n v="0"/>
    <x v="13"/>
    <x v="0"/>
  </r>
  <r>
    <x v="1"/>
    <x v="2"/>
    <x v="1"/>
    <x v="1"/>
    <x v="2"/>
    <x v="14"/>
    <n v="3"/>
    <x v="14"/>
    <x v="1"/>
  </r>
  <r>
    <x v="1"/>
    <x v="2"/>
    <x v="1"/>
    <x v="1"/>
    <x v="2"/>
    <x v="15"/>
    <n v="0"/>
    <x v="15"/>
    <x v="1"/>
  </r>
  <r>
    <x v="1"/>
    <x v="2"/>
    <x v="1"/>
    <x v="1"/>
    <x v="2"/>
    <x v="16"/>
    <n v="0"/>
    <x v="16"/>
    <x v="1"/>
  </r>
  <r>
    <x v="1"/>
    <x v="2"/>
    <x v="1"/>
    <x v="1"/>
    <x v="2"/>
    <x v="17"/>
    <n v="0"/>
    <x v="17"/>
    <x v="1"/>
  </r>
  <r>
    <x v="1"/>
    <x v="2"/>
    <x v="1"/>
    <x v="1"/>
    <x v="2"/>
    <x v="18"/>
    <n v="0"/>
    <x v="18"/>
    <x v="0"/>
  </r>
  <r>
    <x v="1"/>
    <x v="2"/>
    <x v="1"/>
    <x v="1"/>
    <x v="2"/>
    <x v="19"/>
    <n v="0"/>
    <x v="19"/>
    <x v="0"/>
  </r>
  <r>
    <x v="1"/>
    <x v="2"/>
    <x v="1"/>
    <x v="2"/>
    <x v="0"/>
    <x v="0"/>
    <n v="0"/>
    <x v="0"/>
    <x v="0"/>
  </r>
  <r>
    <x v="1"/>
    <x v="2"/>
    <x v="1"/>
    <x v="2"/>
    <x v="0"/>
    <x v="1"/>
    <n v="0"/>
    <x v="1"/>
    <x v="0"/>
  </r>
  <r>
    <x v="1"/>
    <x v="2"/>
    <x v="1"/>
    <x v="2"/>
    <x v="0"/>
    <x v="2"/>
    <n v="0"/>
    <x v="2"/>
    <x v="1"/>
  </r>
  <r>
    <x v="1"/>
    <x v="2"/>
    <x v="1"/>
    <x v="2"/>
    <x v="0"/>
    <x v="3"/>
    <n v="0"/>
    <x v="3"/>
    <x v="1"/>
  </r>
  <r>
    <x v="1"/>
    <x v="2"/>
    <x v="1"/>
    <x v="2"/>
    <x v="0"/>
    <x v="4"/>
    <n v="1"/>
    <x v="4"/>
    <x v="1"/>
  </r>
  <r>
    <x v="1"/>
    <x v="2"/>
    <x v="1"/>
    <x v="2"/>
    <x v="0"/>
    <x v="5"/>
    <n v="0"/>
    <x v="5"/>
    <x v="1"/>
  </r>
  <r>
    <x v="1"/>
    <x v="2"/>
    <x v="1"/>
    <x v="2"/>
    <x v="0"/>
    <x v="6"/>
    <n v="1"/>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37"/>
    <x v="0"/>
    <x v="0"/>
  </r>
  <r>
    <x v="1"/>
    <x v="3"/>
    <x v="2"/>
    <x v="0"/>
    <x v="0"/>
    <x v="1"/>
    <n v="38"/>
    <x v="1"/>
    <x v="0"/>
  </r>
  <r>
    <x v="1"/>
    <x v="3"/>
    <x v="2"/>
    <x v="0"/>
    <x v="0"/>
    <x v="2"/>
    <n v="41"/>
    <x v="2"/>
    <x v="1"/>
  </r>
  <r>
    <x v="1"/>
    <x v="3"/>
    <x v="2"/>
    <x v="0"/>
    <x v="0"/>
    <x v="3"/>
    <n v="48"/>
    <x v="3"/>
    <x v="1"/>
  </r>
  <r>
    <x v="1"/>
    <x v="3"/>
    <x v="2"/>
    <x v="0"/>
    <x v="0"/>
    <x v="4"/>
    <n v="33"/>
    <x v="4"/>
    <x v="1"/>
  </r>
  <r>
    <x v="1"/>
    <x v="3"/>
    <x v="2"/>
    <x v="0"/>
    <x v="0"/>
    <x v="5"/>
    <n v="51"/>
    <x v="5"/>
    <x v="1"/>
  </r>
  <r>
    <x v="1"/>
    <x v="3"/>
    <x v="2"/>
    <x v="0"/>
    <x v="0"/>
    <x v="6"/>
    <n v="30"/>
    <x v="6"/>
    <x v="0"/>
  </r>
  <r>
    <x v="1"/>
    <x v="3"/>
    <x v="2"/>
    <x v="0"/>
    <x v="0"/>
    <x v="7"/>
    <n v="33"/>
    <x v="7"/>
    <x v="0"/>
  </r>
  <r>
    <x v="1"/>
    <x v="3"/>
    <x v="2"/>
    <x v="0"/>
    <x v="1"/>
    <x v="8"/>
    <n v="9"/>
    <x v="8"/>
    <x v="1"/>
  </r>
  <r>
    <x v="1"/>
    <x v="3"/>
    <x v="2"/>
    <x v="0"/>
    <x v="1"/>
    <x v="9"/>
    <n v="17"/>
    <x v="9"/>
    <x v="1"/>
  </r>
  <r>
    <x v="1"/>
    <x v="3"/>
    <x v="2"/>
    <x v="0"/>
    <x v="1"/>
    <x v="10"/>
    <n v="15"/>
    <x v="10"/>
    <x v="1"/>
  </r>
  <r>
    <x v="1"/>
    <x v="3"/>
    <x v="2"/>
    <x v="0"/>
    <x v="1"/>
    <x v="11"/>
    <n v="28"/>
    <x v="11"/>
    <x v="1"/>
  </r>
  <r>
    <x v="1"/>
    <x v="3"/>
    <x v="2"/>
    <x v="0"/>
    <x v="2"/>
    <x v="12"/>
    <n v="34"/>
    <x v="12"/>
    <x v="0"/>
  </r>
  <r>
    <x v="1"/>
    <x v="3"/>
    <x v="2"/>
    <x v="0"/>
    <x v="2"/>
    <x v="13"/>
    <n v="26"/>
    <x v="13"/>
    <x v="0"/>
  </r>
  <r>
    <x v="1"/>
    <x v="3"/>
    <x v="2"/>
    <x v="0"/>
    <x v="2"/>
    <x v="14"/>
    <n v="38"/>
    <x v="14"/>
    <x v="1"/>
  </r>
  <r>
    <x v="1"/>
    <x v="3"/>
    <x v="2"/>
    <x v="0"/>
    <x v="2"/>
    <x v="15"/>
    <n v="23"/>
    <x v="15"/>
    <x v="1"/>
  </r>
  <r>
    <x v="1"/>
    <x v="3"/>
    <x v="2"/>
    <x v="0"/>
    <x v="2"/>
    <x v="16"/>
    <n v="21"/>
    <x v="16"/>
    <x v="1"/>
  </r>
  <r>
    <x v="1"/>
    <x v="3"/>
    <x v="2"/>
    <x v="0"/>
    <x v="2"/>
    <x v="17"/>
    <n v="33"/>
    <x v="17"/>
    <x v="1"/>
  </r>
  <r>
    <x v="1"/>
    <x v="3"/>
    <x v="2"/>
    <x v="0"/>
    <x v="2"/>
    <x v="18"/>
    <n v="22"/>
    <x v="18"/>
    <x v="0"/>
  </r>
  <r>
    <x v="1"/>
    <x v="3"/>
    <x v="2"/>
    <x v="0"/>
    <x v="2"/>
    <x v="19"/>
    <n v="25"/>
    <x v="19"/>
    <x v="0"/>
  </r>
  <r>
    <x v="1"/>
    <x v="3"/>
    <x v="2"/>
    <x v="1"/>
    <x v="0"/>
    <x v="0"/>
    <n v="0"/>
    <x v="0"/>
    <x v="0"/>
  </r>
  <r>
    <x v="1"/>
    <x v="3"/>
    <x v="2"/>
    <x v="1"/>
    <x v="0"/>
    <x v="1"/>
    <n v="1"/>
    <x v="1"/>
    <x v="0"/>
  </r>
  <r>
    <x v="1"/>
    <x v="3"/>
    <x v="2"/>
    <x v="1"/>
    <x v="0"/>
    <x v="2"/>
    <n v="0"/>
    <x v="2"/>
    <x v="1"/>
  </r>
  <r>
    <x v="1"/>
    <x v="3"/>
    <x v="2"/>
    <x v="1"/>
    <x v="0"/>
    <x v="3"/>
    <n v="3"/>
    <x v="3"/>
    <x v="1"/>
  </r>
  <r>
    <x v="1"/>
    <x v="3"/>
    <x v="2"/>
    <x v="1"/>
    <x v="0"/>
    <x v="4"/>
    <n v="0"/>
    <x v="4"/>
    <x v="1"/>
  </r>
  <r>
    <x v="1"/>
    <x v="3"/>
    <x v="2"/>
    <x v="1"/>
    <x v="0"/>
    <x v="5"/>
    <n v="1"/>
    <x v="5"/>
    <x v="1"/>
  </r>
  <r>
    <x v="1"/>
    <x v="3"/>
    <x v="2"/>
    <x v="1"/>
    <x v="0"/>
    <x v="6"/>
    <n v="0"/>
    <x v="6"/>
    <x v="0"/>
  </r>
  <r>
    <x v="1"/>
    <x v="3"/>
    <x v="2"/>
    <x v="1"/>
    <x v="0"/>
    <x v="7"/>
    <n v="0"/>
    <x v="7"/>
    <x v="0"/>
  </r>
  <r>
    <x v="1"/>
    <x v="3"/>
    <x v="2"/>
    <x v="1"/>
    <x v="1"/>
    <x v="8"/>
    <n v="0"/>
    <x v="8"/>
    <x v="1"/>
  </r>
  <r>
    <x v="1"/>
    <x v="3"/>
    <x v="2"/>
    <x v="1"/>
    <x v="1"/>
    <x v="9"/>
    <n v="1"/>
    <x v="9"/>
    <x v="1"/>
  </r>
  <r>
    <x v="1"/>
    <x v="3"/>
    <x v="2"/>
    <x v="1"/>
    <x v="1"/>
    <x v="10"/>
    <n v="1"/>
    <x v="10"/>
    <x v="1"/>
  </r>
  <r>
    <x v="1"/>
    <x v="3"/>
    <x v="2"/>
    <x v="1"/>
    <x v="1"/>
    <x v="11"/>
    <n v="1"/>
    <x v="11"/>
    <x v="1"/>
  </r>
  <r>
    <x v="1"/>
    <x v="3"/>
    <x v="2"/>
    <x v="1"/>
    <x v="2"/>
    <x v="12"/>
    <n v="1"/>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1"/>
    <x v="19"/>
    <x v="0"/>
  </r>
  <r>
    <x v="1"/>
    <x v="3"/>
    <x v="2"/>
    <x v="2"/>
    <x v="0"/>
    <x v="0"/>
    <n v="0"/>
    <x v="0"/>
    <x v="0"/>
  </r>
  <r>
    <x v="1"/>
    <x v="3"/>
    <x v="2"/>
    <x v="2"/>
    <x v="0"/>
    <x v="1"/>
    <n v="1"/>
    <x v="1"/>
    <x v="0"/>
  </r>
  <r>
    <x v="1"/>
    <x v="3"/>
    <x v="2"/>
    <x v="2"/>
    <x v="0"/>
    <x v="2"/>
    <n v="2"/>
    <x v="2"/>
    <x v="1"/>
  </r>
  <r>
    <x v="1"/>
    <x v="3"/>
    <x v="2"/>
    <x v="2"/>
    <x v="0"/>
    <x v="3"/>
    <n v="2"/>
    <x v="3"/>
    <x v="1"/>
  </r>
  <r>
    <x v="1"/>
    <x v="3"/>
    <x v="2"/>
    <x v="2"/>
    <x v="0"/>
    <x v="4"/>
    <n v="0"/>
    <x v="4"/>
    <x v="1"/>
  </r>
  <r>
    <x v="1"/>
    <x v="3"/>
    <x v="2"/>
    <x v="2"/>
    <x v="0"/>
    <x v="5"/>
    <n v="0"/>
    <x v="5"/>
    <x v="1"/>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1"/>
    <x v="16"/>
    <x v="1"/>
  </r>
  <r>
    <x v="1"/>
    <x v="3"/>
    <x v="2"/>
    <x v="2"/>
    <x v="2"/>
    <x v="17"/>
    <n v="0"/>
    <x v="17"/>
    <x v="1"/>
  </r>
  <r>
    <x v="1"/>
    <x v="3"/>
    <x v="2"/>
    <x v="2"/>
    <x v="2"/>
    <x v="18"/>
    <n v="1"/>
    <x v="18"/>
    <x v="0"/>
  </r>
  <r>
    <x v="1"/>
    <x v="3"/>
    <x v="2"/>
    <x v="2"/>
    <x v="2"/>
    <x v="19"/>
    <n v="0"/>
    <x v="19"/>
    <x v="0"/>
  </r>
  <r>
    <x v="2"/>
    <x v="4"/>
    <x v="2"/>
    <x v="0"/>
    <x v="0"/>
    <x v="0"/>
    <n v="52"/>
    <x v="0"/>
    <x v="0"/>
  </r>
  <r>
    <x v="2"/>
    <x v="4"/>
    <x v="2"/>
    <x v="0"/>
    <x v="0"/>
    <x v="1"/>
    <n v="53"/>
    <x v="1"/>
    <x v="0"/>
  </r>
  <r>
    <x v="2"/>
    <x v="4"/>
    <x v="2"/>
    <x v="0"/>
    <x v="0"/>
    <x v="2"/>
    <n v="71"/>
    <x v="2"/>
    <x v="1"/>
  </r>
  <r>
    <x v="2"/>
    <x v="4"/>
    <x v="2"/>
    <x v="0"/>
    <x v="0"/>
    <x v="3"/>
    <n v="73"/>
    <x v="3"/>
    <x v="1"/>
  </r>
  <r>
    <x v="2"/>
    <x v="4"/>
    <x v="2"/>
    <x v="0"/>
    <x v="0"/>
    <x v="4"/>
    <n v="65"/>
    <x v="4"/>
    <x v="1"/>
  </r>
  <r>
    <x v="2"/>
    <x v="4"/>
    <x v="2"/>
    <x v="0"/>
    <x v="0"/>
    <x v="5"/>
    <n v="58"/>
    <x v="5"/>
    <x v="1"/>
  </r>
  <r>
    <x v="2"/>
    <x v="4"/>
    <x v="2"/>
    <x v="0"/>
    <x v="0"/>
    <x v="6"/>
    <n v="65"/>
    <x v="6"/>
    <x v="0"/>
  </r>
  <r>
    <x v="2"/>
    <x v="4"/>
    <x v="2"/>
    <x v="0"/>
    <x v="0"/>
    <x v="7"/>
    <n v="64"/>
    <x v="7"/>
    <x v="0"/>
  </r>
  <r>
    <x v="2"/>
    <x v="4"/>
    <x v="2"/>
    <x v="0"/>
    <x v="1"/>
    <x v="8"/>
    <n v="44"/>
    <x v="8"/>
    <x v="1"/>
  </r>
  <r>
    <x v="2"/>
    <x v="4"/>
    <x v="2"/>
    <x v="0"/>
    <x v="1"/>
    <x v="9"/>
    <n v="61"/>
    <x v="9"/>
    <x v="1"/>
  </r>
  <r>
    <x v="2"/>
    <x v="4"/>
    <x v="2"/>
    <x v="0"/>
    <x v="1"/>
    <x v="10"/>
    <n v="45"/>
    <x v="10"/>
    <x v="1"/>
  </r>
  <r>
    <x v="2"/>
    <x v="4"/>
    <x v="2"/>
    <x v="0"/>
    <x v="1"/>
    <x v="11"/>
    <n v="45"/>
    <x v="11"/>
    <x v="1"/>
  </r>
  <r>
    <x v="2"/>
    <x v="4"/>
    <x v="2"/>
    <x v="0"/>
    <x v="2"/>
    <x v="12"/>
    <n v="81"/>
    <x v="12"/>
    <x v="0"/>
  </r>
  <r>
    <x v="2"/>
    <x v="4"/>
    <x v="2"/>
    <x v="0"/>
    <x v="2"/>
    <x v="13"/>
    <n v="97"/>
    <x v="13"/>
    <x v="0"/>
  </r>
  <r>
    <x v="2"/>
    <x v="4"/>
    <x v="2"/>
    <x v="0"/>
    <x v="2"/>
    <x v="14"/>
    <n v="82"/>
    <x v="14"/>
    <x v="1"/>
  </r>
  <r>
    <x v="2"/>
    <x v="4"/>
    <x v="2"/>
    <x v="0"/>
    <x v="2"/>
    <x v="15"/>
    <n v="115"/>
    <x v="15"/>
    <x v="1"/>
  </r>
  <r>
    <x v="2"/>
    <x v="4"/>
    <x v="2"/>
    <x v="0"/>
    <x v="2"/>
    <x v="16"/>
    <n v="95"/>
    <x v="16"/>
    <x v="1"/>
  </r>
  <r>
    <x v="2"/>
    <x v="4"/>
    <x v="2"/>
    <x v="0"/>
    <x v="2"/>
    <x v="17"/>
    <n v="98"/>
    <x v="17"/>
    <x v="1"/>
  </r>
  <r>
    <x v="2"/>
    <x v="4"/>
    <x v="2"/>
    <x v="0"/>
    <x v="2"/>
    <x v="18"/>
    <n v="88"/>
    <x v="18"/>
    <x v="0"/>
  </r>
  <r>
    <x v="2"/>
    <x v="4"/>
    <x v="2"/>
    <x v="0"/>
    <x v="2"/>
    <x v="19"/>
    <n v="75"/>
    <x v="19"/>
    <x v="0"/>
  </r>
  <r>
    <x v="2"/>
    <x v="4"/>
    <x v="2"/>
    <x v="1"/>
    <x v="0"/>
    <x v="0"/>
    <n v="2"/>
    <x v="0"/>
    <x v="0"/>
  </r>
  <r>
    <x v="2"/>
    <x v="4"/>
    <x v="2"/>
    <x v="1"/>
    <x v="0"/>
    <x v="1"/>
    <n v="12"/>
    <x v="1"/>
    <x v="0"/>
  </r>
  <r>
    <x v="2"/>
    <x v="4"/>
    <x v="2"/>
    <x v="1"/>
    <x v="0"/>
    <x v="2"/>
    <n v="12"/>
    <x v="2"/>
    <x v="1"/>
  </r>
  <r>
    <x v="2"/>
    <x v="4"/>
    <x v="2"/>
    <x v="1"/>
    <x v="0"/>
    <x v="3"/>
    <n v="16"/>
    <x v="3"/>
    <x v="1"/>
  </r>
  <r>
    <x v="2"/>
    <x v="4"/>
    <x v="2"/>
    <x v="1"/>
    <x v="0"/>
    <x v="4"/>
    <n v="4"/>
    <x v="4"/>
    <x v="1"/>
  </r>
  <r>
    <x v="2"/>
    <x v="4"/>
    <x v="2"/>
    <x v="1"/>
    <x v="0"/>
    <x v="5"/>
    <n v="11"/>
    <x v="5"/>
    <x v="1"/>
  </r>
  <r>
    <x v="2"/>
    <x v="4"/>
    <x v="2"/>
    <x v="1"/>
    <x v="0"/>
    <x v="6"/>
    <n v="3"/>
    <x v="6"/>
    <x v="0"/>
  </r>
  <r>
    <x v="2"/>
    <x v="4"/>
    <x v="2"/>
    <x v="1"/>
    <x v="0"/>
    <x v="7"/>
    <n v="6"/>
    <x v="7"/>
    <x v="0"/>
  </r>
  <r>
    <x v="2"/>
    <x v="4"/>
    <x v="2"/>
    <x v="1"/>
    <x v="1"/>
    <x v="8"/>
    <n v="7"/>
    <x v="8"/>
    <x v="1"/>
  </r>
  <r>
    <x v="2"/>
    <x v="4"/>
    <x v="2"/>
    <x v="1"/>
    <x v="1"/>
    <x v="9"/>
    <n v="8"/>
    <x v="9"/>
    <x v="1"/>
  </r>
  <r>
    <x v="2"/>
    <x v="4"/>
    <x v="2"/>
    <x v="1"/>
    <x v="1"/>
    <x v="10"/>
    <n v="5"/>
    <x v="10"/>
    <x v="1"/>
  </r>
  <r>
    <x v="2"/>
    <x v="4"/>
    <x v="2"/>
    <x v="1"/>
    <x v="1"/>
    <x v="11"/>
    <n v="8"/>
    <x v="11"/>
    <x v="1"/>
  </r>
  <r>
    <x v="2"/>
    <x v="4"/>
    <x v="2"/>
    <x v="1"/>
    <x v="2"/>
    <x v="12"/>
    <n v="3"/>
    <x v="12"/>
    <x v="0"/>
  </r>
  <r>
    <x v="2"/>
    <x v="4"/>
    <x v="2"/>
    <x v="1"/>
    <x v="2"/>
    <x v="13"/>
    <n v="2"/>
    <x v="13"/>
    <x v="0"/>
  </r>
  <r>
    <x v="2"/>
    <x v="4"/>
    <x v="2"/>
    <x v="1"/>
    <x v="2"/>
    <x v="14"/>
    <n v="0"/>
    <x v="14"/>
    <x v="1"/>
  </r>
  <r>
    <x v="2"/>
    <x v="4"/>
    <x v="2"/>
    <x v="1"/>
    <x v="2"/>
    <x v="15"/>
    <n v="4"/>
    <x v="15"/>
    <x v="1"/>
  </r>
  <r>
    <x v="2"/>
    <x v="4"/>
    <x v="2"/>
    <x v="1"/>
    <x v="2"/>
    <x v="16"/>
    <n v="1"/>
    <x v="16"/>
    <x v="1"/>
  </r>
  <r>
    <x v="2"/>
    <x v="4"/>
    <x v="2"/>
    <x v="1"/>
    <x v="2"/>
    <x v="17"/>
    <n v="5"/>
    <x v="17"/>
    <x v="1"/>
  </r>
  <r>
    <x v="2"/>
    <x v="4"/>
    <x v="2"/>
    <x v="1"/>
    <x v="2"/>
    <x v="18"/>
    <n v="4"/>
    <x v="18"/>
    <x v="0"/>
  </r>
  <r>
    <x v="2"/>
    <x v="4"/>
    <x v="2"/>
    <x v="1"/>
    <x v="2"/>
    <x v="19"/>
    <n v="2"/>
    <x v="19"/>
    <x v="0"/>
  </r>
  <r>
    <x v="2"/>
    <x v="4"/>
    <x v="2"/>
    <x v="2"/>
    <x v="0"/>
    <x v="0"/>
    <n v="0"/>
    <x v="0"/>
    <x v="0"/>
  </r>
  <r>
    <x v="2"/>
    <x v="4"/>
    <x v="2"/>
    <x v="2"/>
    <x v="0"/>
    <x v="1"/>
    <n v="1"/>
    <x v="1"/>
    <x v="0"/>
  </r>
  <r>
    <x v="2"/>
    <x v="4"/>
    <x v="2"/>
    <x v="2"/>
    <x v="0"/>
    <x v="2"/>
    <n v="0"/>
    <x v="2"/>
    <x v="1"/>
  </r>
  <r>
    <x v="2"/>
    <x v="4"/>
    <x v="2"/>
    <x v="2"/>
    <x v="0"/>
    <x v="3"/>
    <n v="3"/>
    <x v="3"/>
    <x v="1"/>
  </r>
  <r>
    <x v="2"/>
    <x v="4"/>
    <x v="2"/>
    <x v="2"/>
    <x v="0"/>
    <x v="4"/>
    <n v="3"/>
    <x v="4"/>
    <x v="1"/>
  </r>
  <r>
    <x v="2"/>
    <x v="4"/>
    <x v="2"/>
    <x v="2"/>
    <x v="0"/>
    <x v="5"/>
    <n v="3"/>
    <x v="5"/>
    <x v="1"/>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1"/>
    <x v="13"/>
    <x v="0"/>
  </r>
  <r>
    <x v="2"/>
    <x v="4"/>
    <x v="2"/>
    <x v="2"/>
    <x v="2"/>
    <x v="14"/>
    <n v="1"/>
    <x v="14"/>
    <x v="1"/>
  </r>
  <r>
    <x v="2"/>
    <x v="4"/>
    <x v="2"/>
    <x v="2"/>
    <x v="2"/>
    <x v="15"/>
    <n v="0"/>
    <x v="15"/>
    <x v="1"/>
  </r>
  <r>
    <x v="2"/>
    <x v="4"/>
    <x v="2"/>
    <x v="2"/>
    <x v="2"/>
    <x v="16"/>
    <n v="1"/>
    <x v="16"/>
    <x v="1"/>
  </r>
  <r>
    <x v="2"/>
    <x v="4"/>
    <x v="2"/>
    <x v="2"/>
    <x v="2"/>
    <x v="17"/>
    <n v="2"/>
    <x v="17"/>
    <x v="1"/>
  </r>
  <r>
    <x v="2"/>
    <x v="4"/>
    <x v="2"/>
    <x v="2"/>
    <x v="2"/>
    <x v="18"/>
    <n v="0"/>
    <x v="18"/>
    <x v="0"/>
  </r>
  <r>
    <x v="2"/>
    <x v="4"/>
    <x v="2"/>
    <x v="2"/>
    <x v="2"/>
    <x v="19"/>
    <n v="0"/>
    <x v="19"/>
    <x v="0"/>
  </r>
  <r>
    <x v="2"/>
    <x v="5"/>
    <x v="0"/>
    <x v="0"/>
    <x v="0"/>
    <x v="0"/>
    <n v="11"/>
    <x v="0"/>
    <x v="0"/>
  </r>
  <r>
    <x v="2"/>
    <x v="5"/>
    <x v="0"/>
    <x v="0"/>
    <x v="0"/>
    <x v="1"/>
    <n v="7"/>
    <x v="1"/>
    <x v="0"/>
  </r>
  <r>
    <x v="2"/>
    <x v="5"/>
    <x v="0"/>
    <x v="0"/>
    <x v="0"/>
    <x v="2"/>
    <n v="12"/>
    <x v="2"/>
    <x v="1"/>
  </r>
  <r>
    <x v="2"/>
    <x v="5"/>
    <x v="0"/>
    <x v="0"/>
    <x v="0"/>
    <x v="3"/>
    <n v="7"/>
    <x v="3"/>
    <x v="1"/>
  </r>
  <r>
    <x v="2"/>
    <x v="5"/>
    <x v="0"/>
    <x v="0"/>
    <x v="0"/>
    <x v="4"/>
    <n v="13"/>
    <x v="4"/>
    <x v="1"/>
  </r>
  <r>
    <x v="2"/>
    <x v="5"/>
    <x v="0"/>
    <x v="0"/>
    <x v="0"/>
    <x v="5"/>
    <n v="18"/>
    <x v="5"/>
    <x v="1"/>
  </r>
  <r>
    <x v="2"/>
    <x v="5"/>
    <x v="0"/>
    <x v="0"/>
    <x v="0"/>
    <x v="6"/>
    <n v="11"/>
    <x v="6"/>
    <x v="0"/>
  </r>
  <r>
    <x v="2"/>
    <x v="5"/>
    <x v="0"/>
    <x v="0"/>
    <x v="0"/>
    <x v="7"/>
    <n v="10"/>
    <x v="7"/>
    <x v="0"/>
  </r>
  <r>
    <x v="2"/>
    <x v="5"/>
    <x v="0"/>
    <x v="0"/>
    <x v="1"/>
    <x v="8"/>
    <n v="20"/>
    <x v="8"/>
    <x v="1"/>
  </r>
  <r>
    <x v="2"/>
    <x v="5"/>
    <x v="0"/>
    <x v="0"/>
    <x v="1"/>
    <x v="9"/>
    <n v="12"/>
    <x v="9"/>
    <x v="1"/>
  </r>
  <r>
    <x v="2"/>
    <x v="5"/>
    <x v="0"/>
    <x v="0"/>
    <x v="1"/>
    <x v="10"/>
    <n v="21"/>
    <x v="10"/>
    <x v="1"/>
  </r>
  <r>
    <x v="2"/>
    <x v="5"/>
    <x v="0"/>
    <x v="0"/>
    <x v="1"/>
    <x v="11"/>
    <n v="18"/>
    <x v="11"/>
    <x v="1"/>
  </r>
  <r>
    <x v="2"/>
    <x v="5"/>
    <x v="0"/>
    <x v="0"/>
    <x v="2"/>
    <x v="12"/>
    <n v="36"/>
    <x v="12"/>
    <x v="0"/>
  </r>
  <r>
    <x v="2"/>
    <x v="5"/>
    <x v="0"/>
    <x v="0"/>
    <x v="2"/>
    <x v="13"/>
    <n v="38"/>
    <x v="13"/>
    <x v="0"/>
  </r>
  <r>
    <x v="2"/>
    <x v="5"/>
    <x v="0"/>
    <x v="0"/>
    <x v="2"/>
    <x v="14"/>
    <n v="36"/>
    <x v="14"/>
    <x v="1"/>
  </r>
  <r>
    <x v="2"/>
    <x v="5"/>
    <x v="0"/>
    <x v="0"/>
    <x v="2"/>
    <x v="15"/>
    <n v="40"/>
    <x v="15"/>
    <x v="1"/>
  </r>
  <r>
    <x v="2"/>
    <x v="5"/>
    <x v="0"/>
    <x v="0"/>
    <x v="2"/>
    <x v="16"/>
    <n v="60"/>
    <x v="16"/>
    <x v="1"/>
  </r>
  <r>
    <x v="2"/>
    <x v="5"/>
    <x v="0"/>
    <x v="0"/>
    <x v="2"/>
    <x v="17"/>
    <n v="41"/>
    <x v="17"/>
    <x v="1"/>
  </r>
  <r>
    <x v="2"/>
    <x v="5"/>
    <x v="0"/>
    <x v="0"/>
    <x v="2"/>
    <x v="18"/>
    <n v="43"/>
    <x v="18"/>
    <x v="0"/>
  </r>
  <r>
    <x v="2"/>
    <x v="5"/>
    <x v="0"/>
    <x v="0"/>
    <x v="2"/>
    <x v="19"/>
    <n v="22"/>
    <x v="19"/>
    <x v="0"/>
  </r>
  <r>
    <x v="2"/>
    <x v="5"/>
    <x v="0"/>
    <x v="1"/>
    <x v="0"/>
    <x v="0"/>
    <n v="0"/>
    <x v="0"/>
    <x v="0"/>
  </r>
  <r>
    <x v="2"/>
    <x v="5"/>
    <x v="0"/>
    <x v="1"/>
    <x v="0"/>
    <x v="1"/>
    <n v="1"/>
    <x v="1"/>
    <x v="0"/>
  </r>
  <r>
    <x v="2"/>
    <x v="5"/>
    <x v="0"/>
    <x v="1"/>
    <x v="0"/>
    <x v="2"/>
    <n v="2"/>
    <x v="2"/>
    <x v="1"/>
  </r>
  <r>
    <x v="2"/>
    <x v="5"/>
    <x v="0"/>
    <x v="1"/>
    <x v="0"/>
    <x v="3"/>
    <n v="1"/>
    <x v="3"/>
    <x v="1"/>
  </r>
  <r>
    <x v="2"/>
    <x v="5"/>
    <x v="0"/>
    <x v="1"/>
    <x v="0"/>
    <x v="4"/>
    <n v="0"/>
    <x v="4"/>
    <x v="1"/>
  </r>
  <r>
    <x v="2"/>
    <x v="5"/>
    <x v="0"/>
    <x v="1"/>
    <x v="0"/>
    <x v="5"/>
    <n v="0"/>
    <x v="5"/>
    <x v="1"/>
  </r>
  <r>
    <x v="2"/>
    <x v="5"/>
    <x v="0"/>
    <x v="1"/>
    <x v="0"/>
    <x v="6"/>
    <n v="1"/>
    <x v="6"/>
    <x v="0"/>
  </r>
  <r>
    <x v="2"/>
    <x v="5"/>
    <x v="0"/>
    <x v="1"/>
    <x v="0"/>
    <x v="7"/>
    <n v="1"/>
    <x v="7"/>
    <x v="0"/>
  </r>
  <r>
    <x v="2"/>
    <x v="5"/>
    <x v="0"/>
    <x v="1"/>
    <x v="1"/>
    <x v="8"/>
    <n v="0"/>
    <x v="8"/>
    <x v="1"/>
  </r>
  <r>
    <x v="2"/>
    <x v="5"/>
    <x v="0"/>
    <x v="1"/>
    <x v="1"/>
    <x v="9"/>
    <n v="0"/>
    <x v="9"/>
    <x v="1"/>
  </r>
  <r>
    <x v="2"/>
    <x v="5"/>
    <x v="0"/>
    <x v="1"/>
    <x v="1"/>
    <x v="10"/>
    <n v="0"/>
    <x v="10"/>
    <x v="1"/>
  </r>
  <r>
    <x v="2"/>
    <x v="5"/>
    <x v="0"/>
    <x v="1"/>
    <x v="1"/>
    <x v="11"/>
    <n v="1"/>
    <x v="11"/>
    <x v="1"/>
  </r>
  <r>
    <x v="2"/>
    <x v="5"/>
    <x v="0"/>
    <x v="1"/>
    <x v="2"/>
    <x v="12"/>
    <n v="0"/>
    <x v="12"/>
    <x v="0"/>
  </r>
  <r>
    <x v="2"/>
    <x v="5"/>
    <x v="0"/>
    <x v="1"/>
    <x v="2"/>
    <x v="13"/>
    <n v="0"/>
    <x v="13"/>
    <x v="0"/>
  </r>
  <r>
    <x v="2"/>
    <x v="5"/>
    <x v="0"/>
    <x v="1"/>
    <x v="2"/>
    <x v="14"/>
    <n v="0"/>
    <x v="14"/>
    <x v="1"/>
  </r>
  <r>
    <x v="2"/>
    <x v="5"/>
    <x v="0"/>
    <x v="1"/>
    <x v="2"/>
    <x v="15"/>
    <n v="0"/>
    <x v="15"/>
    <x v="1"/>
  </r>
  <r>
    <x v="2"/>
    <x v="5"/>
    <x v="0"/>
    <x v="1"/>
    <x v="2"/>
    <x v="16"/>
    <n v="2"/>
    <x v="16"/>
    <x v="1"/>
  </r>
  <r>
    <x v="2"/>
    <x v="5"/>
    <x v="0"/>
    <x v="1"/>
    <x v="2"/>
    <x v="17"/>
    <n v="0"/>
    <x v="17"/>
    <x v="1"/>
  </r>
  <r>
    <x v="2"/>
    <x v="5"/>
    <x v="0"/>
    <x v="1"/>
    <x v="2"/>
    <x v="18"/>
    <n v="0"/>
    <x v="18"/>
    <x v="0"/>
  </r>
  <r>
    <x v="2"/>
    <x v="5"/>
    <x v="0"/>
    <x v="1"/>
    <x v="2"/>
    <x v="19"/>
    <n v="1"/>
    <x v="19"/>
    <x v="0"/>
  </r>
  <r>
    <x v="2"/>
    <x v="5"/>
    <x v="0"/>
    <x v="2"/>
    <x v="0"/>
    <x v="0"/>
    <n v="0"/>
    <x v="0"/>
    <x v="0"/>
  </r>
  <r>
    <x v="2"/>
    <x v="5"/>
    <x v="0"/>
    <x v="2"/>
    <x v="0"/>
    <x v="1"/>
    <n v="0"/>
    <x v="1"/>
    <x v="0"/>
  </r>
  <r>
    <x v="2"/>
    <x v="5"/>
    <x v="0"/>
    <x v="2"/>
    <x v="0"/>
    <x v="2"/>
    <n v="0"/>
    <x v="2"/>
    <x v="1"/>
  </r>
  <r>
    <x v="2"/>
    <x v="5"/>
    <x v="0"/>
    <x v="2"/>
    <x v="0"/>
    <x v="3"/>
    <n v="0"/>
    <x v="3"/>
    <x v="1"/>
  </r>
  <r>
    <x v="2"/>
    <x v="5"/>
    <x v="0"/>
    <x v="2"/>
    <x v="0"/>
    <x v="4"/>
    <n v="0"/>
    <x v="4"/>
    <x v="1"/>
  </r>
  <r>
    <x v="2"/>
    <x v="5"/>
    <x v="0"/>
    <x v="2"/>
    <x v="0"/>
    <x v="5"/>
    <n v="0"/>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1"/>
    <x v="13"/>
    <x v="0"/>
  </r>
  <r>
    <x v="2"/>
    <x v="5"/>
    <x v="0"/>
    <x v="2"/>
    <x v="2"/>
    <x v="14"/>
    <n v="0"/>
    <x v="14"/>
    <x v="1"/>
  </r>
  <r>
    <x v="2"/>
    <x v="5"/>
    <x v="0"/>
    <x v="2"/>
    <x v="2"/>
    <x v="15"/>
    <n v="0"/>
    <x v="15"/>
    <x v="1"/>
  </r>
  <r>
    <x v="2"/>
    <x v="5"/>
    <x v="0"/>
    <x v="2"/>
    <x v="2"/>
    <x v="16"/>
    <n v="1"/>
    <x v="16"/>
    <x v="1"/>
  </r>
  <r>
    <x v="2"/>
    <x v="5"/>
    <x v="0"/>
    <x v="2"/>
    <x v="2"/>
    <x v="17"/>
    <n v="1"/>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1"/>
        <item x="2"/>
        <item m="1" x="6"/>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70" zoomScaleNormal="70" workbookViewId="0">
      <pane ySplit="5" topLeftCell="A6" activePane="bottomLeft" state="frozen"/>
      <selection pane="bottomLeft" activeCell="E40" sqref="E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45631</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Halswell Junction Road South-East</v>
      </c>
      <c r="C4" s="1" t="str">
        <f>Input!C31</f>
        <v>Sabys Road South</v>
      </c>
      <c r="D4" s="1" t="str">
        <f>Input!C42</f>
        <v>Halswell Junction Road North-West</v>
      </c>
      <c r="E4" s="1">
        <f>Input!C53</f>
        <v>0</v>
      </c>
      <c r="F4" s="1">
        <f>Input!C64</f>
        <v>0</v>
      </c>
      <c r="G4" s="1">
        <f>Input!C75</f>
        <v>0</v>
      </c>
      <c r="H4" s="1">
        <f>Input!C86</f>
        <v>0</v>
      </c>
    </row>
    <row r="6" spans="2:8" x14ac:dyDescent="0.3">
      <c r="B6" t="s">
        <v>18</v>
      </c>
    </row>
    <row r="8" spans="2:8" x14ac:dyDescent="0.3">
      <c r="B8" s="1" t="str">
        <f>Input!C22</f>
        <v>Hard Left into Sabys Road South</v>
      </c>
      <c r="C8" s="1" t="str">
        <f>Input!C33</f>
        <v>Bear Left into Halswell Junction Road North-West</v>
      </c>
      <c r="D8" s="1" t="str">
        <f>Input!C44</f>
        <v>Thru to Halswell Junction Road South-East</v>
      </c>
      <c r="E8" s="1">
        <f>Input!C55</f>
        <v>0</v>
      </c>
      <c r="F8" s="1">
        <f>Input!C66</f>
        <v>0</v>
      </c>
      <c r="G8" s="1">
        <f>Input!C77</f>
        <v>0</v>
      </c>
      <c r="H8" s="1">
        <f>Input!C88</f>
        <v>0</v>
      </c>
    </row>
    <row r="9" spans="2:8" x14ac:dyDescent="0.3">
      <c r="B9" s="1" t="str">
        <f>Input!C23</f>
        <v>Thru to Halswell Junction Road North-West</v>
      </c>
      <c r="C9" s="1" t="str">
        <f>Input!C34</f>
        <v>Hard Right into Halswell Junction Road South-East</v>
      </c>
      <c r="D9" s="1" t="str">
        <f>Input!C45</f>
        <v>Bear Right into Sabys Road South</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Sabys Road South</v>
      </c>
      <c r="C18" s="1" t="str">
        <f>Input!E33</f>
        <v>Halswell Junction Road North-West</v>
      </c>
      <c r="D18" s="1" t="str">
        <f>Input!E44</f>
        <v>Halswell Junction Road South-East</v>
      </c>
      <c r="E18" s="1">
        <f>Input!E55</f>
        <v>0</v>
      </c>
      <c r="F18" s="1">
        <f>Input!E66</f>
        <v>0</v>
      </c>
      <c r="G18" s="1">
        <f>Input!E77</f>
        <v>0</v>
      </c>
      <c r="H18" s="1">
        <f>Input!E88</f>
        <v>0</v>
      </c>
    </row>
    <row r="19" spans="2:8" x14ac:dyDescent="0.3">
      <c r="B19" s="1" t="str">
        <f>Input!E23</f>
        <v>Halswell Junction Road North-West</v>
      </c>
      <c r="C19" s="1" t="str">
        <f>Input!E34</f>
        <v>Halswell Junction Road South-East</v>
      </c>
      <c r="D19" s="1" t="str">
        <f>Input!E45</f>
        <v>Sabys Road South</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15</v>
      </c>
      <c r="D8">
        <v>2</v>
      </c>
      <c r="E8">
        <v>0</v>
      </c>
      <c r="F8" s="28">
        <v>41</v>
      </c>
      <c r="G8">
        <v>3</v>
      </c>
      <c r="H8">
        <v>0</v>
      </c>
      <c r="I8" s="31">
        <v>22</v>
      </c>
      <c r="J8">
        <v>0</v>
      </c>
      <c r="K8">
        <v>0</v>
      </c>
      <c r="L8" s="28">
        <v>37</v>
      </c>
      <c r="M8">
        <v>0</v>
      </c>
      <c r="N8">
        <v>0</v>
      </c>
      <c r="O8" s="31">
        <v>52</v>
      </c>
      <c r="P8">
        <v>2</v>
      </c>
      <c r="Q8">
        <v>0</v>
      </c>
      <c r="R8" s="28">
        <v>11</v>
      </c>
      <c r="S8">
        <v>0</v>
      </c>
      <c r="T8" s="34">
        <v>0</v>
      </c>
    </row>
    <row r="9" spans="1:20" x14ac:dyDescent="0.3">
      <c r="A9" s="2" t="s">
        <v>43</v>
      </c>
      <c r="B9" s="7">
        <v>0.30208333333333331</v>
      </c>
      <c r="C9" s="31">
        <v>22</v>
      </c>
      <c r="D9">
        <v>0</v>
      </c>
      <c r="E9">
        <v>0</v>
      </c>
      <c r="F9" s="28">
        <v>58</v>
      </c>
      <c r="G9">
        <v>2</v>
      </c>
      <c r="H9">
        <v>1</v>
      </c>
      <c r="I9" s="31">
        <v>23</v>
      </c>
      <c r="J9">
        <v>0</v>
      </c>
      <c r="K9">
        <v>0</v>
      </c>
      <c r="L9" s="28">
        <v>38</v>
      </c>
      <c r="M9">
        <v>1</v>
      </c>
      <c r="N9">
        <v>1</v>
      </c>
      <c r="O9" s="31">
        <v>53</v>
      </c>
      <c r="P9">
        <v>12</v>
      </c>
      <c r="Q9">
        <v>1</v>
      </c>
      <c r="R9" s="28">
        <v>7</v>
      </c>
      <c r="S9">
        <v>1</v>
      </c>
      <c r="T9" s="34">
        <v>0</v>
      </c>
    </row>
    <row r="10" spans="1:20" x14ac:dyDescent="0.3">
      <c r="A10" s="2" t="s">
        <v>43</v>
      </c>
      <c r="B10" s="7">
        <v>0.3125</v>
      </c>
      <c r="C10" s="31">
        <v>26</v>
      </c>
      <c r="D10">
        <v>1</v>
      </c>
      <c r="E10">
        <v>0</v>
      </c>
      <c r="F10" s="28">
        <v>69</v>
      </c>
      <c r="G10">
        <v>6</v>
      </c>
      <c r="H10">
        <v>1</v>
      </c>
      <c r="I10" s="31">
        <v>31</v>
      </c>
      <c r="J10">
        <v>1</v>
      </c>
      <c r="K10">
        <v>0</v>
      </c>
      <c r="L10" s="28">
        <v>41</v>
      </c>
      <c r="M10">
        <v>0</v>
      </c>
      <c r="N10">
        <v>2</v>
      </c>
      <c r="O10" s="31">
        <v>71</v>
      </c>
      <c r="P10">
        <v>12</v>
      </c>
      <c r="Q10">
        <v>0</v>
      </c>
      <c r="R10" s="28">
        <v>12</v>
      </c>
      <c r="S10">
        <v>2</v>
      </c>
      <c r="T10" s="34">
        <v>0</v>
      </c>
    </row>
    <row r="11" spans="1:20" x14ac:dyDescent="0.3">
      <c r="A11" s="2" t="s">
        <v>43</v>
      </c>
      <c r="B11" s="7">
        <v>0.32291666666666669</v>
      </c>
      <c r="C11" s="31">
        <v>26</v>
      </c>
      <c r="D11">
        <v>0</v>
      </c>
      <c r="E11">
        <v>0</v>
      </c>
      <c r="F11" s="28">
        <v>52</v>
      </c>
      <c r="G11">
        <v>6</v>
      </c>
      <c r="H11">
        <v>1</v>
      </c>
      <c r="I11" s="31">
        <v>31</v>
      </c>
      <c r="J11">
        <v>0</v>
      </c>
      <c r="K11">
        <v>0</v>
      </c>
      <c r="L11" s="28">
        <v>48</v>
      </c>
      <c r="M11">
        <v>3</v>
      </c>
      <c r="N11">
        <v>2</v>
      </c>
      <c r="O11" s="31">
        <v>73</v>
      </c>
      <c r="P11">
        <v>16</v>
      </c>
      <c r="Q11">
        <v>3</v>
      </c>
      <c r="R11" s="28">
        <v>7</v>
      </c>
      <c r="S11">
        <v>1</v>
      </c>
      <c r="T11" s="34">
        <v>0</v>
      </c>
    </row>
    <row r="12" spans="1:20" x14ac:dyDescent="0.3">
      <c r="A12" s="2" t="s">
        <v>43</v>
      </c>
      <c r="B12" s="7">
        <v>0.33333333333333331</v>
      </c>
      <c r="C12" s="31">
        <v>24</v>
      </c>
      <c r="D12">
        <v>0</v>
      </c>
      <c r="E12">
        <v>0</v>
      </c>
      <c r="F12" s="28">
        <v>53</v>
      </c>
      <c r="G12">
        <v>5</v>
      </c>
      <c r="H12">
        <v>1</v>
      </c>
      <c r="I12" s="31">
        <v>25</v>
      </c>
      <c r="J12">
        <v>1</v>
      </c>
      <c r="K12">
        <v>1</v>
      </c>
      <c r="L12" s="28">
        <v>33</v>
      </c>
      <c r="M12">
        <v>0</v>
      </c>
      <c r="N12">
        <v>0</v>
      </c>
      <c r="O12" s="31">
        <v>65</v>
      </c>
      <c r="P12">
        <v>4</v>
      </c>
      <c r="Q12">
        <v>3</v>
      </c>
      <c r="R12" s="28">
        <v>13</v>
      </c>
      <c r="S12">
        <v>0</v>
      </c>
      <c r="T12" s="34">
        <v>0</v>
      </c>
    </row>
    <row r="13" spans="1:20" x14ac:dyDescent="0.3">
      <c r="A13" s="2" t="s">
        <v>43</v>
      </c>
      <c r="B13" s="7">
        <v>0.34375</v>
      </c>
      <c r="C13" s="31">
        <v>25</v>
      </c>
      <c r="D13">
        <v>1</v>
      </c>
      <c r="E13">
        <v>1</v>
      </c>
      <c r="F13" s="28">
        <v>70</v>
      </c>
      <c r="G13">
        <v>3</v>
      </c>
      <c r="H13">
        <v>1</v>
      </c>
      <c r="I13" s="31">
        <v>48</v>
      </c>
      <c r="J13">
        <v>0</v>
      </c>
      <c r="K13">
        <v>0</v>
      </c>
      <c r="L13" s="28">
        <v>51</v>
      </c>
      <c r="M13">
        <v>1</v>
      </c>
      <c r="N13">
        <v>0</v>
      </c>
      <c r="O13" s="31">
        <v>58</v>
      </c>
      <c r="P13">
        <v>11</v>
      </c>
      <c r="Q13">
        <v>3</v>
      </c>
      <c r="R13" s="28">
        <v>18</v>
      </c>
      <c r="S13">
        <v>0</v>
      </c>
      <c r="T13" s="34">
        <v>0</v>
      </c>
    </row>
    <row r="14" spans="1:20" x14ac:dyDescent="0.3">
      <c r="A14" s="2" t="s">
        <v>43</v>
      </c>
      <c r="B14" s="7">
        <v>0.35416666666666669</v>
      </c>
      <c r="C14" s="31">
        <v>15</v>
      </c>
      <c r="D14">
        <v>0</v>
      </c>
      <c r="E14">
        <v>2</v>
      </c>
      <c r="F14" s="28">
        <v>54</v>
      </c>
      <c r="G14">
        <v>0</v>
      </c>
      <c r="H14">
        <v>0</v>
      </c>
      <c r="I14" s="31">
        <v>55</v>
      </c>
      <c r="J14">
        <v>1</v>
      </c>
      <c r="K14">
        <v>1</v>
      </c>
      <c r="L14" s="28">
        <v>30</v>
      </c>
      <c r="M14">
        <v>0</v>
      </c>
      <c r="N14">
        <v>0</v>
      </c>
      <c r="O14" s="31">
        <v>65</v>
      </c>
      <c r="P14">
        <v>3</v>
      </c>
      <c r="Q14">
        <v>0</v>
      </c>
      <c r="R14" s="28">
        <v>11</v>
      </c>
      <c r="S14">
        <v>1</v>
      </c>
      <c r="T14" s="34">
        <v>0</v>
      </c>
    </row>
    <row r="15" spans="1:20" ht="15" thickBot="1" x14ac:dyDescent="0.35">
      <c r="A15" s="2" t="s">
        <v>43</v>
      </c>
      <c r="B15" s="7">
        <v>0.36458333333333331</v>
      </c>
      <c r="C15" s="31">
        <v>25</v>
      </c>
      <c r="D15">
        <v>0</v>
      </c>
      <c r="E15">
        <v>0</v>
      </c>
      <c r="F15" s="28">
        <v>51</v>
      </c>
      <c r="G15">
        <v>4</v>
      </c>
      <c r="H15">
        <v>1</v>
      </c>
      <c r="I15" s="31">
        <v>39</v>
      </c>
      <c r="J15">
        <v>0</v>
      </c>
      <c r="K15">
        <v>0</v>
      </c>
      <c r="L15" s="28">
        <v>33</v>
      </c>
      <c r="M15">
        <v>0</v>
      </c>
      <c r="N15">
        <v>0</v>
      </c>
      <c r="O15" s="31">
        <v>64</v>
      </c>
      <c r="P15">
        <v>6</v>
      </c>
      <c r="Q15">
        <v>0</v>
      </c>
      <c r="R15" s="28">
        <v>10</v>
      </c>
      <c r="S15">
        <v>1</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24</v>
      </c>
      <c r="D17">
        <v>0</v>
      </c>
      <c r="E17">
        <v>0</v>
      </c>
      <c r="F17" s="28">
        <v>48</v>
      </c>
      <c r="G17">
        <v>5</v>
      </c>
      <c r="H17">
        <v>2</v>
      </c>
      <c r="I17" s="31">
        <v>12</v>
      </c>
      <c r="J17">
        <v>0</v>
      </c>
      <c r="K17">
        <v>0</v>
      </c>
      <c r="L17" s="28">
        <v>9</v>
      </c>
      <c r="M17">
        <v>0</v>
      </c>
      <c r="N17">
        <v>0</v>
      </c>
      <c r="O17" s="31">
        <v>44</v>
      </c>
      <c r="P17">
        <v>7</v>
      </c>
      <c r="Q17">
        <v>0</v>
      </c>
      <c r="R17" s="28">
        <v>20</v>
      </c>
      <c r="S17">
        <v>0</v>
      </c>
      <c r="T17" s="34">
        <v>0</v>
      </c>
    </row>
    <row r="18" spans="1:20" x14ac:dyDescent="0.3">
      <c r="A18" s="2" t="s">
        <v>90</v>
      </c>
      <c r="B18" s="7">
        <v>0.55208333333333337</v>
      </c>
      <c r="C18" s="31">
        <v>18</v>
      </c>
      <c r="D18">
        <v>0</v>
      </c>
      <c r="E18">
        <v>0</v>
      </c>
      <c r="F18" s="28">
        <v>48</v>
      </c>
      <c r="G18">
        <v>6</v>
      </c>
      <c r="H18">
        <v>0</v>
      </c>
      <c r="I18" s="31">
        <v>18</v>
      </c>
      <c r="J18">
        <v>0</v>
      </c>
      <c r="K18">
        <v>0</v>
      </c>
      <c r="L18" s="28">
        <v>17</v>
      </c>
      <c r="M18">
        <v>1</v>
      </c>
      <c r="N18">
        <v>0</v>
      </c>
      <c r="O18" s="31">
        <v>61</v>
      </c>
      <c r="P18">
        <v>8</v>
      </c>
      <c r="Q18">
        <v>0</v>
      </c>
      <c r="R18" s="28">
        <v>12</v>
      </c>
      <c r="S18">
        <v>0</v>
      </c>
      <c r="T18" s="34">
        <v>0</v>
      </c>
    </row>
    <row r="19" spans="1:20" x14ac:dyDescent="0.3">
      <c r="A19" s="2" t="s">
        <v>90</v>
      </c>
      <c r="B19" s="7">
        <v>0.5625</v>
      </c>
      <c r="C19" s="31">
        <v>17</v>
      </c>
      <c r="D19">
        <v>0</v>
      </c>
      <c r="E19">
        <v>0</v>
      </c>
      <c r="F19" s="28">
        <v>53</v>
      </c>
      <c r="G19">
        <v>4</v>
      </c>
      <c r="H19">
        <v>2</v>
      </c>
      <c r="I19" s="31">
        <v>18</v>
      </c>
      <c r="J19">
        <v>0</v>
      </c>
      <c r="K19">
        <v>0</v>
      </c>
      <c r="L19" s="28">
        <v>15</v>
      </c>
      <c r="M19">
        <v>1</v>
      </c>
      <c r="N19">
        <v>0</v>
      </c>
      <c r="O19" s="31">
        <v>45</v>
      </c>
      <c r="P19">
        <v>5</v>
      </c>
      <c r="Q19">
        <v>0</v>
      </c>
      <c r="R19" s="28">
        <v>21</v>
      </c>
      <c r="S19">
        <v>0</v>
      </c>
      <c r="T19" s="34">
        <v>0</v>
      </c>
    </row>
    <row r="20" spans="1:20" ht="15" thickBot="1" x14ac:dyDescent="0.35">
      <c r="A20" s="2" t="s">
        <v>90</v>
      </c>
      <c r="B20" s="7">
        <v>0.57291666666666663</v>
      </c>
      <c r="C20" s="31">
        <v>20</v>
      </c>
      <c r="D20">
        <v>3</v>
      </c>
      <c r="E20">
        <v>0</v>
      </c>
      <c r="F20" s="28">
        <v>48</v>
      </c>
      <c r="G20">
        <v>8</v>
      </c>
      <c r="H20">
        <v>0</v>
      </c>
      <c r="I20" s="31">
        <v>10</v>
      </c>
      <c r="J20">
        <v>1</v>
      </c>
      <c r="K20">
        <v>0</v>
      </c>
      <c r="L20" s="28">
        <v>28</v>
      </c>
      <c r="M20">
        <v>1</v>
      </c>
      <c r="N20">
        <v>0</v>
      </c>
      <c r="O20" s="31">
        <v>45</v>
      </c>
      <c r="P20">
        <v>8</v>
      </c>
      <c r="Q20">
        <v>0</v>
      </c>
      <c r="R20" s="28">
        <v>18</v>
      </c>
      <c r="S20">
        <v>1</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36</v>
      </c>
      <c r="D22">
        <v>1</v>
      </c>
      <c r="E22">
        <v>1</v>
      </c>
      <c r="F22" s="28">
        <v>83</v>
      </c>
      <c r="G22">
        <v>4</v>
      </c>
      <c r="H22">
        <v>0</v>
      </c>
      <c r="I22" s="31">
        <v>18</v>
      </c>
      <c r="J22">
        <v>1</v>
      </c>
      <c r="K22">
        <v>0</v>
      </c>
      <c r="L22" s="28">
        <v>34</v>
      </c>
      <c r="M22">
        <v>1</v>
      </c>
      <c r="N22">
        <v>0</v>
      </c>
      <c r="O22" s="31">
        <v>81</v>
      </c>
      <c r="P22">
        <v>3</v>
      </c>
      <c r="Q22">
        <v>0</v>
      </c>
      <c r="R22" s="28">
        <v>36</v>
      </c>
      <c r="S22">
        <v>0</v>
      </c>
      <c r="T22" s="34">
        <v>0</v>
      </c>
    </row>
    <row r="23" spans="1:20" x14ac:dyDescent="0.3">
      <c r="A23" s="2" t="s">
        <v>44</v>
      </c>
      <c r="B23" s="7">
        <v>0.67708333333333337</v>
      </c>
      <c r="C23" s="31">
        <v>48</v>
      </c>
      <c r="D23">
        <v>0</v>
      </c>
      <c r="E23">
        <v>0</v>
      </c>
      <c r="F23" s="28">
        <v>76</v>
      </c>
      <c r="G23">
        <v>3</v>
      </c>
      <c r="H23">
        <v>0</v>
      </c>
      <c r="I23" s="31">
        <v>18</v>
      </c>
      <c r="J23">
        <v>0</v>
      </c>
      <c r="K23">
        <v>0</v>
      </c>
      <c r="L23" s="28">
        <v>26</v>
      </c>
      <c r="M23">
        <v>0</v>
      </c>
      <c r="N23">
        <v>0</v>
      </c>
      <c r="O23" s="31">
        <v>97</v>
      </c>
      <c r="P23">
        <v>2</v>
      </c>
      <c r="Q23">
        <v>1</v>
      </c>
      <c r="R23" s="28">
        <v>38</v>
      </c>
      <c r="S23">
        <v>0</v>
      </c>
      <c r="T23" s="34">
        <v>1</v>
      </c>
    </row>
    <row r="24" spans="1:20" x14ac:dyDescent="0.3">
      <c r="A24" s="2" t="s">
        <v>44</v>
      </c>
      <c r="B24" s="7">
        <v>0.6875</v>
      </c>
      <c r="C24" s="31">
        <v>61</v>
      </c>
      <c r="D24">
        <v>2</v>
      </c>
      <c r="E24">
        <v>1</v>
      </c>
      <c r="F24" s="28">
        <v>83</v>
      </c>
      <c r="G24">
        <v>7</v>
      </c>
      <c r="H24">
        <v>3</v>
      </c>
      <c r="I24" s="31">
        <v>32</v>
      </c>
      <c r="J24">
        <v>3</v>
      </c>
      <c r="K24">
        <v>0</v>
      </c>
      <c r="L24" s="28">
        <v>38</v>
      </c>
      <c r="M24">
        <v>0</v>
      </c>
      <c r="N24">
        <v>0</v>
      </c>
      <c r="O24" s="31">
        <v>82</v>
      </c>
      <c r="P24">
        <v>0</v>
      </c>
      <c r="Q24">
        <v>1</v>
      </c>
      <c r="R24" s="28">
        <v>36</v>
      </c>
      <c r="S24">
        <v>0</v>
      </c>
      <c r="T24" s="34">
        <v>0</v>
      </c>
    </row>
    <row r="25" spans="1:20" x14ac:dyDescent="0.3">
      <c r="A25" s="2" t="s">
        <v>44</v>
      </c>
      <c r="B25" s="7">
        <v>0.69791666666666663</v>
      </c>
      <c r="C25" s="31">
        <v>31</v>
      </c>
      <c r="D25">
        <v>0</v>
      </c>
      <c r="E25">
        <v>0</v>
      </c>
      <c r="F25" s="28">
        <v>77</v>
      </c>
      <c r="G25">
        <v>7</v>
      </c>
      <c r="H25">
        <v>0</v>
      </c>
      <c r="I25" s="31">
        <v>19</v>
      </c>
      <c r="J25">
        <v>0</v>
      </c>
      <c r="K25">
        <v>0</v>
      </c>
      <c r="L25" s="28">
        <v>23</v>
      </c>
      <c r="M25">
        <v>0</v>
      </c>
      <c r="N25">
        <v>0</v>
      </c>
      <c r="O25" s="31">
        <v>115</v>
      </c>
      <c r="P25">
        <v>4</v>
      </c>
      <c r="Q25">
        <v>0</v>
      </c>
      <c r="R25" s="28">
        <v>40</v>
      </c>
      <c r="S25">
        <v>0</v>
      </c>
      <c r="T25" s="34">
        <v>0</v>
      </c>
    </row>
    <row r="26" spans="1:20" x14ac:dyDescent="0.3">
      <c r="A26" s="2" t="s">
        <v>44</v>
      </c>
      <c r="B26" s="7">
        <v>0.70833333333333337</v>
      </c>
      <c r="C26" s="31">
        <v>47</v>
      </c>
      <c r="D26">
        <v>0</v>
      </c>
      <c r="E26">
        <v>0</v>
      </c>
      <c r="F26" s="28">
        <v>93</v>
      </c>
      <c r="G26">
        <v>3</v>
      </c>
      <c r="H26">
        <v>0</v>
      </c>
      <c r="I26" s="31">
        <v>20</v>
      </c>
      <c r="J26">
        <v>0</v>
      </c>
      <c r="K26">
        <v>0</v>
      </c>
      <c r="L26" s="28">
        <v>21</v>
      </c>
      <c r="M26">
        <v>0</v>
      </c>
      <c r="N26">
        <v>1</v>
      </c>
      <c r="O26" s="31">
        <v>95</v>
      </c>
      <c r="P26">
        <v>1</v>
      </c>
      <c r="Q26">
        <v>1</v>
      </c>
      <c r="R26" s="28">
        <v>60</v>
      </c>
      <c r="S26">
        <v>2</v>
      </c>
      <c r="T26" s="34">
        <v>1</v>
      </c>
    </row>
    <row r="27" spans="1:20" x14ac:dyDescent="0.3">
      <c r="A27" s="2" t="s">
        <v>44</v>
      </c>
      <c r="B27" s="7">
        <v>0.71875</v>
      </c>
      <c r="C27" s="31">
        <v>36</v>
      </c>
      <c r="D27">
        <v>0</v>
      </c>
      <c r="E27">
        <v>0</v>
      </c>
      <c r="F27" s="28">
        <v>81</v>
      </c>
      <c r="G27">
        <v>2</v>
      </c>
      <c r="H27">
        <v>4</v>
      </c>
      <c r="I27" s="31">
        <v>34</v>
      </c>
      <c r="J27">
        <v>0</v>
      </c>
      <c r="K27">
        <v>0</v>
      </c>
      <c r="L27" s="28">
        <v>33</v>
      </c>
      <c r="M27">
        <v>0</v>
      </c>
      <c r="N27">
        <v>0</v>
      </c>
      <c r="O27" s="31">
        <v>98</v>
      </c>
      <c r="P27">
        <v>5</v>
      </c>
      <c r="Q27">
        <v>2</v>
      </c>
      <c r="R27" s="28">
        <v>41</v>
      </c>
      <c r="S27">
        <v>0</v>
      </c>
      <c r="T27" s="34">
        <v>1</v>
      </c>
    </row>
    <row r="28" spans="1:20" x14ac:dyDescent="0.3">
      <c r="A28" s="2" t="s">
        <v>44</v>
      </c>
      <c r="B28" s="7">
        <v>0.72916666666666663</v>
      </c>
      <c r="C28" s="31">
        <v>41</v>
      </c>
      <c r="D28">
        <v>0</v>
      </c>
      <c r="E28">
        <v>1</v>
      </c>
      <c r="F28" s="28">
        <v>76</v>
      </c>
      <c r="G28">
        <v>2</v>
      </c>
      <c r="H28">
        <v>3</v>
      </c>
      <c r="I28" s="31">
        <v>19</v>
      </c>
      <c r="J28">
        <v>0</v>
      </c>
      <c r="K28">
        <v>0</v>
      </c>
      <c r="L28" s="28">
        <v>22</v>
      </c>
      <c r="M28">
        <v>0</v>
      </c>
      <c r="N28">
        <v>1</v>
      </c>
      <c r="O28" s="31">
        <v>88</v>
      </c>
      <c r="P28">
        <v>4</v>
      </c>
      <c r="Q28">
        <v>0</v>
      </c>
      <c r="R28" s="28">
        <v>43</v>
      </c>
      <c r="S28">
        <v>0</v>
      </c>
      <c r="T28" s="34">
        <v>0</v>
      </c>
    </row>
    <row r="29" spans="1:20" ht="15" thickBot="1" x14ac:dyDescent="0.35">
      <c r="A29" s="23" t="s">
        <v>44</v>
      </c>
      <c r="B29" s="48">
        <v>0.73958333333333337</v>
      </c>
      <c r="C29" s="39">
        <v>29</v>
      </c>
      <c r="D29" s="38">
        <v>0</v>
      </c>
      <c r="E29" s="38">
        <v>0</v>
      </c>
      <c r="F29" s="40">
        <v>54</v>
      </c>
      <c r="G29" s="38">
        <v>3</v>
      </c>
      <c r="H29" s="38">
        <v>2</v>
      </c>
      <c r="I29" s="39">
        <v>17</v>
      </c>
      <c r="J29" s="38">
        <v>0</v>
      </c>
      <c r="K29" s="38">
        <v>0</v>
      </c>
      <c r="L29" s="40">
        <v>25</v>
      </c>
      <c r="M29" s="38">
        <v>1</v>
      </c>
      <c r="N29" s="38">
        <v>0</v>
      </c>
      <c r="O29" s="39">
        <v>75</v>
      </c>
      <c r="P29" s="38">
        <v>2</v>
      </c>
      <c r="Q29" s="38">
        <v>0</v>
      </c>
      <c r="R29" s="40">
        <v>22</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15</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22</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26</v>
      </c>
      <c r="H4" s="6">
        <f>FLOOR(tblPivotData[[#This Row],[Time]],Summary!$B$6/1440)</f>
        <v>0.3125</v>
      </c>
      <c r="I4">
        <f>INDEX(PeakCalc!$L$10:$L$303,MATCH(tblPivotData[[#This Row],[Time]],PeakCalc!$G$10:$G$303,0))</f>
        <v>1</v>
      </c>
    </row>
    <row r="5" spans="1:9" x14ac:dyDescent="0.3">
      <c r="A5" t="s">
        <v>92</v>
      </c>
      <c r="B5" t="s">
        <v>95</v>
      </c>
      <c r="C5" t="s">
        <v>93</v>
      </c>
      <c r="D5" t="s">
        <v>79</v>
      </c>
      <c r="E5" t="s">
        <v>43</v>
      </c>
      <c r="F5" s="6">
        <v>0.32291666666666669</v>
      </c>
      <c r="G5">
        <v>26</v>
      </c>
      <c r="H5" s="6">
        <f>FLOOR(tblPivotData[[#This Row],[Time]],Summary!$B$6/1440)</f>
        <v>0.32291666666666663</v>
      </c>
      <c r="I5">
        <f>INDEX(PeakCalc!$L$10:$L$303,MATCH(tblPivotData[[#This Row],[Time]],PeakCalc!$G$10:$G$303,0))</f>
        <v>1</v>
      </c>
    </row>
    <row r="6" spans="1:9" x14ac:dyDescent="0.3">
      <c r="A6" t="s">
        <v>92</v>
      </c>
      <c r="B6" t="s">
        <v>95</v>
      </c>
      <c r="C6" t="s">
        <v>93</v>
      </c>
      <c r="D6" t="s">
        <v>79</v>
      </c>
      <c r="E6" t="s">
        <v>43</v>
      </c>
      <c r="F6" s="6">
        <v>0.33333333333333331</v>
      </c>
      <c r="G6">
        <v>24</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25</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15</v>
      </c>
      <c r="H8" s="6">
        <f>FLOOR(tblPivotData[[#This Row],[Time]],Summary!$B$6/1440)</f>
        <v>0.35416666666666663</v>
      </c>
      <c r="I8">
        <f>INDEX(PeakCalc!$L$10:$L$303,MATCH(tblPivotData[[#This Row],[Time]],PeakCalc!$G$10:$G$303,0))</f>
        <v>0</v>
      </c>
    </row>
    <row r="9" spans="1:9" x14ac:dyDescent="0.3">
      <c r="A9" t="s">
        <v>92</v>
      </c>
      <c r="B9" t="s">
        <v>95</v>
      </c>
      <c r="C9" t="s">
        <v>93</v>
      </c>
      <c r="D9" t="s">
        <v>79</v>
      </c>
      <c r="E9" t="s">
        <v>43</v>
      </c>
      <c r="F9" s="6">
        <v>0.36458333333333331</v>
      </c>
      <c r="G9">
        <v>25</v>
      </c>
      <c r="H9" s="6">
        <f>FLOOR(tblPivotData[[#This Row],[Time]],Summary!$B$6/1440)</f>
        <v>0.36458333333333331</v>
      </c>
      <c r="I9">
        <f>INDEX(PeakCalc!$L$10:$L$303,MATCH(tblPivotData[[#This Row],[Time]],PeakCalc!$G$10:$G$303,0))</f>
        <v>0</v>
      </c>
    </row>
    <row r="10" spans="1:9" x14ac:dyDescent="0.3">
      <c r="A10" t="s">
        <v>92</v>
      </c>
      <c r="B10" t="s">
        <v>95</v>
      </c>
      <c r="C10" t="s">
        <v>93</v>
      </c>
      <c r="D10" t="s">
        <v>79</v>
      </c>
      <c r="E10" t="s">
        <v>90</v>
      </c>
      <c r="F10" s="6">
        <v>0.54166666666666663</v>
      </c>
      <c r="G10">
        <v>24</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18</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17</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20</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36</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48</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61</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31</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47</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36</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41</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29</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2</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1</v>
      </c>
      <c r="H24" s="6">
        <f>FLOOR(tblPivotData[[#This Row],[Time]],Summary!$B$6/1440)</f>
        <v>0.3125</v>
      </c>
      <c r="I24">
        <f>INDEX(PeakCalc!$L$10:$L$303,MATCH(tblPivotData[[#This Row],[Time]],PeakCalc!$G$10:$G$303,0))</f>
        <v>1</v>
      </c>
    </row>
    <row r="25" spans="1:9" x14ac:dyDescent="0.3">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95</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1</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0</v>
      </c>
    </row>
    <row r="29" spans="1:9" x14ac:dyDescent="0.3">
      <c r="A29" t="s">
        <v>92</v>
      </c>
      <c r="B29" t="s">
        <v>95</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3</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2</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1</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1</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2</v>
      </c>
      <c r="H48" s="6">
        <f>FLOOR(tblPivotData[[#This Row],[Time]],Summary!$B$6/1440)</f>
        <v>0.35416666666666663</v>
      </c>
      <c r="I48">
        <f>INDEX(PeakCalc!$L$10:$L$303,MATCH(tblPivotData[[#This Row],[Time]],PeakCalc!$G$10:$G$303,0))</f>
        <v>0</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1</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1</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1</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41</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58</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69</v>
      </c>
      <c r="H64" s="6">
        <f>FLOOR(tblPivotData[[#This Row],[Time]],Summary!$B$6/1440)</f>
        <v>0.3125</v>
      </c>
      <c r="I64">
        <f>INDEX(PeakCalc!$L$10:$L$303,MATCH(tblPivotData[[#This Row],[Time]],PeakCalc!$G$10:$G$303,0))</f>
        <v>1</v>
      </c>
    </row>
    <row r="65" spans="1:9" x14ac:dyDescent="0.3">
      <c r="A65" t="s">
        <v>92</v>
      </c>
      <c r="B65" t="s">
        <v>96</v>
      </c>
      <c r="C65" t="s">
        <v>94</v>
      </c>
      <c r="D65" t="s">
        <v>79</v>
      </c>
      <c r="E65" t="s">
        <v>43</v>
      </c>
      <c r="F65" s="6">
        <v>0.32291666666666669</v>
      </c>
      <c r="G65">
        <v>52</v>
      </c>
      <c r="H65" s="6">
        <f>FLOOR(tblPivotData[[#This Row],[Time]],Summary!$B$6/1440)</f>
        <v>0.32291666666666663</v>
      </c>
      <c r="I65">
        <f>INDEX(PeakCalc!$L$10:$L$303,MATCH(tblPivotData[[#This Row],[Time]],PeakCalc!$G$10:$G$303,0))</f>
        <v>1</v>
      </c>
    </row>
    <row r="66" spans="1:9" x14ac:dyDescent="0.3">
      <c r="A66" t="s">
        <v>92</v>
      </c>
      <c r="B66" t="s">
        <v>96</v>
      </c>
      <c r="C66" t="s">
        <v>94</v>
      </c>
      <c r="D66" t="s">
        <v>79</v>
      </c>
      <c r="E66" t="s">
        <v>43</v>
      </c>
      <c r="F66" s="6">
        <v>0.33333333333333331</v>
      </c>
      <c r="G66">
        <v>53</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70</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54</v>
      </c>
      <c r="H68" s="6">
        <f>FLOOR(tblPivotData[[#This Row],[Time]],Summary!$B$6/1440)</f>
        <v>0.35416666666666663</v>
      </c>
      <c r="I68">
        <f>INDEX(PeakCalc!$L$10:$L$303,MATCH(tblPivotData[[#This Row],[Time]],PeakCalc!$G$10:$G$303,0))</f>
        <v>0</v>
      </c>
    </row>
    <row r="69" spans="1:9" x14ac:dyDescent="0.3">
      <c r="A69" t="s">
        <v>92</v>
      </c>
      <c r="B69" t="s">
        <v>96</v>
      </c>
      <c r="C69" t="s">
        <v>94</v>
      </c>
      <c r="D69" t="s">
        <v>79</v>
      </c>
      <c r="E69" t="s">
        <v>43</v>
      </c>
      <c r="F69" s="6">
        <v>0.36458333333333331</v>
      </c>
      <c r="G69">
        <v>51</v>
      </c>
      <c r="H69" s="6">
        <f>FLOOR(tblPivotData[[#This Row],[Time]],Summary!$B$6/1440)</f>
        <v>0.36458333333333331</v>
      </c>
      <c r="I69">
        <f>INDEX(PeakCalc!$L$10:$L$303,MATCH(tblPivotData[[#This Row],[Time]],PeakCalc!$G$10:$G$303,0))</f>
        <v>0</v>
      </c>
    </row>
    <row r="70" spans="1:9" x14ac:dyDescent="0.3">
      <c r="A70" t="s">
        <v>92</v>
      </c>
      <c r="B70" t="s">
        <v>96</v>
      </c>
      <c r="C70" t="s">
        <v>94</v>
      </c>
      <c r="D70" t="s">
        <v>79</v>
      </c>
      <c r="E70" t="s">
        <v>90</v>
      </c>
      <c r="F70" s="6">
        <v>0.54166666666666663</v>
      </c>
      <c r="G70">
        <v>48</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48</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53</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48</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83</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76</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83</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77</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93</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81</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76</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54</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3</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2</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6</v>
      </c>
      <c r="H84" s="6">
        <f>FLOOR(tblPivotData[[#This Row],[Time]],Summary!$B$6/1440)</f>
        <v>0.3125</v>
      </c>
      <c r="I84">
        <f>INDEX(PeakCalc!$L$10:$L$303,MATCH(tblPivotData[[#This Row],[Time]],PeakCalc!$G$10:$G$303,0))</f>
        <v>1</v>
      </c>
    </row>
    <row r="85" spans="1:9" x14ac:dyDescent="0.3">
      <c r="A85" t="s">
        <v>92</v>
      </c>
      <c r="B85" t="s">
        <v>96</v>
      </c>
      <c r="C85" t="s">
        <v>94</v>
      </c>
      <c r="D85" t="s">
        <v>88</v>
      </c>
      <c r="E85" t="s">
        <v>43</v>
      </c>
      <c r="F85" s="6">
        <v>0.32291666666666669</v>
      </c>
      <c r="G85">
        <v>6</v>
      </c>
      <c r="H85" s="6">
        <f>FLOOR(tblPivotData[[#This Row],[Time]],Summary!$B$6/1440)</f>
        <v>0.32291666666666663</v>
      </c>
      <c r="I85">
        <f>INDEX(PeakCalc!$L$10:$L$303,MATCH(tblPivotData[[#This Row],[Time]],PeakCalc!$G$10:$G$303,0))</f>
        <v>1</v>
      </c>
    </row>
    <row r="86" spans="1:9" x14ac:dyDescent="0.3">
      <c r="A86" t="s">
        <v>92</v>
      </c>
      <c r="B86" t="s">
        <v>96</v>
      </c>
      <c r="C86" t="s">
        <v>94</v>
      </c>
      <c r="D86" t="s">
        <v>88</v>
      </c>
      <c r="E86" t="s">
        <v>43</v>
      </c>
      <c r="F86" s="6">
        <v>0.33333333333333331</v>
      </c>
      <c r="G86">
        <v>5</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3</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0</v>
      </c>
      <c r="H88" s="6">
        <f>FLOOR(tblPivotData[[#This Row],[Time]],Summary!$B$6/1440)</f>
        <v>0.35416666666666663</v>
      </c>
      <c r="I88">
        <f>INDEX(PeakCalc!$L$10:$L$303,MATCH(tblPivotData[[#This Row],[Time]],PeakCalc!$G$10:$G$303,0))</f>
        <v>0</v>
      </c>
    </row>
    <row r="89" spans="1:9" x14ac:dyDescent="0.3">
      <c r="A89" t="s">
        <v>92</v>
      </c>
      <c r="B89" t="s">
        <v>96</v>
      </c>
      <c r="C89" t="s">
        <v>94</v>
      </c>
      <c r="D89" t="s">
        <v>88</v>
      </c>
      <c r="E89" t="s">
        <v>43</v>
      </c>
      <c r="F89" s="6">
        <v>0.36458333333333331</v>
      </c>
      <c r="G89">
        <v>4</v>
      </c>
      <c r="H89" s="6">
        <f>FLOOR(tblPivotData[[#This Row],[Time]],Summary!$B$6/1440)</f>
        <v>0.36458333333333331</v>
      </c>
      <c r="I89">
        <f>INDEX(PeakCalc!$L$10:$L$303,MATCH(tblPivotData[[#This Row],[Time]],PeakCalc!$G$10:$G$303,0))</f>
        <v>0</v>
      </c>
    </row>
    <row r="90" spans="1:9" x14ac:dyDescent="0.3">
      <c r="A90" t="s">
        <v>92</v>
      </c>
      <c r="B90" t="s">
        <v>96</v>
      </c>
      <c r="C90" t="s">
        <v>94</v>
      </c>
      <c r="D90" t="s">
        <v>88</v>
      </c>
      <c r="E90" t="s">
        <v>90</v>
      </c>
      <c r="F90" s="6">
        <v>0.54166666666666663</v>
      </c>
      <c r="G90">
        <v>5</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6</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4</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8</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4</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3</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7</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7</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3</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2</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3</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1</v>
      </c>
      <c r="H104" s="6">
        <f>FLOOR(tblPivotData[[#This Row],[Time]],Summary!$B$6/1440)</f>
        <v>0.3125</v>
      </c>
      <c r="I104">
        <f>INDEX(PeakCalc!$L$10:$L$303,MATCH(tblPivotData[[#This Row],[Time]],PeakCalc!$G$10:$G$303,0))</f>
        <v>1</v>
      </c>
    </row>
    <row r="105" spans="1:9" x14ac:dyDescent="0.3">
      <c r="A105" t="s">
        <v>92</v>
      </c>
      <c r="B105" t="s">
        <v>96</v>
      </c>
      <c r="C105" t="s">
        <v>94</v>
      </c>
      <c r="D105" t="s">
        <v>89</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92</v>
      </c>
      <c r="B106" t="s">
        <v>96</v>
      </c>
      <c r="C106" t="s">
        <v>94</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1</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92</v>
      </c>
      <c r="B109" t="s">
        <v>96</v>
      </c>
      <c r="C109" t="s">
        <v>94</v>
      </c>
      <c r="D109" t="s">
        <v>89</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92</v>
      </c>
      <c r="B110" t="s">
        <v>96</v>
      </c>
      <c r="C110" t="s">
        <v>94</v>
      </c>
      <c r="D110" t="s">
        <v>89</v>
      </c>
      <c r="E110" t="s">
        <v>90</v>
      </c>
      <c r="F110" s="6">
        <v>0.54166666666666663</v>
      </c>
      <c r="G110">
        <v>2</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2</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3</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4</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3</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22</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23</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31</v>
      </c>
      <c r="H124" s="6">
        <f>FLOOR(tblPivotData[[#This Row],[Time]],Summary!$B$6/1440)</f>
        <v>0.3125</v>
      </c>
      <c r="I124">
        <f>INDEX(PeakCalc!$L$10:$L$303,MATCH(tblPivotData[[#This Row],[Time]],PeakCalc!$G$10:$G$303,0))</f>
        <v>1</v>
      </c>
    </row>
    <row r="125" spans="1:9" x14ac:dyDescent="0.3">
      <c r="A125" t="s">
        <v>93</v>
      </c>
      <c r="B125" t="s">
        <v>97</v>
      </c>
      <c r="C125" t="s">
        <v>94</v>
      </c>
      <c r="D125" t="s">
        <v>79</v>
      </c>
      <c r="E125" t="s">
        <v>43</v>
      </c>
      <c r="F125" s="6">
        <v>0.32291666666666669</v>
      </c>
      <c r="G125">
        <v>31</v>
      </c>
      <c r="H125" s="6">
        <f>FLOOR(tblPivotData[[#This Row],[Time]],Summary!$B$6/1440)</f>
        <v>0.32291666666666663</v>
      </c>
      <c r="I125">
        <f>INDEX(PeakCalc!$L$10:$L$303,MATCH(tblPivotData[[#This Row],[Time]],PeakCalc!$G$10:$G$303,0))</f>
        <v>1</v>
      </c>
    </row>
    <row r="126" spans="1:9" x14ac:dyDescent="0.3">
      <c r="A126" t="s">
        <v>93</v>
      </c>
      <c r="B126" t="s">
        <v>97</v>
      </c>
      <c r="C126" t="s">
        <v>94</v>
      </c>
      <c r="D126" t="s">
        <v>79</v>
      </c>
      <c r="E126" t="s">
        <v>43</v>
      </c>
      <c r="F126" s="6">
        <v>0.33333333333333331</v>
      </c>
      <c r="G126">
        <v>25</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48</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55</v>
      </c>
      <c r="H128" s="6">
        <f>FLOOR(tblPivotData[[#This Row],[Time]],Summary!$B$6/1440)</f>
        <v>0.35416666666666663</v>
      </c>
      <c r="I128">
        <f>INDEX(PeakCalc!$L$10:$L$303,MATCH(tblPivotData[[#This Row],[Time]],PeakCalc!$G$10:$G$303,0))</f>
        <v>0</v>
      </c>
    </row>
    <row r="129" spans="1:9" x14ac:dyDescent="0.3">
      <c r="A129" t="s">
        <v>93</v>
      </c>
      <c r="B129" t="s">
        <v>97</v>
      </c>
      <c r="C129" t="s">
        <v>94</v>
      </c>
      <c r="D129" t="s">
        <v>79</v>
      </c>
      <c r="E129" t="s">
        <v>43</v>
      </c>
      <c r="F129" s="6">
        <v>0.36458333333333331</v>
      </c>
      <c r="G129">
        <v>39</v>
      </c>
      <c r="H129" s="6">
        <f>FLOOR(tblPivotData[[#This Row],[Time]],Summary!$B$6/1440)</f>
        <v>0.36458333333333331</v>
      </c>
      <c r="I129">
        <f>INDEX(PeakCalc!$L$10:$L$303,MATCH(tblPivotData[[#This Row],[Time]],PeakCalc!$G$10:$G$303,0))</f>
        <v>0</v>
      </c>
    </row>
    <row r="130" spans="1:9" x14ac:dyDescent="0.3">
      <c r="A130" t="s">
        <v>93</v>
      </c>
      <c r="B130" t="s">
        <v>97</v>
      </c>
      <c r="C130" t="s">
        <v>94</v>
      </c>
      <c r="D130" t="s">
        <v>79</v>
      </c>
      <c r="E130" t="s">
        <v>90</v>
      </c>
      <c r="F130" s="6">
        <v>0.54166666666666663</v>
      </c>
      <c r="G130">
        <v>12</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18</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18</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10</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18</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18</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32</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19</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20</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34</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19</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17</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1</v>
      </c>
      <c r="H144" s="6">
        <f>FLOOR(tblPivotData[[#This Row],[Time]],Summary!$B$6/1440)</f>
        <v>0.3125</v>
      </c>
      <c r="I144">
        <f>INDEX(PeakCalc!$L$10:$L$303,MATCH(tblPivotData[[#This Row],[Time]],PeakCalc!$G$10:$G$303,0))</f>
        <v>1</v>
      </c>
    </row>
    <row r="145" spans="1:9" x14ac:dyDescent="0.3">
      <c r="A145" t="s">
        <v>93</v>
      </c>
      <c r="B145" t="s">
        <v>97</v>
      </c>
      <c r="C145" t="s">
        <v>94</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93</v>
      </c>
      <c r="B146" t="s">
        <v>97</v>
      </c>
      <c r="C146" t="s">
        <v>94</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0</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1</v>
      </c>
      <c r="H148" s="6">
        <f>FLOOR(tblPivotData[[#This Row],[Time]],Summary!$B$6/1440)</f>
        <v>0.35416666666666663</v>
      </c>
      <c r="I148">
        <f>INDEX(PeakCalc!$L$10:$L$303,MATCH(tblPivotData[[#This Row],[Time]],PeakCalc!$G$10:$G$303,0))</f>
        <v>0</v>
      </c>
    </row>
    <row r="149" spans="1:9" x14ac:dyDescent="0.3">
      <c r="A149" t="s">
        <v>93</v>
      </c>
      <c r="B149" t="s">
        <v>97</v>
      </c>
      <c r="C149" t="s">
        <v>94</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93</v>
      </c>
      <c r="B150" t="s">
        <v>97</v>
      </c>
      <c r="C150" t="s">
        <v>94</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0</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3</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0</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1</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1</v>
      </c>
      <c r="H168" s="6">
        <f>FLOOR(tblPivotData[[#This Row],[Time]],Summary!$B$6/1440)</f>
        <v>0.35416666666666663</v>
      </c>
      <c r="I168">
        <f>INDEX(PeakCalc!$L$10:$L$303,MATCH(tblPivotData[[#This Row],[Time]],PeakCalc!$G$10:$G$303,0))</f>
        <v>0</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0</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37</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38</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41</v>
      </c>
      <c r="H184" s="6">
        <f>FLOOR(tblPivotData[[#This Row],[Time]],Summary!$B$6/1440)</f>
        <v>0.3125</v>
      </c>
      <c r="I184">
        <f>INDEX(PeakCalc!$L$10:$L$303,MATCH(tblPivotData[[#This Row],[Time]],PeakCalc!$G$10:$G$303,0))</f>
        <v>1</v>
      </c>
    </row>
    <row r="185" spans="1:9" x14ac:dyDescent="0.3">
      <c r="A185" t="s">
        <v>93</v>
      </c>
      <c r="B185" t="s">
        <v>98</v>
      </c>
      <c r="C185" t="s">
        <v>92</v>
      </c>
      <c r="D185" t="s">
        <v>79</v>
      </c>
      <c r="E185" t="s">
        <v>43</v>
      </c>
      <c r="F185" s="6">
        <v>0.32291666666666669</v>
      </c>
      <c r="G185">
        <v>48</v>
      </c>
      <c r="H185" s="6">
        <f>FLOOR(tblPivotData[[#This Row],[Time]],Summary!$B$6/1440)</f>
        <v>0.32291666666666663</v>
      </c>
      <c r="I185">
        <f>INDEX(PeakCalc!$L$10:$L$303,MATCH(tblPivotData[[#This Row],[Time]],PeakCalc!$G$10:$G$303,0))</f>
        <v>1</v>
      </c>
    </row>
    <row r="186" spans="1:9" x14ac:dyDescent="0.3">
      <c r="A186" t="s">
        <v>93</v>
      </c>
      <c r="B186" t="s">
        <v>98</v>
      </c>
      <c r="C186" t="s">
        <v>92</v>
      </c>
      <c r="D186" t="s">
        <v>79</v>
      </c>
      <c r="E186" t="s">
        <v>43</v>
      </c>
      <c r="F186" s="6">
        <v>0.33333333333333331</v>
      </c>
      <c r="G186">
        <v>33</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51</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30</v>
      </c>
      <c r="H188" s="6">
        <f>FLOOR(tblPivotData[[#This Row],[Time]],Summary!$B$6/1440)</f>
        <v>0.35416666666666663</v>
      </c>
      <c r="I188">
        <f>INDEX(PeakCalc!$L$10:$L$303,MATCH(tblPivotData[[#This Row],[Time]],PeakCalc!$G$10:$G$303,0))</f>
        <v>0</v>
      </c>
    </row>
    <row r="189" spans="1:9" x14ac:dyDescent="0.3">
      <c r="A189" t="s">
        <v>93</v>
      </c>
      <c r="B189" t="s">
        <v>98</v>
      </c>
      <c r="C189" t="s">
        <v>92</v>
      </c>
      <c r="D189" t="s">
        <v>79</v>
      </c>
      <c r="E189" t="s">
        <v>43</v>
      </c>
      <c r="F189" s="6">
        <v>0.36458333333333331</v>
      </c>
      <c r="G189">
        <v>33</v>
      </c>
      <c r="H189" s="6">
        <f>FLOOR(tblPivotData[[#This Row],[Time]],Summary!$B$6/1440)</f>
        <v>0.36458333333333331</v>
      </c>
      <c r="I189">
        <f>INDEX(PeakCalc!$L$10:$L$303,MATCH(tblPivotData[[#This Row],[Time]],PeakCalc!$G$10:$G$303,0))</f>
        <v>0</v>
      </c>
    </row>
    <row r="190" spans="1:9" x14ac:dyDescent="0.3">
      <c r="A190" t="s">
        <v>93</v>
      </c>
      <c r="B190" t="s">
        <v>98</v>
      </c>
      <c r="C190" t="s">
        <v>92</v>
      </c>
      <c r="D190" t="s">
        <v>79</v>
      </c>
      <c r="E190" t="s">
        <v>90</v>
      </c>
      <c r="F190" s="6">
        <v>0.54166666666666663</v>
      </c>
      <c r="G190">
        <v>9</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17</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15</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28</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34</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26</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38</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23</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21</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33</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22</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25</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0</v>
      </c>
      <c r="H204" s="6">
        <f>FLOOR(tblPivotData[[#This Row],[Time]],Summary!$B$6/1440)</f>
        <v>0.3125</v>
      </c>
      <c r="I204">
        <f>INDEX(PeakCalc!$L$10:$L$303,MATCH(tblPivotData[[#This Row],[Time]],PeakCalc!$G$10:$G$303,0))</f>
        <v>1</v>
      </c>
    </row>
    <row r="205" spans="1:9" x14ac:dyDescent="0.3">
      <c r="A205" t="s">
        <v>93</v>
      </c>
      <c r="B205" t="s">
        <v>98</v>
      </c>
      <c r="C205" t="s">
        <v>92</v>
      </c>
      <c r="D205" t="s">
        <v>88</v>
      </c>
      <c r="E205" t="s">
        <v>43</v>
      </c>
      <c r="F205" s="6">
        <v>0.32291666666666669</v>
      </c>
      <c r="G205">
        <v>3</v>
      </c>
      <c r="H205" s="6">
        <f>FLOOR(tblPivotData[[#This Row],[Time]],Summary!$B$6/1440)</f>
        <v>0.32291666666666663</v>
      </c>
      <c r="I205">
        <f>INDEX(PeakCalc!$L$10:$L$303,MATCH(tblPivotData[[#This Row],[Time]],PeakCalc!$G$10:$G$303,0))</f>
        <v>1</v>
      </c>
    </row>
    <row r="206" spans="1:9" x14ac:dyDescent="0.3">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1</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1</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1</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2</v>
      </c>
      <c r="H224" s="6">
        <f>FLOOR(tblPivotData[[#This Row],[Time]],Summary!$B$6/1440)</f>
        <v>0.3125</v>
      </c>
      <c r="I224">
        <f>INDEX(PeakCalc!$L$10:$L$303,MATCH(tblPivotData[[#This Row],[Time]],PeakCalc!$G$10:$G$303,0))</f>
        <v>1</v>
      </c>
    </row>
    <row r="225" spans="1:9" x14ac:dyDescent="0.3">
      <c r="A225" t="s">
        <v>93</v>
      </c>
      <c r="B225" t="s">
        <v>98</v>
      </c>
      <c r="C225" t="s">
        <v>92</v>
      </c>
      <c r="D225" t="s">
        <v>89</v>
      </c>
      <c r="E225" t="s">
        <v>43</v>
      </c>
      <c r="F225" s="6">
        <v>0.32291666666666669</v>
      </c>
      <c r="G225">
        <v>2</v>
      </c>
      <c r="H225" s="6">
        <f>FLOOR(tblPivotData[[#This Row],[Time]],Summary!$B$6/1440)</f>
        <v>0.32291666666666663</v>
      </c>
      <c r="I225">
        <f>INDEX(PeakCalc!$L$10:$L$303,MATCH(tblPivotData[[#This Row],[Time]],PeakCalc!$G$10:$G$303,0))</f>
        <v>1</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1</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1</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52</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53</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71</v>
      </c>
      <c r="H244" s="6">
        <f>FLOOR(tblPivotData[[#This Row],[Time]],Summary!$B$6/1440)</f>
        <v>0.3125</v>
      </c>
      <c r="I244">
        <f>INDEX(PeakCalc!$L$10:$L$303,MATCH(tblPivotData[[#This Row],[Time]],PeakCalc!$G$10:$G$303,0))</f>
        <v>1</v>
      </c>
    </row>
    <row r="245" spans="1:9" x14ac:dyDescent="0.3">
      <c r="A245" t="s">
        <v>94</v>
      </c>
      <c r="B245" t="s">
        <v>99</v>
      </c>
      <c r="C245" t="s">
        <v>92</v>
      </c>
      <c r="D245" t="s">
        <v>79</v>
      </c>
      <c r="E245" t="s">
        <v>43</v>
      </c>
      <c r="F245" s="6">
        <v>0.32291666666666669</v>
      </c>
      <c r="G245">
        <v>73</v>
      </c>
      <c r="H245" s="6">
        <f>FLOOR(tblPivotData[[#This Row],[Time]],Summary!$B$6/1440)</f>
        <v>0.32291666666666663</v>
      </c>
      <c r="I245">
        <f>INDEX(PeakCalc!$L$10:$L$303,MATCH(tblPivotData[[#This Row],[Time]],PeakCalc!$G$10:$G$303,0))</f>
        <v>1</v>
      </c>
    </row>
    <row r="246" spans="1:9" x14ac:dyDescent="0.3">
      <c r="A246" t="s">
        <v>94</v>
      </c>
      <c r="B246" t="s">
        <v>99</v>
      </c>
      <c r="C246" t="s">
        <v>92</v>
      </c>
      <c r="D246" t="s">
        <v>79</v>
      </c>
      <c r="E246" t="s">
        <v>43</v>
      </c>
      <c r="F246" s="6">
        <v>0.33333333333333331</v>
      </c>
      <c r="G246">
        <v>65</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58</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65</v>
      </c>
      <c r="H248" s="6">
        <f>FLOOR(tblPivotData[[#This Row],[Time]],Summary!$B$6/1440)</f>
        <v>0.35416666666666663</v>
      </c>
      <c r="I248">
        <f>INDEX(PeakCalc!$L$10:$L$303,MATCH(tblPivotData[[#This Row],[Time]],PeakCalc!$G$10:$G$303,0))</f>
        <v>0</v>
      </c>
    </row>
    <row r="249" spans="1:9" x14ac:dyDescent="0.3">
      <c r="A249" t="s">
        <v>94</v>
      </c>
      <c r="B249" t="s">
        <v>99</v>
      </c>
      <c r="C249" t="s">
        <v>92</v>
      </c>
      <c r="D249" t="s">
        <v>79</v>
      </c>
      <c r="E249" t="s">
        <v>43</v>
      </c>
      <c r="F249" s="6">
        <v>0.36458333333333331</v>
      </c>
      <c r="G249">
        <v>64</v>
      </c>
      <c r="H249" s="6">
        <f>FLOOR(tblPivotData[[#This Row],[Time]],Summary!$B$6/1440)</f>
        <v>0.36458333333333331</v>
      </c>
      <c r="I249">
        <f>INDEX(PeakCalc!$L$10:$L$303,MATCH(tblPivotData[[#This Row],[Time]],PeakCalc!$G$10:$G$303,0))</f>
        <v>0</v>
      </c>
    </row>
    <row r="250" spans="1:9" x14ac:dyDescent="0.3">
      <c r="A250" t="s">
        <v>94</v>
      </c>
      <c r="B250" t="s">
        <v>99</v>
      </c>
      <c r="C250" t="s">
        <v>92</v>
      </c>
      <c r="D250" t="s">
        <v>79</v>
      </c>
      <c r="E250" t="s">
        <v>90</v>
      </c>
      <c r="F250" s="6">
        <v>0.54166666666666663</v>
      </c>
      <c r="G250">
        <v>44</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61</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45</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45</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81</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97</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82</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115</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95</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98</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88</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75</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12</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12</v>
      </c>
      <c r="H264" s="6">
        <f>FLOOR(tblPivotData[[#This Row],[Time]],Summary!$B$6/1440)</f>
        <v>0.3125</v>
      </c>
      <c r="I264">
        <f>INDEX(PeakCalc!$L$10:$L$303,MATCH(tblPivotData[[#This Row],[Time]],PeakCalc!$G$10:$G$303,0))</f>
        <v>1</v>
      </c>
    </row>
    <row r="265" spans="1:9" x14ac:dyDescent="0.3">
      <c r="A265" t="s">
        <v>94</v>
      </c>
      <c r="B265" t="s">
        <v>99</v>
      </c>
      <c r="C265" t="s">
        <v>92</v>
      </c>
      <c r="D265" t="s">
        <v>88</v>
      </c>
      <c r="E265" t="s">
        <v>43</v>
      </c>
      <c r="F265" s="6">
        <v>0.32291666666666669</v>
      </c>
      <c r="G265">
        <v>16</v>
      </c>
      <c r="H265" s="6">
        <f>FLOOR(tblPivotData[[#This Row],[Time]],Summary!$B$6/1440)</f>
        <v>0.32291666666666663</v>
      </c>
      <c r="I265">
        <f>INDEX(PeakCalc!$L$10:$L$303,MATCH(tblPivotData[[#This Row],[Time]],PeakCalc!$G$10:$G$303,0))</f>
        <v>1</v>
      </c>
    </row>
    <row r="266" spans="1:9" x14ac:dyDescent="0.3">
      <c r="A266" t="s">
        <v>94</v>
      </c>
      <c r="B266" t="s">
        <v>99</v>
      </c>
      <c r="C266" t="s">
        <v>92</v>
      </c>
      <c r="D266" t="s">
        <v>88</v>
      </c>
      <c r="E266" t="s">
        <v>43</v>
      </c>
      <c r="F266" s="6">
        <v>0.33333333333333331</v>
      </c>
      <c r="G266">
        <v>4</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11</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3</v>
      </c>
      <c r="H268" s="6">
        <f>FLOOR(tblPivotData[[#This Row],[Time]],Summary!$B$6/1440)</f>
        <v>0.35416666666666663</v>
      </c>
      <c r="I268">
        <f>INDEX(PeakCalc!$L$10:$L$303,MATCH(tblPivotData[[#This Row],[Time]],PeakCalc!$G$10:$G$303,0))</f>
        <v>0</v>
      </c>
    </row>
    <row r="269" spans="1:9" x14ac:dyDescent="0.3">
      <c r="A269" t="s">
        <v>94</v>
      </c>
      <c r="B269" t="s">
        <v>99</v>
      </c>
      <c r="C269" t="s">
        <v>92</v>
      </c>
      <c r="D269" t="s">
        <v>88</v>
      </c>
      <c r="E269" t="s">
        <v>43</v>
      </c>
      <c r="F269" s="6">
        <v>0.36458333333333331</v>
      </c>
      <c r="G269">
        <v>6</v>
      </c>
      <c r="H269" s="6">
        <f>FLOOR(tblPivotData[[#This Row],[Time]],Summary!$B$6/1440)</f>
        <v>0.36458333333333331</v>
      </c>
      <c r="I269">
        <f>INDEX(PeakCalc!$L$10:$L$303,MATCH(tblPivotData[[#This Row],[Time]],PeakCalc!$G$10:$G$303,0))</f>
        <v>0</v>
      </c>
    </row>
    <row r="270" spans="1:9" x14ac:dyDescent="0.3">
      <c r="A270" t="s">
        <v>94</v>
      </c>
      <c r="B270" t="s">
        <v>99</v>
      </c>
      <c r="C270" t="s">
        <v>92</v>
      </c>
      <c r="D270" t="s">
        <v>88</v>
      </c>
      <c r="E270" t="s">
        <v>90</v>
      </c>
      <c r="F270" s="6">
        <v>0.54166666666666663</v>
      </c>
      <c r="G270">
        <v>7</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8</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5</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8</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3</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2</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0</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4</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5</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4</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2</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0</v>
      </c>
      <c r="H284" s="6">
        <f>FLOOR(tblPivotData[[#This Row],[Time]],Summary!$B$6/1440)</f>
        <v>0.3125</v>
      </c>
      <c r="I284">
        <f>INDEX(PeakCalc!$L$10:$L$303,MATCH(tblPivotData[[#This Row],[Time]],PeakCalc!$G$10:$G$303,0))</f>
        <v>1</v>
      </c>
    </row>
    <row r="285" spans="1:9" x14ac:dyDescent="0.3">
      <c r="A285" t="s">
        <v>94</v>
      </c>
      <c r="B285" t="s">
        <v>99</v>
      </c>
      <c r="C285" t="s">
        <v>92</v>
      </c>
      <c r="D285" t="s">
        <v>89</v>
      </c>
      <c r="E285" t="s">
        <v>43</v>
      </c>
      <c r="F285" s="6">
        <v>0.32291666666666669</v>
      </c>
      <c r="G285">
        <v>3</v>
      </c>
      <c r="H285" s="6">
        <f>FLOOR(tblPivotData[[#This Row],[Time]],Summary!$B$6/1440)</f>
        <v>0.32291666666666663</v>
      </c>
      <c r="I285">
        <f>INDEX(PeakCalc!$L$10:$L$303,MATCH(tblPivotData[[#This Row],[Time]],PeakCalc!$G$10:$G$303,0))</f>
        <v>1</v>
      </c>
    </row>
    <row r="286" spans="1:9" x14ac:dyDescent="0.3">
      <c r="A286" t="s">
        <v>94</v>
      </c>
      <c r="B286" t="s">
        <v>99</v>
      </c>
      <c r="C286" t="s">
        <v>92</v>
      </c>
      <c r="D286" t="s">
        <v>89</v>
      </c>
      <c r="E286" t="s">
        <v>43</v>
      </c>
      <c r="F286" s="6">
        <v>0.33333333333333331</v>
      </c>
      <c r="G286">
        <v>3</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3</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1</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2</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11</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7</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12</v>
      </c>
      <c r="H304" s="6">
        <f>FLOOR(tblPivotData[[#This Row],[Time]],Summary!$B$6/1440)</f>
        <v>0.3125</v>
      </c>
      <c r="I304">
        <f>INDEX(PeakCalc!$L$10:$L$303,MATCH(tblPivotData[[#This Row],[Time]],PeakCalc!$G$10:$G$303,0))</f>
        <v>1</v>
      </c>
    </row>
    <row r="305" spans="1:9" x14ac:dyDescent="0.3">
      <c r="A305" t="s">
        <v>94</v>
      </c>
      <c r="B305" t="s">
        <v>100</v>
      </c>
      <c r="C305" t="s">
        <v>93</v>
      </c>
      <c r="D305" t="s">
        <v>79</v>
      </c>
      <c r="E305" t="s">
        <v>43</v>
      </c>
      <c r="F305" s="6">
        <v>0.32291666666666669</v>
      </c>
      <c r="G305">
        <v>7</v>
      </c>
      <c r="H305" s="6">
        <f>FLOOR(tblPivotData[[#This Row],[Time]],Summary!$B$6/1440)</f>
        <v>0.32291666666666663</v>
      </c>
      <c r="I305">
        <f>INDEX(PeakCalc!$L$10:$L$303,MATCH(tblPivotData[[#This Row],[Time]],PeakCalc!$G$10:$G$303,0))</f>
        <v>1</v>
      </c>
    </row>
    <row r="306" spans="1:9" x14ac:dyDescent="0.3">
      <c r="A306" t="s">
        <v>94</v>
      </c>
      <c r="B306" t="s">
        <v>100</v>
      </c>
      <c r="C306" t="s">
        <v>93</v>
      </c>
      <c r="D306" t="s">
        <v>79</v>
      </c>
      <c r="E306" t="s">
        <v>43</v>
      </c>
      <c r="F306" s="6">
        <v>0.33333333333333331</v>
      </c>
      <c r="G306">
        <v>13</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18</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11</v>
      </c>
      <c r="H308" s="6">
        <f>FLOOR(tblPivotData[[#This Row],[Time]],Summary!$B$6/1440)</f>
        <v>0.35416666666666663</v>
      </c>
      <c r="I308">
        <f>INDEX(PeakCalc!$L$10:$L$303,MATCH(tblPivotData[[#This Row],[Time]],PeakCalc!$G$10:$G$303,0))</f>
        <v>0</v>
      </c>
    </row>
    <row r="309" spans="1:9" x14ac:dyDescent="0.3">
      <c r="A309" t="s">
        <v>94</v>
      </c>
      <c r="B309" t="s">
        <v>100</v>
      </c>
      <c r="C309" t="s">
        <v>93</v>
      </c>
      <c r="D309" t="s">
        <v>79</v>
      </c>
      <c r="E309" t="s">
        <v>43</v>
      </c>
      <c r="F309" s="6">
        <v>0.36458333333333331</v>
      </c>
      <c r="G309">
        <v>10</v>
      </c>
      <c r="H309" s="6">
        <f>FLOOR(tblPivotData[[#This Row],[Time]],Summary!$B$6/1440)</f>
        <v>0.36458333333333331</v>
      </c>
      <c r="I309">
        <f>INDEX(PeakCalc!$L$10:$L$303,MATCH(tblPivotData[[#This Row],[Time]],PeakCalc!$G$10:$G$303,0))</f>
        <v>0</v>
      </c>
    </row>
    <row r="310" spans="1:9" x14ac:dyDescent="0.3">
      <c r="A310" t="s">
        <v>94</v>
      </c>
      <c r="B310" t="s">
        <v>100</v>
      </c>
      <c r="C310" t="s">
        <v>93</v>
      </c>
      <c r="D310" t="s">
        <v>79</v>
      </c>
      <c r="E310" t="s">
        <v>90</v>
      </c>
      <c r="F310" s="6">
        <v>0.54166666666666663</v>
      </c>
      <c r="G310">
        <v>20</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12</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21</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18</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36</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38</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36</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40</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60</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41</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43</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22</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2</v>
      </c>
      <c r="H324" s="6">
        <f>FLOOR(tblPivotData[[#This Row],[Time]],Summary!$B$6/1440)</f>
        <v>0.3125</v>
      </c>
      <c r="I324">
        <f>INDEX(PeakCalc!$L$10:$L$303,MATCH(tblPivotData[[#This Row],[Time]],PeakCalc!$G$10:$G$303,0))</f>
        <v>1</v>
      </c>
    </row>
    <row r="325" spans="1:9" x14ac:dyDescent="0.3">
      <c r="A325" t="s">
        <v>94</v>
      </c>
      <c r="B325" t="s">
        <v>100</v>
      </c>
      <c r="C325" t="s">
        <v>93</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94</v>
      </c>
      <c r="B326" t="s">
        <v>100</v>
      </c>
      <c r="C326" t="s">
        <v>93</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0</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1</v>
      </c>
      <c r="H328" s="6">
        <f>FLOOR(tblPivotData[[#This Row],[Time]],Summary!$B$6/1440)</f>
        <v>0.35416666666666663</v>
      </c>
      <c r="I328">
        <f>INDEX(PeakCalc!$L$10:$L$303,MATCH(tblPivotData[[#This Row],[Time]],PeakCalc!$G$10:$G$303,0))</f>
        <v>0</v>
      </c>
    </row>
    <row r="329" spans="1:9" x14ac:dyDescent="0.3">
      <c r="A329" t="s">
        <v>94</v>
      </c>
      <c r="B329" t="s">
        <v>100</v>
      </c>
      <c r="C329" t="s">
        <v>93</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3">
      <c r="A330" t="s">
        <v>94</v>
      </c>
      <c r="B330" t="s">
        <v>100</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0</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0</v>
      </c>
      <c r="H344" s="6">
        <f>FLOOR(tblPivotData[[#This Row],[Time]],Summary!$B$6/1440)</f>
        <v>0.3125</v>
      </c>
      <c r="I344">
        <f>INDEX(PeakCalc!$L$10:$L$303,MATCH(tblPivotData[[#This Row],[Time]],PeakCalc!$G$10:$G$303,0))</f>
        <v>1</v>
      </c>
    </row>
    <row r="345" spans="1:9" x14ac:dyDescent="0.3">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1</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1</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1</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178</v>
      </c>
      <c r="D14">
        <v>4</v>
      </c>
      <c r="E14">
        <v>3</v>
      </c>
      <c r="F14">
        <v>185</v>
      </c>
      <c r="G14">
        <v>448</v>
      </c>
      <c r="H14">
        <v>29</v>
      </c>
      <c r="I14">
        <v>6</v>
      </c>
      <c r="J14">
        <v>483</v>
      </c>
      <c r="K14">
        <v>668</v>
      </c>
      <c r="L14">
        <v>274</v>
      </c>
      <c r="M14">
        <v>3</v>
      </c>
      <c r="N14">
        <v>2</v>
      </c>
      <c r="O14">
        <v>279</v>
      </c>
      <c r="P14">
        <v>311</v>
      </c>
      <c r="Q14">
        <v>5</v>
      </c>
      <c r="R14">
        <v>5</v>
      </c>
      <c r="S14">
        <v>321</v>
      </c>
      <c r="T14">
        <v>600</v>
      </c>
      <c r="U14">
        <v>501</v>
      </c>
      <c r="V14">
        <v>66</v>
      </c>
      <c r="W14">
        <v>10</v>
      </c>
      <c r="X14">
        <v>577</v>
      </c>
      <c r="Y14">
        <v>89</v>
      </c>
      <c r="Z14">
        <v>6</v>
      </c>
      <c r="AA14">
        <v>0</v>
      </c>
      <c r="AB14">
        <v>95</v>
      </c>
      <c r="AC14">
        <v>672</v>
      </c>
      <c r="AD14">
        <v>1940</v>
      </c>
    </row>
    <row r="15" spans="2:30" x14ac:dyDescent="0.3">
      <c r="B15" s="11">
        <v>0.29166666666666669</v>
      </c>
      <c r="C15">
        <v>15</v>
      </c>
      <c r="D15">
        <v>2</v>
      </c>
      <c r="E15">
        <v>0</v>
      </c>
      <c r="F15">
        <v>17</v>
      </c>
      <c r="G15">
        <v>41</v>
      </c>
      <c r="H15">
        <v>3</v>
      </c>
      <c r="I15">
        <v>0</v>
      </c>
      <c r="J15">
        <v>44</v>
      </c>
      <c r="K15">
        <v>61</v>
      </c>
      <c r="L15">
        <v>22</v>
      </c>
      <c r="M15">
        <v>0</v>
      </c>
      <c r="N15">
        <v>0</v>
      </c>
      <c r="O15">
        <v>22</v>
      </c>
      <c r="P15">
        <v>37</v>
      </c>
      <c r="Q15">
        <v>0</v>
      </c>
      <c r="R15">
        <v>0</v>
      </c>
      <c r="S15">
        <v>37</v>
      </c>
      <c r="T15">
        <v>59</v>
      </c>
      <c r="U15">
        <v>52</v>
      </c>
      <c r="V15">
        <v>2</v>
      </c>
      <c r="W15">
        <v>0</v>
      </c>
      <c r="X15">
        <v>54</v>
      </c>
      <c r="Y15">
        <v>11</v>
      </c>
      <c r="Z15">
        <v>0</v>
      </c>
      <c r="AA15">
        <v>0</v>
      </c>
      <c r="AB15">
        <v>11</v>
      </c>
      <c r="AC15">
        <v>65</v>
      </c>
      <c r="AD15">
        <v>185</v>
      </c>
    </row>
    <row r="16" spans="2:30" x14ac:dyDescent="0.3">
      <c r="B16" s="11">
        <v>0.30208333333333331</v>
      </c>
      <c r="C16">
        <v>22</v>
      </c>
      <c r="D16">
        <v>0</v>
      </c>
      <c r="E16">
        <v>0</v>
      </c>
      <c r="F16">
        <v>22</v>
      </c>
      <c r="G16">
        <v>58</v>
      </c>
      <c r="H16">
        <v>2</v>
      </c>
      <c r="I16">
        <v>1</v>
      </c>
      <c r="J16">
        <v>61</v>
      </c>
      <c r="K16">
        <v>83</v>
      </c>
      <c r="L16">
        <v>23</v>
      </c>
      <c r="M16">
        <v>0</v>
      </c>
      <c r="N16">
        <v>0</v>
      </c>
      <c r="O16">
        <v>23</v>
      </c>
      <c r="P16">
        <v>38</v>
      </c>
      <c r="Q16">
        <v>1</v>
      </c>
      <c r="R16">
        <v>1</v>
      </c>
      <c r="S16">
        <v>40</v>
      </c>
      <c r="T16">
        <v>63</v>
      </c>
      <c r="U16">
        <v>53</v>
      </c>
      <c r="V16">
        <v>12</v>
      </c>
      <c r="W16">
        <v>1</v>
      </c>
      <c r="X16">
        <v>66</v>
      </c>
      <c r="Y16">
        <v>7</v>
      </c>
      <c r="Z16">
        <v>1</v>
      </c>
      <c r="AA16">
        <v>0</v>
      </c>
      <c r="AB16">
        <v>8</v>
      </c>
      <c r="AC16">
        <v>74</v>
      </c>
      <c r="AD16">
        <v>220</v>
      </c>
    </row>
    <row r="17" spans="2:30" x14ac:dyDescent="0.3">
      <c r="B17" s="11">
        <v>0.3125</v>
      </c>
      <c r="C17">
        <v>26</v>
      </c>
      <c r="D17">
        <v>1</v>
      </c>
      <c r="E17">
        <v>0</v>
      </c>
      <c r="F17">
        <v>27</v>
      </c>
      <c r="G17">
        <v>69</v>
      </c>
      <c r="H17">
        <v>6</v>
      </c>
      <c r="I17">
        <v>1</v>
      </c>
      <c r="J17">
        <v>76</v>
      </c>
      <c r="K17">
        <v>103</v>
      </c>
      <c r="L17">
        <v>31</v>
      </c>
      <c r="M17">
        <v>1</v>
      </c>
      <c r="N17">
        <v>0</v>
      </c>
      <c r="O17">
        <v>32</v>
      </c>
      <c r="P17">
        <v>41</v>
      </c>
      <c r="Q17">
        <v>0</v>
      </c>
      <c r="R17">
        <v>2</v>
      </c>
      <c r="S17">
        <v>43</v>
      </c>
      <c r="T17">
        <v>75</v>
      </c>
      <c r="U17">
        <v>71</v>
      </c>
      <c r="V17">
        <v>12</v>
      </c>
      <c r="W17">
        <v>0</v>
      </c>
      <c r="X17">
        <v>83</v>
      </c>
      <c r="Y17">
        <v>12</v>
      </c>
      <c r="Z17">
        <v>2</v>
      </c>
      <c r="AA17">
        <v>0</v>
      </c>
      <c r="AB17">
        <v>14</v>
      </c>
      <c r="AC17">
        <v>97</v>
      </c>
      <c r="AD17">
        <v>275</v>
      </c>
    </row>
    <row r="18" spans="2:30" x14ac:dyDescent="0.3">
      <c r="B18" s="11">
        <v>0.32291666666666669</v>
      </c>
      <c r="C18">
        <v>26</v>
      </c>
      <c r="D18">
        <v>0</v>
      </c>
      <c r="E18">
        <v>0</v>
      </c>
      <c r="F18">
        <v>26</v>
      </c>
      <c r="G18">
        <v>52</v>
      </c>
      <c r="H18">
        <v>6</v>
      </c>
      <c r="I18">
        <v>1</v>
      </c>
      <c r="J18">
        <v>59</v>
      </c>
      <c r="K18">
        <v>85</v>
      </c>
      <c r="L18">
        <v>31</v>
      </c>
      <c r="M18">
        <v>0</v>
      </c>
      <c r="N18">
        <v>0</v>
      </c>
      <c r="O18">
        <v>31</v>
      </c>
      <c r="P18">
        <v>48</v>
      </c>
      <c r="Q18">
        <v>3</v>
      </c>
      <c r="R18">
        <v>2</v>
      </c>
      <c r="S18">
        <v>53</v>
      </c>
      <c r="T18">
        <v>84</v>
      </c>
      <c r="U18">
        <v>73</v>
      </c>
      <c r="V18">
        <v>16</v>
      </c>
      <c r="W18">
        <v>3</v>
      </c>
      <c r="X18">
        <v>92</v>
      </c>
      <c r="Y18">
        <v>7</v>
      </c>
      <c r="Z18">
        <v>1</v>
      </c>
      <c r="AA18">
        <v>0</v>
      </c>
      <c r="AB18">
        <v>8</v>
      </c>
      <c r="AC18">
        <v>100</v>
      </c>
      <c r="AD18">
        <v>269</v>
      </c>
    </row>
    <row r="19" spans="2:30" x14ac:dyDescent="0.3">
      <c r="B19" s="11">
        <v>0.33333333333333331</v>
      </c>
      <c r="C19">
        <v>24</v>
      </c>
      <c r="D19">
        <v>0</v>
      </c>
      <c r="E19">
        <v>0</v>
      </c>
      <c r="F19">
        <v>24</v>
      </c>
      <c r="G19">
        <v>53</v>
      </c>
      <c r="H19">
        <v>5</v>
      </c>
      <c r="I19">
        <v>1</v>
      </c>
      <c r="J19">
        <v>59</v>
      </c>
      <c r="K19">
        <v>83</v>
      </c>
      <c r="L19">
        <v>25</v>
      </c>
      <c r="M19">
        <v>1</v>
      </c>
      <c r="N19">
        <v>1</v>
      </c>
      <c r="O19">
        <v>27</v>
      </c>
      <c r="P19">
        <v>33</v>
      </c>
      <c r="Q19">
        <v>0</v>
      </c>
      <c r="R19">
        <v>0</v>
      </c>
      <c r="S19">
        <v>33</v>
      </c>
      <c r="T19">
        <v>60</v>
      </c>
      <c r="U19">
        <v>65</v>
      </c>
      <c r="V19">
        <v>4</v>
      </c>
      <c r="W19">
        <v>3</v>
      </c>
      <c r="X19">
        <v>72</v>
      </c>
      <c r="Y19">
        <v>13</v>
      </c>
      <c r="Z19">
        <v>0</v>
      </c>
      <c r="AA19">
        <v>0</v>
      </c>
      <c r="AB19">
        <v>13</v>
      </c>
      <c r="AC19">
        <v>85</v>
      </c>
      <c r="AD19">
        <v>228</v>
      </c>
    </row>
    <row r="20" spans="2:30" x14ac:dyDescent="0.3">
      <c r="B20" s="11">
        <v>0.34375</v>
      </c>
      <c r="C20">
        <v>25</v>
      </c>
      <c r="D20">
        <v>1</v>
      </c>
      <c r="E20">
        <v>1</v>
      </c>
      <c r="F20">
        <v>27</v>
      </c>
      <c r="G20">
        <v>70</v>
      </c>
      <c r="H20">
        <v>3</v>
      </c>
      <c r="I20">
        <v>1</v>
      </c>
      <c r="J20">
        <v>74</v>
      </c>
      <c r="K20">
        <v>101</v>
      </c>
      <c r="L20">
        <v>48</v>
      </c>
      <c r="M20">
        <v>0</v>
      </c>
      <c r="N20">
        <v>0</v>
      </c>
      <c r="O20">
        <v>48</v>
      </c>
      <c r="P20">
        <v>51</v>
      </c>
      <c r="Q20">
        <v>1</v>
      </c>
      <c r="R20">
        <v>0</v>
      </c>
      <c r="S20">
        <v>52</v>
      </c>
      <c r="T20">
        <v>100</v>
      </c>
      <c r="U20">
        <v>58</v>
      </c>
      <c r="V20">
        <v>11</v>
      </c>
      <c r="W20">
        <v>3</v>
      </c>
      <c r="X20">
        <v>72</v>
      </c>
      <c r="Y20">
        <v>18</v>
      </c>
      <c r="Z20">
        <v>0</v>
      </c>
      <c r="AA20">
        <v>0</v>
      </c>
      <c r="AB20">
        <v>18</v>
      </c>
      <c r="AC20">
        <v>90</v>
      </c>
      <c r="AD20">
        <v>291</v>
      </c>
    </row>
    <row r="21" spans="2:30" x14ac:dyDescent="0.3">
      <c r="B21" s="11">
        <v>0.35416666666666669</v>
      </c>
      <c r="C21">
        <v>15</v>
      </c>
      <c r="D21">
        <v>0</v>
      </c>
      <c r="E21">
        <v>2</v>
      </c>
      <c r="F21">
        <v>17</v>
      </c>
      <c r="G21">
        <v>54</v>
      </c>
      <c r="H21">
        <v>0</v>
      </c>
      <c r="I21">
        <v>0</v>
      </c>
      <c r="J21">
        <v>54</v>
      </c>
      <c r="K21">
        <v>71</v>
      </c>
      <c r="L21">
        <v>55</v>
      </c>
      <c r="M21">
        <v>1</v>
      </c>
      <c r="N21">
        <v>1</v>
      </c>
      <c r="O21">
        <v>57</v>
      </c>
      <c r="P21">
        <v>30</v>
      </c>
      <c r="Q21">
        <v>0</v>
      </c>
      <c r="R21">
        <v>0</v>
      </c>
      <c r="S21">
        <v>30</v>
      </c>
      <c r="T21">
        <v>87</v>
      </c>
      <c r="U21">
        <v>65</v>
      </c>
      <c r="V21">
        <v>3</v>
      </c>
      <c r="W21">
        <v>0</v>
      </c>
      <c r="X21">
        <v>68</v>
      </c>
      <c r="Y21">
        <v>11</v>
      </c>
      <c r="Z21">
        <v>1</v>
      </c>
      <c r="AA21">
        <v>0</v>
      </c>
      <c r="AB21">
        <v>12</v>
      </c>
      <c r="AC21">
        <v>80</v>
      </c>
      <c r="AD21">
        <v>238</v>
      </c>
    </row>
    <row r="22" spans="2:30" x14ac:dyDescent="0.3">
      <c r="B22" s="11">
        <v>0.36458333333333331</v>
      </c>
      <c r="C22">
        <v>25</v>
      </c>
      <c r="D22">
        <v>0</v>
      </c>
      <c r="E22">
        <v>0</v>
      </c>
      <c r="F22">
        <v>25</v>
      </c>
      <c r="G22">
        <v>51</v>
      </c>
      <c r="H22">
        <v>4</v>
      </c>
      <c r="I22">
        <v>1</v>
      </c>
      <c r="J22">
        <v>56</v>
      </c>
      <c r="K22">
        <v>81</v>
      </c>
      <c r="L22">
        <v>39</v>
      </c>
      <c r="M22">
        <v>0</v>
      </c>
      <c r="N22">
        <v>0</v>
      </c>
      <c r="O22">
        <v>39</v>
      </c>
      <c r="P22">
        <v>33</v>
      </c>
      <c r="Q22">
        <v>0</v>
      </c>
      <c r="R22">
        <v>0</v>
      </c>
      <c r="S22">
        <v>33</v>
      </c>
      <c r="T22">
        <v>72</v>
      </c>
      <c r="U22">
        <v>64</v>
      </c>
      <c r="V22">
        <v>6</v>
      </c>
      <c r="W22">
        <v>0</v>
      </c>
      <c r="X22">
        <v>70</v>
      </c>
      <c r="Y22">
        <v>10</v>
      </c>
      <c r="Z22">
        <v>1</v>
      </c>
      <c r="AA22">
        <v>0</v>
      </c>
      <c r="AB22">
        <v>11</v>
      </c>
      <c r="AC22">
        <v>81</v>
      </c>
      <c r="AD22">
        <v>234</v>
      </c>
    </row>
    <row r="23" spans="2:30" x14ac:dyDescent="0.3">
      <c r="B23" s="10" t="s">
        <v>44</v>
      </c>
      <c r="C23">
        <v>329</v>
      </c>
      <c r="D23">
        <v>3</v>
      </c>
      <c r="E23">
        <v>3</v>
      </c>
      <c r="F23">
        <v>335</v>
      </c>
      <c r="G23">
        <v>623</v>
      </c>
      <c r="H23">
        <v>31</v>
      </c>
      <c r="I23">
        <v>12</v>
      </c>
      <c r="J23">
        <v>666</v>
      </c>
      <c r="K23">
        <v>1001</v>
      </c>
      <c r="L23">
        <v>177</v>
      </c>
      <c r="M23">
        <v>4</v>
      </c>
      <c r="N23">
        <v>0</v>
      </c>
      <c r="O23">
        <v>181</v>
      </c>
      <c r="P23">
        <v>222</v>
      </c>
      <c r="Q23">
        <v>2</v>
      </c>
      <c r="R23">
        <v>2</v>
      </c>
      <c r="S23">
        <v>226</v>
      </c>
      <c r="T23">
        <v>407</v>
      </c>
      <c r="U23">
        <v>731</v>
      </c>
      <c r="V23">
        <v>21</v>
      </c>
      <c r="W23">
        <v>5</v>
      </c>
      <c r="X23">
        <v>757</v>
      </c>
      <c r="Y23">
        <v>316</v>
      </c>
      <c r="Z23">
        <v>3</v>
      </c>
      <c r="AA23">
        <v>3</v>
      </c>
      <c r="AB23">
        <v>322</v>
      </c>
      <c r="AC23">
        <v>1079</v>
      </c>
      <c r="AD23">
        <v>2487</v>
      </c>
    </row>
    <row r="24" spans="2:30" x14ac:dyDescent="0.3">
      <c r="B24" s="11">
        <v>0.66666666666666663</v>
      </c>
      <c r="C24">
        <v>36</v>
      </c>
      <c r="D24">
        <v>1</v>
      </c>
      <c r="E24">
        <v>1</v>
      </c>
      <c r="F24">
        <v>38</v>
      </c>
      <c r="G24">
        <v>83</v>
      </c>
      <c r="H24">
        <v>4</v>
      </c>
      <c r="I24">
        <v>0</v>
      </c>
      <c r="J24">
        <v>87</v>
      </c>
      <c r="K24">
        <v>125</v>
      </c>
      <c r="L24">
        <v>18</v>
      </c>
      <c r="M24">
        <v>1</v>
      </c>
      <c r="N24">
        <v>0</v>
      </c>
      <c r="O24">
        <v>19</v>
      </c>
      <c r="P24">
        <v>34</v>
      </c>
      <c r="Q24">
        <v>1</v>
      </c>
      <c r="R24">
        <v>0</v>
      </c>
      <c r="S24">
        <v>35</v>
      </c>
      <c r="T24">
        <v>54</v>
      </c>
      <c r="U24">
        <v>81</v>
      </c>
      <c r="V24">
        <v>3</v>
      </c>
      <c r="W24">
        <v>0</v>
      </c>
      <c r="X24">
        <v>84</v>
      </c>
      <c r="Y24">
        <v>36</v>
      </c>
      <c r="Z24">
        <v>0</v>
      </c>
      <c r="AA24">
        <v>0</v>
      </c>
      <c r="AB24">
        <v>36</v>
      </c>
      <c r="AC24">
        <v>120</v>
      </c>
      <c r="AD24">
        <v>299</v>
      </c>
    </row>
    <row r="25" spans="2:30" x14ac:dyDescent="0.3">
      <c r="B25" s="11">
        <v>0.67708333333333337</v>
      </c>
      <c r="C25">
        <v>48</v>
      </c>
      <c r="D25">
        <v>0</v>
      </c>
      <c r="E25">
        <v>0</v>
      </c>
      <c r="F25">
        <v>48</v>
      </c>
      <c r="G25">
        <v>76</v>
      </c>
      <c r="H25">
        <v>3</v>
      </c>
      <c r="I25">
        <v>0</v>
      </c>
      <c r="J25">
        <v>79</v>
      </c>
      <c r="K25">
        <v>127</v>
      </c>
      <c r="L25">
        <v>18</v>
      </c>
      <c r="M25">
        <v>0</v>
      </c>
      <c r="N25">
        <v>0</v>
      </c>
      <c r="O25">
        <v>18</v>
      </c>
      <c r="P25">
        <v>26</v>
      </c>
      <c r="Q25">
        <v>0</v>
      </c>
      <c r="R25">
        <v>0</v>
      </c>
      <c r="S25">
        <v>26</v>
      </c>
      <c r="T25">
        <v>44</v>
      </c>
      <c r="U25">
        <v>97</v>
      </c>
      <c r="V25">
        <v>2</v>
      </c>
      <c r="W25">
        <v>1</v>
      </c>
      <c r="X25">
        <v>100</v>
      </c>
      <c r="Y25">
        <v>38</v>
      </c>
      <c r="Z25">
        <v>0</v>
      </c>
      <c r="AA25">
        <v>1</v>
      </c>
      <c r="AB25">
        <v>39</v>
      </c>
      <c r="AC25">
        <v>139</v>
      </c>
      <c r="AD25">
        <v>310</v>
      </c>
    </row>
    <row r="26" spans="2:30" x14ac:dyDescent="0.3">
      <c r="B26" s="11">
        <v>0.6875</v>
      </c>
      <c r="C26">
        <v>61</v>
      </c>
      <c r="D26">
        <v>2</v>
      </c>
      <c r="E26">
        <v>1</v>
      </c>
      <c r="F26">
        <v>64</v>
      </c>
      <c r="G26">
        <v>83</v>
      </c>
      <c r="H26">
        <v>7</v>
      </c>
      <c r="I26">
        <v>3</v>
      </c>
      <c r="J26">
        <v>93</v>
      </c>
      <c r="K26">
        <v>157</v>
      </c>
      <c r="L26">
        <v>32</v>
      </c>
      <c r="M26">
        <v>3</v>
      </c>
      <c r="N26">
        <v>0</v>
      </c>
      <c r="O26">
        <v>35</v>
      </c>
      <c r="P26">
        <v>38</v>
      </c>
      <c r="Q26">
        <v>0</v>
      </c>
      <c r="R26">
        <v>0</v>
      </c>
      <c r="S26">
        <v>38</v>
      </c>
      <c r="T26">
        <v>73</v>
      </c>
      <c r="U26">
        <v>82</v>
      </c>
      <c r="V26">
        <v>0</v>
      </c>
      <c r="W26">
        <v>1</v>
      </c>
      <c r="X26">
        <v>83</v>
      </c>
      <c r="Y26">
        <v>36</v>
      </c>
      <c r="Z26">
        <v>0</v>
      </c>
      <c r="AA26">
        <v>0</v>
      </c>
      <c r="AB26">
        <v>36</v>
      </c>
      <c r="AC26">
        <v>119</v>
      </c>
      <c r="AD26">
        <v>349</v>
      </c>
    </row>
    <row r="27" spans="2:30" x14ac:dyDescent="0.3">
      <c r="B27" s="11">
        <v>0.69791666666666663</v>
      </c>
      <c r="C27">
        <v>31</v>
      </c>
      <c r="D27">
        <v>0</v>
      </c>
      <c r="E27">
        <v>0</v>
      </c>
      <c r="F27">
        <v>31</v>
      </c>
      <c r="G27">
        <v>77</v>
      </c>
      <c r="H27">
        <v>7</v>
      </c>
      <c r="I27">
        <v>0</v>
      </c>
      <c r="J27">
        <v>84</v>
      </c>
      <c r="K27">
        <v>115</v>
      </c>
      <c r="L27">
        <v>19</v>
      </c>
      <c r="M27">
        <v>0</v>
      </c>
      <c r="N27">
        <v>0</v>
      </c>
      <c r="O27">
        <v>19</v>
      </c>
      <c r="P27">
        <v>23</v>
      </c>
      <c r="Q27">
        <v>0</v>
      </c>
      <c r="R27">
        <v>0</v>
      </c>
      <c r="S27">
        <v>23</v>
      </c>
      <c r="T27">
        <v>42</v>
      </c>
      <c r="U27">
        <v>115</v>
      </c>
      <c r="V27">
        <v>4</v>
      </c>
      <c r="W27">
        <v>0</v>
      </c>
      <c r="X27">
        <v>119</v>
      </c>
      <c r="Y27">
        <v>40</v>
      </c>
      <c r="Z27">
        <v>0</v>
      </c>
      <c r="AA27">
        <v>0</v>
      </c>
      <c r="AB27">
        <v>40</v>
      </c>
      <c r="AC27">
        <v>159</v>
      </c>
      <c r="AD27">
        <v>316</v>
      </c>
    </row>
    <row r="28" spans="2:30" x14ac:dyDescent="0.3">
      <c r="B28" s="11">
        <v>0.70833333333333337</v>
      </c>
      <c r="C28">
        <v>47</v>
      </c>
      <c r="D28">
        <v>0</v>
      </c>
      <c r="E28">
        <v>0</v>
      </c>
      <c r="F28">
        <v>47</v>
      </c>
      <c r="G28">
        <v>93</v>
      </c>
      <c r="H28">
        <v>3</v>
      </c>
      <c r="I28">
        <v>0</v>
      </c>
      <c r="J28">
        <v>96</v>
      </c>
      <c r="K28">
        <v>143</v>
      </c>
      <c r="L28">
        <v>20</v>
      </c>
      <c r="M28">
        <v>0</v>
      </c>
      <c r="N28">
        <v>0</v>
      </c>
      <c r="O28">
        <v>20</v>
      </c>
      <c r="P28">
        <v>21</v>
      </c>
      <c r="Q28">
        <v>0</v>
      </c>
      <c r="R28">
        <v>1</v>
      </c>
      <c r="S28">
        <v>22</v>
      </c>
      <c r="T28">
        <v>42</v>
      </c>
      <c r="U28">
        <v>95</v>
      </c>
      <c r="V28">
        <v>1</v>
      </c>
      <c r="W28">
        <v>1</v>
      </c>
      <c r="X28">
        <v>97</v>
      </c>
      <c r="Y28">
        <v>60</v>
      </c>
      <c r="Z28">
        <v>2</v>
      </c>
      <c r="AA28">
        <v>1</v>
      </c>
      <c r="AB28">
        <v>63</v>
      </c>
      <c r="AC28">
        <v>160</v>
      </c>
      <c r="AD28">
        <v>345</v>
      </c>
    </row>
    <row r="29" spans="2:30" x14ac:dyDescent="0.3">
      <c r="B29" s="11">
        <v>0.71875</v>
      </c>
      <c r="C29">
        <v>36</v>
      </c>
      <c r="D29">
        <v>0</v>
      </c>
      <c r="E29">
        <v>0</v>
      </c>
      <c r="F29">
        <v>36</v>
      </c>
      <c r="G29">
        <v>81</v>
      </c>
      <c r="H29">
        <v>2</v>
      </c>
      <c r="I29">
        <v>4</v>
      </c>
      <c r="J29">
        <v>87</v>
      </c>
      <c r="K29">
        <v>123</v>
      </c>
      <c r="L29">
        <v>34</v>
      </c>
      <c r="M29">
        <v>0</v>
      </c>
      <c r="N29">
        <v>0</v>
      </c>
      <c r="O29">
        <v>34</v>
      </c>
      <c r="P29">
        <v>33</v>
      </c>
      <c r="Q29">
        <v>0</v>
      </c>
      <c r="R29">
        <v>0</v>
      </c>
      <c r="S29">
        <v>33</v>
      </c>
      <c r="T29">
        <v>67</v>
      </c>
      <c r="U29">
        <v>98</v>
      </c>
      <c r="V29">
        <v>5</v>
      </c>
      <c r="W29">
        <v>2</v>
      </c>
      <c r="X29">
        <v>105</v>
      </c>
      <c r="Y29">
        <v>41</v>
      </c>
      <c r="Z29">
        <v>0</v>
      </c>
      <c r="AA29">
        <v>1</v>
      </c>
      <c r="AB29">
        <v>42</v>
      </c>
      <c r="AC29">
        <v>147</v>
      </c>
      <c r="AD29">
        <v>337</v>
      </c>
    </row>
    <row r="30" spans="2:30" x14ac:dyDescent="0.3">
      <c r="B30" s="11">
        <v>0.72916666666666663</v>
      </c>
      <c r="C30">
        <v>41</v>
      </c>
      <c r="D30">
        <v>0</v>
      </c>
      <c r="E30">
        <v>1</v>
      </c>
      <c r="F30">
        <v>42</v>
      </c>
      <c r="G30">
        <v>76</v>
      </c>
      <c r="H30">
        <v>2</v>
      </c>
      <c r="I30">
        <v>3</v>
      </c>
      <c r="J30">
        <v>81</v>
      </c>
      <c r="K30">
        <v>123</v>
      </c>
      <c r="L30">
        <v>19</v>
      </c>
      <c r="M30">
        <v>0</v>
      </c>
      <c r="N30">
        <v>0</v>
      </c>
      <c r="O30">
        <v>19</v>
      </c>
      <c r="P30">
        <v>22</v>
      </c>
      <c r="Q30">
        <v>0</v>
      </c>
      <c r="R30">
        <v>1</v>
      </c>
      <c r="S30">
        <v>23</v>
      </c>
      <c r="T30">
        <v>42</v>
      </c>
      <c r="U30">
        <v>88</v>
      </c>
      <c r="V30">
        <v>4</v>
      </c>
      <c r="W30">
        <v>0</v>
      </c>
      <c r="X30">
        <v>92</v>
      </c>
      <c r="Y30">
        <v>43</v>
      </c>
      <c r="Z30">
        <v>0</v>
      </c>
      <c r="AA30">
        <v>0</v>
      </c>
      <c r="AB30">
        <v>43</v>
      </c>
      <c r="AC30">
        <v>135</v>
      </c>
      <c r="AD30">
        <v>300</v>
      </c>
    </row>
    <row r="31" spans="2:30" x14ac:dyDescent="0.3">
      <c r="B31" s="11">
        <v>0.73958333333333337</v>
      </c>
      <c r="C31">
        <v>29</v>
      </c>
      <c r="D31">
        <v>0</v>
      </c>
      <c r="E31">
        <v>0</v>
      </c>
      <c r="F31">
        <v>29</v>
      </c>
      <c r="G31">
        <v>54</v>
      </c>
      <c r="H31">
        <v>3</v>
      </c>
      <c r="I31">
        <v>2</v>
      </c>
      <c r="J31">
        <v>59</v>
      </c>
      <c r="K31">
        <v>88</v>
      </c>
      <c r="L31">
        <v>17</v>
      </c>
      <c r="M31">
        <v>0</v>
      </c>
      <c r="N31">
        <v>0</v>
      </c>
      <c r="O31">
        <v>17</v>
      </c>
      <c r="P31">
        <v>25</v>
      </c>
      <c r="Q31">
        <v>1</v>
      </c>
      <c r="R31">
        <v>0</v>
      </c>
      <c r="S31">
        <v>26</v>
      </c>
      <c r="T31">
        <v>43</v>
      </c>
      <c r="U31">
        <v>75</v>
      </c>
      <c r="V31">
        <v>2</v>
      </c>
      <c r="W31">
        <v>0</v>
      </c>
      <c r="X31">
        <v>77</v>
      </c>
      <c r="Y31">
        <v>22</v>
      </c>
      <c r="Z31">
        <v>1</v>
      </c>
      <c r="AA31">
        <v>0</v>
      </c>
      <c r="AB31">
        <v>23</v>
      </c>
      <c r="AC31">
        <v>100</v>
      </c>
      <c r="AD31">
        <v>231</v>
      </c>
    </row>
    <row r="32" spans="2:30" x14ac:dyDescent="0.3">
      <c r="B32" s="10" t="s">
        <v>90</v>
      </c>
      <c r="C32">
        <v>79</v>
      </c>
      <c r="D32">
        <v>3</v>
      </c>
      <c r="E32">
        <v>0</v>
      </c>
      <c r="F32">
        <v>82</v>
      </c>
      <c r="G32">
        <v>197</v>
      </c>
      <c r="H32">
        <v>23</v>
      </c>
      <c r="I32">
        <v>4</v>
      </c>
      <c r="J32">
        <v>224</v>
      </c>
      <c r="K32">
        <v>306</v>
      </c>
      <c r="L32">
        <v>58</v>
      </c>
      <c r="M32">
        <v>1</v>
      </c>
      <c r="N32">
        <v>0</v>
      </c>
      <c r="O32">
        <v>59</v>
      </c>
      <c r="P32">
        <v>69</v>
      </c>
      <c r="Q32">
        <v>3</v>
      </c>
      <c r="R32">
        <v>0</v>
      </c>
      <c r="S32">
        <v>72</v>
      </c>
      <c r="T32">
        <v>131</v>
      </c>
      <c r="U32">
        <v>195</v>
      </c>
      <c r="V32">
        <v>28</v>
      </c>
      <c r="W32">
        <v>0</v>
      </c>
      <c r="X32">
        <v>223</v>
      </c>
      <c r="Y32">
        <v>71</v>
      </c>
      <c r="Z32">
        <v>1</v>
      </c>
      <c r="AA32">
        <v>0</v>
      </c>
      <c r="AB32">
        <v>72</v>
      </c>
      <c r="AC32">
        <v>295</v>
      </c>
      <c r="AD32">
        <v>732</v>
      </c>
    </row>
    <row r="33" spans="2:30" x14ac:dyDescent="0.3">
      <c r="B33" s="11">
        <v>0.54166666666666663</v>
      </c>
      <c r="C33">
        <v>24</v>
      </c>
      <c r="D33">
        <v>0</v>
      </c>
      <c r="E33">
        <v>0</v>
      </c>
      <c r="F33">
        <v>24</v>
      </c>
      <c r="G33">
        <v>48</v>
      </c>
      <c r="H33">
        <v>5</v>
      </c>
      <c r="I33">
        <v>2</v>
      </c>
      <c r="J33">
        <v>55</v>
      </c>
      <c r="K33">
        <v>79</v>
      </c>
      <c r="L33">
        <v>12</v>
      </c>
      <c r="M33">
        <v>0</v>
      </c>
      <c r="N33">
        <v>0</v>
      </c>
      <c r="O33">
        <v>12</v>
      </c>
      <c r="P33">
        <v>9</v>
      </c>
      <c r="Q33">
        <v>0</v>
      </c>
      <c r="R33">
        <v>0</v>
      </c>
      <c r="S33">
        <v>9</v>
      </c>
      <c r="T33">
        <v>21</v>
      </c>
      <c r="U33">
        <v>44</v>
      </c>
      <c r="V33">
        <v>7</v>
      </c>
      <c r="W33">
        <v>0</v>
      </c>
      <c r="X33">
        <v>51</v>
      </c>
      <c r="Y33">
        <v>20</v>
      </c>
      <c r="Z33">
        <v>0</v>
      </c>
      <c r="AA33">
        <v>0</v>
      </c>
      <c r="AB33">
        <v>20</v>
      </c>
      <c r="AC33">
        <v>71</v>
      </c>
      <c r="AD33">
        <v>171</v>
      </c>
    </row>
    <row r="34" spans="2:30" x14ac:dyDescent="0.3">
      <c r="B34" s="11">
        <v>0.55208333333333337</v>
      </c>
      <c r="C34">
        <v>18</v>
      </c>
      <c r="D34">
        <v>0</v>
      </c>
      <c r="E34">
        <v>0</v>
      </c>
      <c r="F34">
        <v>18</v>
      </c>
      <c r="G34">
        <v>48</v>
      </c>
      <c r="H34">
        <v>6</v>
      </c>
      <c r="I34">
        <v>0</v>
      </c>
      <c r="J34">
        <v>54</v>
      </c>
      <c r="K34">
        <v>72</v>
      </c>
      <c r="L34">
        <v>18</v>
      </c>
      <c r="M34">
        <v>0</v>
      </c>
      <c r="N34">
        <v>0</v>
      </c>
      <c r="O34">
        <v>18</v>
      </c>
      <c r="P34">
        <v>17</v>
      </c>
      <c r="Q34">
        <v>1</v>
      </c>
      <c r="R34">
        <v>0</v>
      </c>
      <c r="S34">
        <v>18</v>
      </c>
      <c r="T34">
        <v>36</v>
      </c>
      <c r="U34">
        <v>61</v>
      </c>
      <c r="V34">
        <v>8</v>
      </c>
      <c r="W34">
        <v>0</v>
      </c>
      <c r="X34">
        <v>69</v>
      </c>
      <c r="Y34">
        <v>12</v>
      </c>
      <c r="Z34">
        <v>0</v>
      </c>
      <c r="AA34">
        <v>0</v>
      </c>
      <c r="AB34">
        <v>12</v>
      </c>
      <c r="AC34">
        <v>81</v>
      </c>
      <c r="AD34">
        <v>189</v>
      </c>
    </row>
    <row r="35" spans="2:30" x14ac:dyDescent="0.3">
      <c r="B35" s="11">
        <v>0.5625</v>
      </c>
      <c r="C35">
        <v>17</v>
      </c>
      <c r="D35">
        <v>0</v>
      </c>
      <c r="E35">
        <v>0</v>
      </c>
      <c r="F35">
        <v>17</v>
      </c>
      <c r="G35">
        <v>53</v>
      </c>
      <c r="H35">
        <v>4</v>
      </c>
      <c r="I35">
        <v>2</v>
      </c>
      <c r="J35">
        <v>59</v>
      </c>
      <c r="K35">
        <v>76</v>
      </c>
      <c r="L35">
        <v>18</v>
      </c>
      <c r="M35">
        <v>0</v>
      </c>
      <c r="N35">
        <v>0</v>
      </c>
      <c r="O35">
        <v>18</v>
      </c>
      <c r="P35">
        <v>15</v>
      </c>
      <c r="Q35">
        <v>1</v>
      </c>
      <c r="R35">
        <v>0</v>
      </c>
      <c r="S35">
        <v>16</v>
      </c>
      <c r="T35">
        <v>34</v>
      </c>
      <c r="U35">
        <v>45</v>
      </c>
      <c r="V35">
        <v>5</v>
      </c>
      <c r="W35">
        <v>0</v>
      </c>
      <c r="X35">
        <v>50</v>
      </c>
      <c r="Y35">
        <v>21</v>
      </c>
      <c r="Z35">
        <v>0</v>
      </c>
      <c r="AA35">
        <v>0</v>
      </c>
      <c r="AB35">
        <v>21</v>
      </c>
      <c r="AC35">
        <v>71</v>
      </c>
      <c r="AD35">
        <v>181</v>
      </c>
    </row>
    <row r="36" spans="2:30" x14ac:dyDescent="0.3">
      <c r="B36" s="11">
        <v>0.57291666666666663</v>
      </c>
      <c r="C36">
        <v>20</v>
      </c>
      <c r="D36">
        <v>3</v>
      </c>
      <c r="E36">
        <v>0</v>
      </c>
      <c r="F36">
        <v>23</v>
      </c>
      <c r="G36">
        <v>48</v>
      </c>
      <c r="H36">
        <v>8</v>
      </c>
      <c r="I36">
        <v>0</v>
      </c>
      <c r="J36">
        <v>56</v>
      </c>
      <c r="K36">
        <v>79</v>
      </c>
      <c r="L36">
        <v>10</v>
      </c>
      <c r="M36">
        <v>1</v>
      </c>
      <c r="N36">
        <v>0</v>
      </c>
      <c r="O36">
        <v>11</v>
      </c>
      <c r="P36">
        <v>28</v>
      </c>
      <c r="Q36">
        <v>1</v>
      </c>
      <c r="R36">
        <v>0</v>
      </c>
      <c r="S36">
        <v>29</v>
      </c>
      <c r="T36">
        <v>40</v>
      </c>
      <c r="U36">
        <v>45</v>
      </c>
      <c r="V36">
        <v>8</v>
      </c>
      <c r="W36">
        <v>0</v>
      </c>
      <c r="X36">
        <v>53</v>
      </c>
      <c r="Y36">
        <v>18</v>
      </c>
      <c r="Z36">
        <v>1</v>
      </c>
      <c r="AA36">
        <v>0</v>
      </c>
      <c r="AB36">
        <v>19</v>
      </c>
      <c r="AC36">
        <v>72</v>
      </c>
      <c r="AD36">
        <v>191</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1063</v>
      </c>
      <c r="I5">
        <f>MAX(I11:I303)</f>
        <v>732</v>
      </c>
      <c r="J5">
        <f>MAX(J11:J303)</f>
        <v>1347</v>
      </c>
      <c r="K5">
        <f>MAX(K11:K303)</f>
        <v>0</v>
      </c>
      <c r="N5" t="s">
        <v>53</v>
      </c>
      <c r="O5">
        <f>INDEX($H5:$K5,1,MATCH($O$4,$H$10:$K$10,0))</f>
        <v>0</v>
      </c>
    </row>
    <row r="6" spans="1:21" x14ac:dyDescent="0.3">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1063 vehicles between 07:30 and 08:30</v>
      </c>
      <c r="I8" s="6" t="str">
        <f>IF(I5=0,"","The peak hour for " &amp;I10&amp;" is "&amp;I5&amp;" vehicles between " &amp; TEXT(I6, "hh:mm")&amp; " and " &amp;TEXT(I7,"hh:mm"))</f>
        <v>The peak hour for INT is 732 vehicles between 13:00 and 14:00</v>
      </c>
      <c r="J8" s="6" t="str">
        <f>IF(J5=0,"","The peak hour for " &amp;J10&amp;" is "&amp;J5&amp;" vehicles between " &amp; TEXT(J6, "hh:mm")&amp; " and " &amp;TEXT(J7,"hh:mm"))</f>
        <v>The peak hour for PM is 1347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185</v>
      </c>
      <c r="G11" s="7">
        <f>A11</f>
        <v>0.29166666666666669</v>
      </c>
      <c r="H11">
        <f>IF(B11&lt;&gt;0,SUMIF($G$11:$G11,"&gt;"&amp;$G11-1/24,B$11:B11),0)</f>
        <v>185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185</v>
      </c>
      <c r="Q11">
        <f>P11*L11</f>
        <v>0</v>
      </c>
      <c r="S11" s="9">
        <v>0.29166666666666669</v>
      </c>
      <c r="T11">
        <v>185</v>
      </c>
      <c r="U11">
        <v>0</v>
      </c>
    </row>
    <row r="12" spans="1:21" x14ac:dyDescent="0.3">
      <c r="A12" s="9">
        <v>0.30208333333333331</v>
      </c>
      <c r="B12">
        <v>220</v>
      </c>
      <c r="G12" s="7">
        <f t="shared" ref="G12:G26" si="3">A12</f>
        <v>0.30208333333333331</v>
      </c>
      <c r="H12">
        <f>IF(B12&lt;&gt;0,SUMIF($G$11:$G12,"&gt;"&amp;$G12-1/24,B$11:B12),0)</f>
        <v>405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220</v>
      </c>
      <c r="Q12">
        <f t="shared" ref="Q12:Q75" si="7">P12*L12</f>
        <v>0</v>
      </c>
      <c r="S12" s="9">
        <v>0.30208333333333331</v>
      </c>
      <c r="T12">
        <v>220</v>
      </c>
      <c r="U12">
        <v>0</v>
      </c>
    </row>
    <row r="13" spans="1:21" x14ac:dyDescent="0.3">
      <c r="A13" s="9">
        <v>0.3125</v>
      </c>
      <c r="B13">
        <v>275</v>
      </c>
      <c r="G13" s="7">
        <f t="shared" si="3"/>
        <v>0.3125</v>
      </c>
      <c r="H13">
        <f>IF(B13&lt;&gt;0,SUMIF($G$11:$G13,"&gt;"&amp;$G13-1/24,B$11:B13),0)</f>
        <v>680</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275</v>
      </c>
      <c r="Q13">
        <f t="shared" si="7"/>
        <v>275</v>
      </c>
      <c r="S13" s="9">
        <v>0.3125</v>
      </c>
      <c r="T13">
        <v>275</v>
      </c>
      <c r="U13">
        <v>275</v>
      </c>
    </row>
    <row r="14" spans="1:21" x14ac:dyDescent="0.3">
      <c r="A14" s="9">
        <v>0.32291666666666669</v>
      </c>
      <c r="B14">
        <v>269</v>
      </c>
      <c r="G14" s="7">
        <f t="shared" si="3"/>
        <v>0.32291666666666669</v>
      </c>
      <c r="H14">
        <f>IF(B14&lt;&gt;0,SUMIF($G$11:$G14,"&gt;"&amp;$G14-1/24,B$11:B14),0)</f>
        <v>949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269</v>
      </c>
      <c r="Q14">
        <f t="shared" si="7"/>
        <v>269</v>
      </c>
      <c r="S14" s="9">
        <v>0.32291666666666669</v>
      </c>
      <c r="T14">
        <v>269</v>
      </c>
      <c r="U14">
        <v>269</v>
      </c>
    </row>
    <row r="15" spans="1:21" x14ac:dyDescent="0.3">
      <c r="A15" s="9">
        <v>0.33333333333333331</v>
      </c>
      <c r="B15">
        <v>228</v>
      </c>
      <c r="G15" s="7">
        <f t="shared" si="3"/>
        <v>0.33333333333333331</v>
      </c>
      <c r="H15">
        <f>IF(B15&lt;&gt;0,SUMIF($G$11:$G15,"&gt;"&amp;$G15-1/24,B$11:B15),0)</f>
        <v>992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228</v>
      </c>
      <c r="Q15">
        <f t="shared" si="7"/>
        <v>228</v>
      </c>
      <c r="S15" s="9">
        <v>0.33333333333333331</v>
      </c>
      <c r="T15">
        <v>228</v>
      </c>
      <c r="U15">
        <v>228</v>
      </c>
    </row>
    <row r="16" spans="1:21" x14ac:dyDescent="0.3">
      <c r="A16" s="9">
        <v>0.34375</v>
      </c>
      <c r="B16">
        <v>291</v>
      </c>
      <c r="G16" s="7">
        <f t="shared" si="3"/>
        <v>0.34375</v>
      </c>
      <c r="H16">
        <f>IF(B16&lt;&gt;0,SUMIF($G$11:$G16,"&gt;"&amp;$G16-1/24,B$11:B16),0)</f>
        <v>1063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291</v>
      </c>
      <c r="Q16">
        <f t="shared" si="7"/>
        <v>291</v>
      </c>
      <c r="S16" s="9">
        <v>0.34375</v>
      </c>
      <c r="T16">
        <v>291</v>
      </c>
      <c r="U16">
        <v>291</v>
      </c>
    </row>
    <row r="17" spans="1:21" x14ac:dyDescent="0.3">
      <c r="A17" s="9">
        <v>0.35416666666666669</v>
      </c>
      <c r="B17">
        <v>238</v>
      </c>
      <c r="G17" s="7">
        <f t="shared" si="3"/>
        <v>0.35416666666666669</v>
      </c>
      <c r="H17">
        <f>IF(B17&lt;&gt;0,SUMIF($G$11:$G17,"&gt;"&amp;$G17-1/24,B$11:B17),0)</f>
        <v>1026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238</v>
      </c>
      <c r="Q17">
        <f t="shared" si="7"/>
        <v>0</v>
      </c>
      <c r="S17" s="9">
        <v>0.35416666666666669</v>
      </c>
      <c r="T17">
        <v>238</v>
      </c>
      <c r="U17">
        <v>0</v>
      </c>
    </row>
    <row r="18" spans="1:21" x14ac:dyDescent="0.3">
      <c r="A18" s="9">
        <v>0.36458333333333331</v>
      </c>
      <c r="B18">
        <v>234</v>
      </c>
      <c r="G18" s="7">
        <f t="shared" si="3"/>
        <v>0.36458333333333331</v>
      </c>
      <c r="H18">
        <f>IF(B18&lt;&gt;0,SUMIF($G$11:$G18,"&gt;"&amp;$G18-1/24,B$11:B18),0)</f>
        <v>991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234</v>
      </c>
      <c r="Q18">
        <f t="shared" si="7"/>
        <v>0</v>
      </c>
      <c r="S18" s="9">
        <v>0.36458333333333331</v>
      </c>
      <c r="T18">
        <v>234</v>
      </c>
      <c r="U18">
        <v>0</v>
      </c>
    </row>
    <row r="19" spans="1:21" x14ac:dyDescent="0.3">
      <c r="A19" s="9">
        <v>0.54166666666666663</v>
      </c>
      <c r="C19">
        <v>171</v>
      </c>
      <c r="G19" s="7">
        <f t="shared" si="3"/>
        <v>0.54166666666666663</v>
      </c>
      <c r="H19">
        <f>IF(B19&lt;&gt;0,SUMIF($G$11:$G19,"&gt;"&amp;$G19-1/24,B$11:B19),0)</f>
        <v>0</v>
      </c>
      <c r="I19">
        <f>IF(C19&lt;&gt;0,SUMIF($G$11:$G19,"&gt;"&amp;$G19-1/24,C$11:C19),0)</f>
        <v>171</v>
      </c>
      <c r="J19">
        <f>IF(D19&lt;&gt;0,SUMIF($G$11:$G19,"&gt;"&amp;$G19-1/24,D$11:D19),0)</f>
        <v>0</v>
      </c>
      <c r="K19">
        <f>IF(E19&lt;&gt;0,SUMIF($G$11:$G19,"&gt;"&amp;$G19-1/24,E$11:E19),0)</f>
        <v>0</v>
      </c>
      <c r="L19">
        <f t="shared" si="4"/>
        <v>1</v>
      </c>
      <c r="N19" t="str">
        <f t="shared" si="5"/>
        <v>INT</v>
      </c>
      <c r="O19" s="7">
        <f t="shared" si="2"/>
        <v>0.54166666666666663</v>
      </c>
      <c r="P19">
        <f t="shared" si="6"/>
        <v>171</v>
      </c>
      <c r="Q19">
        <f t="shared" si="7"/>
        <v>171</v>
      </c>
      <c r="S19" s="9" t="s">
        <v>49</v>
      </c>
      <c r="T19">
        <v>1940</v>
      </c>
      <c r="U19">
        <v>1063</v>
      </c>
    </row>
    <row r="20" spans="1:21" x14ac:dyDescent="0.3">
      <c r="A20" s="9">
        <v>0.55208333333333337</v>
      </c>
      <c r="C20">
        <v>189</v>
      </c>
      <c r="G20" s="7">
        <f t="shared" si="3"/>
        <v>0.55208333333333337</v>
      </c>
      <c r="H20">
        <f>IF(B20&lt;&gt;0,SUMIF($G$11:$G20,"&gt;"&amp;$G20-1/24,B$11:B20),0)</f>
        <v>0</v>
      </c>
      <c r="I20">
        <f>IF(C20&lt;&gt;0,SUMIF($G$11:$G20,"&gt;"&amp;$G20-1/24,C$11:C20),0)</f>
        <v>360</v>
      </c>
      <c r="J20">
        <f>IF(D20&lt;&gt;0,SUMIF($G$11:$G20,"&gt;"&amp;$G20-1/24,D$11:D20),0)</f>
        <v>0</v>
      </c>
      <c r="K20">
        <f>IF(E20&lt;&gt;0,SUMIF($G$11:$G20,"&gt;"&amp;$G20-1/24,E$11:E20),0)</f>
        <v>0</v>
      </c>
      <c r="L20">
        <f t="shared" si="4"/>
        <v>1</v>
      </c>
      <c r="N20" t="str">
        <f t="shared" si="5"/>
        <v>INT</v>
      </c>
      <c r="O20" s="7">
        <f t="shared" si="2"/>
        <v>0.55208333333333337</v>
      </c>
      <c r="P20">
        <f t="shared" si="6"/>
        <v>189</v>
      </c>
      <c r="Q20">
        <f t="shared" si="7"/>
        <v>189</v>
      </c>
    </row>
    <row r="21" spans="1:21" x14ac:dyDescent="0.3">
      <c r="A21" s="9">
        <v>0.5625</v>
      </c>
      <c r="C21">
        <v>181</v>
      </c>
      <c r="G21" s="7">
        <f t="shared" si="3"/>
        <v>0.5625</v>
      </c>
      <c r="H21">
        <f>IF(B21&lt;&gt;0,SUMIF($G$11:$G21,"&gt;"&amp;$G21-1/24,B$11:B21),0)</f>
        <v>0</v>
      </c>
      <c r="I21">
        <f>IF(C21&lt;&gt;0,SUMIF($G$11:$G21,"&gt;"&amp;$G21-1/24,C$11:C21),0)</f>
        <v>541</v>
      </c>
      <c r="J21">
        <f>IF(D21&lt;&gt;0,SUMIF($G$11:$G21,"&gt;"&amp;$G21-1/24,D$11:D21),0)</f>
        <v>0</v>
      </c>
      <c r="K21">
        <f>IF(E21&lt;&gt;0,SUMIF($G$11:$G21,"&gt;"&amp;$G21-1/24,E$11:E21),0)</f>
        <v>0</v>
      </c>
      <c r="L21">
        <f t="shared" si="4"/>
        <v>1</v>
      </c>
      <c r="N21" t="str">
        <f t="shared" si="5"/>
        <v>INT</v>
      </c>
      <c r="O21" s="7">
        <f t="shared" si="2"/>
        <v>0.5625</v>
      </c>
      <c r="P21">
        <f t="shared" si="6"/>
        <v>181</v>
      </c>
      <c r="Q21">
        <f t="shared" si="7"/>
        <v>181</v>
      </c>
    </row>
    <row r="22" spans="1:21" x14ac:dyDescent="0.3">
      <c r="A22" s="9">
        <v>0.57291666666666663</v>
      </c>
      <c r="C22">
        <v>191</v>
      </c>
      <c r="G22" s="7">
        <f t="shared" si="3"/>
        <v>0.57291666666666663</v>
      </c>
      <c r="H22">
        <f>IF(B22&lt;&gt;0,SUMIF($G$11:$G22,"&gt;"&amp;$G22-1/24,B$11:B22),0)</f>
        <v>0</v>
      </c>
      <c r="I22">
        <f>IF(C22&lt;&gt;0,SUMIF($G$11:$G22,"&gt;"&amp;$G22-1/24,C$11:C22),0)</f>
        <v>732</v>
      </c>
      <c r="J22">
        <f>IF(D22&lt;&gt;0,SUMIF($G$11:$G22,"&gt;"&amp;$G22-1/24,D$11:D22),0)</f>
        <v>0</v>
      </c>
      <c r="K22">
        <f>IF(E22&lt;&gt;0,SUMIF($G$11:$G22,"&gt;"&amp;$G22-1/24,E$11:E22),0)</f>
        <v>0</v>
      </c>
      <c r="L22">
        <f t="shared" si="4"/>
        <v>1</v>
      </c>
      <c r="N22" t="str">
        <f t="shared" si="5"/>
        <v>INT</v>
      </c>
      <c r="O22" s="7">
        <f t="shared" si="2"/>
        <v>0.57291666666666663</v>
      </c>
      <c r="P22">
        <f t="shared" si="6"/>
        <v>191</v>
      </c>
      <c r="Q22">
        <f t="shared" si="7"/>
        <v>191</v>
      </c>
    </row>
    <row r="23" spans="1:21" x14ac:dyDescent="0.3">
      <c r="A23" s="9">
        <v>0.66666666666666663</v>
      </c>
      <c r="D23">
        <v>299</v>
      </c>
      <c r="G23" s="7">
        <f t="shared" si="3"/>
        <v>0.66666666666666663</v>
      </c>
      <c r="H23">
        <f>IF(B23&lt;&gt;0,SUMIF($G$11:$G23,"&gt;"&amp;$G23-1/24,B$11:B23),0)</f>
        <v>0</v>
      </c>
      <c r="I23">
        <f>IF(C23&lt;&gt;0,SUMIF($G$11:$G23,"&gt;"&amp;$G23-1/24,C$11:C23),0)</f>
        <v>0</v>
      </c>
      <c r="J23">
        <f>IF(D23&lt;&gt;0,SUMIF($G$11:$G23,"&gt;"&amp;$G23-1/24,D$11:D23),0)</f>
        <v>299</v>
      </c>
      <c r="K23">
        <f>IF(E23&lt;&gt;0,SUMIF($G$11:$G23,"&gt;"&amp;$G23-1/24,E$11:E23),0)</f>
        <v>0</v>
      </c>
      <c r="L23">
        <f t="shared" si="4"/>
        <v>0</v>
      </c>
      <c r="N23" t="str">
        <f t="shared" si="5"/>
        <v>PM</v>
      </c>
      <c r="O23" s="7">
        <f t="shared" si="2"/>
        <v>0.66666666666666663</v>
      </c>
      <c r="P23">
        <f t="shared" si="6"/>
        <v>299</v>
      </c>
      <c r="Q23">
        <f t="shared" si="7"/>
        <v>0</v>
      </c>
    </row>
    <row r="24" spans="1:21" x14ac:dyDescent="0.3">
      <c r="A24" s="9">
        <v>0.67708333333333337</v>
      </c>
      <c r="D24">
        <v>310</v>
      </c>
      <c r="G24" s="7">
        <f t="shared" si="3"/>
        <v>0.67708333333333337</v>
      </c>
      <c r="H24">
        <f>IF(B24&lt;&gt;0,SUMIF($G$11:$G24,"&gt;"&amp;$G24-1/24,B$11:B24),0)</f>
        <v>0</v>
      </c>
      <c r="I24">
        <f>IF(C24&lt;&gt;0,SUMIF($G$11:$G24,"&gt;"&amp;$G24-1/24,C$11:C24),0)</f>
        <v>0</v>
      </c>
      <c r="J24">
        <f>IF(D24&lt;&gt;0,SUMIF($G$11:$G24,"&gt;"&amp;$G24-1/24,D$11:D24),0)</f>
        <v>609</v>
      </c>
      <c r="K24">
        <f>IF(E24&lt;&gt;0,SUMIF($G$11:$G24,"&gt;"&amp;$G24-1/24,E$11:E24),0)</f>
        <v>0</v>
      </c>
      <c r="L24">
        <f t="shared" si="4"/>
        <v>0</v>
      </c>
      <c r="N24" t="str">
        <f t="shared" si="5"/>
        <v>PM</v>
      </c>
      <c r="O24" s="7">
        <f t="shared" si="2"/>
        <v>0.67708333333333337</v>
      </c>
      <c r="P24">
        <f t="shared" si="6"/>
        <v>310</v>
      </c>
      <c r="Q24">
        <f t="shared" si="7"/>
        <v>0</v>
      </c>
    </row>
    <row r="25" spans="1:21" x14ac:dyDescent="0.3">
      <c r="A25" s="9">
        <v>0.6875</v>
      </c>
      <c r="D25">
        <v>349</v>
      </c>
      <c r="G25" s="7">
        <f t="shared" si="3"/>
        <v>0.6875</v>
      </c>
      <c r="H25">
        <f>IF(B25&lt;&gt;0,SUMIF($G$11:$G25,"&gt;"&amp;$G25-1/24,B$11:B25),0)</f>
        <v>0</v>
      </c>
      <c r="I25">
        <f>IF(C25&lt;&gt;0,SUMIF($G$11:$G25,"&gt;"&amp;$G25-1/24,C$11:C25),0)</f>
        <v>0</v>
      </c>
      <c r="J25">
        <f>IF(D25&lt;&gt;0,SUMIF($G$11:$G25,"&gt;"&amp;$G25-1/24,D$11:D25),0)</f>
        <v>958</v>
      </c>
      <c r="K25">
        <f>IF(E25&lt;&gt;0,SUMIF($G$11:$G25,"&gt;"&amp;$G25-1/24,E$11:E25),0)</f>
        <v>0</v>
      </c>
      <c r="L25">
        <f t="shared" si="4"/>
        <v>1</v>
      </c>
      <c r="N25" t="str">
        <f t="shared" si="5"/>
        <v>PM</v>
      </c>
      <c r="O25" s="7">
        <f t="shared" si="2"/>
        <v>0.6875</v>
      </c>
      <c r="P25">
        <f t="shared" si="6"/>
        <v>349</v>
      </c>
      <c r="Q25">
        <f t="shared" si="7"/>
        <v>349</v>
      </c>
    </row>
    <row r="26" spans="1:21" x14ac:dyDescent="0.3">
      <c r="A26" s="9">
        <v>0.69791666666666663</v>
      </c>
      <c r="D26">
        <v>316</v>
      </c>
      <c r="G26" s="7">
        <f t="shared" si="3"/>
        <v>0.69791666666666663</v>
      </c>
      <c r="H26">
        <f>IF(B26&lt;&gt;0,SUMIF($G$11:$G26,"&gt;"&amp;$G26-1/24,B$11:B26),0)</f>
        <v>0</v>
      </c>
      <c r="I26">
        <f>IF(C26&lt;&gt;0,SUMIF($G$11:$G26,"&gt;"&amp;$G26-1/24,C$11:C26),0)</f>
        <v>0</v>
      </c>
      <c r="J26">
        <f>IF(D26&lt;&gt;0,SUMIF($G$11:$G26,"&gt;"&amp;$G26-1/24,D$11:D26),0)</f>
        <v>1274</v>
      </c>
      <c r="K26">
        <f>IF(E26&lt;&gt;0,SUMIF($G$11:$G26,"&gt;"&amp;$G26-1/24,E$11:E26),0)</f>
        <v>0</v>
      </c>
      <c r="L26">
        <f t="shared" si="4"/>
        <v>1</v>
      </c>
      <c r="N26" t="str">
        <f t="shared" si="5"/>
        <v>PM</v>
      </c>
      <c r="O26" s="7">
        <f t="shared" si="2"/>
        <v>0.69791666666666663</v>
      </c>
      <c r="P26">
        <f t="shared" si="6"/>
        <v>316</v>
      </c>
      <c r="Q26">
        <f t="shared" si="7"/>
        <v>316</v>
      </c>
    </row>
    <row r="27" spans="1:21" x14ac:dyDescent="0.3">
      <c r="A27" s="9">
        <v>0.70833333333333337</v>
      </c>
      <c r="D27">
        <v>345</v>
      </c>
      <c r="G27" s="7">
        <f t="shared" ref="G27:G90" si="8">A27</f>
        <v>0.70833333333333337</v>
      </c>
      <c r="H27">
        <f>IF(B27&lt;&gt;0,SUMIF($G$11:$G27,"&gt;"&amp;$G27-1/24,B$11:B27),0)</f>
        <v>0</v>
      </c>
      <c r="I27">
        <f>IF(C27&lt;&gt;0,SUMIF($G$11:$G27,"&gt;"&amp;$G27-1/24,C$11:C27),0)</f>
        <v>0</v>
      </c>
      <c r="J27">
        <f>IF(D27&lt;&gt;0,SUMIF($G$11:$G27,"&gt;"&amp;$G27-1/24,D$11:D27),0)</f>
        <v>1320</v>
      </c>
      <c r="K27">
        <f>IF(E27&lt;&gt;0,SUMIF($G$11:$G27,"&gt;"&amp;$G27-1/24,E$11:E27),0)</f>
        <v>0</v>
      </c>
      <c r="L27">
        <f t="shared" si="4"/>
        <v>1</v>
      </c>
      <c r="N27" t="str">
        <f t="shared" si="5"/>
        <v>PM</v>
      </c>
      <c r="O27" s="7">
        <f t="shared" si="2"/>
        <v>0.70833333333333337</v>
      </c>
      <c r="P27">
        <f t="shared" si="6"/>
        <v>345</v>
      </c>
      <c r="Q27">
        <f t="shared" si="7"/>
        <v>345</v>
      </c>
    </row>
    <row r="28" spans="1:21" x14ac:dyDescent="0.3">
      <c r="A28" s="9">
        <v>0.71875</v>
      </c>
      <c r="D28">
        <v>337</v>
      </c>
      <c r="G28" s="7">
        <f t="shared" si="8"/>
        <v>0.71875</v>
      </c>
      <c r="H28">
        <f>IF(B28&lt;&gt;0,SUMIF($G$11:$G28,"&gt;"&amp;$G28-1/24,B$11:B28),0)</f>
        <v>0</v>
      </c>
      <c r="I28">
        <f>IF(C28&lt;&gt;0,SUMIF($G$11:$G28,"&gt;"&amp;$G28-1/24,C$11:C28),0)</f>
        <v>0</v>
      </c>
      <c r="J28">
        <f>IF(D28&lt;&gt;0,SUMIF($G$11:$G28,"&gt;"&amp;$G28-1/24,D$11:D28),0)</f>
        <v>1347</v>
      </c>
      <c r="K28">
        <f>IF(E28&lt;&gt;0,SUMIF($G$11:$G28,"&gt;"&amp;$G28-1/24,E$11:E28),0)</f>
        <v>0</v>
      </c>
      <c r="L28">
        <f t="shared" si="4"/>
        <v>1</v>
      </c>
      <c r="N28" t="str">
        <f t="shared" si="5"/>
        <v>PM</v>
      </c>
      <c r="O28" s="7">
        <f t="shared" si="2"/>
        <v>0.71875</v>
      </c>
      <c r="P28">
        <f t="shared" si="6"/>
        <v>337</v>
      </c>
      <c r="Q28">
        <f t="shared" si="7"/>
        <v>337</v>
      </c>
    </row>
    <row r="29" spans="1:21" x14ac:dyDescent="0.3">
      <c r="A29" s="9">
        <v>0.72916666666666663</v>
      </c>
      <c r="D29">
        <v>300</v>
      </c>
      <c r="G29" s="7">
        <f t="shared" si="8"/>
        <v>0.72916666666666663</v>
      </c>
      <c r="H29">
        <f>IF(B29&lt;&gt;0,SUMIF($G$11:$G29,"&gt;"&amp;$G29-1/24,B$11:B29),0)</f>
        <v>0</v>
      </c>
      <c r="I29">
        <f>IF(C29&lt;&gt;0,SUMIF($G$11:$G29,"&gt;"&amp;$G29-1/24,C$11:C29),0)</f>
        <v>0</v>
      </c>
      <c r="J29">
        <f>IF(D29&lt;&gt;0,SUMIF($G$11:$G29,"&gt;"&amp;$G29-1/24,D$11:D29),0)</f>
        <v>1298</v>
      </c>
      <c r="K29">
        <f>IF(E29&lt;&gt;0,SUMIF($G$11:$G29,"&gt;"&amp;$G29-1/24,E$11:E29),0)</f>
        <v>0</v>
      </c>
      <c r="L29">
        <f t="shared" si="4"/>
        <v>0</v>
      </c>
      <c r="N29" t="str">
        <f t="shared" si="5"/>
        <v>PM</v>
      </c>
      <c r="O29" s="7">
        <f t="shared" si="2"/>
        <v>0.72916666666666663</v>
      </c>
      <c r="P29">
        <f t="shared" si="6"/>
        <v>300</v>
      </c>
      <c r="Q29">
        <f t="shared" si="7"/>
        <v>0</v>
      </c>
    </row>
    <row r="30" spans="1:21" x14ac:dyDescent="0.3">
      <c r="A30" s="9">
        <v>0.73958333333333337</v>
      </c>
      <c r="D30">
        <v>231</v>
      </c>
      <c r="G30" s="7">
        <f t="shared" si="8"/>
        <v>0.73958333333333337</v>
      </c>
      <c r="H30">
        <f>IF(B30&lt;&gt;0,SUMIF($G$11:$G30,"&gt;"&amp;$G30-1/24,B$11:B30),0)</f>
        <v>0</v>
      </c>
      <c r="I30">
        <f>IF(C30&lt;&gt;0,SUMIF($G$11:$G30,"&gt;"&amp;$G30-1/24,C$11:C30),0)</f>
        <v>0</v>
      </c>
      <c r="J30">
        <f>IF(D30&lt;&gt;0,SUMIF($G$11:$G30,"&gt;"&amp;$G30-1/24,D$11:D30),0)</f>
        <v>1213</v>
      </c>
      <c r="K30">
        <f>IF(E30&lt;&gt;0,SUMIF($G$11:$G30,"&gt;"&amp;$G30-1/24,E$11:E30),0)</f>
        <v>0</v>
      </c>
      <c r="L30">
        <f t="shared" si="4"/>
        <v>0</v>
      </c>
      <c r="N30" t="str">
        <f t="shared" si="5"/>
        <v>PM</v>
      </c>
      <c r="O30" s="7">
        <f t="shared" si="2"/>
        <v>0.73958333333333337</v>
      </c>
      <c r="P30">
        <f t="shared" si="6"/>
        <v>231</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185</v>
      </c>
      <c r="E5" t="str">
        <f>"Vehicle Count by Exit Leg for "&amp;C2&amp;" Period"</f>
        <v>Vehicle Count by Exit Leg for AM Period</v>
      </c>
    </row>
    <row r="6" spans="2:5" x14ac:dyDescent="0.3">
      <c r="B6" s="9">
        <v>0.30208333333333331</v>
      </c>
      <c r="C6">
        <v>220</v>
      </c>
    </row>
    <row r="7" spans="2:5" x14ac:dyDescent="0.3">
      <c r="B7" s="9">
        <v>0.3125</v>
      </c>
      <c r="C7">
        <v>275</v>
      </c>
    </row>
    <row r="8" spans="2:5" x14ac:dyDescent="0.3">
      <c r="B8" s="9">
        <v>0.32291666666666669</v>
      </c>
      <c r="C8">
        <v>269</v>
      </c>
    </row>
    <row r="9" spans="2:5" x14ac:dyDescent="0.3">
      <c r="B9" s="9">
        <v>0.33333333333333331</v>
      </c>
      <c r="C9">
        <v>228</v>
      </c>
    </row>
    <row r="10" spans="2:5" x14ac:dyDescent="0.3">
      <c r="B10" s="9">
        <v>0.34375</v>
      </c>
      <c r="C10">
        <v>291</v>
      </c>
    </row>
    <row r="11" spans="2:5" x14ac:dyDescent="0.3">
      <c r="B11" s="9">
        <v>0.35416666666666669</v>
      </c>
      <c r="C11">
        <v>238</v>
      </c>
    </row>
    <row r="12" spans="2:5" x14ac:dyDescent="0.3">
      <c r="B12" s="9">
        <v>0.36458333333333331</v>
      </c>
      <c r="C12">
        <v>234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30.88671875" bestFit="1" customWidth="1"/>
    <col min="12" max="12" width="30.21875" bestFit="1" customWidth="1"/>
    <col min="13" max="13" width="16.21875" bestFit="1" customWidth="1"/>
    <col min="14" max="14" width="8.33203125" customWidth="1"/>
    <col min="15" max="15" width="5.5546875" customWidth="1"/>
    <col min="16" max="18" width="3.33203125" customWidth="1"/>
    <col min="19" max="19" width="10.77734375" bestFit="1" customWidth="1"/>
    <col min="20" max="20" width="30.88671875" bestFit="1" customWidth="1"/>
    <col min="21" max="21" width="30.21875" bestFit="1" customWidth="1"/>
    <col min="22" max="22" width="16.218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94</v>
      </c>
      <c r="L25" s="16" t="s">
        <v>92</v>
      </c>
      <c r="M25" s="16" t="s">
        <v>93</v>
      </c>
      <c r="T25" s="16" t="s">
        <v>94</v>
      </c>
      <c r="U25" s="16" t="s">
        <v>92</v>
      </c>
      <c r="V25" s="16" t="s">
        <v>93</v>
      </c>
      <c r="X25" s="13"/>
    </row>
    <row r="26" spans="2:24" x14ac:dyDescent="0.3">
      <c r="B26" s="9">
        <v>0.29166666666666669</v>
      </c>
      <c r="C26" s="16">
        <v>185</v>
      </c>
      <c r="J26" s="9">
        <v>0.29166666666666669</v>
      </c>
      <c r="K26" s="16">
        <v>65</v>
      </c>
      <c r="L26" s="16">
        <v>61</v>
      </c>
      <c r="M26" s="16">
        <v>59</v>
      </c>
      <c r="S26" s="9">
        <v>0.29166666666666669</v>
      </c>
      <c r="T26" s="16">
        <v>66</v>
      </c>
      <c r="U26" s="16">
        <v>91</v>
      </c>
      <c r="V26" s="16">
        <v>28</v>
      </c>
    </row>
    <row r="27" spans="2:24" x14ac:dyDescent="0.3">
      <c r="B27" s="9">
        <v>0.30208333333333331</v>
      </c>
      <c r="C27" s="16">
        <v>220</v>
      </c>
      <c r="J27" s="9">
        <v>0.30208333333333331</v>
      </c>
      <c r="K27" s="16">
        <v>74</v>
      </c>
      <c r="L27" s="16">
        <v>83</v>
      </c>
      <c r="M27" s="16">
        <v>63</v>
      </c>
      <c r="S27" s="9">
        <v>0.30208333333333331</v>
      </c>
      <c r="T27" s="16">
        <v>84</v>
      </c>
      <c r="U27" s="16">
        <v>106</v>
      </c>
      <c r="V27" s="16">
        <v>30</v>
      </c>
    </row>
    <row r="28" spans="2:24" x14ac:dyDescent="0.3">
      <c r="B28" s="9">
        <v>0.3125</v>
      </c>
      <c r="C28" s="16">
        <v>275</v>
      </c>
      <c r="J28" s="9">
        <v>0.3125</v>
      </c>
      <c r="K28" s="16">
        <v>97</v>
      </c>
      <c r="L28" s="16">
        <v>103</v>
      </c>
      <c r="M28" s="16">
        <v>75</v>
      </c>
      <c r="S28" s="9">
        <v>0.3125</v>
      </c>
      <c r="T28" s="16">
        <v>108</v>
      </c>
      <c r="U28" s="16">
        <v>126</v>
      </c>
      <c r="V28" s="16">
        <v>41</v>
      </c>
    </row>
    <row r="29" spans="2:24" x14ac:dyDescent="0.3">
      <c r="B29" s="9">
        <v>0.32291666666666669</v>
      </c>
      <c r="C29" s="16">
        <v>269</v>
      </c>
      <c r="J29" s="9">
        <v>0.32291666666666669</v>
      </c>
      <c r="K29" s="16">
        <v>100</v>
      </c>
      <c r="L29" s="16">
        <v>85</v>
      </c>
      <c r="M29" s="16">
        <v>84</v>
      </c>
      <c r="S29" s="9">
        <v>0.32291666666666669</v>
      </c>
      <c r="T29" s="16">
        <v>90</v>
      </c>
      <c r="U29" s="16">
        <v>145</v>
      </c>
      <c r="V29" s="16">
        <v>34</v>
      </c>
    </row>
    <row r="30" spans="2:24" x14ac:dyDescent="0.3">
      <c r="B30" s="9">
        <v>0.33333333333333331</v>
      </c>
      <c r="C30" s="16">
        <v>228</v>
      </c>
      <c r="J30" s="9">
        <v>0.33333333333333331</v>
      </c>
      <c r="K30" s="16">
        <v>85</v>
      </c>
      <c r="L30" s="16">
        <v>83</v>
      </c>
      <c r="M30" s="16">
        <v>60</v>
      </c>
      <c r="S30" s="9">
        <v>0.33333333333333331</v>
      </c>
      <c r="T30" s="16">
        <v>86</v>
      </c>
      <c r="U30" s="16">
        <v>105</v>
      </c>
      <c r="V30" s="16">
        <v>37</v>
      </c>
    </row>
    <row r="31" spans="2:24" x14ac:dyDescent="0.3">
      <c r="B31" s="9">
        <v>0.34375</v>
      </c>
      <c r="C31" s="16">
        <v>291</v>
      </c>
      <c r="J31" s="9">
        <v>0.34375</v>
      </c>
      <c r="K31" s="16">
        <v>90</v>
      </c>
      <c r="L31" s="16">
        <v>101</v>
      </c>
      <c r="M31" s="16">
        <v>100</v>
      </c>
      <c r="S31" s="9">
        <v>0.34375</v>
      </c>
      <c r="T31" s="16">
        <v>122</v>
      </c>
      <c r="U31" s="16">
        <v>124</v>
      </c>
      <c r="V31" s="16">
        <v>45</v>
      </c>
    </row>
    <row r="32" spans="2:24" x14ac:dyDescent="0.3">
      <c r="B32" s="9">
        <v>0.35416666666666669</v>
      </c>
      <c r="C32" s="16">
        <v>238</v>
      </c>
      <c r="J32" s="9">
        <v>0.35416666666666669</v>
      </c>
      <c r="K32" s="16">
        <v>80</v>
      </c>
      <c r="L32" s="16">
        <v>71</v>
      </c>
      <c r="M32" s="16">
        <v>87</v>
      </c>
      <c r="S32" s="9">
        <v>0.35416666666666669</v>
      </c>
      <c r="T32" s="16">
        <v>111</v>
      </c>
      <c r="U32" s="16">
        <v>98</v>
      </c>
      <c r="V32" s="16">
        <v>29</v>
      </c>
    </row>
    <row r="33" spans="2:22" x14ac:dyDescent="0.3">
      <c r="B33" s="9">
        <v>0.36458333333333331</v>
      </c>
      <c r="C33" s="16">
        <v>234</v>
      </c>
      <c r="J33" s="9">
        <v>0.36458333333333331</v>
      </c>
      <c r="K33" s="16">
        <v>81</v>
      </c>
      <c r="L33" s="16">
        <v>81</v>
      </c>
      <c r="M33" s="16">
        <v>72</v>
      </c>
      <c r="S33" s="9">
        <v>0.36458333333333331</v>
      </c>
      <c r="T33" s="16">
        <v>95</v>
      </c>
      <c r="U33" s="16">
        <v>103</v>
      </c>
      <c r="V33" s="16">
        <v>36</v>
      </c>
    </row>
    <row r="34" spans="2:22" x14ac:dyDescent="0.3">
      <c r="B34" s="9" t="s">
        <v>49</v>
      </c>
      <c r="C34" s="16">
        <v>1940</v>
      </c>
      <c r="J34" s="9" t="s">
        <v>49</v>
      </c>
      <c r="K34" s="16">
        <v>672</v>
      </c>
      <c r="L34" s="16">
        <v>668</v>
      </c>
      <c r="M34" s="16">
        <v>600</v>
      </c>
      <c r="S34" s="9" t="s">
        <v>49</v>
      </c>
      <c r="T34" s="16">
        <v>762</v>
      </c>
      <c r="U34" s="16">
        <v>898</v>
      </c>
      <c r="V34" s="16">
        <v>280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43.6640625" bestFit="1" customWidth="1"/>
    <col min="3" max="3" width="4.554687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4.554687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1063 vehicles between 07:30 and 08:30</v>
      </c>
    </row>
    <row r="5" spans="2:2" x14ac:dyDescent="0.3">
      <c r="B5" s="6" t="str">
        <f>PeakCalc!I8</f>
        <v>The peak hour for INT is 732 vehicles between 13:00 and 14:00</v>
      </c>
    </row>
    <row r="6" spans="2:2" x14ac:dyDescent="0.3">
      <c r="B6" s="6" t="str">
        <f>PeakCalc!J8</f>
        <v>The peak hour for PM is 1347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345</v>
      </c>
      <c r="D32">
        <v>22</v>
      </c>
      <c r="E32">
        <v>5</v>
      </c>
      <c r="F32">
        <v>372</v>
      </c>
      <c r="G32">
        <v>509</v>
      </c>
      <c r="H32">
        <v>21</v>
      </c>
      <c r="I32">
        <v>8</v>
      </c>
      <c r="J32">
        <v>538</v>
      </c>
      <c r="K32">
        <v>276</v>
      </c>
      <c r="L32">
        <v>26</v>
      </c>
      <c r="M32">
        <v>4</v>
      </c>
      <c r="N32">
        <v>306</v>
      </c>
    </row>
    <row r="33" spans="2:14" x14ac:dyDescent="0.3">
      <c r="B33" s="14" t="s">
        <v>95</v>
      </c>
      <c r="C33">
        <v>101</v>
      </c>
      <c r="D33">
        <v>2</v>
      </c>
      <c r="E33">
        <v>1</v>
      </c>
      <c r="F33">
        <v>104</v>
      </c>
      <c r="G33">
        <v>175</v>
      </c>
      <c r="H33">
        <v>2</v>
      </c>
      <c r="I33">
        <v>1</v>
      </c>
      <c r="J33">
        <v>178</v>
      </c>
      <c r="K33">
        <v>79</v>
      </c>
      <c r="L33">
        <v>3</v>
      </c>
      <c r="M33">
        <v>0</v>
      </c>
      <c r="N33">
        <v>82</v>
      </c>
    </row>
    <row r="34" spans="2:14" x14ac:dyDescent="0.3">
      <c r="B34" s="14" t="s">
        <v>96</v>
      </c>
      <c r="C34">
        <v>244</v>
      </c>
      <c r="D34">
        <v>20</v>
      </c>
      <c r="E34">
        <v>4</v>
      </c>
      <c r="F34">
        <v>268</v>
      </c>
      <c r="G34">
        <v>334</v>
      </c>
      <c r="H34">
        <v>19</v>
      </c>
      <c r="I34">
        <v>7</v>
      </c>
      <c r="J34">
        <v>360</v>
      </c>
      <c r="K34">
        <v>197</v>
      </c>
      <c r="L34">
        <v>23</v>
      </c>
      <c r="M34">
        <v>4</v>
      </c>
      <c r="N34">
        <v>224</v>
      </c>
    </row>
    <row r="35" spans="2:14" x14ac:dyDescent="0.3">
      <c r="B35" s="10" t="s">
        <v>93</v>
      </c>
      <c r="C35">
        <v>308</v>
      </c>
      <c r="D35">
        <v>6</v>
      </c>
      <c r="E35">
        <v>5</v>
      </c>
      <c r="F35">
        <v>319</v>
      </c>
      <c r="G35">
        <v>220</v>
      </c>
      <c r="H35">
        <v>3</v>
      </c>
      <c r="I35">
        <v>1</v>
      </c>
      <c r="J35">
        <v>224</v>
      </c>
      <c r="K35">
        <v>127</v>
      </c>
      <c r="L35">
        <v>4</v>
      </c>
      <c r="M35">
        <v>0</v>
      </c>
      <c r="N35">
        <v>131</v>
      </c>
    </row>
    <row r="36" spans="2:14" x14ac:dyDescent="0.3">
      <c r="B36" s="14" t="s">
        <v>97</v>
      </c>
      <c r="C36">
        <v>135</v>
      </c>
      <c r="D36">
        <v>2</v>
      </c>
      <c r="E36">
        <v>1</v>
      </c>
      <c r="F36">
        <v>138</v>
      </c>
      <c r="G36">
        <v>105</v>
      </c>
      <c r="H36">
        <v>3</v>
      </c>
      <c r="I36">
        <v>0</v>
      </c>
      <c r="J36">
        <v>108</v>
      </c>
      <c r="K36">
        <v>58</v>
      </c>
      <c r="L36">
        <v>1</v>
      </c>
      <c r="M36">
        <v>0</v>
      </c>
      <c r="N36">
        <v>59</v>
      </c>
    </row>
    <row r="37" spans="2:14" x14ac:dyDescent="0.3">
      <c r="B37" s="14" t="s">
        <v>98</v>
      </c>
      <c r="C37">
        <v>173</v>
      </c>
      <c r="D37">
        <v>4</v>
      </c>
      <c r="E37">
        <v>4</v>
      </c>
      <c r="F37">
        <v>181</v>
      </c>
      <c r="G37">
        <v>115</v>
      </c>
      <c r="H37">
        <v>0</v>
      </c>
      <c r="I37">
        <v>1</v>
      </c>
      <c r="J37">
        <v>116</v>
      </c>
      <c r="K37">
        <v>69</v>
      </c>
      <c r="L37">
        <v>3</v>
      </c>
      <c r="M37">
        <v>0</v>
      </c>
      <c r="N37">
        <v>72</v>
      </c>
    </row>
    <row r="38" spans="2:14" x14ac:dyDescent="0.3">
      <c r="B38" s="10" t="s">
        <v>94</v>
      </c>
      <c r="C38">
        <v>317</v>
      </c>
      <c r="D38">
        <v>46</v>
      </c>
      <c r="E38">
        <v>9</v>
      </c>
      <c r="F38">
        <v>372</v>
      </c>
      <c r="G38">
        <v>567</v>
      </c>
      <c r="H38">
        <v>12</v>
      </c>
      <c r="I38">
        <v>6</v>
      </c>
      <c r="J38">
        <v>585</v>
      </c>
      <c r="K38">
        <v>266</v>
      </c>
      <c r="L38">
        <v>29</v>
      </c>
      <c r="M38">
        <v>0</v>
      </c>
      <c r="N38">
        <v>295</v>
      </c>
    </row>
    <row r="39" spans="2:14" x14ac:dyDescent="0.3">
      <c r="B39" s="14" t="s">
        <v>99</v>
      </c>
      <c r="C39">
        <v>267</v>
      </c>
      <c r="D39">
        <v>43</v>
      </c>
      <c r="E39">
        <v>9</v>
      </c>
      <c r="F39">
        <v>319</v>
      </c>
      <c r="G39">
        <v>390</v>
      </c>
      <c r="H39">
        <v>10</v>
      </c>
      <c r="I39">
        <v>4</v>
      </c>
      <c r="J39">
        <v>404</v>
      </c>
      <c r="K39">
        <v>195</v>
      </c>
      <c r="L39">
        <v>28</v>
      </c>
      <c r="M39">
        <v>0</v>
      </c>
      <c r="N39">
        <v>223</v>
      </c>
    </row>
    <row r="40" spans="2:14" x14ac:dyDescent="0.3">
      <c r="B40" s="14" t="s">
        <v>100</v>
      </c>
      <c r="C40">
        <v>50</v>
      </c>
      <c r="D40">
        <v>3</v>
      </c>
      <c r="E40">
        <v>0</v>
      </c>
      <c r="F40">
        <v>53</v>
      </c>
      <c r="G40">
        <v>177</v>
      </c>
      <c r="H40">
        <v>2</v>
      </c>
      <c r="I40">
        <v>2</v>
      </c>
      <c r="J40">
        <v>181</v>
      </c>
      <c r="K40">
        <v>71</v>
      </c>
      <c r="L40">
        <v>1</v>
      </c>
      <c r="M40">
        <v>0</v>
      </c>
      <c r="N40">
        <v>72</v>
      </c>
    </row>
    <row r="41" spans="2:14" x14ac:dyDescent="0.3">
      <c r="B41" s="10" t="s">
        <v>49</v>
      </c>
      <c r="C41">
        <v>970</v>
      </c>
      <c r="D41">
        <v>74</v>
      </c>
      <c r="E41">
        <v>19</v>
      </c>
      <c r="F41">
        <v>1063</v>
      </c>
      <c r="G41">
        <v>1296</v>
      </c>
      <c r="H41">
        <v>36</v>
      </c>
      <c r="I41">
        <v>15</v>
      </c>
      <c r="J41">
        <v>1347</v>
      </c>
      <c r="K41">
        <v>669</v>
      </c>
      <c r="L41">
        <v>59</v>
      </c>
      <c r="M41">
        <v>4</v>
      </c>
      <c r="N41">
        <v>732</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A0104-A5DF-47C2-8031-E36515E96F2B}">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155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v>15</v>
      </c>
      <c r="AA15" s="53" t="s">
        <v>112</v>
      </c>
      <c r="AB15" s="53" t="s">
        <v>112</v>
      </c>
      <c r="AC15" s="53">
        <v>41</v>
      </c>
      <c r="AD15" s="53" t="s">
        <v>112</v>
      </c>
      <c r="AE15" s="53" t="s">
        <v>112</v>
      </c>
      <c r="AF15" s="53" t="s">
        <v>112</v>
      </c>
      <c r="AG15" s="53">
        <v>0</v>
      </c>
      <c r="AH15" s="53" t="s">
        <v>112</v>
      </c>
      <c r="AI15" s="53" t="s">
        <v>112</v>
      </c>
      <c r="AJ15" s="53">
        <v>22</v>
      </c>
      <c r="AK15" s="53" t="s">
        <v>112</v>
      </c>
      <c r="AL15" s="53" t="s">
        <v>112</v>
      </c>
      <c r="AM15" s="53" t="s">
        <v>112</v>
      </c>
      <c r="AN15" s="53">
        <v>37</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v>52</v>
      </c>
      <c r="BJ15" s="53">
        <v>11</v>
      </c>
      <c r="BK15" s="53" t="s">
        <v>112</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v>22</v>
      </c>
      <c r="AA16" s="53" t="s">
        <v>112</v>
      </c>
      <c r="AB16" s="53" t="s">
        <v>112</v>
      </c>
      <c r="AC16" s="53">
        <v>58</v>
      </c>
      <c r="AD16" s="53" t="s">
        <v>112</v>
      </c>
      <c r="AE16" s="53" t="s">
        <v>112</v>
      </c>
      <c r="AF16" s="53" t="s">
        <v>112</v>
      </c>
      <c r="AG16" s="53">
        <v>0</v>
      </c>
      <c r="AH16" s="53" t="s">
        <v>112</v>
      </c>
      <c r="AI16" s="53" t="s">
        <v>112</v>
      </c>
      <c r="AJ16" s="53">
        <v>23</v>
      </c>
      <c r="AK16" s="53" t="s">
        <v>112</v>
      </c>
      <c r="AL16" s="53" t="s">
        <v>112</v>
      </c>
      <c r="AM16" s="53" t="s">
        <v>112</v>
      </c>
      <c r="AN16" s="53">
        <v>38</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v>53</v>
      </c>
      <c r="BJ16" s="53">
        <v>7</v>
      </c>
      <c r="BK16" s="53" t="s">
        <v>112</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v>26</v>
      </c>
      <c r="AA17" s="53" t="s">
        <v>112</v>
      </c>
      <c r="AB17" s="53" t="s">
        <v>112</v>
      </c>
      <c r="AC17" s="53">
        <v>69</v>
      </c>
      <c r="AD17" s="53" t="s">
        <v>112</v>
      </c>
      <c r="AE17" s="53" t="s">
        <v>112</v>
      </c>
      <c r="AF17" s="53" t="s">
        <v>112</v>
      </c>
      <c r="AG17" s="53">
        <v>0</v>
      </c>
      <c r="AH17" s="53" t="s">
        <v>112</v>
      </c>
      <c r="AI17" s="53" t="s">
        <v>112</v>
      </c>
      <c r="AJ17" s="53">
        <v>31</v>
      </c>
      <c r="AK17" s="53" t="s">
        <v>112</v>
      </c>
      <c r="AL17" s="53" t="s">
        <v>112</v>
      </c>
      <c r="AM17" s="53" t="s">
        <v>112</v>
      </c>
      <c r="AN17" s="53">
        <v>41</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v>71</v>
      </c>
      <c r="BJ17" s="53">
        <v>12</v>
      </c>
      <c r="BK17" s="53" t="s">
        <v>112</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v>26</v>
      </c>
      <c r="AA18" s="53" t="s">
        <v>112</v>
      </c>
      <c r="AB18" s="53" t="s">
        <v>112</v>
      </c>
      <c r="AC18" s="53">
        <v>52</v>
      </c>
      <c r="AD18" s="53" t="s">
        <v>112</v>
      </c>
      <c r="AE18" s="53" t="s">
        <v>112</v>
      </c>
      <c r="AF18" s="53" t="s">
        <v>112</v>
      </c>
      <c r="AG18" s="53">
        <v>0</v>
      </c>
      <c r="AH18" s="53" t="s">
        <v>112</v>
      </c>
      <c r="AI18" s="53" t="s">
        <v>112</v>
      </c>
      <c r="AJ18" s="53">
        <v>31</v>
      </c>
      <c r="AK18" s="53" t="s">
        <v>112</v>
      </c>
      <c r="AL18" s="53" t="s">
        <v>112</v>
      </c>
      <c r="AM18" s="53" t="s">
        <v>112</v>
      </c>
      <c r="AN18" s="53">
        <v>48</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v>73</v>
      </c>
      <c r="BJ18" s="53">
        <v>7</v>
      </c>
      <c r="BK18" s="53" t="s">
        <v>112</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v>24</v>
      </c>
      <c r="AA19" s="53" t="s">
        <v>112</v>
      </c>
      <c r="AB19" s="53" t="s">
        <v>112</v>
      </c>
      <c r="AC19" s="53">
        <v>53</v>
      </c>
      <c r="AD19" s="53" t="s">
        <v>112</v>
      </c>
      <c r="AE19" s="53" t="s">
        <v>112</v>
      </c>
      <c r="AF19" s="53" t="s">
        <v>112</v>
      </c>
      <c r="AG19" s="53">
        <v>0</v>
      </c>
      <c r="AH19" s="53" t="s">
        <v>112</v>
      </c>
      <c r="AI19" s="53" t="s">
        <v>112</v>
      </c>
      <c r="AJ19" s="53">
        <v>25</v>
      </c>
      <c r="AK19" s="53" t="s">
        <v>112</v>
      </c>
      <c r="AL19" s="53" t="s">
        <v>112</v>
      </c>
      <c r="AM19" s="53" t="s">
        <v>112</v>
      </c>
      <c r="AN19" s="53">
        <v>33</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v>65</v>
      </c>
      <c r="BJ19" s="53">
        <v>13</v>
      </c>
      <c r="BK19" s="53" t="s">
        <v>112</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v>25</v>
      </c>
      <c r="AA20" s="53" t="s">
        <v>112</v>
      </c>
      <c r="AB20" s="53" t="s">
        <v>112</v>
      </c>
      <c r="AC20" s="53">
        <v>70</v>
      </c>
      <c r="AD20" s="53" t="s">
        <v>112</v>
      </c>
      <c r="AE20" s="53" t="s">
        <v>112</v>
      </c>
      <c r="AF20" s="53" t="s">
        <v>112</v>
      </c>
      <c r="AG20" s="53">
        <v>0</v>
      </c>
      <c r="AH20" s="53" t="s">
        <v>112</v>
      </c>
      <c r="AI20" s="53" t="s">
        <v>112</v>
      </c>
      <c r="AJ20" s="53">
        <v>48</v>
      </c>
      <c r="AK20" s="53" t="s">
        <v>112</v>
      </c>
      <c r="AL20" s="53" t="s">
        <v>112</v>
      </c>
      <c r="AM20" s="53" t="s">
        <v>112</v>
      </c>
      <c r="AN20" s="53">
        <v>51</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v>58</v>
      </c>
      <c r="BJ20" s="53">
        <v>18</v>
      </c>
      <c r="BK20" s="53" t="s">
        <v>112</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v>15</v>
      </c>
      <c r="AA21" s="53" t="s">
        <v>112</v>
      </c>
      <c r="AB21" s="53" t="s">
        <v>112</v>
      </c>
      <c r="AC21" s="53">
        <v>54</v>
      </c>
      <c r="AD21" s="53" t="s">
        <v>112</v>
      </c>
      <c r="AE21" s="53" t="s">
        <v>112</v>
      </c>
      <c r="AF21" s="53" t="s">
        <v>112</v>
      </c>
      <c r="AG21" s="53">
        <v>0</v>
      </c>
      <c r="AH21" s="53" t="s">
        <v>112</v>
      </c>
      <c r="AI21" s="53" t="s">
        <v>112</v>
      </c>
      <c r="AJ21" s="53">
        <v>55</v>
      </c>
      <c r="AK21" s="53" t="s">
        <v>112</v>
      </c>
      <c r="AL21" s="53" t="s">
        <v>112</v>
      </c>
      <c r="AM21" s="53" t="s">
        <v>112</v>
      </c>
      <c r="AN21" s="53">
        <v>30</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v>65</v>
      </c>
      <c r="BJ21" s="53">
        <v>11</v>
      </c>
      <c r="BK21" s="53" t="s">
        <v>112</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v>25</v>
      </c>
      <c r="AA22" s="53" t="s">
        <v>112</v>
      </c>
      <c r="AB22" s="53" t="s">
        <v>112</v>
      </c>
      <c r="AC22" s="53">
        <v>51</v>
      </c>
      <c r="AD22" s="53" t="s">
        <v>112</v>
      </c>
      <c r="AE22" s="53" t="s">
        <v>112</v>
      </c>
      <c r="AF22" s="53" t="s">
        <v>112</v>
      </c>
      <c r="AG22" s="53">
        <v>0</v>
      </c>
      <c r="AH22" s="53" t="s">
        <v>112</v>
      </c>
      <c r="AI22" s="53" t="s">
        <v>112</v>
      </c>
      <c r="AJ22" s="53">
        <v>39</v>
      </c>
      <c r="AK22" s="53" t="s">
        <v>112</v>
      </c>
      <c r="AL22" s="53" t="s">
        <v>112</v>
      </c>
      <c r="AM22" s="53" t="s">
        <v>112</v>
      </c>
      <c r="AN22" s="53">
        <v>33</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v>64</v>
      </c>
      <c r="BJ22" s="53">
        <v>10</v>
      </c>
      <c r="BK22" s="53" t="s">
        <v>112</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v>0</v>
      </c>
      <c r="AA23" s="53" t="s">
        <v>112</v>
      </c>
      <c r="AB23" s="53" t="s">
        <v>112</v>
      </c>
      <c r="AC23" s="53">
        <v>0</v>
      </c>
      <c r="AD23" s="53" t="s">
        <v>112</v>
      </c>
      <c r="AE23" s="53" t="s">
        <v>112</v>
      </c>
      <c r="AF23" s="53" t="s">
        <v>112</v>
      </c>
      <c r="AG23" s="53">
        <v>0</v>
      </c>
      <c r="AH23" s="53" t="s">
        <v>112</v>
      </c>
      <c r="AI23" s="53" t="s">
        <v>112</v>
      </c>
      <c r="AJ23" s="53">
        <v>0</v>
      </c>
      <c r="AK23" s="53" t="s">
        <v>112</v>
      </c>
      <c r="AL23" s="53" t="s">
        <v>112</v>
      </c>
      <c r="AM23" s="53" t="s">
        <v>112</v>
      </c>
      <c r="AN23" s="53">
        <v>0</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v>0</v>
      </c>
      <c r="BK23" s="53" t="s">
        <v>112</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v>24</v>
      </c>
      <c r="AA24" s="53" t="s">
        <v>112</v>
      </c>
      <c r="AB24" s="53" t="s">
        <v>112</v>
      </c>
      <c r="AC24" s="53">
        <v>48</v>
      </c>
      <c r="AD24" s="53" t="s">
        <v>112</v>
      </c>
      <c r="AE24" s="53" t="s">
        <v>112</v>
      </c>
      <c r="AF24" s="53" t="s">
        <v>112</v>
      </c>
      <c r="AG24" s="53">
        <v>0</v>
      </c>
      <c r="AH24" s="53" t="s">
        <v>112</v>
      </c>
      <c r="AI24" s="53" t="s">
        <v>112</v>
      </c>
      <c r="AJ24" s="53">
        <v>12</v>
      </c>
      <c r="AK24" s="53" t="s">
        <v>112</v>
      </c>
      <c r="AL24" s="53" t="s">
        <v>112</v>
      </c>
      <c r="AM24" s="53" t="s">
        <v>112</v>
      </c>
      <c r="AN24" s="53">
        <v>9</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v>44</v>
      </c>
      <c r="BJ24" s="53">
        <v>20</v>
      </c>
      <c r="BK24" s="53" t="s">
        <v>112</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v>18</v>
      </c>
      <c r="AA25" s="53" t="s">
        <v>112</v>
      </c>
      <c r="AB25" s="53" t="s">
        <v>112</v>
      </c>
      <c r="AC25" s="53">
        <v>48</v>
      </c>
      <c r="AD25" s="53" t="s">
        <v>112</v>
      </c>
      <c r="AE25" s="53" t="s">
        <v>112</v>
      </c>
      <c r="AF25" s="53" t="s">
        <v>112</v>
      </c>
      <c r="AG25" s="53">
        <v>0</v>
      </c>
      <c r="AH25" s="53" t="s">
        <v>112</v>
      </c>
      <c r="AI25" s="53" t="s">
        <v>112</v>
      </c>
      <c r="AJ25" s="53">
        <v>18</v>
      </c>
      <c r="AK25" s="53" t="s">
        <v>112</v>
      </c>
      <c r="AL25" s="53" t="s">
        <v>112</v>
      </c>
      <c r="AM25" s="53" t="s">
        <v>112</v>
      </c>
      <c r="AN25" s="53">
        <v>17</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v>61</v>
      </c>
      <c r="BJ25" s="53">
        <v>12</v>
      </c>
      <c r="BK25" s="53" t="s">
        <v>112</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v>17</v>
      </c>
      <c r="AA26" s="53" t="s">
        <v>112</v>
      </c>
      <c r="AB26" s="53" t="s">
        <v>112</v>
      </c>
      <c r="AC26" s="53">
        <v>53</v>
      </c>
      <c r="AD26" s="53" t="s">
        <v>112</v>
      </c>
      <c r="AE26" s="53" t="s">
        <v>112</v>
      </c>
      <c r="AF26" s="53" t="s">
        <v>112</v>
      </c>
      <c r="AG26" s="53">
        <v>0</v>
      </c>
      <c r="AH26" s="53" t="s">
        <v>112</v>
      </c>
      <c r="AI26" s="53" t="s">
        <v>112</v>
      </c>
      <c r="AJ26" s="53">
        <v>18</v>
      </c>
      <c r="AK26" s="53" t="s">
        <v>112</v>
      </c>
      <c r="AL26" s="53" t="s">
        <v>112</v>
      </c>
      <c r="AM26" s="53" t="s">
        <v>112</v>
      </c>
      <c r="AN26" s="53">
        <v>15</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v>45</v>
      </c>
      <c r="BJ26" s="53">
        <v>21</v>
      </c>
      <c r="BK26" s="53" t="s">
        <v>112</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v>20</v>
      </c>
      <c r="AA27" s="53" t="s">
        <v>112</v>
      </c>
      <c r="AB27" s="53" t="s">
        <v>112</v>
      </c>
      <c r="AC27" s="53">
        <v>48</v>
      </c>
      <c r="AD27" s="53" t="s">
        <v>112</v>
      </c>
      <c r="AE27" s="53" t="s">
        <v>112</v>
      </c>
      <c r="AF27" s="53" t="s">
        <v>112</v>
      </c>
      <c r="AG27" s="53">
        <v>0</v>
      </c>
      <c r="AH27" s="53" t="s">
        <v>112</v>
      </c>
      <c r="AI27" s="53" t="s">
        <v>112</v>
      </c>
      <c r="AJ27" s="53">
        <v>10</v>
      </c>
      <c r="AK27" s="53" t="s">
        <v>112</v>
      </c>
      <c r="AL27" s="53" t="s">
        <v>112</v>
      </c>
      <c r="AM27" s="53" t="s">
        <v>112</v>
      </c>
      <c r="AN27" s="53">
        <v>28</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v>45</v>
      </c>
      <c r="BJ27" s="53">
        <v>18</v>
      </c>
      <c r="BK27" s="53" t="s">
        <v>112</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v>0</v>
      </c>
      <c r="AA28" s="53" t="s">
        <v>112</v>
      </c>
      <c r="AB28" s="53" t="s">
        <v>112</v>
      </c>
      <c r="AC28" s="53">
        <v>0</v>
      </c>
      <c r="AD28" s="53" t="s">
        <v>112</v>
      </c>
      <c r="AE28" s="53" t="s">
        <v>112</v>
      </c>
      <c r="AF28" s="53" t="s">
        <v>112</v>
      </c>
      <c r="AG28" s="53">
        <v>0</v>
      </c>
      <c r="AH28" s="53" t="s">
        <v>112</v>
      </c>
      <c r="AI28" s="53" t="s">
        <v>112</v>
      </c>
      <c r="AJ28" s="53">
        <v>0</v>
      </c>
      <c r="AK28" s="53" t="s">
        <v>112</v>
      </c>
      <c r="AL28" s="53" t="s">
        <v>112</v>
      </c>
      <c r="AM28" s="53" t="s">
        <v>112</v>
      </c>
      <c r="AN28" s="53">
        <v>0</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v>0</v>
      </c>
      <c r="BK28" s="53" t="s">
        <v>112</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v>36</v>
      </c>
      <c r="AA29" s="53" t="s">
        <v>112</v>
      </c>
      <c r="AB29" s="53" t="s">
        <v>112</v>
      </c>
      <c r="AC29" s="53">
        <v>83</v>
      </c>
      <c r="AD29" s="53" t="s">
        <v>112</v>
      </c>
      <c r="AE29" s="53" t="s">
        <v>112</v>
      </c>
      <c r="AF29" s="53" t="s">
        <v>112</v>
      </c>
      <c r="AG29" s="53">
        <v>0</v>
      </c>
      <c r="AH29" s="53" t="s">
        <v>112</v>
      </c>
      <c r="AI29" s="53" t="s">
        <v>112</v>
      </c>
      <c r="AJ29" s="53">
        <v>18</v>
      </c>
      <c r="AK29" s="53" t="s">
        <v>112</v>
      </c>
      <c r="AL29" s="53" t="s">
        <v>112</v>
      </c>
      <c r="AM29" s="53" t="s">
        <v>112</v>
      </c>
      <c r="AN29" s="53">
        <v>34</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v>81</v>
      </c>
      <c r="BJ29" s="53">
        <v>36</v>
      </c>
      <c r="BK29" s="53" t="s">
        <v>112</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v>48</v>
      </c>
      <c r="AA30" s="53" t="s">
        <v>112</v>
      </c>
      <c r="AB30" s="53" t="s">
        <v>112</v>
      </c>
      <c r="AC30" s="53">
        <v>76</v>
      </c>
      <c r="AD30" s="53" t="s">
        <v>112</v>
      </c>
      <c r="AE30" s="53" t="s">
        <v>112</v>
      </c>
      <c r="AF30" s="53" t="s">
        <v>112</v>
      </c>
      <c r="AG30" s="53">
        <v>0</v>
      </c>
      <c r="AH30" s="53" t="s">
        <v>112</v>
      </c>
      <c r="AI30" s="53" t="s">
        <v>112</v>
      </c>
      <c r="AJ30" s="53">
        <v>18</v>
      </c>
      <c r="AK30" s="53" t="s">
        <v>112</v>
      </c>
      <c r="AL30" s="53" t="s">
        <v>112</v>
      </c>
      <c r="AM30" s="53" t="s">
        <v>112</v>
      </c>
      <c r="AN30" s="53">
        <v>26</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v>97</v>
      </c>
      <c r="BJ30" s="53">
        <v>38</v>
      </c>
      <c r="BK30" s="53" t="s">
        <v>112</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v>61</v>
      </c>
      <c r="AA31" s="53" t="s">
        <v>112</v>
      </c>
      <c r="AB31" s="53" t="s">
        <v>112</v>
      </c>
      <c r="AC31" s="53">
        <v>83</v>
      </c>
      <c r="AD31" s="53" t="s">
        <v>112</v>
      </c>
      <c r="AE31" s="53" t="s">
        <v>112</v>
      </c>
      <c r="AF31" s="53" t="s">
        <v>112</v>
      </c>
      <c r="AG31" s="53">
        <v>0</v>
      </c>
      <c r="AH31" s="53" t="s">
        <v>112</v>
      </c>
      <c r="AI31" s="53" t="s">
        <v>112</v>
      </c>
      <c r="AJ31" s="53">
        <v>32</v>
      </c>
      <c r="AK31" s="53" t="s">
        <v>112</v>
      </c>
      <c r="AL31" s="53" t="s">
        <v>112</v>
      </c>
      <c r="AM31" s="53" t="s">
        <v>112</v>
      </c>
      <c r="AN31" s="53">
        <v>38</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v>82</v>
      </c>
      <c r="BJ31" s="53">
        <v>36</v>
      </c>
      <c r="BK31" s="53" t="s">
        <v>112</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v>31</v>
      </c>
      <c r="AA32" s="53" t="s">
        <v>112</v>
      </c>
      <c r="AB32" s="53" t="s">
        <v>112</v>
      </c>
      <c r="AC32" s="53">
        <v>77</v>
      </c>
      <c r="AD32" s="53" t="s">
        <v>112</v>
      </c>
      <c r="AE32" s="53" t="s">
        <v>112</v>
      </c>
      <c r="AF32" s="53" t="s">
        <v>112</v>
      </c>
      <c r="AG32" s="53">
        <v>0</v>
      </c>
      <c r="AH32" s="53" t="s">
        <v>112</v>
      </c>
      <c r="AI32" s="53" t="s">
        <v>112</v>
      </c>
      <c r="AJ32" s="53">
        <v>19</v>
      </c>
      <c r="AK32" s="53" t="s">
        <v>112</v>
      </c>
      <c r="AL32" s="53" t="s">
        <v>112</v>
      </c>
      <c r="AM32" s="53" t="s">
        <v>112</v>
      </c>
      <c r="AN32" s="53">
        <v>23</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v>115</v>
      </c>
      <c r="BJ32" s="53">
        <v>40</v>
      </c>
      <c r="BK32" s="53" t="s">
        <v>112</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v>47</v>
      </c>
      <c r="AA33" s="53" t="s">
        <v>112</v>
      </c>
      <c r="AB33" s="53" t="s">
        <v>112</v>
      </c>
      <c r="AC33" s="53">
        <v>93</v>
      </c>
      <c r="AD33" s="53" t="s">
        <v>112</v>
      </c>
      <c r="AE33" s="53" t="s">
        <v>112</v>
      </c>
      <c r="AF33" s="53" t="s">
        <v>112</v>
      </c>
      <c r="AG33" s="53">
        <v>0</v>
      </c>
      <c r="AH33" s="53" t="s">
        <v>112</v>
      </c>
      <c r="AI33" s="53" t="s">
        <v>112</v>
      </c>
      <c r="AJ33" s="53">
        <v>20</v>
      </c>
      <c r="AK33" s="53" t="s">
        <v>112</v>
      </c>
      <c r="AL33" s="53" t="s">
        <v>112</v>
      </c>
      <c r="AM33" s="53" t="s">
        <v>112</v>
      </c>
      <c r="AN33" s="53">
        <v>21</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v>95</v>
      </c>
      <c r="BJ33" s="53">
        <v>60</v>
      </c>
      <c r="BK33" s="53" t="s">
        <v>112</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v>36</v>
      </c>
      <c r="AA34" s="53" t="s">
        <v>112</v>
      </c>
      <c r="AB34" s="53" t="s">
        <v>112</v>
      </c>
      <c r="AC34" s="53">
        <v>81</v>
      </c>
      <c r="AD34" s="53" t="s">
        <v>112</v>
      </c>
      <c r="AE34" s="53" t="s">
        <v>112</v>
      </c>
      <c r="AF34" s="53" t="s">
        <v>112</v>
      </c>
      <c r="AG34" s="53">
        <v>0</v>
      </c>
      <c r="AH34" s="53" t="s">
        <v>112</v>
      </c>
      <c r="AI34" s="53" t="s">
        <v>112</v>
      </c>
      <c r="AJ34" s="53">
        <v>34</v>
      </c>
      <c r="AK34" s="53" t="s">
        <v>112</v>
      </c>
      <c r="AL34" s="53" t="s">
        <v>112</v>
      </c>
      <c r="AM34" s="53" t="s">
        <v>112</v>
      </c>
      <c r="AN34" s="53">
        <v>33</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v>98</v>
      </c>
      <c r="BJ34" s="53">
        <v>41</v>
      </c>
      <c r="BK34" s="53" t="s">
        <v>112</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v>41</v>
      </c>
      <c r="AA35" s="53" t="s">
        <v>112</v>
      </c>
      <c r="AB35" s="53" t="s">
        <v>112</v>
      </c>
      <c r="AC35" s="53">
        <v>76</v>
      </c>
      <c r="AD35" s="53" t="s">
        <v>112</v>
      </c>
      <c r="AE35" s="53" t="s">
        <v>112</v>
      </c>
      <c r="AF35" s="53" t="s">
        <v>112</v>
      </c>
      <c r="AG35" s="53">
        <v>0</v>
      </c>
      <c r="AH35" s="53" t="s">
        <v>112</v>
      </c>
      <c r="AI35" s="53" t="s">
        <v>112</v>
      </c>
      <c r="AJ35" s="53">
        <v>19</v>
      </c>
      <c r="AK35" s="53" t="s">
        <v>112</v>
      </c>
      <c r="AL35" s="53" t="s">
        <v>112</v>
      </c>
      <c r="AM35" s="53" t="s">
        <v>112</v>
      </c>
      <c r="AN35" s="53">
        <v>22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v>88</v>
      </c>
      <c r="BJ35" s="53">
        <v>43</v>
      </c>
      <c r="BK35" s="53" t="s">
        <v>112</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v>29</v>
      </c>
      <c r="AA36" s="53" t="s">
        <v>112</v>
      </c>
      <c r="AB36" s="53" t="s">
        <v>112</v>
      </c>
      <c r="AC36" s="53">
        <v>54</v>
      </c>
      <c r="AD36" s="53" t="s">
        <v>112</v>
      </c>
      <c r="AE36" s="53" t="s">
        <v>112</v>
      </c>
      <c r="AF36" s="53" t="s">
        <v>112</v>
      </c>
      <c r="AG36" s="53">
        <v>0</v>
      </c>
      <c r="AH36" s="53" t="s">
        <v>112</v>
      </c>
      <c r="AI36" s="53" t="s">
        <v>112</v>
      </c>
      <c r="AJ36" s="53">
        <v>17</v>
      </c>
      <c r="AK36" s="53" t="s">
        <v>112</v>
      </c>
      <c r="AL36" s="53" t="s">
        <v>112</v>
      </c>
      <c r="AM36" s="53" t="s">
        <v>112</v>
      </c>
      <c r="AN36" s="53">
        <v>25</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v>75</v>
      </c>
      <c r="BJ36" s="53">
        <v>22</v>
      </c>
      <c r="BK36" s="53" t="s">
        <v>112</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99FF4-3084-4069-B715-723BF6EBEF68}">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v>2</v>
      </c>
      <c r="AA15" s="53" t="s">
        <v>112</v>
      </c>
      <c r="AB15" s="53" t="s">
        <v>112</v>
      </c>
      <c r="AC15" s="53">
        <v>3</v>
      </c>
      <c r="AD15" s="53" t="s">
        <v>112</v>
      </c>
      <c r="AE15" s="53" t="s">
        <v>112</v>
      </c>
      <c r="AF15" s="53" t="s">
        <v>112</v>
      </c>
      <c r="AG15" s="53">
        <v>0</v>
      </c>
      <c r="AH15" s="53" t="s">
        <v>112</v>
      </c>
      <c r="AI15" s="53" t="s">
        <v>112</v>
      </c>
      <c r="AJ15" s="53">
        <v>0</v>
      </c>
      <c r="AK15" s="53" t="s">
        <v>112</v>
      </c>
      <c r="AL15" s="53" t="s">
        <v>112</v>
      </c>
      <c r="AM15" s="53" t="s">
        <v>112</v>
      </c>
      <c r="AN15" s="53">
        <v>0</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v>2</v>
      </c>
      <c r="BJ15" s="53">
        <v>0</v>
      </c>
      <c r="BK15" s="53" t="s">
        <v>112</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v>0</v>
      </c>
      <c r="AA16" s="53" t="s">
        <v>112</v>
      </c>
      <c r="AB16" s="53" t="s">
        <v>112</v>
      </c>
      <c r="AC16" s="53">
        <v>2</v>
      </c>
      <c r="AD16" s="53" t="s">
        <v>112</v>
      </c>
      <c r="AE16" s="53" t="s">
        <v>112</v>
      </c>
      <c r="AF16" s="53" t="s">
        <v>112</v>
      </c>
      <c r="AG16" s="53">
        <v>0</v>
      </c>
      <c r="AH16" s="53" t="s">
        <v>112</v>
      </c>
      <c r="AI16" s="53" t="s">
        <v>112</v>
      </c>
      <c r="AJ16" s="53">
        <v>0</v>
      </c>
      <c r="AK16" s="53" t="s">
        <v>112</v>
      </c>
      <c r="AL16" s="53" t="s">
        <v>112</v>
      </c>
      <c r="AM16" s="53" t="s">
        <v>112</v>
      </c>
      <c r="AN16" s="53">
        <v>1</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v>12</v>
      </c>
      <c r="BJ16" s="53">
        <v>1</v>
      </c>
      <c r="BK16" s="53" t="s">
        <v>112</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v>1</v>
      </c>
      <c r="AA17" s="53" t="s">
        <v>112</v>
      </c>
      <c r="AB17" s="53" t="s">
        <v>112</v>
      </c>
      <c r="AC17" s="53">
        <v>6</v>
      </c>
      <c r="AD17" s="53" t="s">
        <v>112</v>
      </c>
      <c r="AE17" s="53" t="s">
        <v>112</v>
      </c>
      <c r="AF17" s="53" t="s">
        <v>112</v>
      </c>
      <c r="AG17" s="53">
        <v>0</v>
      </c>
      <c r="AH17" s="53" t="s">
        <v>112</v>
      </c>
      <c r="AI17" s="53" t="s">
        <v>112</v>
      </c>
      <c r="AJ17" s="53">
        <v>1</v>
      </c>
      <c r="AK17" s="53" t="s">
        <v>112</v>
      </c>
      <c r="AL17" s="53" t="s">
        <v>112</v>
      </c>
      <c r="AM17" s="53" t="s">
        <v>112</v>
      </c>
      <c r="AN17" s="53">
        <v>0</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v>12</v>
      </c>
      <c r="BJ17" s="53">
        <v>2</v>
      </c>
      <c r="BK17" s="53" t="s">
        <v>112</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v>0</v>
      </c>
      <c r="AA18" s="53" t="s">
        <v>112</v>
      </c>
      <c r="AB18" s="53" t="s">
        <v>112</v>
      </c>
      <c r="AC18" s="53">
        <v>6</v>
      </c>
      <c r="AD18" s="53" t="s">
        <v>112</v>
      </c>
      <c r="AE18" s="53" t="s">
        <v>112</v>
      </c>
      <c r="AF18" s="53" t="s">
        <v>112</v>
      </c>
      <c r="AG18" s="53">
        <v>0</v>
      </c>
      <c r="AH18" s="53" t="s">
        <v>112</v>
      </c>
      <c r="AI18" s="53" t="s">
        <v>112</v>
      </c>
      <c r="AJ18" s="53">
        <v>0</v>
      </c>
      <c r="AK18" s="53" t="s">
        <v>112</v>
      </c>
      <c r="AL18" s="53" t="s">
        <v>112</v>
      </c>
      <c r="AM18" s="53" t="s">
        <v>112</v>
      </c>
      <c r="AN18" s="53">
        <v>3</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v>16</v>
      </c>
      <c r="BJ18" s="53">
        <v>1</v>
      </c>
      <c r="BK18" s="53" t="s">
        <v>112</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v>0</v>
      </c>
      <c r="AA19" s="53" t="s">
        <v>112</v>
      </c>
      <c r="AB19" s="53" t="s">
        <v>112</v>
      </c>
      <c r="AC19" s="53">
        <v>5</v>
      </c>
      <c r="AD19" s="53" t="s">
        <v>112</v>
      </c>
      <c r="AE19" s="53" t="s">
        <v>112</v>
      </c>
      <c r="AF19" s="53" t="s">
        <v>112</v>
      </c>
      <c r="AG19" s="53">
        <v>0</v>
      </c>
      <c r="AH19" s="53" t="s">
        <v>112</v>
      </c>
      <c r="AI19" s="53" t="s">
        <v>112</v>
      </c>
      <c r="AJ19" s="53">
        <v>1</v>
      </c>
      <c r="AK19" s="53" t="s">
        <v>112</v>
      </c>
      <c r="AL19" s="53" t="s">
        <v>112</v>
      </c>
      <c r="AM19" s="53" t="s">
        <v>112</v>
      </c>
      <c r="AN19" s="53">
        <v>0</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v>4</v>
      </c>
      <c r="BJ19" s="53">
        <v>0</v>
      </c>
      <c r="BK19" s="53" t="s">
        <v>112</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v>1</v>
      </c>
      <c r="AA20" s="53" t="s">
        <v>112</v>
      </c>
      <c r="AB20" s="53" t="s">
        <v>112</v>
      </c>
      <c r="AC20" s="53">
        <v>3</v>
      </c>
      <c r="AD20" s="53" t="s">
        <v>112</v>
      </c>
      <c r="AE20" s="53" t="s">
        <v>112</v>
      </c>
      <c r="AF20" s="53" t="s">
        <v>112</v>
      </c>
      <c r="AG20" s="53">
        <v>0</v>
      </c>
      <c r="AH20" s="53" t="s">
        <v>112</v>
      </c>
      <c r="AI20" s="53" t="s">
        <v>112</v>
      </c>
      <c r="AJ20" s="53">
        <v>0</v>
      </c>
      <c r="AK20" s="53" t="s">
        <v>112</v>
      </c>
      <c r="AL20" s="53" t="s">
        <v>112</v>
      </c>
      <c r="AM20" s="53" t="s">
        <v>112</v>
      </c>
      <c r="AN20" s="53">
        <v>1</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v>11</v>
      </c>
      <c r="BJ20" s="53">
        <v>0</v>
      </c>
      <c r="BK20" s="53" t="s">
        <v>112</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v>0</v>
      </c>
      <c r="AA21" s="53" t="s">
        <v>112</v>
      </c>
      <c r="AB21" s="53" t="s">
        <v>112</v>
      </c>
      <c r="AC21" s="53">
        <v>0</v>
      </c>
      <c r="AD21" s="53" t="s">
        <v>112</v>
      </c>
      <c r="AE21" s="53" t="s">
        <v>112</v>
      </c>
      <c r="AF21" s="53" t="s">
        <v>112</v>
      </c>
      <c r="AG21" s="53">
        <v>0</v>
      </c>
      <c r="AH21" s="53" t="s">
        <v>112</v>
      </c>
      <c r="AI21" s="53" t="s">
        <v>112</v>
      </c>
      <c r="AJ21" s="53">
        <v>1</v>
      </c>
      <c r="AK21" s="53" t="s">
        <v>112</v>
      </c>
      <c r="AL21" s="53" t="s">
        <v>112</v>
      </c>
      <c r="AM21" s="53" t="s">
        <v>112</v>
      </c>
      <c r="AN21" s="53">
        <v>0</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v>3</v>
      </c>
      <c r="BJ21" s="53">
        <v>1</v>
      </c>
      <c r="BK21" s="53" t="s">
        <v>112</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v>0</v>
      </c>
      <c r="AA22" s="53" t="s">
        <v>112</v>
      </c>
      <c r="AB22" s="53" t="s">
        <v>112</v>
      </c>
      <c r="AC22" s="53">
        <v>4</v>
      </c>
      <c r="AD22" s="53" t="s">
        <v>112</v>
      </c>
      <c r="AE22" s="53" t="s">
        <v>112</v>
      </c>
      <c r="AF22" s="53" t="s">
        <v>112</v>
      </c>
      <c r="AG22" s="53">
        <v>0</v>
      </c>
      <c r="AH22" s="53" t="s">
        <v>112</v>
      </c>
      <c r="AI22" s="53" t="s">
        <v>112</v>
      </c>
      <c r="AJ22" s="53">
        <v>0</v>
      </c>
      <c r="AK22" s="53" t="s">
        <v>112</v>
      </c>
      <c r="AL22" s="53" t="s">
        <v>112</v>
      </c>
      <c r="AM22" s="53" t="s">
        <v>112</v>
      </c>
      <c r="AN22" s="53">
        <v>0</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v>6</v>
      </c>
      <c r="BJ22" s="53">
        <v>1</v>
      </c>
      <c r="BK22" s="53" t="s">
        <v>112</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v>0</v>
      </c>
      <c r="AA23" s="53" t="s">
        <v>112</v>
      </c>
      <c r="AB23" s="53" t="s">
        <v>112</v>
      </c>
      <c r="AC23" s="53">
        <v>0</v>
      </c>
      <c r="AD23" s="53" t="s">
        <v>112</v>
      </c>
      <c r="AE23" s="53" t="s">
        <v>112</v>
      </c>
      <c r="AF23" s="53" t="s">
        <v>112</v>
      </c>
      <c r="AG23" s="53">
        <v>0</v>
      </c>
      <c r="AH23" s="53" t="s">
        <v>112</v>
      </c>
      <c r="AI23" s="53" t="s">
        <v>112</v>
      </c>
      <c r="AJ23" s="53">
        <v>0</v>
      </c>
      <c r="AK23" s="53" t="s">
        <v>112</v>
      </c>
      <c r="AL23" s="53" t="s">
        <v>112</v>
      </c>
      <c r="AM23" s="53" t="s">
        <v>112</v>
      </c>
      <c r="AN23" s="53">
        <v>0</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v>0</v>
      </c>
      <c r="BK23" s="53" t="s">
        <v>112</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v>0</v>
      </c>
      <c r="AA24" s="53" t="s">
        <v>112</v>
      </c>
      <c r="AB24" s="53" t="s">
        <v>112</v>
      </c>
      <c r="AC24" s="53">
        <v>5</v>
      </c>
      <c r="AD24" s="53" t="s">
        <v>112</v>
      </c>
      <c r="AE24" s="53" t="s">
        <v>112</v>
      </c>
      <c r="AF24" s="53" t="s">
        <v>112</v>
      </c>
      <c r="AG24" s="53">
        <v>0</v>
      </c>
      <c r="AH24" s="53" t="s">
        <v>112</v>
      </c>
      <c r="AI24" s="53" t="s">
        <v>112</v>
      </c>
      <c r="AJ24" s="53">
        <v>0</v>
      </c>
      <c r="AK24" s="53" t="s">
        <v>112</v>
      </c>
      <c r="AL24" s="53" t="s">
        <v>112</v>
      </c>
      <c r="AM24" s="53" t="s">
        <v>112</v>
      </c>
      <c r="AN24" s="53">
        <v>0</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v>7</v>
      </c>
      <c r="BJ24" s="53">
        <v>0</v>
      </c>
      <c r="BK24" s="53" t="s">
        <v>112</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v>0</v>
      </c>
      <c r="AA25" s="53" t="s">
        <v>112</v>
      </c>
      <c r="AB25" s="53" t="s">
        <v>112</v>
      </c>
      <c r="AC25" s="53">
        <v>6</v>
      </c>
      <c r="AD25" s="53" t="s">
        <v>112</v>
      </c>
      <c r="AE25" s="53" t="s">
        <v>112</v>
      </c>
      <c r="AF25" s="53" t="s">
        <v>112</v>
      </c>
      <c r="AG25" s="53">
        <v>0</v>
      </c>
      <c r="AH25" s="53" t="s">
        <v>112</v>
      </c>
      <c r="AI25" s="53" t="s">
        <v>112</v>
      </c>
      <c r="AJ25" s="53">
        <v>0</v>
      </c>
      <c r="AK25" s="53" t="s">
        <v>112</v>
      </c>
      <c r="AL25" s="53" t="s">
        <v>112</v>
      </c>
      <c r="AM25" s="53" t="s">
        <v>112</v>
      </c>
      <c r="AN25" s="53">
        <v>1</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v>8</v>
      </c>
      <c r="BJ25" s="53">
        <v>0</v>
      </c>
      <c r="BK25" s="53" t="s">
        <v>112</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v>0</v>
      </c>
      <c r="AA26" s="53" t="s">
        <v>112</v>
      </c>
      <c r="AB26" s="53" t="s">
        <v>112</v>
      </c>
      <c r="AC26" s="53">
        <v>4</v>
      </c>
      <c r="AD26" s="53" t="s">
        <v>112</v>
      </c>
      <c r="AE26" s="53" t="s">
        <v>112</v>
      </c>
      <c r="AF26" s="53" t="s">
        <v>112</v>
      </c>
      <c r="AG26" s="53">
        <v>0</v>
      </c>
      <c r="AH26" s="53" t="s">
        <v>112</v>
      </c>
      <c r="AI26" s="53" t="s">
        <v>112</v>
      </c>
      <c r="AJ26" s="53">
        <v>0</v>
      </c>
      <c r="AK26" s="53" t="s">
        <v>112</v>
      </c>
      <c r="AL26" s="53" t="s">
        <v>112</v>
      </c>
      <c r="AM26" s="53" t="s">
        <v>112</v>
      </c>
      <c r="AN26" s="53">
        <v>1</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v>5</v>
      </c>
      <c r="BJ26" s="53">
        <v>0</v>
      </c>
      <c r="BK26" s="53" t="s">
        <v>112</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v>3</v>
      </c>
      <c r="AA27" s="53" t="s">
        <v>112</v>
      </c>
      <c r="AB27" s="53" t="s">
        <v>112</v>
      </c>
      <c r="AC27" s="53">
        <v>8</v>
      </c>
      <c r="AD27" s="53" t="s">
        <v>112</v>
      </c>
      <c r="AE27" s="53" t="s">
        <v>112</v>
      </c>
      <c r="AF27" s="53" t="s">
        <v>112</v>
      </c>
      <c r="AG27" s="53">
        <v>0</v>
      </c>
      <c r="AH27" s="53" t="s">
        <v>112</v>
      </c>
      <c r="AI27" s="53" t="s">
        <v>112</v>
      </c>
      <c r="AJ27" s="53">
        <v>1</v>
      </c>
      <c r="AK27" s="53" t="s">
        <v>112</v>
      </c>
      <c r="AL27" s="53" t="s">
        <v>112</v>
      </c>
      <c r="AM27" s="53" t="s">
        <v>112</v>
      </c>
      <c r="AN27" s="53">
        <v>1</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v>8</v>
      </c>
      <c r="BJ27" s="53">
        <v>1</v>
      </c>
      <c r="BK27" s="53" t="s">
        <v>112</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v>0</v>
      </c>
      <c r="AA28" s="53" t="s">
        <v>112</v>
      </c>
      <c r="AB28" s="53" t="s">
        <v>112</v>
      </c>
      <c r="AC28" s="53">
        <v>0</v>
      </c>
      <c r="AD28" s="53" t="s">
        <v>112</v>
      </c>
      <c r="AE28" s="53" t="s">
        <v>112</v>
      </c>
      <c r="AF28" s="53" t="s">
        <v>112</v>
      </c>
      <c r="AG28" s="53">
        <v>0</v>
      </c>
      <c r="AH28" s="53" t="s">
        <v>112</v>
      </c>
      <c r="AI28" s="53" t="s">
        <v>112</v>
      </c>
      <c r="AJ28" s="53">
        <v>0</v>
      </c>
      <c r="AK28" s="53" t="s">
        <v>112</v>
      </c>
      <c r="AL28" s="53" t="s">
        <v>112</v>
      </c>
      <c r="AM28" s="53" t="s">
        <v>112</v>
      </c>
      <c r="AN28" s="53">
        <v>0</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v>0</v>
      </c>
      <c r="BK28" s="53" t="s">
        <v>112</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v>1</v>
      </c>
      <c r="AA29" s="53" t="s">
        <v>112</v>
      </c>
      <c r="AB29" s="53" t="s">
        <v>112</v>
      </c>
      <c r="AC29" s="53">
        <v>4</v>
      </c>
      <c r="AD29" s="53" t="s">
        <v>112</v>
      </c>
      <c r="AE29" s="53" t="s">
        <v>112</v>
      </c>
      <c r="AF29" s="53" t="s">
        <v>112</v>
      </c>
      <c r="AG29" s="53">
        <v>0</v>
      </c>
      <c r="AH29" s="53" t="s">
        <v>112</v>
      </c>
      <c r="AI29" s="53" t="s">
        <v>112</v>
      </c>
      <c r="AJ29" s="53">
        <v>1</v>
      </c>
      <c r="AK29" s="53" t="s">
        <v>112</v>
      </c>
      <c r="AL29" s="53" t="s">
        <v>112</v>
      </c>
      <c r="AM29" s="53" t="s">
        <v>112</v>
      </c>
      <c r="AN29" s="53">
        <v>1</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v>3</v>
      </c>
      <c r="BJ29" s="53">
        <v>0</v>
      </c>
      <c r="BK29" s="53" t="s">
        <v>112</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v>0</v>
      </c>
      <c r="AA30" s="53" t="s">
        <v>112</v>
      </c>
      <c r="AB30" s="53" t="s">
        <v>112</v>
      </c>
      <c r="AC30" s="53">
        <v>3</v>
      </c>
      <c r="AD30" s="53" t="s">
        <v>112</v>
      </c>
      <c r="AE30" s="53" t="s">
        <v>112</v>
      </c>
      <c r="AF30" s="53" t="s">
        <v>112</v>
      </c>
      <c r="AG30" s="53">
        <v>0</v>
      </c>
      <c r="AH30" s="53" t="s">
        <v>112</v>
      </c>
      <c r="AI30" s="53" t="s">
        <v>112</v>
      </c>
      <c r="AJ30" s="53">
        <v>0</v>
      </c>
      <c r="AK30" s="53" t="s">
        <v>112</v>
      </c>
      <c r="AL30" s="53" t="s">
        <v>112</v>
      </c>
      <c r="AM30" s="53" t="s">
        <v>112</v>
      </c>
      <c r="AN30" s="53">
        <v>0</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v>2</v>
      </c>
      <c r="BJ30" s="53">
        <v>0</v>
      </c>
      <c r="BK30" s="53" t="s">
        <v>112</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v>2</v>
      </c>
      <c r="AA31" s="53" t="s">
        <v>112</v>
      </c>
      <c r="AB31" s="53" t="s">
        <v>112</v>
      </c>
      <c r="AC31" s="53">
        <v>7</v>
      </c>
      <c r="AD31" s="53" t="s">
        <v>112</v>
      </c>
      <c r="AE31" s="53" t="s">
        <v>112</v>
      </c>
      <c r="AF31" s="53" t="s">
        <v>112</v>
      </c>
      <c r="AG31" s="53">
        <v>0</v>
      </c>
      <c r="AH31" s="53" t="s">
        <v>112</v>
      </c>
      <c r="AI31" s="53" t="s">
        <v>112</v>
      </c>
      <c r="AJ31" s="53">
        <v>3</v>
      </c>
      <c r="AK31" s="53" t="s">
        <v>112</v>
      </c>
      <c r="AL31" s="53" t="s">
        <v>112</v>
      </c>
      <c r="AM31" s="53" t="s">
        <v>112</v>
      </c>
      <c r="AN31" s="53">
        <v>0</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v>0</v>
      </c>
      <c r="BJ31" s="53">
        <v>0</v>
      </c>
      <c r="BK31" s="53" t="s">
        <v>112</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v>0</v>
      </c>
      <c r="AA32" s="53" t="s">
        <v>112</v>
      </c>
      <c r="AB32" s="53" t="s">
        <v>112</v>
      </c>
      <c r="AC32" s="53">
        <v>7</v>
      </c>
      <c r="AD32" s="53" t="s">
        <v>112</v>
      </c>
      <c r="AE32" s="53" t="s">
        <v>112</v>
      </c>
      <c r="AF32" s="53" t="s">
        <v>112</v>
      </c>
      <c r="AG32" s="53">
        <v>0</v>
      </c>
      <c r="AH32" s="53" t="s">
        <v>112</v>
      </c>
      <c r="AI32" s="53" t="s">
        <v>112</v>
      </c>
      <c r="AJ32" s="53">
        <v>0</v>
      </c>
      <c r="AK32" s="53" t="s">
        <v>112</v>
      </c>
      <c r="AL32" s="53" t="s">
        <v>112</v>
      </c>
      <c r="AM32" s="53" t="s">
        <v>112</v>
      </c>
      <c r="AN32" s="53">
        <v>0</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v>4</v>
      </c>
      <c r="BJ32" s="53">
        <v>0</v>
      </c>
      <c r="BK32" s="53" t="s">
        <v>112</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v>0</v>
      </c>
      <c r="AA33" s="53" t="s">
        <v>112</v>
      </c>
      <c r="AB33" s="53" t="s">
        <v>112</v>
      </c>
      <c r="AC33" s="53">
        <v>3</v>
      </c>
      <c r="AD33" s="53" t="s">
        <v>112</v>
      </c>
      <c r="AE33" s="53" t="s">
        <v>112</v>
      </c>
      <c r="AF33" s="53" t="s">
        <v>112</v>
      </c>
      <c r="AG33" s="53">
        <v>0</v>
      </c>
      <c r="AH33" s="53" t="s">
        <v>112</v>
      </c>
      <c r="AI33" s="53" t="s">
        <v>112</v>
      </c>
      <c r="AJ33" s="53">
        <v>0</v>
      </c>
      <c r="AK33" s="53" t="s">
        <v>112</v>
      </c>
      <c r="AL33" s="53" t="s">
        <v>112</v>
      </c>
      <c r="AM33" s="53" t="s">
        <v>112</v>
      </c>
      <c r="AN33" s="53">
        <v>0</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v>1</v>
      </c>
      <c r="BJ33" s="53">
        <v>2</v>
      </c>
      <c r="BK33" s="53" t="s">
        <v>112</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v>0</v>
      </c>
      <c r="AA34" s="53" t="s">
        <v>112</v>
      </c>
      <c r="AB34" s="53" t="s">
        <v>112</v>
      </c>
      <c r="AC34" s="53">
        <v>2</v>
      </c>
      <c r="AD34" s="53" t="s">
        <v>112</v>
      </c>
      <c r="AE34" s="53" t="s">
        <v>112</v>
      </c>
      <c r="AF34" s="53" t="s">
        <v>112</v>
      </c>
      <c r="AG34" s="53">
        <v>0</v>
      </c>
      <c r="AH34" s="53" t="s">
        <v>112</v>
      </c>
      <c r="AI34" s="53" t="s">
        <v>112</v>
      </c>
      <c r="AJ34" s="53">
        <v>0</v>
      </c>
      <c r="AK34" s="53" t="s">
        <v>112</v>
      </c>
      <c r="AL34" s="53" t="s">
        <v>112</v>
      </c>
      <c r="AM34" s="53" t="s">
        <v>112</v>
      </c>
      <c r="AN34" s="53">
        <v>0</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v>5</v>
      </c>
      <c r="BJ34" s="53">
        <v>0</v>
      </c>
      <c r="BK34" s="53" t="s">
        <v>112</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v>0</v>
      </c>
      <c r="AA35" s="53" t="s">
        <v>112</v>
      </c>
      <c r="AB35" s="53" t="s">
        <v>112</v>
      </c>
      <c r="AC35" s="53">
        <v>2</v>
      </c>
      <c r="AD35" s="53" t="s">
        <v>112</v>
      </c>
      <c r="AE35" s="53" t="s">
        <v>112</v>
      </c>
      <c r="AF35" s="53" t="s">
        <v>112</v>
      </c>
      <c r="AG35" s="53">
        <v>0</v>
      </c>
      <c r="AH35" s="53" t="s">
        <v>112</v>
      </c>
      <c r="AI35" s="53" t="s">
        <v>112</v>
      </c>
      <c r="AJ35" s="53">
        <v>0</v>
      </c>
      <c r="AK35" s="53" t="s">
        <v>112</v>
      </c>
      <c r="AL35" s="53" t="s">
        <v>112</v>
      </c>
      <c r="AM35" s="53" t="s">
        <v>112</v>
      </c>
      <c r="AN35" s="53">
        <v>0</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v>4</v>
      </c>
      <c r="BJ35" s="53">
        <v>0</v>
      </c>
      <c r="BK35" s="53" t="s">
        <v>112</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v>0</v>
      </c>
      <c r="AA36" s="53" t="s">
        <v>112</v>
      </c>
      <c r="AB36" s="53" t="s">
        <v>112</v>
      </c>
      <c r="AC36" s="53">
        <v>3</v>
      </c>
      <c r="AD36" s="53" t="s">
        <v>112</v>
      </c>
      <c r="AE36" s="53" t="s">
        <v>112</v>
      </c>
      <c r="AF36" s="53" t="s">
        <v>112</v>
      </c>
      <c r="AG36" s="53">
        <v>0</v>
      </c>
      <c r="AH36" s="53" t="s">
        <v>112</v>
      </c>
      <c r="AI36" s="53" t="s">
        <v>112</v>
      </c>
      <c r="AJ36" s="53">
        <v>0</v>
      </c>
      <c r="AK36" s="53" t="s">
        <v>112</v>
      </c>
      <c r="AL36" s="53" t="s">
        <v>112</v>
      </c>
      <c r="AM36" s="53" t="s">
        <v>112</v>
      </c>
      <c r="AN36" s="53">
        <v>1</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v>2</v>
      </c>
      <c r="BJ36" s="53">
        <v>1</v>
      </c>
      <c r="BK36" s="53" t="s">
        <v>112</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A153E-35E9-4CDF-BE57-848FFDA9A30D}">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v>0</v>
      </c>
      <c r="AA15" s="53" t="s">
        <v>112</v>
      </c>
      <c r="AB15" s="53" t="s">
        <v>112</v>
      </c>
      <c r="AC15" s="53">
        <v>0</v>
      </c>
      <c r="AD15" s="53" t="s">
        <v>112</v>
      </c>
      <c r="AE15" s="53" t="s">
        <v>112</v>
      </c>
      <c r="AF15" s="53" t="s">
        <v>112</v>
      </c>
      <c r="AG15" s="53">
        <v>0</v>
      </c>
      <c r="AH15" s="53" t="s">
        <v>112</v>
      </c>
      <c r="AI15" s="53" t="s">
        <v>112</v>
      </c>
      <c r="AJ15" s="53">
        <v>0</v>
      </c>
      <c r="AK15" s="53" t="s">
        <v>112</v>
      </c>
      <c r="AL15" s="53" t="s">
        <v>112</v>
      </c>
      <c r="AM15" s="53" t="s">
        <v>112</v>
      </c>
      <c r="AN15" s="53">
        <v>0</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v>0</v>
      </c>
      <c r="BJ15" s="53">
        <v>0</v>
      </c>
      <c r="BK15" s="53" t="s">
        <v>112</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v>0</v>
      </c>
      <c r="AA16" s="53" t="s">
        <v>112</v>
      </c>
      <c r="AB16" s="53" t="s">
        <v>112</v>
      </c>
      <c r="AC16" s="53">
        <v>1</v>
      </c>
      <c r="AD16" s="53" t="s">
        <v>112</v>
      </c>
      <c r="AE16" s="53" t="s">
        <v>112</v>
      </c>
      <c r="AF16" s="53" t="s">
        <v>112</v>
      </c>
      <c r="AG16" s="53">
        <v>0</v>
      </c>
      <c r="AH16" s="53" t="s">
        <v>112</v>
      </c>
      <c r="AI16" s="53" t="s">
        <v>112</v>
      </c>
      <c r="AJ16" s="53">
        <v>0</v>
      </c>
      <c r="AK16" s="53" t="s">
        <v>112</v>
      </c>
      <c r="AL16" s="53" t="s">
        <v>112</v>
      </c>
      <c r="AM16" s="53" t="s">
        <v>112</v>
      </c>
      <c r="AN16" s="53">
        <v>1</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v>1</v>
      </c>
      <c r="BJ16" s="53">
        <v>0</v>
      </c>
      <c r="BK16" s="53" t="s">
        <v>112</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v>0</v>
      </c>
      <c r="AA17" s="53" t="s">
        <v>112</v>
      </c>
      <c r="AB17" s="53" t="s">
        <v>112</v>
      </c>
      <c r="AC17" s="53">
        <v>1</v>
      </c>
      <c r="AD17" s="53" t="s">
        <v>112</v>
      </c>
      <c r="AE17" s="53" t="s">
        <v>112</v>
      </c>
      <c r="AF17" s="53" t="s">
        <v>112</v>
      </c>
      <c r="AG17" s="53">
        <v>0</v>
      </c>
      <c r="AH17" s="53" t="s">
        <v>112</v>
      </c>
      <c r="AI17" s="53" t="s">
        <v>112</v>
      </c>
      <c r="AJ17" s="53">
        <v>0</v>
      </c>
      <c r="AK17" s="53" t="s">
        <v>112</v>
      </c>
      <c r="AL17" s="53" t="s">
        <v>112</v>
      </c>
      <c r="AM17" s="53" t="s">
        <v>112</v>
      </c>
      <c r="AN17" s="53">
        <v>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v>0</v>
      </c>
      <c r="BJ17" s="53">
        <v>0</v>
      </c>
      <c r="BK17" s="53" t="s">
        <v>112</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v>0</v>
      </c>
      <c r="AA18" s="53" t="s">
        <v>112</v>
      </c>
      <c r="AB18" s="53" t="s">
        <v>112</v>
      </c>
      <c r="AC18" s="53">
        <v>1</v>
      </c>
      <c r="AD18" s="53" t="s">
        <v>112</v>
      </c>
      <c r="AE18" s="53" t="s">
        <v>112</v>
      </c>
      <c r="AF18" s="53" t="s">
        <v>112</v>
      </c>
      <c r="AG18" s="53">
        <v>0</v>
      </c>
      <c r="AH18" s="53" t="s">
        <v>112</v>
      </c>
      <c r="AI18" s="53" t="s">
        <v>112</v>
      </c>
      <c r="AJ18" s="53">
        <v>0</v>
      </c>
      <c r="AK18" s="53" t="s">
        <v>112</v>
      </c>
      <c r="AL18" s="53" t="s">
        <v>112</v>
      </c>
      <c r="AM18" s="53" t="s">
        <v>112</v>
      </c>
      <c r="AN18" s="53">
        <v>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v>3</v>
      </c>
      <c r="BJ18" s="53">
        <v>0</v>
      </c>
      <c r="BK18" s="53" t="s">
        <v>112</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v>0</v>
      </c>
      <c r="AA19" s="53" t="s">
        <v>112</v>
      </c>
      <c r="AB19" s="53" t="s">
        <v>112</v>
      </c>
      <c r="AC19" s="53">
        <v>1</v>
      </c>
      <c r="AD19" s="53" t="s">
        <v>112</v>
      </c>
      <c r="AE19" s="53" t="s">
        <v>112</v>
      </c>
      <c r="AF19" s="53" t="s">
        <v>112</v>
      </c>
      <c r="AG19" s="53">
        <v>0</v>
      </c>
      <c r="AH19" s="53" t="s">
        <v>112</v>
      </c>
      <c r="AI19" s="53" t="s">
        <v>112</v>
      </c>
      <c r="AJ19" s="53">
        <v>1</v>
      </c>
      <c r="AK19" s="53" t="s">
        <v>112</v>
      </c>
      <c r="AL19" s="53" t="s">
        <v>112</v>
      </c>
      <c r="AM19" s="53" t="s">
        <v>112</v>
      </c>
      <c r="AN19" s="53">
        <v>0</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v>3</v>
      </c>
      <c r="BJ19" s="53">
        <v>0</v>
      </c>
      <c r="BK19" s="53" t="s">
        <v>112</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v>1</v>
      </c>
      <c r="AA20" s="53" t="s">
        <v>112</v>
      </c>
      <c r="AB20" s="53" t="s">
        <v>112</v>
      </c>
      <c r="AC20" s="53">
        <v>1</v>
      </c>
      <c r="AD20" s="53" t="s">
        <v>112</v>
      </c>
      <c r="AE20" s="53" t="s">
        <v>112</v>
      </c>
      <c r="AF20" s="53" t="s">
        <v>112</v>
      </c>
      <c r="AG20" s="53">
        <v>0</v>
      </c>
      <c r="AH20" s="53" t="s">
        <v>112</v>
      </c>
      <c r="AI20" s="53" t="s">
        <v>112</v>
      </c>
      <c r="AJ20" s="53">
        <v>0</v>
      </c>
      <c r="AK20" s="53" t="s">
        <v>112</v>
      </c>
      <c r="AL20" s="53" t="s">
        <v>112</v>
      </c>
      <c r="AM20" s="53" t="s">
        <v>112</v>
      </c>
      <c r="AN20" s="53">
        <v>0</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v>3</v>
      </c>
      <c r="BJ20" s="53">
        <v>0</v>
      </c>
      <c r="BK20" s="53" t="s">
        <v>112</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v>2</v>
      </c>
      <c r="AA21" s="53" t="s">
        <v>112</v>
      </c>
      <c r="AB21" s="53" t="s">
        <v>112</v>
      </c>
      <c r="AC21" s="53">
        <v>0</v>
      </c>
      <c r="AD21" s="53" t="s">
        <v>112</v>
      </c>
      <c r="AE21" s="53" t="s">
        <v>112</v>
      </c>
      <c r="AF21" s="53" t="s">
        <v>112</v>
      </c>
      <c r="AG21" s="53">
        <v>0</v>
      </c>
      <c r="AH21" s="53" t="s">
        <v>112</v>
      </c>
      <c r="AI21" s="53" t="s">
        <v>112</v>
      </c>
      <c r="AJ21" s="53">
        <v>1</v>
      </c>
      <c r="AK21" s="53" t="s">
        <v>112</v>
      </c>
      <c r="AL21" s="53" t="s">
        <v>112</v>
      </c>
      <c r="AM21" s="53" t="s">
        <v>112</v>
      </c>
      <c r="AN21" s="53">
        <v>0</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v>0</v>
      </c>
      <c r="BJ21" s="53">
        <v>0</v>
      </c>
      <c r="BK21" s="53" t="s">
        <v>112</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v>0</v>
      </c>
      <c r="AA22" s="53" t="s">
        <v>112</v>
      </c>
      <c r="AB22" s="53" t="s">
        <v>112</v>
      </c>
      <c r="AC22" s="53">
        <v>1</v>
      </c>
      <c r="AD22" s="53" t="s">
        <v>112</v>
      </c>
      <c r="AE22" s="53" t="s">
        <v>112</v>
      </c>
      <c r="AF22" s="53" t="s">
        <v>112</v>
      </c>
      <c r="AG22" s="53">
        <v>0</v>
      </c>
      <c r="AH22" s="53" t="s">
        <v>112</v>
      </c>
      <c r="AI22" s="53" t="s">
        <v>112</v>
      </c>
      <c r="AJ22" s="53">
        <v>0</v>
      </c>
      <c r="AK22" s="53" t="s">
        <v>112</v>
      </c>
      <c r="AL22" s="53" t="s">
        <v>112</v>
      </c>
      <c r="AM22" s="53" t="s">
        <v>112</v>
      </c>
      <c r="AN22" s="53">
        <v>0</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v>0</v>
      </c>
      <c r="BJ22" s="53">
        <v>0</v>
      </c>
      <c r="BK22" s="53" t="s">
        <v>112</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v>0</v>
      </c>
      <c r="AA23" s="53" t="s">
        <v>112</v>
      </c>
      <c r="AB23" s="53" t="s">
        <v>112</v>
      </c>
      <c r="AC23" s="53">
        <v>0</v>
      </c>
      <c r="AD23" s="53" t="s">
        <v>112</v>
      </c>
      <c r="AE23" s="53" t="s">
        <v>112</v>
      </c>
      <c r="AF23" s="53" t="s">
        <v>112</v>
      </c>
      <c r="AG23" s="53">
        <v>0</v>
      </c>
      <c r="AH23" s="53" t="s">
        <v>112</v>
      </c>
      <c r="AI23" s="53" t="s">
        <v>112</v>
      </c>
      <c r="AJ23" s="53">
        <v>0</v>
      </c>
      <c r="AK23" s="53" t="s">
        <v>112</v>
      </c>
      <c r="AL23" s="53" t="s">
        <v>112</v>
      </c>
      <c r="AM23" s="53" t="s">
        <v>112</v>
      </c>
      <c r="AN23" s="53">
        <v>0</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v>0</v>
      </c>
      <c r="BK23" s="53" t="s">
        <v>112</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v>0</v>
      </c>
      <c r="AA24" s="53" t="s">
        <v>112</v>
      </c>
      <c r="AB24" s="53" t="s">
        <v>112</v>
      </c>
      <c r="AC24" s="53">
        <v>2</v>
      </c>
      <c r="AD24" s="53" t="s">
        <v>112</v>
      </c>
      <c r="AE24" s="53" t="s">
        <v>112</v>
      </c>
      <c r="AF24" s="53" t="s">
        <v>112</v>
      </c>
      <c r="AG24" s="53">
        <v>0</v>
      </c>
      <c r="AH24" s="53" t="s">
        <v>112</v>
      </c>
      <c r="AI24" s="53" t="s">
        <v>112</v>
      </c>
      <c r="AJ24" s="53">
        <v>0</v>
      </c>
      <c r="AK24" s="53" t="s">
        <v>112</v>
      </c>
      <c r="AL24" s="53" t="s">
        <v>112</v>
      </c>
      <c r="AM24" s="53" t="s">
        <v>112</v>
      </c>
      <c r="AN24" s="53">
        <v>0</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v>0</v>
      </c>
      <c r="BJ24" s="53">
        <v>0</v>
      </c>
      <c r="BK24" s="53" t="s">
        <v>112</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v>0</v>
      </c>
      <c r="AA25" s="53" t="s">
        <v>112</v>
      </c>
      <c r="AB25" s="53" t="s">
        <v>112</v>
      </c>
      <c r="AC25" s="53">
        <v>0</v>
      </c>
      <c r="AD25" s="53" t="s">
        <v>112</v>
      </c>
      <c r="AE25" s="53" t="s">
        <v>112</v>
      </c>
      <c r="AF25" s="53" t="s">
        <v>112</v>
      </c>
      <c r="AG25" s="53">
        <v>0</v>
      </c>
      <c r="AH25" s="53" t="s">
        <v>112</v>
      </c>
      <c r="AI25" s="53" t="s">
        <v>112</v>
      </c>
      <c r="AJ25" s="53">
        <v>0</v>
      </c>
      <c r="AK25" s="53" t="s">
        <v>112</v>
      </c>
      <c r="AL25" s="53" t="s">
        <v>112</v>
      </c>
      <c r="AM25" s="53" t="s">
        <v>112</v>
      </c>
      <c r="AN25" s="53">
        <v>0</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v>0</v>
      </c>
      <c r="BJ25" s="53">
        <v>0</v>
      </c>
      <c r="BK25" s="53" t="s">
        <v>112</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v>0</v>
      </c>
      <c r="AA26" s="53" t="s">
        <v>112</v>
      </c>
      <c r="AB26" s="53" t="s">
        <v>112</v>
      </c>
      <c r="AC26" s="53">
        <v>2</v>
      </c>
      <c r="AD26" s="53" t="s">
        <v>112</v>
      </c>
      <c r="AE26" s="53" t="s">
        <v>112</v>
      </c>
      <c r="AF26" s="53" t="s">
        <v>112</v>
      </c>
      <c r="AG26" s="53">
        <v>0</v>
      </c>
      <c r="AH26" s="53" t="s">
        <v>112</v>
      </c>
      <c r="AI26" s="53" t="s">
        <v>112</v>
      </c>
      <c r="AJ26" s="53">
        <v>0</v>
      </c>
      <c r="AK26" s="53" t="s">
        <v>112</v>
      </c>
      <c r="AL26" s="53" t="s">
        <v>112</v>
      </c>
      <c r="AM26" s="53" t="s">
        <v>112</v>
      </c>
      <c r="AN26" s="53">
        <v>0</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v>0</v>
      </c>
      <c r="BJ26" s="53">
        <v>0</v>
      </c>
      <c r="BK26" s="53" t="s">
        <v>112</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v>0</v>
      </c>
      <c r="AA27" s="53" t="s">
        <v>112</v>
      </c>
      <c r="AB27" s="53" t="s">
        <v>112</v>
      </c>
      <c r="AC27" s="53">
        <v>0</v>
      </c>
      <c r="AD27" s="53" t="s">
        <v>112</v>
      </c>
      <c r="AE27" s="53" t="s">
        <v>112</v>
      </c>
      <c r="AF27" s="53" t="s">
        <v>112</v>
      </c>
      <c r="AG27" s="53">
        <v>0</v>
      </c>
      <c r="AH27" s="53" t="s">
        <v>112</v>
      </c>
      <c r="AI27" s="53" t="s">
        <v>112</v>
      </c>
      <c r="AJ27" s="53">
        <v>0</v>
      </c>
      <c r="AK27" s="53" t="s">
        <v>112</v>
      </c>
      <c r="AL27" s="53" t="s">
        <v>112</v>
      </c>
      <c r="AM27" s="53" t="s">
        <v>112</v>
      </c>
      <c r="AN27" s="53">
        <v>0</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v>0</v>
      </c>
      <c r="BJ27" s="53">
        <v>0</v>
      </c>
      <c r="BK27" s="53" t="s">
        <v>112</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v>0</v>
      </c>
      <c r="AA28" s="53" t="s">
        <v>112</v>
      </c>
      <c r="AB28" s="53" t="s">
        <v>112</v>
      </c>
      <c r="AC28" s="53">
        <v>0</v>
      </c>
      <c r="AD28" s="53" t="s">
        <v>112</v>
      </c>
      <c r="AE28" s="53" t="s">
        <v>112</v>
      </c>
      <c r="AF28" s="53" t="s">
        <v>112</v>
      </c>
      <c r="AG28" s="53">
        <v>0</v>
      </c>
      <c r="AH28" s="53" t="s">
        <v>112</v>
      </c>
      <c r="AI28" s="53" t="s">
        <v>112</v>
      </c>
      <c r="AJ28" s="53">
        <v>0</v>
      </c>
      <c r="AK28" s="53" t="s">
        <v>112</v>
      </c>
      <c r="AL28" s="53" t="s">
        <v>112</v>
      </c>
      <c r="AM28" s="53" t="s">
        <v>112</v>
      </c>
      <c r="AN28" s="53">
        <v>0</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v>0</v>
      </c>
      <c r="BK28" s="53" t="s">
        <v>112</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v>1</v>
      </c>
      <c r="AA29" s="53" t="s">
        <v>112</v>
      </c>
      <c r="AB29" s="53" t="s">
        <v>112</v>
      </c>
      <c r="AC29" s="53">
        <v>0</v>
      </c>
      <c r="AD29" s="53" t="s">
        <v>112</v>
      </c>
      <c r="AE29" s="53" t="s">
        <v>112</v>
      </c>
      <c r="AF29" s="53" t="s">
        <v>112</v>
      </c>
      <c r="AG29" s="53">
        <v>0</v>
      </c>
      <c r="AH29" s="53" t="s">
        <v>112</v>
      </c>
      <c r="AI29" s="53" t="s">
        <v>112</v>
      </c>
      <c r="AJ29" s="53">
        <v>0</v>
      </c>
      <c r="AK29" s="53" t="s">
        <v>112</v>
      </c>
      <c r="AL29" s="53" t="s">
        <v>112</v>
      </c>
      <c r="AM29" s="53" t="s">
        <v>112</v>
      </c>
      <c r="AN29" s="53">
        <v>0</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v>0</v>
      </c>
      <c r="BJ29" s="53">
        <v>0</v>
      </c>
      <c r="BK29" s="53" t="s">
        <v>112</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v>0</v>
      </c>
      <c r="AA30" s="53" t="s">
        <v>112</v>
      </c>
      <c r="AB30" s="53" t="s">
        <v>112</v>
      </c>
      <c r="AC30" s="53">
        <v>0</v>
      </c>
      <c r="AD30" s="53" t="s">
        <v>112</v>
      </c>
      <c r="AE30" s="53" t="s">
        <v>112</v>
      </c>
      <c r="AF30" s="53" t="s">
        <v>112</v>
      </c>
      <c r="AG30" s="53">
        <v>0</v>
      </c>
      <c r="AH30" s="53" t="s">
        <v>112</v>
      </c>
      <c r="AI30" s="53" t="s">
        <v>112</v>
      </c>
      <c r="AJ30" s="53">
        <v>0</v>
      </c>
      <c r="AK30" s="53" t="s">
        <v>112</v>
      </c>
      <c r="AL30" s="53" t="s">
        <v>112</v>
      </c>
      <c r="AM30" s="53" t="s">
        <v>112</v>
      </c>
      <c r="AN30" s="53">
        <v>0</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v>1</v>
      </c>
      <c r="BJ30" s="53">
        <v>1</v>
      </c>
      <c r="BK30" s="53" t="s">
        <v>112</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v>1</v>
      </c>
      <c r="AA31" s="53" t="s">
        <v>112</v>
      </c>
      <c r="AB31" s="53" t="s">
        <v>112</v>
      </c>
      <c r="AC31" s="53">
        <v>3</v>
      </c>
      <c r="AD31" s="53" t="s">
        <v>112</v>
      </c>
      <c r="AE31" s="53" t="s">
        <v>112</v>
      </c>
      <c r="AF31" s="53" t="s">
        <v>112</v>
      </c>
      <c r="AG31" s="53">
        <v>0</v>
      </c>
      <c r="AH31" s="53" t="s">
        <v>112</v>
      </c>
      <c r="AI31" s="53" t="s">
        <v>112</v>
      </c>
      <c r="AJ31" s="53">
        <v>0</v>
      </c>
      <c r="AK31" s="53" t="s">
        <v>112</v>
      </c>
      <c r="AL31" s="53" t="s">
        <v>112</v>
      </c>
      <c r="AM31" s="53" t="s">
        <v>112</v>
      </c>
      <c r="AN31" s="53">
        <v>0</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v>1</v>
      </c>
      <c r="BJ31" s="53">
        <v>0</v>
      </c>
      <c r="BK31" s="53" t="s">
        <v>112</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v>0</v>
      </c>
      <c r="AA32" s="53" t="s">
        <v>112</v>
      </c>
      <c r="AB32" s="53" t="s">
        <v>112</v>
      </c>
      <c r="AC32" s="53">
        <v>0</v>
      </c>
      <c r="AD32" s="53" t="s">
        <v>112</v>
      </c>
      <c r="AE32" s="53" t="s">
        <v>112</v>
      </c>
      <c r="AF32" s="53" t="s">
        <v>112</v>
      </c>
      <c r="AG32" s="53">
        <v>0</v>
      </c>
      <c r="AH32" s="53" t="s">
        <v>112</v>
      </c>
      <c r="AI32" s="53" t="s">
        <v>112</v>
      </c>
      <c r="AJ32" s="53">
        <v>0</v>
      </c>
      <c r="AK32" s="53" t="s">
        <v>112</v>
      </c>
      <c r="AL32" s="53" t="s">
        <v>112</v>
      </c>
      <c r="AM32" s="53" t="s">
        <v>112</v>
      </c>
      <c r="AN32" s="53">
        <v>0</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v>0</v>
      </c>
      <c r="BJ32" s="53">
        <v>0</v>
      </c>
      <c r="BK32" s="53" t="s">
        <v>112</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v>0</v>
      </c>
      <c r="AA33" s="53" t="s">
        <v>112</v>
      </c>
      <c r="AB33" s="53" t="s">
        <v>112</v>
      </c>
      <c r="AC33" s="53">
        <v>0</v>
      </c>
      <c r="AD33" s="53" t="s">
        <v>112</v>
      </c>
      <c r="AE33" s="53" t="s">
        <v>112</v>
      </c>
      <c r="AF33" s="53" t="s">
        <v>112</v>
      </c>
      <c r="AG33" s="53">
        <v>0</v>
      </c>
      <c r="AH33" s="53" t="s">
        <v>112</v>
      </c>
      <c r="AI33" s="53" t="s">
        <v>112</v>
      </c>
      <c r="AJ33" s="53">
        <v>0</v>
      </c>
      <c r="AK33" s="53" t="s">
        <v>112</v>
      </c>
      <c r="AL33" s="53" t="s">
        <v>112</v>
      </c>
      <c r="AM33" s="53" t="s">
        <v>112</v>
      </c>
      <c r="AN33" s="53">
        <v>1</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v>1</v>
      </c>
      <c r="BJ33" s="53">
        <v>1</v>
      </c>
      <c r="BK33" s="53" t="s">
        <v>112</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v>0</v>
      </c>
      <c r="AA34" s="53" t="s">
        <v>112</v>
      </c>
      <c r="AB34" s="53" t="s">
        <v>112</v>
      </c>
      <c r="AC34" s="53">
        <v>4</v>
      </c>
      <c r="AD34" s="53" t="s">
        <v>112</v>
      </c>
      <c r="AE34" s="53" t="s">
        <v>112</v>
      </c>
      <c r="AF34" s="53" t="s">
        <v>112</v>
      </c>
      <c r="AG34" s="53">
        <v>0</v>
      </c>
      <c r="AH34" s="53" t="s">
        <v>112</v>
      </c>
      <c r="AI34" s="53" t="s">
        <v>112</v>
      </c>
      <c r="AJ34" s="53">
        <v>0</v>
      </c>
      <c r="AK34" s="53" t="s">
        <v>112</v>
      </c>
      <c r="AL34" s="53" t="s">
        <v>112</v>
      </c>
      <c r="AM34" s="53" t="s">
        <v>112</v>
      </c>
      <c r="AN34" s="53">
        <v>0</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v>2</v>
      </c>
      <c r="BJ34" s="53">
        <v>1</v>
      </c>
      <c r="BK34" s="53" t="s">
        <v>112</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v>1</v>
      </c>
      <c r="AA35" s="53" t="s">
        <v>112</v>
      </c>
      <c r="AB35" s="53" t="s">
        <v>112</v>
      </c>
      <c r="AC35" s="53">
        <v>3</v>
      </c>
      <c r="AD35" s="53" t="s">
        <v>112</v>
      </c>
      <c r="AE35" s="53" t="s">
        <v>112</v>
      </c>
      <c r="AF35" s="53" t="s">
        <v>112</v>
      </c>
      <c r="AG35" s="53">
        <v>0</v>
      </c>
      <c r="AH35" s="53" t="s">
        <v>112</v>
      </c>
      <c r="AI35" s="53" t="s">
        <v>112</v>
      </c>
      <c r="AJ35" s="53">
        <v>0</v>
      </c>
      <c r="AK35" s="53" t="s">
        <v>112</v>
      </c>
      <c r="AL35" s="53" t="s">
        <v>112</v>
      </c>
      <c r="AM35" s="53" t="s">
        <v>112</v>
      </c>
      <c r="AN35" s="53">
        <v>1</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v>0</v>
      </c>
      <c r="BJ35" s="53">
        <v>0</v>
      </c>
      <c r="BK35" s="53" t="s">
        <v>112</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v>0</v>
      </c>
      <c r="AA36" s="53" t="s">
        <v>112</v>
      </c>
      <c r="AB36" s="53" t="s">
        <v>112</v>
      </c>
      <c r="AC36" s="53">
        <v>2</v>
      </c>
      <c r="AD36" s="53" t="s">
        <v>112</v>
      </c>
      <c r="AE36" s="53" t="s">
        <v>112</v>
      </c>
      <c r="AF36" s="53" t="s">
        <v>112</v>
      </c>
      <c r="AG36" s="53">
        <v>0</v>
      </c>
      <c r="AH36" s="53" t="s">
        <v>112</v>
      </c>
      <c r="AI36" s="53" t="s">
        <v>112</v>
      </c>
      <c r="AJ36" s="53">
        <v>0</v>
      </c>
      <c r="AK36" s="53" t="s">
        <v>112</v>
      </c>
      <c r="AL36" s="53" t="s">
        <v>112</v>
      </c>
      <c r="AM36" s="53" t="s">
        <v>112</v>
      </c>
      <c r="AN36" s="53">
        <v>0</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v>0</v>
      </c>
      <c r="BJ36" s="53">
        <v>0</v>
      </c>
      <c r="BK36" s="53" t="s">
        <v>112</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CC0C5-EAFE-468D-81D3-04261DB55376}">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v>17</v>
      </c>
      <c r="AA15" s="53" t="s">
        <v>112</v>
      </c>
      <c r="AB15" s="53" t="s">
        <v>112</v>
      </c>
      <c r="AC15" s="53">
        <v>44</v>
      </c>
      <c r="AD15" s="53" t="s">
        <v>112</v>
      </c>
      <c r="AE15" s="53" t="s">
        <v>112</v>
      </c>
      <c r="AF15" s="53" t="s">
        <v>112</v>
      </c>
      <c r="AG15" s="53">
        <v>0</v>
      </c>
      <c r="AH15" s="53" t="s">
        <v>112</v>
      </c>
      <c r="AI15" s="53" t="s">
        <v>112</v>
      </c>
      <c r="AJ15" s="53">
        <v>22</v>
      </c>
      <c r="AK15" s="53" t="s">
        <v>112</v>
      </c>
      <c r="AL15" s="53" t="s">
        <v>112</v>
      </c>
      <c r="AM15" s="53" t="s">
        <v>112</v>
      </c>
      <c r="AN15" s="53">
        <v>37</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v>54</v>
      </c>
      <c r="BJ15" s="53">
        <v>11</v>
      </c>
      <c r="BK15" s="53" t="s">
        <v>112</v>
      </c>
      <c r="BL15" s="53" t="s">
        <v>112</v>
      </c>
      <c r="BM15" s="53">
        <v>0</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v>22</v>
      </c>
      <c r="AA16" s="53" t="s">
        <v>112</v>
      </c>
      <c r="AB16" s="53" t="s">
        <v>112</v>
      </c>
      <c r="AC16" s="53">
        <v>61</v>
      </c>
      <c r="AD16" s="53" t="s">
        <v>112</v>
      </c>
      <c r="AE16" s="53" t="s">
        <v>112</v>
      </c>
      <c r="AF16" s="53" t="s">
        <v>112</v>
      </c>
      <c r="AG16" s="53">
        <v>0</v>
      </c>
      <c r="AH16" s="53" t="s">
        <v>112</v>
      </c>
      <c r="AI16" s="53" t="s">
        <v>112</v>
      </c>
      <c r="AJ16" s="53">
        <v>23</v>
      </c>
      <c r="AK16" s="53" t="s">
        <v>112</v>
      </c>
      <c r="AL16" s="53" t="s">
        <v>112</v>
      </c>
      <c r="AM16" s="53" t="s">
        <v>112</v>
      </c>
      <c r="AN16" s="53">
        <v>40</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v>66</v>
      </c>
      <c r="BJ16" s="53">
        <v>8</v>
      </c>
      <c r="BK16" s="53" t="s">
        <v>112</v>
      </c>
      <c r="BL16" s="53" t="s">
        <v>112</v>
      </c>
      <c r="BM16" s="53">
        <v>0</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v>27</v>
      </c>
      <c r="AA17" s="53" t="s">
        <v>112</v>
      </c>
      <c r="AB17" s="53" t="s">
        <v>112</v>
      </c>
      <c r="AC17" s="53">
        <v>76</v>
      </c>
      <c r="AD17" s="53" t="s">
        <v>112</v>
      </c>
      <c r="AE17" s="53" t="s">
        <v>112</v>
      </c>
      <c r="AF17" s="53" t="s">
        <v>112</v>
      </c>
      <c r="AG17" s="53">
        <v>0</v>
      </c>
      <c r="AH17" s="53" t="s">
        <v>112</v>
      </c>
      <c r="AI17" s="53" t="s">
        <v>112</v>
      </c>
      <c r="AJ17" s="53">
        <v>32</v>
      </c>
      <c r="AK17" s="53" t="s">
        <v>112</v>
      </c>
      <c r="AL17" s="53" t="s">
        <v>112</v>
      </c>
      <c r="AM17" s="53" t="s">
        <v>112</v>
      </c>
      <c r="AN17" s="53">
        <v>43</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v>83</v>
      </c>
      <c r="BJ17" s="53">
        <v>14</v>
      </c>
      <c r="BK17" s="53" t="s">
        <v>112</v>
      </c>
      <c r="BL17" s="53" t="s">
        <v>112</v>
      </c>
      <c r="BM17" s="53">
        <v>0</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v>26</v>
      </c>
      <c r="AA18" s="53" t="s">
        <v>112</v>
      </c>
      <c r="AB18" s="53" t="s">
        <v>112</v>
      </c>
      <c r="AC18" s="53">
        <v>59</v>
      </c>
      <c r="AD18" s="53" t="s">
        <v>112</v>
      </c>
      <c r="AE18" s="53" t="s">
        <v>112</v>
      </c>
      <c r="AF18" s="53" t="s">
        <v>112</v>
      </c>
      <c r="AG18" s="53">
        <v>0</v>
      </c>
      <c r="AH18" s="53" t="s">
        <v>112</v>
      </c>
      <c r="AI18" s="53" t="s">
        <v>112</v>
      </c>
      <c r="AJ18" s="53">
        <v>31</v>
      </c>
      <c r="AK18" s="53" t="s">
        <v>112</v>
      </c>
      <c r="AL18" s="53" t="s">
        <v>112</v>
      </c>
      <c r="AM18" s="53" t="s">
        <v>112</v>
      </c>
      <c r="AN18" s="53">
        <v>53</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v>92</v>
      </c>
      <c r="BJ18" s="53">
        <v>8</v>
      </c>
      <c r="BK18" s="53" t="s">
        <v>112</v>
      </c>
      <c r="BL18" s="53" t="s">
        <v>112</v>
      </c>
      <c r="BM18" s="53">
        <v>0</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v>24</v>
      </c>
      <c r="AA19" s="53" t="s">
        <v>112</v>
      </c>
      <c r="AB19" s="53" t="s">
        <v>112</v>
      </c>
      <c r="AC19" s="53">
        <v>59</v>
      </c>
      <c r="AD19" s="53" t="s">
        <v>112</v>
      </c>
      <c r="AE19" s="53" t="s">
        <v>112</v>
      </c>
      <c r="AF19" s="53" t="s">
        <v>112</v>
      </c>
      <c r="AG19" s="53">
        <v>0</v>
      </c>
      <c r="AH19" s="53" t="s">
        <v>112</v>
      </c>
      <c r="AI19" s="53" t="s">
        <v>112</v>
      </c>
      <c r="AJ19" s="53">
        <v>27</v>
      </c>
      <c r="AK19" s="53" t="s">
        <v>112</v>
      </c>
      <c r="AL19" s="53" t="s">
        <v>112</v>
      </c>
      <c r="AM19" s="53" t="s">
        <v>112</v>
      </c>
      <c r="AN19" s="53">
        <v>33</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v>72</v>
      </c>
      <c r="BJ19" s="53">
        <v>13</v>
      </c>
      <c r="BK19" s="53" t="s">
        <v>112</v>
      </c>
      <c r="BL19" s="53" t="s">
        <v>112</v>
      </c>
      <c r="BM19" s="53">
        <v>0</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v>27</v>
      </c>
      <c r="AA20" s="53" t="s">
        <v>112</v>
      </c>
      <c r="AB20" s="53" t="s">
        <v>112</v>
      </c>
      <c r="AC20" s="53">
        <v>74</v>
      </c>
      <c r="AD20" s="53" t="s">
        <v>112</v>
      </c>
      <c r="AE20" s="53" t="s">
        <v>112</v>
      </c>
      <c r="AF20" s="53" t="s">
        <v>112</v>
      </c>
      <c r="AG20" s="53">
        <v>0</v>
      </c>
      <c r="AH20" s="53" t="s">
        <v>112</v>
      </c>
      <c r="AI20" s="53" t="s">
        <v>112</v>
      </c>
      <c r="AJ20" s="53">
        <v>48</v>
      </c>
      <c r="AK20" s="53" t="s">
        <v>112</v>
      </c>
      <c r="AL20" s="53" t="s">
        <v>112</v>
      </c>
      <c r="AM20" s="53" t="s">
        <v>112</v>
      </c>
      <c r="AN20" s="53">
        <v>52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v>72</v>
      </c>
      <c r="BJ20" s="53">
        <v>18</v>
      </c>
      <c r="BK20" s="53" t="s">
        <v>112</v>
      </c>
      <c r="BL20" s="53" t="s">
        <v>112</v>
      </c>
      <c r="BM20" s="53">
        <v>0</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v>17</v>
      </c>
      <c r="AA21" s="53" t="s">
        <v>112</v>
      </c>
      <c r="AB21" s="53" t="s">
        <v>112</v>
      </c>
      <c r="AC21" s="53">
        <v>54</v>
      </c>
      <c r="AD21" s="53" t="s">
        <v>112</v>
      </c>
      <c r="AE21" s="53" t="s">
        <v>112</v>
      </c>
      <c r="AF21" s="53" t="s">
        <v>112</v>
      </c>
      <c r="AG21" s="53">
        <v>0</v>
      </c>
      <c r="AH21" s="53" t="s">
        <v>112</v>
      </c>
      <c r="AI21" s="53" t="s">
        <v>112</v>
      </c>
      <c r="AJ21" s="53">
        <v>57</v>
      </c>
      <c r="AK21" s="53" t="s">
        <v>112</v>
      </c>
      <c r="AL21" s="53" t="s">
        <v>112</v>
      </c>
      <c r="AM21" s="53" t="s">
        <v>112</v>
      </c>
      <c r="AN21" s="53">
        <v>30</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v>68</v>
      </c>
      <c r="BJ21" s="53">
        <v>12</v>
      </c>
      <c r="BK21" s="53" t="s">
        <v>112</v>
      </c>
      <c r="BL21" s="53" t="s">
        <v>112</v>
      </c>
      <c r="BM21" s="53">
        <v>0</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v>25</v>
      </c>
      <c r="AA22" s="53" t="s">
        <v>112</v>
      </c>
      <c r="AB22" s="53" t="s">
        <v>112</v>
      </c>
      <c r="AC22" s="53">
        <v>56</v>
      </c>
      <c r="AD22" s="53" t="s">
        <v>112</v>
      </c>
      <c r="AE22" s="53" t="s">
        <v>112</v>
      </c>
      <c r="AF22" s="53" t="s">
        <v>112</v>
      </c>
      <c r="AG22" s="53">
        <v>0</v>
      </c>
      <c r="AH22" s="53" t="s">
        <v>112</v>
      </c>
      <c r="AI22" s="53" t="s">
        <v>112</v>
      </c>
      <c r="AJ22" s="53">
        <v>39</v>
      </c>
      <c r="AK22" s="53" t="s">
        <v>112</v>
      </c>
      <c r="AL22" s="53" t="s">
        <v>112</v>
      </c>
      <c r="AM22" s="53" t="s">
        <v>112</v>
      </c>
      <c r="AN22" s="53">
        <v>33</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v>70</v>
      </c>
      <c r="BJ22" s="53">
        <v>11</v>
      </c>
      <c r="BK22" s="53" t="s">
        <v>112</v>
      </c>
      <c r="BL22" s="53" t="s">
        <v>112</v>
      </c>
      <c r="BM22" s="53">
        <v>0</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v>0</v>
      </c>
      <c r="AA23" s="53" t="s">
        <v>112</v>
      </c>
      <c r="AB23" s="53" t="s">
        <v>112</v>
      </c>
      <c r="AC23" s="53">
        <v>0</v>
      </c>
      <c r="AD23" s="53" t="s">
        <v>112</v>
      </c>
      <c r="AE23" s="53" t="s">
        <v>112</v>
      </c>
      <c r="AF23" s="53" t="s">
        <v>112</v>
      </c>
      <c r="AG23" s="53">
        <v>0</v>
      </c>
      <c r="AH23" s="53" t="s">
        <v>112</v>
      </c>
      <c r="AI23" s="53" t="s">
        <v>112</v>
      </c>
      <c r="AJ23" s="53">
        <v>0</v>
      </c>
      <c r="AK23" s="53" t="s">
        <v>112</v>
      </c>
      <c r="AL23" s="53" t="s">
        <v>112</v>
      </c>
      <c r="AM23" s="53" t="s">
        <v>112</v>
      </c>
      <c r="AN23" s="53">
        <v>0</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v>0</v>
      </c>
      <c r="BK23" s="53" t="s">
        <v>112</v>
      </c>
      <c r="BL23" s="53" t="s">
        <v>112</v>
      </c>
      <c r="BM23" s="53">
        <v>0</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v>24</v>
      </c>
      <c r="AA24" s="53" t="s">
        <v>112</v>
      </c>
      <c r="AB24" s="53" t="s">
        <v>112</v>
      </c>
      <c r="AC24" s="53">
        <v>55</v>
      </c>
      <c r="AD24" s="53" t="s">
        <v>112</v>
      </c>
      <c r="AE24" s="53" t="s">
        <v>112</v>
      </c>
      <c r="AF24" s="53" t="s">
        <v>112</v>
      </c>
      <c r="AG24" s="53">
        <v>0</v>
      </c>
      <c r="AH24" s="53" t="s">
        <v>112</v>
      </c>
      <c r="AI24" s="53" t="s">
        <v>112</v>
      </c>
      <c r="AJ24" s="53">
        <v>12</v>
      </c>
      <c r="AK24" s="53" t="s">
        <v>112</v>
      </c>
      <c r="AL24" s="53" t="s">
        <v>112</v>
      </c>
      <c r="AM24" s="53" t="s">
        <v>112</v>
      </c>
      <c r="AN24" s="53">
        <v>9</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v>51</v>
      </c>
      <c r="BJ24" s="53">
        <v>20</v>
      </c>
      <c r="BK24" s="53" t="s">
        <v>112</v>
      </c>
      <c r="BL24" s="53" t="s">
        <v>112</v>
      </c>
      <c r="BM24" s="53">
        <v>0</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v>18</v>
      </c>
      <c r="AA25" s="53" t="s">
        <v>112</v>
      </c>
      <c r="AB25" s="53" t="s">
        <v>112</v>
      </c>
      <c r="AC25" s="53">
        <v>54</v>
      </c>
      <c r="AD25" s="53" t="s">
        <v>112</v>
      </c>
      <c r="AE25" s="53" t="s">
        <v>112</v>
      </c>
      <c r="AF25" s="53" t="s">
        <v>112</v>
      </c>
      <c r="AG25" s="53">
        <v>0</v>
      </c>
      <c r="AH25" s="53" t="s">
        <v>112</v>
      </c>
      <c r="AI25" s="53" t="s">
        <v>112</v>
      </c>
      <c r="AJ25" s="53">
        <v>18</v>
      </c>
      <c r="AK25" s="53" t="s">
        <v>112</v>
      </c>
      <c r="AL25" s="53" t="s">
        <v>112</v>
      </c>
      <c r="AM25" s="53" t="s">
        <v>112</v>
      </c>
      <c r="AN25" s="53">
        <v>18</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v>69</v>
      </c>
      <c r="BJ25" s="53">
        <v>12</v>
      </c>
      <c r="BK25" s="53" t="s">
        <v>112</v>
      </c>
      <c r="BL25" s="53" t="s">
        <v>112</v>
      </c>
      <c r="BM25" s="53">
        <v>0</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v>17</v>
      </c>
      <c r="AA26" s="53" t="s">
        <v>112</v>
      </c>
      <c r="AB26" s="53" t="s">
        <v>112</v>
      </c>
      <c r="AC26" s="53">
        <v>59</v>
      </c>
      <c r="AD26" s="53" t="s">
        <v>112</v>
      </c>
      <c r="AE26" s="53" t="s">
        <v>112</v>
      </c>
      <c r="AF26" s="53" t="s">
        <v>112</v>
      </c>
      <c r="AG26" s="53">
        <v>0</v>
      </c>
      <c r="AH26" s="53" t="s">
        <v>112</v>
      </c>
      <c r="AI26" s="53" t="s">
        <v>112</v>
      </c>
      <c r="AJ26" s="53">
        <v>18</v>
      </c>
      <c r="AK26" s="53" t="s">
        <v>112</v>
      </c>
      <c r="AL26" s="53" t="s">
        <v>112</v>
      </c>
      <c r="AM26" s="53" t="s">
        <v>112</v>
      </c>
      <c r="AN26" s="53">
        <v>16</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v>50</v>
      </c>
      <c r="BJ26" s="53">
        <v>21</v>
      </c>
      <c r="BK26" s="53" t="s">
        <v>112</v>
      </c>
      <c r="BL26" s="53" t="s">
        <v>112</v>
      </c>
      <c r="BM26" s="53">
        <v>0</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v>23</v>
      </c>
      <c r="AA27" s="53" t="s">
        <v>112</v>
      </c>
      <c r="AB27" s="53" t="s">
        <v>112</v>
      </c>
      <c r="AC27" s="53">
        <v>56</v>
      </c>
      <c r="AD27" s="53" t="s">
        <v>112</v>
      </c>
      <c r="AE27" s="53" t="s">
        <v>112</v>
      </c>
      <c r="AF27" s="53" t="s">
        <v>112</v>
      </c>
      <c r="AG27" s="53">
        <v>0</v>
      </c>
      <c r="AH27" s="53" t="s">
        <v>112</v>
      </c>
      <c r="AI27" s="53" t="s">
        <v>112</v>
      </c>
      <c r="AJ27" s="53">
        <v>11</v>
      </c>
      <c r="AK27" s="53" t="s">
        <v>112</v>
      </c>
      <c r="AL27" s="53" t="s">
        <v>112</v>
      </c>
      <c r="AM27" s="53" t="s">
        <v>112</v>
      </c>
      <c r="AN27" s="53">
        <v>29</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v>53</v>
      </c>
      <c r="BJ27" s="53">
        <v>19</v>
      </c>
      <c r="BK27" s="53" t="s">
        <v>112</v>
      </c>
      <c r="BL27" s="53" t="s">
        <v>112</v>
      </c>
      <c r="BM27" s="53">
        <v>0</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v>0</v>
      </c>
      <c r="AA28" s="53" t="s">
        <v>112</v>
      </c>
      <c r="AB28" s="53" t="s">
        <v>112</v>
      </c>
      <c r="AC28" s="53">
        <v>0</v>
      </c>
      <c r="AD28" s="53" t="s">
        <v>112</v>
      </c>
      <c r="AE28" s="53" t="s">
        <v>112</v>
      </c>
      <c r="AF28" s="53" t="s">
        <v>112</v>
      </c>
      <c r="AG28" s="53">
        <v>0</v>
      </c>
      <c r="AH28" s="53" t="s">
        <v>112</v>
      </c>
      <c r="AI28" s="53" t="s">
        <v>112</v>
      </c>
      <c r="AJ28" s="53">
        <v>0</v>
      </c>
      <c r="AK28" s="53" t="s">
        <v>112</v>
      </c>
      <c r="AL28" s="53" t="s">
        <v>112</v>
      </c>
      <c r="AM28" s="53" t="s">
        <v>112</v>
      </c>
      <c r="AN28" s="53">
        <v>0</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v>0</v>
      </c>
      <c r="BK28" s="53" t="s">
        <v>112</v>
      </c>
      <c r="BL28" s="53" t="s">
        <v>112</v>
      </c>
      <c r="BM28" s="53">
        <v>0</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v>38</v>
      </c>
      <c r="AA29" s="53" t="s">
        <v>112</v>
      </c>
      <c r="AB29" s="53" t="s">
        <v>112</v>
      </c>
      <c r="AC29" s="53">
        <v>87</v>
      </c>
      <c r="AD29" s="53" t="s">
        <v>112</v>
      </c>
      <c r="AE29" s="53" t="s">
        <v>112</v>
      </c>
      <c r="AF29" s="53" t="s">
        <v>112</v>
      </c>
      <c r="AG29" s="53">
        <v>0</v>
      </c>
      <c r="AH29" s="53" t="s">
        <v>112</v>
      </c>
      <c r="AI29" s="53" t="s">
        <v>112</v>
      </c>
      <c r="AJ29" s="53">
        <v>19</v>
      </c>
      <c r="AK29" s="53" t="s">
        <v>112</v>
      </c>
      <c r="AL29" s="53" t="s">
        <v>112</v>
      </c>
      <c r="AM29" s="53" t="s">
        <v>112</v>
      </c>
      <c r="AN29" s="53">
        <v>35</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v>84</v>
      </c>
      <c r="BJ29" s="53">
        <v>36</v>
      </c>
      <c r="BK29" s="53" t="s">
        <v>112</v>
      </c>
      <c r="BL29" s="53" t="s">
        <v>112</v>
      </c>
      <c r="BM29" s="53">
        <v>0</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v>48</v>
      </c>
      <c r="AA30" s="53" t="s">
        <v>112</v>
      </c>
      <c r="AB30" s="53" t="s">
        <v>112</v>
      </c>
      <c r="AC30" s="53">
        <v>79</v>
      </c>
      <c r="AD30" s="53" t="s">
        <v>112</v>
      </c>
      <c r="AE30" s="53" t="s">
        <v>112</v>
      </c>
      <c r="AF30" s="53" t="s">
        <v>112</v>
      </c>
      <c r="AG30" s="53">
        <v>0</v>
      </c>
      <c r="AH30" s="53" t="s">
        <v>112</v>
      </c>
      <c r="AI30" s="53" t="s">
        <v>112</v>
      </c>
      <c r="AJ30" s="53">
        <v>18</v>
      </c>
      <c r="AK30" s="53" t="s">
        <v>112</v>
      </c>
      <c r="AL30" s="53" t="s">
        <v>112</v>
      </c>
      <c r="AM30" s="53" t="s">
        <v>112</v>
      </c>
      <c r="AN30" s="53">
        <v>26</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v>100</v>
      </c>
      <c r="BJ30" s="53">
        <v>39</v>
      </c>
      <c r="BK30" s="53" t="s">
        <v>112</v>
      </c>
      <c r="BL30" s="53" t="s">
        <v>112</v>
      </c>
      <c r="BM30" s="53">
        <v>0</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v>64</v>
      </c>
      <c r="AA31" s="53" t="s">
        <v>112</v>
      </c>
      <c r="AB31" s="53" t="s">
        <v>112</v>
      </c>
      <c r="AC31" s="53">
        <v>93</v>
      </c>
      <c r="AD31" s="53" t="s">
        <v>112</v>
      </c>
      <c r="AE31" s="53" t="s">
        <v>112</v>
      </c>
      <c r="AF31" s="53" t="s">
        <v>112</v>
      </c>
      <c r="AG31" s="53">
        <v>0</v>
      </c>
      <c r="AH31" s="53" t="s">
        <v>112</v>
      </c>
      <c r="AI31" s="53" t="s">
        <v>112</v>
      </c>
      <c r="AJ31" s="53">
        <v>35</v>
      </c>
      <c r="AK31" s="53" t="s">
        <v>112</v>
      </c>
      <c r="AL31" s="53" t="s">
        <v>112</v>
      </c>
      <c r="AM31" s="53" t="s">
        <v>112</v>
      </c>
      <c r="AN31" s="53">
        <v>38</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v>83</v>
      </c>
      <c r="BJ31" s="53">
        <v>36</v>
      </c>
      <c r="BK31" s="53" t="s">
        <v>112</v>
      </c>
      <c r="BL31" s="53" t="s">
        <v>112</v>
      </c>
      <c r="BM31" s="53">
        <v>0</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v>31</v>
      </c>
      <c r="AA32" s="53" t="s">
        <v>112</v>
      </c>
      <c r="AB32" s="53" t="s">
        <v>112</v>
      </c>
      <c r="AC32" s="53">
        <v>84</v>
      </c>
      <c r="AD32" s="53" t="s">
        <v>112</v>
      </c>
      <c r="AE32" s="53" t="s">
        <v>112</v>
      </c>
      <c r="AF32" s="53" t="s">
        <v>112</v>
      </c>
      <c r="AG32" s="53">
        <v>0</v>
      </c>
      <c r="AH32" s="53" t="s">
        <v>112</v>
      </c>
      <c r="AI32" s="53" t="s">
        <v>112</v>
      </c>
      <c r="AJ32" s="53">
        <v>19</v>
      </c>
      <c r="AK32" s="53" t="s">
        <v>112</v>
      </c>
      <c r="AL32" s="53" t="s">
        <v>112</v>
      </c>
      <c r="AM32" s="53" t="s">
        <v>112</v>
      </c>
      <c r="AN32" s="53">
        <v>23</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v>119</v>
      </c>
      <c r="BJ32" s="53">
        <v>40</v>
      </c>
      <c r="BK32" s="53" t="s">
        <v>112</v>
      </c>
      <c r="BL32" s="53" t="s">
        <v>112</v>
      </c>
      <c r="BM32" s="53">
        <v>0</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v>47</v>
      </c>
      <c r="AA33" s="53" t="s">
        <v>112</v>
      </c>
      <c r="AB33" s="53" t="s">
        <v>112</v>
      </c>
      <c r="AC33" s="53">
        <v>96</v>
      </c>
      <c r="AD33" s="53" t="s">
        <v>112</v>
      </c>
      <c r="AE33" s="53" t="s">
        <v>112</v>
      </c>
      <c r="AF33" s="53" t="s">
        <v>112</v>
      </c>
      <c r="AG33" s="53">
        <v>0</v>
      </c>
      <c r="AH33" s="53" t="s">
        <v>112</v>
      </c>
      <c r="AI33" s="53" t="s">
        <v>112</v>
      </c>
      <c r="AJ33" s="53">
        <v>20</v>
      </c>
      <c r="AK33" s="53" t="s">
        <v>112</v>
      </c>
      <c r="AL33" s="53" t="s">
        <v>112</v>
      </c>
      <c r="AM33" s="53" t="s">
        <v>112</v>
      </c>
      <c r="AN33" s="53">
        <v>22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v>97</v>
      </c>
      <c r="BJ33" s="53">
        <v>63</v>
      </c>
      <c r="BK33" s="53" t="s">
        <v>112</v>
      </c>
      <c r="BL33" s="53" t="s">
        <v>112</v>
      </c>
      <c r="BM33" s="53">
        <v>0</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v>36</v>
      </c>
      <c r="AA34" s="53" t="s">
        <v>112</v>
      </c>
      <c r="AB34" s="53" t="s">
        <v>112</v>
      </c>
      <c r="AC34" s="53">
        <v>87</v>
      </c>
      <c r="AD34" s="53" t="s">
        <v>112</v>
      </c>
      <c r="AE34" s="53" t="s">
        <v>112</v>
      </c>
      <c r="AF34" s="53" t="s">
        <v>112</v>
      </c>
      <c r="AG34" s="53">
        <v>0</v>
      </c>
      <c r="AH34" s="53" t="s">
        <v>112</v>
      </c>
      <c r="AI34" s="53" t="s">
        <v>112</v>
      </c>
      <c r="AJ34" s="53">
        <v>34</v>
      </c>
      <c r="AK34" s="53" t="s">
        <v>112</v>
      </c>
      <c r="AL34" s="53" t="s">
        <v>112</v>
      </c>
      <c r="AM34" s="53" t="s">
        <v>112</v>
      </c>
      <c r="AN34" s="53">
        <v>33</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v>105</v>
      </c>
      <c r="BJ34" s="53">
        <v>42</v>
      </c>
      <c r="BK34" s="53" t="s">
        <v>112</v>
      </c>
      <c r="BL34" s="53" t="s">
        <v>112</v>
      </c>
      <c r="BM34" s="53">
        <v>0</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v>42</v>
      </c>
      <c r="AA35" s="53" t="s">
        <v>112</v>
      </c>
      <c r="AB35" s="53" t="s">
        <v>112</v>
      </c>
      <c r="AC35" s="53">
        <v>81</v>
      </c>
      <c r="AD35" s="53" t="s">
        <v>112</v>
      </c>
      <c r="AE35" s="53" t="s">
        <v>112</v>
      </c>
      <c r="AF35" s="53" t="s">
        <v>112</v>
      </c>
      <c r="AG35" s="53">
        <v>0</v>
      </c>
      <c r="AH35" s="53" t="s">
        <v>112</v>
      </c>
      <c r="AI35" s="53" t="s">
        <v>112</v>
      </c>
      <c r="AJ35" s="53">
        <v>19</v>
      </c>
      <c r="AK35" s="53" t="s">
        <v>112</v>
      </c>
      <c r="AL35" s="53" t="s">
        <v>112</v>
      </c>
      <c r="AM35" s="53" t="s">
        <v>112</v>
      </c>
      <c r="AN35" s="53">
        <v>23</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v>92</v>
      </c>
      <c r="BJ35" s="53">
        <v>43</v>
      </c>
      <c r="BK35" s="53" t="s">
        <v>112</v>
      </c>
      <c r="BL35" s="53" t="s">
        <v>112</v>
      </c>
      <c r="BM35" s="53">
        <v>0</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v>29</v>
      </c>
      <c r="AA36" s="53" t="s">
        <v>112</v>
      </c>
      <c r="AB36" s="53" t="s">
        <v>112</v>
      </c>
      <c r="AC36" s="53">
        <v>59</v>
      </c>
      <c r="AD36" s="53" t="s">
        <v>112</v>
      </c>
      <c r="AE36" s="53" t="s">
        <v>112</v>
      </c>
      <c r="AF36" s="53" t="s">
        <v>112</v>
      </c>
      <c r="AG36" s="53">
        <v>0</v>
      </c>
      <c r="AH36" s="53" t="s">
        <v>112</v>
      </c>
      <c r="AI36" s="53" t="s">
        <v>112</v>
      </c>
      <c r="AJ36" s="53">
        <v>17</v>
      </c>
      <c r="AK36" s="53" t="s">
        <v>112</v>
      </c>
      <c r="AL36" s="53" t="s">
        <v>112</v>
      </c>
      <c r="AM36" s="53" t="s">
        <v>112</v>
      </c>
      <c r="AN36" s="53">
        <v>26</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v>77</v>
      </c>
      <c r="BJ36" s="53">
        <v>23</v>
      </c>
      <c r="BK36" s="53" t="s">
        <v>112</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2024-12-13T02:46:57Z</dcterms:modified>
</cp:coreProperties>
</file>