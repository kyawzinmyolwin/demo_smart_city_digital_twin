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codeName="ThisWorkbook" hidePivotFieldList="1"/>
  <mc:AlternateContent xmlns:mc="http://schemas.openxmlformats.org/markup-compatibility/2006">
    <mc:Choice Requires="x15">
      <x15ac:absPath xmlns:x15ac="http://schemas.microsoft.com/office/spreadsheetml/2010/11/ac" url="X:\CHRISTCHURCH CITY COUNCIL CONTRACT\_RAW DATA\INTERSECTION - RAW DATA\TO DO - Count Programme\Final stage\"/>
    </mc:Choice>
  </mc:AlternateContent>
  <xr:revisionPtr revIDLastSave="0" documentId="13_ncr:1_{577E916C-3F5B-4FE7-9694-288BF49447F1}" xr6:coauthVersionLast="47" xr6:coauthVersionMax="47" xr10:uidLastSave="{00000000-0000-0000-0000-000000000000}"/>
  <bookViews>
    <workbookView xWindow="-108" yWindow="-108" windowWidth="30936" windowHeight="16776"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9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Q177" i="6" s="1"/>
  <c r="L113" i="6"/>
  <c r="Q113" i="6" s="1"/>
  <c r="L49" i="6"/>
  <c r="Q49" i="6" s="1"/>
  <c r="L248" i="6"/>
  <c r="L32" i="6"/>
  <c r="L238" i="6"/>
  <c r="L118" i="6"/>
  <c r="L272" i="6"/>
  <c r="L200" i="6"/>
  <c r="Q200" i="6" s="1"/>
  <c r="L303" i="6"/>
  <c r="L271" i="6"/>
  <c r="Q271" i="6" s="1"/>
  <c r="L239" i="6"/>
  <c r="L207" i="6"/>
  <c r="Q207" i="6" s="1"/>
  <c r="L175" i="6"/>
  <c r="L143" i="6"/>
  <c r="Q143" i="6" s="1"/>
  <c r="L111" i="6"/>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L285" i="6"/>
  <c r="Q285" i="6" s="1"/>
  <c r="L140" i="6"/>
  <c r="L115" i="6"/>
  <c r="Q115" i="6" s="1"/>
  <c r="L155" i="6"/>
  <c r="L98" i="6"/>
  <c r="Q98" i="6" s="1"/>
  <c r="L185" i="6"/>
  <c r="L102" i="6"/>
  <c r="Q102" i="6" s="1"/>
  <c r="L104" i="6"/>
  <c r="L269" i="6"/>
  <c r="L132" i="6"/>
  <c r="L35" i="6"/>
  <c r="L282" i="6"/>
  <c r="L230" i="6"/>
  <c r="Q230" i="6" s="1"/>
  <c r="L94" i="6"/>
  <c r="L297" i="6"/>
  <c r="Q297" i="6" s="1"/>
  <c r="L233" i="6"/>
  <c r="L169" i="6"/>
  <c r="Q169" i="6" s="1"/>
  <c r="L105" i="6"/>
  <c r="L41" i="6"/>
  <c r="Q41" i="6" s="1"/>
  <c r="L222" i="6"/>
  <c r="Q222" i="6" s="1"/>
  <c r="L62" i="6"/>
  <c r="Q62" i="6" s="1"/>
  <c r="L168" i="6"/>
  <c r="L136" i="6"/>
  <c r="Q136" i="6" s="1"/>
  <c r="L96" i="6"/>
  <c r="L64" i="6"/>
  <c r="L256" i="6"/>
  <c r="L197" i="6"/>
  <c r="Q197" i="6" s="1"/>
  <c r="L109" i="6"/>
  <c r="L45" i="6"/>
  <c r="Q45" i="6" s="1"/>
  <c r="L245" i="6"/>
  <c r="Q245" i="6" s="1"/>
  <c r="L14" i="6"/>
  <c r="L244" i="6"/>
  <c r="L180" i="6"/>
  <c r="L116" i="6"/>
  <c r="L52" i="6"/>
  <c r="Q52" i="6" s="1"/>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L149" i="6"/>
  <c r="Q149" i="6" s="1"/>
  <c r="L189" i="6"/>
  <c r="Q189" i="6" s="1"/>
  <c r="L84" i="6"/>
  <c r="Q84" i="6" s="1"/>
  <c r="L298" i="6"/>
  <c r="Q298" i="6" s="1"/>
  <c r="L42" i="6"/>
  <c r="Q42" i="6" s="1"/>
  <c r="L280" i="6"/>
  <c r="L278" i="6"/>
  <c r="L216" i="6"/>
  <c r="L215" i="6"/>
  <c r="Q215" i="6" s="1"/>
  <c r="L87" i="6"/>
  <c r="Q87" i="6" s="1"/>
  <c r="L141" i="6"/>
  <c r="Q141" i="6" s="1"/>
  <c r="L268" i="6"/>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L161" i="6"/>
  <c r="Q161" i="6" s="1"/>
  <c r="L97" i="6"/>
  <c r="L33" i="6"/>
  <c r="L224" i="6"/>
  <c r="L206" i="6"/>
  <c r="L78" i="6"/>
  <c r="L240" i="6"/>
  <c r="Q240" i="6" s="1"/>
  <c r="L176" i="6"/>
  <c r="Q176" i="6" s="1"/>
  <c r="L295" i="6"/>
  <c r="Q295" i="6" s="1"/>
  <c r="L263" i="6"/>
  <c r="L231" i="6"/>
  <c r="Q231" i="6" s="1"/>
  <c r="L199" i="6"/>
  <c r="L167" i="6"/>
  <c r="Q167" i="6" s="1"/>
  <c r="L135" i="6"/>
  <c r="L103" i="6"/>
  <c r="Q103" i="6" s="1"/>
  <c r="L71" i="6"/>
  <c r="L39" i="6"/>
  <c r="L181" i="6"/>
  <c r="Q181" i="6" s="1"/>
  <c r="L101" i="6"/>
  <c r="Q101" i="6" s="1"/>
  <c r="L37" i="6"/>
  <c r="L229" i="6"/>
  <c r="L300" i="6"/>
  <c r="L236" i="6"/>
  <c r="Q236" i="6" s="1"/>
  <c r="L172" i="6"/>
  <c r="Q172" i="6" s="1"/>
  <c r="L108" i="6"/>
  <c r="Q108" i="6" s="1"/>
  <c r="L44" i="6"/>
  <c r="Q44" i="6" s="1"/>
  <c r="L195" i="6"/>
  <c r="Q195" i="6" s="1"/>
  <c r="L75" i="6"/>
  <c r="L299" i="6"/>
  <c r="Q299" i="6" s="1"/>
  <c r="L203" i="6"/>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L131" i="6"/>
  <c r="Q131" i="6" s="1"/>
  <c r="L106" i="6"/>
  <c r="L134" i="6"/>
  <c r="Q134" i="6" s="1"/>
  <c r="L11" i="6"/>
  <c r="L193" i="6"/>
  <c r="Q193" i="6" s="1"/>
  <c r="L150" i="6"/>
  <c r="L279" i="6"/>
  <c r="Q279" i="6" s="1"/>
  <c r="L183" i="6"/>
  <c r="L55" i="6"/>
  <c r="Q55" i="6" s="1"/>
  <c r="L69" i="6"/>
  <c r="Q69" i="6" s="1"/>
  <c r="L173" i="6"/>
  <c r="L76" i="6"/>
  <c r="Q76" i="6" s="1"/>
  <c r="L251" i="6"/>
  <c r="Q251" i="6" s="1"/>
  <c r="L162" i="6"/>
  <c r="L34" i="6"/>
  <c r="L57" i="6"/>
  <c r="L184" i="6"/>
  <c r="Q184" i="6" s="1"/>
  <c r="L72" i="6"/>
  <c r="Q72" i="6" s="1"/>
  <c r="L61" i="6"/>
  <c r="Q61" i="6" s="1"/>
  <c r="L260" i="6"/>
  <c r="Q260" i="6" s="1"/>
  <c r="L267" i="6"/>
  <c r="Q267" i="6" s="1"/>
  <c r="L139" i="6"/>
  <c r="L90" i="6"/>
  <c r="L198" i="6"/>
  <c r="Q198" i="6" s="1"/>
  <c r="L70" i="6"/>
  <c r="Q70" i="6" s="1"/>
  <c r="L281" i="6"/>
  <c r="Q281" i="6" s="1"/>
  <c r="L217" i="6"/>
  <c r="Q217" i="6" s="1"/>
  <c r="L153" i="6"/>
  <c r="Q153" i="6" s="1"/>
  <c r="L89" i="6"/>
  <c r="Q89" i="6" s="1"/>
  <c r="L190" i="6"/>
  <c r="L30" i="6"/>
  <c r="L160" i="6"/>
  <c r="Q160" i="6" s="1"/>
  <c r="L128" i="6"/>
  <c r="Q128" i="6" s="1"/>
  <c r="L88" i="6"/>
  <c r="L56" i="6"/>
  <c r="Q56" i="6" s="1"/>
  <c r="L31" i="6"/>
  <c r="L15" i="6"/>
  <c r="L165" i="6"/>
  <c r="Q165" i="6" s="1"/>
  <c r="L93" i="6"/>
  <c r="Q93" i="6" s="1"/>
  <c r="L29" i="6"/>
  <c r="L221" i="6"/>
  <c r="Q221" i="6" s="1"/>
  <c r="L292" i="6"/>
  <c r="Q292" i="6" s="1"/>
  <c r="L164" i="6"/>
  <c r="Q164" i="6" s="1"/>
  <c r="L100" i="6"/>
  <c r="Q100" i="6" s="1"/>
  <c r="L36" i="6"/>
  <c r="L171" i="6"/>
  <c r="Q171" i="6" s="1"/>
  <c r="L67" i="6"/>
  <c r="L250" i="6"/>
  <c r="L58" i="6"/>
  <c r="Q58" i="6" s="1"/>
  <c r="L209" i="6"/>
  <c r="Q209" i="6" s="1"/>
  <c r="L18" i="6"/>
  <c r="L174" i="6"/>
  <c r="Q174" i="6" s="1"/>
  <c r="L232" i="6"/>
  <c r="Q232" i="6" s="1"/>
  <c r="L287" i="6"/>
  <c r="L159" i="6"/>
  <c r="Q159" i="6" s="1"/>
  <c r="L293" i="6"/>
  <c r="L205" i="6"/>
  <c r="Q205" i="6" s="1"/>
  <c r="L92" i="6"/>
  <c r="Q92" i="6" s="1"/>
  <c r="L275" i="6"/>
  <c r="Q275" i="6" s="1"/>
  <c r="L178" i="6"/>
  <c r="Q178" i="6" s="1"/>
  <c r="L166" i="6"/>
  <c r="Q166" i="6" s="1"/>
  <c r="L38" i="6"/>
  <c r="L265" i="6"/>
  <c r="Q265" i="6" s="1"/>
  <c r="L137" i="6"/>
  <c r="L294" i="6"/>
  <c r="Q294" i="6" s="1"/>
  <c r="L192" i="6"/>
  <c r="Q192" i="6" s="1"/>
  <c r="L112" i="6"/>
  <c r="Q112" i="6" s="1"/>
  <c r="L77" i="6"/>
  <c r="Q77" i="6" s="1"/>
  <c r="L148" i="6"/>
  <c r="Q148" i="6" s="1"/>
  <c r="L259" i="6"/>
  <c r="L234" i="6"/>
  <c r="Q234" i="6" s="1"/>
  <c r="L16" i="6"/>
  <c r="L65" i="6"/>
  <c r="Q65" i="6" s="1"/>
  <c r="L25" i="6"/>
  <c r="L151" i="6"/>
  <c r="Q151" i="6" s="1"/>
  <c r="L204" i="6"/>
  <c r="Q204" i="6" s="1"/>
  <c r="L43" i="6"/>
  <c r="Q43" i="6" s="1"/>
  <c r="L226" i="6"/>
  <c r="L262" i="6"/>
  <c r="Q262" i="6" s="1"/>
  <c r="L249" i="6"/>
  <c r="Q249" i="6" s="1"/>
  <c r="L121" i="6"/>
  <c r="Q121" i="6" s="1"/>
  <c r="L254" i="6"/>
  <c r="L264" i="6"/>
  <c r="Q264" i="6" s="1"/>
  <c r="L144" i="6"/>
  <c r="Q144" i="6" s="1"/>
  <c r="L40" i="6"/>
  <c r="L288" i="6"/>
  <c r="L133" i="6"/>
  <c r="Q133" i="6" s="1"/>
  <c r="L196" i="6"/>
  <c r="Q196" i="6" s="1"/>
  <c r="L99" i="6"/>
  <c r="Q99" i="6" s="1"/>
  <c r="L218" i="6"/>
  <c r="Q218" i="6" s="1"/>
  <c r="Q301" i="6"/>
  <c r="Q293" i="6"/>
  <c r="Q277" i="6"/>
  <c r="Q269" i="6"/>
  <c r="Q261" i="6"/>
  <c r="Q253" i="6"/>
  <c r="Q237" i="6"/>
  <c r="Q229" i="6"/>
  <c r="Q173" i="6"/>
  <c r="Q117" i="6"/>
  <c r="Q109" i="6"/>
  <c r="Q53" i="6"/>
  <c r="Q259" i="6"/>
  <c r="Q243" i="6"/>
  <c r="Q227" i="6"/>
  <c r="Q219" i="6"/>
  <c r="Q203" i="6"/>
  <c r="Q187" i="6"/>
  <c r="Q163" i="6"/>
  <c r="Q155" i="6"/>
  <c r="Q139" i="6"/>
  <c r="Q107" i="6"/>
  <c r="Q75" i="6"/>
  <c r="Q67" i="6"/>
  <c r="Q282" i="6"/>
  <c r="Q250" i="6"/>
  <c r="Q226" i="6"/>
  <c r="Q202" i="6"/>
  <c r="Q162" i="6"/>
  <c r="Q106" i="6"/>
  <c r="Q90" i="6"/>
  <c r="Q50" i="6"/>
  <c r="Q280" i="6"/>
  <c r="Q268" i="6"/>
  <c r="Q216" i="6"/>
  <c r="Q140" i="6"/>
  <c r="Q88" i="6"/>
  <c r="Q276" i="6"/>
  <c r="Q110" i="6"/>
  <c r="Q71" i="6"/>
  <c r="Q300" i="6"/>
  <c r="Q254" i="6"/>
  <c r="Q190" i="6"/>
  <c r="Q137" i="6"/>
  <c r="Q73" i="6"/>
  <c r="Q48" i="6"/>
  <c r="Q302" i="6"/>
  <c r="Q263" i="6"/>
  <c r="Q238" i="6"/>
  <c r="Q199" i="6"/>
  <c r="Q135" i="6"/>
  <c r="Q96" i="6"/>
  <c r="Q57" i="6"/>
  <c r="Q287" i="6"/>
  <c r="Q248" i="6"/>
  <c r="Q303" i="6"/>
  <c r="Q278" i="6"/>
  <c r="Q239" i="6"/>
  <c r="Q225" i="6"/>
  <c r="Q175" i="6"/>
  <c r="Q150" i="6"/>
  <c r="Q111" i="6"/>
  <c r="Q97" i="6"/>
  <c r="Q86" i="6"/>
  <c r="Q288" i="6"/>
  <c r="Q224" i="6"/>
  <c r="Q185" i="6"/>
  <c r="Q46" i="6"/>
  <c r="Q272" i="6"/>
  <c r="Q244" i="6"/>
  <c r="Q81" i="6"/>
  <c r="Q233" i="6"/>
  <c r="Q183" i="6"/>
  <c r="Q132" i="6"/>
  <c r="Q105" i="6"/>
  <c r="Q286" i="6"/>
  <c r="Q256" i="6"/>
  <c r="Q94" i="6"/>
  <c r="Q168" i="6"/>
  <c r="Q118" i="6"/>
  <c r="Q246" i="6"/>
  <c r="Q116" i="6"/>
  <c r="Q64" i="6"/>
  <c r="Q95" i="6"/>
  <c r="Q223" i="6"/>
  <c r="Q296" i="6"/>
  <c r="Q78" i="6"/>
  <c r="Q206" i="6"/>
  <c r="Q54" i="6"/>
  <c r="Q180" i="6"/>
  <c r="Q104" i="6"/>
  <c r="H8" i="6"/>
  <c r="B4" i="7" s="1"/>
  <c r="O6" i="6"/>
  <c r="I66" i="4" l="1"/>
  <c r="I46" i="4"/>
  <c r="I266" i="4"/>
  <c r="I246" i="4"/>
  <c r="I146" i="4"/>
  <c r="I126" i="4"/>
  <c r="I26" i="4"/>
  <c r="I6" i="4"/>
  <c r="I326" i="4"/>
  <c r="I226" i="4"/>
  <c r="I206" i="4"/>
  <c r="I106" i="4"/>
  <c r="I86" i="4"/>
  <c r="I306" i="4"/>
  <c r="I286" i="4"/>
  <c r="I186" i="4"/>
  <c r="I166" i="4"/>
  <c r="I346" i="4"/>
  <c r="I283" i="4"/>
  <c r="I263" i="4"/>
  <c r="I163" i="4"/>
  <c r="I143" i="4"/>
  <c r="I43" i="4"/>
  <c r="I23" i="4"/>
  <c r="I343" i="4"/>
  <c r="I243" i="4"/>
  <c r="I223" i="4"/>
  <c r="I123" i="4"/>
  <c r="I103" i="4"/>
  <c r="I3" i="4"/>
  <c r="I323" i="4"/>
  <c r="I303" i="4"/>
  <c r="I203" i="4"/>
  <c r="I183" i="4"/>
  <c r="I83" i="4"/>
  <c r="I63" i="4"/>
  <c r="I85" i="4"/>
  <c r="I185" i="4"/>
  <c r="I285" i="4"/>
  <c r="I65" i="4"/>
  <c r="I165" i="4"/>
  <c r="I265" i="4"/>
  <c r="I45" i="4"/>
  <c r="I145" i="4"/>
  <c r="I245" i="4"/>
  <c r="I25" i="4"/>
  <c r="I345" i="4"/>
  <c r="I125" i="4"/>
  <c r="I225" i="4"/>
  <c r="I5" i="4"/>
  <c r="I325" i="4"/>
  <c r="I105" i="4"/>
  <c r="I205" i="4"/>
  <c r="I305" i="4"/>
  <c r="I2" i="4"/>
  <c r="I322" i="4"/>
  <c r="I302" i="4"/>
  <c r="I202" i="4"/>
  <c r="I182" i="4"/>
  <c r="I82" i="4"/>
  <c r="I62" i="4"/>
  <c r="I282" i="4"/>
  <c r="I262" i="4"/>
  <c r="I162" i="4"/>
  <c r="I142" i="4"/>
  <c r="I42" i="4"/>
  <c r="I22" i="4"/>
  <c r="I342" i="4"/>
  <c r="I242" i="4"/>
  <c r="I222" i="4"/>
  <c r="I122" i="4"/>
  <c r="I102" i="4"/>
  <c r="I244" i="4"/>
  <c r="I224" i="4"/>
  <c r="I124" i="4"/>
  <c r="I104" i="4"/>
  <c r="I4" i="4"/>
  <c r="I324" i="4"/>
  <c r="I304" i="4"/>
  <c r="I204" i="4"/>
  <c r="I184" i="4"/>
  <c r="I84" i="4"/>
  <c r="I64" i="4"/>
  <c r="I284" i="4"/>
  <c r="I264" i="4"/>
  <c r="I164" i="4"/>
  <c r="I144" i="4"/>
  <c r="I44" i="4"/>
  <c r="I24" i="4"/>
  <c r="I344" i="4"/>
  <c r="I52" i="4"/>
  <c r="I32" i="4"/>
  <c r="I352" i="4"/>
  <c r="I252" i="4"/>
  <c r="I232" i="4"/>
  <c r="I132" i="4"/>
  <c r="I112" i="4"/>
  <c r="I12" i="4"/>
  <c r="I332" i="4"/>
  <c r="I312" i="4"/>
  <c r="I212" i="4"/>
  <c r="I192" i="4"/>
  <c r="I92" i="4"/>
  <c r="I72" i="4"/>
  <c r="I292" i="4"/>
  <c r="I272" i="4"/>
  <c r="I172" i="4"/>
  <c r="I152" i="4"/>
  <c r="I149" i="4"/>
  <c r="I249" i="4"/>
  <c r="I29" i="4"/>
  <c r="I349" i="4"/>
  <c r="I129" i="4"/>
  <c r="I229" i="4"/>
  <c r="I9" i="4"/>
  <c r="I329" i="4"/>
  <c r="I109" i="4"/>
  <c r="I209" i="4"/>
  <c r="I309" i="4"/>
  <c r="I89" i="4"/>
  <c r="I189" i="4"/>
  <c r="I289" i="4"/>
  <c r="I69" i="4"/>
  <c r="I169" i="4"/>
  <c r="I269" i="4"/>
  <c r="I49" i="4"/>
  <c r="I277" i="4"/>
  <c r="I57" i="4"/>
  <c r="I157" i="4"/>
  <c r="I257" i="4"/>
  <c r="I37" i="4"/>
  <c r="I357" i="4"/>
  <c r="I137" i="4"/>
  <c r="I237" i="4"/>
  <c r="I17" i="4"/>
  <c r="I337" i="4"/>
  <c r="I117" i="4"/>
  <c r="I217" i="4"/>
  <c r="I317" i="4"/>
  <c r="I97" i="4"/>
  <c r="I197" i="4"/>
  <c r="I297" i="4"/>
  <c r="I77" i="4"/>
  <c r="I177" i="4"/>
  <c r="I116" i="4"/>
  <c r="I96" i="4"/>
  <c r="I316" i="4"/>
  <c r="I296" i="4"/>
  <c r="I196" i="4"/>
  <c r="I176" i="4"/>
  <c r="I76" i="4"/>
  <c r="I56" i="4"/>
  <c r="I356" i="4"/>
  <c r="I276" i="4"/>
  <c r="I256" i="4"/>
  <c r="I156" i="4"/>
  <c r="I136" i="4"/>
  <c r="I36" i="4"/>
  <c r="I16" i="4"/>
  <c r="I336" i="4"/>
  <c r="I236" i="4"/>
  <c r="I216" i="4"/>
  <c r="I219" i="4"/>
  <c r="I199" i="4"/>
  <c r="I99" i="4"/>
  <c r="I79" i="4"/>
  <c r="I299" i="4"/>
  <c r="I279" i="4"/>
  <c r="I179" i="4"/>
  <c r="I159" i="4"/>
  <c r="I59" i="4"/>
  <c r="I39" i="4"/>
  <c r="I359" i="4"/>
  <c r="I259" i="4"/>
  <c r="I239" i="4"/>
  <c r="I139" i="4"/>
  <c r="I119" i="4"/>
  <c r="I19" i="4"/>
  <c r="I339" i="4"/>
  <c r="I319" i="4"/>
  <c r="I258" i="4"/>
  <c r="I238" i="4"/>
  <c r="I138" i="4"/>
  <c r="I118" i="4"/>
  <c r="I18" i="4"/>
  <c r="I338" i="4"/>
  <c r="I318" i="4"/>
  <c r="I218" i="4"/>
  <c r="I198" i="4"/>
  <c r="I98" i="4"/>
  <c r="I78" i="4"/>
  <c r="I298" i="4"/>
  <c r="I278" i="4"/>
  <c r="I178" i="4"/>
  <c r="I158" i="4"/>
  <c r="I58" i="4"/>
  <c r="I38" i="4"/>
  <c r="I358" i="4"/>
  <c r="I213" i="4"/>
  <c r="I313" i="4"/>
  <c r="I93" i="4"/>
  <c r="I193" i="4"/>
  <c r="I293" i="4"/>
  <c r="I73" i="4"/>
  <c r="I173" i="4"/>
  <c r="I273" i="4"/>
  <c r="I53" i="4"/>
  <c r="I153" i="4"/>
  <c r="I253" i="4"/>
  <c r="I33" i="4"/>
  <c r="I353" i="4"/>
  <c r="I133" i="4"/>
  <c r="I233" i="4"/>
  <c r="I13" i="4"/>
  <c r="I333" i="4"/>
  <c r="I113" i="4"/>
  <c r="I130" i="4"/>
  <c r="I110" i="4"/>
  <c r="I10" i="4"/>
  <c r="I330" i="4"/>
  <c r="I310" i="4"/>
  <c r="I210" i="4"/>
  <c r="I190" i="4"/>
  <c r="I90" i="4"/>
  <c r="I70" i="4"/>
  <c r="I290" i="4"/>
  <c r="I270" i="4"/>
  <c r="I170" i="4"/>
  <c r="I150" i="4"/>
  <c r="I50" i="4"/>
  <c r="I30" i="4"/>
  <c r="I350" i="4"/>
  <c r="I250" i="4"/>
  <c r="I230" i="4"/>
  <c r="I27" i="4"/>
  <c r="I347" i="4"/>
  <c r="I7" i="4"/>
  <c r="I327" i="4"/>
  <c r="I227" i="4"/>
  <c r="I207" i="4"/>
  <c r="I107" i="4"/>
  <c r="I87" i="4"/>
  <c r="I307" i="4"/>
  <c r="I287" i="4"/>
  <c r="I187" i="4"/>
  <c r="I167" i="4"/>
  <c r="I67" i="4"/>
  <c r="I47" i="4"/>
  <c r="I267" i="4"/>
  <c r="I247" i="4"/>
  <c r="I147" i="4"/>
  <c r="I127" i="4"/>
  <c r="I180" i="4"/>
  <c r="I160" i="4"/>
  <c r="I60" i="4"/>
  <c r="I40" i="4"/>
  <c r="I360" i="4"/>
  <c r="I260" i="4"/>
  <c r="I240" i="4"/>
  <c r="I140" i="4"/>
  <c r="I120" i="4"/>
  <c r="I20" i="4"/>
  <c r="I340" i="4"/>
  <c r="I320" i="4"/>
  <c r="I220" i="4"/>
  <c r="I200" i="4"/>
  <c r="I100" i="4"/>
  <c r="I80" i="4"/>
  <c r="I300" i="4"/>
  <c r="I280" i="4"/>
  <c r="I194" i="4"/>
  <c r="I174" i="4"/>
  <c r="I74" i="4"/>
  <c r="I54" i="4"/>
  <c r="I274" i="4"/>
  <c r="I254" i="4"/>
  <c r="I154" i="4"/>
  <c r="I354" i="4"/>
  <c r="I134" i="4"/>
  <c r="I34" i="4"/>
  <c r="I14" i="4"/>
  <c r="I334" i="4"/>
  <c r="I234" i="4"/>
  <c r="I214" i="4"/>
  <c r="I114" i="4"/>
  <c r="I94" i="4"/>
  <c r="I314" i="4"/>
  <c r="I294" i="4"/>
  <c r="I91" i="4"/>
  <c r="I71" i="4"/>
  <c r="I291" i="4"/>
  <c r="I271" i="4"/>
  <c r="I171" i="4"/>
  <c r="I151" i="4"/>
  <c r="I51" i="4"/>
  <c r="I31" i="4"/>
  <c r="I351" i="4"/>
  <c r="I251" i="4"/>
  <c r="I231" i="4"/>
  <c r="I131" i="4"/>
  <c r="I111" i="4"/>
  <c r="I11" i="4"/>
  <c r="I331" i="4"/>
  <c r="I311" i="4"/>
  <c r="I211" i="4"/>
  <c r="I191" i="4"/>
  <c r="I308" i="4"/>
  <c r="I288" i="4"/>
  <c r="I188" i="4"/>
  <c r="I168" i="4"/>
  <c r="I68" i="4"/>
  <c r="I48" i="4"/>
  <c r="I268" i="4"/>
  <c r="I248" i="4"/>
  <c r="I148" i="4"/>
  <c r="I128" i="4"/>
  <c r="I28" i="4"/>
  <c r="I348" i="4"/>
  <c r="I8" i="4"/>
  <c r="I328" i="4"/>
  <c r="I228" i="4"/>
  <c r="I208" i="4"/>
  <c r="I108" i="4"/>
  <c r="I88" i="4"/>
  <c r="I155" i="4"/>
  <c r="I135" i="4"/>
  <c r="I35" i="4"/>
  <c r="I355" i="4"/>
  <c r="I15" i="4"/>
  <c r="I335" i="4"/>
  <c r="I235" i="4"/>
  <c r="I215" i="4"/>
  <c r="I115" i="4"/>
  <c r="I95" i="4"/>
  <c r="I315" i="4"/>
  <c r="I295" i="4"/>
  <c r="I195" i="4"/>
  <c r="I175" i="4"/>
  <c r="I75" i="4"/>
  <c r="I55" i="4"/>
  <c r="I275" i="4"/>
  <c r="I255" i="4"/>
  <c r="I21" i="4"/>
  <c r="I341" i="4"/>
  <c r="I121" i="4"/>
  <c r="I221" i="4"/>
  <c r="I321" i="4"/>
  <c r="I101" i="4"/>
  <c r="I201" i="4"/>
  <c r="I301" i="4"/>
  <c r="I81" i="4"/>
  <c r="I181" i="4"/>
  <c r="I281" i="4"/>
  <c r="I61" i="4"/>
  <c r="I161" i="4"/>
  <c r="I261" i="4"/>
  <c r="I41" i="4"/>
  <c r="I361" i="4"/>
  <c r="I141" i="4"/>
  <c r="I241"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<sst xmlns="http://schemas.openxmlformats.org/spreadsheetml/2006/main" count="7718" uniqueCount="168">
  <si>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</si>
  <si>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</si>
  <si>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</si>
  <si>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</si>
  <si>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</si>
  <si>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</si>
  <si>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</si>
  <si>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</si>
  <si>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</si>
  <si>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</si>
  <si>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</si>
  <si>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</si>
  <si>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</si>
  <si>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</si>
  <si>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</si>
  <si>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</si>
  <si>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</si>
  <si>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</si>
  <si>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</si>
  <si>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</si>
  <si>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</si>
  <si>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</si>
  <si>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</si>
  <si>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</si>
  <si>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</si>
  <si>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</si>
  <si>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</si>
  <si>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</si>
  <si>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</si>
  <si>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</si>
  <si>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</si>
  <si>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</si>
  <si>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</si>
  <si>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</si>
  <si>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</si>
  <si>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</si>
  <si>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</si>
  <si>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</si>
  <si>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</si>
  <si>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</si>
  <si>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</si>
  <si>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</si>
  <si>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</si>
  <si>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</si>
  <si>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</si>
  <si>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</si>
  <si>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</si>
  <si>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</si>
  <si>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</si>
  <si>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</si>
  <si>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</si>
  <si>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</si>
  <si>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</si>
  <si>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</si>
  <si>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</si>
  <si>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</si>
  <si>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</si>
  <si>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</si>
  <si>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</si>
  <si>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</si>
  <si>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</si>
  <si>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</si>
  <si>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</si>
  <si>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</si>
  <si>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</si>
  <si>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</si>
  <si>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</si>
  <si>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</si>
  <si>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</si>
  <si>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</si>
  <si>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</si>
  <si>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</si>
  <si>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</si>
  <si>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</si>
  <si>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</si>
  <si>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</si>
  <si>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</si>
  <si>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</si>
  <si>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</si>
  <si>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</si>
  <si>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Approach Leg</t>
  </si>
  <si>
    <t>Exit Leg</t>
  </si>
  <si>
    <t>Peak Marker</t>
  </si>
  <si>
    <t>AM Total</t>
  </si>
  <si>
    <t>Peak Hour Table</t>
  </si>
  <si>
    <t xml:space="preserve"> </t>
  </si>
  <si>
    <t>PM Total</t>
  </si>
  <si>
    <t>Fine</t>
  </si>
  <si>
    <t>Other Vehicles</t>
  </si>
  <si>
    <t>Cyclists</t>
  </si>
  <si>
    <t>INT</t>
  </si>
  <si>
    <t>Main Road_Mt Pleasant Road_Intersection</t>
  </si>
  <si>
    <t>Main Road East</t>
  </si>
  <si>
    <t>Mt Pleasant Road South</t>
  </si>
  <si>
    <t>Main Road West</t>
  </si>
  <si>
    <t>Left into Mt Pleasant Road South</t>
  </si>
  <si>
    <t>Thru to Main Road West</t>
  </si>
  <si>
    <t>Left into Main Road West</t>
  </si>
  <si>
    <t>Right into Main Road East</t>
  </si>
  <si>
    <t>Thru to Main Road East</t>
  </si>
  <si>
    <t>Right into Mt Pleasant Road South</t>
  </si>
  <si>
    <t>Main Road_Mt Pleasant Road_Intersection      Fine      5/12/2024</t>
  </si>
  <si>
    <t>Main Road East Total</t>
  </si>
  <si>
    <t>Mt Pleasant Road South Total</t>
  </si>
  <si>
    <t>Main Road West Total</t>
  </si>
  <si>
    <t>Left into Mt Pleasant Road South Total</t>
  </si>
  <si>
    <t>Thru to Main Road West Total</t>
  </si>
  <si>
    <t>Left into Main Road West Total</t>
  </si>
  <si>
    <t>Right into Main Road East Total</t>
  </si>
  <si>
    <t>Thru to Main Road East Total</t>
  </si>
  <si>
    <t>Right into Mt Pleasant Road South Total</t>
  </si>
  <si>
    <t>INT Total</t>
  </si>
  <si>
    <t/>
  </si>
  <si>
    <t>6:00 PM</t>
  </si>
  <si>
    <t>5:45 PM</t>
  </si>
  <si>
    <t>5:30 PM</t>
  </si>
  <si>
    <t>5:15 PM</t>
  </si>
  <si>
    <t>5:00 PM</t>
  </si>
  <si>
    <t>4:45 PM</t>
  </si>
  <si>
    <t>4:30 PM</t>
  </si>
  <si>
    <t>4:15 PM</t>
  </si>
  <si>
    <t>4:00 PM</t>
  </si>
  <si>
    <t>2:00 PM</t>
  </si>
  <si>
    <t>1:45 PM</t>
  </si>
  <si>
    <t>1:30 PM</t>
  </si>
  <si>
    <t>1:15 PM</t>
  </si>
  <si>
    <t>1:00 PM</t>
  </si>
  <si>
    <t>9:00 AM</t>
  </si>
  <si>
    <t>8:45 AM</t>
  </si>
  <si>
    <t>8:30 AM</t>
  </si>
  <si>
    <t>8:15 AM</t>
  </si>
  <si>
    <t>8:00 AM</t>
  </si>
  <si>
    <t>7:45 AM</t>
  </si>
  <si>
    <t>7:30 AM</t>
  </si>
  <si>
    <t>7:15 AM</t>
  </si>
  <si>
    <t>7:00 AM</t>
  </si>
  <si>
    <t>U-Turn</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</si>
  <si>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</si>
  <si>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</si>
  <si>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</si>
  <si>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</si>
  <si>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</si>
  <si>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</si>
  <si>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</si>
  <si>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</si>
  <si>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</si>
  <si>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</si>
  <si>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</si>
  <si>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</si>
  <si>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</si>
  <si>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</si>
  <si>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</si>
  <si>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n/a</t>
  </si>
  <si>
    <t>Main Rd Eastbound</t>
  </si>
  <si>
    <t>Mt Pleasant Rd</t>
  </si>
  <si>
    <t>Main Rd Westbound</t>
  </si>
  <si>
    <t>Lights</t>
  </si>
  <si>
    <t>Classification</t>
  </si>
  <si>
    <t>Road</t>
  </si>
  <si>
    <t>Type</t>
  </si>
  <si>
    <t>Project</t>
  </si>
  <si>
    <t>Site Code</t>
  </si>
  <si>
    <t>12/05/2024</t>
  </si>
  <si>
    <t>Start Date</t>
  </si>
  <si>
    <t>CCC I5171 Mt Pleasant Rd - Main Rd</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</si>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</sst>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3">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0" fillId="0" borderId="0" xfId="0" applyAlignment="1">
      <alignment horizontal="center"/>
    </xf>
    <xf numFmtId="0" fontId="0" fillId="0" borderId="0" xfId="0" applyAlignment="1">
      <alignment horizontal="center" vertical="center" wrapText="1"/>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E1306FDE-E52B-4372-B0D3-F01219188530}"/>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0" readingOrder="0"/>
    </dxf>
    <dxf>
      <alignment horizontal="center" readingOrder="0"/>
    </dxf>
    <dxf>
      <alignment horizontal="center" readingOrder="0"/>
    </dxf>
    <dxf>
      <alignment horizontal="center" readingOrder="0"/>
    </dxf>
    <dxf>
      <alignment horizontal="center" readingOrder="0"/>
    </dxf>
    <dxf>
      <alignment wrapText="0"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[I5171_Main Road_Mt Pleasant Road_Intersection_05-12-2024.xlsx]Graphs!pvtGraphApproach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Main Road East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202</c:v>
                </c:pt>
                <c:pt idx="1">
                  <c:v>293</c:v>
                </c:pt>
                <c:pt idx="2">
                  <c:v>330</c:v>
                </c:pt>
                <c:pt idx="3">
                  <c:v>316</c:v>
                </c:pt>
                <c:pt idx="4">
                  <c:v>289</c:v>
                </c:pt>
                <c:pt idx="5">
                  <c:v>315</c:v>
                </c:pt>
                <c:pt idx="6">
                  <c:v>308</c:v>
                </c:pt>
                <c:pt idx="7">
                  <c:v>302</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Main Road West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94</c:v>
                </c:pt>
                <c:pt idx="1">
                  <c:v>142</c:v>
                </c:pt>
                <c:pt idx="2">
                  <c:v>136</c:v>
                </c:pt>
                <c:pt idx="3">
                  <c:v>145</c:v>
                </c:pt>
                <c:pt idx="4">
                  <c:v>161</c:v>
                </c:pt>
                <c:pt idx="5">
                  <c:v>160</c:v>
                </c:pt>
                <c:pt idx="6">
                  <c:v>162</c:v>
                </c:pt>
                <c:pt idx="7">
                  <c:v>183</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Mt Pleasant Road South</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21</c:v>
                </c:pt>
                <c:pt idx="1">
                  <c:v>21</c:v>
                </c:pt>
                <c:pt idx="2">
                  <c:v>32</c:v>
                </c:pt>
                <c:pt idx="3">
                  <c:v>32</c:v>
                </c:pt>
                <c:pt idx="4">
                  <c:v>18</c:v>
                </c:pt>
                <c:pt idx="5">
                  <c:v>32</c:v>
                </c:pt>
                <c:pt idx="6">
                  <c:v>36</c:v>
                </c:pt>
                <c:pt idx="7">
                  <c:v>29</c:v>
                </c:pt>
              </c:numCache>
            </c:numRef>
          </c:val>
          <c:smooth val="0"/>
          <c:extLst>
            <c:ext xmlns:c16="http://schemas.microsoft.com/office/drawing/2014/chart" uri="{C3380CC4-5D6E-409C-BE32-E72D297353CC}">
              <c16:uniqueId val="{00000002-AA23-48D8-84E5-5F84F292C550}"/>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[I5171_Main Road_Mt Pleasant Road_Intersection_05-12-2024.xlsx]Graphs!pvtGraphExit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Main Road East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92</c:v>
                </c:pt>
                <c:pt idx="1">
                  <c:v>140</c:v>
                </c:pt>
                <c:pt idx="2">
                  <c:v>132</c:v>
                </c:pt>
                <c:pt idx="3">
                  <c:v>139</c:v>
                </c:pt>
                <c:pt idx="4">
                  <c:v>155</c:v>
                </c:pt>
                <c:pt idx="5">
                  <c:v>158</c:v>
                </c:pt>
                <c:pt idx="6">
                  <c:v>168</c:v>
                </c:pt>
                <c:pt idx="7">
                  <c:v>178</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Main Road West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221</c:v>
                </c:pt>
                <c:pt idx="1">
                  <c:v>310</c:v>
                </c:pt>
                <c:pt idx="2">
                  <c:v>360</c:v>
                </c:pt>
                <c:pt idx="3">
                  <c:v>343</c:v>
                </c:pt>
                <c:pt idx="4">
                  <c:v>304</c:v>
                </c:pt>
                <c:pt idx="5">
                  <c:v>341</c:v>
                </c:pt>
                <c:pt idx="6">
                  <c:v>323</c:v>
                </c:pt>
                <c:pt idx="7">
                  <c:v>324</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Mt Pleasant Road South</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4</c:v>
                </c:pt>
                <c:pt idx="1">
                  <c:v>6</c:v>
                </c:pt>
                <c:pt idx="2">
                  <c:v>6</c:v>
                </c:pt>
                <c:pt idx="3">
                  <c:v>11</c:v>
                </c:pt>
                <c:pt idx="4">
                  <c:v>9</c:v>
                </c:pt>
                <c:pt idx="5">
                  <c:v>8</c:v>
                </c:pt>
                <c:pt idx="6">
                  <c:v>15</c:v>
                </c:pt>
                <c:pt idx="7">
                  <c:v>12</c:v>
                </c:pt>
              </c:numCache>
            </c:numRef>
          </c:val>
          <c:smooth val="0"/>
          <c:extLst>
            <c:ext xmlns:c16="http://schemas.microsoft.com/office/drawing/2014/chart" uri="{C3380CC4-5D6E-409C-BE32-E72D297353CC}">
              <c16:uniqueId val="{00000002-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[I5171_Main Road_Mt Pleasant Road_Intersection_05-12-2024.xlsx]GraphData!PivotTable2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317</c:v>
                </c:pt>
                <c:pt idx="1">
                  <c:v>456</c:v>
                </c:pt>
                <c:pt idx="2">
                  <c:v>498</c:v>
                </c:pt>
                <c:pt idx="3">
                  <c:v>493</c:v>
                </c:pt>
                <c:pt idx="4">
                  <c:v>468</c:v>
                </c:pt>
                <c:pt idx="5">
                  <c:v>507</c:v>
                </c:pt>
                <c:pt idx="6">
                  <c:v>506</c:v>
                </c:pt>
                <c:pt idx="7">
                  <c:v>514</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[I5171_Main Road_Mt Pleasant Road_Intersection_05-12-2024.xlsx]PeakCalc!pvtPeak2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317</c:v>
                </c:pt>
                <c:pt idx="1">
                  <c:v>456</c:v>
                </c:pt>
                <c:pt idx="2">
                  <c:v>498</c:v>
                </c:pt>
                <c:pt idx="3">
                  <c:v>493</c:v>
                </c:pt>
                <c:pt idx="4">
                  <c:v>468</c:v>
                </c:pt>
                <c:pt idx="5">
                  <c:v>507</c:v>
                </c:pt>
                <c:pt idx="6">
                  <c:v>506</c:v>
                </c:pt>
                <c:pt idx="7">
                  <c:v>514</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0</c:v>
                </c:pt>
                <c:pt idx="3">
                  <c:v>0</c:v>
                </c:pt>
                <c:pt idx="4">
                  <c:v>468</c:v>
                </c:pt>
                <c:pt idx="5">
                  <c:v>507</c:v>
                </c:pt>
                <c:pt idx="6">
                  <c:v>506</c:v>
                </c:pt>
                <c:pt idx="7">
                  <c:v>514</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13</xdr:col>
      <xdr:colOff>498949</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14</xdr:col>
      <xdr:colOff>42757</xdr:colOff>
      <xdr:row>5</xdr:row>
      <xdr:rowOff>3175</xdr:rowOff>
    </xdr:from>
    <xdr:to>
      <xdr:col>21</xdr:col>
      <xdr:colOff>1067062</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910589</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2</xdr:col>
      <xdr:colOff>19049</xdr:colOff>
      <xdr:row>9</xdr:row>
      <xdr:rowOff>66673</xdr:rowOff>
    </xdr:from>
    <xdr:to>
      <xdr:col>21</xdr:col>
      <xdr:colOff>183434</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icia" refreshedDate="45639.634701041665" missingItemsLimit="0" createdVersion="5" refreshedVersion="8"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NonDate="0"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635"/>
    </cacheField>
    <cacheField name="Peak" numFmtId="0">
      <sharedItems containsSemiMixedTypes="0" containsString="0" containsNumber="1" containsInteger="1" minValue="0" maxValue="635"/>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icia" refreshedDate="45639.634938194446" createdVersion="5" refreshedVersion="8" minRefreshableVersion="3" recordCount="360" xr:uid="{00000000-000A-0000-FFFF-FFFF01000000}">
  <cacheSource type="worksheet">
    <worksheetSource name="tblPivotData"/>
  </cacheSource>
  <cacheFields count="9">
    <cacheField name="Approach" numFmtId="0">
      <sharedItems count="6">
        <s v="Main Road East"/>
        <s v="Mt Pleasant Road South"/>
        <s v="Main Road West"/>
        <s v="Great south Rd (North)" u="1"/>
        <s v="Great south Rd (South)" u="1"/>
        <s v="Grange Rd" u="1"/>
      </sharedItems>
    </cacheField>
    <cacheField name="Movement" numFmtId="0">
      <sharedItems count="14">
        <s v="Left into Mt Pleasant Road South"/>
        <s v="Thru to Main Road West"/>
        <s v="Left into Main Road West"/>
        <s v="Right into Main Road East"/>
        <s v="Thru to Main Road East"/>
        <s v="Right into Mt Pleasant Road South"/>
        <s v="Thru to Great south Rd (South) " u="1"/>
        <s v="Right into Grange Rd" u="1"/>
        <s v="U-Turns" u="1"/>
        <s v="Left into Grange Rd" u="1"/>
        <s v="Thru to Great south Rd (North) " u="1"/>
        <s v="Left into Great south Rd (North)" u="1"/>
        <s v="Thru to Motatau Rd" u="1"/>
        <s v="Right into Great south Rd (South)" u="1"/>
      </sharedItems>
    </cacheField>
    <cacheField name="Exit" numFmtId="0">
      <sharedItems count="7">
        <s v="Mt Pleasant Road South"/>
        <s v="Main Road West"/>
        <s v="Main Road East"/>
        <s v="Great south Rd (South)" u="1"/>
        <s v="Grange Rd" u="1"/>
        <s v="Great south Rd (North)" u="1"/>
        <s v="Motatau Rd" u="1"/>
      </sharedItems>
    </cacheField>
    <cacheField name="Vehicle" numFmtId="0">
      <sharedItems count="7">
        <s v="Cars"/>
        <s v="Other Vehicles"/>
        <s v="Cyclists"/>
        <s v="Car" u="1"/>
        <s v="Truck" u="1"/>
        <s v="Bus" u="1"/>
        <s v="Cyclist"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1:00:00" u="1"/>
        <d v="1899-12-30T11:15:00" u="1"/>
        <d v="1899-12-30T11:30:00" u="1"/>
        <d v="1899-12-30T11:45:00" u="1"/>
        <d v="1899-12-30T12:00:00" u="1"/>
        <d v="1899-12-30T12:15:00" u="1"/>
        <d v="1899-12-30T12:30:00" u="1"/>
        <d v="1899-12-30T12:45:00" u="1"/>
        <d v="1899-12-30T14:30:00" u="1"/>
        <d v="1899-12-30T14:45:00" u="1"/>
        <d v="1899-12-30T15:00:00" u="1"/>
        <d v="1899-12-30T15:15:00" u="1"/>
        <d v="1899-12-30T15:30:00" u="1"/>
        <d v="1899-12-30T15:45:00" u="1"/>
      </sharedItems>
    </cacheField>
    <cacheField name="Count" numFmtId="0">
      <sharedItems containsSemiMixedTypes="0" containsString="0" containsNumber="1" containsInteger="1" minValue="0" maxValue="317"/>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7:20:00" u="1"/>
        <d v="1899-12-30T07:40:00" u="1"/>
        <d v="1899-12-30T08:20:00" u="1"/>
        <d v="1899-12-30T08:40:00" u="1"/>
        <d v="1899-12-30T11:00:00" u="1"/>
        <d v="1899-12-30T11:20:00" u="1"/>
        <d v="1899-12-30T11:40:00" u="1"/>
        <d v="1899-12-30T12:00:00" u="1"/>
        <d v="1899-12-30T12:20:00" u="1"/>
        <d v="1899-12-30T12:40:00" u="1"/>
        <d v="1899-12-30T14:20:00" u="1"/>
        <d v="1899-12-30T14:40:00" u="1"/>
        <d v="1899-12-30T15:00:00" u="1"/>
        <d v="1899-12-30T15:20:00" u="1"/>
        <d v="1899-12-30T15:40:00" u="1"/>
        <d v="1899-12-30T16:20:00" u="1"/>
        <d v="1899-12-30T16:40:00" u="1"/>
        <d v="1899-12-30T17:20:00" u="1"/>
        <d v="1899-12-30T17:4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317"/>
    <n v="0"/>
  </r>
  <r>
    <x v="0"/>
    <x v="1"/>
    <n v="456"/>
    <n v="0"/>
  </r>
  <r>
    <x v="0"/>
    <x v="2"/>
    <n v="498"/>
    <n v="0"/>
  </r>
  <r>
    <x v="0"/>
    <x v="3"/>
    <n v="493"/>
    <n v="0"/>
  </r>
  <r>
    <x v="0"/>
    <x v="4"/>
    <n v="468"/>
    <n v="468"/>
  </r>
  <r>
    <x v="0"/>
    <x v="5"/>
    <n v="507"/>
    <n v="507"/>
  </r>
  <r>
    <x v="0"/>
    <x v="6"/>
    <n v="506"/>
    <n v="506"/>
  </r>
  <r>
    <x v="0"/>
    <x v="7"/>
    <n v="514"/>
    <n v="514"/>
  </r>
  <r>
    <x v="1"/>
    <x v="8"/>
    <n v="458"/>
    <n v="458"/>
  </r>
  <r>
    <x v="1"/>
    <x v="9"/>
    <n v="501"/>
    <n v="501"/>
  </r>
  <r>
    <x v="1"/>
    <x v="10"/>
    <n v="494"/>
    <n v="494"/>
  </r>
  <r>
    <x v="1"/>
    <x v="11"/>
    <n v="451"/>
    <n v="451"/>
  </r>
  <r>
    <x v="2"/>
    <x v="12"/>
    <n v="581"/>
    <n v="0"/>
  </r>
  <r>
    <x v="2"/>
    <x v="13"/>
    <n v="584"/>
    <n v="0"/>
  </r>
  <r>
    <x v="2"/>
    <x v="14"/>
    <n v="599"/>
    <n v="599"/>
  </r>
  <r>
    <x v="2"/>
    <x v="15"/>
    <n v="560"/>
    <n v="560"/>
  </r>
  <r>
    <x v="2"/>
    <x v="16"/>
    <n v="579"/>
    <n v="579"/>
  </r>
  <r>
    <x v="2"/>
    <x v="17"/>
    <n v="635"/>
    <n v="635"/>
  </r>
  <r>
    <x v="2"/>
    <x v="18"/>
    <n v="558"/>
    <n v="0"/>
  </r>
  <r>
    <x v="2"/>
    <x v="19"/>
    <n v="563"/>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0">
  <r>
    <x v="0"/>
    <x v="0"/>
    <x v="0"/>
    <x v="0"/>
    <x v="0"/>
    <x v="0"/>
    <n v="0"/>
    <x v="0"/>
    <x v="0"/>
  </r>
  <r>
    <x v="0"/>
    <x v="0"/>
    <x v="0"/>
    <x v="0"/>
    <x v="0"/>
    <x v="1"/>
    <n v="1"/>
    <x v="1"/>
    <x v="0"/>
  </r>
  <r>
    <x v="0"/>
    <x v="0"/>
    <x v="0"/>
    <x v="0"/>
    <x v="0"/>
    <x v="2"/>
    <n v="0"/>
    <x v="2"/>
    <x v="0"/>
  </r>
  <r>
    <x v="0"/>
    <x v="0"/>
    <x v="0"/>
    <x v="0"/>
    <x v="0"/>
    <x v="3"/>
    <n v="4"/>
    <x v="3"/>
    <x v="0"/>
  </r>
  <r>
    <x v="0"/>
    <x v="0"/>
    <x v="0"/>
    <x v="0"/>
    <x v="0"/>
    <x v="4"/>
    <n v="3"/>
    <x v="4"/>
    <x v="1"/>
  </r>
  <r>
    <x v="0"/>
    <x v="0"/>
    <x v="0"/>
    <x v="0"/>
    <x v="0"/>
    <x v="5"/>
    <n v="3"/>
    <x v="5"/>
    <x v="1"/>
  </r>
  <r>
    <x v="0"/>
    <x v="0"/>
    <x v="0"/>
    <x v="0"/>
    <x v="0"/>
    <x v="6"/>
    <n v="10"/>
    <x v="6"/>
    <x v="1"/>
  </r>
  <r>
    <x v="0"/>
    <x v="0"/>
    <x v="0"/>
    <x v="0"/>
    <x v="0"/>
    <x v="7"/>
    <n v="5"/>
    <x v="7"/>
    <x v="1"/>
  </r>
  <r>
    <x v="0"/>
    <x v="0"/>
    <x v="0"/>
    <x v="0"/>
    <x v="1"/>
    <x v="8"/>
    <n v="5"/>
    <x v="8"/>
    <x v="1"/>
  </r>
  <r>
    <x v="0"/>
    <x v="0"/>
    <x v="0"/>
    <x v="0"/>
    <x v="1"/>
    <x v="9"/>
    <n v="2"/>
    <x v="9"/>
    <x v="1"/>
  </r>
  <r>
    <x v="0"/>
    <x v="0"/>
    <x v="0"/>
    <x v="0"/>
    <x v="1"/>
    <x v="10"/>
    <n v="1"/>
    <x v="10"/>
    <x v="1"/>
  </r>
  <r>
    <x v="0"/>
    <x v="0"/>
    <x v="0"/>
    <x v="0"/>
    <x v="1"/>
    <x v="11"/>
    <n v="3"/>
    <x v="11"/>
    <x v="1"/>
  </r>
  <r>
    <x v="0"/>
    <x v="0"/>
    <x v="0"/>
    <x v="0"/>
    <x v="2"/>
    <x v="12"/>
    <n v="4"/>
    <x v="12"/>
    <x v="0"/>
  </r>
  <r>
    <x v="0"/>
    <x v="0"/>
    <x v="0"/>
    <x v="0"/>
    <x v="2"/>
    <x v="13"/>
    <n v="6"/>
    <x v="13"/>
    <x v="0"/>
  </r>
  <r>
    <x v="0"/>
    <x v="0"/>
    <x v="0"/>
    <x v="0"/>
    <x v="2"/>
    <x v="14"/>
    <n v="3"/>
    <x v="14"/>
    <x v="1"/>
  </r>
  <r>
    <x v="0"/>
    <x v="0"/>
    <x v="0"/>
    <x v="0"/>
    <x v="2"/>
    <x v="15"/>
    <n v="10"/>
    <x v="15"/>
    <x v="1"/>
  </r>
  <r>
    <x v="0"/>
    <x v="0"/>
    <x v="0"/>
    <x v="0"/>
    <x v="2"/>
    <x v="16"/>
    <n v="5"/>
    <x v="16"/>
    <x v="1"/>
  </r>
  <r>
    <x v="0"/>
    <x v="0"/>
    <x v="0"/>
    <x v="0"/>
    <x v="2"/>
    <x v="17"/>
    <n v="11"/>
    <x v="17"/>
    <x v="1"/>
  </r>
  <r>
    <x v="0"/>
    <x v="0"/>
    <x v="0"/>
    <x v="0"/>
    <x v="2"/>
    <x v="18"/>
    <n v="5"/>
    <x v="18"/>
    <x v="0"/>
  </r>
  <r>
    <x v="0"/>
    <x v="0"/>
    <x v="0"/>
    <x v="0"/>
    <x v="2"/>
    <x v="19"/>
    <n v="12"/>
    <x v="19"/>
    <x v="0"/>
  </r>
  <r>
    <x v="0"/>
    <x v="0"/>
    <x v="0"/>
    <x v="1"/>
    <x v="0"/>
    <x v="0"/>
    <n v="0"/>
    <x v="0"/>
    <x v="0"/>
  </r>
  <r>
    <x v="0"/>
    <x v="0"/>
    <x v="0"/>
    <x v="1"/>
    <x v="0"/>
    <x v="1"/>
    <n v="0"/>
    <x v="1"/>
    <x v="0"/>
  </r>
  <r>
    <x v="0"/>
    <x v="0"/>
    <x v="0"/>
    <x v="1"/>
    <x v="0"/>
    <x v="2"/>
    <n v="0"/>
    <x v="2"/>
    <x v="0"/>
  </r>
  <r>
    <x v="0"/>
    <x v="0"/>
    <x v="0"/>
    <x v="1"/>
    <x v="0"/>
    <x v="3"/>
    <n v="0"/>
    <x v="3"/>
    <x v="0"/>
  </r>
  <r>
    <x v="0"/>
    <x v="0"/>
    <x v="0"/>
    <x v="1"/>
    <x v="0"/>
    <x v="4"/>
    <n v="0"/>
    <x v="4"/>
    <x v="1"/>
  </r>
  <r>
    <x v="0"/>
    <x v="0"/>
    <x v="0"/>
    <x v="1"/>
    <x v="0"/>
    <x v="5"/>
    <n v="0"/>
    <x v="5"/>
    <x v="1"/>
  </r>
  <r>
    <x v="0"/>
    <x v="0"/>
    <x v="0"/>
    <x v="1"/>
    <x v="0"/>
    <x v="6"/>
    <n v="1"/>
    <x v="6"/>
    <x v="1"/>
  </r>
  <r>
    <x v="0"/>
    <x v="0"/>
    <x v="0"/>
    <x v="1"/>
    <x v="0"/>
    <x v="7"/>
    <n v="0"/>
    <x v="7"/>
    <x v="1"/>
  </r>
  <r>
    <x v="0"/>
    <x v="0"/>
    <x v="0"/>
    <x v="1"/>
    <x v="1"/>
    <x v="8"/>
    <n v="0"/>
    <x v="8"/>
    <x v="1"/>
  </r>
  <r>
    <x v="0"/>
    <x v="0"/>
    <x v="0"/>
    <x v="1"/>
    <x v="1"/>
    <x v="9"/>
    <n v="0"/>
    <x v="9"/>
    <x v="1"/>
  </r>
  <r>
    <x v="0"/>
    <x v="0"/>
    <x v="0"/>
    <x v="1"/>
    <x v="1"/>
    <x v="10"/>
    <n v="0"/>
    <x v="10"/>
    <x v="1"/>
  </r>
  <r>
    <x v="0"/>
    <x v="0"/>
    <x v="0"/>
    <x v="1"/>
    <x v="1"/>
    <x v="11"/>
    <n v="0"/>
    <x v="11"/>
    <x v="1"/>
  </r>
  <r>
    <x v="0"/>
    <x v="0"/>
    <x v="0"/>
    <x v="1"/>
    <x v="2"/>
    <x v="12"/>
    <n v="0"/>
    <x v="12"/>
    <x v="0"/>
  </r>
  <r>
    <x v="0"/>
    <x v="0"/>
    <x v="0"/>
    <x v="1"/>
    <x v="2"/>
    <x v="13"/>
    <n v="0"/>
    <x v="13"/>
    <x v="0"/>
  </r>
  <r>
    <x v="0"/>
    <x v="0"/>
    <x v="0"/>
    <x v="1"/>
    <x v="2"/>
    <x v="14"/>
    <n v="0"/>
    <x v="14"/>
    <x v="1"/>
  </r>
  <r>
    <x v="0"/>
    <x v="0"/>
    <x v="0"/>
    <x v="1"/>
    <x v="2"/>
    <x v="15"/>
    <n v="0"/>
    <x v="15"/>
    <x v="1"/>
  </r>
  <r>
    <x v="0"/>
    <x v="0"/>
    <x v="0"/>
    <x v="1"/>
    <x v="2"/>
    <x v="16"/>
    <n v="0"/>
    <x v="16"/>
    <x v="1"/>
  </r>
  <r>
    <x v="0"/>
    <x v="0"/>
    <x v="0"/>
    <x v="1"/>
    <x v="2"/>
    <x v="17"/>
    <n v="0"/>
    <x v="17"/>
    <x v="1"/>
  </r>
  <r>
    <x v="0"/>
    <x v="0"/>
    <x v="0"/>
    <x v="1"/>
    <x v="2"/>
    <x v="18"/>
    <n v="0"/>
    <x v="18"/>
    <x v="0"/>
  </r>
  <r>
    <x v="0"/>
    <x v="0"/>
    <x v="0"/>
    <x v="1"/>
    <x v="2"/>
    <x v="19"/>
    <n v="0"/>
    <x v="19"/>
    <x v="0"/>
  </r>
  <r>
    <x v="0"/>
    <x v="0"/>
    <x v="0"/>
    <x v="2"/>
    <x v="0"/>
    <x v="0"/>
    <n v="1"/>
    <x v="0"/>
    <x v="0"/>
  </r>
  <r>
    <x v="0"/>
    <x v="0"/>
    <x v="0"/>
    <x v="2"/>
    <x v="0"/>
    <x v="1"/>
    <n v="1"/>
    <x v="1"/>
    <x v="0"/>
  </r>
  <r>
    <x v="0"/>
    <x v="0"/>
    <x v="0"/>
    <x v="2"/>
    <x v="0"/>
    <x v="2"/>
    <n v="0"/>
    <x v="2"/>
    <x v="0"/>
  </r>
  <r>
    <x v="0"/>
    <x v="0"/>
    <x v="0"/>
    <x v="2"/>
    <x v="0"/>
    <x v="3"/>
    <n v="0"/>
    <x v="3"/>
    <x v="0"/>
  </r>
  <r>
    <x v="0"/>
    <x v="0"/>
    <x v="0"/>
    <x v="2"/>
    <x v="0"/>
    <x v="4"/>
    <n v="0"/>
    <x v="4"/>
    <x v="1"/>
  </r>
  <r>
    <x v="0"/>
    <x v="0"/>
    <x v="0"/>
    <x v="2"/>
    <x v="0"/>
    <x v="5"/>
    <n v="0"/>
    <x v="5"/>
    <x v="1"/>
  </r>
  <r>
    <x v="0"/>
    <x v="0"/>
    <x v="0"/>
    <x v="2"/>
    <x v="0"/>
    <x v="6"/>
    <n v="0"/>
    <x v="6"/>
    <x v="1"/>
  </r>
  <r>
    <x v="0"/>
    <x v="0"/>
    <x v="0"/>
    <x v="2"/>
    <x v="0"/>
    <x v="7"/>
    <n v="0"/>
    <x v="7"/>
    <x v="1"/>
  </r>
  <r>
    <x v="0"/>
    <x v="0"/>
    <x v="0"/>
    <x v="2"/>
    <x v="1"/>
    <x v="8"/>
    <n v="0"/>
    <x v="8"/>
    <x v="1"/>
  </r>
  <r>
    <x v="0"/>
    <x v="0"/>
    <x v="0"/>
    <x v="2"/>
    <x v="1"/>
    <x v="9"/>
    <n v="1"/>
    <x v="9"/>
    <x v="1"/>
  </r>
  <r>
    <x v="0"/>
    <x v="0"/>
    <x v="0"/>
    <x v="2"/>
    <x v="1"/>
    <x v="10"/>
    <n v="1"/>
    <x v="10"/>
    <x v="1"/>
  </r>
  <r>
    <x v="0"/>
    <x v="0"/>
    <x v="0"/>
    <x v="2"/>
    <x v="1"/>
    <x v="11"/>
    <n v="0"/>
    <x v="11"/>
    <x v="1"/>
  </r>
  <r>
    <x v="0"/>
    <x v="0"/>
    <x v="0"/>
    <x v="2"/>
    <x v="2"/>
    <x v="12"/>
    <n v="0"/>
    <x v="12"/>
    <x v="0"/>
  </r>
  <r>
    <x v="0"/>
    <x v="0"/>
    <x v="0"/>
    <x v="2"/>
    <x v="2"/>
    <x v="13"/>
    <n v="0"/>
    <x v="13"/>
    <x v="0"/>
  </r>
  <r>
    <x v="0"/>
    <x v="0"/>
    <x v="0"/>
    <x v="2"/>
    <x v="2"/>
    <x v="14"/>
    <n v="2"/>
    <x v="14"/>
    <x v="1"/>
  </r>
  <r>
    <x v="0"/>
    <x v="0"/>
    <x v="0"/>
    <x v="2"/>
    <x v="2"/>
    <x v="15"/>
    <n v="1"/>
    <x v="15"/>
    <x v="1"/>
  </r>
  <r>
    <x v="0"/>
    <x v="0"/>
    <x v="0"/>
    <x v="2"/>
    <x v="2"/>
    <x v="16"/>
    <n v="0"/>
    <x v="16"/>
    <x v="1"/>
  </r>
  <r>
    <x v="0"/>
    <x v="0"/>
    <x v="0"/>
    <x v="2"/>
    <x v="2"/>
    <x v="17"/>
    <n v="2"/>
    <x v="17"/>
    <x v="1"/>
  </r>
  <r>
    <x v="0"/>
    <x v="0"/>
    <x v="0"/>
    <x v="2"/>
    <x v="2"/>
    <x v="18"/>
    <n v="0"/>
    <x v="18"/>
    <x v="0"/>
  </r>
  <r>
    <x v="0"/>
    <x v="0"/>
    <x v="0"/>
    <x v="2"/>
    <x v="2"/>
    <x v="19"/>
    <n v="1"/>
    <x v="19"/>
    <x v="0"/>
  </r>
  <r>
    <x v="0"/>
    <x v="1"/>
    <x v="1"/>
    <x v="0"/>
    <x v="0"/>
    <x v="0"/>
    <n v="185"/>
    <x v="0"/>
    <x v="0"/>
  </r>
  <r>
    <x v="0"/>
    <x v="1"/>
    <x v="1"/>
    <x v="0"/>
    <x v="0"/>
    <x v="1"/>
    <n v="269"/>
    <x v="1"/>
    <x v="0"/>
  </r>
  <r>
    <x v="0"/>
    <x v="1"/>
    <x v="1"/>
    <x v="0"/>
    <x v="0"/>
    <x v="2"/>
    <n v="293"/>
    <x v="2"/>
    <x v="0"/>
  </r>
  <r>
    <x v="0"/>
    <x v="1"/>
    <x v="1"/>
    <x v="0"/>
    <x v="0"/>
    <x v="3"/>
    <n v="294"/>
    <x v="3"/>
    <x v="0"/>
  </r>
  <r>
    <x v="0"/>
    <x v="1"/>
    <x v="1"/>
    <x v="0"/>
    <x v="0"/>
    <x v="4"/>
    <n v="258"/>
    <x v="4"/>
    <x v="1"/>
  </r>
  <r>
    <x v="0"/>
    <x v="1"/>
    <x v="1"/>
    <x v="0"/>
    <x v="0"/>
    <x v="5"/>
    <n v="293"/>
    <x v="5"/>
    <x v="1"/>
  </r>
  <r>
    <x v="0"/>
    <x v="1"/>
    <x v="1"/>
    <x v="0"/>
    <x v="0"/>
    <x v="6"/>
    <n v="280"/>
    <x v="6"/>
    <x v="1"/>
  </r>
  <r>
    <x v="0"/>
    <x v="1"/>
    <x v="1"/>
    <x v="0"/>
    <x v="0"/>
    <x v="7"/>
    <n v="286"/>
    <x v="7"/>
    <x v="1"/>
  </r>
  <r>
    <x v="0"/>
    <x v="1"/>
    <x v="1"/>
    <x v="0"/>
    <x v="1"/>
    <x v="8"/>
    <n v="176"/>
    <x v="8"/>
    <x v="1"/>
  </r>
  <r>
    <x v="0"/>
    <x v="1"/>
    <x v="1"/>
    <x v="0"/>
    <x v="1"/>
    <x v="9"/>
    <n v="204"/>
    <x v="9"/>
    <x v="1"/>
  </r>
  <r>
    <x v="0"/>
    <x v="1"/>
    <x v="1"/>
    <x v="0"/>
    <x v="1"/>
    <x v="10"/>
    <n v="207"/>
    <x v="10"/>
    <x v="1"/>
  </r>
  <r>
    <x v="0"/>
    <x v="1"/>
    <x v="1"/>
    <x v="0"/>
    <x v="1"/>
    <x v="11"/>
    <n v="187"/>
    <x v="11"/>
    <x v="1"/>
  </r>
  <r>
    <x v="0"/>
    <x v="1"/>
    <x v="1"/>
    <x v="0"/>
    <x v="2"/>
    <x v="12"/>
    <n v="259"/>
    <x v="12"/>
    <x v="0"/>
  </r>
  <r>
    <x v="0"/>
    <x v="1"/>
    <x v="1"/>
    <x v="0"/>
    <x v="2"/>
    <x v="13"/>
    <n v="244"/>
    <x v="13"/>
    <x v="0"/>
  </r>
  <r>
    <x v="0"/>
    <x v="1"/>
    <x v="1"/>
    <x v="0"/>
    <x v="2"/>
    <x v="14"/>
    <n v="257"/>
    <x v="14"/>
    <x v="1"/>
  </r>
  <r>
    <x v="0"/>
    <x v="1"/>
    <x v="1"/>
    <x v="0"/>
    <x v="2"/>
    <x v="15"/>
    <n v="237"/>
    <x v="15"/>
    <x v="1"/>
  </r>
  <r>
    <x v="0"/>
    <x v="1"/>
    <x v="1"/>
    <x v="0"/>
    <x v="2"/>
    <x v="16"/>
    <n v="231"/>
    <x v="16"/>
    <x v="1"/>
  </r>
  <r>
    <x v="0"/>
    <x v="1"/>
    <x v="1"/>
    <x v="0"/>
    <x v="2"/>
    <x v="17"/>
    <n v="252"/>
    <x v="17"/>
    <x v="1"/>
  </r>
  <r>
    <x v="0"/>
    <x v="1"/>
    <x v="1"/>
    <x v="0"/>
    <x v="2"/>
    <x v="18"/>
    <n v="193"/>
    <x v="18"/>
    <x v="0"/>
  </r>
  <r>
    <x v="0"/>
    <x v="1"/>
    <x v="1"/>
    <x v="0"/>
    <x v="2"/>
    <x v="19"/>
    <n v="188"/>
    <x v="19"/>
    <x v="0"/>
  </r>
  <r>
    <x v="0"/>
    <x v="1"/>
    <x v="1"/>
    <x v="1"/>
    <x v="0"/>
    <x v="0"/>
    <n v="4"/>
    <x v="0"/>
    <x v="0"/>
  </r>
  <r>
    <x v="0"/>
    <x v="1"/>
    <x v="1"/>
    <x v="1"/>
    <x v="0"/>
    <x v="1"/>
    <n v="1"/>
    <x v="1"/>
    <x v="0"/>
  </r>
  <r>
    <x v="0"/>
    <x v="1"/>
    <x v="1"/>
    <x v="1"/>
    <x v="0"/>
    <x v="2"/>
    <n v="8"/>
    <x v="2"/>
    <x v="0"/>
  </r>
  <r>
    <x v="0"/>
    <x v="1"/>
    <x v="1"/>
    <x v="1"/>
    <x v="0"/>
    <x v="3"/>
    <n v="7"/>
    <x v="3"/>
    <x v="0"/>
  </r>
  <r>
    <x v="0"/>
    <x v="1"/>
    <x v="1"/>
    <x v="1"/>
    <x v="0"/>
    <x v="4"/>
    <n v="16"/>
    <x v="4"/>
    <x v="1"/>
  </r>
  <r>
    <x v="0"/>
    <x v="1"/>
    <x v="1"/>
    <x v="1"/>
    <x v="0"/>
    <x v="5"/>
    <n v="7"/>
    <x v="5"/>
    <x v="1"/>
  </r>
  <r>
    <x v="0"/>
    <x v="1"/>
    <x v="1"/>
    <x v="1"/>
    <x v="0"/>
    <x v="6"/>
    <n v="12"/>
    <x v="6"/>
    <x v="1"/>
  </r>
  <r>
    <x v="0"/>
    <x v="1"/>
    <x v="1"/>
    <x v="1"/>
    <x v="0"/>
    <x v="7"/>
    <n v="4"/>
    <x v="7"/>
    <x v="1"/>
  </r>
  <r>
    <x v="0"/>
    <x v="1"/>
    <x v="1"/>
    <x v="1"/>
    <x v="1"/>
    <x v="8"/>
    <n v="4"/>
    <x v="8"/>
    <x v="1"/>
  </r>
  <r>
    <x v="0"/>
    <x v="1"/>
    <x v="1"/>
    <x v="1"/>
    <x v="1"/>
    <x v="9"/>
    <n v="4"/>
    <x v="9"/>
    <x v="1"/>
  </r>
  <r>
    <x v="0"/>
    <x v="1"/>
    <x v="1"/>
    <x v="1"/>
    <x v="1"/>
    <x v="10"/>
    <n v="10"/>
    <x v="10"/>
    <x v="1"/>
  </r>
  <r>
    <x v="0"/>
    <x v="1"/>
    <x v="1"/>
    <x v="1"/>
    <x v="1"/>
    <x v="11"/>
    <n v="6"/>
    <x v="11"/>
    <x v="1"/>
  </r>
  <r>
    <x v="0"/>
    <x v="1"/>
    <x v="1"/>
    <x v="1"/>
    <x v="2"/>
    <x v="12"/>
    <n v="5"/>
    <x v="12"/>
    <x v="0"/>
  </r>
  <r>
    <x v="0"/>
    <x v="1"/>
    <x v="1"/>
    <x v="1"/>
    <x v="2"/>
    <x v="13"/>
    <n v="6"/>
    <x v="13"/>
    <x v="0"/>
  </r>
  <r>
    <x v="0"/>
    <x v="1"/>
    <x v="1"/>
    <x v="1"/>
    <x v="2"/>
    <x v="14"/>
    <n v="8"/>
    <x v="14"/>
    <x v="1"/>
  </r>
  <r>
    <x v="0"/>
    <x v="1"/>
    <x v="1"/>
    <x v="1"/>
    <x v="2"/>
    <x v="15"/>
    <n v="4"/>
    <x v="15"/>
    <x v="1"/>
  </r>
  <r>
    <x v="0"/>
    <x v="1"/>
    <x v="1"/>
    <x v="1"/>
    <x v="2"/>
    <x v="16"/>
    <n v="2"/>
    <x v="16"/>
    <x v="1"/>
  </r>
  <r>
    <x v="0"/>
    <x v="1"/>
    <x v="1"/>
    <x v="1"/>
    <x v="2"/>
    <x v="17"/>
    <n v="4"/>
    <x v="17"/>
    <x v="1"/>
  </r>
  <r>
    <x v="0"/>
    <x v="1"/>
    <x v="1"/>
    <x v="1"/>
    <x v="2"/>
    <x v="18"/>
    <n v="5"/>
    <x v="18"/>
    <x v="0"/>
  </r>
  <r>
    <x v="0"/>
    <x v="1"/>
    <x v="1"/>
    <x v="1"/>
    <x v="2"/>
    <x v="19"/>
    <n v="4"/>
    <x v="19"/>
    <x v="0"/>
  </r>
  <r>
    <x v="0"/>
    <x v="1"/>
    <x v="1"/>
    <x v="2"/>
    <x v="0"/>
    <x v="0"/>
    <n v="12"/>
    <x v="0"/>
    <x v="0"/>
  </r>
  <r>
    <x v="0"/>
    <x v="1"/>
    <x v="1"/>
    <x v="2"/>
    <x v="0"/>
    <x v="1"/>
    <n v="21"/>
    <x v="1"/>
    <x v="0"/>
  </r>
  <r>
    <x v="0"/>
    <x v="1"/>
    <x v="1"/>
    <x v="2"/>
    <x v="0"/>
    <x v="2"/>
    <n v="29"/>
    <x v="2"/>
    <x v="0"/>
  </r>
  <r>
    <x v="0"/>
    <x v="1"/>
    <x v="1"/>
    <x v="2"/>
    <x v="0"/>
    <x v="3"/>
    <n v="11"/>
    <x v="3"/>
    <x v="0"/>
  </r>
  <r>
    <x v="0"/>
    <x v="1"/>
    <x v="1"/>
    <x v="2"/>
    <x v="0"/>
    <x v="4"/>
    <n v="12"/>
    <x v="4"/>
    <x v="1"/>
  </r>
  <r>
    <x v="0"/>
    <x v="1"/>
    <x v="1"/>
    <x v="2"/>
    <x v="0"/>
    <x v="5"/>
    <n v="12"/>
    <x v="5"/>
    <x v="1"/>
  </r>
  <r>
    <x v="0"/>
    <x v="1"/>
    <x v="1"/>
    <x v="2"/>
    <x v="0"/>
    <x v="6"/>
    <n v="5"/>
    <x v="6"/>
    <x v="1"/>
  </r>
  <r>
    <x v="0"/>
    <x v="1"/>
    <x v="1"/>
    <x v="2"/>
    <x v="0"/>
    <x v="7"/>
    <n v="7"/>
    <x v="7"/>
    <x v="1"/>
  </r>
  <r>
    <x v="0"/>
    <x v="1"/>
    <x v="1"/>
    <x v="2"/>
    <x v="1"/>
    <x v="8"/>
    <n v="3"/>
    <x v="8"/>
    <x v="1"/>
  </r>
  <r>
    <x v="0"/>
    <x v="1"/>
    <x v="1"/>
    <x v="2"/>
    <x v="1"/>
    <x v="9"/>
    <n v="3"/>
    <x v="9"/>
    <x v="1"/>
  </r>
  <r>
    <x v="0"/>
    <x v="1"/>
    <x v="1"/>
    <x v="2"/>
    <x v="1"/>
    <x v="10"/>
    <n v="4"/>
    <x v="10"/>
    <x v="1"/>
  </r>
  <r>
    <x v="0"/>
    <x v="1"/>
    <x v="1"/>
    <x v="2"/>
    <x v="1"/>
    <x v="11"/>
    <n v="5"/>
    <x v="11"/>
    <x v="1"/>
  </r>
  <r>
    <x v="0"/>
    <x v="1"/>
    <x v="1"/>
    <x v="2"/>
    <x v="2"/>
    <x v="12"/>
    <n v="0"/>
    <x v="12"/>
    <x v="0"/>
  </r>
  <r>
    <x v="0"/>
    <x v="1"/>
    <x v="1"/>
    <x v="2"/>
    <x v="2"/>
    <x v="13"/>
    <n v="4"/>
    <x v="13"/>
    <x v="0"/>
  </r>
  <r>
    <x v="0"/>
    <x v="1"/>
    <x v="1"/>
    <x v="2"/>
    <x v="2"/>
    <x v="14"/>
    <n v="2"/>
    <x v="14"/>
    <x v="1"/>
  </r>
  <r>
    <x v="0"/>
    <x v="1"/>
    <x v="1"/>
    <x v="2"/>
    <x v="2"/>
    <x v="15"/>
    <n v="4"/>
    <x v="15"/>
    <x v="1"/>
  </r>
  <r>
    <x v="0"/>
    <x v="1"/>
    <x v="1"/>
    <x v="2"/>
    <x v="2"/>
    <x v="16"/>
    <n v="2"/>
    <x v="16"/>
    <x v="1"/>
  </r>
  <r>
    <x v="0"/>
    <x v="1"/>
    <x v="1"/>
    <x v="2"/>
    <x v="2"/>
    <x v="17"/>
    <n v="6"/>
    <x v="17"/>
    <x v="1"/>
  </r>
  <r>
    <x v="0"/>
    <x v="1"/>
    <x v="1"/>
    <x v="2"/>
    <x v="2"/>
    <x v="18"/>
    <n v="5"/>
    <x v="18"/>
    <x v="0"/>
  </r>
  <r>
    <x v="0"/>
    <x v="1"/>
    <x v="1"/>
    <x v="2"/>
    <x v="2"/>
    <x v="19"/>
    <n v="2"/>
    <x v="19"/>
    <x v="0"/>
  </r>
  <r>
    <x v="1"/>
    <x v="2"/>
    <x v="1"/>
    <x v="0"/>
    <x v="0"/>
    <x v="0"/>
    <n v="18"/>
    <x v="0"/>
    <x v="0"/>
  </r>
  <r>
    <x v="1"/>
    <x v="2"/>
    <x v="1"/>
    <x v="0"/>
    <x v="0"/>
    <x v="1"/>
    <n v="18"/>
    <x v="1"/>
    <x v="0"/>
  </r>
  <r>
    <x v="1"/>
    <x v="2"/>
    <x v="1"/>
    <x v="0"/>
    <x v="0"/>
    <x v="2"/>
    <n v="27"/>
    <x v="2"/>
    <x v="0"/>
  </r>
  <r>
    <x v="1"/>
    <x v="2"/>
    <x v="1"/>
    <x v="0"/>
    <x v="0"/>
    <x v="3"/>
    <n v="29"/>
    <x v="3"/>
    <x v="0"/>
  </r>
  <r>
    <x v="1"/>
    <x v="2"/>
    <x v="1"/>
    <x v="0"/>
    <x v="0"/>
    <x v="4"/>
    <n v="17"/>
    <x v="4"/>
    <x v="1"/>
  </r>
  <r>
    <x v="1"/>
    <x v="2"/>
    <x v="1"/>
    <x v="0"/>
    <x v="0"/>
    <x v="5"/>
    <n v="26"/>
    <x v="5"/>
    <x v="1"/>
  </r>
  <r>
    <x v="1"/>
    <x v="2"/>
    <x v="1"/>
    <x v="0"/>
    <x v="0"/>
    <x v="6"/>
    <n v="24"/>
    <x v="6"/>
    <x v="1"/>
  </r>
  <r>
    <x v="1"/>
    <x v="2"/>
    <x v="1"/>
    <x v="0"/>
    <x v="0"/>
    <x v="7"/>
    <n v="26"/>
    <x v="7"/>
    <x v="1"/>
  </r>
  <r>
    <x v="1"/>
    <x v="2"/>
    <x v="1"/>
    <x v="0"/>
    <x v="1"/>
    <x v="8"/>
    <n v="10"/>
    <x v="8"/>
    <x v="1"/>
  </r>
  <r>
    <x v="1"/>
    <x v="2"/>
    <x v="1"/>
    <x v="0"/>
    <x v="1"/>
    <x v="9"/>
    <n v="11"/>
    <x v="9"/>
    <x v="1"/>
  </r>
  <r>
    <x v="1"/>
    <x v="2"/>
    <x v="1"/>
    <x v="0"/>
    <x v="1"/>
    <x v="10"/>
    <n v="12"/>
    <x v="10"/>
    <x v="1"/>
  </r>
  <r>
    <x v="1"/>
    <x v="2"/>
    <x v="1"/>
    <x v="0"/>
    <x v="1"/>
    <x v="11"/>
    <n v="14"/>
    <x v="11"/>
    <x v="1"/>
  </r>
  <r>
    <x v="1"/>
    <x v="2"/>
    <x v="1"/>
    <x v="0"/>
    <x v="2"/>
    <x v="12"/>
    <n v="10"/>
    <x v="12"/>
    <x v="0"/>
  </r>
  <r>
    <x v="1"/>
    <x v="2"/>
    <x v="1"/>
    <x v="0"/>
    <x v="2"/>
    <x v="13"/>
    <n v="12"/>
    <x v="13"/>
    <x v="0"/>
  </r>
  <r>
    <x v="1"/>
    <x v="2"/>
    <x v="1"/>
    <x v="0"/>
    <x v="2"/>
    <x v="14"/>
    <n v="11"/>
    <x v="14"/>
    <x v="1"/>
  </r>
  <r>
    <x v="1"/>
    <x v="2"/>
    <x v="1"/>
    <x v="0"/>
    <x v="2"/>
    <x v="15"/>
    <n v="14"/>
    <x v="15"/>
    <x v="1"/>
  </r>
  <r>
    <x v="1"/>
    <x v="2"/>
    <x v="1"/>
    <x v="0"/>
    <x v="2"/>
    <x v="16"/>
    <n v="16"/>
    <x v="16"/>
    <x v="1"/>
  </r>
  <r>
    <x v="1"/>
    <x v="2"/>
    <x v="1"/>
    <x v="0"/>
    <x v="2"/>
    <x v="17"/>
    <n v="16"/>
    <x v="17"/>
    <x v="1"/>
  </r>
  <r>
    <x v="1"/>
    <x v="2"/>
    <x v="1"/>
    <x v="0"/>
    <x v="2"/>
    <x v="18"/>
    <n v="8"/>
    <x v="18"/>
    <x v="0"/>
  </r>
  <r>
    <x v="1"/>
    <x v="2"/>
    <x v="1"/>
    <x v="0"/>
    <x v="2"/>
    <x v="19"/>
    <n v="9"/>
    <x v="19"/>
    <x v="0"/>
  </r>
  <r>
    <x v="1"/>
    <x v="2"/>
    <x v="1"/>
    <x v="1"/>
    <x v="0"/>
    <x v="0"/>
    <n v="0"/>
    <x v="0"/>
    <x v="0"/>
  </r>
  <r>
    <x v="1"/>
    <x v="2"/>
    <x v="1"/>
    <x v="1"/>
    <x v="0"/>
    <x v="1"/>
    <n v="0"/>
    <x v="1"/>
    <x v="0"/>
  </r>
  <r>
    <x v="1"/>
    <x v="2"/>
    <x v="1"/>
    <x v="1"/>
    <x v="0"/>
    <x v="2"/>
    <n v="0"/>
    <x v="2"/>
    <x v="0"/>
  </r>
  <r>
    <x v="1"/>
    <x v="2"/>
    <x v="1"/>
    <x v="1"/>
    <x v="0"/>
    <x v="3"/>
    <n v="0"/>
    <x v="3"/>
    <x v="0"/>
  </r>
  <r>
    <x v="1"/>
    <x v="2"/>
    <x v="1"/>
    <x v="1"/>
    <x v="0"/>
    <x v="4"/>
    <n v="0"/>
    <x v="4"/>
    <x v="1"/>
  </r>
  <r>
    <x v="1"/>
    <x v="2"/>
    <x v="1"/>
    <x v="1"/>
    <x v="0"/>
    <x v="5"/>
    <n v="0"/>
    <x v="5"/>
    <x v="1"/>
  </r>
  <r>
    <x v="1"/>
    <x v="2"/>
    <x v="1"/>
    <x v="1"/>
    <x v="0"/>
    <x v="6"/>
    <n v="0"/>
    <x v="6"/>
    <x v="1"/>
  </r>
  <r>
    <x v="1"/>
    <x v="2"/>
    <x v="1"/>
    <x v="1"/>
    <x v="0"/>
    <x v="7"/>
    <n v="1"/>
    <x v="7"/>
    <x v="1"/>
  </r>
  <r>
    <x v="1"/>
    <x v="2"/>
    <x v="1"/>
    <x v="1"/>
    <x v="1"/>
    <x v="8"/>
    <n v="0"/>
    <x v="8"/>
    <x v="1"/>
  </r>
  <r>
    <x v="1"/>
    <x v="2"/>
    <x v="1"/>
    <x v="1"/>
    <x v="1"/>
    <x v="9"/>
    <n v="0"/>
    <x v="9"/>
    <x v="1"/>
  </r>
  <r>
    <x v="1"/>
    <x v="2"/>
    <x v="1"/>
    <x v="1"/>
    <x v="1"/>
    <x v="10"/>
    <n v="0"/>
    <x v="10"/>
    <x v="1"/>
  </r>
  <r>
    <x v="1"/>
    <x v="2"/>
    <x v="1"/>
    <x v="1"/>
    <x v="1"/>
    <x v="11"/>
    <n v="0"/>
    <x v="11"/>
    <x v="1"/>
  </r>
  <r>
    <x v="1"/>
    <x v="2"/>
    <x v="1"/>
    <x v="1"/>
    <x v="2"/>
    <x v="12"/>
    <n v="0"/>
    <x v="12"/>
    <x v="0"/>
  </r>
  <r>
    <x v="1"/>
    <x v="2"/>
    <x v="1"/>
    <x v="1"/>
    <x v="2"/>
    <x v="13"/>
    <n v="0"/>
    <x v="13"/>
    <x v="0"/>
  </r>
  <r>
    <x v="1"/>
    <x v="2"/>
    <x v="1"/>
    <x v="1"/>
    <x v="2"/>
    <x v="14"/>
    <n v="0"/>
    <x v="14"/>
    <x v="1"/>
  </r>
  <r>
    <x v="1"/>
    <x v="2"/>
    <x v="1"/>
    <x v="1"/>
    <x v="2"/>
    <x v="15"/>
    <n v="0"/>
    <x v="15"/>
    <x v="1"/>
  </r>
  <r>
    <x v="1"/>
    <x v="2"/>
    <x v="1"/>
    <x v="1"/>
    <x v="2"/>
    <x v="16"/>
    <n v="0"/>
    <x v="16"/>
    <x v="1"/>
  </r>
  <r>
    <x v="1"/>
    <x v="2"/>
    <x v="1"/>
    <x v="1"/>
    <x v="2"/>
    <x v="17"/>
    <n v="0"/>
    <x v="17"/>
    <x v="1"/>
  </r>
  <r>
    <x v="1"/>
    <x v="2"/>
    <x v="1"/>
    <x v="1"/>
    <x v="2"/>
    <x v="18"/>
    <n v="0"/>
    <x v="18"/>
    <x v="0"/>
  </r>
  <r>
    <x v="1"/>
    <x v="2"/>
    <x v="1"/>
    <x v="1"/>
    <x v="2"/>
    <x v="19"/>
    <n v="0"/>
    <x v="19"/>
    <x v="0"/>
  </r>
  <r>
    <x v="1"/>
    <x v="2"/>
    <x v="1"/>
    <x v="2"/>
    <x v="0"/>
    <x v="0"/>
    <n v="2"/>
    <x v="0"/>
    <x v="0"/>
  </r>
  <r>
    <x v="1"/>
    <x v="2"/>
    <x v="1"/>
    <x v="2"/>
    <x v="0"/>
    <x v="1"/>
    <n v="1"/>
    <x v="1"/>
    <x v="0"/>
  </r>
  <r>
    <x v="1"/>
    <x v="2"/>
    <x v="1"/>
    <x v="2"/>
    <x v="0"/>
    <x v="2"/>
    <n v="3"/>
    <x v="2"/>
    <x v="0"/>
  </r>
  <r>
    <x v="1"/>
    <x v="2"/>
    <x v="1"/>
    <x v="2"/>
    <x v="0"/>
    <x v="3"/>
    <n v="2"/>
    <x v="3"/>
    <x v="0"/>
  </r>
  <r>
    <x v="1"/>
    <x v="2"/>
    <x v="1"/>
    <x v="2"/>
    <x v="0"/>
    <x v="4"/>
    <n v="1"/>
    <x v="4"/>
    <x v="1"/>
  </r>
  <r>
    <x v="1"/>
    <x v="2"/>
    <x v="1"/>
    <x v="2"/>
    <x v="0"/>
    <x v="5"/>
    <n v="3"/>
    <x v="5"/>
    <x v="1"/>
  </r>
  <r>
    <x v="1"/>
    <x v="2"/>
    <x v="1"/>
    <x v="2"/>
    <x v="0"/>
    <x v="6"/>
    <n v="2"/>
    <x v="6"/>
    <x v="1"/>
  </r>
  <r>
    <x v="1"/>
    <x v="2"/>
    <x v="1"/>
    <x v="2"/>
    <x v="0"/>
    <x v="7"/>
    <n v="0"/>
    <x v="7"/>
    <x v="1"/>
  </r>
  <r>
    <x v="1"/>
    <x v="2"/>
    <x v="1"/>
    <x v="2"/>
    <x v="1"/>
    <x v="8"/>
    <n v="0"/>
    <x v="8"/>
    <x v="1"/>
  </r>
  <r>
    <x v="1"/>
    <x v="2"/>
    <x v="1"/>
    <x v="2"/>
    <x v="1"/>
    <x v="9"/>
    <n v="0"/>
    <x v="9"/>
    <x v="1"/>
  </r>
  <r>
    <x v="1"/>
    <x v="2"/>
    <x v="1"/>
    <x v="2"/>
    <x v="1"/>
    <x v="10"/>
    <n v="1"/>
    <x v="10"/>
    <x v="1"/>
  </r>
  <r>
    <x v="1"/>
    <x v="2"/>
    <x v="1"/>
    <x v="2"/>
    <x v="1"/>
    <x v="11"/>
    <n v="0"/>
    <x v="11"/>
    <x v="1"/>
  </r>
  <r>
    <x v="1"/>
    <x v="2"/>
    <x v="1"/>
    <x v="2"/>
    <x v="2"/>
    <x v="12"/>
    <n v="0"/>
    <x v="12"/>
    <x v="0"/>
  </r>
  <r>
    <x v="1"/>
    <x v="2"/>
    <x v="1"/>
    <x v="2"/>
    <x v="2"/>
    <x v="13"/>
    <n v="0"/>
    <x v="13"/>
    <x v="0"/>
  </r>
  <r>
    <x v="1"/>
    <x v="2"/>
    <x v="1"/>
    <x v="2"/>
    <x v="2"/>
    <x v="14"/>
    <n v="1"/>
    <x v="14"/>
    <x v="1"/>
  </r>
  <r>
    <x v="1"/>
    <x v="2"/>
    <x v="1"/>
    <x v="2"/>
    <x v="2"/>
    <x v="15"/>
    <n v="1"/>
    <x v="15"/>
    <x v="1"/>
  </r>
  <r>
    <x v="1"/>
    <x v="2"/>
    <x v="1"/>
    <x v="2"/>
    <x v="2"/>
    <x v="16"/>
    <n v="0"/>
    <x v="16"/>
    <x v="1"/>
  </r>
  <r>
    <x v="1"/>
    <x v="2"/>
    <x v="1"/>
    <x v="2"/>
    <x v="2"/>
    <x v="17"/>
    <n v="0"/>
    <x v="17"/>
    <x v="1"/>
  </r>
  <r>
    <x v="1"/>
    <x v="2"/>
    <x v="1"/>
    <x v="2"/>
    <x v="2"/>
    <x v="18"/>
    <n v="0"/>
    <x v="18"/>
    <x v="0"/>
  </r>
  <r>
    <x v="1"/>
    <x v="2"/>
    <x v="1"/>
    <x v="2"/>
    <x v="2"/>
    <x v="19"/>
    <n v="1"/>
    <x v="19"/>
    <x v="0"/>
  </r>
  <r>
    <x v="1"/>
    <x v="3"/>
    <x v="2"/>
    <x v="0"/>
    <x v="0"/>
    <x v="0"/>
    <n v="1"/>
    <x v="0"/>
    <x v="0"/>
  </r>
  <r>
    <x v="1"/>
    <x v="3"/>
    <x v="2"/>
    <x v="0"/>
    <x v="0"/>
    <x v="1"/>
    <n v="2"/>
    <x v="1"/>
    <x v="0"/>
  </r>
  <r>
    <x v="1"/>
    <x v="3"/>
    <x v="2"/>
    <x v="0"/>
    <x v="0"/>
    <x v="2"/>
    <n v="2"/>
    <x v="2"/>
    <x v="0"/>
  </r>
  <r>
    <x v="1"/>
    <x v="3"/>
    <x v="2"/>
    <x v="0"/>
    <x v="0"/>
    <x v="3"/>
    <n v="1"/>
    <x v="3"/>
    <x v="0"/>
  </r>
  <r>
    <x v="1"/>
    <x v="3"/>
    <x v="2"/>
    <x v="0"/>
    <x v="0"/>
    <x v="4"/>
    <n v="0"/>
    <x v="4"/>
    <x v="1"/>
  </r>
  <r>
    <x v="1"/>
    <x v="3"/>
    <x v="2"/>
    <x v="0"/>
    <x v="0"/>
    <x v="5"/>
    <n v="3"/>
    <x v="5"/>
    <x v="1"/>
  </r>
  <r>
    <x v="1"/>
    <x v="3"/>
    <x v="2"/>
    <x v="0"/>
    <x v="0"/>
    <x v="6"/>
    <n v="10"/>
    <x v="6"/>
    <x v="1"/>
  </r>
  <r>
    <x v="1"/>
    <x v="3"/>
    <x v="2"/>
    <x v="0"/>
    <x v="0"/>
    <x v="7"/>
    <n v="2"/>
    <x v="7"/>
    <x v="1"/>
  </r>
  <r>
    <x v="1"/>
    <x v="3"/>
    <x v="2"/>
    <x v="0"/>
    <x v="1"/>
    <x v="8"/>
    <n v="3"/>
    <x v="8"/>
    <x v="1"/>
  </r>
  <r>
    <x v="1"/>
    <x v="3"/>
    <x v="2"/>
    <x v="0"/>
    <x v="1"/>
    <x v="9"/>
    <n v="2"/>
    <x v="9"/>
    <x v="1"/>
  </r>
  <r>
    <x v="1"/>
    <x v="3"/>
    <x v="2"/>
    <x v="0"/>
    <x v="1"/>
    <x v="10"/>
    <n v="1"/>
    <x v="10"/>
    <x v="1"/>
  </r>
  <r>
    <x v="1"/>
    <x v="3"/>
    <x v="2"/>
    <x v="0"/>
    <x v="1"/>
    <x v="11"/>
    <n v="3"/>
    <x v="11"/>
    <x v="1"/>
  </r>
  <r>
    <x v="1"/>
    <x v="3"/>
    <x v="2"/>
    <x v="0"/>
    <x v="2"/>
    <x v="12"/>
    <n v="1"/>
    <x v="12"/>
    <x v="0"/>
  </r>
  <r>
    <x v="1"/>
    <x v="3"/>
    <x v="2"/>
    <x v="0"/>
    <x v="2"/>
    <x v="13"/>
    <n v="1"/>
    <x v="13"/>
    <x v="0"/>
  </r>
  <r>
    <x v="1"/>
    <x v="3"/>
    <x v="2"/>
    <x v="0"/>
    <x v="2"/>
    <x v="14"/>
    <n v="0"/>
    <x v="14"/>
    <x v="1"/>
  </r>
  <r>
    <x v="1"/>
    <x v="3"/>
    <x v="2"/>
    <x v="0"/>
    <x v="2"/>
    <x v="15"/>
    <n v="2"/>
    <x v="15"/>
    <x v="1"/>
  </r>
  <r>
    <x v="1"/>
    <x v="3"/>
    <x v="2"/>
    <x v="0"/>
    <x v="2"/>
    <x v="16"/>
    <n v="2"/>
    <x v="16"/>
    <x v="1"/>
  </r>
  <r>
    <x v="1"/>
    <x v="3"/>
    <x v="2"/>
    <x v="0"/>
    <x v="2"/>
    <x v="17"/>
    <n v="0"/>
    <x v="17"/>
    <x v="1"/>
  </r>
  <r>
    <x v="1"/>
    <x v="3"/>
    <x v="2"/>
    <x v="0"/>
    <x v="2"/>
    <x v="18"/>
    <n v="0"/>
    <x v="18"/>
    <x v="0"/>
  </r>
  <r>
    <x v="1"/>
    <x v="3"/>
    <x v="2"/>
    <x v="0"/>
    <x v="2"/>
    <x v="19"/>
    <n v="2"/>
    <x v="19"/>
    <x v="0"/>
  </r>
  <r>
    <x v="1"/>
    <x v="3"/>
    <x v="2"/>
    <x v="1"/>
    <x v="0"/>
    <x v="0"/>
    <n v="0"/>
    <x v="0"/>
    <x v="0"/>
  </r>
  <r>
    <x v="1"/>
    <x v="3"/>
    <x v="2"/>
    <x v="1"/>
    <x v="0"/>
    <x v="1"/>
    <n v="0"/>
    <x v="1"/>
    <x v="0"/>
  </r>
  <r>
    <x v="1"/>
    <x v="3"/>
    <x v="2"/>
    <x v="1"/>
    <x v="0"/>
    <x v="2"/>
    <n v="0"/>
    <x v="2"/>
    <x v="0"/>
  </r>
  <r>
    <x v="1"/>
    <x v="3"/>
    <x v="2"/>
    <x v="1"/>
    <x v="0"/>
    <x v="3"/>
    <n v="0"/>
    <x v="3"/>
    <x v="0"/>
  </r>
  <r>
    <x v="1"/>
    <x v="3"/>
    <x v="2"/>
    <x v="1"/>
    <x v="0"/>
    <x v="4"/>
    <n v="0"/>
    <x v="4"/>
    <x v="1"/>
  </r>
  <r>
    <x v="1"/>
    <x v="3"/>
    <x v="2"/>
    <x v="1"/>
    <x v="0"/>
    <x v="5"/>
    <n v="0"/>
    <x v="5"/>
    <x v="1"/>
  </r>
  <r>
    <x v="1"/>
    <x v="3"/>
    <x v="2"/>
    <x v="1"/>
    <x v="0"/>
    <x v="6"/>
    <n v="0"/>
    <x v="6"/>
    <x v="1"/>
  </r>
  <r>
    <x v="1"/>
    <x v="3"/>
    <x v="2"/>
    <x v="1"/>
    <x v="0"/>
    <x v="7"/>
    <n v="0"/>
    <x v="7"/>
    <x v="1"/>
  </r>
  <r>
    <x v="1"/>
    <x v="3"/>
    <x v="2"/>
    <x v="1"/>
    <x v="1"/>
    <x v="8"/>
    <n v="0"/>
    <x v="8"/>
    <x v="1"/>
  </r>
  <r>
    <x v="1"/>
    <x v="3"/>
    <x v="2"/>
    <x v="1"/>
    <x v="1"/>
    <x v="9"/>
    <n v="0"/>
    <x v="9"/>
    <x v="1"/>
  </r>
  <r>
    <x v="1"/>
    <x v="3"/>
    <x v="2"/>
    <x v="1"/>
    <x v="1"/>
    <x v="10"/>
    <n v="0"/>
    <x v="10"/>
    <x v="1"/>
  </r>
  <r>
    <x v="1"/>
    <x v="3"/>
    <x v="2"/>
    <x v="1"/>
    <x v="1"/>
    <x v="11"/>
    <n v="0"/>
    <x v="11"/>
    <x v="1"/>
  </r>
  <r>
    <x v="1"/>
    <x v="3"/>
    <x v="2"/>
    <x v="1"/>
    <x v="2"/>
    <x v="12"/>
    <n v="0"/>
    <x v="12"/>
    <x v="0"/>
  </r>
  <r>
    <x v="1"/>
    <x v="3"/>
    <x v="2"/>
    <x v="1"/>
    <x v="2"/>
    <x v="13"/>
    <n v="0"/>
    <x v="13"/>
    <x v="0"/>
  </r>
  <r>
    <x v="1"/>
    <x v="3"/>
    <x v="2"/>
    <x v="1"/>
    <x v="2"/>
    <x v="14"/>
    <n v="0"/>
    <x v="14"/>
    <x v="1"/>
  </r>
  <r>
    <x v="1"/>
    <x v="3"/>
    <x v="2"/>
    <x v="1"/>
    <x v="2"/>
    <x v="15"/>
    <n v="0"/>
    <x v="15"/>
    <x v="1"/>
  </r>
  <r>
    <x v="1"/>
    <x v="3"/>
    <x v="2"/>
    <x v="1"/>
    <x v="2"/>
    <x v="16"/>
    <n v="0"/>
    <x v="16"/>
    <x v="1"/>
  </r>
  <r>
    <x v="1"/>
    <x v="3"/>
    <x v="2"/>
    <x v="1"/>
    <x v="2"/>
    <x v="17"/>
    <n v="0"/>
    <x v="17"/>
    <x v="1"/>
  </r>
  <r>
    <x v="1"/>
    <x v="3"/>
    <x v="2"/>
    <x v="1"/>
    <x v="2"/>
    <x v="18"/>
    <n v="0"/>
    <x v="18"/>
    <x v="0"/>
  </r>
  <r>
    <x v="1"/>
    <x v="3"/>
    <x v="2"/>
    <x v="1"/>
    <x v="2"/>
    <x v="19"/>
    <n v="0"/>
    <x v="19"/>
    <x v="0"/>
  </r>
  <r>
    <x v="1"/>
    <x v="3"/>
    <x v="2"/>
    <x v="2"/>
    <x v="0"/>
    <x v="0"/>
    <n v="0"/>
    <x v="0"/>
    <x v="0"/>
  </r>
  <r>
    <x v="1"/>
    <x v="3"/>
    <x v="2"/>
    <x v="2"/>
    <x v="0"/>
    <x v="1"/>
    <n v="0"/>
    <x v="1"/>
    <x v="0"/>
  </r>
  <r>
    <x v="1"/>
    <x v="3"/>
    <x v="2"/>
    <x v="2"/>
    <x v="0"/>
    <x v="2"/>
    <n v="0"/>
    <x v="2"/>
    <x v="0"/>
  </r>
  <r>
    <x v="1"/>
    <x v="3"/>
    <x v="2"/>
    <x v="2"/>
    <x v="0"/>
    <x v="3"/>
    <n v="0"/>
    <x v="3"/>
    <x v="0"/>
  </r>
  <r>
    <x v="1"/>
    <x v="3"/>
    <x v="2"/>
    <x v="2"/>
    <x v="0"/>
    <x v="4"/>
    <n v="0"/>
    <x v="4"/>
    <x v="1"/>
  </r>
  <r>
    <x v="1"/>
    <x v="3"/>
    <x v="2"/>
    <x v="2"/>
    <x v="0"/>
    <x v="5"/>
    <n v="0"/>
    <x v="5"/>
    <x v="1"/>
  </r>
  <r>
    <x v="1"/>
    <x v="3"/>
    <x v="2"/>
    <x v="2"/>
    <x v="0"/>
    <x v="6"/>
    <n v="0"/>
    <x v="6"/>
    <x v="1"/>
  </r>
  <r>
    <x v="1"/>
    <x v="3"/>
    <x v="2"/>
    <x v="2"/>
    <x v="0"/>
    <x v="7"/>
    <n v="0"/>
    <x v="7"/>
    <x v="1"/>
  </r>
  <r>
    <x v="1"/>
    <x v="3"/>
    <x v="2"/>
    <x v="2"/>
    <x v="1"/>
    <x v="8"/>
    <n v="0"/>
    <x v="8"/>
    <x v="1"/>
  </r>
  <r>
    <x v="1"/>
    <x v="3"/>
    <x v="2"/>
    <x v="2"/>
    <x v="1"/>
    <x v="9"/>
    <n v="0"/>
    <x v="9"/>
    <x v="1"/>
  </r>
  <r>
    <x v="1"/>
    <x v="3"/>
    <x v="2"/>
    <x v="2"/>
    <x v="1"/>
    <x v="10"/>
    <n v="0"/>
    <x v="10"/>
    <x v="1"/>
  </r>
  <r>
    <x v="1"/>
    <x v="3"/>
    <x v="2"/>
    <x v="2"/>
    <x v="1"/>
    <x v="11"/>
    <n v="0"/>
    <x v="11"/>
    <x v="1"/>
  </r>
  <r>
    <x v="1"/>
    <x v="3"/>
    <x v="2"/>
    <x v="2"/>
    <x v="2"/>
    <x v="12"/>
    <n v="0"/>
    <x v="12"/>
    <x v="0"/>
  </r>
  <r>
    <x v="1"/>
    <x v="3"/>
    <x v="2"/>
    <x v="2"/>
    <x v="2"/>
    <x v="13"/>
    <n v="0"/>
    <x v="13"/>
    <x v="0"/>
  </r>
  <r>
    <x v="1"/>
    <x v="3"/>
    <x v="2"/>
    <x v="2"/>
    <x v="2"/>
    <x v="14"/>
    <n v="0"/>
    <x v="14"/>
    <x v="1"/>
  </r>
  <r>
    <x v="1"/>
    <x v="3"/>
    <x v="2"/>
    <x v="2"/>
    <x v="2"/>
    <x v="15"/>
    <n v="0"/>
    <x v="15"/>
    <x v="1"/>
  </r>
  <r>
    <x v="1"/>
    <x v="3"/>
    <x v="2"/>
    <x v="2"/>
    <x v="2"/>
    <x v="16"/>
    <n v="0"/>
    <x v="16"/>
    <x v="1"/>
  </r>
  <r>
    <x v="1"/>
    <x v="3"/>
    <x v="2"/>
    <x v="2"/>
    <x v="2"/>
    <x v="17"/>
    <n v="0"/>
    <x v="17"/>
    <x v="1"/>
  </r>
  <r>
    <x v="1"/>
    <x v="3"/>
    <x v="2"/>
    <x v="2"/>
    <x v="2"/>
    <x v="18"/>
    <n v="0"/>
    <x v="18"/>
    <x v="0"/>
  </r>
  <r>
    <x v="1"/>
    <x v="3"/>
    <x v="2"/>
    <x v="2"/>
    <x v="2"/>
    <x v="19"/>
    <n v="0"/>
    <x v="19"/>
    <x v="0"/>
  </r>
  <r>
    <x v="2"/>
    <x v="4"/>
    <x v="2"/>
    <x v="0"/>
    <x v="0"/>
    <x v="0"/>
    <n v="79"/>
    <x v="0"/>
    <x v="0"/>
  </r>
  <r>
    <x v="2"/>
    <x v="4"/>
    <x v="2"/>
    <x v="0"/>
    <x v="0"/>
    <x v="1"/>
    <n v="130"/>
    <x v="1"/>
    <x v="0"/>
  </r>
  <r>
    <x v="2"/>
    <x v="4"/>
    <x v="2"/>
    <x v="0"/>
    <x v="0"/>
    <x v="2"/>
    <n v="118"/>
    <x v="2"/>
    <x v="0"/>
  </r>
  <r>
    <x v="2"/>
    <x v="4"/>
    <x v="2"/>
    <x v="0"/>
    <x v="0"/>
    <x v="3"/>
    <n v="130"/>
    <x v="3"/>
    <x v="0"/>
  </r>
  <r>
    <x v="2"/>
    <x v="4"/>
    <x v="2"/>
    <x v="0"/>
    <x v="0"/>
    <x v="4"/>
    <n v="136"/>
    <x v="4"/>
    <x v="1"/>
  </r>
  <r>
    <x v="2"/>
    <x v="4"/>
    <x v="2"/>
    <x v="0"/>
    <x v="0"/>
    <x v="5"/>
    <n v="145"/>
    <x v="5"/>
    <x v="1"/>
  </r>
  <r>
    <x v="2"/>
    <x v="4"/>
    <x v="2"/>
    <x v="0"/>
    <x v="0"/>
    <x v="6"/>
    <n v="146"/>
    <x v="6"/>
    <x v="1"/>
  </r>
  <r>
    <x v="2"/>
    <x v="4"/>
    <x v="2"/>
    <x v="0"/>
    <x v="0"/>
    <x v="7"/>
    <n v="166"/>
    <x v="7"/>
    <x v="1"/>
  </r>
  <r>
    <x v="2"/>
    <x v="4"/>
    <x v="2"/>
    <x v="0"/>
    <x v="1"/>
    <x v="8"/>
    <n v="240"/>
    <x v="8"/>
    <x v="1"/>
  </r>
  <r>
    <x v="2"/>
    <x v="4"/>
    <x v="2"/>
    <x v="0"/>
    <x v="1"/>
    <x v="9"/>
    <n v="248"/>
    <x v="9"/>
    <x v="1"/>
  </r>
  <r>
    <x v="2"/>
    <x v="4"/>
    <x v="2"/>
    <x v="0"/>
    <x v="1"/>
    <x v="10"/>
    <n v="231"/>
    <x v="10"/>
    <x v="1"/>
  </r>
  <r>
    <x v="2"/>
    <x v="4"/>
    <x v="2"/>
    <x v="0"/>
    <x v="1"/>
    <x v="11"/>
    <n v="209"/>
    <x v="11"/>
    <x v="1"/>
  </r>
  <r>
    <x v="2"/>
    <x v="4"/>
    <x v="2"/>
    <x v="0"/>
    <x v="2"/>
    <x v="12"/>
    <n v="274"/>
    <x v="12"/>
    <x v="0"/>
  </r>
  <r>
    <x v="2"/>
    <x v="4"/>
    <x v="2"/>
    <x v="0"/>
    <x v="2"/>
    <x v="13"/>
    <n v="290"/>
    <x v="13"/>
    <x v="0"/>
  </r>
  <r>
    <x v="2"/>
    <x v="4"/>
    <x v="2"/>
    <x v="0"/>
    <x v="2"/>
    <x v="14"/>
    <n v="287"/>
    <x v="14"/>
    <x v="1"/>
  </r>
  <r>
    <x v="2"/>
    <x v="4"/>
    <x v="2"/>
    <x v="0"/>
    <x v="2"/>
    <x v="15"/>
    <n v="270"/>
    <x v="15"/>
    <x v="1"/>
  </r>
  <r>
    <x v="2"/>
    <x v="4"/>
    <x v="2"/>
    <x v="0"/>
    <x v="2"/>
    <x v="16"/>
    <n v="283"/>
    <x v="16"/>
    <x v="1"/>
  </r>
  <r>
    <x v="2"/>
    <x v="4"/>
    <x v="2"/>
    <x v="0"/>
    <x v="2"/>
    <x v="17"/>
    <n v="309"/>
    <x v="17"/>
    <x v="1"/>
  </r>
  <r>
    <x v="2"/>
    <x v="4"/>
    <x v="2"/>
    <x v="0"/>
    <x v="2"/>
    <x v="18"/>
    <n v="317"/>
    <x v="18"/>
    <x v="0"/>
  </r>
  <r>
    <x v="2"/>
    <x v="4"/>
    <x v="2"/>
    <x v="0"/>
    <x v="2"/>
    <x v="19"/>
    <n v="314"/>
    <x v="19"/>
    <x v="0"/>
  </r>
  <r>
    <x v="2"/>
    <x v="4"/>
    <x v="2"/>
    <x v="1"/>
    <x v="0"/>
    <x v="0"/>
    <n v="9"/>
    <x v="0"/>
    <x v="0"/>
  </r>
  <r>
    <x v="2"/>
    <x v="4"/>
    <x v="2"/>
    <x v="1"/>
    <x v="0"/>
    <x v="1"/>
    <n v="8"/>
    <x v="1"/>
    <x v="0"/>
  </r>
  <r>
    <x v="2"/>
    <x v="4"/>
    <x v="2"/>
    <x v="1"/>
    <x v="0"/>
    <x v="2"/>
    <n v="11"/>
    <x v="2"/>
    <x v="0"/>
  </r>
  <r>
    <x v="2"/>
    <x v="4"/>
    <x v="2"/>
    <x v="1"/>
    <x v="0"/>
    <x v="3"/>
    <n v="7"/>
    <x v="3"/>
    <x v="0"/>
  </r>
  <r>
    <x v="2"/>
    <x v="4"/>
    <x v="2"/>
    <x v="1"/>
    <x v="0"/>
    <x v="4"/>
    <n v="19"/>
    <x v="4"/>
    <x v="1"/>
  </r>
  <r>
    <x v="2"/>
    <x v="4"/>
    <x v="2"/>
    <x v="1"/>
    <x v="0"/>
    <x v="5"/>
    <n v="9"/>
    <x v="5"/>
    <x v="1"/>
  </r>
  <r>
    <x v="2"/>
    <x v="4"/>
    <x v="2"/>
    <x v="1"/>
    <x v="0"/>
    <x v="6"/>
    <n v="11"/>
    <x v="6"/>
    <x v="1"/>
  </r>
  <r>
    <x v="2"/>
    <x v="4"/>
    <x v="2"/>
    <x v="1"/>
    <x v="0"/>
    <x v="7"/>
    <n v="9"/>
    <x v="7"/>
    <x v="1"/>
  </r>
  <r>
    <x v="2"/>
    <x v="4"/>
    <x v="2"/>
    <x v="1"/>
    <x v="1"/>
    <x v="8"/>
    <n v="5"/>
    <x v="8"/>
    <x v="1"/>
  </r>
  <r>
    <x v="2"/>
    <x v="4"/>
    <x v="2"/>
    <x v="1"/>
    <x v="1"/>
    <x v="9"/>
    <n v="9"/>
    <x v="9"/>
    <x v="1"/>
  </r>
  <r>
    <x v="2"/>
    <x v="4"/>
    <x v="2"/>
    <x v="1"/>
    <x v="1"/>
    <x v="10"/>
    <n v="4"/>
    <x v="10"/>
    <x v="1"/>
  </r>
  <r>
    <x v="2"/>
    <x v="4"/>
    <x v="2"/>
    <x v="1"/>
    <x v="1"/>
    <x v="11"/>
    <n v="8"/>
    <x v="11"/>
    <x v="1"/>
  </r>
  <r>
    <x v="2"/>
    <x v="4"/>
    <x v="2"/>
    <x v="1"/>
    <x v="2"/>
    <x v="12"/>
    <n v="10"/>
    <x v="12"/>
    <x v="0"/>
  </r>
  <r>
    <x v="2"/>
    <x v="4"/>
    <x v="2"/>
    <x v="1"/>
    <x v="2"/>
    <x v="13"/>
    <n v="2"/>
    <x v="13"/>
    <x v="0"/>
  </r>
  <r>
    <x v="2"/>
    <x v="4"/>
    <x v="2"/>
    <x v="1"/>
    <x v="2"/>
    <x v="14"/>
    <n v="5"/>
    <x v="14"/>
    <x v="1"/>
  </r>
  <r>
    <x v="2"/>
    <x v="4"/>
    <x v="2"/>
    <x v="1"/>
    <x v="2"/>
    <x v="15"/>
    <n v="4"/>
    <x v="15"/>
    <x v="1"/>
  </r>
  <r>
    <x v="2"/>
    <x v="4"/>
    <x v="2"/>
    <x v="1"/>
    <x v="2"/>
    <x v="16"/>
    <n v="5"/>
    <x v="16"/>
    <x v="1"/>
  </r>
  <r>
    <x v="2"/>
    <x v="4"/>
    <x v="2"/>
    <x v="1"/>
    <x v="2"/>
    <x v="17"/>
    <n v="1"/>
    <x v="17"/>
    <x v="1"/>
  </r>
  <r>
    <x v="2"/>
    <x v="4"/>
    <x v="2"/>
    <x v="1"/>
    <x v="2"/>
    <x v="18"/>
    <n v="3"/>
    <x v="18"/>
    <x v="0"/>
  </r>
  <r>
    <x v="2"/>
    <x v="4"/>
    <x v="2"/>
    <x v="1"/>
    <x v="2"/>
    <x v="19"/>
    <n v="3"/>
    <x v="19"/>
    <x v="0"/>
  </r>
  <r>
    <x v="2"/>
    <x v="4"/>
    <x v="2"/>
    <x v="2"/>
    <x v="0"/>
    <x v="0"/>
    <n v="3"/>
    <x v="0"/>
    <x v="0"/>
  </r>
  <r>
    <x v="2"/>
    <x v="4"/>
    <x v="2"/>
    <x v="2"/>
    <x v="0"/>
    <x v="1"/>
    <n v="0"/>
    <x v="1"/>
    <x v="0"/>
  </r>
  <r>
    <x v="2"/>
    <x v="4"/>
    <x v="2"/>
    <x v="2"/>
    <x v="0"/>
    <x v="2"/>
    <n v="1"/>
    <x v="2"/>
    <x v="0"/>
  </r>
  <r>
    <x v="2"/>
    <x v="4"/>
    <x v="2"/>
    <x v="2"/>
    <x v="0"/>
    <x v="3"/>
    <n v="1"/>
    <x v="3"/>
    <x v="0"/>
  </r>
  <r>
    <x v="2"/>
    <x v="4"/>
    <x v="2"/>
    <x v="2"/>
    <x v="0"/>
    <x v="4"/>
    <n v="0"/>
    <x v="4"/>
    <x v="1"/>
  </r>
  <r>
    <x v="2"/>
    <x v="4"/>
    <x v="2"/>
    <x v="2"/>
    <x v="0"/>
    <x v="5"/>
    <n v="1"/>
    <x v="5"/>
    <x v="1"/>
  </r>
  <r>
    <x v="2"/>
    <x v="4"/>
    <x v="2"/>
    <x v="2"/>
    <x v="0"/>
    <x v="6"/>
    <n v="1"/>
    <x v="6"/>
    <x v="1"/>
  </r>
  <r>
    <x v="2"/>
    <x v="4"/>
    <x v="2"/>
    <x v="2"/>
    <x v="0"/>
    <x v="7"/>
    <n v="1"/>
    <x v="7"/>
    <x v="1"/>
  </r>
  <r>
    <x v="2"/>
    <x v="4"/>
    <x v="2"/>
    <x v="2"/>
    <x v="1"/>
    <x v="8"/>
    <n v="0"/>
    <x v="8"/>
    <x v="1"/>
  </r>
  <r>
    <x v="2"/>
    <x v="4"/>
    <x v="2"/>
    <x v="2"/>
    <x v="1"/>
    <x v="9"/>
    <n v="1"/>
    <x v="9"/>
    <x v="1"/>
  </r>
  <r>
    <x v="2"/>
    <x v="4"/>
    <x v="2"/>
    <x v="2"/>
    <x v="1"/>
    <x v="10"/>
    <n v="1"/>
    <x v="10"/>
    <x v="1"/>
  </r>
  <r>
    <x v="2"/>
    <x v="4"/>
    <x v="2"/>
    <x v="2"/>
    <x v="1"/>
    <x v="11"/>
    <n v="0"/>
    <x v="11"/>
    <x v="1"/>
  </r>
  <r>
    <x v="2"/>
    <x v="4"/>
    <x v="2"/>
    <x v="2"/>
    <x v="2"/>
    <x v="12"/>
    <n v="2"/>
    <x v="12"/>
    <x v="0"/>
  </r>
  <r>
    <x v="2"/>
    <x v="4"/>
    <x v="2"/>
    <x v="2"/>
    <x v="2"/>
    <x v="13"/>
    <n v="0"/>
    <x v="13"/>
    <x v="0"/>
  </r>
  <r>
    <x v="2"/>
    <x v="4"/>
    <x v="2"/>
    <x v="2"/>
    <x v="2"/>
    <x v="14"/>
    <n v="4"/>
    <x v="14"/>
    <x v="1"/>
  </r>
  <r>
    <x v="2"/>
    <x v="4"/>
    <x v="2"/>
    <x v="2"/>
    <x v="2"/>
    <x v="15"/>
    <n v="0"/>
    <x v="15"/>
    <x v="1"/>
  </r>
  <r>
    <x v="2"/>
    <x v="4"/>
    <x v="2"/>
    <x v="2"/>
    <x v="2"/>
    <x v="16"/>
    <n v="2"/>
    <x v="16"/>
    <x v="1"/>
  </r>
  <r>
    <x v="2"/>
    <x v="4"/>
    <x v="2"/>
    <x v="2"/>
    <x v="2"/>
    <x v="17"/>
    <n v="2"/>
    <x v="17"/>
    <x v="1"/>
  </r>
  <r>
    <x v="2"/>
    <x v="4"/>
    <x v="2"/>
    <x v="2"/>
    <x v="2"/>
    <x v="18"/>
    <n v="3"/>
    <x v="18"/>
    <x v="0"/>
  </r>
  <r>
    <x v="2"/>
    <x v="4"/>
    <x v="2"/>
    <x v="2"/>
    <x v="2"/>
    <x v="19"/>
    <n v="2"/>
    <x v="19"/>
    <x v="0"/>
  </r>
  <r>
    <x v="2"/>
    <x v="5"/>
    <x v="0"/>
    <x v="0"/>
    <x v="0"/>
    <x v="0"/>
    <n v="3"/>
    <x v="0"/>
    <x v="0"/>
  </r>
  <r>
    <x v="2"/>
    <x v="5"/>
    <x v="0"/>
    <x v="0"/>
    <x v="0"/>
    <x v="1"/>
    <n v="4"/>
    <x v="1"/>
    <x v="0"/>
  </r>
  <r>
    <x v="2"/>
    <x v="5"/>
    <x v="0"/>
    <x v="0"/>
    <x v="0"/>
    <x v="2"/>
    <n v="4"/>
    <x v="2"/>
    <x v="0"/>
  </r>
  <r>
    <x v="2"/>
    <x v="5"/>
    <x v="0"/>
    <x v="0"/>
    <x v="0"/>
    <x v="3"/>
    <n v="6"/>
    <x v="3"/>
    <x v="0"/>
  </r>
  <r>
    <x v="2"/>
    <x v="5"/>
    <x v="0"/>
    <x v="0"/>
    <x v="0"/>
    <x v="4"/>
    <n v="5"/>
    <x v="4"/>
    <x v="1"/>
  </r>
  <r>
    <x v="2"/>
    <x v="5"/>
    <x v="0"/>
    <x v="0"/>
    <x v="0"/>
    <x v="5"/>
    <n v="4"/>
    <x v="5"/>
    <x v="1"/>
  </r>
  <r>
    <x v="2"/>
    <x v="5"/>
    <x v="0"/>
    <x v="0"/>
    <x v="0"/>
    <x v="6"/>
    <n v="4"/>
    <x v="6"/>
    <x v="1"/>
  </r>
  <r>
    <x v="2"/>
    <x v="5"/>
    <x v="0"/>
    <x v="0"/>
    <x v="0"/>
    <x v="7"/>
    <n v="6"/>
    <x v="7"/>
    <x v="1"/>
  </r>
  <r>
    <x v="2"/>
    <x v="5"/>
    <x v="0"/>
    <x v="0"/>
    <x v="1"/>
    <x v="8"/>
    <n v="9"/>
    <x v="8"/>
    <x v="1"/>
  </r>
  <r>
    <x v="2"/>
    <x v="5"/>
    <x v="0"/>
    <x v="0"/>
    <x v="1"/>
    <x v="9"/>
    <n v="16"/>
    <x v="9"/>
    <x v="1"/>
  </r>
  <r>
    <x v="2"/>
    <x v="5"/>
    <x v="0"/>
    <x v="0"/>
    <x v="1"/>
    <x v="10"/>
    <n v="20"/>
    <x v="10"/>
    <x v="1"/>
  </r>
  <r>
    <x v="2"/>
    <x v="5"/>
    <x v="0"/>
    <x v="0"/>
    <x v="1"/>
    <x v="11"/>
    <n v="15"/>
    <x v="11"/>
    <x v="1"/>
  </r>
  <r>
    <x v="2"/>
    <x v="5"/>
    <x v="0"/>
    <x v="0"/>
    <x v="2"/>
    <x v="12"/>
    <n v="16"/>
    <x v="12"/>
    <x v="0"/>
  </r>
  <r>
    <x v="2"/>
    <x v="5"/>
    <x v="0"/>
    <x v="0"/>
    <x v="2"/>
    <x v="13"/>
    <n v="19"/>
    <x v="13"/>
    <x v="0"/>
  </r>
  <r>
    <x v="2"/>
    <x v="5"/>
    <x v="0"/>
    <x v="0"/>
    <x v="2"/>
    <x v="14"/>
    <n v="19"/>
    <x v="14"/>
    <x v="1"/>
  </r>
  <r>
    <x v="2"/>
    <x v="5"/>
    <x v="0"/>
    <x v="0"/>
    <x v="2"/>
    <x v="15"/>
    <n v="13"/>
    <x v="15"/>
    <x v="1"/>
  </r>
  <r>
    <x v="2"/>
    <x v="5"/>
    <x v="0"/>
    <x v="0"/>
    <x v="2"/>
    <x v="16"/>
    <n v="29"/>
    <x v="16"/>
    <x v="1"/>
  </r>
  <r>
    <x v="2"/>
    <x v="5"/>
    <x v="0"/>
    <x v="0"/>
    <x v="2"/>
    <x v="17"/>
    <n v="32"/>
    <x v="17"/>
    <x v="1"/>
  </r>
  <r>
    <x v="2"/>
    <x v="5"/>
    <x v="0"/>
    <x v="0"/>
    <x v="2"/>
    <x v="18"/>
    <n v="17"/>
    <x v="18"/>
    <x v="0"/>
  </r>
  <r>
    <x v="2"/>
    <x v="5"/>
    <x v="0"/>
    <x v="0"/>
    <x v="2"/>
    <x v="19"/>
    <n v="23"/>
    <x v="19"/>
    <x v="0"/>
  </r>
  <r>
    <x v="2"/>
    <x v="5"/>
    <x v="0"/>
    <x v="1"/>
    <x v="0"/>
    <x v="0"/>
    <n v="0"/>
    <x v="0"/>
    <x v="0"/>
  </r>
  <r>
    <x v="2"/>
    <x v="5"/>
    <x v="0"/>
    <x v="1"/>
    <x v="0"/>
    <x v="1"/>
    <n v="0"/>
    <x v="1"/>
    <x v="0"/>
  </r>
  <r>
    <x v="2"/>
    <x v="5"/>
    <x v="0"/>
    <x v="1"/>
    <x v="0"/>
    <x v="2"/>
    <n v="2"/>
    <x v="2"/>
    <x v="0"/>
  </r>
  <r>
    <x v="2"/>
    <x v="5"/>
    <x v="0"/>
    <x v="1"/>
    <x v="0"/>
    <x v="3"/>
    <n v="0"/>
    <x v="3"/>
    <x v="0"/>
  </r>
  <r>
    <x v="2"/>
    <x v="5"/>
    <x v="0"/>
    <x v="1"/>
    <x v="0"/>
    <x v="4"/>
    <n v="1"/>
    <x v="4"/>
    <x v="1"/>
  </r>
  <r>
    <x v="2"/>
    <x v="5"/>
    <x v="0"/>
    <x v="1"/>
    <x v="0"/>
    <x v="5"/>
    <n v="1"/>
    <x v="5"/>
    <x v="1"/>
  </r>
  <r>
    <x v="2"/>
    <x v="5"/>
    <x v="0"/>
    <x v="1"/>
    <x v="0"/>
    <x v="6"/>
    <n v="0"/>
    <x v="6"/>
    <x v="1"/>
  </r>
  <r>
    <x v="2"/>
    <x v="5"/>
    <x v="0"/>
    <x v="1"/>
    <x v="0"/>
    <x v="7"/>
    <n v="1"/>
    <x v="7"/>
    <x v="1"/>
  </r>
  <r>
    <x v="2"/>
    <x v="5"/>
    <x v="0"/>
    <x v="1"/>
    <x v="1"/>
    <x v="8"/>
    <n v="2"/>
    <x v="8"/>
    <x v="1"/>
  </r>
  <r>
    <x v="2"/>
    <x v="5"/>
    <x v="0"/>
    <x v="1"/>
    <x v="1"/>
    <x v="9"/>
    <n v="0"/>
    <x v="9"/>
    <x v="1"/>
  </r>
  <r>
    <x v="2"/>
    <x v="5"/>
    <x v="0"/>
    <x v="1"/>
    <x v="1"/>
    <x v="10"/>
    <n v="0"/>
    <x v="10"/>
    <x v="1"/>
  </r>
  <r>
    <x v="2"/>
    <x v="5"/>
    <x v="0"/>
    <x v="1"/>
    <x v="1"/>
    <x v="11"/>
    <n v="1"/>
    <x v="11"/>
    <x v="1"/>
  </r>
  <r>
    <x v="2"/>
    <x v="5"/>
    <x v="0"/>
    <x v="1"/>
    <x v="2"/>
    <x v="12"/>
    <n v="0"/>
    <x v="12"/>
    <x v="0"/>
  </r>
  <r>
    <x v="2"/>
    <x v="5"/>
    <x v="0"/>
    <x v="1"/>
    <x v="2"/>
    <x v="13"/>
    <n v="0"/>
    <x v="13"/>
    <x v="0"/>
  </r>
  <r>
    <x v="2"/>
    <x v="5"/>
    <x v="0"/>
    <x v="1"/>
    <x v="2"/>
    <x v="14"/>
    <n v="0"/>
    <x v="14"/>
    <x v="1"/>
  </r>
  <r>
    <x v="2"/>
    <x v="5"/>
    <x v="0"/>
    <x v="1"/>
    <x v="2"/>
    <x v="15"/>
    <n v="0"/>
    <x v="15"/>
    <x v="1"/>
  </r>
  <r>
    <x v="2"/>
    <x v="5"/>
    <x v="0"/>
    <x v="1"/>
    <x v="2"/>
    <x v="16"/>
    <n v="0"/>
    <x v="16"/>
    <x v="1"/>
  </r>
  <r>
    <x v="2"/>
    <x v="5"/>
    <x v="0"/>
    <x v="1"/>
    <x v="2"/>
    <x v="17"/>
    <n v="0"/>
    <x v="17"/>
    <x v="1"/>
  </r>
  <r>
    <x v="2"/>
    <x v="5"/>
    <x v="0"/>
    <x v="1"/>
    <x v="2"/>
    <x v="18"/>
    <n v="0"/>
    <x v="18"/>
    <x v="0"/>
  </r>
  <r>
    <x v="2"/>
    <x v="5"/>
    <x v="0"/>
    <x v="1"/>
    <x v="2"/>
    <x v="19"/>
    <n v="0"/>
    <x v="19"/>
    <x v="0"/>
  </r>
  <r>
    <x v="2"/>
    <x v="5"/>
    <x v="0"/>
    <x v="2"/>
    <x v="0"/>
    <x v="0"/>
    <n v="0"/>
    <x v="0"/>
    <x v="0"/>
  </r>
  <r>
    <x v="2"/>
    <x v="5"/>
    <x v="0"/>
    <x v="2"/>
    <x v="0"/>
    <x v="1"/>
    <n v="0"/>
    <x v="1"/>
    <x v="0"/>
  </r>
  <r>
    <x v="2"/>
    <x v="5"/>
    <x v="0"/>
    <x v="2"/>
    <x v="0"/>
    <x v="2"/>
    <n v="0"/>
    <x v="2"/>
    <x v="0"/>
  </r>
  <r>
    <x v="2"/>
    <x v="5"/>
    <x v="0"/>
    <x v="2"/>
    <x v="0"/>
    <x v="3"/>
    <n v="1"/>
    <x v="3"/>
    <x v="0"/>
  </r>
  <r>
    <x v="2"/>
    <x v="5"/>
    <x v="0"/>
    <x v="2"/>
    <x v="0"/>
    <x v="4"/>
    <n v="0"/>
    <x v="4"/>
    <x v="1"/>
  </r>
  <r>
    <x v="2"/>
    <x v="5"/>
    <x v="0"/>
    <x v="2"/>
    <x v="0"/>
    <x v="5"/>
    <n v="0"/>
    <x v="5"/>
    <x v="1"/>
  </r>
  <r>
    <x v="2"/>
    <x v="5"/>
    <x v="0"/>
    <x v="2"/>
    <x v="0"/>
    <x v="6"/>
    <n v="0"/>
    <x v="6"/>
    <x v="1"/>
  </r>
  <r>
    <x v="2"/>
    <x v="5"/>
    <x v="0"/>
    <x v="2"/>
    <x v="0"/>
    <x v="7"/>
    <n v="0"/>
    <x v="7"/>
    <x v="1"/>
  </r>
  <r>
    <x v="2"/>
    <x v="5"/>
    <x v="0"/>
    <x v="2"/>
    <x v="1"/>
    <x v="8"/>
    <n v="1"/>
    <x v="8"/>
    <x v="1"/>
  </r>
  <r>
    <x v="2"/>
    <x v="5"/>
    <x v="0"/>
    <x v="2"/>
    <x v="1"/>
    <x v="9"/>
    <n v="0"/>
    <x v="9"/>
    <x v="1"/>
  </r>
  <r>
    <x v="2"/>
    <x v="5"/>
    <x v="0"/>
    <x v="2"/>
    <x v="1"/>
    <x v="10"/>
    <n v="1"/>
    <x v="10"/>
    <x v="1"/>
  </r>
  <r>
    <x v="2"/>
    <x v="5"/>
    <x v="0"/>
    <x v="2"/>
    <x v="1"/>
    <x v="11"/>
    <n v="0"/>
    <x v="11"/>
    <x v="1"/>
  </r>
  <r>
    <x v="2"/>
    <x v="5"/>
    <x v="0"/>
    <x v="2"/>
    <x v="2"/>
    <x v="12"/>
    <n v="0"/>
    <x v="12"/>
    <x v="0"/>
  </r>
  <r>
    <x v="2"/>
    <x v="5"/>
    <x v="0"/>
    <x v="2"/>
    <x v="2"/>
    <x v="13"/>
    <n v="0"/>
    <x v="13"/>
    <x v="0"/>
  </r>
  <r>
    <x v="2"/>
    <x v="5"/>
    <x v="0"/>
    <x v="2"/>
    <x v="2"/>
    <x v="14"/>
    <n v="0"/>
    <x v="14"/>
    <x v="1"/>
  </r>
  <r>
    <x v="2"/>
    <x v="5"/>
    <x v="0"/>
    <x v="2"/>
    <x v="2"/>
    <x v="15"/>
    <n v="0"/>
    <x v="15"/>
    <x v="1"/>
  </r>
  <r>
    <x v="2"/>
    <x v="5"/>
    <x v="0"/>
    <x v="2"/>
    <x v="2"/>
    <x v="16"/>
    <n v="2"/>
    <x v="16"/>
    <x v="1"/>
  </r>
  <r>
    <x v="2"/>
    <x v="5"/>
    <x v="0"/>
    <x v="2"/>
    <x v="2"/>
    <x v="17"/>
    <n v="0"/>
    <x v="17"/>
    <x v="1"/>
  </r>
  <r>
    <x v="2"/>
    <x v="5"/>
    <x v="0"/>
    <x v="2"/>
    <x v="2"/>
    <x v="18"/>
    <n v="2"/>
    <x v="18"/>
    <x v="0"/>
  </r>
  <r>
    <x v="2"/>
    <x v="5"/>
    <x v="0"/>
    <x v="2"/>
    <x v="2"/>
    <x v="19"/>
    <n v="2"/>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8" minRefreshableVersion="3" showDrill="0" rowGrandTotals="0" itemPrintTitles="1" mergeItem="1" createdVersion="5" indent="0" showHeaders="0" outline="1" outlineData="1" multipleFieldFilters="0">
  <location ref="B10:AD36" firstHeaderRow="1" firstDataRow="4" firstDataCol="1"/>
  <pivotFields count="9">
    <pivotField axis="axisCol" showAll="0">
      <items count="7">
        <item m="1" x="5"/>
        <item m="1" x="3"/>
        <item m="1" x="4"/>
        <item x="0"/>
        <item x="1"/>
        <item x="2"/>
        <item t="default"/>
      </items>
    </pivotField>
    <pivotField axis="axisCol" showAll="0">
      <items count="15">
        <item m="1" x="9"/>
        <item m="1" x="11"/>
        <item m="1" x="7"/>
        <item m="1" x="13"/>
        <item m="1" x="10"/>
        <item m="1" x="6"/>
        <item m="1" x="12"/>
        <item m="1" x="8"/>
        <item x="0"/>
        <item x="1"/>
        <item x="2"/>
        <item x="3"/>
        <item x="4"/>
        <item x="5"/>
        <item t="default"/>
      </items>
    </pivotField>
    <pivotField showAll="0"/>
    <pivotField axis="axisCol" showAll="0">
      <items count="8">
        <item m="1" x="5"/>
        <item m="1" x="3"/>
        <item m="1" x="6"/>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20"/>
        <item x="2"/>
        <item m="1" x="21"/>
        <item x="3"/>
        <item x="4"/>
        <item x="5"/>
        <item m="1" x="22"/>
        <item x="6"/>
        <item m="1" x="23"/>
        <item x="7"/>
        <item m="1" x="24"/>
        <item m="1" x="25"/>
        <item m="1" x="26"/>
        <item m="1" x="27"/>
        <item m="1" x="28"/>
        <item m="1" x="29"/>
        <item x="8"/>
        <item x="9"/>
        <item x="10"/>
        <item x="11"/>
        <item m="1" x="30"/>
        <item m="1" x="31"/>
        <item m="1" x="32"/>
        <item m="1" x="33"/>
        <item m="1" x="34"/>
        <item x="12"/>
        <item x="13"/>
        <item m="1" x="35"/>
        <item x="14"/>
        <item m="1" x="36"/>
        <item x="15"/>
        <item x="16"/>
        <item x="17"/>
        <item m="1" x="37"/>
        <item x="18"/>
        <item m="1" x="3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28">
    <i>
      <x v="3"/>
      <x v="8"/>
      <x v="4"/>
    </i>
    <i r="2">
      <x v="5"/>
    </i>
    <i r="2">
      <x v="6"/>
    </i>
    <i t="default" r="1">
      <x v="8"/>
    </i>
    <i r="1">
      <x v="9"/>
      <x v="4"/>
    </i>
    <i r="2">
      <x v="5"/>
    </i>
    <i r="2">
      <x v="6"/>
    </i>
    <i t="default" r="1">
      <x v="9"/>
    </i>
    <i t="default">
      <x v="3"/>
    </i>
    <i>
      <x v="4"/>
      <x v="10"/>
      <x v="4"/>
    </i>
    <i r="2">
      <x v="5"/>
    </i>
    <i r="2">
      <x v="6"/>
    </i>
    <i t="default" r="1">
      <x v="10"/>
    </i>
    <i r="1">
      <x v="11"/>
      <x v="4"/>
    </i>
    <i r="2">
      <x v="5"/>
    </i>
    <i r="2">
      <x v="6"/>
    </i>
    <i t="default" r="1">
      <x v="11"/>
    </i>
    <i t="default">
      <x v="4"/>
    </i>
    <i>
      <x v="5"/>
      <x v="12"/>
      <x v="4"/>
    </i>
    <i r="2">
      <x v="5"/>
    </i>
    <i r="2">
      <x v="6"/>
    </i>
    <i t="default" r="1">
      <x v="12"/>
    </i>
    <i r="1">
      <x v="13"/>
      <x v="4"/>
    </i>
    <i r="2">
      <x v="5"/>
    </i>
    <i r="2">
      <x v="6"/>
    </i>
    <i t="default" r="1">
      <x v="13"/>
    </i>
    <i t="default">
      <x v="5"/>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2">
      <pivotAreas count="1">
        <pivotArea outline="0" fieldPosition="0">
          <references count="1">
            <reference field="4294967294" count="1" selected="0">
              <x v="0"/>
            </reference>
          </references>
        </pivotArea>
      </pivotAreas>
    </conditionalFormat>
    <conditionalFormat scope="data" priority="1">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8"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9">
  <location ref="J24:M34" firstHeaderRow="1" firstDataRow="2" firstDataCol="1"/>
  <pivotFields count="9">
    <pivotField axis="axisCol" showAll="0" sortType="ascending">
      <items count="7">
        <item m="1" x="5"/>
        <item m="1" x="3"/>
        <item m="1" x="4"/>
        <item x="0"/>
        <item x="2"/>
        <item x="1"/>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3">
    <i>
      <x v="3"/>
    </i>
    <i>
      <x v="4"/>
    </i>
    <i>
      <x v="5"/>
    </i>
  </colItems>
  <dataFields count="1">
    <dataField name="Approach Leg" fld="6" baseField="0" baseItem="0"/>
  </dataFields>
  <formats count="3">
    <format dxfId="8">
      <pivotArea outline="0" collapsedLevelsAreSubtotals="1" fieldPosition="0"/>
    </format>
    <format dxfId="7">
      <pivotArea dataOnly="0" labelOnly="1" fieldPosition="0">
        <references count="1">
          <reference field="0" count="0"/>
        </references>
      </pivotArea>
    </format>
    <format dxfId="6">
      <pivotArea dataOnly="0" labelOnly="1" fieldPosition="0">
        <references count="1">
          <reference field="0" count="0"/>
        </references>
      </pivotArea>
    </format>
  </formats>
  <chartFormats count="6">
    <chartFormat chart="13" format="21" series="1">
      <pivotArea type="data" outline="0" fieldPosition="0">
        <references count="2">
          <reference field="4294967294" count="1" selected="0">
            <x v="0"/>
          </reference>
          <reference field="0" count="1" selected="0">
            <x v="1"/>
          </reference>
        </references>
      </pivotArea>
    </chartFormat>
    <chartFormat chart="13" format="22" series="1">
      <pivotArea type="data" outline="0" fieldPosition="0">
        <references count="2">
          <reference field="4294967294" count="1" selected="0">
            <x v="0"/>
          </reference>
          <reference field="0" count="1" selected="0">
            <x v="2"/>
          </reference>
        </references>
      </pivotArea>
    </chartFormat>
    <chartFormat chart="13" format="23" series="1">
      <pivotArea type="data" outline="0" fieldPosition="0">
        <references count="2">
          <reference field="4294967294" count="1" selected="0">
            <x v="0"/>
          </reference>
          <reference field="0" count="1" selected="0">
            <x v="0"/>
          </reference>
        </references>
      </pivotArea>
    </chartFormat>
    <chartFormat chart="13" format="24" series="1">
      <pivotArea type="data" outline="0" fieldPosition="0">
        <references count="2">
          <reference field="4294967294" count="1" selected="0">
            <x v="0"/>
          </reference>
          <reference field="0" count="1" selected="0">
            <x v="3"/>
          </reference>
        </references>
      </pivotArea>
    </chartFormat>
    <chartFormat chart="13" format="25" series="1">
      <pivotArea type="data" outline="0" fieldPosition="0">
        <references count="2">
          <reference field="4294967294" count="1" selected="0">
            <x v="0"/>
          </reference>
          <reference field="0" count="1" selected="0">
            <x v="4"/>
          </reference>
        </references>
      </pivotArea>
    </chartFormat>
    <chartFormat chart="13" format="26"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8"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10">
      <pivotArea outline="0" collapsedLevelsAreSubtotals="1" fieldPosition="0"/>
    </format>
    <format dxfId="9">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4">
  <location ref="S24:V34" firstHeaderRow="1" firstDataRow="2" firstDataCol="1"/>
  <pivotFields count="9">
    <pivotField showAll="0"/>
    <pivotField showAll="0"/>
    <pivotField axis="axisCol" showAll="0" sortType="ascending">
      <items count="8">
        <item m="1" x="4"/>
        <item m="1" x="5"/>
        <item m="1" x="3"/>
        <item x="2"/>
        <item x="1"/>
        <item m="1" x="6"/>
        <item x="0"/>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3">
    <i>
      <x v="3"/>
    </i>
    <i>
      <x v="4"/>
    </i>
    <i>
      <x v="6"/>
    </i>
  </colItems>
  <dataFields count="1">
    <dataField name="Exit Leg" fld="6" baseField="0" baseItem="0"/>
  </dataFields>
  <formats count="3">
    <format dxfId="13">
      <pivotArea outline="0" collapsedLevelsAreSubtotals="1" fieldPosition="0"/>
    </format>
    <format dxfId="12">
      <pivotArea dataOnly="0" labelOnly="1" fieldPosition="0">
        <references count="1">
          <reference field="2" count="0"/>
        </references>
      </pivotArea>
    </format>
    <format dxfId="11">
      <pivotArea dataOnly="0" labelOnly="1" fieldPosition="0">
        <references count="1">
          <reference field="2" count="0"/>
        </references>
      </pivotArea>
    </format>
  </formats>
  <chartFormats count="9">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2"/>
          </reference>
        </references>
      </pivotArea>
    </chartFormat>
    <chartFormat chart="12" format="31" series="1">
      <pivotArea type="data" outline="0" fieldPosition="0">
        <references count="2">
          <reference field="4294967294" count="1" selected="0">
            <x v="0"/>
          </reference>
          <reference field="2" count="1" selected="0">
            <x v="0"/>
          </reference>
        </references>
      </pivotArea>
    </chartFormat>
    <chartFormat chart="12" format="32" series="1">
      <pivotArea type="data" outline="0" fieldPosition="0">
        <references count="2">
          <reference field="4294967294" count="1" selected="0">
            <x v="0"/>
          </reference>
          <reference field="2" count="1" selected="0">
            <x v="1"/>
          </reference>
        </references>
      </pivotArea>
    </chartFormat>
    <chartFormat chart="12" format="33" series="1">
      <pivotArea type="data" outline="0" fieldPosition="0">
        <references count="2">
          <reference field="4294967294" count="1" selected="0">
            <x v="0"/>
          </reference>
          <reference field="2" count="1" selected="0">
            <x v="5"/>
          </reference>
        </references>
      </pivotArea>
    </chartFormat>
    <chartFormat chart="12" format="34" series="1">
      <pivotArea type="data" outline="0" fieldPosition="0">
        <references count="2">
          <reference field="4294967294" count="1" selected="0">
            <x v="0"/>
          </reference>
          <reference field="2" count="1" selected="0">
            <x v="3"/>
          </reference>
        </references>
      </pivotArea>
    </chartFormat>
    <chartFormat chart="12" format="35" series="1">
      <pivotArea type="data" outline="0" fieldPosition="0">
        <references count="2">
          <reference field="4294967294" count="1" selected="0">
            <x v="0"/>
          </reference>
          <reference field="2" count="1" selected="0">
            <x v="4"/>
          </reference>
        </references>
      </pivotArea>
    </chartFormat>
    <chartFormat chart="12" format="36" series="1">
      <pivotArea type="data" outline="0" fieldPosition="0">
        <references count="2">
          <reference field="4294967294" count="1" selected="0">
            <x v="0"/>
          </reference>
          <reference field="2" count="1" selected="0">
            <x v="6"/>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8" minRefreshableVersion="3" showDrill="0" useAutoFormatting="1" colGrandTotals="0" itemPrintTitles="1" mergeItem="1" createdVersion="5" indent="0" showHeaders="0" outline="1" outlineData="1" multipleFieldFilters="0">
  <location ref="B29:N41" firstHeaderRow="1" firstDataRow="3" firstDataCol="1" rowPageCount="1" colPageCount="1"/>
  <pivotFields count="9">
    <pivotField axis="axisRow" showAll="0">
      <items count="7">
        <item m="1" x="5"/>
        <item m="1" x="3"/>
        <item m="1" x="4"/>
        <item x="0"/>
        <item x="1"/>
        <item x="2"/>
        <item t="default"/>
      </items>
    </pivotField>
    <pivotField axis="axisRow" showAll="0">
      <items count="15">
        <item m="1" x="9"/>
        <item m="1" x="11"/>
        <item m="1" x="7"/>
        <item m="1" x="13"/>
        <item m="1" x="10"/>
        <item m="1" x="6"/>
        <item m="1" x="12"/>
        <item m="1" x="8"/>
        <item x="0"/>
        <item x="1"/>
        <item x="2"/>
        <item x="3"/>
        <item x="4"/>
        <item x="5"/>
        <item t="default"/>
      </items>
    </pivotField>
    <pivotField showAll="0"/>
    <pivotField axis="axisCol" showAll="0">
      <items count="8">
        <item m="1" x="5"/>
        <item m="1" x="3"/>
        <item m="1" x="6"/>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0">
    <i>
      <x v="3"/>
    </i>
    <i r="1">
      <x v="8"/>
    </i>
    <i r="1">
      <x v="9"/>
    </i>
    <i>
      <x v="4"/>
    </i>
    <i r="1">
      <x v="10"/>
    </i>
    <i r="1">
      <x v="11"/>
    </i>
    <i>
      <x v="5"/>
    </i>
    <i r="1">
      <x v="12"/>
    </i>
    <i r="1">
      <x v="13"/>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361" totalsRowShown="0">
  <autoFilter ref="A1:I36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90" zoomScaleNormal="90" workbookViewId="0">
      <pane ySplit="5" topLeftCell="A7" activePane="bottomLeft" state="frozen"/>
      <selection pane="bottomLeft" activeCell="E41" sqref="E41"/>
    </sheetView>
  </sheetViews>
  <sheetFormatPr defaultRowHeight="14.4" x14ac:dyDescent="0.3"/>
  <cols>
    <col min="1" max="1" width="6.6640625" customWidth="1"/>
    <col min="2" max="2" width="12.33203125" bestFit="1" customWidth="1"/>
    <col min="3" max="3" width="42.109375" customWidth="1"/>
    <col min="5" max="5" width="29.6640625" customWidth="1"/>
    <col min="6" max="6" width="16.33203125" customWidth="1"/>
    <col min="7" max="7" width="7.109375" customWidth="1"/>
    <col min="8" max="8" width="14.5546875" bestFit="1" customWidth="1"/>
    <col min="9" max="11" width="14.88671875" bestFit="1" customWidth="1"/>
    <col min="12" max="12" width="14.88671875" customWidth="1"/>
  </cols>
  <sheetData>
    <row r="2" spans="2:12" ht="18" x14ac:dyDescent="0.35">
      <c r="B2" s="3" t="s">
        <v>3</v>
      </c>
    </row>
    <row r="4" spans="2:12" x14ac:dyDescent="0.3">
      <c r="B4" t="s">
        <v>33</v>
      </c>
    </row>
    <row r="7" spans="2:12" x14ac:dyDescent="0.3">
      <c r="B7" s="4" t="s">
        <v>16</v>
      </c>
      <c r="E7" s="4" t="s">
        <v>4</v>
      </c>
      <c r="H7" s="4" t="s">
        <v>7</v>
      </c>
    </row>
    <row r="9" spans="2:12" x14ac:dyDescent="0.3">
      <c r="B9" t="s">
        <v>0</v>
      </c>
      <c r="C9" s="1" t="s">
        <v>91</v>
      </c>
      <c r="E9" t="s">
        <v>17</v>
      </c>
      <c r="F9" t="s">
        <v>6</v>
      </c>
      <c r="H9" t="s">
        <v>35</v>
      </c>
      <c r="I9" s="1">
        <v>15</v>
      </c>
      <c r="J9" t="s">
        <v>34</v>
      </c>
    </row>
    <row r="10" spans="2:12" x14ac:dyDescent="0.3">
      <c r="B10" t="s">
        <v>1</v>
      </c>
      <c r="C10" s="1" t="s">
        <v>87</v>
      </c>
      <c r="D10">
        <v>1</v>
      </c>
      <c r="E10" s="1" t="s">
        <v>79</v>
      </c>
      <c r="F10" s="1"/>
    </row>
    <row r="11" spans="2:12" x14ac:dyDescent="0.3">
      <c r="B11" t="s">
        <v>2</v>
      </c>
      <c r="C11" s="25">
        <v>45631</v>
      </c>
      <c r="D11">
        <v>2</v>
      </c>
      <c r="E11" s="1" t="s">
        <v>88</v>
      </c>
      <c r="F11" s="1"/>
      <c r="I11" t="s">
        <v>11</v>
      </c>
      <c r="J11" t="s">
        <v>12</v>
      </c>
      <c r="K11" t="s">
        <v>13</v>
      </c>
      <c r="L11" t="s">
        <v>14</v>
      </c>
    </row>
    <row r="12" spans="2:12" x14ac:dyDescent="0.3">
      <c r="D12">
        <v>3</v>
      </c>
      <c r="E12" s="1" t="s">
        <v>89</v>
      </c>
      <c r="F12" s="1"/>
      <c r="H12" t="s">
        <v>8</v>
      </c>
      <c r="I12" s="1" t="s">
        <v>43</v>
      </c>
      <c r="J12" s="1" t="s">
        <v>90</v>
      </c>
      <c r="K12" s="1" t="s">
        <v>44</v>
      </c>
      <c r="L12" s="1"/>
    </row>
    <row r="13" spans="2:12" x14ac:dyDescent="0.3">
      <c r="D13">
        <v>4</v>
      </c>
      <c r="E13" s="1"/>
      <c r="F13" s="1"/>
      <c r="H13" t="s">
        <v>9</v>
      </c>
      <c r="I13" s="5">
        <v>0.29166666666666669</v>
      </c>
      <c r="J13" s="5">
        <v>0.54166666666666663</v>
      </c>
      <c r="K13" s="5">
        <v>0.66666666666666663</v>
      </c>
      <c r="L13" s="5"/>
    </row>
    <row r="14" spans="2:12" x14ac:dyDescent="0.3">
      <c r="D14">
        <v>5</v>
      </c>
      <c r="E14" s="1"/>
      <c r="F14" s="1"/>
      <c r="H14" t="s">
        <v>10</v>
      </c>
      <c r="I14" s="5">
        <v>0.36458333333333331</v>
      </c>
      <c r="J14" s="5">
        <v>0.57291666666666663</v>
      </c>
      <c r="K14" s="5">
        <v>0.73958333333333337</v>
      </c>
      <c r="L14" s="5"/>
    </row>
    <row r="15" spans="2:12" x14ac:dyDescent="0.3">
      <c r="D15">
        <v>6</v>
      </c>
      <c r="E15" s="1"/>
      <c r="F15" s="1"/>
    </row>
    <row r="16" spans="2:12" x14ac:dyDescent="0.3">
      <c r="D16">
        <v>7</v>
      </c>
      <c r="E16" s="1"/>
      <c r="F16" s="1"/>
    </row>
    <row r="17" spans="2:10" x14ac:dyDescent="0.3">
      <c r="J17" s="6"/>
    </row>
    <row r="18" spans="2:10" x14ac:dyDescent="0.3">
      <c r="B18" s="4" t="s">
        <v>18</v>
      </c>
      <c r="J18" s="6"/>
    </row>
    <row r="20" spans="2:10" x14ac:dyDescent="0.3">
      <c r="B20" t="s">
        <v>19</v>
      </c>
      <c r="C20" s="1" t="s">
        <v>92</v>
      </c>
    </row>
    <row r="22" spans="2:10" x14ac:dyDescent="0.3">
      <c r="B22" t="s">
        <v>20</v>
      </c>
      <c r="C22" s="1" t="s">
        <v>95</v>
      </c>
      <c r="D22" t="s">
        <v>27</v>
      </c>
      <c r="E22" s="1" t="s">
        <v>93</v>
      </c>
    </row>
    <row r="23" spans="2:10" x14ac:dyDescent="0.3">
      <c r="B23" t="s">
        <v>21</v>
      </c>
      <c r="C23" s="1" t="s">
        <v>96</v>
      </c>
      <c r="D23" t="s">
        <v>27</v>
      </c>
      <c r="E23" s="1" t="s">
        <v>94</v>
      </c>
    </row>
    <row r="24" spans="2:10" x14ac:dyDescent="0.3">
      <c r="B24" t="s">
        <v>22</v>
      </c>
      <c r="C24" s="1"/>
      <c r="D24" t="s">
        <v>27</v>
      </c>
      <c r="E24" s="1"/>
    </row>
    <row r="25" spans="2:10" x14ac:dyDescent="0.3">
      <c r="B25" t="s">
        <v>23</v>
      </c>
      <c r="C25" s="1"/>
      <c r="D25" t="s">
        <v>27</v>
      </c>
      <c r="E25" s="1"/>
    </row>
    <row r="26" spans="2:10" x14ac:dyDescent="0.3">
      <c r="B26" t="s">
        <v>24</v>
      </c>
      <c r="C26" s="1"/>
      <c r="D26" t="s">
        <v>27</v>
      </c>
      <c r="E26" s="1"/>
    </row>
    <row r="27" spans="2:10" x14ac:dyDescent="0.3">
      <c r="B27" t="s">
        <v>25</v>
      </c>
      <c r="C27" s="1"/>
      <c r="D27" t="s">
        <v>27</v>
      </c>
      <c r="E27" s="1"/>
    </row>
    <row r="28" spans="2:10" x14ac:dyDescent="0.3">
      <c r="B28" t="s">
        <v>26</v>
      </c>
      <c r="C28" s="1"/>
      <c r="D28" t="s">
        <v>27</v>
      </c>
      <c r="E28" s="1"/>
    </row>
    <row r="31" spans="2:10" x14ac:dyDescent="0.3">
      <c r="B31" t="s">
        <v>28</v>
      </c>
      <c r="C31" s="1" t="s">
        <v>93</v>
      </c>
    </row>
    <row r="33" spans="2:5" x14ac:dyDescent="0.3">
      <c r="B33" t="s">
        <v>20</v>
      </c>
      <c r="C33" s="1" t="s">
        <v>97</v>
      </c>
      <c r="D33" t="s">
        <v>27</v>
      </c>
      <c r="E33" s="1" t="s">
        <v>94</v>
      </c>
    </row>
    <row r="34" spans="2:5" x14ac:dyDescent="0.3">
      <c r="B34" t="s">
        <v>21</v>
      </c>
      <c r="C34" s="1" t="s">
        <v>98</v>
      </c>
      <c r="D34" t="s">
        <v>27</v>
      </c>
      <c r="E34" s="1" t="s">
        <v>92</v>
      </c>
    </row>
    <row r="35" spans="2:5" x14ac:dyDescent="0.3">
      <c r="B35" t="s">
        <v>22</v>
      </c>
      <c r="C35" s="1"/>
      <c r="D35" t="s">
        <v>27</v>
      </c>
      <c r="E35" s="1"/>
    </row>
    <row r="36" spans="2:5" x14ac:dyDescent="0.3">
      <c r="B36" t="s">
        <v>23</v>
      </c>
      <c r="C36" s="1"/>
      <c r="D36" t="s">
        <v>27</v>
      </c>
      <c r="E36" s="1"/>
    </row>
    <row r="37" spans="2:5" x14ac:dyDescent="0.3">
      <c r="B37" t="s">
        <v>24</v>
      </c>
      <c r="C37" s="1"/>
      <c r="D37" t="s">
        <v>27</v>
      </c>
      <c r="E37" s="1"/>
    </row>
    <row r="38" spans="2:5" x14ac:dyDescent="0.3">
      <c r="B38" t="s">
        <v>25</v>
      </c>
      <c r="C38" s="1"/>
      <c r="D38" t="s">
        <v>27</v>
      </c>
      <c r="E38" s="1"/>
    </row>
    <row r="39" spans="2:5" x14ac:dyDescent="0.3">
      <c r="B39" t="s">
        <v>26</v>
      </c>
      <c r="C39" s="1"/>
      <c r="D39" t="s">
        <v>27</v>
      </c>
      <c r="E39" s="1"/>
    </row>
    <row r="42" spans="2:5" x14ac:dyDescent="0.3">
      <c r="B42" t="s">
        <v>29</v>
      </c>
      <c r="C42" s="1" t="s">
        <v>94</v>
      </c>
    </row>
    <row r="44" spans="2:5" x14ac:dyDescent="0.3">
      <c r="B44" t="s">
        <v>20</v>
      </c>
      <c r="C44" s="1" t="s">
        <v>99</v>
      </c>
      <c r="D44" t="s">
        <v>27</v>
      </c>
      <c r="E44" s="1" t="s">
        <v>92</v>
      </c>
    </row>
    <row r="45" spans="2:5" x14ac:dyDescent="0.3">
      <c r="B45" t="s">
        <v>21</v>
      </c>
      <c r="C45" s="1" t="s">
        <v>100</v>
      </c>
      <c r="D45" t="s">
        <v>27</v>
      </c>
      <c r="E45" s="1" t="s">
        <v>93</v>
      </c>
    </row>
    <row r="46" spans="2:5" x14ac:dyDescent="0.3">
      <c r="B46" t="s">
        <v>22</v>
      </c>
      <c r="C46" s="1"/>
      <c r="D46" t="s">
        <v>27</v>
      </c>
      <c r="E46" s="1"/>
    </row>
    <row r="47" spans="2:5" x14ac:dyDescent="0.3">
      <c r="B47" t="s">
        <v>23</v>
      </c>
      <c r="C47" s="1"/>
      <c r="D47" t="s">
        <v>27</v>
      </c>
      <c r="E47" s="1"/>
    </row>
    <row r="48" spans="2:5" x14ac:dyDescent="0.3">
      <c r="B48" t="s">
        <v>24</v>
      </c>
      <c r="C48" s="1"/>
      <c r="D48" t="s">
        <v>27</v>
      </c>
      <c r="E48" s="1"/>
    </row>
    <row r="49" spans="2:5" x14ac:dyDescent="0.3">
      <c r="B49" t="s">
        <v>25</v>
      </c>
      <c r="C49" s="1"/>
      <c r="D49" t="s">
        <v>27</v>
      </c>
      <c r="E49" s="1"/>
    </row>
    <row r="50" spans="2:5" x14ac:dyDescent="0.3">
      <c r="B50" t="s">
        <v>26</v>
      </c>
      <c r="C50" s="1"/>
      <c r="D50" t="s">
        <v>27</v>
      </c>
      <c r="E50" s="1"/>
    </row>
    <row r="53" spans="2:5" x14ac:dyDescent="0.3">
      <c r="B53" t="s">
        <v>30</v>
      </c>
      <c r="C53" s="1"/>
    </row>
    <row r="55" spans="2:5" x14ac:dyDescent="0.3">
      <c r="B55" t="s">
        <v>20</v>
      </c>
      <c r="C55" s="1"/>
      <c r="D55" t="s">
        <v>27</v>
      </c>
      <c r="E55" s="1"/>
    </row>
    <row r="56" spans="2:5" x14ac:dyDescent="0.3">
      <c r="B56" t="s">
        <v>21</v>
      </c>
      <c r="C56" s="1"/>
      <c r="D56" t="s">
        <v>27</v>
      </c>
      <c r="E56" s="1"/>
    </row>
    <row r="57" spans="2:5" x14ac:dyDescent="0.3">
      <c r="B57" t="s">
        <v>22</v>
      </c>
      <c r="C57" s="1"/>
      <c r="D57" t="s">
        <v>27</v>
      </c>
      <c r="E57" s="1"/>
    </row>
    <row r="58" spans="2:5" x14ac:dyDescent="0.3">
      <c r="B58" t="s">
        <v>23</v>
      </c>
      <c r="C58" s="1"/>
      <c r="D58" t="s">
        <v>27</v>
      </c>
      <c r="E58" s="1"/>
    </row>
    <row r="59" spans="2:5" x14ac:dyDescent="0.3">
      <c r="B59" t="s">
        <v>24</v>
      </c>
      <c r="C59" s="1"/>
      <c r="D59" t="s">
        <v>27</v>
      </c>
      <c r="E59" s="1"/>
    </row>
    <row r="60" spans="2:5" x14ac:dyDescent="0.3">
      <c r="B60" t="s">
        <v>25</v>
      </c>
      <c r="C60" s="1"/>
      <c r="D60" t="s">
        <v>27</v>
      </c>
      <c r="E60" s="1"/>
    </row>
    <row r="61" spans="2:5" x14ac:dyDescent="0.3">
      <c r="B61" t="s">
        <v>26</v>
      </c>
      <c r="C61" s="1"/>
      <c r="D61" t="s">
        <v>27</v>
      </c>
      <c r="E61" s="1"/>
    </row>
    <row r="64" spans="2:5" x14ac:dyDescent="0.3">
      <c r="B64" t="s">
        <v>31</v>
      </c>
      <c r="C64" s="1"/>
    </row>
    <row r="66" spans="2:5" x14ac:dyDescent="0.3">
      <c r="B66" t="s">
        <v>20</v>
      </c>
      <c r="C66" s="1"/>
      <c r="D66" t="s">
        <v>27</v>
      </c>
      <c r="E66" s="1"/>
    </row>
    <row r="67" spans="2:5" x14ac:dyDescent="0.3">
      <c r="B67" t="s">
        <v>21</v>
      </c>
      <c r="C67" s="1"/>
      <c r="D67" t="s">
        <v>27</v>
      </c>
      <c r="E67" s="1"/>
    </row>
    <row r="68" spans="2:5" x14ac:dyDescent="0.3">
      <c r="B68" t="s">
        <v>22</v>
      </c>
      <c r="C68" s="1"/>
      <c r="D68" t="s">
        <v>27</v>
      </c>
      <c r="E68" s="1"/>
    </row>
    <row r="69" spans="2:5" x14ac:dyDescent="0.3">
      <c r="B69" t="s">
        <v>23</v>
      </c>
      <c r="C69" s="1"/>
      <c r="D69" t="s">
        <v>27</v>
      </c>
      <c r="E69" s="1"/>
    </row>
    <row r="70" spans="2:5" x14ac:dyDescent="0.3">
      <c r="B70" t="s">
        <v>24</v>
      </c>
      <c r="C70" s="1"/>
      <c r="D70" t="s">
        <v>27</v>
      </c>
      <c r="E70" s="1"/>
    </row>
    <row r="71" spans="2:5" x14ac:dyDescent="0.3">
      <c r="B71" t="s">
        <v>25</v>
      </c>
      <c r="C71" s="1"/>
      <c r="D71" t="s">
        <v>27</v>
      </c>
      <c r="E71" s="1"/>
    </row>
    <row r="72" spans="2:5" x14ac:dyDescent="0.3">
      <c r="B72" t="s">
        <v>26</v>
      </c>
      <c r="C72" s="1"/>
      <c r="D72" t="s">
        <v>27</v>
      </c>
      <c r="E72" s="1"/>
    </row>
    <row r="75" spans="2:5" x14ac:dyDescent="0.3">
      <c r="B75" t="s">
        <v>32</v>
      </c>
      <c r="C75" s="1"/>
    </row>
    <row r="77" spans="2:5" x14ac:dyDescent="0.3">
      <c r="B77" t="s">
        <v>20</v>
      </c>
      <c r="C77" s="1"/>
      <c r="D77" t="s">
        <v>27</v>
      </c>
      <c r="E77" s="1"/>
    </row>
    <row r="78" spans="2:5" x14ac:dyDescent="0.3">
      <c r="B78" t="s">
        <v>21</v>
      </c>
      <c r="C78" s="1"/>
      <c r="D78" t="s">
        <v>27</v>
      </c>
      <c r="E78" s="1"/>
    </row>
    <row r="79" spans="2:5" x14ac:dyDescent="0.3">
      <c r="B79" t="s">
        <v>22</v>
      </c>
      <c r="C79" s="1"/>
      <c r="D79" t="s">
        <v>27</v>
      </c>
      <c r="E79" s="1"/>
    </row>
    <row r="80" spans="2:5" x14ac:dyDescent="0.3">
      <c r="B80" t="s">
        <v>23</v>
      </c>
      <c r="C80" s="1"/>
      <c r="D80" t="s">
        <v>27</v>
      </c>
      <c r="E80" s="1"/>
    </row>
    <row r="81" spans="2:5" x14ac:dyDescent="0.3">
      <c r="B81" t="s">
        <v>24</v>
      </c>
      <c r="C81" s="1"/>
      <c r="D81" t="s">
        <v>27</v>
      </c>
      <c r="E81" s="1"/>
    </row>
    <row r="82" spans="2:5" x14ac:dyDescent="0.3">
      <c r="B82" t="s">
        <v>25</v>
      </c>
      <c r="C82" s="1"/>
      <c r="D82" t="s">
        <v>27</v>
      </c>
      <c r="E82" s="1"/>
    </row>
    <row r="83" spans="2:5" x14ac:dyDescent="0.3">
      <c r="B83" t="s">
        <v>26</v>
      </c>
      <c r="C83" s="1"/>
      <c r="D83" t="s">
        <v>27</v>
      </c>
      <c r="E83" s="1"/>
    </row>
    <row r="86" spans="2:5" x14ac:dyDescent="0.3">
      <c r="B86" t="s">
        <v>36</v>
      </c>
      <c r="C86" s="1"/>
    </row>
    <row r="88" spans="2:5" x14ac:dyDescent="0.3">
      <c r="B88" t="s">
        <v>20</v>
      </c>
      <c r="C88" s="1"/>
      <c r="D88" t="s">
        <v>27</v>
      </c>
      <c r="E88" s="1"/>
    </row>
    <row r="89" spans="2:5" x14ac:dyDescent="0.3">
      <c r="B89" t="s">
        <v>21</v>
      </c>
      <c r="C89" s="1"/>
      <c r="D89" t="s">
        <v>27</v>
      </c>
      <c r="E89" s="1"/>
    </row>
    <row r="90" spans="2:5" x14ac:dyDescent="0.3">
      <c r="B90" t="s">
        <v>22</v>
      </c>
      <c r="C90" s="1"/>
      <c r="D90" t="s">
        <v>27</v>
      </c>
      <c r="E90" s="1"/>
    </row>
    <row r="91" spans="2:5" x14ac:dyDescent="0.3">
      <c r="B91" t="s">
        <v>23</v>
      </c>
      <c r="C91" s="1"/>
      <c r="D91" t="s">
        <v>27</v>
      </c>
      <c r="E91" s="1"/>
    </row>
    <row r="92" spans="2:5" x14ac:dyDescent="0.3">
      <c r="B92" t="s">
        <v>24</v>
      </c>
      <c r="C92" s="1"/>
      <c r="D92" t="s">
        <v>27</v>
      </c>
      <c r="E92" s="1"/>
    </row>
    <row r="93" spans="2:5" x14ac:dyDescent="0.3">
      <c r="B93" t="s">
        <v>25</v>
      </c>
      <c r="C93" s="1"/>
      <c r="D93" t="s">
        <v>27</v>
      </c>
      <c r="E93" s="1"/>
    </row>
    <row r="94" spans="2:5" x14ac:dyDescent="0.3">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4.4" x14ac:dyDescent="0.3"/>
  <cols>
    <col min="2" max="2" width="14.88671875" bestFit="1" customWidth="1"/>
    <col min="3" max="3" width="11.44140625" bestFit="1" customWidth="1"/>
    <col min="4" max="4" width="12.44140625" bestFit="1" customWidth="1"/>
  </cols>
  <sheetData>
    <row r="2" spans="2:8" x14ac:dyDescent="0.3">
      <c r="B2" t="s">
        <v>15</v>
      </c>
    </row>
    <row r="4" spans="2:8" x14ac:dyDescent="0.3">
      <c r="B4" s="1" t="str">
        <f>Input!C20</f>
        <v>Main Road East</v>
      </c>
      <c r="C4" s="1" t="str">
        <f>Input!C31</f>
        <v>Mt Pleasant Road South</v>
      </c>
      <c r="D4" s="1" t="str">
        <f>Input!C42</f>
        <v>Main Road West</v>
      </c>
      <c r="E4" s="1">
        <f>Input!C53</f>
        <v>0</v>
      </c>
      <c r="F4" s="1">
        <f>Input!C64</f>
        <v>0</v>
      </c>
      <c r="G4" s="1">
        <f>Input!C75</f>
        <v>0</v>
      </c>
      <c r="H4" s="1">
        <f>Input!C86</f>
        <v>0</v>
      </c>
    </row>
    <row r="6" spans="2:8" x14ac:dyDescent="0.3">
      <c r="B6" t="s">
        <v>18</v>
      </c>
    </row>
    <row r="8" spans="2:8" x14ac:dyDescent="0.3">
      <c r="B8" s="1" t="str">
        <f>Input!C22</f>
        <v>Left into Mt Pleasant Road South</v>
      </c>
      <c r="C8" s="1" t="str">
        <f>Input!C33</f>
        <v>Left into Main Road West</v>
      </c>
      <c r="D8" s="1" t="str">
        <f>Input!C44</f>
        <v>Thru to Main Road East</v>
      </c>
      <c r="E8" s="1">
        <f>Input!C55</f>
        <v>0</v>
      </c>
      <c r="F8" s="1">
        <f>Input!C66</f>
        <v>0</v>
      </c>
      <c r="G8" s="1">
        <f>Input!C77</f>
        <v>0</v>
      </c>
      <c r="H8" s="1">
        <f>Input!C88</f>
        <v>0</v>
      </c>
    </row>
    <row r="9" spans="2:8" x14ac:dyDescent="0.3">
      <c r="B9" s="1" t="str">
        <f>Input!C23</f>
        <v>Thru to Main Road West</v>
      </c>
      <c r="C9" s="1" t="str">
        <f>Input!C34</f>
        <v>Right into Main Road East</v>
      </c>
      <c r="D9" s="1" t="str">
        <f>Input!C45</f>
        <v>Right into Mt Pleasant Road South</v>
      </c>
      <c r="E9" s="1">
        <f>Input!C56</f>
        <v>0</v>
      </c>
      <c r="F9" s="1">
        <f>Input!C67</f>
        <v>0</v>
      </c>
      <c r="G9" s="1">
        <f>Input!C78</f>
        <v>0</v>
      </c>
      <c r="H9" s="1">
        <f>Input!C89</f>
        <v>0</v>
      </c>
    </row>
    <row r="10" spans="2:8" x14ac:dyDescent="0.3">
      <c r="B10" s="1">
        <f>Input!C24</f>
        <v>0</v>
      </c>
      <c r="C10" s="1">
        <f>Input!C35</f>
        <v>0</v>
      </c>
      <c r="D10" s="1">
        <f>Input!C46</f>
        <v>0</v>
      </c>
      <c r="E10" s="1">
        <f>Input!C57</f>
        <v>0</v>
      </c>
      <c r="F10" s="1">
        <f>Input!C68</f>
        <v>0</v>
      </c>
      <c r="G10" s="1">
        <f>Input!C79</f>
        <v>0</v>
      </c>
      <c r="H10" s="1">
        <f>Input!C90</f>
        <v>0</v>
      </c>
    </row>
    <row r="11" spans="2:8" x14ac:dyDescent="0.3">
      <c r="B11" s="1">
        <f>Input!C25</f>
        <v>0</v>
      </c>
      <c r="C11" s="1">
        <f>Input!C36</f>
        <v>0</v>
      </c>
      <c r="D11" s="1">
        <f>Input!C47</f>
        <v>0</v>
      </c>
      <c r="E11" s="1">
        <f>Input!C58</f>
        <v>0</v>
      </c>
      <c r="F11" s="1">
        <f>Input!C69</f>
        <v>0</v>
      </c>
      <c r="G11" s="1">
        <f>Input!C80</f>
        <v>0</v>
      </c>
      <c r="H11" s="1">
        <f>Input!C91</f>
        <v>0</v>
      </c>
    </row>
    <row r="12" spans="2:8" x14ac:dyDescent="0.3">
      <c r="B12" s="1">
        <f>Input!C26</f>
        <v>0</v>
      </c>
      <c r="C12" s="1">
        <f>Input!C37</f>
        <v>0</v>
      </c>
      <c r="D12" s="1">
        <f>Input!C48</f>
        <v>0</v>
      </c>
      <c r="E12" s="1">
        <f>Input!C59</f>
        <v>0</v>
      </c>
      <c r="F12" s="1">
        <f>Input!C70</f>
        <v>0</v>
      </c>
      <c r="G12" s="1">
        <f>Input!C81</f>
        <v>0</v>
      </c>
      <c r="H12" s="1">
        <f>Input!C92</f>
        <v>0</v>
      </c>
    </row>
    <row r="13" spans="2:8" x14ac:dyDescent="0.3">
      <c r="B13" s="1">
        <f>Input!C27</f>
        <v>0</v>
      </c>
      <c r="C13" s="1">
        <f>Input!C38</f>
        <v>0</v>
      </c>
      <c r="D13" s="1">
        <f>Input!C49</f>
        <v>0</v>
      </c>
      <c r="E13" s="1">
        <f>Input!C60</f>
        <v>0</v>
      </c>
      <c r="F13" s="1">
        <f>Input!C71</f>
        <v>0</v>
      </c>
      <c r="G13" s="1">
        <f>Input!C82</f>
        <v>0</v>
      </c>
      <c r="H13" s="1">
        <f>Input!C93</f>
        <v>0</v>
      </c>
    </row>
    <row r="14" spans="2:8" x14ac:dyDescent="0.3">
      <c r="B14" s="1">
        <f>Input!C28</f>
        <v>0</v>
      </c>
      <c r="C14" s="1">
        <f>Input!C39</f>
        <v>0</v>
      </c>
      <c r="D14" s="1">
        <f>Input!C50</f>
        <v>0</v>
      </c>
      <c r="E14" s="1">
        <f>Input!C61</f>
        <v>0</v>
      </c>
      <c r="F14" s="1">
        <f>Input!C72</f>
        <v>0</v>
      </c>
      <c r="G14" s="1">
        <f>Input!C83</f>
        <v>0</v>
      </c>
      <c r="H14" s="1">
        <f>Input!C94</f>
        <v>0</v>
      </c>
    </row>
    <row r="16" spans="2:8" x14ac:dyDescent="0.3">
      <c r="B16" t="s">
        <v>37</v>
      </c>
    </row>
    <row r="18" spans="2:8" x14ac:dyDescent="0.3">
      <c r="B18" s="1" t="str">
        <f>Input!E22</f>
        <v>Mt Pleasant Road South</v>
      </c>
      <c r="C18" s="1" t="str">
        <f>Input!E33</f>
        <v>Main Road West</v>
      </c>
      <c r="D18" s="1" t="str">
        <f>Input!E44</f>
        <v>Main Road East</v>
      </c>
      <c r="E18" s="1">
        <f>Input!E55</f>
        <v>0</v>
      </c>
      <c r="F18" s="1">
        <f>Input!E66</f>
        <v>0</v>
      </c>
      <c r="G18" s="1">
        <f>Input!E77</f>
        <v>0</v>
      </c>
      <c r="H18" s="1">
        <f>Input!E88</f>
        <v>0</v>
      </c>
    </row>
    <row r="19" spans="2:8" x14ac:dyDescent="0.3">
      <c r="B19" s="1" t="str">
        <f>Input!E23</f>
        <v>Main Road West</v>
      </c>
      <c r="C19" s="1" t="str">
        <f>Input!E34</f>
        <v>Main Road East</v>
      </c>
      <c r="D19" s="1" t="str">
        <f>Input!E45</f>
        <v>Mt Pleasant Road South</v>
      </c>
      <c r="E19" s="1">
        <f>Input!E56</f>
        <v>0</v>
      </c>
      <c r="F19" s="1">
        <f>Input!E67</f>
        <v>0</v>
      </c>
      <c r="G19" s="1">
        <f>Input!E78</f>
        <v>0</v>
      </c>
      <c r="H19" s="1">
        <f>Input!E89</f>
        <v>0</v>
      </c>
    </row>
    <row r="20" spans="2:8" x14ac:dyDescent="0.3">
      <c r="B20" s="1">
        <f>Input!E24</f>
        <v>0</v>
      </c>
      <c r="C20" s="1">
        <f>Input!E35</f>
        <v>0</v>
      </c>
      <c r="D20" s="1">
        <f>Input!E46</f>
        <v>0</v>
      </c>
      <c r="E20" s="1">
        <f>Input!E57</f>
        <v>0</v>
      </c>
      <c r="F20" s="1">
        <f>Input!E68</f>
        <v>0</v>
      </c>
      <c r="G20" s="1">
        <f>Input!E79</f>
        <v>0</v>
      </c>
      <c r="H20" s="1">
        <f>Input!E90</f>
        <v>0</v>
      </c>
    </row>
    <row r="21" spans="2:8" x14ac:dyDescent="0.3">
      <c r="B21" s="1">
        <f>Input!E25</f>
        <v>0</v>
      </c>
      <c r="C21" s="1">
        <f>Input!E36</f>
        <v>0</v>
      </c>
      <c r="D21" s="1">
        <f>Input!E47</f>
        <v>0</v>
      </c>
      <c r="E21" s="1">
        <f>Input!E58</f>
        <v>0</v>
      </c>
      <c r="F21" s="1">
        <f>Input!E69</f>
        <v>0</v>
      </c>
      <c r="G21" s="1">
        <f>Input!E80</f>
        <v>0</v>
      </c>
      <c r="H21" s="1">
        <f>Input!E91</f>
        <v>0</v>
      </c>
    </row>
    <row r="22" spans="2:8" x14ac:dyDescent="0.3">
      <c r="B22" s="1">
        <f>Input!E26</f>
        <v>0</v>
      </c>
      <c r="C22" s="1">
        <f>Input!E37</f>
        <v>0</v>
      </c>
      <c r="D22" s="1">
        <f>Input!E48</f>
        <v>0</v>
      </c>
      <c r="E22" s="1">
        <f>Input!E59</f>
        <v>0</v>
      </c>
      <c r="F22" s="1">
        <f>Input!E70</f>
        <v>0</v>
      </c>
      <c r="G22" s="1">
        <f>Input!E81</f>
        <v>0</v>
      </c>
      <c r="H22" s="1">
        <f>Input!E92</f>
        <v>0</v>
      </c>
    </row>
    <row r="23" spans="2:8" x14ac:dyDescent="0.3">
      <c r="B23" s="1">
        <f>Input!E27</f>
        <v>0</v>
      </c>
      <c r="C23" s="1">
        <f>Input!E38</f>
        <v>0</v>
      </c>
      <c r="D23" s="1">
        <f>Input!E49</f>
        <v>0</v>
      </c>
      <c r="E23" s="1">
        <f>Input!E60</f>
        <v>0</v>
      </c>
      <c r="F23" s="1">
        <f>Input!E71</f>
        <v>0</v>
      </c>
      <c r="G23" s="1">
        <f>Input!E82</f>
        <v>0</v>
      </c>
      <c r="H23" s="1">
        <f>Input!E93</f>
        <v>0</v>
      </c>
    </row>
    <row r="24" spans="2:8" x14ac:dyDescent="0.3">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T29"/>
  <sheetViews>
    <sheetView zoomScale="90" zoomScaleNormal="90" workbookViewId="0"/>
  </sheetViews>
  <sheetFormatPr defaultRowHeight="14.4" x14ac:dyDescent="0.3"/>
  <cols>
    <col min="1" max="1" width="13.6640625" customWidth="1"/>
    <col min="2" max="2" width="7.5546875" customWidth="1"/>
  </cols>
  <sheetData>
    <row r="1" spans="1:20" x14ac:dyDescent="0.3">
      <c r="A1" s="2" t="s">
        <v>101</v>
      </c>
    </row>
    <row r="4" spans="1:20" ht="15" thickBot="1" x14ac:dyDescent="0.35"/>
    <row r="5" spans="1:20" x14ac:dyDescent="0.3">
      <c r="C5" s="29" t="s">
        <v>92</v>
      </c>
      <c r="D5" s="18"/>
      <c r="E5" s="20"/>
      <c r="F5" s="26"/>
      <c r="G5" s="18"/>
      <c r="H5" s="20"/>
      <c r="I5" s="29" t="s">
        <v>93</v>
      </c>
      <c r="J5" s="18"/>
      <c r="K5" s="20"/>
      <c r="L5" s="26"/>
      <c r="M5" s="18"/>
      <c r="N5" s="20"/>
      <c r="O5" s="29" t="s">
        <v>94</v>
      </c>
      <c r="P5" s="18"/>
      <c r="Q5" s="20"/>
      <c r="R5" s="26"/>
      <c r="S5" s="18"/>
      <c r="T5" s="32"/>
    </row>
    <row r="6" spans="1:20" x14ac:dyDescent="0.3">
      <c r="C6" s="30" t="s">
        <v>95</v>
      </c>
      <c r="D6" s="19"/>
      <c r="E6" s="21"/>
      <c r="F6" s="27" t="s">
        <v>96</v>
      </c>
      <c r="G6" s="19"/>
      <c r="H6" s="21"/>
      <c r="I6" s="30" t="s">
        <v>97</v>
      </c>
      <c r="J6" s="19"/>
      <c r="K6" s="21"/>
      <c r="L6" s="27" t="s">
        <v>98</v>
      </c>
      <c r="M6" s="19"/>
      <c r="N6" s="21"/>
      <c r="O6" s="30" t="s">
        <v>99</v>
      </c>
      <c r="P6" s="19"/>
      <c r="Q6" s="21"/>
      <c r="R6" s="27" t="s">
        <v>100</v>
      </c>
      <c r="S6" s="19"/>
      <c r="T6" s="33"/>
    </row>
    <row r="7" spans="1:20" ht="15" thickBot="1" x14ac:dyDescent="0.35">
      <c r="A7" s="47" t="s">
        <v>38</v>
      </c>
      <c r="B7" s="47" t="s">
        <v>39</v>
      </c>
      <c r="C7" s="42" t="s">
        <v>79</v>
      </c>
      <c r="D7" s="43" t="s">
        <v>88</v>
      </c>
      <c r="E7" s="44" t="s">
        <v>89</v>
      </c>
      <c r="F7" s="45" t="s">
        <v>79</v>
      </c>
      <c r="G7" s="43" t="s">
        <v>88</v>
      </c>
      <c r="H7" s="44" t="s">
        <v>89</v>
      </c>
      <c r="I7" s="42" t="s">
        <v>79</v>
      </c>
      <c r="J7" s="43" t="s">
        <v>88</v>
      </c>
      <c r="K7" s="44" t="s">
        <v>89</v>
      </c>
      <c r="L7" s="45" t="s">
        <v>79</v>
      </c>
      <c r="M7" s="43" t="s">
        <v>88</v>
      </c>
      <c r="N7" s="44" t="s">
        <v>89</v>
      </c>
      <c r="O7" s="42" t="s">
        <v>79</v>
      </c>
      <c r="P7" s="43" t="s">
        <v>88</v>
      </c>
      <c r="Q7" s="44" t="s">
        <v>89</v>
      </c>
      <c r="R7" s="45" t="s">
        <v>79</v>
      </c>
      <c r="S7" s="43" t="s">
        <v>88</v>
      </c>
      <c r="T7" s="46" t="s">
        <v>89</v>
      </c>
    </row>
    <row r="8" spans="1:20" x14ac:dyDescent="0.3">
      <c r="A8" s="2" t="s">
        <v>43</v>
      </c>
      <c r="B8" s="7">
        <v>0.29166666666666669</v>
      </c>
      <c r="C8" s="31">
        <v>0</v>
      </c>
      <c r="D8">
        <v>0</v>
      </c>
      <c r="E8">
        <v>1</v>
      </c>
      <c r="F8" s="28">
        <v>185</v>
      </c>
      <c r="G8">
        <v>4</v>
      </c>
      <c r="H8">
        <v>12</v>
      </c>
      <c r="I8" s="31">
        <v>18</v>
      </c>
      <c r="J8">
        <v>0</v>
      </c>
      <c r="K8">
        <v>2</v>
      </c>
      <c r="L8" s="28">
        <v>1</v>
      </c>
      <c r="M8">
        <v>0</v>
      </c>
      <c r="N8">
        <v>0</v>
      </c>
      <c r="O8" s="31">
        <v>79</v>
      </c>
      <c r="P8">
        <v>9</v>
      </c>
      <c r="Q8">
        <v>3</v>
      </c>
      <c r="R8" s="28">
        <v>3</v>
      </c>
      <c r="S8">
        <v>0</v>
      </c>
      <c r="T8" s="34">
        <v>0</v>
      </c>
    </row>
    <row r="9" spans="1:20" x14ac:dyDescent="0.3">
      <c r="A9" s="2" t="s">
        <v>43</v>
      </c>
      <c r="B9" s="7">
        <v>0.30208333333333331</v>
      </c>
      <c r="C9" s="31">
        <v>1</v>
      </c>
      <c r="D9">
        <v>0</v>
      </c>
      <c r="E9">
        <v>1</v>
      </c>
      <c r="F9" s="28">
        <v>269</v>
      </c>
      <c r="G9">
        <v>1</v>
      </c>
      <c r="H9">
        <v>21</v>
      </c>
      <c r="I9" s="31">
        <v>18</v>
      </c>
      <c r="J9">
        <v>0</v>
      </c>
      <c r="K9">
        <v>1</v>
      </c>
      <c r="L9" s="28">
        <v>2</v>
      </c>
      <c r="M9">
        <v>0</v>
      </c>
      <c r="N9">
        <v>0</v>
      </c>
      <c r="O9" s="31">
        <v>130</v>
      </c>
      <c r="P9">
        <v>8</v>
      </c>
      <c r="Q9">
        <v>0</v>
      </c>
      <c r="R9" s="28">
        <v>4</v>
      </c>
      <c r="S9">
        <v>0</v>
      </c>
      <c r="T9" s="34">
        <v>0</v>
      </c>
    </row>
    <row r="10" spans="1:20" x14ac:dyDescent="0.3">
      <c r="A10" s="2" t="s">
        <v>43</v>
      </c>
      <c r="B10" s="7">
        <v>0.3125</v>
      </c>
      <c r="C10" s="31">
        <v>0</v>
      </c>
      <c r="D10">
        <v>0</v>
      </c>
      <c r="E10">
        <v>0</v>
      </c>
      <c r="F10" s="28">
        <v>293</v>
      </c>
      <c r="G10">
        <v>8</v>
      </c>
      <c r="H10">
        <v>29</v>
      </c>
      <c r="I10" s="31">
        <v>27</v>
      </c>
      <c r="J10">
        <v>0</v>
      </c>
      <c r="K10">
        <v>3</v>
      </c>
      <c r="L10" s="28">
        <v>2</v>
      </c>
      <c r="M10">
        <v>0</v>
      </c>
      <c r="N10">
        <v>0</v>
      </c>
      <c r="O10" s="31">
        <v>118</v>
      </c>
      <c r="P10">
        <v>11</v>
      </c>
      <c r="Q10">
        <v>1</v>
      </c>
      <c r="R10" s="28">
        <v>4</v>
      </c>
      <c r="S10">
        <v>2</v>
      </c>
      <c r="T10" s="34">
        <v>0</v>
      </c>
    </row>
    <row r="11" spans="1:20" x14ac:dyDescent="0.3">
      <c r="A11" s="2" t="s">
        <v>43</v>
      </c>
      <c r="B11" s="7">
        <v>0.32291666666666669</v>
      </c>
      <c r="C11" s="31">
        <v>4</v>
      </c>
      <c r="D11">
        <v>0</v>
      </c>
      <c r="E11">
        <v>0</v>
      </c>
      <c r="F11" s="28">
        <v>294</v>
      </c>
      <c r="G11">
        <v>7</v>
      </c>
      <c r="H11">
        <v>11</v>
      </c>
      <c r="I11" s="31">
        <v>29</v>
      </c>
      <c r="J11">
        <v>0</v>
      </c>
      <c r="K11">
        <v>2</v>
      </c>
      <c r="L11" s="28">
        <v>1</v>
      </c>
      <c r="M11">
        <v>0</v>
      </c>
      <c r="N11">
        <v>0</v>
      </c>
      <c r="O11" s="31">
        <v>130</v>
      </c>
      <c r="P11">
        <v>7</v>
      </c>
      <c r="Q11">
        <v>1</v>
      </c>
      <c r="R11" s="28">
        <v>6</v>
      </c>
      <c r="S11">
        <v>0</v>
      </c>
      <c r="T11" s="34">
        <v>1</v>
      </c>
    </row>
    <row r="12" spans="1:20" x14ac:dyDescent="0.3">
      <c r="A12" s="2" t="s">
        <v>43</v>
      </c>
      <c r="B12" s="7">
        <v>0.33333333333333331</v>
      </c>
      <c r="C12" s="31">
        <v>3</v>
      </c>
      <c r="D12">
        <v>0</v>
      </c>
      <c r="E12">
        <v>0</v>
      </c>
      <c r="F12" s="28">
        <v>258</v>
      </c>
      <c r="G12">
        <v>16</v>
      </c>
      <c r="H12">
        <v>12</v>
      </c>
      <c r="I12" s="31">
        <v>17</v>
      </c>
      <c r="J12">
        <v>0</v>
      </c>
      <c r="K12">
        <v>1</v>
      </c>
      <c r="L12" s="28">
        <v>0</v>
      </c>
      <c r="M12">
        <v>0</v>
      </c>
      <c r="N12">
        <v>0</v>
      </c>
      <c r="O12" s="31">
        <v>136</v>
      </c>
      <c r="P12">
        <v>19</v>
      </c>
      <c r="Q12">
        <v>0</v>
      </c>
      <c r="R12" s="28">
        <v>5</v>
      </c>
      <c r="S12">
        <v>1</v>
      </c>
      <c r="T12" s="34">
        <v>0</v>
      </c>
    </row>
    <row r="13" spans="1:20" x14ac:dyDescent="0.3">
      <c r="A13" s="2" t="s">
        <v>43</v>
      </c>
      <c r="B13" s="7">
        <v>0.34375</v>
      </c>
      <c r="C13" s="31">
        <v>3</v>
      </c>
      <c r="D13">
        <v>0</v>
      </c>
      <c r="E13">
        <v>0</v>
      </c>
      <c r="F13" s="28">
        <v>293</v>
      </c>
      <c r="G13">
        <v>7</v>
      </c>
      <c r="H13">
        <v>12</v>
      </c>
      <c r="I13" s="31">
        <v>26</v>
      </c>
      <c r="J13">
        <v>0</v>
      </c>
      <c r="K13">
        <v>3</v>
      </c>
      <c r="L13" s="28">
        <v>3</v>
      </c>
      <c r="M13">
        <v>0</v>
      </c>
      <c r="N13">
        <v>0</v>
      </c>
      <c r="O13" s="31">
        <v>145</v>
      </c>
      <c r="P13">
        <v>9</v>
      </c>
      <c r="Q13">
        <v>1</v>
      </c>
      <c r="R13" s="28">
        <v>4</v>
      </c>
      <c r="S13">
        <v>1</v>
      </c>
      <c r="T13" s="34">
        <v>0</v>
      </c>
    </row>
    <row r="14" spans="1:20" x14ac:dyDescent="0.3">
      <c r="A14" s="2" t="s">
        <v>43</v>
      </c>
      <c r="B14" s="7">
        <v>0.35416666666666669</v>
      </c>
      <c r="C14" s="31">
        <v>10</v>
      </c>
      <c r="D14">
        <v>1</v>
      </c>
      <c r="E14">
        <v>0</v>
      </c>
      <c r="F14" s="28">
        <v>280</v>
      </c>
      <c r="G14">
        <v>12</v>
      </c>
      <c r="H14">
        <v>5</v>
      </c>
      <c r="I14" s="31">
        <v>24</v>
      </c>
      <c r="J14">
        <v>0</v>
      </c>
      <c r="K14">
        <v>2</v>
      </c>
      <c r="L14" s="28">
        <v>10</v>
      </c>
      <c r="M14">
        <v>0</v>
      </c>
      <c r="N14">
        <v>0</v>
      </c>
      <c r="O14" s="31">
        <v>146</v>
      </c>
      <c r="P14">
        <v>11</v>
      </c>
      <c r="Q14">
        <v>1</v>
      </c>
      <c r="R14" s="28">
        <v>4</v>
      </c>
      <c r="S14">
        <v>0</v>
      </c>
      <c r="T14" s="34">
        <v>0</v>
      </c>
    </row>
    <row r="15" spans="1:20" ht="15" thickBot="1" x14ac:dyDescent="0.35">
      <c r="A15" s="2" t="s">
        <v>43</v>
      </c>
      <c r="B15" s="7">
        <v>0.36458333333333331</v>
      </c>
      <c r="C15" s="31">
        <v>5</v>
      </c>
      <c r="D15">
        <v>0</v>
      </c>
      <c r="E15">
        <v>0</v>
      </c>
      <c r="F15" s="28">
        <v>286</v>
      </c>
      <c r="G15">
        <v>4</v>
      </c>
      <c r="H15">
        <v>7</v>
      </c>
      <c r="I15" s="31">
        <v>26</v>
      </c>
      <c r="J15">
        <v>1</v>
      </c>
      <c r="K15">
        <v>0</v>
      </c>
      <c r="L15" s="28">
        <v>2</v>
      </c>
      <c r="M15">
        <v>0</v>
      </c>
      <c r="N15">
        <v>0</v>
      </c>
      <c r="O15" s="31">
        <v>166</v>
      </c>
      <c r="P15">
        <v>9</v>
      </c>
      <c r="Q15">
        <v>1</v>
      </c>
      <c r="R15" s="28">
        <v>6</v>
      </c>
      <c r="S15">
        <v>1</v>
      </c>
      <c r="T15" s="34">
        <v>0</v>
      </c>
    </row>
    <row r="16" spans="1:20" ht="15" thickBot="1" x14ac:dyDescent="0.35">
      <c r="A16" s="24"/>
      <c r="B16" s="24"/>
      <c r="C16" s="35"/>
      <c r="D16" s="22"/>
      <c r="E16" s="22"/>
      <c r="F16" s="36"/>
      <c r="G16" s="22"/>
      <c r="H16" s="22"/>
      <c r="I16" s="35"/>
      <c r="J16" s="22"/>
      <c r="K16" s="22"/>
      <c r="L16" s="36"/>
      <c r="M16" s="22"/>
      <c r="N16" s="22"/>
      <c r="O16" s="35"/>
      <c r="P16" s="22"/>
      <c r="Q16" s="22"/>
      <c r="R16" s="36"/>
      <c r="S16" s="22"/>
      <c r="T16" s="37"/>
    </row>
    <row r="17" spans="1:20" x14ac:dyDescent="0.3">
      <c r="A17" s="2" t="s">
        <v>90</v>
      </c>
      <c r="B17" s="7">
        <v>0.54166666666666663</v>
      </c>
      <c r="C17" s="31">
        <v>5</v>
      </c>
      <c r="D17">
        <v>0</v>
      </c>
      <c r="E17">
        <v>0</v>
      </c>
      <c r="F17" s="28">
        <v>176</v>
      </c>
      <c r="G17">
        <v>4</v>
      </c>
      <c r="H17">
        <v>3</v>
      </c>
      <c r="I17" s="31">
        <v>10</v>
      </c>
      <c r="J17">
        <v>0</v>
      </c>
      <c r="K17">
        <v>0</v>
      </c>
      <c r="L17" s="28">
        <v>3</v>
      </c>
      <c r="M17">
        <v>0</v>
      </c>
      <c r="N17">
        <v>0</v>
      </c>
      <c r="O17" s="31">
        <v>240</v>
      </c>
      <c r="P17">
        <v>5</v>
      </c>
      <c r="Q17">
        <v>0</v>
      </c>
      <c r="R17" s="28">
        <v>9</v>
      </c>
      <c r="S17">
        <v>2</v>
      </c>
      <c r="T17" s="34">
        <v>1</v>
      </c>
    </row>
    <row r="18" spans="1:20" x14ac:dyDescent="0.3">
      <c r="A18" s="2" t="s">
        <v>90</v>
      </c>
      <c r="B18" s="7">
        <v>0.55208333333333337</v>
      </c>
      <c r="C18" s="31">
        <v>2</v>
      </c>
      <c r="D18">
        <v>0</v>
      </c>
      <c r="E18">
        <v>1</v>
      </c>
      <c r="F18" s="28">
        <v>204</v>
      </c>
      <c r="G18">
        <v>4</v>
      </c>
      <c r="H18">
        <v>3</v>
      </c>
      <c r="I18" s="31">
        <v>11</v>
      </c>
      <c r="J18">
        <v>0</v>
      </c>
      <c r="K18">
        <v>0</v>
      </c>
      <c r="L18" s="28">
        <v>2</v>
      </c>
      <c r="M18">
        <v>0</v>
      </c>
      <c r="N18">
        <v>0</v>
      </c>
      <c r="O18" s="31">
        <v>248</v>
      </c>
      <c r="P18">
        <v>9</v>
      </c>
      <c r="Q18">
        <v>1</v>
      </c>
      <c r="R18" s="28">
        <v>16</v>
      </c>
      <c r="S18">
        <v>0</v>
      </c>
      <c r="T18" s="34">
        <v>0</v>
      </c>
    </row>
    <row r="19" spans="1:20" x14ac:dyDescent="0.3">
      <c r="A19" s="2" t="s">
        <v>90</v>
      </c>
      <c r="B19" s="7">
        <v>0.5625</v>
      </c>
      <c r="C19" s="31">
        <v>1</v>
      </c>
      <c r="D19">
        <v>0</v>
      </c>
      <c r="E19">
        <v>1</v>
      </c>
      <c r="F19" s="28">
        <v>207</v>
      </c>
      <c r="G19">
        <v>10</v>
      </c>
      <c r="H19">
        <v>4</v>
      </c>
      <c r="I19" s="31">
        <v>12</v>
      </c>
      <c r="J19">
        <v>0</v>
      </c>
      <c r="K19">
        <v>1</v>
      </c>
      <c r="L19" s="28">
        <v>1</v>
      </c>
      <c r="M19">
        <v>0</v>
      </c>
      <c r="N19">
        <v>0</v>
      </c>
      <c r="O19" s="31">
        <v>231</v>
      </c>
      <c r="P19">
        <v>4</v>
      </c>
      <c r="Q19">
        <v>1</v>
      </c>
      <c r="R19" s="28">
        <v>20</v>
      </c>
      <c r="S19">
        <v>0</v>
      </c>
      <c r="T19" s="34">
        <v>1</v>
      </c>
    </row>
    <row r="20" spans="1:20" ht="15" thickBot="1" x14ac:dyDescent="0.35">
      <c r="A20" s="2" t="s">
        <v>90</v>
      </c>
      <c r="B20" s="7">
        <v>0.57291666666666663</v>
      </c>
      <c r="C20" s="31">
        <v>3</v>
      </c>
      <c r="D20">
        <v>0</v>
      </c>
      <c r="E20">
        <v>0</v>
      </c>
      <c r="F20" s="28">
        <v>187</v>
      </c>
      <c r="G20">
        <v>6</v>
      </c>
      <c r="H20">
        <v>5</v>
      </c>
      <c r="I20" s="31">
        <v>14</v>
      </c>
      <c r="J20">
        <v>0</v>
      </c>
      <c r="K20">
        <v>0</v>
      </c>
      <c r="L20" s="28">
        <v>3</v>
      </c>
      <c r="M20">
        <v>0</v>
      </c>
      <c r="N20">
        <v>0</v>
      </c>
      <c r="O20" s="31">
        <v>209</v>
      </c>
      <c r="P20">
        <v>8</v>
      </c>
      <c r="Q20">
        <v>0</v>
      </c>
      <c r="R20" s="28">
        <v>15</v>
      </c>
      <c r="S20">
        <v>1</v>
      </c>
      <c r="T20" s="34">
        <v>0</v>
      </c>
    </row>
    <row r="21" spans="1:20" ht="15" thickBot="1" x14ac:dyDescent="0.35">
      <c r="A21" s="24"/>
      <c r="B21" s="24"/>
      <c r="C21" s="35"/>
      <c r="D21" s="22"/>
      <c r="E21" s="22"/>
      <c r="F21" s="36"/>
      <c r="G21" s="22"/>
      <c r="H21" s="22"/>
      <c r="I21" s="35"/>
      <c r="J21" s="22"/>
      <c r="K21" s="22"/>
      <c r="L21" s="36"/>
      <c r="M21" s="22"/>
      <c r="N21" s="22"/>
      <c r="O21" s="35"/>
      <c r="P21" s="22"/>
      <c r="Q21" s="22"/>
      <c r="R21" s="36"/>
      <c r="S21" s="22"/>
      <c r="T21" s="37"/>
    </row>
    <row r="22" spans="1:20" x14ac:dyDescent="0.3">
      <c r="A22" s="2" t="s">
        <v>44</v>
      </c>
      <c r="B22" s="7">
        <v>0.66666666666666663</v>
      </c>
      <c r="C22" s="31">
        <v>4</v>
      </c>
      <c r="D22">
        <v>0</v>
      </c>
      <c r="E22">
        <v>0</v>
      </c>
      <c r="F22" s="28">
        <v>259</v>
      </c>
      <c r="G22">
        <v>5</v>
      </c>
      <c r="H22">
        <v>0</v>
      </c>
      <c r="I22" s="31">
        <v>10</v>
      </c>
      <c r="J22">
        <v>0</v>
      </c>
      <c r="K22">
        <v>0</v>
      </c>
      <c r="L22" s="28">
        <v>1</v>
      </c>
      <c r="M22">
        <v>0</v>
      </c>
      <c r="N22">
        <v>0</v>
      </c>
      <c r="O22" s="31">
        <v>274</v>
      </c>
      <c r="P22">
        <v>10</v>
      </c>
      <c r="Q22">
        <v>2</v>
      </c>
      <c r="R22" s="28">
        <v>16</v>
      </c>
      <c r="S22">
        <v>0</v>
      </c>
      <c r="T22" s="34">
        <v>0</v>
      </c>
    </row>
    <row r="23" spans="1:20" x14ac:dyDescent="0.3">
      <c r="A23" s="2" t="s">
        <v>44</v>
      </c>
      <c r="B23" s="7">
        <v>0.67708333333333337</v>
      </c>
      <c r="C23" s="31">
        <v>6</v>
      </c>
      <c r="D23">
        <v>0</v>
      </c>
      <c r="E23">
        <v>0</v>
      </c>
      <c r="F23" s="28">
        <v>244</v>
      </c>
      <c r="G23">
        <v>6</v>
      </c>
      <c r="H23">
        <v>4</v>
      </c>
      <c r="I23" s="31">
        <v>12</v>
      </c>
      <c r="J23">
        <v>0</v>
      </c>
      <c r="K23">
        <v>0</v>
      </c>
      <c r="L23" s="28">
        <v>1</v>
      </c>
      <c r="M23">
        <v>0</v>
      </c>
      <c r="N23">
        <v>0</v>
      </c>
      <c r="O23" s="31">
        <v>290</v>
      </c>
      <c r="P23">
        <v>2</v>
      </c>
      <c r="Q23">
        <v>0</v>
      </c>
      <c r="R23" s="28">
        <v>19</v>
      </c>
      <c r="S23">
        <v>0</v>
      </c>
      <c r="T23" s="34">
        <v>0</v>
      </c>
    </row>
    <row r="24" spans="1:20" x14ac:dyDescent="0.3">
      <c r="A24" s="2" t="s">
        <v>44</v>
      </c>
      <c r="B24" s="7">
        <v>0.6875</v>
      </c>
      <c r="C24" s="31">
        <v>3</v>
      </c>
      <c r="D24">
        <v>0</v>
      </c>
      <c r="E24">
        <v>2</v>
      </c>
      <c r="F24" s="28">
        <v>257</v>
      </c>
      <c r="G24">
        <v>8</v>
      </c>
      <c r="H24">
        <v>2</v>
      </c>
      <c r="I24" s="31">
        <v>11</v>
      </c>
      <c r="J24">
        <v>0</v>
      </c>
      <c r="K24">
        <v>1</v>
      </c>
      <c r="L24" s="28">
        <v>0</v>
      </c>
      <c r="M24">
        <v>0</v>
      </c>
      <c r="N24">
        <v>0</v>
      </c>
      <c r="O24" s="31">
        <v>287</v>
      </c>
      <c r="P24">
        <v>5</v>
      </c>
      <c r="Q24">
        <v>4</v>
      </c>
      <c r="R24" s="28">
        <v>19</v>
      </c>
      <c r="S24">
        <v>0</v>
      </c>
      <c r="T24" s="34">
        <v>0</v>
      </c>
    </row>
    <row r="25" spans="1:20" x14ac:dyDescent="0.3">
      <c r="A25" s="2" t="s">
        <v>44</v>
      </c>
      <c r="B25" s="7">
        <v>0.69791666666666663</v>
      </c>
      <c r="C25" s="31">
        <v>10</v>
      </c>
      <c r="D25">
        <v>0</v>
      </c>
      <c r="E25">
        <v>1</v>
      </c>
      <c r="F25" s="28">
        <v>237</v>
      </c>
      <c r="G25">
        <v>4</v>
      </c>
      <c r="H25">
        <v>4</v>
      </c>
      <c r="I25" s="31">
        <v>14</v>
      </c>
      <c r="J25">
        <v>0</v>
      </c>
      <c r="K25">
        <v>1</v>
      </c>
      <c r="L25" s="28">
        <v>2</v>
      </c>
      <c r="M25">
        <v>0</v>
      </c>
      <c r="N25">
        <v>0</v>
      </c>
      <c r="O25" s="31">
        <v>270</v>
      </c>
      <c r="P25">
        <v>4</v>
      </c>
      <c r="Q25">
        <v>0</v>
      </c>
      <c r="R25" s="28">
        <v>13</v>
      </c>
      <c r="S25">
        <v>0</v>
      </c>
      <c r="T25" s="34">
        <v>0</v>
      </c>
    </row>
    <row r="26" spans="1:20" x14ac:dyDescent="0.3">
      <c r="A26" s="2" t="s">
        <v>44</v>
      </c>
      <c r="B26" s="7">
        <v>0.70833333333333337</v>
      </c>
      <c r="C26" s="31">
        <v>5</v>
      </c>
      <c r="D26">
        <v>0</v>
      </c>
      <c r="E26">
        <v>0</v>
      </c>
      <c r="F26" s="28">
        <v>231</v>
      </c>
      <c r="G26">
        <v>2</v>
      </c>
      <c r="H26">
        <v>2</v>
      </c>
      <c r="I26" s="31">
        <v>16</v>
      </c>
      <c r="J26">
        <v>0</v>
      </c>
      <c r="K26">
        <v>0</v>
      </c>
      <c r="L26" s="28">
        <v>2</v>
      </c>
      <c r="M26">
        <v>0</v>
      </c>
      <c r="N26">
        <v>0</v>
      </c>
      <c r="O26" s="31">
        <v>283</v>
      </c>
      <c r="P26">
        <v>5</v>
      </c>
      <c r="Q26">
        <v>2</v>
      </c>
      <c r="R26" s="28">
        <v>29</v>
      </c>
      <c r="S26">
        <v>0</v>
      </c>
      <c r="T26" s="34">
        <v>2</v>
      </c>
    </row>
    <row r="27" spans="1:20" x14ac:dyDescent="0.3">
      <c r="A27" s="2" t="s">
        <v>44</v>
      </c>
      <c r="B27" s="7">
        <v>0.71875</v>
      </c>
      <c r="C27" s="31">
        <v>11</v>
      </c>
      <c r="D27">
        <v>0</v>
      </c>
      <c r="E27">
        <v>2</v>
      </c>
      <c r="F27" s="28">
        <v>252</v>
      </c>
      <c r="G27">
        <v>4</v>
      </c>
      <c r="H27">
        <v>6</v>
      </c>
      <c r="I27" s="31">
        <v>16</v>
      </c>
      <c r="J27">
        <v>0</v>
      </c>
      <c r="K27">
        <v>0</v>
      </c>
      <c r="L27" s="28">
        <v>0</v>
      </c>
      <c r="M27">
        <v>0</v>
      </c>
      <c r="N27">
        <v>0</v>
      </c>
      <c r="O27" s="31">
        <v>309</v>
      </c>
      <c r="P27">
        <v>1</v>
      </c>
      <c r="Q27">
        <v>2</v>
      </c>
      <c r="R27" s="28">
        <v>32</v>
      </c>
      <c r="S27">
        <v>0</v>
      </c>
      <c r="T27" s="34">
        <v>0</v>
      </c>
    </row>
    <row r="28" spans="1:20" x14ac:dyDescent="0.3">
      <c r="A28" s="2" t="s">
        <v>44</v>
      </c>
      <c r="B28" s="7">
        <v>0.72916666666666663</v>
      </c>
      <c r="C28" s="31">
        <v>5</v>
      </c>
      <c r="D28">
        <v>0</v>
      </c>
      <c r="E28">
        <v>0</v>
      </c>
      <c r="F28" s="28">
        <v>193</v>
      </c>
      <c r="G28">
        <v>5</v>
      </c>
      <c r="H28">
        <v>5</v>
      </c>
      <c r="I28" s="31">
        <v>8</v>
      </c>
      <c r="J28">
        <v>0</v>
      </c>
      <c r="K28">
        <v>0</v>
      </c>
      <c r="L28" s="28">
        <v>0</v>
      </c>
      <c r="M28">
        <v>0</v>
      </c>
      <c r="N28">
        <v>0</v>
      </c>
      <c r="O28" s="31">
        <v>317</v>
      </c>
      <c r="P28">
        <v>3</v>
      </c>
      <c r="Q28">
        <v>3</v>
      </c>
      <c r="R28" s="28">
        <v>17</v>
      </c>
      <c r="S28">
        <v>0</v>
      </c>
      <c r="T28" s="34">
        <v>2</v>
      </c>
    </row>
    <row r="29" spans="1:20" ht="15" thickBot="1" x14ac:dyDescent="0.35">
      <c r="A29" s="23" t="s">
        <v>44</v>
      </c>
      <c r="B29" s="48">
        <v>0.73958333333333337</v>
      </c>
      <c r="C29" s="39">
        <v>12</v>
      </c>
      <c r="D29" s="38">
        <v>0</v>
      </c>
      <c r="E29" s="38">
        <v>1</v>
      </c>
      <c r="F29" s="40">
        <v>188</v>
      </c>
      <c r="G29" s="38">
        <v>4</v>
      </c>
      <c r="H29" s="38">
        <v>2</v>
      </c>
      <c r="I29" s="39">
        <v>9</v>
      </c>
      <c r="J29" s="38">
        <v>0</v>
      </c>
      <c r="K29" s="38">
        <v>1</v>
      </c>
      <c r="L29" s="40">
        <v>2</v>
      </c>
      <c r="M29" s="38">
        <v>0</v>
      </c>
      <c r="N29" s="38">
        <v>0</v>
      </c>
      <c r="O29" s="39">
        <v>314</v>
      </c>
      <c r="P29" s="38">
        <v>3</v>
      </c>
      <c r="Q29" s="38">
        <v>2</v>
      </c>
      <c r="R29" s="40">
        <v>23</v>
      </c>
      <c r="S29" s="38">
        <v>0</v>
      </c>
      <c r="T29" s="41">
        <v>2</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361"/>
  <sheetViews>
    <sheetView workbookViewId="0"/>
  </sheetViews>
  <sheetFormatPr defaultRowHeight="14.4" x14ac:dyDescent="0.3"/>
  <cols>
    <col min="1" max="1" width="12.44140625" bestFit="1" customWidth="1"/>
    <col min="2" max="2" width="24.33203125" bestFit="1" customWidth="1"/>
    <col min="3" max="3" width="11.44140625" bestFit="1" customWidth="1"/>
    <col min="4" max="4" width="10" bestFit="1" customWidth="1"/>
    <col min="5" max="5" width="15.6640625" bestFit="1" customWidth="1"/>
    <col min="6" max="6" width="7.6640625" bestFit="1" customWidth="1"/>
    <col min="7" max="7" width="8.5546875" bestFit="1" customWidth="1"/>
    <col min="8" max="8" width="16.109375" bestFit="1" customWidth="1"/>
  </cols>
  <sheetData>
    <row r="1" spans="1:9" x14ac:dyDescent="0.3">
      <c r="A1" t="s">
        <v>40</v>
      </c>
      <c r="B1" t="s">
        <v>41</v>
      </c>
      <c r="C1" t="s">
        <v>42</v>
      </c>
      <c r="D1" t="s">
        <v>5</v>
      </c>
      <c r="E1" t="s">
        <v>45</v>
      </c>
      <c r="F1" t="s">
        <v>39</v>
      </c>
      <c r="G1" t="s">
        <v>46</v>
      </c>
      <c r="H1" t="s">
        <v>47</v>
      </c>
      <c r="I1" t="s">
        <v>82</v>
      </c>
    </row>
    <row r="2" spans="1:9" x14ac:dyDescent="0.3">
      <c r="A2" t="s">
        <v>92</v>
      </c>
      <c r="B2" t="s">
        <v>95</v>
      </c>
      <c r="C2" t="s">
        <v>93</v>
      </c>
      <c r="D2" t="s">
        <v>79</v>
      </c>
      <c r="E2" t="s">
        <v>43</v>
      </c>
      <c r="F2" s="6">
        <v>0.29166666666666669</v>
      </c>
      <c r="G2">
        <v>0</v>
      </c>
      <c r="H2" s="6">
        <f>FLOOR(tblPivotData[[#This Row],[Time]],Summary!$B$6/1440)</f>
        <v>0.29166666666666663</v>
      </c>
      <c r="I2">
        <f>INDEX(PeakCalc!$L$10:$L$303,MATCH(tblPivotData[[#This Row],[Time]],PeakCalc!$G$10:$G$303,0))</f>
        <v>0</v>
      </c>
    </row>
    <row r="3" spans="1:9" x14ac:dyDescent="0.3">
      <c r="A3" t="s">
        <v>92</v>
      </c>
      <c r="B3" t="s">
        <v>95</v>
      </c>
      <c r="C3" t="s">
        <v>93</v>
      </c>
      <c r="D3" t="s">
        <v>79</v>
      </c>
      <c r="E3" t="s">
        <v>43</v>
      </c>
      <c r="F3" s="6">
        <v>0.30208333333333331</v>
      </c>
      <c r="G3">
        <v>1</v>
      </c>
      <c r="H3" s="6">
        <f>FLOOR(tblPivotData[[#This Row],[Time]],Summary!$B$6/1440)</f>
        <v>0.30208333333333331</v>
      </c>
      <c r="I3">
        <f>INDEX(PeakCalc!$L$10:$L$303,MATCH(tblPivotData[[#This Row],[Time]],PeakCalc!$G$10:$G$303,0))</f>
        <v>0</v>
      </c>
    </row>
    <row r="4" spans="1:9" x14ac:dyDescent="0.3">
      <c r="A4" t="s">
        <v>92</v>
      </c>
      <c r="B4" t="s">
        <v>95</v>
      </c>
      <c r="C4" t="s">
        <v>93</v>
      </c>
      <c r="D4" t="s">
        <v>79</v>
      </c>
      <c r="E4" t="s">
        <v>43</v>
      </c>
      <c r="F4" s="6">
        <v>0.3125</v>
      </c>
      <c r="G4">
        <v>0</v>
      </c>
      <c r="H4" s="6">
        <f>FLOOR(tblPivotData[[#This Row],[Time]],Summary!$B$6/1440)</f>
        <v>0.3125</v>
      </c>
      <c r="I4">
        <f>INDEX(PeakCalc!$L$10:$L$303,MATCH(tblPivotData[[#This Row],[Time]],PeakCalc!$G$10:$G$303,0))</f>
        <v>0</v>
      </c>
    </row>
    <row r="5" spans="1:9" x14ac:dyDescent="0.3">
      <c r="A5" t="s">
        <v>92</v>
      </c>
      <c r="B5" t="s">
        <v>95</v>
      </c>
      <c r="C5" t="s">
        <v>93</v>
      </c>
      <c r="D5" t="s">
        <v>79</v>
      </c>
      <c r="E5" t="s">
        <v>43</v>
      </c>
      <c r="F5" s="6">
        <v>0.32291666666666669</v>
      </c>
      <c r="G5">
        <v>4</v>
      </c>
      <c r="H5" s="6">
        <f>FLOOR(tblPivotData[[#This Row],[Time]],Summary!$B$6/1440)</f>
        <v>0.32291666666666663</v>
      </c>
      <c r="I5">
        <f>INDEX(PeakCalc!$L$10:$L$303,MATCH(tblPivotData[[#This Row],[Time]],PeakCalc!$G$10:$G$303,0))</f>
        <v>0</v>
      </c>
    </row>
    <row r="6" spans="1:9" x14ac:dyDescent="0.3">
      <c r="A6" t="s">
        <v>92</v>
      </c>
      <c r="B6" t="s">
        <v>95</v>
      </c>
      <c r="C6" t="s">
        <v>93</v>
      </c>
      <c r="D6" t="s">
        <v>79</v>
      </c>
      <c r="E6" t="s">
        <v>43</v>
      </c>
      <c r="F6" s="6">
        <v>0.33333333333333331</v>
      </c>
      <c r="G6">
        <v>3</v>
      </c>
      <c r="H6" s="6">
        <f>FLOOR(tblPivotData[[#This Row],[Time]],Summary!$B$6/1440)</f>
        <v>0.33333333333333331</v>
      </c>
      <c r="I6">
        <f>INDEX(PeakCalc!$L$10:$L$303,MATCH(tblPivotData[[#This Row],[Time]],PeakCalc!$G$10:$G$303,0))</f>
        <v>1</v>
      </c>
    </row>
    <row r="7" spans="1:9" x14ac:dyDescent="0.3">
      <c r="A7" t="s">
        <v>92</v>
      </c>
      <c r="B7" t="s">
        <v>95</v>
      </c>
      <c r="C7" t="s">
        <v>93</v>
      </c>
      <c r="D7" t="s">
        <v>79</v>
      </c>
      <c r="E7" t="s">
        <v>43</v>
      </c>
      <c r="F7" s="6">
        <v>0.34375</v>
      </c>
      <c r="G7">
        <v>3</v>
      </c>
      <c r="H7" s="6">
        <f>FLOOR(tblPivotData[[#This Row],[Time]],Summary!$B$6/1440)</f>
        <v>0.34375</v>
      </c>
      <c r="I7">
        <f>INDEX(PeakCalc!$L$10:$L$303,MATCH(tblPivotData[[#This Row],[Time]],PeakCalc!$G$10:$G$303,0))</f>
        <v>1</v>
      </c>
    </row>
    <row r="8" spans="1:9" x14ac:dyDescent="0.3">
      <c r="A8" t="s">
        <v>92</v>
      </c>
      <c r="B8" t="s">
        <v>95</v>
      </c>
      <c r="C8" t="s">
        <v>93</v>
      </c>
      <c r="D8" t="s">
        <v>79</v>
      </c>
      <c r="E8" t="s">
        <v>43</v>
      </c>
      <c r="F8" s="6">
        <v>0.35416666666666669</v>
      </c>
      <c r="G8">
        <v>10</v>
      </c>
      <c r="H8" s="6">
        <f>FLOOR(tblPivotData[[#This Row],[Time]],Summary!$B$6/1440)</f>
        <v>0.35416666666666663</v>
      </c>
      <c r="I8">
        <f>INDEX(PeakCalc!$L$10:$L$303,MATCH(tblPivotData[[#This Row],[Time]],PeakCalc!$G$10:$G$303,0))</f>
        <v>1</v>
      </c>
    </row>
    <row r="9" spans="1:9" x14ac:dyDescent="0.3">
      <c r="A9" t="s">
        <v>92</v>
      </c>
      <c r="B9" t="s">
        <v>95</v>
      </c>
      <c r="C9" t="s">
        <v>93</v>
      </c>
      <c r="D9" t="s">
        <v>79</v>
      </c>
      <c r="E9" t="s">
        <v>43</v>
      </c>
      <c r="F9" s="6">
        <v>0.36458333333333331</v>
      </c>
      <c r="G9">
        <v>5</v>
      </c>
      <c r="H9" s="6">
        <f>FLOOR(tblPivotData[[#This Row],[Time]],Summary!$B$6/1440)</f>
        <v>0.36458333333333331</v>
      </c>
      <c r="I9">
        <f>INDEX(PeakCalc!$L$10:$L$303,MATCH(tblPivotData[[#This Row],[Time]],PeakCalc!$G$10:$G$303,0))</f>
        <v>1</v>
      </c>
    </row>
    <row r="10" spans="1:9" x14ac:dyDescent="0.3">
      <c r="A10" t="s">
        <v>92</v>
      </c>
      <c r="B10" t="s">
        <v>95</v>
      </c>
      <c r="C10" t="s">
        <v>93</v>
      </c>
      <c r="D10" t="s">
        <v>79</v>
      </c>
      <c r="E10" t="s">
        <v>90</v>
      </c>
      <c r="F10" s="6">
        <v>0.54166666666666663</v>
      </c>
      <c r="G10">
        <v>5</v>
      </c>
      <c r="H10" s="6">
        <f>FLOOR(tblPivotData[[#This Row],[Time]],Summary!$B$6/1440)</f>
        <v>0.54166666666666663</v>
      </c>
      <c r="I10">
        <f>INDEX(PeakCalc!$L$10:$L$303,MATCH(tblPivotData[[#This Row],[Time]],PeakCalc!$G$10:$G$303,0))</f>
        <v>1</v>
      </c>
    </row>
    <row r="11" spans="1:9" x14ac:dyDescent="0.3">
      <c r="A11" t="s">
        <v>92</v>
      </c>
      <c r="B11" t="s">
        <v>95</v>
      </c>
      <c r="C11" t="s">
        <v>93</v>
      </c>
      <c r="D11" t="s">
        <v>79</v>
      </c>
      <c r="E11" t="s">
        <v>90</v>
      </c>
      <c r="F11" s="6">
        <v>0.55208333333333337</v>
      </c>
      <c r="G11">
        <v>2</v>
      </c>
      <c r="H11" s="6">
        <f>FLOOR(tblPivotData[[#This Row],[Time]],Summary!$B$6/1440)</f>
        <v>0.55208333333333326</v>
      </c>
      <c r="I11">
        <f>INDEX(PeakCalc!$L$10:$L$303,MATCH(tblPivotData[[#This Row],[Time]],PeakCalc!$G$10:$G$303,0))</f>
        <v>1</v>
      </c>
    </row>
    <row r="12" spans="1:9" x14ac:dyDescent="0.3">
      <c r="A12" t="s">
        <v>92</v>
      </c>
      <c r="B12" t="s">
        <v>95</v>
      </c>
      <c r="C12" t="s">
        <v>93</v>
      </c>
      <c r="D12" t="s">
        <v>79</v>
      </c>
      <c r="E12" t="s">
        <v>90</v>
      </c>
      <c r="F12" s="6">
        <v>0.5625</v>
      </c>
      <c r="G12">
        <v>1</v>
      </c>
      <c r="H12" s="6">
        <f>FLOOR(tblPivotData[[#This Row],[Time]],Summary!$B$6/1440)</f>
        <v>0.5625</v>
      </c>
      <c r="I12">
        <f>INDEX(PeakCalc!$L$10:$L$303,MATCH(tblPivotData[[#This Row],[Time]],PeakCalc!$G$10:$G$303,0))</f>
        <v>1</v>
      </c>
    </row>
    <row r="13" spans="1:9" x14ac:dyDescent="0.3">
      <c r="A13" t="s">
        <v>92</v>
      </c>
      <c r="B13" t="s">
        <v>95</v>
      </c>
      <c r="C13" t="s">
        <v>93</v>
      </c>
      <c r="D13" t="s">
        <v>79</v>
      </c>
      <c r="E13" t="s">
        <v>90</v>
      </c>
      <c r="F13" s="6">
        <v>0.57291666666666663</v>
      </c>
      <c r="G13">
        <v>3</v>
      </c>
      <c r="H13" s="6">
        <f>FLOOR(tblPivotData[[#This Row],[Time]],Summary!$B$6/1440)</f>
        <v>0.57291666666666663</v>
      </c>
      <c r="I13">
        <f>INDEX(PeakCalc!$L$10:$L$303,MATCH(tblPivotData[[#This Row],[Time]],PeakCalc!$G$10:$G$303,0))</f>
        <v>1</v>
      </c>
    </row>
    <row r="14" spans="1:9" x14ac:dyDescent="0.3">
      <c r="A14" t="s">
        <v>92</v>
      </c>
      <c r="B14" t="s">
        <v>95</v>
      </c>
      <c r="C14" t="s">
        <v>93</v>
      </c>
      <c r="D14" t="s">
        <v>79</v>
      </c>
      <c r="E14" t="s">
        <v>44</v>
      </c>
      <c r="F14" s="6">
        <v>0.66666666666666663</v>
      </c>
      <c r="G14">
        <v>4</v>
      </c>
      <c r="H14" s="6">
        <f>FLOOR(tblPivotData[[#This Row],[Time]],Summary!$B$6/1440)</f>
        <v>0.66666666666666663</v>
      </c>
      <c r="I14">
        <f>INDEX(PeakCalc!$L$10:$L$303,MATCH(tblPivotData[[#This Row],[Time]],PeakCalc!$G$10:$G$303,0))</f>
        <v>0</v>
      </c>
    </row>
    <row r="15" spans="1:9" x14ac:dyDescent="0.3">
      <c r="A15" t="s">
        <v>92</v>
      </c>
      <c r="B15" t="s">
        <v>95</v>
      </c>
      <c r="C15" t="s">
        <v>93</v>
      </c>
      <c r="D15" t="s">
        <v>79</v>
      </c>
      <c r="E15" t="s">
        <v>44</v>
      </c>
      <c r="F15" s="6">
        <v>0.67708333333333337</v>
      </c>
      <c r="G15">
        <v>6</v>
      </c>
      <c r="H15" s="6">
        <f>FLOOR(tblPivotData[[#This Row],[Time]],Summary!$B$6/1440)</f>
        <v>0.67708333333333326</v>
      </c>
      <c r="I15">
        <f>INDEX(PeakCalc!$L$10:$L$303,MATCH(tblPivotData[[#This Row],[Time]],PeakCalc!$G$10:$G$303,0))</f>
        <v>0</v>
      </c>
    </row>
    <row r="16" spans="1:9" x14ac:dyDescent="0.3">
      <c r="A16" t="s">
        <v>92</v>
      </c>
      <c r="B16" t="s">
        <v>95</v>
      </c>
      <c r="C16" t="s">
        <v>93</v>
      </c>
      <c r="D16" t="s">
        <v>79</v>
      </c>
      <c r="E16" t="s">
        <v>44</v>
      </c>
      <c r="F16" s="6">
        <v>0.6875</v>
      </c>
      <c r="G16">
        <v>3</v>
      </c>
      <c r="H16" s="6">
        <f>FLOOR(tblPivotData[[#This Row],[Time]],Summary!$B$6/1440)</f>
        <v>0.6875</v>
      </c>
      <c r="I16">
        <f>INDEX(PeakCalc!$L$10:$L$303,MATCH(tblPivotData[[#This Row],[Time]],PeakCalc!$G$10:$G$303,0))</f>
        <v>1</v>
      </c>
    </row>
    <row r="17" spans="1:9" x14ac:dyDescent="0.3">
      <c r="A17" t="s">
        <v>92</v>
      </c>
      <c r="B17" t="s">
        <v>95</v>
      </c>
      <c r="C17" t="s">
        <v>93</v>
      </c>
      <c r="D17" t="s">
        <v>79</v>
      </c>
      <c r="E17" t="s">
        <v>44</v>
      </c>
      <c r="F17" s="6">
        <v>0.69791666666666663</v>
      </c>
      <c r="G17">
        <v>10</v>
      </c>
      <c r="H17" s="6">
        <f>FLOOR(tblPivotData[[#This Row],[Time]],Summary!$B$6/1440)</f>
        <v>0.69791666666666663</v>
      </c>
      <c r="I17">
        <f>INDEX(PeakCalc!$L$10:$L$303,MATCH(tblPivotData[[#This Row],[Time]],PeakCalc!$G$10:$G$303,0))</f>
        <v>1</v>
      </c>
    </row>
    <row r="18" spans="1:9" x14ac:dyDescent="0.3">
      <c r="A18" t="s">
        <v>92</v>
      </c>
      <c r="B18" t="s">
        <v>95</v>
      </c>
      <c r="C18" t="s">
        <v>93</v>
      </c>
      <c r="D18" t="s">
        <v>79</v>
      </c>
      <c r="E18" t="s">
        <v>44</v>
      </c>
      <c r="F18" s="6">
        <v>0.70833333333333337</v>
      </c>
      <c r="G18">
        <v>5</v>
      </c>
      <c r="H18" s="6">
        <f>FLOOR(tblPivotData[[#This Row],[Time]],Summary!$B$6/1440)</f>
        <v>0.70833333333333326</v>
      </c>
      <c r="I18">
        <f>INDEX(PeakCalc!$L$10:$L$303,MATCH(tblPivotData[[#This Row],[Time]],PeakCalc!$G$10:$G$303,0))</f>
        <v>1</v>
      </c>
    </row>
    <row r="19" spans="1:9" x14ac:dyDescent="0.3">
      <c r="A19" t="s">
        <v>92</v>
      </c>
      <c r="B19" t="s">
        <v>95</v>
      </c>
      <c r="C19" t="s">
        <v>93</v>
      </c>
      <c r="D19" t="s">
        <v>79</v>
      </c>
      <c r="E19" t="s">
        <v>44</v>
      </c>
      <c r="F19" s="6">
        <v>0.71875</v>
      </c>
      <c r="G19">
        <v>11</v>
      </c>
      <c r="H19" s="6">
        <f>FLOOR(tblPivotData[[#This Row],[Time]],Summary!$B$6/1440)</f>
        <v>0.71875</v>
      </c>
      <c r="I19">
        <f>INDEX(PeakCalc!$L$10:$L$303,MATCH(tblPivotData[[#This Row],[Time]],PeakCalc!$G$10:$G$303,0))</f>
        <v>1</v>
      </c>
    </row>
    <row r="20" spans="1:9" x14ac:dyDescent="0.3">
      <c r="A20" t="s">
        <v>92</v>
      </c>
      <c r="B20" t="s">
        <v>95</v>
      </c>
      <c r="C20" t="s">
        <v>93</v>
      </c>
      <c r="D20" t="s">
        <v>79</v>
      </c>
      <c r="E20" t="s">
        <v>44</v>
      </c>
      <c r="F20" s="6">
        <v>0.72916666666666663</v>
      </c>
      <c r="G20">
        <v>5</v>
      </c>
      <c r="H20" s="6">
        <f>FLOOR(tblPivotData[[#This Row],[Time]],Summary!$B$6/1440)</f>
        <v>0.72916666666666663</v>
      </c>
      <c r="I20">
        <f>INDEX(PeakCalc!$L$10:$L$303,MATCH(tblPivotData[[#This Row],[Time]],PeakCalc!$G$10:$G$303,0))</f>
        <v>0</v>
      </c>
    </row>
    <row r="21" spans="1:9" x14ac:dyDescent="0.3">
      <c r="A21" t="s">
        <v>92</v>
      </c>
      <c r="B21" t="s">
        <v>95</v>
      </c>
      <c r="C21" t="s">
        <v>93</v>
      </c>
      <c r="D21" t="s">
        <v>79</v>
      </c>
      <c r="E21" t="s">
        <v>44</v>
      </c>
      <c r="F21" s="6">
        <v>0.73958333333333337</v>
      </c>
      <c r="G21">
        <v>12</v>
      </c>
      <c r="H21" s="6">
        <f>FLOOR(tblPivotData[[#This Row],[Time]],Summary!$B$6/1440)</f>
        <v>0.73958333333333326</v>
      </c>
      <c r="I21">
        <f>INDEX(PeakCalc!$L$10:$L$303,MATCH(tblPivotData[[#This Row],[Time]],PeakCalc!$G$10:$G$303,0))</f>
        <v>0</v>
      </c>
    </row>
    <row r="22" spans="1:9" x14ac:dyDescent="0.3">
      <c r="A22" t="s">
        <v>92</v>
      </c>
      <c r="B22" t="s">
        <v>95</v>
      </c>
      <c r="C22" t="s">
        <v>93</v>
      </c>
      <c r="D22" t="s">
        <v>88</v>
      </c>
      <c r="E22" t="s">
        <v>43</v>
      </c>
      <c r="F22" s="6">
        <v>0.29166666666666669</v>
      </c>
      <c r="G22">
        <v>0</v>
      </c>
      <c r="H22" s="6">
        <f>FLOOR(tblPivotData[[#This Row],[Time]],Summary!$B$6/1440)</f>
        <v>0.29166666666666663</v>
      </c>
      <c r="I22">
        <f>INDEX(PeakCalc!$L$10:$L$303,MATCH(tblPivotData[[#This Row],[Time]],PeakCalc!$G$10:$G$303,0))</f>
        <v>0</v>
      </c>
    </row>
    <row r="23" spans="1:9" x14ac:dyDescent="0.3">
      <c r="A23" t="s">
        <v>92</v>
      </c>
      <c r="B23" t="s">
        <v>95</v>
      </c>
      <c r="C23" t="s">
        <v>93</v>
      </c>
      <c r="D23" t="s">
        <v>88</v>
      </c>
      <c r="E23" t="s">
        <v>43</v>
      </c>
      <c r="F23" s="6">
        <v>0.30208333333333331</v>
      </c>
      <c r="G23">
        <v>0</v>
      </c>
      <c r="H23" s="6">
        <f>FLOOR(tblPivotData[[#This Row],[Time]],Summary!$B$6/1440)</f>
        <v>0.30208333333333331</v>
      </c>
      <c r="I23">
        <f>INDEX(PeakCalc!$L$10:$L$303,MATCH(tblPivotData[[#This Row],[Time]],PeakCalc!$G$10:$G$303,0))</f>
        <v>0</v>
      </c>
    </row>
    <row r="24" spans="1:9" x14ac:dyDescent="0.3">
      <c r="A24" t="s">
        <v>92</v>
      </c>
      <c r="B24" t="s">
        <v>95</v>
      </c>
      <c r="C24" t="s">
        <v>93</v>
      </c>
      <c r="D24" t="s">
        <v>88</v>
      </c>
      <c r="E24" t="s">
        <v>43</v>
      </c>
      <c r="F24" s="6">
        <v>0.3125</v>
      </c>
      <c r="G24">
        <v>0</v>
      </c>
      <c r="H24" s="6">
        <f>FLOOR(tblPivotData[[#This Row],[Time]],Summary!$B$6/1440)</f>
        <v>0.3125</v>
      </c>
      <c r="I24">
        <f>INDEX(PeakCalc!$L$10:$L$303,MATCH(tblPivotData[[#This Row],[Time]],PeakCalc!$G$10:$G$303,0))</f>
        <v>0</v>
      </c>
    </row>
    <row r="25" spans="1:9" x14ac:dyDescent="0.3">
      <c r="A25" t="s">
        <v>92</v>
      </c>
      <c r="B25" t="s">
        <v>95</v>
      </c>
      <c r="C25" t="s">
        <v>93</v>
      </c>
      <c r="D25" t="s">
        <v>88</v>
      </c>
      <c r="E25" t="s">
        <v>43</v>
      </c>
      <c r="F25" s="6">
        <v>0.32291666666666669</v>
      </c>
      <c r="G25">
        <v>0</v>
      </c>
      <c r="H25" s="6">
        <f>FLOOR(tblPivotData[[#This Row],[Time]],Summary!$B$6/1440)</f>
        <v>0.32291666666666663</v>
      </c>
      <c r="I25">
        <f>INDEX(PeakCalc!$L$10:$L$303,MATCH(tblPivotData[[#This Row],[Time]],PeakCalc!$G$10:$G$303,0))</f>
        <v>0</v>
      </c>
    </row>
    <row r="26" spans="1:9" x14ac:dyDescent="0.3">
      <c r="A26" t="s">
        <v>92</v>
      </c>
      <c r="B26" t="s">
        <v>95</v>
      </c>
      <c r="C26" t="s">
        <v>93</v>
      </c>
      <c r="D26" t="s">
        <v>88</v>
      </c>
      <c r="E26" t="s">
        <v>43</v>
      </c>
      <c r="F26" s="6">
        <v>0.33333333333333331</v>
      </c>
      <c r="G26">
        <v>0</v>
      </c>
      <c r="H26" s="6">
        <f>FLOOR(tblPivotData[[#This Row],[Time]],Summary!$B$6/1440)</f>
        <v>0.33333333333333331</v>
      </c>
      <c r="I26">
        <f>INDEX(PeakCalc!$L$10:$L$303,MATCH(tblPivotData[[#This Row],[Time]],PeakCalc!$G$10:$G$303,0))</f>
        <v>1</v>
      </c>
    </row>
    <row r="27" spans="1:9" x14ac:dyDescent="0.3">
      <c r="A27" t="s">
        <v>92</v>
      </c>
      <c r="B27" t="s">
        <v>95</v>
      </c>
      <c r="C27" t="s">
        <v>93</v>
      </c>
      <c r="D27" t="s">
        <v>88</v>
      </c>
      <c r="E27" t="s">
        <v>43</v>
      </c>
      <c r="F27" s="6">
        <v>0.34375</v>
      </c>
      <c r="G27">
        <v>0</v>
      </c>
      <c r="H27" s="6">
        <f>FLOOR(tblPivotData[[#This Row],[Time]],Summary!$B$6/1440)</f>
        <v>0.34375</v>
      </c>
      <c r="I27">
        <f>INDEX(PeakCalc!$L$10:$L$303,MATCH(tblPivotData[[#This Row],[Time]],PeakCalc!$G$10:$G$303,0))</f>
        <v>1</v>
      </c>
    </row>
    <row r="28" spans="1:9" x14ac:dyDescent="0.3">
      <c r="A28" t="s">
        <v>92</v>
      </c>
      <c r="B28" t="s">
        <v>95</v>
      </c>
      <c r="C28" t="s">
        <v>93</v>
      </c>
      <c r="D28" t="s">
        <v>88</v>
      </c>
      <c r="E28" t="s">
        <v>43</v>
      </c>
      <c r="F28" s="6">
        <v>0.35416666666666669</v>
      </c>
      <c r="G28">
        <v>1</v>
      </c>
      <c r="H28" s="6">
        <f>FLOOR(tblPivotData[[#This Row],[Time]],Summary!$B$6/1440)</f>
        <v>0.35416666666666663</v>
      </c>
      <c r="I28">
        <f>INDEX(PeakCalc!$L$10:$L$303,MATCH(tblPivotData[[#This Row],[Time]],PeakCalc!$G$10:$G$303,0))</f>
        <v>1</v>
      </c>
    </row>
    <row r="29" spans="1:9" x14ac:dyDescent="0.3">
      <c r="A29" t="s">
        <v>92</v>
      </c>
      <c r="B29" t="s">
        <v>95</v>
      </c>
      <c r="C29" t="s">
        <v>93</v>
      </c>
      <c r="D29" t="s">
        <v>88</v>
      </c>
      <c r="E29" t="s">
        <v>43</v>
      </c>
      <c r="F29" s="6">
        <v>0.36458333333333331</v>
      </c>
      <c r="G29">
        <v>0</v>
      </c>
      <c r="H29" s="6">
        <f>FLOOR(tblPivotData[[#This Row],[Time]],Summary!$B$6/1440)</f>
        <v>0.36458333333333331</v>
      </c>
      <c r="I29">
        <f>INDEX(PeakCalc!$L$10:$L$303,MATCH(tblPivotData[[#This Row],[Time]],PeakCalc!$G$10:$G$303,0))</f>
        <v>1</v>
      </c>
    </row>
    <row r="30" spans="1:9" x14ac:dyDescent="0.3">
      <c r="A30" t="s">
        <v>92</v>
      </c>
      <c r="B30" t="s">
        <v>95</v>
      </c>
      <c r="C30" t="s">
        <v>93</v>
      </c>
      <c r="D30" t="s">
        <v>88</v>
      </c>
      <c r="E30" t="s">
        <v>90</v>
      </c>
      <c r="F30" s="6">
        <v>0.54166666666666663</v>
      </c>
      <c r="G30">
        <v>0</v>
      </c>
      <c r="H30" s="6">
        <f>FLOOR(tblPivotData[[#This Row],[Time]],Summary!$B$6/1440)</f>
        <v>0.54166666666666663</v>
      </c>
      <c r="I30">
        <f>INDEX(PeakCalc!$L$10:$L$303,MATCH(tblPivotData[[#This Row],[Time]],PeakCalc!$G$10:$G$303,0))</f>
        <v>1</v>
      </c>
    </row>
    <row r="31" spans="1:9" x14ac:dyDescent="0.3">
      <c r="A31" t="s">
        <v>92</v>
      </c>
      <c r="B31" t="s">
        <v>95</v>
      </c>
      <c r="C31" t="s">
        <v>93</v>
      </c>
      <c r="D31" t="s">
        <v>88</v>
      </c>
      <c r="E31" t="s">
        <v>90</v>
      </c>
      <c r="F31" s="6">
        <v>0.55208333333333337</v>
      </c>
      <c r="G31">
        <v>0</v>
      </c>
      <c r="H31" s="6">
        <f>FLOOR(tblPivotData[[#This Row],[Time]],Summary!$B$6/1440)</f>
        <v>0.55208333333333326</v>
      </c>
      <c r="I31">
        <f>INDEX(PeakCalc!$L$10:$L$303,MATCH(tblPivotData[[#This Row],[Time]],PeakCalc!$G$10:$G$303,0))</f>
        <v>1</v>
      </c>
    </row>
    <row r="32" spans="1:9" x14ac:dyDescent="0.3">
      <c r="A32" t="s">
        <v>92</v>
      </c>
      <c r="B32" t="s">
        <v>95</v>
      </c>
      <c r="C32" t="s">
        <v>93</v>
      </c>
      <c r="D32" t="s">
        <v>88</v>
      </c>
      <c r="E32" t="s">
        <v>90</v>
      </c>
      <c r="F32" s="6">
        <v>0.5625</v>
      </c>
      <c r="G32">
        <v>0</v>
      </c>
      <c r="H32" s="6">
        <f>FLOOR(tblPivotData[[#This Row],[Time]],Summary!$B$6/1440)</f>
        <v>0.5625</v>
      </c>
      <c r="I32">
        <f>INDEX(PeakCalc!$L$10:$L$303,MATCH(tblPivotData[[#This Row],[Time]],PeakCalc!$G$10:$G$303,0))</f>
        <v>1</v>
      </c>
    </row>
    <row r="33" spans="1:9" x14ac:dyDescent="0.3">
      <c r="A33" t="s">
        <v>92</v>
      </c>
      <c r="B33" t="s">
        <v>95</v>
      </c>
      <c r="C33" t="s">
        <v>93</v>
      </c>
      <c r="D33" t="s">
        <v>88</v>
      </c>
      <c r="E33" t="s">
        <v>90</v>
      </c>
      <c r="F33" s="6">
        <v>0.57291666666666663</v>
      </c>
      <c r="G33">
        <v>0</v>
      </c>
      <c r="H33" s="6">
        <f>FLOOR(tblPivotData[[#This Row],[Time]],Summary!$B$6/1440)</f>
        <v>0.57291666666666663</v>
      </c>
      <c r="I33">
        <f>INDEX(PeakCalc!$L$10:$L$303,MATCH(tblPivotData[[#This Row],[Time]],PeakCalc!$G$10:$G$303,0))</f>
        <v>1</v>
      </c>
    </row>
    <row r="34" spans="1:9" x14ac:dyDescent="0.3">
      <c r="A34" t="s">
        <v>92</v>
      </c>
      <c r="B34" t="s">
        <v>95</v>
      </c>
      <c r="C34" t="s">
        <v>93</v>
      </c>
      <c r="D34" t="s">
        <v>88</v>
      </c>
      <c r="E34" t="s">
        <v>44</v>
      </c>
      <c r="F34" s="6">
        <v>0.66666666666666663</v>
      </c>
      <c r="G34">
        <v>0</v>
      </c>
      <c r="H34" s="6">
        <f>FLOOR(tblPivotData[[#This Row],[Time]],Summary!$B$6/1440)</f>
        <v>0.66666666666666663</v>
      </c>
      <c r="I34">
        <f>INDEX(PeakCalc!$L$10:$L$303,MATCH(tblPivotData[[#This Row],[Time]],PeakCalc!$G$10:$G$303,0))</f>
        <v>0</v>
      </c>
    </row>
    <row r="35" spans="1:9" x14ac:dyDescent="0.3">
      <c r="A35" t="s">
        <v>92</v>
      </c>
      <c r="B35" t="s">
        <v>95</v>
      </c>
      <c r="C35" t="s">
        <v>93</v>
      </c>
      <c r="D35" t="s">
        <v>88</v>
      </c>
      <c r="E35" t="s">
        <v>44</v>
      </c>
      <c r="F35" s="6">
        <v>0.67708333333333337</v>
      </c>
      <c r="G35">
        <v>0</v>
      </c>
      <c r="H35" s="6">
        <f>FLOOR(tblPivotData[[#This Row],[Time]],Summary!$B$6/1440)</f>
        <v>0.67708333333333326</v>
      </c>
      <c r="I35">
        <f>INDEX(PeakCalc!$L$10:$L$303,MATCH(tblPivotData[[#This Row],[Time]],PeakCalc!$G$10:$G$303,0))</f>
        <v>0</v>
      </c>
    </row>
    <row r="36" spans="1:9" x14ac:dyDescent="0.3">
      <c r="A36" t="s">
        <v>92</v>
      </c>
      <c r="B36" t="s">
        <v>95</v>
      </c>
      <c r="C36" t="s">
        <v>93</v>
      </c>
      <c r="D36" t="s">
        <v>88</v>
      </c>
      <c r="E36" t="s">
        <v>44</v>
      </c>
      <c r="F36" s="6">
        <v>0.6875</v>
      </c>
      <c r="G36">
        <v>0</v>
      </c>
      <c r="H36" s="6">
        <f>FLOOR(tblPivotData[[#This Row],[Time]],Summary!$B$6/1440)</f>
        <v>0.6875</v>
      </c>
      <c r="I36">
        <f>INDEX(PeakCalc!$L$10:$L$303,MATCH(tblPivotData[[#This Row],[Time]],PeakCalc!$G$10:$G$303,0))</f>
        <v>1</v>
      </c>
    </row>
    <row r="37" spans="1:9" x14ac:dyDescent="0.3">
      <c r="A37" t="s">
        <v>92</v>
      </c>
      <c r="B37" t="s">
        <v>95</v>
      </c>
      <c r="C37" t="s">
        <v>93</v>
      </c>
      <c r="D37" t="s">
        <v>88</v>
      </c>
      <c r="E37" t="s">
        <v>44</v>
      </c>
      <c r="F37" s="6">
        <v>0.69791666666666663</v>
      </c>
      <c r="G37">
        <v>0</v>
      </c>
      <c r="H37" s="6">
        <f>FLOOR(tblPivotData[[#This Row],[Time]],Summary!$B$6/1440)</f>
        <v>0.69791666666666663</v>
      </c>
      <c r="I37">
        <f>INDEX(PeakCalc!$L$10:$L$303,MATCH(tblPivotData[[#This Row],[Time]],PeakCalc!$G$10:$G$303,0))</f>
        <v>1</v>
      </c>
    </row>
    <row r="38" spans="1:9" x14ac:dyDescent="0.3">
      <c r="A38" t="s">
        <v>92</v>
      </c>
      <c r="B38" t="s">
        <v>95</v>
      </c>
      <c r="C38" t="s">
        <v>93</v>
      </c>
      <c r="D38" t="s">
        <v>88</v>
      </c>
      <c r="E38" t="s">
        <v>44</v>
      </c>
      <c r="F38" s="6">
        <v>0.70833333333333337</v>
      </c>
      <c r="G38">
        <v>0</v>
      </c>
      <c r="H38" s="6">
        <f>FLOOR(tblPivotData[[#This Row],[Time]],Summary!$B$6/1440)</f>
        <v>0.70833333333333326</v>
      </c>
      <c r="I38">
        <f>INDEX(PeakCalc!$L$10:$L$303,MATCH(tblPivotData[[#This Row],[Time]],PeakCalc!$G$10:$G$303,0))</f>
        <v>1</v>
      </c>
    </row>
    <row r="39" spans="1:9" x14ac:dyDescent="0.3">
      <c r="A39" t="s">
        <v>92</v>
      </c>
      <c r="B39" t="s">
        <v>95</v>
      </c>
      <c r="C39" t="s">
        <v>93</v>
      </c>
      <c r="D39" t="s">
        <v>88</v>
      </c>
      <c r="E39" t="s">
        <v>44</v>
      </c>
      <c r="F39" s="6">
        <v>0.71875</v>
      </c>
      <c r="G39">
        <v>0</v>
      </c>
      <c r="H39" s="6">
        <f>FLOOR(tblPivotData[[#This Row],[Time]],Summary!$B$6/1440)</f>
        <v>0.71875</v>
      </c>
      <c r="I39">
        <f>INDEX(PeakCalc!$L$10:$L$303,MATCH(tblPivotData[[#This Row],[Time]],PeakCalc!$G$10:$G$303,0))</f>
        <v>1</v>
      </c>
    </row>
    <row r="40" spans="1:9" x14ac:dyDescent="0.3">
      <c r="A40" t="s">
        <v>92</v>
      </c>
      <c r="B40" t="s">
        <v>95</v>
      </c>
      <c r="C40" t="s">
        <v>93</v>
      </c>
      <c r="D40" t="s">
        <v>88</v>
      </c>
      <c r="E40" t="s">
        <v>44</v>
      </c>
      <c r="F40" s="6">
        <v>0.72916666666666663</v>
      </c>
      <c r="G40">
        <v>0</v>
      </c>
      <c r="H40" s="6">
        <f>FLOOR(tblPivotData[[#This Row],[Time]],Summary!$B$6/1440)</f>
        <v>0.72916666666666663</v>
      </c>
      <c r="I40">
        <f>INDEX(PeakCalc!$L$10:$L$303,MATCH(tblPivotData[[#This Row],[Time]],PeakCalc!$G$10:$G$303,0))</f>
        <v>0</v>
      </c>
    </row>
    <row r="41" spans="1:9" x14ac:dyDescent="0.3">
      <c r="A41" t="s">
        <v>92</v>
      </c>
      <c r="B41" t="s">
        <v>95</v>
      </c>
      <c r="C41" t="s">
        <v>93</v>
      </c>
      <c r="D41" t="s">
        <v>88</v>
      </c>
      <c r="E41" t="s">
        <v>44</v>
      </c>
      <c r="F41" s="6">
        <v>0.73958333333333337</v>
      </c>
      <c r="G41">
        <v>0</v>
      </c>
      <c r="H41" s="6">
        <f>FLOOR(tblPivotData[[#This Row],[Time]],Summary!$B$6/1440)</f>
        <v>0.73958333333333326</v>
      </c>
      <c r="I41">
        <f>INDEX(PeakCalc!$L$10:$L$303,MATCH(tblPivotData[[#This Row],[Time]],PeakCalc!$G$10:$G$303,0))</f>
        <v>0</v>
      </c>
    </row>
    <row r="42" spans="1:9" x14ac:dyDescent="0.3">
      <c r="A42" t="s">
        <v>92</v>
      </c>
      <c r="B42" t="s">
        <v>95</v>
      </c>
      <c r="C42" t="s">
        <v>93</v>
      </c>
      <c r="D42" t="s">
        <v>89</v>
      </c>
      <c r="E42" t="s">
        <v>43</v>
      </c>
      <c r="F42" s="6">
        <v>0.29166666666666669</v>
      </c>
      <c r="G42">
        <v>1</v>
      </c>
      <c r="H42" s="6">
        <f>FLOOR(tblPivotData[[#This Row],[Time]],Summary!$B$6/1440)</f>
        <v>0.29166666666666663</v>
      </c>
      <c r="I42">
        <f>INDEX(PeakCalc!$L$10:$L$303,MATCH(tblPivotData[[#This Row],[Time]],PeakCalc!$G$10:$G$303,0))</f>
        <v>0</v>
      </c>
    </row>
    <row r="43" spans="1:9" x14ac:dyDescent="0.3">
      <c r="A43" t="s">
        <v>92</v>
      </c>
      <c r="B43" t="s">
        <v>95</v>
      </c>
      <c r="C43" t="s">
        <v>93</v>
      </c>
      <c r="D43" t="s">
        <v>89</v>
      </c>
      <c r="E43" t="s">
        <v>43</v>
      </c>
      <c r="F43" s="6">
        <v>0.30208333333333331</v>
      </c>
      <c r="G43">
        <v>1</v>
      </c>
      <c r="H43" s="6">
        <f>FLOOR(tblPivotData[[#This Row],[Time]],Summary!$B$6/1440)</f>
        <v>0.30208333333333331</v>
      </c>
      <c r="I43">
        <f>INDEX(PeakCalc!$L$10:$L$303,MATCH(tblPivotData[[#This Row],[Time]],PeakCalc!$G$10:$G$303,0))</f>
        <v>0</v>
      </c>
    </row>
    <row r="44" spans="1:9" x14ac:dyDescent="0.3">
      <c r="A44" t="s">
        <v>92</v>
      </c>
      <c r="B44" t="s">
        <v>95</v>
      </c>
      <c r="C44" t="s">
        <v>93</v>
      </c>
      <c r="D44" t="s">
        <v>89</v>
      </c>
      <c r="E44" t="s">
        <v>43</v>
      </c>
      <c r="F44" s="6">
        <v>0.3125</v>
      </c>
      <c r="G44">
        <v>0</v>
      </c>
      <c r="H44" s="6">
        <f>FLOOR(tblPivotData[[#This Row],[Time]],Summary!$B$6/1440)</f>
        <v>0.3125</v>
      </c>
      <c r="I44">
        <f>INDEX(PeakCalc!$L$10:$L$303,MATCH(tblPivotData[[#This Row],[Time]],PeakCalc!$G$10:$G$303,0))</f>
        <v>0</v>
      </c>
    </row>
    <row r="45" spans="1:9" x14ac:dyDescent="0.3">
      <c r="A45" t="s">
        <v>92</v>
      </c>
      <c r="B45" t="s">
        <v>95</v>
      </c>
      <c r="C45" t="s">
        <v>93</v>
      </c>
      <c r="D45" t="s">
        <v>89</v>
      </c>
      <c r="E45" t="s">
        <v>43</v>
      </c>
      <c r="F45" s="6">
        <v>0.32291666666666669</v>
      </c>
      <c r="G45">
        <v>0</v>
      </c>
      <c r="H45" s="6">
        <f>FLOOR(tblPivotData[[#This Row],[Time]],Summary!$B$6/1440)</f>
        <v>0.32291666666666663</v>
      </c>
      <c r="I45">
        <f>INDEX(PeakCalc!$L$10:$L$303,MATCH(tblPivotData[[#This Row],[Time]],PeakCalc!$G$10:$G$303,0))</f>
        <v>0</v>
      </c>
    </row>
    <row r="46" spans="1:9" x14ac:dyDescent="0.3">
      <c r="A46" t="s">
        <v>92</v>
      </c>
      <c r="B46" t="s">
        <v>95</v>
      </c>
      <c r="C46" t="s">
        <v>93</v>
      </c>
      <c r="D46" t="s">
        <v>89</v>
      </c>
      <c r="E46" t="s">
        <v>43</v>
      </c>
      <c r="F46" s="6">
        <v>0.33333333333333331</v>
      </c>
      <c r="G46">
        <v>0</v>
      </c>
      <c r="H46" s="6">
        <f>FLOOR(tblPivotData[[#This Row],[Time]],Summary!$B$6/1440)</f>
        <v>0.33333333333333331</v>
      </c>
      <c r="I46">
        <f>INDEX(PeakCalc!$L$10:$L$303,MATCH(tblPivotData[[#This Row],[Time]],PeakCalc!$G$10:$G$303,0))</f>
        <v>1</v>
      </c>
    </row>
    <row r="47" spans="1:9" x14ac:dyDescent="0.3">
      <c r="A47" t="s">
        <v>92</v>
      </c>
      <c r="B47" t="s">
        <v>95</v>
      </c>
      <c r="C47" t="s">
        <v>93</v>
      </c>
      <c r="D47" t="s">
        <v>89</v>
      </c>
      <c r="E47" t="s">
        <v>43</v>
      </c>
      <c r="F47" s="6">
        <v>0.34375</v>
      </c>
      <c r="G47">
        <v>0</v>
      </c>
      <c r="H47" s="6">
        <f>FLOOR(tblPivotData[[#This Row],[Time]],Summary!$B$6/1440)</f>
        <v>0.34375</v>
      </c>
      <c r="I47">
        <f>INDEX(PeakCalc!$L$10:$L$303,MATCH(tblPivotData[[#This Row],[Time]],PeakCalc!$G$10:$G$303,0))</f>
        <v>1</v>
      </c>
    </row>
    <row r="48" spans="1:9" x14ac:dyDescent="0.3">
      <c r="A48" t="s">
        <v>92</v>
      </c>
      <c r="B48" t="s">
        <v>95</v>
      </c>
      <c r="C48" t="s">
        <v>93</v>
      </c>
      <c r="D48" t="s">
        <v>89</v>
      </c>
      <c r="E48" t="s">
        <v>43</v>
      </c>
      <c r="F48" s="6">
        <v>0.35416666666666669</v>
      </c>
      <c r="G48">
        <v>0</v>
      </c>
      <c r="H48" s="6">
        <f>FLOOR(tblPivotData[[#This Row],[Time]],Summary!$B$6/1440)</f>
        <v>0.35416666666666663</v>
      </c>
      <c r="I48">
        <f>INDEX(PeakCalc!$L$10:$L$303,MATCH(tblPivotData[[#This Row],[Time]],PeakCalc!$G$10:$G$303,0))</f>
        <v>1</v>
      </c>
    </row>
    <row r="49" spans="1:9" x14ac:dyDescent="0.3">
      <c r="A49" t="s">
        <v>92</v>
      </c>
      <c r="B49" t="s">
        <v>95</v>
      </c>
      <c r="C49" t="s">
        <v>93</v>
      </c>
      <c r="D49" t="s">
        <v>89</v>
      </c>
      <c r="E49" t="s">
        <v>43</v>
      </c>
      <c r="F49" s="6">
        <v>0.36458333333333331</v>
      </c>
      <c r="G49">
        <v>0</v>
      </c>
      <c r="H49" s="6">
        <f>FLOOR(tblPivotData[[#This Row],[Time]],Summary!$B$6/1440)</f>
        <v>0.36458333333333331</v>
      </c>
      <c r="I49">
        <f>INDEX(PeakCalc!$L$10:$L$303,MATCH(tblPivotData[[#This Row],[Time]],PeakCalc!$G$10:$G$303,0))</f>
        <v>1</v>
      </c>
    </row>
    <row r="50" spans="1:9" x14ac:dyDescent="0.3">
      <c r="A50" t="s">
        <v>92</v>
      </c>
      <c r="B50" t="s">
        <v>95</v>
      </c>
      <c r="C50" t="s">
        <v>93</v>
      </c>
      <c r="D50" t="s">
        <v>89</v>
      </c>
      <c r="E50" t="s">
        <v>90</v>
      </c>
      <c r="F50" s="6">
        <v>0.54166666666666663</v>
      </c>
      <c r="G50">
        <v>0</v>
      </c>
      <c r="H50" s="6">
        <f>FLOOR(tblPivotData[[#This Row],[Time]],Summary!$B$6/1440)</f>
        <v>0.54166666666666663</v>
      </c>
      <c r="I50">
        <f>INDEX(PeakCalc!$L$10:$L$303,MATCH(tblPivotData[[#This Row],[Time]],PeakCalc!$G$10:$G$303,0))</f>
        <v>1</v>
      </c>
    </row>
    <row r="51" spans="1:9" x14ac:dyDescent="0.3">
      <c r="A51" t="s">
        <v>92</v>
      </c>
      <c r="B51" t="s">
        <v>95</v>
      </c>
      <c r="C51" t="s">
        <v>93</v>
      </c>
      <c r="D51" t="s">
        <v>89</v>
      </c>
      <c r="E51" t="s">
        <v>90</v>
      </c>
      <c r="F51" s="6">
        <v>0.55208333333333337</v>
      </c>
      <c r="G51">
        <v>1</v>
      </c>
      <c r="H51" s="6">
        <f>FLOOR(tblPivotData[[#This Row],[Time]],Summary!$B$6/1440)</f>
        <v>0.55208333333333326</v>
      </c>
      <c r="I51">
        <f>INDEX(PeakCalc!$L$10:$L$303,MATCH(tblPivotData[[#This Row],[Time]],PeakCalc!$G$10:$G$303,0))</f>
        <v>1</v>
      </c>
    </row>
    <row r="52" spans="1:9" x14ac:dyDescent="0.3">
      <c r="A52" t="s">
        <v>92</v>
      </c>
      <c r="B52" t="s">
        <v>95</v>
      </c>
      <c r="C52" t="s">
        <v>93</v>
      </c>
      <c r="D52" t="s">
        <v>89</v>
      </c>
      <c r="E52" t="s">
        <v>90</v>
      </c>
      <c r="F52" s="6">
        <v>0.5625</v>
      </c>
      <c r="G52">
        <v>1</v>
      </c>
      <c r="H52" s="6">
        <f>FLOOR(tblPivotData[[#This Row],[Time]],Summary!$B$6/1440)</f>
        <v>0.5625</v>
      </c>
      <c r="I52">
        <f>INDEX(PeakCalc!$L$10:$L$303,MATCH(tblPivotData[[#This Row],[Time]],PeakCalc!$G$10:$G$303,0))</f>
        <v>1</v>
      </c>
    </row>
    <row r="53" spans="1:9" x14ac:dyDescent="0.3">
      <c r="A53" t="s">
        <v>92</v>
      </c>
      <c r="B53" t="s">
        <v>95</v>
      </c>
      <c r="C53" t="s">
        <v>93</v>
      </c>
      <c r="D53" t="s">
        <v>89</v>
      </c>
      <c r="E53" t="s">
        <v>90</v>
      </c>
      <c r="F53" s="6">
        <v>0.57291666666666663</v>
      </c>
      <c r="G53">
        <v>0</v>
      </c>
      <c r="H53" s="6">
        <f>FLOOR(tblPivotData[[#This Row],[Time]],Summary!$B$6/1440)</f>
        <v>0.57291666666666663</v>
      </c>
      <c r="I53">
        <f>INDEX(PeakCalc!$L$10:$L$303,MATCH(tblPivotData[[#This Row],[Time]],PeakCalc!$G$10:$G$303,0))</f>
        <v>1</v>
      </c>
    </row>
    <row r="54" spans="1:9" x14ac:dyDescent="0.3">
      <c r="A54" t="s">
        <v>92</v>
      </c>
      <c r="B54" t="s">
        <v>95</v>
      </c>
      <c r="C54" t="s">
        <v>93</v>
      </c>
      <c r="D54" t="s">
        <v>89</v>
      </c>
      <c r="E54" t="s">
        <v>44</v>
      </c>
      <c r="F54" s="6">
        <v>0.66666666666666663</v>
      </c>
      <c r="G54">
        <v>0</v>
      </c>
      <c r="H54" s="6">
        <f>FLOOR(tblPivotData[[#This Row],[Time]],Summary!$B$6/1440)</f>
        <v>0.66666666666666663</v>
      </c>
      <c r="I54">
        <f>INDEX(PeakCalc!$L$10:$L$303,MATCH(tblPivotData[[#This Row],[Time]],PeakCalc!$G$10:$G$303,0))</f>
        <v>0</v>
      </c>
    </row>
    <row r="55" spans="1:9" x14ac:dyDescent="0.3">
      <c r="A55" t="s">
        <v>92</v>
      </c>
      <c r="B55" t="s">
        <v>95</v>
      </c>
      <c r="C55" t="s">
        <v>93</v>
      </c>
      <c r="D55" t="s">
        <v>89</v>
      </c>
      <c r="E55" t="s">
        <v>44</v>
      </c>
      <c r="F55" s="6">
        <v>0.67708333333333337</v>
      </c>
      <c r="G55">
        <v>0</v>
      </c>
      <c r="H55" s="6">
        <f>FLOOR(tblPivotData[[#This Row],[Time]],Summary!$B$6/1440)</f>
        <v>0.67708333333333326</v>
      </c>
      <c r="I55">
        <f>INDEX(PeakCalc!$L$10:$L$303,MATCH(tblPivotData[[#This Row],[Time]],PeakCalc!$G$10:$G$303,0))</f>
        <v>0</v>
      </c>
    </row>
    <row r="56" spans="1:9" x14ac:dyDescent="0.3">
      <c r="A56" t="s">
        <v>92</v>
      </c>
      <c r="B56" t="s">
        <v>95</v>
      </c>
      <c r="C56" t="s">
        <v>93</v>
      </c>
      <c r="D56" t="s">
        <v>89</v>
      </c>
      <c r="E56" t="s">
        <v>44</v>
      </c>
      <c r="F56" s="6">
        <v>0.6875</v>
      </c>
      <c r="G56">
        <v>2</v>
      </c>
      <c r="H56" s="6">
        <f>FLOOR(tblPivotData[[#This Row],[Time]],Summary!$B$6/1440)</f>
        <v>0.6875</v>
      </c>
      <c r="I56">
        <f>INDEX(PeakCalc!$L$10:$L$303,MATCH(tblPivotData[[#This Row],[Time]],PeakCalc!$G$10:$G$303,0))</f>
        <v>1</v>
      </c>
    </row>
    <row r="57" spans="1:9" x14ac:dyDescent="0.3">
      <c r="A57" t="s">
        <v>92</v>
      </c>
      <c r="B57" t="s">
        <v>95</v>
      </c>
      <c r="C57" t="s">
        <v>93</v>
      </c>
      <c r="D57" t="s">
        <v>89</v>
      </c>
      <c r="E57" t="s">
        <v>44</v>
      </c>
      <c r="F57" s="6">
        <v>0.69791666666666663</v>
      </c>
      <c r="G57">
        <v>1</v>
      </c>
      <c r="H57" s="6">
        <f>FLOOR(tblPivotData[[#This Row],[Time]],Summary!$B$6/1440)</f>
        <v>0.69791666666666663</v>
      </c>
      <c r="I57">
        <f>INDEX(PeakCalc!$L$10:$L$303,MATCH(tblPivotData[[#This Row],[Time]],PeakCalc!$G$10:$G$303,0))</f>
        <v>1</v>
      </c>
    </row>
    <row r="58" spans="1:9" x14ac:dyDescent="0.3">
      <c r="A58" t="s">
        <v>92</v>
      </c>
      <c r="B58" t="s">
        <v>95</v>
      </c>
      <c r="C58" t="s">
        <v>93</v>
      </c>
      <c r="D58" t="s">
        <v>89</v>
      </c>
      <c r="E58" t="s">
        <v>44</v>
      </c>
      <c r="F58" s="6">
        <v>0.70833333333333337</v>
      </c>
      <c r="G58">
        <v>0</v>
      </c>
      <c r="H58" s="6">
        <f>FLOOR(tblPivotData[[#This Row],[Time]],Summary!$B$6/1440)</f>
        <v>0.70833333333333326</v>
      </c>
      <c r="I58">
        <f>INDEX(PeakCalc!$L$10:$L$303,MATCH(tblPivotData[[#This Row],[Time]],PeakCalc!$G$10:$G$303,0))</f>
        <v>1</v>
      </c>
    </row>
    <row r="59" spans="1:9" x14ac:dyDescent="0.3">
      <c r="A59" t="s">
        <v>92</v>
      </c>
      <c r="B59" t="s">
        <v>95</v>
      </c>
      <c r="C59" t="s">
        <v>93</v>
      </c>
      <c r="D59" t="s">
        <v>89</v>
      </c>
      <c r="E59" t="s">
        <v>44</v>
      </c>
      <c r="F59" s="6">
        <v>0.71875</v>
      </c>
      <c r="G59">
        <v>2</v>
      </c>
      <c r="H59" s="6">
        <f>FLOOR(tblPivotData[[#This Row],[Time]],Summary!$B$6/1440)</f>
        <v>0.71875</v>
      </c>
      <c r="I59">
        <f>INDEX(PeakCalc!$L$10:$L$303,MATCH(tblPivotData[[#This Row],[Time]],PeakCalc!$G$10:$G$303,0))</f>
        <v>1</v>
      </c>
    </row>
    <row r="60" spans="1:9" x14ac:dyDescent="0.3">
      <c r="A60" t="s">
        <v>92</v>
      </c>
      <c r="B60" t="s">
        <v>95</v>
      </c>
      <c r="C60" t="s">
        <v>93</v>
      </c>
      <c r="D60" t="s">
        <v>89</v>
      </c>
      <c r="E60" t="s">
        <v>44</v>
      </c>
      <c r="F60" s="6">
        <v>0.72916666666666663</v>
      </c>
      <c r="G60">
        <v>0</v>
      </c>
      <c r="H60" s="6">
        <f>FLOOR(tblPivotData[[#This Row],[Time]],Summary!$B$6/1440)</f>
        <v>0.72916666666666663</v>
      </c>
      <c r="I60">
        <f>INDEX(PeakCalc!$L$10:$L$303,MATCH(tblPivotData[[#This Row],[Time]],PeakCalc!$G$10:$G$303,0))</f>
        <v>0</v>
      </c>
    </row>
    <row r="61" spans="1:9" x14ac:dyDescent="0.3">
      <c r="A61" t="s">
        <v>92</v>
      </c>
      <c r="B61" t="s">
        <v>95</v>
      </c>
      <c r="C61" t="s">
        <v>93</v>
      </c>
      <c r="D61" t="s">
        <v>89</v>
      </c>
      <c r="E61" t="s">
        <v>44</v>
      </c>
      <c r="F61" s="6">
        <v>0.73958333333333337</v>
      </c>
      <c r="G61">
        <v>1</v>
      </c>
      <c r="H61" s="6">
        <f>FLOOR(tblPivotData[[#This Row],[Time]],Summary!$B$6/1440)</f>
        <v>0.73958333333333326</v>
      </c>
      <c r="I61">
        <f>INDEX(PeakCalc!$L$10:$L$303,MATCH(tblPivotData[[#This Row],[Time]],PeakCalc!$G$10:$G$303,0))</f>
        <v>0</v>
      </c>
    </row>
    <row r="62" spans="1:9" x14ac:dyDescent="0.3">
      <c r="A62" t="s">
        <v>92</v>
      </c>
      <c r="B62" t="s">
        <v>96</v>
      </c>
      <c r="C62" t="s">
        <v>94</v>
      </c>
      <c r="D62" t="s">
        <v>79</v>
      </c>
      <c r="E62" t="s">
        <v>43</v>
      </c>
      <c r="F62" s="6">
        <v>0.29166666666666669</v>
      </c>
      <c r="G62">
        <v>185</v>
      </c>
      <c r="H62" s="6">
        <f>FLOOR(tblPivotData[[#This Row],[Time]],Summary!$B$6/1440)</f>
        <v>0.29166666666666663</v>
      </c>
      <c r="I62">
        <f>INDEX(PeakCalc!$L$10:$L$303,MATCH(tblPivotData[[#This Row],[Time]],PeakCalc!$G$10:$G$303,0))</f>
        <v>0</v>
      </c>
    </row>
    <row r="63" spans="1:9" x14ac:dyDescent="0.3">
      <c r="A63" t="s">
        <v>92</v>
      </c>
      <c r="B63" t="s">
        <v>96</v>
      </c>
      <c r="C63" t="s">
        <v>94</v>
      </c>
      <c r="D63" t="s">
        <v>79</v>
      </c>
      <c r="E63" t="s">
        <v>43</v>
      </c>
      <c r="F63" s="6">
        <v>0.30208333333333331</v>
      </c>
      <c r="G63">
        <v>269</v>
      </c>
      <c r="H63" s="6">
        <f>FLOOR(tblPivotData[[#This Row],[Time]],Summary!$B$6/1440)</f>
        <v>0.30208333333333331</v>
      </c>
      <c r="I63">
        <f>INDEX(PeakCalc!$L$10:$L$303,MATCH(tblPivotData[[#This Row],[Time]],PeakCalc!$G$10:$G$303,0))</f>
        <v>0</v>
      </c>
    </row>
    <row r="64" spans="1:9" x14ac:dyDescent="0.3">
      <c r="A64" t="s">
        <v>92</v>
      </c>
      <c r="B64" t="s">
        <v>96</v>
      </c>
      <c r="C64" t="s">
        <v>94</v>
      </c>
      <c r="D64" t="s">
        <v>79</v>
      </c>
      <c r="E64" t="s">
        <v>43</v>
      </c>
      <c r="F64" s="6">
        <v>0.3125</v>
      </c>
      <c r="G64">
        <v>293</v>
      </c>
      <c r="H64" s="6">
        <f>FLOOR(tblPivotData[[#This Row],[Time]],Summary!$B$6/1440)</f>
        <v>0.3125</v>
      </c>
      <c r="I64">
        <f>INDEX(PeakCalc!$L$10:$L$303,MATCH(tblPivotData[[#This Row],[Time]],PeakCalc!$G$10:$G$303,0))</f>
        <v>0</v>
      </c>
    </row>
    <row r="65" spans="1:9" x14ac:dyDescent="0.3">
      <c r="A65" t="s">
        <v>92</v>
      </c>
      <c r="B65" t="s">
        <v>96</v>
      </c>
      <c r="C65" t="s">
        <v>94</v>
      </c>
      <c r="D65" t="s">
        <v>79</v>
      </c>
      <c r="E65" t="s">
        <v>43</v>
      </c>
      <c r="F65" s="6">
        <v>0.32291666666666669</v>
      </c>
      <c r="G65">
        <v>294</v>
      </c>
      <c r="H65" s="6">
        <f>FLOOR(tblPivotData[[#This Row],[Time]],Summary!$B$6/1440)</f>
        <v>0.32291666666666663</v>
      </c>
      <c r="I65">
        <f>INDEX(PeakCalc!$L$10:$L$303,MATCH(tblPivotData[[#This Row],[Time]],PeakCalc!$G$10:$G$303,0))</f>
        <v>0</v>
      </c>
    </row>
    <row r="66" spans="1:9" x14ac:dyDescent="0.3">
      <c r="A66" t="s">
        <v>92</v>
      </c>
      <c r="B66" t="s">
        <v>96</v>
      </c>
      <c r="C66" t="s">
        <v>94</v>
      </c>
      <c r="D66" t="s">
        <v>79</v>
      </c>
      <c r="E66" t="s">
        <v>43</v>
      </c>
      <c r="F66" s="6">
        <v>0.33333333333333331</v>
      </c>
      <c r="G66">
        <v>258</v>
      </c>
      <c r="H66" s="6">
        <f>FLOOR(tblPivotData[[#This Row],[Time]],Summary!$B$6/1440)</f>
        <v>0.33333333333333331</v>
      </c>
      <c r="I66">
        <f>INDEX(PeakCalc!$L$10:$L$303,MATCH(tblPivotData[[#This Row],[Time]],PeakCalc!$G$10:$G$303,0))</f>
        <v>1</v>
      </c>
    </row>
    <row r="67" spans="1:9" x14ac:dyDescent="0.3">
      <c r="A67" t="s">
        <v>92</v>
      </c>
      <c r="B67" t="s">
        <v>96</v>
      </c>
      <c r="C67" t="s">
        <v>94</v>
      </c>
      <c r="D67" t="s">
        <v>79</v>
      </c>
      <c r="E67" t="s">
        <v>43</v>
      </c>
      <c r="F67" s="6">
        <v>0.34375</v>
      </c>
      <c r="G67">
        <v>293</v>
      </c>
      <c r="H67" s="6">
        <f>FLOOR(tblPivotData[[#This Row],[Time]],Summary!$B$6/1440)</f>
        <v>0.34375</v>
      </c>
      <c r="I67">
        <f>INDEX(PeakCalc!$L$10:$L$303,MATCH(tblPivotData[[#This Row],[Time]],PeakCalc!$G$10:$G$303,0))</f>
        <v>1</v>
      </c>
    </row>
    <row r="68" spans="1:9" x14ac:dyDescent="0.3">
      <c r="A68" t="s">
        <v>92</v>
      </c>
      <c r="B68" t="s">
        <v>96</v>
      </c>
      <c r="C68" t="s">
        <v>94</v>
      </c>
      <c r="D68" t="s">
        <v>79</v>
      </c>
      <c r="E68" t="s">
        <v>43</v>
      </c>
      <c r="F68" s="6">
        <v>0.35416666666666669</v>
      </c>
      <c r="G68">
        <v>280</v>
      </c>
      <c r="H68" s="6">
        <f>FLOOR(tblPivotData[[#This Row],[Time]],Summary!$B$6/1440)</f>
        <v>0.35416666666666663</v>
      </c>
      <c r="I68">
        <f>INDEX(PeakCalc!$L$10:$L$303,MATCH(tblPivotData[[#This Row],[Time]],PeakCalc!$G$10:$G$303,0))</f>
        <v>1</v>
      </c>
    </row>
    <row r="69" spans="1:9" x14ac:dyDescent="0.3">
      <c r="A69" t="s">
        <v>92</v>
      </c>
      <c r="B69" t="s">
        <v>96</v>
      </c>
      <c r="C69" t="s">
        <v>94</v>
      </c>
      <c r="D69" t="s">
        <v>79</v>
      </c>
      <c r="E69" t="s">
        <v>43</v>
      </c>
      <c r="F69" s="6">
        <v>0.36458333333333331</v>
      </c>
      <c r="G69">
        <v>286</v>
      </c>
      <c r="H69" s="6">
        <f>FLOOR(tblPivotData[[#This Row],[Time]],Summary!$B$6/1440)</f>
        <v>0.36458333333333331</v>
      </c>
      <c r="I69">
        <f>INDEX(PeakCalc!$L$10:$L$303,MATCH(tblPivotData[[#This Row],[Time]],PeakCalc!$G$10:$G$303,0))</f>
        <v>1</v>
      </c>
    </row>
    <row r="70" spans="1:9" x14ac:dyDescent="0.3">
      <c r="A70" t="s">
        <v>92</v>
      </c>
      <c r="B70" t="s">
        <v>96</v>
      </c>
      <c r="C70" t="s">
        <v>94</v>
      </c>
      <c r="D70" t="s">
        <v>79</v>
      </c>
      <c r="E70" t="s">
        <v>90</v>
      </c>
      <c r="F70" s="6">
        <v>0.54166666666666663</v>
      </c>
      <c r="G70">
        <v>176</v>
      </c>
      <c r="H70" s="6">
        <f>FLOOR(tblPivotData[[#This Row],[Time]],Summary!$B$6/1440)</f>
        <v>0.54166666666666663</v>
      </c>
      <c r="I70">
        <f>INDEX(PeakCalc!$L$10:$L$303,MATCH(tblPivotData[[#This Row],[Time]],PeakCalc!$G$10:$G$303,0))</f>
        <v>1</v>
      </c>
    </row>
    <row r="71" spans="1:9" x14ac:dyDescent="0.3">
      <c r="A71" t="s">
        <v>92</v>
      </c>
      <c r="B71" t="s">
        <v>96</v>
      </c>
      <c r="C71" t="s">
        <v>94</v>
      </c>
      <c r="D71" t="s">
        <v>79</v>
      </c>
      <c r="E71" t="s">
        <v>90</v>
      </c>
      <c r="F71" s="6">
        <v>0.55208333333333337</v>
      </c>
      <c r="G71">
        <v>204</v>
      </c>
      <c r="H71" s="6">
        <f>FLOOR(tblPivotData[[#This Row],[Time]],Summary!$B$6/1440)</f>
        <v>0.55208333333333326</v>
      </c>
      <c r="I71">
        <f>INDEX(PeakCalc!$L$10:$L$303,MATCH(tblPivotData[[#This Row],[Time]],PeakCalc!$G$10:$G$303,0))</f>
        <v>1</v>
      </c>
    </row>
    <row r="72" spans="1:9" x14ac:dyDescent="0.3">
      <c r="A72" t="s">
        <v>92</v>
      </c>
      <c r="B72" t="s">
        <v>96</v>
      </c>
      <c r="C72" t="s">
        <v>94</v>
      </c>
      <c r="D72" t="s">
        <v>79</v>
      </c>
      <c r="E72" t="s">
        <v>90</v>
      </c>
      <c r="F72" s="6">
        <v>0.5625</v>
      </c>
      <c r="G72">
        <v>207</v>
      </c>
      <c r="H72" s="6">
        <f>FLOOR(tblPivotData[[#This Row],[Time]],Summary!$B$6/1440)</f>
        <v>0.5625</v>
      </c>
      <c r="I72">
        <f>INDEX(PeakCalc!$L$10:$L$303,MATCH(tblPivotData[[#This Row],[Time]],PeakCalc!$G$10:$G$303,0))</f>
        <v>1</v>
      </c>
    </row>
    <row r="73" spans="1:9" x14ac:dyDescent="0.3">
      <c r="A73" t="s">
        <v>92</v>
      </c>
      <c r="B73" t="s">
        <v>96</v>
      </c>
      <c r="C73" t="s">
        <v>94</v>
      </c>
      <c r="D73" t="s">
        <v>79</v>
      </c>
      <c r="E73" t="s">
        <v>90</v>
      </c>
      <c r="F73" s="6">
        <v>0.57291666666666663</v>
      </c>
      <c r="G73">
        <v>187</v>
      </c>
      <c r="H73" s="6">
        <f>FLOOR(tblPivotData[[#This Row],[Time]],Summary!$B$6/1440)</f>
        <v>0.57291666666666663</v>
      </c>
      <c r="I73">
        <f>INDEX(PeakCalc!$L$10:$L$303,MATCH(tblPivotData[[#This Row],[Time]],PeakCalc!$G$10:$G$303,0))</f>
        <v>1</v>
      </c>
    </row>
    <row r="74" spans="1:9" x14ac:dyDescent="0.3">
      <c r="A74" t="s">
        <v>92</v>
      </c>
      <c r="B74" t="s">
        <v>96</v>
      </c>
      <c r="C74" t="s">
        <v>94</v>
      </c>
      <c r="D74" t="s">
        <v>79</v>
      </c>
      <c r="E74" t="s">
        <v>44</v>
      </c>
      <c r="F74" s="6">
        <v>0.66666666666666663</v>
      </c>
      <c r="G74">
        <v>259</v>
      </c>
      <c r="H74" s="6">
        <f>FLOOR(tblPivotData[[#This Row],[Time]],Summary!$B$6/1440)</f>
        <v>0.66666666666666663</v>
      </c>
      <c r="I74">
        <f>INDEX(PeakCalc!$L$10:$L$303,MATCH(tblPivotData[[#This Row],[Time]],PeakCalc!$G$10:$G$303,0))</f>
        <v>0</v>
      </c>
    </row>
    <row r="75" spans="1:9" x14ac:dyDescent="0.3">
      <c r="A75" t="s">
        <v>92</v>
      </c>
      <c r="B75" t="s">
        <v>96</v>
      </c>
      <c r="C75" t="s">
        <v>94</v>
      </c>
      <c r="D75" t="s">
        <v>79</v>
      </c>
      <c r="E75" t="s">
        <v>44</v>
      </c>
      <c r="F75" s="6">
        <v>0.67708333333333337</v>
      </c>
      <c r="G75">
        <v>244</v>
      </c>
      <c r="H75" s="6">
        <f>FLOOR(tblPivotData[[#This Row],[Time]],Summary!$B$6/1440)</f>
        <v>0.67708333333333326</v>
      </c>
      <c r="I75">
        <f>INDEX(PeakCalc!$L$10:$L$303,MATCH(tblPivotData[[#This Row],[Time]],PeakCalc!$G$10:$G$303,0))</f>
        <v>0</v>
      </c>
    </row>
    <row r="76" spans="1:9" x14ac:dyDescent="0.3">
      <c r="A76" t="s">
        <v>92</v>
      </c>
      <c r="B76" t="s">
        <v>96</v>
      </c>
      <c r="C76" t="s">
        <v>94</v>
      </c>
      <c r="D76" t="s">
        <v>79</v>
      </c>
      <c r="E76" t="s">
        <v>44</v>
      </c>
      <c r="F76" s="6">
        <v>0.6875</v>
      </c>
      <c r="G76">
        <v>257</v>
      </c>
      <c r="H76" s="6">
        <f>FLOOR(tblPivotData[[#This Row],[Time]],Summary!$B$6/1440)</f>
        <v>0.6875</v>
      </c>
      <c r="I76">
        <f>INDEX(PeakCalc!$L$10:$L$303,MATCH(tblPivotData[[#This Row],[Time]],PeakCalc!$G$10:$G$303,0))</f>
        <v>1</v>
      </c>
    </row>
    <row r="77" spans="1:9" x14ac:dyDescent="0.3">
      <c r="A77" t="s">
        <v>92</v>
      </c>
      <c r="B77" t="s">
        <v>96</v>
      </c>
      <c r="C77" t="s">
        <v>94</v>
      </c>
      <c r="D77" t="s">
        <v>79</v>
      </c>
      <c r="E77" t="s">
        <v>44</v>
      </c>
      <c r="F77" s="6">
        <v>0.69791666666666663</v>
      </c>
      <c r="G77">
        <v>237</v>
      </c>
      <c r="H77" s="6">
        <f>FLOOR(tblPivotData[[#This Row],[Time]],Summary!$B$6/1440)</f>
        <v>0.69791666666666663</v>
      </c>
      <c r="I77">
        <f>INDEX(PeakCalc!$L$10:$L$303,MATCH(tblPivotData[[#This Row],[Time]],PeakCalc!$G$10:$G$303,0))</f>
        <v>1</v>
      </c>
    </row>
    <row r="78" spans="1:9" x14ac:dyDescent="0.3">
      <c r="A78" t="s">
        <v>92</v>
      </c>
      <c r="B78" t="s">
        <v>96</v>
      </c>
      <c r="C78" t="s">
        <v>94</v>
      </c>
      <c r="D78" t="s">
        <v>79</v>
      </c>
      <c r="E78" t="s">
        <v>44</v>
      </c>
      <c r="F78" s="6">
        <v>0.70833333333333337</v>
      </c>
      <c r="G78">
        <v>231</v>
      </c>
      <c r="H78" s="6">
        <f>FLOOR(tblPivotData[[#This Row],[Time]],Summary!$B$6/1440)</f>
        <v>0.70833333333333326</v>
      </c>
      <c r="I78">
        <f>INDEX(PeakCalc!$L$10:$L$303,MATCH(tblPivotData[[#This Row],[Time]],PeakCalc!$G$10:$G$303,0))</f>
        <v>1</v>
      </c>
    </row>
    <row r="79" spans="1:9" x14ac:dyDescent="0.3">
      <c r="A79" t="s">
        <v>92</v>
      </c>
      <c r="B79" t="s">
        <v>96</v>
      </c>
      <c r="C79" t="s">
        <v>94</v>
      </c>
      <c r="D79" t="s">
        <v>79</v>
      </c>
      <c r="E79" t="s">
        <v>44</v>
      </c>
      <c r="F79" s="6">
        <v>0.71875</v>
      </c>
      <c r="G79">
        <v>252</v>
      </c>
      <c r="H79" s="6">
        <f>FLOOR(tblPivotData[[#This Row],[Time]],Summary!$B$6/1440)</f>
        <v>0.71875</v>
      </c>
      <c r="I79">
        <f>INDEX(PeakCalc!$L$10:$L$303,MATCH(tblPivotData[[#This Row],[Time]],PeakCalc!$G$10:$G$303,0))</f>
        <v>1</v>
      </c>
    </row>
    <row r="80" spans="1:9" x14ac:dyDescent="0.3">
      <c r="A80" t="s">
        <v>92</v>
      </c>
      <c r="B80" t="s">
        <v>96</v>
      </c>
      <c r="C80" t="s">
        <v>94</v>
      </c>
      <c r="D80" t="s">
        <v>79</v>
      </c>
      <c r="E80" t="s">
        <v>44</v>
      </c>
      <c r="F80" s="6">
        <v>0.72916666666666663</v>
      </c>
      <c r="G80">
        <v>193</v>
      </c>
      <c r="H80" s="6">
        <f>FLOOR(tblPivotData[[#This Row],[Time]],Summary!$B$6/1440)</f>
        <v>0.72916666666666663</v>
      </c>
      <c r="I80">
        <f>INDEX(PeakCalc!$L$10:$L$303,MATCH(tblPivotData[[#This Row],[Time]],PeakCalc!$G$10:$G$303,0))</f>
        <v>0</v>
      </c>
    </row>
    <row r="81" spans="1:9" x14ac:dyDescent="0.3">
      <c r="A81" t="s">
        <v>92</v>
      </c>
      <c r="B81" t="s">
        <v>96</v>
      </c>
      <c r="C81" t="s">
        <v>94</v>
      </c>
      <c r="D81" t="s">
        <v>79</v>
      </c>
      <c r="E81" t="s">
        <v>44</v>
      </c>
      <c r="F81" s="6">
        <v>0.73958333333333337</v>
      </c>
      <c r="G81">
        <v>188</v>
      </c>
      <c r="H81" s="6">
        <f>FLOOR(tblPivotData[[#This Row],[Time]],Summary!$B$6/1440)</f>
        <v>0.73958333333333326</v>
      </c>
      <c r="I81">
        <f>INDEX(PeakCalc!$L$10:$L$303,MATCH(tblPivotData[[#This Row],[Time]],PeakCalc!$G$10:$G$303,0))</f>
        <v>0</v>
      </c>
    </row>
    <row r="82" spans="1:9" x14ac:dyDescent="0.3">
      <c r="A82" t="s">
        <v>92</v>
      </c>
      <c r="B82" t="s">
        <v>96</v>
      </c>
      <c r="C82" t="s">
        <v>94</v>
      </c>
      <c r="D82" t="s">
        <v>88</v>
      </c>
      <c r="E82" t="s">
        <v>43</v>
      </c>
      <c r="F82" s="6">
        <v>0.29166666666666669</v>
      </c>
      <c r="G82">
        <v>4</v>
      </c>
      <c r="H82" s="6">
        <f>FLOOR(tblPivotData[[#This Row],[Time]],Summary!$B$6/1440)</f>
        <v>0.29166666666666663</v>
      </c>
      <c r="I82">
        <f>INDEX(PeakCalc!$L$10:$L$303,MATCH(tblPivotData[[#This Row],[Time]],PeakCalc!$G$10:$G$303,0))</f>
        <v>0</v>
      </c>
    </row>
    <row r="83" spans="1:9" x14ac:dyDescent="0.3">
      <c r="A83" t="s">
        <v>92</v>
      </c>
      <c r="B83" t="s">
        <v>96</v>
      </c>
      <c r="C83" t="s">
        <v>94</v>
      </c>
      <c r="D83" t="s">
        <v>88</v>
      </c>
      <c r="E83" t="s">
        <v>43</v>
      </c>
      <c r="F83" s="6">
        <v>0.30208333333333331</v>
      </c>
      <c r="G83">
        <v>1</v>
      </c>
      <c r="H83" s="6">
        <f>FLOOR(tblPivotData[[#This Row],[Time]],Summary!$B$6/1440)</f>
        <v>0.30208333333333331</v>
      </c>
      <c r="I83">
        <f>INDEX(PeakCalc!$L$10:$L$303,MATCH(tblPivotData[[#This Row],[Time]],PeakCalc!$G$10:$G$303,0))</f>
        <v>0</v>
      </c>
    </row>
    <row r="84" spans="1:9" x14ac:dyDescent="0.3">
      <c r="A84" t="s">
        <v>92</v>
      </c>
      <c r="B84" t="s">
        <v>96</v>
      </c>
      <c r="C84" t="s">
        <v>94</v>
      </c>
      <c r="D84" t="s">
        <v>88</v>
      </c>
      <c r="E84" t="s">
        <v>43</v>
      </c>
      <c r="F84" s="6">
        <v>0.3125</v>
      </c>
      <c r="G84">
        <v>8</v>
      </c>
      <c r="H84" s="6">
        <f>FLOOR(tblPivotData[[#This Row],[Time]],Summary!$B$6/1440)</f>
        <v>0.3125</v>
      </c>
      <c r="I84">
        <f>INDEX(PeakCalc!$L$10:$L$303,MATCH(tblPivotData[[#This Row],[Time]],PeakCalc!$G$10:$G$303,0))</f>
        <v>0</v>
      </c>
    </row>
    <row r="85" spans="1:9" x14ac:dyDescent="0.3">
      <c r="A85" t="s">
        <v>92</v>
      </c>
      <c r="B85" t="s">
        <v>96</v>
      </c>
      <c r="C85" t="s">
        <v>94</v>
      </c>
      <c r="D85" t="s">
        <v>88</v>
      </c>
      <c r="E85" t="s">
        <v>43</v>
      </c>
      <c r="F85" s="6">
        <v>0.32291666666666669</v>
      </c>
      <c r="G85">
        <v>7</v>
      </c>
      <c r="H85" s="6">
        <f>FLOOR(tblPivotData[[#This Row],[Time]],Summary!$B$6/1440)</f>
        <v>0.32291666666666663</v>
      </c>
      <c r="I85">
        <f>INDEX(PeakCalc!$L$10:$L$303,MATCH(tblPivotData[[#This Row],[Time]],PeakCalc!$G$10:$G$303,0))</f>
        <v>0</v>
      </c>
    </row>
    <row r="86" spans="1:9" x14ac:dyDescent="0.3">
      <c r="A86" t="s">
        <v>92</v>
      </c>
      <c r="B86" t="s">
        <v>96</v>
      </c>
      <c r="C86" t="s">
        <v>94</v>
      </c>
      <c r="D86" t="s">
        <v>88</v>
      </c>
      <c r="E86" t="s">
        <v>43</v>
      </c>
      <c r="F86" s="6">
        <v>0.33333333333333331</v>
      </c>
      <c r="G86">
        <v>16</v>
      </c>
      <c r="H86" s="6">
        <f>FLOOR(tblPivotData[[#This Row],[Time]],Summary!$B$6/1440)</f>
        <v>0.33333333333333331</v>
      </c>
      <c r="I86">
        <f>INDEX(PeakCalc!$L$10:$L$303,MATCH(tblPivotData[[#This Row],[Time]],PeakCalc!$G$10:$G$303,0))</f>
        <v>1</v>
      </c>
    </row>
    <row r="87" spans="1:9" x14ac:dyDescent="0.3">
      <c r="A87" t="s">
        <v>92</v>
      </c>
      <c r="B87" t="s">
        <v>96</v>
      </c>
      <c r="C87" t="s">
        <v>94</v>
      </c>
      <c r="D87" t="s">
        <v>88</v>
      </c>
      <c r="E87" t="s">
        <v>43</v>
      </c>
      <c r="F87" s="6">
        <v>0.34375</v>
      </c>
      <c r="G87">
        <v>7</v>
      </c>
      <c r="H87" s="6">
        <f>FLOOR(tblPivotData[[#This Row],[Time]],Summary!$B$6/1440)</f>
        <v>0.34375</v>
      </c>
      <c r="I87">
        <f>INDEX(PeakCalc!$L$10:$L$303,MATCH(tblPivotData[[#This Row],[Time]],PeakCalc!$G$10:$G$303,0))</f>
        <v>1</v>
      </c>
    </row>
    <row r="88" spans="1:9" x14ac:dyDescent="0.3">
      <c r="A88" t="s">
        <v>92</v>
      </c>
      <c r="B88" t="s">
        <v>96</v>
      </c>
      <c r="C88" t="s">
        <v>94</v>
      </c>
      <c r="D88" t="s">
        <v>88</v>
      </c>
      <c r="E88" t="s">
        <v>43</v>
      </c>
      <c r="F88" s="6">
        <v>0.35416666666666669</v>
      </c>
      <c r="G88">
        <v>12</v>
      </c>
      <c r="H88" s="6">
        <f>FLOOR(tblPivotData[[#This Row],[Time]],Summary!$B$6/1440)</f>
        <v>0.35416666666666663</v>
      </c>
      <c r="I88">
        <f>INDEX(PeakCalc!$L$10:$L$303,MATCH(tblPivotData[[#This Row],[Time]],PeakCalc!$G$10:$G$303,0))</f>
        <v>1</v>
      </c>
    </row>
    <row r="89" spans="1:9" x14ac:dyDescent="0.3">
      <c r="A89" t="s">
        <v>92</v>
      </c>
      <c r="B89" t="s">
        <v>96</v>
      </c>
      <c r="C89" t="s">
        <v>94</v>
      </c>
      <c r="D89" t="s">
        <v>88</v>
      </c>
      <c r="E89" t="s">
        <v>43</v>
      </c>
      <c r="F89" s="6">
        <v>0.36458333333333331</v>
      </c>
      <c r="G89">
        <v>4</v>
      </c>
      <c r="H89" s="6">
        <f>FLOOR(tblPivotData[[#This Row],[Time]],Summary!$B$6/1440)</f>
        <v>0.36458333333333331</v>
      </c>
      <c r="I89">
        <f>INDEX(PeakCalc!$L$10:$L$303,MATCH(tblPivotData[[#This Row],[Time]],PeakCalc!$G$10:$G$303,0))</f>
        <v>1</v>
      </c>
    </row>
    <row r="90" spans="1:9" x14ac:dyDescent="0.3">
      <c r="A90" t="s">
        <v>92</v>
      </c>
      <c r="B90" t="s">
        <v>96</v>
      </c>
      <c r="C90" t="s">
        <v>94</v>
      </c>
      <c r="D90" t="s">
        <v>88</v>
      </c>
      <c r="E90" t="s">
        <v>90</v>
      </c>
      <c r="F90" s="6">
        <v>0.54166666666666663</v>
      </c>
      <c r="G90">
        <v>4</v>
      </c>
      <c r="H90" s="6">
        <f>FLOOR(tblPivotData[[#This Row],[Time]],Summary!$B$6/1440)</f>
        <v>0.54166666666666663</v>
      </c>
      <c r="I90">
        <f>INDEX(PeakCalc!$L$10:$L$303,MATCH(tblPivotData[[#This Row],[Time]],PeakCalc!$G$10:$G$303,0))</f>
        <v>1</v>
      </c>
    </row>
    <row r="91" spans="1:9" x14ac:dyDescent="0.3">
      <c r="A91" t="s">
        <v>92</v>
      </c>
      <c r="B91" t="s">
        <v>96</v>
      </c>
      <c r="C91" t="s">
        <v>94</v>
      </c>
      <c r="D91" t="s">
        <v>88</v>
      </c>
      <c r="E91" t="s">
        <v>90</v>
      </c>
      <c r="F91" s="6">
        <v>0.55208333333333337</v>
      </c>
      <c r="G91">
        <v>4</v>
      </c>
      <c r="H91" s="6">
        <f>FLOOR(tblPivotData[[#This Row],[Time]],Summary!$B$6/1440)</f>
        <v>0.55208333333333326</v>
      </c>
      <c r="I91">
        <f>INDEX(PeakCalc!$L$10:$L$303,MATCH(tblPivotData[[#This Row],[Time]],PeakCalc!$G$10:$G$303,0))</f>
        <v>1</v>
      </c>
    </row>
    <row r="92" spans="1:9" x14ac:dyDescent="0.3">
      <c r="A92" t="s">
        <v>92</v>
      </c>
      <c r="B92" t="s">
        <v>96</v>
      </c>
      <c r="C92" t="s">
        <v>94</v>
      </c>
      <c r="D92" t="s">
        <v>88</v>
      </c>
      <c r="E92" t="s">
        <v>90</v>
      </c>
      <c r="F92" s="6">
        <v>0.5625</v>
      </c>
      <c r="G92">
        <v>10</v>
      </c>
      <c r="H92" s="6">
        <f>FLOOR(tblPivotData[[#This Row],[Time]],Summary!$B$6/1440)</f>
        <v>0.5625</v>
      </c>
      <c r="I92">
        <f>INDEX(PeakCalc!$L$10:$L$303,MATCH(tblPivotData[[#This Row],[Time]],PeakCalc!$G$10:$G$303,0))</f>
        <v>1</v>
      </c>
    </row>
    <row r="93" spans="1:9" x14ac:dyDescent="0.3">
      <c r="A93" t="s">
        <v>92</v>
      </c>
      <c r="B93" t="s">
        <v>96</v>
      </c>
      <c r="C93" t="s">
        <v>94</v>
      </c>
      <c r="D93" t="s">
        <v>88</v>
      </c>
      <c r="E93" t="s">
        <v>90</v>
      </c>
      <c r="F93" s="6">
        <v>0.57291666666666663</v>
      </c>
      <c r="G93">
        <v>6</v>
      </c>
      <c r="H93" s="6">
        <f>FLOOR(tblPivotData[[#This Row],[Time]],Summary!$B$6/1440)</f>
        <v>0.57291666666666663</v>
      </c>
      <c r="I93">
        <f>INDEX(PeakCalc!$L$10:$L$303,MATCH(tblPivotData[[#This Row],[Time]],PeakCalc!$G$10:$G$303,0))</f>
        <v>1</v>
      </c>
    </row>
    <row r="94" spans="1:9" x14ac:dyDescent="0.3">
      <c r="A94" t="s">
        <v>92</v>
      </c>
      <c r="B94" t="s">
        <v>96</v>
      </c>
      <c r="C94" t="s">
        <v>94</v>
      </c>
      <c r="D94" t="s">
        <v>88</v>
      </c>
      <c r="E94" t="s">
        <v>44</v>
      </c>
      <c r="F94" s="6">
        <v>0.66666666666666663</v>
      </c>
      <c r="G94">
        <v>5</v>
      </c>
      <c r="H94" s="6">
        <f>FLOOR(tblPivotData[[#This Row],[Time]],Summary!$B$6/1440)</f>
        <v>0.66666666666666663</v>
      </c>
      <c r="I94">
        <f>INDEX(PeakCalc!$L$10:$L$303,MATCH(tblPivotData[[#This Row],[Time]],PeakCalc!$G$10:$G$303,0))</f>
        <v>0</v>
      </c>
    </row>
    <row r="95" spans="1:9" x14ac:dyDescent="0.3">
      <c r="A95" t="s">
        <v>92</v>
      </c>
      <c r="B95" t="s">
        <v>96</v>
      </c>
      <c r="C95" t="s">
        <v>94</v>
      </c>
      <c r="D95" t="s">
        <v>88</v>
      </c>
      <c r="E95" t="s">
        <v>44</v>
      </c>
      <c r="F95" s="6">
        <v>0.67708333333333337</v>
      </c>
      <c r="G95">
        <v>6</v>
      </c>
      <c r="H95" s="6">
        <f>FLOOR(tblPivotData[[#This Row],[Time]],Summary!$B$6/1440)</f>
        <v>0.67708333333333326</v>
      </c>
      <c r="I95">
        <f>INDEX(PeakCalc!$L$10:$L$303,MATCH(tblPivotData[[#This Row],[Time]],PeakCalc!$G$10:$G$303,0))</f>
        <v>0</v>
      </c>
    </row>
    <row r="96" spans="1:9" x14ac:dyDescent="0.3">
      <c r="A96" t="s">
        <v>92</v>
      </c>
      <c r="B96" t="s">
        <v>96</v>
      </c>
      <c r="C96" t="s">
        <v>94</v>
      </c>
      <c r="D96" t="s">
        <v>88</v>
      </c>
      <c r="E96" t="s">
        <v>44</v>
      </c>
      <c r="F96" s="6">
        <v>0.6875</v>
      </c>
      <c r="G96">
        <v>8</v>
      </c>
      <c r="H96" s="6">
        <f>FLOOR(tblPivotData[[#This Row],[Time]],Summary!$B$6/1440)</f>
        <v>0.6875</v>
      </c>
      <c r="I96">
        <f>INDEX(PeakCalc!$L$10:$L$303,MATCH(tblPivotData[[#This Row],[Time]],PeakCalc!$G$10:$G$303,0))</f>
        <v>1</v>
      </c>
    </row>
    <row r="97" spans="1:9" x14ac:dyDescent="0.3">
      <c r="A97" t="s">
        <v>92</v>
      </c>
      <c r="B97" t="s">
        <v>96</v>
      </c>
      <c r="C97" t="s">
        <v>94</v>
      </c>
      <c r="D97" t="s">
        <v>88</v>
      </c>
      <c r="E97" t="s">
        <v>44</v>
      </c>
      <c r="F97" s="6">
        <v>0.69791666666666663</v>
      </c>
      <c r="G97">
        <v>4</v>
      </c>
      <c r="H97" s="6">
        <f>FLOOR(tblPivotData[[#This Row],[Time]],Summary!$B$6/1440)</f>
        <v>0.69791666666666663</v>
      </c>
      <c r="I97">
        <f>INDEX(PeakCalc!$L$10:$L$303,MATCH(tblPivotData[[#This Row],[Time]],PeakCalc!$G$10:$G$303,0))</f>
        <v>1</v>
      </c>
    </row>
    <row r="98" spans="1:9" x14ac:dyDescent="0.3">
      <c r="A98" t="s">
        <v>92</v>
      </c>
      <c r="B98" t="s">
        <v>96</v>
      </c>
      <c r="C98" t="s">
        <v>94</v>
      </c>
      <c r="D98" t="s">
        <v>88</v>
      </c>
      <c r="E98" t="s">
        <v>44</v>
      </c>
      <c r="F98" s="6">
        <v>0.70833333333333337</v>
      </c>
      <c r="G98">
        <v>2</v>
      </c>
      <c r="H98" s="6">
        <f>FLOOR(tblPivotData[[#This Row],[Time]],Summary!$B$6/1440)</f>
        <v>0.70833333333333326</v>
      </c>
      <c r="I98">
        <f>INDEX(PeakCalc!$L$10:$L$303,MATCH(tblPivotData[[#This Row],[Time]],PeakCalc!$G$10:$G$303,0))</f>
        <v>1</v>
      </c>
    </row>
    <row r="99" spans="1:9" x14ac:dyDescent="0.3">
      <c r="A99" t="s">
        <v>92</v>
      </c>
      <c r="B99" t="s">
        <v>96</v>
      </c>
      <c r="C99" t="s">
        <v>94</v>
      </c>
      <c r="D99" t="s">
        <v>88</v>
      </c>
      <c r="E99" t="s">
        <v>44</v>
      </c>
      <c r="F99" s="6">
        <v>0.71875</v>
      </c>
      <c r="G99">
        <v>4</v>
      </c>
      <c r="H99" s="6">
        <f>FLOOR(tblPivotData[[#This Row],[Time]],Summary!$B$6/1440)</f>
        <v>0.71875</v>
      </c>
      <c r="I99">
        <f>INDEX(PeakCalc!$L$10:$L$303,MATCH(tblPivotData[[#This Row],[Time]],PeakCalc!$G$10:$G$303,0))</f>
        <v>1</v>
      </c>
    </row>
    <row r="100" spans="1:9" x14ac:dyDescent="0.3">
      <c r="A100" t="s">
        <v>92</v>
      </c>
      <c r="B100" t="s">
        <v>96</v>
      </c>
      <c r="C100" t="s">
        <v>94</v>
      </c>
      <c r="D100" t="s">
        <v>88</v>
      </c>
      <c r="E100" t="s">
        <v>44</v>
      </c>
      <c r="F100" s="6">
        <v>0.72916666666666663</v>
      </c>
      <c r="G100">
        <v>5</v>
      </c>
      <c r="H100" s="6">
        <f>FLOOR(tblPivotData[[#This Row],[Time]],Summary!$B$6/1440)</f>
        <v>0.72916666666666663</v>
      </c>
      <c r="I100">
        <f>INDEX(PeakCalc!$L$10:$L$303,MATCH(tblPivotData[[#This Row],[Time]],PeakCalc!$G$10:$G$303,0))</f>
        <v>0</v>
      </c>
    </row>
    <row r="101" spans="1:9" x14ac:dyDescent="0.3">
      <c r="A101" t="s">
        <v>92</v>
      </c>
      <c r="B101" t="s">
        <v>96</v>
      </c>
      <c r="C101" t="s">
        <v>94</v>
      </c>
      <c r="D101" t="s">
        <v>88</v>
      </c>
      <c r="E101" t="s">
        <v>44</v>
      </c>
      <c r="F101" s="6">
        <v>0.73958333333333337</v>
      </c>
      <c r="G101">
        <v>4</v>
      </c>
      <c r="H101" s="6">
        <f>FLOOR(tblPivotData[[#This Row],[Time]],Summary!$B$6/1440)</f>
        <v>0.73958333333333326</v>
      </c>
      <c r="I101">
        <f>INDEX(PeakCalc!$L$10:$L$303,MATCH(tblPivotData[[#This Row],[Time]],PeakCalc!$G$10:$G$303,0))</f>
        <v>0</v>
      </c>
    </row>
    <row r="102" spans="1:9" x14ac:dyDescent="0.3">
      <c r="A102" t="s">
        <v>92</v>
      </c>
      <c r="B102" t="s">
        <v>96</v>
      </c>
      <c r="C102" t="s">
        <v>94</v>
      </c>
      <c r="D102" t="s">
        <v>89</v>
      </c>
      <c r="E102" t="s">
        <v>43</v>
      </c>
      <c r="F102" s="6">
        <v>0.29166666666666669</v>
      </c>
      <c r="G102">
        <v>12</v>
      </c>
      <c r="H102" s="6">
        <f>FLOOR(tblPivotData[[#This Row],[Time]],Summary!$B$6/1440)</f>
        <v>0.29166666666666663</v>
      </c>
      <c r="I102">
        <f>INDEX(PeakCalc!$L$10:$L$303,MATCH(tblPivotData[[#This Row],[Time]],PeakCalc!$G$10:$G$303,0))</f>
        <v>0</v>
      </c>
    </row>
    <row r="103" spans="1:9" x14ac:dyDescent="0.3">
      <c r="A103" t="s">
        <v>92</v>
      </c>
      <c r="B103" t="s">
        <v>96</v>
      </c>
      <c r="C103" t="s">
        <v>94</v>
      </c>
      <c r="D103" t="s">
        <v>89</v>
      </c>
      <c r="E103" t="s">
        <v>43</v>
      </c>
      <c r="F103" s="6">
        <v>0.30208333333333331</v>
      </c>
      <c r="G103">
        <v>21</v>
      </c>
      <c r="H103" s="6">
        <f>FLOOR(tblPivotData[[#This Row],[Time]],Summary!$B$6/1440)</f>
        <v>0.30208333333333331</v>
      </c>
      <c r="I103">
        <f>INDEX(PeakCalc!$L$10:$L$303,MATCH(tblPivotData[[#This Row],[Time]],PeakCalc!$G$10:$G$303,0))</f>
        <v>0</v>
      </c>
    </row>
    <row r="104" spans="1:9" x14ac:dyDescent="0.3">
      <c r="A104" t="s">
        <v>92</v>
      </c>
      <c r="B104" t="s">
        <v>96</v>
      </c>
      <c r="C104" t="s">
        <v>94</v>
      </c>
      <c r="D104" t="s">
        <v>89</v>
      </c>
      <c r="E104" t="s">
        <v>43</v>
      </c>
      <c r="F104" s="6">
        <v>0.3125</v>
      </c>
      <c r="G104">
        <v>29</v>
      </c>
      <c r="H104" s="6">
        <f>FLOOR(tblPivotData[[#This Row],[Time]],Summary!$B$6/1440)</f>
        <v>0.3125</v>
      </c>
      <c r="I104">
        <f>INDEX(PeakCalc!$L$10:$L$303,MATCH(tblPivotData[[#This Row],[Time]],PeakCalc!$G$10:$G$303,0))</f>
        <v>0</v>
      </c>
    </row>
    <row r="105" spans="1:9" x14ac:dyDescent="0.3">
      <c r="A105" t="s">
        <v>92</v>
      </c>
      <c r="B105" t="s">
        <v>96</v>
      </c>
      <c r="C105" t="s">
        <v>94</v>
      </c>
      <c r="D105" t="s">
        <v>89</v>
      </c>
      <c r="E105" t="s">
        <v>43</v>
      </c>
      <c r="F105" s="6">
        <v>0.32291666666666669</v>
      </c>
      <c r="G105">
        <v>11</v>
      </c>
      <c r="H105" s="6">
        <f>FLOOR(tblPivotData[[#This Row],[Time]],Summary!$B$6/1440)</f>
        <v>0.32291666666666663</v>
      </c>
      <c r="I105">
        <f>INDEX(PeakCalc!$L$10:$L$303,MATCH(tblPivotData[[#This Row],[Time]],PeakCalc!$G$10:$G$303,0))</f>
        <v>0</v>
      </c>
    </row>
    <row r="106" spans="1:9" x14ac:dyDescent="0.3">
      <c r="A106" t="s">
        <v>92</v>
      </c>
      <c r="B106" t="s">
        <v>96</v>
      </c>
      <c r="C106" t="s">
        <v>94</v>
      </c>
      <c r="D106" t="s">
        <v>89</v>
      </c>
      <c r="E106" t="s">
        <v>43</v>
      </c>
      <c r="F106" s="6">
        <v>0.33333333333333331</v>
      </c>
      <c r="G106">
        <v>12</v>
      </c>
      <c r="H106" s="6">
        <f>FLOOR(tblPivotData[[#This Row],[Time]],Summary!$B$6/1440)</f>
        <v>0.33333333333333331</v>
      </c>
      <c r="I106">
        <f>INDEX(PeakCalc!$L$10:$L$303,MATCH(tblPivotData[[#This Row],[Time]],PeakCalc!$G$10:$G$303,0))</f>
        <v>1</v>
      </c>
    </row>
    <row r="107" spans="1:9" x14ac:dyDescent="0.3">
      <c r="A107" t="s">
        <v>92</v>
      </c>
      <c r="B107" t="s">
        <v>96</v>
      </c>
      <c r="C107" t="s">
        <v>94</v>
      </c>
      <c r="D107" t="s">
        <v>89</v>
      </c>
      <c r="E107" t="s">
        <v>43</v>
      </c>
      <c r="F107" s="6">
        <v>0.34375</v>
      </c>
      <c r="G107">
        <v>12</v>
      </c>
      <c r="H107" s="6">
        <f>FLOOR(tblPivotData[[#This Row],[Time]],Summary!$B$6/1440)</f>
        <v>0.34375</v>
      </c>
      <c r="I107">
        <f>INDEX(PeakCalc!$L$10:$L$303,MATCH(tblPivotData[[#This Row],[Time]],PeakCalc!$G$10:$G$303,0))</f>
        <v>1</v>
      </c>
    </row>
    <row r="108" spans="1:9" x14ac:dyDescent="0.3">
      <c r="A108" t="s">
        <v>92</v>
      </c>
      <c r="B108" t="s">
        <v>96</v>
      </c>
      <c r="C108" t="s">
        <v>94</v>
      </c>
      <c r="D108" t="s">
        <v>89</v>
      </c>
      <c r="E108" t="s">
        <v>43</v>
      </c>
      <c r="F108" s="6">
        <v>0.35416666666666669</v>
      </c>
      <c r="G108">
        <v>5</v>
      </c>
      <c r="H108" s="6">
        <f>FLOOR(tblPivotData[[#This Row],[Time]],Summary!$B$6/1440)</f>
        <v>0.35416666666666663</v>
      </c>
      <c r="I108">
        <f>INDEX(PeakCalc!$L$10:$L$303,MATCH(tblPivotData[[#This Row],[Time]],PeakCalc!$G$10:$G$303,0))</f>
        <v>1</v>
      </c>
    </row>
    <row r="109" spans="1:9" x14ac:dyDescent="0.3">
      <c r="A109" t="s">
        <v>92</v>
      </c>
      <c r="B109" t="s">
        <v>96</v>
      </c>
      <c r="C109" t="s">
        <v>94</v>
      </c>
      <c r="D109" t="s">
        <v>89</v>
      </c>
      <c r="E109" t="s">
        <v>43</v>
      </c>
      <c r="F109" s="6">
        <v>0.36458333333333331</v>
      </c>
      <c r="G109">
        <v>7</v>
      </c>
      <c r="H109" s="6">
        <f>FLOOR(tblPivotData[[#This Row],[Time]],Summary!$B$6/1440)</f>
        <v>0.36458333333333331</v>
      </c>
      <c r="I109">
        <f>INDEX(PeakCalc!$L$10:$L$303,MATCH(tblPivotData[[#This Row],[Time]],PeakCalc!$G$10:$G$303,0))</f>
        <v>1</v>
      </c>
    </row>
    <row r="110" spans="1:9" x14ac:dyDescent="0.3">
      <c r="A110" t="s">
        <v>92</v>
      </c>
      <c r="B110" t="s">
        <v>96</v>
      </c>
      <c r="C110" t="s">
        <v>94</v>
      </c>
      <c r="D110" t="s">
        <v>89</v>
      </c>
      <c r="E110" t="s">
        <v>90</v>
      </c>
      <c r="F110" s="6">
        <v>0.54166666666666663</v>
      </c>
      <c r="G110">
        <v>3</v>
      </c>
      <c r="H110" s="6">
        <f>FLOOR(tblPivotData[[#This Row],[Time]],Summary!$B$6/1440)</f>
        <v>0.54166666666666663</v>
      </c>
      <c r="I110">
        <f>INDEX(PeakCalc!$L$10:$L$303,MATCH(tblPivotData[[#This Row],[Time]],PeakCalc!$G$10:$G$303,0))</f>
        <v>1</v>
      </c>
    </row>
    <row r="111" spans="1:9" x14ac:dyDescent="0.3">
      <c r="A111" t="s">
        <v>92</v>
      </c>
      <c r="B111" t="s">
        <v>96</v>
      </c>
      <c r="C111" t="s">
        <v>94</v>
      </c>
      <c r="D111" t="s">
        <v>89</v>
      </c>
      <c r="E111" t="s">
        <v>90</v>
      </c>
      <c r="F111" s="6">
        <v>0.55208333333333337</v>
      </c>
      <c r="G111">
        <v>3</v>
      </c>
      <c r="H111" s="6">
        <f>FLOOR(tblPivotData[[#This Row],[Time]],Summary!$B$6/1440)</f>
        <v>0.55208333333333326</v>
      </c>
      <c r="I111">
        <f>INDEX(PeakCalc!$L$10:$L$303,MATCH(tblPivotData[[#This Row],[Time]],PeakCalc!$G$10:$G$303,0))</f>
        <v>1</v>
      </c>
    </row>
    <row r="112" spans="1:9" x14ac:dyDescent="0.3">
      <c r="A112" t="s">
        <v>92</v>
      </c>
      <c r="B112" t="s">
        <v>96</v>
      </c>
      <c r="C112" t="s">
        <v>94</v>
      </c>
      <c r="D112" t="s">
        <v>89</v>
      </c>
      <c r="E112" t="s">
        <v>90</v>
      </c>
      <c r="F112" s="6">
        <v>0.5625</v>
      </c>
      <c r="G112">
        <v>4</v>
      </c>
      <c r="H112" s="6">
        <f>FLOOR(tblPivotData[[#This Row],[Time]],Summary!$B$6/1440)</f>
        <v>0.5625</v>
      </c>
      <c r="I112">
        <f>INDEX(PeakCalc!$L$10:$L$303,MATCH(tblPivotData[[#This Row],[Time]],PeakCalc!$G$10:$G$303,0))</f>
        <v>1</v>
      </c>
    </row>
    <row r="113" spans="1:9" x14ac:dyDescent="0.3">
      <c r="A113" t="s">
        <v>92</v>
      </c>
      <c r="B113" t="s">
        <v>96</v>
      </c>
      <c r="C113" t="s">
        <v>94</v>
      </c>
      <c r="D113" t="s">
        <v>89</v>
      </c>
      <c r="E113" t="s">
        <v>90</v>
      </c>
      <c r="F113" s="6">
        <v>0.57291666666666663</v>
      </c>
      <c r="G113">
        <v>5</v>
      </c>
      <c r="H113" s="6">
        <f>FLOOR(tblPivotData[[#This Row],[Time]],Summary!$B$6/1440)</f>
        <v>0.57291666666666663</v>
      </c>
      <c r="I113">
        <f>INDEX(PeakCalc!$L$10:$L$303,MATCH(tblPivotData[[#This Row],[Time]],PeakCalc!$G$10:$G$303,0))</f>
        <v>1</v>
      </c>
    </row>
    <row r="114" spans="1:9" x14ac:dyDescent="0.3">
      <c r="A114" t="s">
        <v>92</v>
      </c>
      <c r="B114" t="s">
        <v>96</v>
      </c>
      <c r="C114" t="s">
        <v>94</v>
      </c>
      <c r="D114" t="s">
        <v>89</v>
      </c>
      <c r="E114" t="s">
        <v>44</v>
      </c>
      <c r="F114" s="6">
        <v>0.66666666666666663</v>
      </c>
      <c r="G114">
        <v>0</v>
      </c>
      <c r="H114" s="6">
        <f>FLOOR(tblPivotData[[#This Row],[Time]],Summary!$B$6/1440)</f>
        <v>0.66666666666666663</v>
      </c>
      <c r="I114">
        <f>INDEX(PeakCalc!$L$10:$L$303,MATCH(tblPivotData[[#This Row],[Time]],PeakCalc!$G$10:$G$303,0))</f>
        <v>0</v>
      </c>
    </row>
    <row r="115" spans="1:9" x14ac:dyDescent="0.3">
      <c r="A115" t="s">
        <v>92</v>
      </c>
      <c r="B115" t="s">
        <v>96</v>
      </c>
      <c r="C115" t="s">
        <v>94</v>
      </c>
      <c r="D115" t="s">
        <v>89</v>
      </c>
      <c r="E115" t="s">
        <v>44</v>
      </c>
      <c r="F115" s="6">
        <v>0.67708333333333337</v>
      </c>
      <c r="G115">
        <v>4</v>
      </c>
      <c r="H115" s="6">
        <f>FLOOR(tblPivotData[[#This Row],[Time]],Summary!$B$6/1440)</f>
        <v>0.67708333333333326</v>
      </c>
      <c r="I115">
        <f>INDEX(PeakCalc!$L$10:$L$303,MATCH(tblPivotData[[#This Row],[Time]],PeakCalc!$G$10:$G$303,0))</f>
        <v>0</v>
      </c>
    </row>
    <row r="116" spans="1:9" x14ac:dyDescent="0.3">
      <c r="A116" t="s">
        <v>92</v>
      </c>
      <c r="B116" t="s">
        <v>96</v>
      </c>
      <c r="C116" t="s">
        <v>94</v>
      </c>
      <c r="D116" t="s">
        <v>89</v>
      </c>
      <c r="E116" t="s">
        <v>44</v>
      </c>
      <c r="F116" s="6">
        <v>0.6875</v>
      </c>
      <c r="G116">
        <v>2</v>
      </c>
      <c r="H116" s="6">
        <f>FLOOR(tblPivotData[[#This Row],[Time]],Summary!$B$6/1440)</f>
        <v>0.6875</v>
      </c>
      <c r="I116">
        <f>INDEX(PeakCalc!$L$10:$L$303,MATCH(tblPivotData[[#This Row],[Time]],PeakCalc!$G$10:$G$303,0))</f>
        <v>1</v>
      </c>
    </row>
    <row r="117" spans="1:9" x14ac:dyDescent="0.3">
      <c r="A117" t="s">
        <v>92</v>
      </c>
      <c r="B117" t="s">
        <v>96</v>
      </c>
      <c r="C117" t="s">
        <v>94</v>
      </c>
      <c r="D117" t="s">
        <v>89</v>
      </c>
      <c r="E117" t="s">
        <v>44</v>
      </c>
      <c r="F117" s="6">
        <v>0.69791666666666663</v>
      </c>
      <c r="G117">
        <v>4</v>
      </c>
      <c r="H117" s="6">
        <f>FLOOR(tblPivotData[[#This Row],[Time]],Summary!$B$6/1440)</f>
        <v>0.69791666666666663</v>
      </c>
      <c r="I117">
        <f>INDEX(PeakCalc!$L$10:$L$303,MATCH(tblPivotData[[#This Row],[Time]],PeakCalc!$G$10:$G$303,0))</f>
        <v>1</v>
      </c>
    </row>
    <row r="118" spans="1:9" x14ac:dyDescent="0.3">
      <c r="A118" t="s">
        <v>92</v>
      </c>
      <c r="B118" t="s">
        <v>96</v>
      </c>
      <c r="C118" t="s">
        <v>94</v>
      </c>
      <c r="D118" t="s">
        <v>89</v>
      </c>
      <c r="E118" t="s">
        <v>44</v>
      </c>
      <c r="F118" s="6">
        <v>0.70833333333333337</v>
      </c>
      <c r="G118">
        <v>2</v>
      </c>
      <c r="H118" s="6">
        <f>FLOOR(tblPivotData[[#This Row],[Time]],Summary!$B$6/1440)</f>
        <v>0.70833333333333326</v>
      </c>
      <c r="I118">
        <f>INDEX(PeakCalc!$L$10:$L$303,MATCH(tblPivotData[[#This Row],[Time]],PeakCalc!$G$10:$G$303,0))</f>
        <v>1</v>
      </c>
    </row>
    <row r="119" spans="1:9" x14ac:dyDescent="0.3">
      <c r="A119" t="s">
        <v>92</v>
      </c>
      <c r="B119" t="s">
        <v>96</v>
      </c>
      <c r="C119" t="s">
        <v>94</v>
      </c>
      <c r="D119" t="s">
        <v>89</v>
      </c>
      <c r="E119" t="s">
        <v>44</v>
      </c>
      <c r="F119" s="6">
        <v>0.71875</v>
      </c>
      <c r="G119">
        <v>6</v>
      </c>
      <c r="H119" s="6">
        <f>FLOOR(tblPivotData[[#This Row],[Time]],Summary!$B$6/1440)</f>
        <v>0.71875</v>
      </c>
      <c r="I119">
        <f>INDEX(PeakCalc!$L$10:$L$303,MATCH(tblPivotData[[#This Row],[Time]],PeakCalc!$G$10:$G$303,0))</f>
        <v>1</v>
      </c>
    </row>
    <row r="120" spans="1:9" x14ac:dyDescent="0.3">
      <c r="A120" t="s">
        <v>92</v>
      </c>
      <c r="B120" t="s">
        <v>96</v>
      </c>
      <c r="C120" t="s">
        <v>94</v>
      </c>
      <c r="D120" t="s">
        <v>89</v>
      </c>
      <c r="E120" t="s">
        <v>44</v>
      </c>
      <c r="F120" s="6">
        <v>0.72916666666666663</v>
      </c>
      <c r="G120">
        <v>5</v>
      </c>
      <c r="H120" s="6">
        <f>FLOOR(tblPivotData[[#This Row],[Time]],Summary!$B$6/1440)</f>
        <v>0.72916666666666663</v>
      </c>
      <c r="I120">
        <f>INDEX(PeakCalc!$L$10:$L$303,MATCH(tblPivotData[[#This Row],[Time]],PeakCalc!$G$10:$G$303,0))</f>
        <v>0</v>
      </c>
    </row>
    <row r="121" spans="1:9" x14ac:dyDescent="0.3">
      <c r="A121" t="s">
        <v>92</v>
      </c>
      <c r="B121" t="s">
        <v>96</v>
      </c>
      <c r="C121" t="s">
        <v>94</v>
      </c>
      <c r="D121" t="s">
        <v>89</v>
      </c>
      <c r="E121" t="s">
        <v>44</v>
      </c>
      <c r="F121" s="6">
        <v>0.73958333333333337</v>
      </c>
      <c r="G121">
        <v>2</v>
      </c>
      <c r="H121" s="6">
        <f>FLOOR(tblPivotData[[#This Row],[Time]],Summary!$B$6/1440)</f>
        <v>0.73958333333333326</v>
      </c>
      <c r="I121">
        <f>INDEX(PeakCalc!$L$10:$L$303,MATCH(tblPivotData[[#This Row],[Time]],PeakCalc!$G$10:$G$303,0))</f>
        <v>0</v>
      </c>
    </row>
    <row r="122" spans="1:9" x14ac:dyDescent="0.3">
      <c r="A122" t="s">
        <v>93</v>
      </c>
      <c r="B122" t="s">
        <v>97</v>
      </c>
      <c r="C122" t="s">
        <v>94</v>
      </c>
      <c r="D122" t="s">
        <v>79</v>
      </c>
      <c r="E122" t="s">
        <v>43</v>
      </c>
      <c r="F122" s="6">
        <v>0.29166666666666669</v>
      </c>
      <c r="G122">
        <v>18</v>
      </c>
      <c r="H122" s="6">
        <f>FLOOR(tblPivotData[[#This Row],[Time]],Summary!$B$6/1440)</f>
        <v>0.29166666666666663</v>
      </c>
      <c r="I122">
        <f>INDEX(PeakCalc!$L$10:$L$303,MATCH(tblPivotData[[#This Row],[Time]],PeakCalc!$G$10:$G$303,0))</f>
        <v>0</v>
      </c>
    </row>
    <row r="123" spans="1:9" x14ac:dyDescent="0.3">
      <c r="A123" t="s">
        <v>93</v>
      </c>
      <c r="B123" t="s">
        <v>97</v>
      </c>
      <c r="C123" t="s">
        <v>94</v>
      </c>
      <c r="D123" t="s">
        <v>79</v>
      </c>
      <c r="E123" t="s">
        <v>43</v>
      </c>
      <c r="F123" s="6">
        <v>0.30208333333333331</v>
      </c>
      <c r="G123">
        <v>18</v>
      </c>
      <c r="H123" s="6">
        <f>FLOOR(tblPivotData[[#This Row],[Time]],Summary!$B$6/1440)</f>
        <v>0.30208333333333331</v>
      </c>
      <c r="I123">
        <f>INDEX(PeakCalc!$L$10:$L$303,MATCH(tblPivotData[[#This Row],[Time]],PeakCalc!$G$10:$G$303,0))</f>
        <v>0</v>
      </c>
    </row>
    <row r="124" spans="1:9" x14ac:dyDescent="0.3">
      <c r="A124" t="s">
        <v>93</v>
      </c>
      <c r="B124" t="s">
        <v>97</v>
      </c>
      <c r="C124" t="s">
        <v>94</v>
      </c>
      <c r="D124" t="s">
        <v>79</v>
      </c>
      <c r="E124" t="s">
        <v>43</v>
      </c>
      <c r="F124" s="6">
        <v>0.3125</v>
      </c>
      <c r="G124">
        <v>27</v>
      </c>
      <c r="H124" s="6">
        <f>FLOOR(tblPivotData[[#This Row],[Time]],Summary!$B$6/1440)</f>
        <v>0.3125</v>
      </c>
      <c r="I124">
        <f>INDEX(PeakCalc!$L$10:$L$303,MATCH(tblPivotData[[#This Row],[Time]],PeakCalc!$G$10:$G$303,0))</f>
        <v>0</v>
      </c>
    </row>
    <row r="125" spans="1:9" x14ac:dyDescent="0.3">
      <c r="A125" t="s">
        <v>93</v>
      </c>
      <c r="B125" t="s">
        <v>97</v>
      </c>
      <c r="C125" t="s">
        <v>94</v>
      </c>
      <c r="D125" t="s">
        <v>79</v>
      </c>
      <c r="E125" t="s">
        <v>43</v>
      </c>
      <c r="F125" s="6">
        <v>0.32291666666666669</v>
      </c>
      <c r="G125">
        <v>29</v>
      </c>
      <c r="H125" s="6">
        <f>FLOOR(tblPivotData[[#This Row],[Time]],Summary!$B$6/1440)</f>
        <v>0.32291666666666663</v>
      </c>
      <c r="I125">
        <f>INDEX(PeakCalc!$L$10:$L$303,MATCH(tblPivotData[[#This Row],[Time]],PeakCalc!$G$10:$G$303,0))</f>
        <v>0</v>
      </c>
    </row>
    <row r="126" spans="1:9" x14ac:dyDescent="0.3">
      <c r="A126" t="s">
        <v>93</v>
      </c>
      <c r="B126" t="s">
        <v>97</v>
      </c>
      <c r="C126" t="s">
        <v>94</v>
      </c>
      <c r="D126" t="s">
        <v>79</v>
      </c>
      <c r="E126" t="s">
        <v>43</v>
      </c>
      <c r="F126" s="6">
        <v>0.33333333333333331</v>
      </c>
      <c r="G126">
        <v>17</v>
      </c>
      <c r="H126" s="6">
        <f>FLOOR(tblPivotData[[#This Row],[Time]],Summary!$B$6/1440)</f>
        <v>0.33333333333333331</v>
      </c>
      <c r="I126">
        <f>INDEX(PeakCalc!$L$10:$L$303,MATCH(tblPivotData[[#This Row],[Time]],PeakCalc!$G$10:$G$303,0))</f>
        <v>1</v>
      </c>
    </row>
    <row r="127" spans="1:9" x14ac:dyDescent="0.3">
      <c r="A127" t="s">
        <v>93</v>
      </c>
      <c r="B127" t="s">
        <v>97</v>
      </c>
      <c r="C127" t="s">
        <v>94</v>
      </c>
      <c r="D127" t="s">
        <v>79</v>
      </c>
      <c r="E127" t="s">
        <v>43</v>
      </c>
      <c r="F127" s="6">
        <v>0.34375</v>
      </c>
      <c r="G127">
        <v>26</v>
      </c>
      <c r="H127" s="6">
        <f>FLOOR(tblPivotData[[#This Row],[Time]],Summary!$B$6/1440)</f>
        <v>0.34375</v>
      </c>
      <c r="I127">
        <f>INDEX(PeakCalc!$L$10:$L$303,MATCH(tblPivotData[[#This Row],[Time]],PeakCalc!$G$10:$G$303,0))</f>
        <v>1</v>
      </c>
    </row>
    <row r="128" spans="1:9" x14ac:dyDescent="0.3">
      <c r="A128" t="s">
        <v>93</v>
      </c>
      <c r="B128" t="s">
        <v>97</v>
      </c>
      <c r="C128" t="s">
        <v>94</v>
      </c>
      <c r="D128" t="s">
        <v>79</v>
      </c>
      <c r="E128" t="s">
        <v>43</v>
      </c>
      <c r="F128" s="6">
        <v>0.35416666666666669</v>
      </c>
      <c r="G128">
        <v>24</v>
      </c>
      <c r="H128" s="6">
        <f>FLOOR(tblPivotData[[#This Row],[Time]],Summary!$B$6/1440)</f>
        <v>0.35416666666666663</v>
      </c>
      <c r="I128">
        <f>INDEX(PeakCalc!$L$10:$L$303,MATCH(tblPivotData[[#This Row],[Time]],PeakCalc!$G$10:$G$303,0))</f>
        <v>1</v>
      </c>
    </row>
    <row r="129" spans="1:9" x14ac:dyDescent="0.3">
      <c r="A129" t="s">
        <v>93</v>
      </c>
      <c r="B129" t="s">
        <v>97</v>
      </c>
      <c r="C129" t="s">
        <v>94</v>
      </c>
      <c r="D129" t="s">
        <v>79</v>
      </c>
      <c r="E129" t="s">
        <v>43</v>
      </c>
      <c r="F129" s="6">
        <v>0.36458333333333331</v>
      </c>
      <c r="G129">
        <v>26</v>
      </c>
      <c r="H129" s="6">
        <f>FLOOR(tblPivotData[[#This Row],[Time]],Summary!$B$6/1440)</f>
        <v>0.36458333333333331</v>
      </c>
      <c r="I129">
        <f>INDEX(PeakCalc!$L$10:$L$303,MATCH(tblPivotData[[#This Row],[Time]],PeakCalc!$G$10:$G$303,0))</f>
        <v>1</v>
      </c>
    </row>
    <row r="130" spans="1:9" x14ac:dyDescent="0.3">
      <c r="A130" t="s">
        <v>93</v>
      </c>
      <c r="B130" t="s">
        <v>97</v>
      </c>
      <c r="C130" t="s">
        <v>94</v>
      </c>
      <c r="D130" t="s">
        <v>79</v>
      </c>
      <c r="E130" t="s">
        <v>90</v>
      </c>
      <c r="F130" s="6">
        <v>0.54166666666666663</v>
      </c>
      <c r="G130">
        <v>10</v>
      </c>
      <c r="H130" s="6">
        <f>FLOOR(tblPivotData[[#This Row],[Time]],Summary!$B$6/1440)</f>
        <v>0.54166666666666663</v>
      </c>
      <c r="I130">
        <f>INDEX(PeakCalc!$L$10:$L$303,MATCH(tblPivotData[[#This Row],[Time]],PeakCalc!$G$10:$G$303,0))</f>
        <v>1</v>
      </c>
    </row>
    <row r="131" spans="1:9" x14ac:dyDescent="0.3">
      <c r="A131" t="s">
        <v>93</v>
      </c>
      <c r="B131" t="s">
        <v>97</v>
      </c>
      <c r="C131" t="s">
        <v>94</v>
      </c>
      <c r="D131" t="s">
        <v>79</v>
      </c>
      <c r="E131" t="s">
        <v>90</v>
      </c>
      <c r="F131" s="6">
        <v>0.55208333333333337</v>
      </c>
      <c r="G131">
        <v>11</v>
      </c>
      <c r="H131" s="6">
        <f>FLOOR(tblPivotData[[#This Row],[Time]],Summary!$B$6/1440)</f>
        <v>0.55208333333333326</v>
      </c>
      <c r="I131">
        <f>INDEX(PeakCalc!$L$10:$L$303,MATCH(tblPivotData[[#This Row],[Time]],PeakCalc!$G$10:$G$303,0))</f>
        <v>1</v>
      </c>
    </row>
    <row r="132" spans="1:9" x14ac:dyDescent="0.3">
      <c r="A132" t="s">
        <v>93</v>
      </c>
      <c r="B132" t="s">
        <v>97</v>
      </c>
      <c r="C132" t="s">
        <v>94</v>
      </c>
      <c r="D132" t="s">
        <v>79</v>
      </c>
      <c r="E132" t="s">
        <v>90</v>
      </c>
      <c r="F132" s="6">
        <v>0.5625</v>
      </c>
      <c r="G132">
        <v>12</v>
      </c>
      <c r="H132" s="6">
        <f>FLOOR(tblPivotData[[#This Row],[Time]],Summary!$B$6/1440)</f>
        <v>0.5625</v>
      </c>
      <c r="I132">
        <f>INDEX(PeakCalc!$L$10:$L$303,MATCH(tblPivotData[[#This Row],[Time]],PeakCalc!$G$10:$G$303,0))</f>
        <v>1</v>
      </c>
    </row>
    <row r="133" spans="1:9" x14ac:dyDescent="0.3">
      <c r="A133" t="s">
        <v>93</v>
      </c>
      <c r="B133" t="s">
        <v>97</v>
      </c>
      <c r="C133" t="s">
        <v>94</v>
      </c>
      <c r="D133" t="s">
        <v>79</v>
      </c>
      <c r="E133" t="s">
        <v>90</v>
      </c>
      <c r="F133" s="6">
        <v>0.57291666666666663</v>
      </c>
      <c r="G133">
        <v>14</v>
      </c>
      <c r="H133" s="6">
        <f>FLOOR(tblPivotData[[#This Row],[Time]],Summary!$B$6/1440)</f>
        <v>0.57291666666666663</v>
      </c>
      <c r="I133">
        <f>INDEX(PeakCalc!$L$10:$L$303,MATCH(tblPivotData[[#This Row],[Time]],PeakCalc!$G$10:$G$303,0))</f>
        <v>1</v>
      </c>
    </row>
    <row r="134" spans="1:9" x14ac:dyDescent="0.3">
      <c r="A134" t="s">
        <v>93</v>
      </c>
      <c r="B134" t="s">
        <v>97</v>
      </c>
      <c r="C134" t="s">
        <v>94</v>
      </c>
      <c r="D134" t="s">
        <v>79</v>
      </c>
      <c r="E134" t="s">
        <v>44</v>
      </c>
      <c r="F134" s="6">
        <v>0.66666666666666663</v>
      </c>
      <c r="G134">
        <v>10</v>
      </c>
      <c r="H134" s="6">
        <f>FLOOR(tblPivotData[[#This Row],[Time]],Summary!$B$6/1440)</f>
        <v>0.66666666666666663</v>
      </c>
      <c r="I134">
        <f>INDEX(PeakCalc!$L$10:$L$303,MATCH(tblPivotData[[#This Row],[Time]],PeakCalc!$G$10:$G$303,0))</f>
        <v>0</v>
      </c>
    </row>
    <row r="135" spans="1:9" x14ac:dyDescent="0.3">
      <c r="A135" t="s">
        <v>93</v>
      </c>
      <c r="B135" t="s">
        <v>97</v>
      </c>
      <c r="C135" t="s">
        <v>94</v>
      </c>
      <c r="D135" t="s">
        <v>79</v>
      </c>
      <c r="E135" t="s">
        <v>44</v>
      </c>
      <c r="F135" s="6">
        <v>0.67708333333333337</v>
      </c>
      <c r="G135">
        <v>12</v>
      </c>
      <c r="H135" s="6">
        <f>FLOOR(tblPivotData[[#This Row],[Time]],Summary!$B$6/1440)</f>
        <v>0.67708333333333326</v>
      </c>
      <c r="I135">
        <f>INDEX(PeakCalc!$L$10:$L$303,MATCH(tblPivotData[[#This Row],[Time]],PeakCalc!$G$10:$G$303,0))</f>
        <v>0</v>
      </c>
    </row>
    <row r="136" spans="1:9" x14ac:dyDescent="0.3">
      <c r="A136" t="s">
        <v>93</v>
      </c>
      <c r="B136" t="s">
        <v>97</v>
      </c>
      <c r="C136" t="s">
        <v>94</v>
      </c>
      <c r="D136" t="s">
        <v>79</v>
      </c>
      <c r="E136" t="s">
        <v>44</v>
      </c>
      <c r="F136" s="6">
        <v>0.6875</v>
      </c>
      <c r="G136">
        <v>11</v>
      </c>
      <c r="H136" s="6">
        <f>FLOOR(tblPivotData[[#This Row],[Time]],Summary!$B$6/1440)</f>
        <v>0.6875</v>
      </c>
      <c r="I136">
        <f>INDEX(PeakCalc!$L$10:$L$303,MATCH(tblPivotData[[#This Row],[Time]],PeakCalc!$G$10:$G$303,0))</f>
        <v>1</v>
      </c>
    </row>
    <row r="137" spans="1:9" x14ac:dyDescent="0.3">
      <c r="A137" t="s">
        <v>93</v>
      </c>
      <c r="B137" t="s">
        <v>97</v>
      </c>
      <c r="C137" t="s">
        <v>94</v>
      </c>
      <c r="D137" t="s">
        <v>79</v>
      </c>
      <c r="E137" t="s">
        <v>44</v>
      </c>
      <c r="F137" s="6">
        <v>0.69791666666666663</v>
      </c>
      <c r="G137">
        <v>14</v>
      </c>
      <c r="H137" s="6">
        <f>FLOOR(tblPivotData[[#This Row],[Time]],Summary!$B$6/1440)</f>
        <v>0.69791666666666663</v>
      </c>
      <c r="I137">
        <f>INDEX(PeakCalc!$L$10:$L$303,MATCH(tblPivotData[[#This Row],[Time]],PeakCalc!$G$10:$G$303,0))</f>
        <v>1</v>
      </c>
    </row>
    <row r="138" spans="1:9" x14ac:dyDescent="0.3">
      <c r="A138" t="s">
        <v>93</v>
      </c>
      <c r="B138" t="s">
        <v>97</v>
      </c>
      <c r="C138" t="s">
        <v>94</v>
      </c>
      <c r="D138" t="s">
        <v>79</v>
      </c>
      <c r="E138" t="s">
        <v>44</v>
      </c>
      <c r="F138" s="6">
        <v>0.70833333333333337</v>
      </c>
      <c r="G138">
        <v>16</v>
      </c>
      <c r="H138" s="6">
        <f>FLOOR(tblPivotData[[#This Row],[Time]],Summary!$B$6/1440)</f>
        <v>0.70833333333333326</v>
      </c>
      <c r="I138">
        <f>INDEX(PeakCalc!$L$10:$L$303,MATCH(tblPivotData[[#This Row],[Time]],PeakCalc!$G$10:$G$303,0))</f>
        <v>1</v>
      </c>
    </row>
    <row r="139" spans="1:9" x14ac:dyDescent="0.3">
      <c r="A139" t="s">
        <v>93</v>
      </c>
      <c r="B139" t="s">
        <v>97</v>
      </c>
      <c r="C139" t="s">
        <v>94</v>
      </c>
      <c r="D139" t="s">
        <v>79</v>
      </c>
      <c r="E139" t="s">
        <v>44</v>
      </c>
      <c r="F139" s="6">
        <v>0.71875</v>
      </c>
      <c r="G139">
        <v>16</v>
      </c>
      <c r="H139" s="6">
        <f>FLOOR(tblPivotData[[#This Row],[Time]],Summary!$B$6/1440)</f>
        <v>0.71875</v>
      </c>
      <c r="I139">
        <f>INDEX(PeakCalc!$L$10:$L$303,MATCH(tblPivotData[[#This Row],[Time]],PeakCalc!$G$10:$G$303,0))</f>
        <v>1</v>
      </c>
    </row>
    <row r="140" spans="1:9" x14ac:dyDescent="0.3">
      <c r="A140" t="s">
        <v>93</v>
      </c>
      <c r="B140" t="s">
        <v>97</v>
      </c>
      <c r="C140" t="s">
        <v>94</v>
      </c>
      <c r="D140" t="s">
        <v>79</v>
      </c>
      <c r="E140" t="s">
        <v>44</v>
      </c>
      <c r="F140" s="6">
        <v>0.72916666666666663</v>
      </c>
      <c r="G140">
        <v>8</v>
      </c>
      <c r="H140" s="6">
        <f>FLOOR(tblPivotData[[#This Row],[Time]],Summary!$B$6/1440)</f>
        <v>0.72916666666666663</v>
      </c>
      <c r="I140">
        <f>INDEX(PeakCalc!$L$10:$L$303,MATCH(tblPivotData[[#This Row],[Time]],PeakCalc!$G$10:$G$303,0))</f>
        <v>0</v>
      </c>
    </row>
    <row r="141" spans="1:9" x14ac:dyDescent="0.3">
      <c r="A141" t="s">
        <v>93</v>
      </c>
      <c r="B141" t="s">
        <v>97</v>
      </c>
      <c r="C141" t="s">
        <v>94</v>
      </c>
      <c r="D141" t="s">
        <v>79</v>
      </c>
      <c r="E141" t="s">
        <v>44</v>
      </c>
      <c r="F141" s="6">
        <v>0.73958333333333337</v>
      </c>
      <c r="G141">
        <v>9</v>
      </c>
      <c r="H141" s="6">
        <f>FLOOR(tblPivotData[[#This Row],[Time]],Summary!$B$6/1440)</f>
        <v>0.73958333333333326</v>
      </c>
      <c r="I141">
        <f>INDEX(PeakCalc!$L$10:$L$303,MATCH(tblPivotData[[#This Row],[Time]],PeakCalc!$G$10:$G$303,0))</f>
        <v>0</v>
      </c>
    </row>
    <row r="142" spans="1:9" x14ac:dyDescent="0.3">
      <c r="A142" t="s">
        <v>93</v>
      </c>
      <c r="B142" t="s">
        <v>97</v>
      </c>
      <c r="C142" t="s">
        <v>94</v>
      </c>
      <c r="D142" t="s">
        <v>88</v>
      </c>
      <c r="E142" t="s">
        <v>43</v>
      </c>
      <c r="F142" s="6">
        <v>0.29166666666666669</v>
      </c>
      <c r="G142">
        <v>0</v>
      </c>
      <c r="H142" s="6">
        <f>FLOOR(tblPivotData[[#This Row],[Time]],Summary!$B$6/1440)</f>
        <v>0.29166666666666663</v>
      </c>
      <c r="I142">
        <f>INDEX(PeakCalc!$L$10:$L$303,MATCH(tblPivotData[[#This Row],[Time]],PeakCalc!$G$10:$G$303,0))</f>
        <v>0</v>
      </c>
    </row>
    <row r="143" spans="1:9" x14ac:dyDescent="0.3">
      <c r="A143" t="s">
        <v>93</v>
      </c>
      <c r="B143" t="s">
        <v>97</v>
      </c>
      <c r="C143" t="s">
        <v>94</v>
      </c>
      <c r="D143" t="s">
        <v>88</v>
      </c>
      <c r="E143" t="s">
        <v>43</v>
      </c>
      <c r="F143" s="6">
        <v>0.30208333333333331</v>
      </c>
      <c r="G143">
        <v>0</v>
      </c>
      <c r="H143" s="6">
        <f>FLOOR(tblPivotData[[#This Row],[Time]],Summary!$B$6/1440)</f>
        <v>0.30208333333333331</v>
      </c>
      <c r="I143">
        <f>INDEX(PeakCalc!$L$10:$L$303,MATCH(tblPivotData[[#This Row],[Time]],PeakCalc!$G$10:$G$303,0))</f>
        <v>0</v>
      </c>
    </row>
    <row r="144" spans="1:9" x14ac:dyDescent="0.3">
      <c r="A144" t="s">
        <v>93</v>
      </c>
      <c r="B144" t="s">
        <v>97</v>
      </c>
      <c r="C144" t="s">
        <v>94</v>
      </c>
      <c r="D144" t="s">
        <v>88</v>
      </c>
      <c r="E144" t="s">
        <v>43</v>
      </c>
      <c r="F144" s="6">
        <v>0.3125</v>
      </c>
      <c r="G144">
        <v>0</v>
      </c>
      <c r="H144" s="6">
        <f>FLOOR(tblPivotData[[#This Row],[Time]],Summary!$B$6/1440)</f>
        <v>0.3125</v>
      </c>
      <c r="I144">
        <f>INDEX(PeakCalc!$L$10:$L$303,MATCH(tblPivotData[[#This Row],[Time]],PeakCalc!$G$10:$G$303,0))</f>
        <v>0</v>
      </c>
    </row>
    <row r="145" spans="1:9" x14ac:dyDescent="0.3">
      <c r="A145" t="s">
        <v>93</v>
      </c>
      <c r="B145" t="s">
        <v>97</v>
      </c>
      <c r="C145" t="s">
        <v>94</v>
      </c>
      <c r="D145" t="s">
        <v>88</v>
      </c>
      <c r="E145" t="s">
        <v>43</v>
      </c>
      <c r="F145" s="6">
        <v>0.32291666666666669</v>
      </c>
      <c r="G145">
        <v>0</v>
      </c>
      <c r="H145" s="6">
        <f>FLOOR(tblPivotData[[#This Row],[Time]],Summary!$B$6/1440)</f>
        <v>0.32291666666666663</v>
      </c>
      <c r="I145">
        <f>INDEX(PeakCalc!$L$10:$L$303,MATCH(tblPivotData[[#This Row],[Time]],PeakCalc!$G$10:$G$303,0))</f>
        <v>0</v>
      </c>
    </row>
    <row r="146" spans="1:9" x14ac:dyDescent="0.3">
      <c r="A146" t="s">
        <v>93</v>
      </c>
      <c r="B146" t="s">
        <v>97</v>
      </c>
      <c r="C146" t="s">
        <v>94</v>
      </c>
      <c r="D146" t="s">
        <v>88</v>
      </c>
      <c r="E146" t="s">
        <v>43</v>
      </c>
      <c r="F146" s="6">
        <v>0.33333333333333331</v>
      </c>
      <c r="G146">
        <v>0</v>
      </c>
      <c r="H146" s="6">
        <f>FLOOR(tblPivotData[[#This Row],[Time]],Summary!$B$6/1440)</f>
        <v>0.33333333333333331</v>
      </c>
      <c r="I146">
        <f>INDEX(PeakCalc!$L$10:$L$303,MATCH(tblPivotData[[#This Row],[Time]],PeakCalc!$G$10:$G$303,0))</f>
        <v>1</v>
      </c>
    </row>
    <row r="147" spans="1:9" x14ac:dyDescent="0.3">
      <c r="A147" t="s">
        <v>93</v>
      </c>
      <c r="B147" t="s">
        <v>97</v>
      </c>
      <c r="C147" t="s">
        <v>94</v>
      </c>
      <c r="D147" t="s">
        <v>88</v>
      </c>
      <c r="E147" t="s">
        <v>43</v>
      </c>
      <c r="F147" s="6">
        <v>0.34375</v>
      </c>
      <c r="G147">
        <v>0</v>
      </c>
      <c r="H147" s="6">
        <f>FLOOR(tblPivotData[[#This Row],[Time]],Summary!$B$6/1440)</f>
        <v>0.34375</v>
      </c>
      <c r="I147">
        <f>INDEX(PeakCalc!$L$10:$L$303,MATCH(tblPivotData[[#This Row],[Time]],PeakCalc!$G$10:$G$303,0))</f>
        <v>1</v>
      </c>
    </row>
    <row r="148" spans="1:9" x14ac:dyDescent="0.3">
      <c r="A148" t="s">
        <v>93</v>
      </c>
      <c r="B148" t="s">
        <v>97</v>
      </c>
      <c r="C148" t="s">
        <v>94</v>
      </c>
      <c r="D148" t="s">
        <v>88</v>
      </c>
      <c r="E148" t="s">
        <v>43</v>
      </c>
      <c r="F148" s="6">
        <v>0.35416666666666669</v>
      </c>
      <c r="G148">
        <v>0</v>
      </c>
      <c r="H148" s="6">
        <f>FLOOR(tblPivotData[[#This Row],[Time]],Summary!$B$6/1440)</f>
        <v>0.35416666666666663</v>
      </c>
      <c r="I148">
        <f>INDEX(PeakCalc!$L$10:$L$303,MATCH(tblPivotData[[#This Row],[Time]],PeakCalc!$G$10:$G$303,0))</f>
        <v>1</v>
      </c>
    </row>
    <row r="149" spans="1:9" x14ac:dyDescent="0.3">
      <c r="A149" t="s">
        <v>93</v>
      </c>
      <c r="B149" t="s">
        <v>97</v>
      </c>
      <c r="C149" t="s">
        <v>94</v>
      </c>
      <c r="D149" t="s">
        <v>88</v>
      </c>
      <c r="E149" t="s">
        <v>43</v>
      </c>
      <c r="F149" s="6">
        <v>0.36458333333333331</v>
      </c>
      <c r="G149">
        <v>1</v>
      </c>
      <c r="H149" s="6">
        <f>FLOOR(tblPivotData[[#This Row],[Time]],Summary!$B$6/1440)</f>
        <v>0.36458333333333331</v>
      </c>
      <c r="I149">
        <f>INDEX(PeakCalc!$L$10:$L$303,MATCH(tblPivotData[[#This Row],[Time]],PeakCalc!$G$10:$G$303,0))</f>
        <v>1</v>
      </c>
    </row>
    <row r="150" spans="1:9" x14ac:dyDescent="0.3">
      <c r="A150" t="s">
        <v>93</v>
      </c>
      <c r="B150" t="s">
        <v>97</v>
      </c>
      <c r="C150" t="s">
        <v>94</v>
      </c>
      <c r="D150" t="s">
        <v>88</v>
      </c>
      <c r="E150" t="s">
        <v>90</v>
      </c>
      <c r="F150" s="6">
        <v>0.54166666666666663</v>
      </c>
      <c r="G150">
        <v>0</v>
      </c>
      <c r="H150" s="6">
        <f>FLOOR(tblPivotData[[#This Row],[Time]],Summary!$B$6/1440)</f>
        <v>0.54166666666666663</v>
      </c>
      <c r="I150">
        <f>INDEX(PeakCalc!$L$10:$L$303,MATCH(tblPivotData[[#This Row],[Time]],PeakCalc!$G$10:$G$303,0))</f>
        <v>1</v>
      </c>
    </row>
    <row r="151" spans="1:9" x14ac:dyDescent="0.3">
      <c r="A151" t="s">
        <v>93</v>
      </c>
      <c r="B151" t="s">
        <v>97</v>
      </c>
      <c r="C151" t="s">
        <v>94</v>
      </c>
      <c r="D151" t="s">
        <v>88</v>
      </c>
      <c r="E151" t="s">
        <v>90</v>
      </c>
      <c r="F151" s="6">
        <v>0.55208333333333337</v>
      </c>
      <c r="G151">
        <v>0</v>
      </c>
      <c r="H151" s="6">
        <f>FLOOR(tblPivotData[[#This Row],[Time]],Summary!$B$6/1440)</f>
        <v>0.55208333333333326</v>
      </c>
      <c r="I151">
        <f>INDEX(PeakCalc!$L$10:$L$303,MATCH(tblPivotData[[#This Row],[Time]],PeakCalc!$G$10:$G$303,0))</f>
        <v>1</v>
      </c>
    </row>
    <row r="152" spans="1:9" x14ac:dyDescent="0.3">
      <c r="A152" t="s">
        <v>93</v>
      </c>
      <c r="B152" t="s">
        <v>97</v>
      </c>
      <c r="C152" t="s">
        <v>94</v>
      </c>
      <c r="D152" t="s">
        <v>88</v>
      </c>
      <c r="E152" t="s">
        <v>90</v>
      </c>
      <c r="F152" s="6">
        <v>0.5625</v>
      </c>
      <c r="G152">
        <v>0</v>
      </c>
      <c r="H152" s="6">
        <f>FLOOR(tblPivotData[[#This Row],[Time]],Summary!$B$6/1440)</f>
        <v>0.5625</v>
      </c>
      <c r="I152">
        <f>INDEX(PeakCalc!$L$10:$L$303,MATCH(tblPivotData[[#This Row],[Time]],PeakCalc!$G$10:$G$303,0))</f>
        <v>1</v>
      </c>
    </row>
    <row r="153" spans="1:9" x14ac:dyDescent="0.3">
      <c r="A153" t="s">
        <v>93</v>
      </c>
      <c r="B153" t="s">
        <v>97</v>
      </c>
      <c r="C153" t="s">
        <v>94</v>
      </c>
      <c r="D153" t="s">
        <v>88</v>
      </c>
      <c r="E153" t="s">
        <v>90</v>
      </c>
      <c r="F153" s="6">
        <v>0.57291666666666663</v>
      </c>
      <c r="G153">
        <v>0</v>
      </c>
      <c r="H153" s="6">
        <f>FLOOR(tblPivotData[[#This Row],[Time]],Summary!$B$6/1440)</f>
        <v>0.57291666666666663</v>
      </c>
      <c r="I153">
        <f>INDEX(PeakCalc!$L$10:$L$303,MATCH(tblPivotData[[#This Row],[Time]],PeakCalc!$G$10:$G$303,0))</f>
        <v>1</v>
      </c>
    </row>
    <row r="154" spans="1:9" x14ac:dyDescent="0.3">
      <c r="A154" t="s">
        <v>93</v>
      </c>
      <c r="B154" t="s">
        <v>97</v>
      </c>
      <c r="C154" t="s">
        <v>94</v>
      </c>
      <c r="D154" t="s">
        <v>88</v>
      </c>
      <c r="E154" t="s">
        <v>44</v>
      </c>
      <c r="F154" s="6">
        <v>0.66666666666666663</v>
      </c>
      <c r="G154">
        <v>0</v>
      </c>
      <c r="H154" s="6">
        <f>FLOOR(tblPivotData[[#This Row],[Time]],Summary!$B$6/1440)</f>
        <v>0.66666666666666663</v>
      </c>
      <c r="I154">
        <f>INDEX(PeakCalc!$L$10:$L$303,MATCH(tblPivotData[[#This Row],[Time]],PeakCalc!$G$10:$G$303,0))</f>
        <v>0</v>
      </c>
    </row>
    <row r="155" spans="1:9" x14ac:dyDescent="0.3">
      <c r="A155" t="s">
        <v>93</v>
      </c>
      <c r="B155" t="s">
        <v>97</v>
      </c>
      <c r="C155" t="s">
        <v>94</v>
      </c>
      <c r="D155" t="s">
        <v>88</v>
      </c>
      <c r="E155" t="s">
        <v>44</v>
      </c>
      <c r="F155" s="6">
        <v>0.67708333333333337</v>
      </c>
      <c r="G155">
        <v>0</v>
      </c>
      <c r="H155" s="6">
        <f>FLOOR(tblPivotData[[#This Row],[Time]],Summary!$B$6/1440)</f>
        <v>0.67708333333333326</v>
      </c>
      <c r="I155">
        <f>INDEX(PeakCalc!$L$10:$L$303,MATCH(tblPivotData[[#This Row],[Time]],PeakCalc!$G$10:$G$303,0))</f>
        <v>0</v>
      </c>
    </row>
    <row r="156" spans="1:9" x14ac:dyDescent="0.3">
      <c r="A156" t="s">
        <v>93</v>
      </c>
      <c r="B156" t="s">
        <v>97</v>
      </c>
      <c r="C156" t="s">
        <v>94</v>
      </c>
      <c r="D156" t="s">
        <v>88</v>
      </c>
      <c r="E156" t="s">
        <v>44</v>
      </c>
      <c r="F156" s="6">
        <v>0.6875</v>
      </c>
      <c r="G156">
        <v>0</v>
      </c>
      <c r="H156" s="6">
        <f>FLOOR(tblPivotData[[#This Row],[Time]],Summary!$B$6/1440)</f>
        <v>0.6875</v>
      </c>
      <c r="I156">
        <f>INDEX(PeakCalc!$L$10:$L$303,MATCH(tblPivotData[[#This Row],[Time]],PeakCalc!$G$10:$G$303,0))</f>
        <v>1</v>
      </c>
    </row>
    <row r="157" spans="1:9" x14ac:dyDescent="0.3">
      <c r="A157" t="s">
        <v>93</v>
      </c>
      <c r="B157" t="s">
        <v>97</v>
      </c>
      <c r="C157" t="s">
        <v>94</v>
      </c>
      <c r="D157" t="s">
        <v>88</v>
      </c>
      <c r="E157" t="s">
        <v>44</v>
      </c>
      <c r="F157" s="6">
        <v>0.69791666666666663</v>
      </c>
      <c r="G157">
        <v>0</v>
      </c>
      <c r="H157" s="6">
        <f>FLOOR(tblPivotData[[#This Row],[Time]],Summary!$B$6/1440)</f>
        <v>0.69791666666666663</v>
      </c>
      <c r="I157">
        <f>INDEX(PeakCalc!$L$10:$L$303,MATCH(tblPivotData[[#This Row],[Time]],PeakCalc!$G$10:$G$303,0))</f>
        <v>1</v>
      </c>
    </row>
    <row r="158" spans="1:9" x14ac:dyDescent="0.3">
      <c r="A158" t="s">
        <v>93</v>
      </c>
      <c r="B158" t="s">
        <v>97</v>
      </c>
      <c r="C158" t="s">
        <v>94</v>
      </c>
      <c r="D158" t="s">
        <v>88</v>
      </c>
      <c r="E158" t="s">
        <v>44</v>
      </c>
      <c r="F158" s="6">
        <v>0.70833333333333337</v>
      </c>
      <c r="G158">
        <v>0</v>
      </c>
      <c r="H158" s="6">
        <f>FLOOR(tblPivotData[[#This Row],[Time]],Summary!$B$6/1440)</f>
        <v>0.70833333333333326</v>
      </c>
      <c r="I158">
        <f>INDEX(PeakCalc!$L$10:$L$303,MATCH(tblPivotData[[#This Row],[Time]],PeakCalc!$G$10:$G$303,0))</f>
        <v>1</v>
      </c>
    </row>
    <row r="159" spans="1:9" x14ac:dyDescent="0.3">
      <c r="A159" t="s">
        <v>93</v>
      </c>
      <c r="B159" t="s">
        <v>97</v>
      </c>
      <c r="C159" t="s">
        <v>94</v>
      </c>
      <c r="D159" t="s">
        <v>88</v>
      </c>
      <c r="E159" t="s">
        <v>44</v>
      </c>
      <c r="F159" s="6">
        <v>0.71875</v>
      </c>
      <c r="G159">
        <v>0</v>
      </c>
      <c r="H159" s="6">
        <f>FLOOR(tblPivotData[[#This Row],[Time]],Summary!$B$6/1440)</f>
        <v>0.71875</v>
      </c>
      <c r="I159">
        <f>INDEX(PeakCalc!$L$10:$L$303,MATCH(tblPivotData[[#This Row],[Time]],PeakCalc!$G$10:$G$303,0))</f>
        <v>1</v>
      </c>
    </row>
    <row r="160" spans="1:9" x14ac:dyDescent="0.3">
      <c r="A160" t="s">
        <v>93</v>
      </c>
      <c r="B160" t="s">
        <v>97</v>
      </c>
      <c r="C160" t="s">
        <v>94</v>
      </c>
      <c r="D160" t="s">
        <v>88</v>
      </c>
      <c r="E160" t="s">
        <v>44</v>
      </c>
      <c r="F160" s="6">
        <v>0.72916666666666663</v>
      </c>
      <c r="G160">
        <v>0</v>
      </c>
      <c r="H160" s="6">
        <f>FLOOR(tblPivotData[[#This Row],[Time]],Summary!$B$6/1440)</f>
        <v>0.72916666666666663</v>
      </c>
      <c r="I160">
        <f>INDEX(PeakCalc!$L$10:$L$303,MATCH(tblPivotData[[#This Row],[Time]],PeakCalc!$G$10:$G$303,0))</f>
        <v>0</v>
      </c>
    </row>
    <row r="161" spans="1:9" x14ac:dyDescent="0.3">
      <c r="A161" t="s">
        <v>93</v>
      </c>
      <c r="B161" t="s">
        <v>97</v>
      </c>
      <c r="C161" t="s">
        <v>94</v>
      </c>
      <c r="D161" t="s">
        <v>88</v>
      </c>
      <c r="E161" t="s">
        <v>44</v>
      </c>
      <c r="F161" s="6">
        <v>0.73958333333333337</v>
      </c>
      <c r="G161">
        <v>0</v>
      </c>
      <c r="H161" s="6">
        <f>FLOOR(tblPivotData[[#This Row],[Time]],Summary!$B$6/1440)</f>
        <v>0.73958333333333326</v>
      </c>
      <c r="I161">
        <f>INDEX(PeakCalc!$L$10:$L$303,MATCH(tblPivotData[[#This Row],[Time]],PeakCalc!$G$10:$G$303,0))</f>
        <v>0</v>
      </c>
    </row>
    <row r="162" spans="1:9" x14ac:dyDescent="0.3">
      <c r="A162" t="s">
        <v>93</v>
      </c>
      <c r="B162" t="s">
        <v>97</v>
      </c>
      <c r="C162" t="s">
        <v>94</v>
      </c>
      <c r="D162" t="s">
        <v>89</v>
      </c>
      <c r="E162" t="s">
        <v>43</v>
      </c>
      <c r="F162" s="6">
        <v>0.29166666666666669</v>
      </c>
      <c r="G162">
        <v>2</v>
      </c>
      <c r="H162" s="6">
        <f>FLOOR(tblPivotData[[#This Row],[Time]],Summary!$B$6/1440)</f>
        <v>0.29166666666666663</v>
      </c>
      <c r="I162">
        <f>INDEX(PeakCalc!$L$10:$L$303,MATCH(tblPivotData[[#This Row],[Time]],PeakCalc!$G$10:$G$303,0))</f>
        <v>0</v>
      </c>
    </row>
    <row r="163" spans="1:9" x14ac:dyDescent="0.3">
      <c r="A163" t="s">
        <v>93</v>
      </c>
      <c r="B163" t="s">
        <v>97</v>
      </c>
      <c r="C163" t="s">
        <v>94</v>
      </c>
      <c r="D163" t="s">
        <v>89</v>
      </c>
      <c r="E163" t="s">
        <v>43</v>
      </c>
      <c r="F163" s="6">
        <v>0.30208333333333331</v>
      </c>
      <c r="G163">
        <v>1</v>
      </c>
      <c r="H163" s="6">
        <f>FLOOR(tblPivotData[[#This Row],[Time]],Summary!$B$6/1440)</f>
        <v>0.30208333333333331</v>
      </c>
      <c r="I163">
        <f>INDEX(PeakCalc!$L$10:$L$303,MATCH(tblPivotData[[#This Row],[Time]],PeakCalc!$G$10:$G$303,0))</f>
        <v>0</v>
      </c>
    </row>
    <row r="164" spans="1:9" x14ac:dyDescent="0.3">
      <c r="A164" t="s">
        <v>93</v>
      </c>
      <c r="B164" t="s">
        <v>97</v>
      </c>
      <c r="C164" t="s">
        <v>94</v>
      </c>
      <c r="D164" t="s">
        <v>89</v>
      </c>
      <c r="E164" t="s">
        <v>43</v>
      </c>
      <c r="F164" s="6">
        <v>0.3125</v>
      </c>
      <c r="G164">
        <v>3</v>
      </c>
      <c r="H164" s="6">
        <f>FLOOR(tblPivotData[[#This Row],[Time]],Summary!$B$6/1440)</f>
        <v>0.3125</v>
      </c>
      <c r="I164">
        <f>INDEX(PeakCalc!$L$10:$L$303,MATCH(tblPivotData[[#This Row],[Time]],PeakCalc!$G$10:$G$303,0))</f>
        <v>0</v>
      </c>
    </row>
    <row r="165" spans="1:9" x14ac:dyDescent="0.3">
      <c r="A165" t="s">
        <v>93</v>
      </c>
      <c r="B165" t="s">
        <v>97</v>
      </c>
      <c r="C165" t="s">
        <v>94</v>
      </c>
      <c r="D165" t="s">
        <v>89</v>
      </c>
      <c r="E165" t="s">
        <v>43</v>
      </c>
      <c r="F165" s="6">
        <v>0.32291666666666669</v>
      </c>
      <c r="G165">
        <v>2</v>
      </c>
      <c r="H165" s="6">
        <f>FLOOR(tblPivotData[[#This Row],[Time]],Summary!$B$6/1440)</f>
        <v>0.32291666666666663</v>
      </c>
      <c r="I165">
        <f>INDEX(PeakCalc!$L$10:$L$303,MATCH(tblPivotData[[#This Row],[Time]],PeakCalc!$G$10:$G$303,0))</f>
        <v>0</v>
      </c>
    </row>
    <row r="166" spans="1:9" x14ac:dyDescent="0.3">
      <c r="A166" t="s">
        <v>93</v>
      </c>
      <c r="B166" t="s">
        <v>97</v>
      </c>
      <c r="C166" t="s">
        <v>94</v>
      </c>
      <c r="D166" t="s">
        <v>89</v>
      </c>
      <c r="E166" t="s">
        <v>43</v>
      </c>
      <c r="F166" s="6">
        <v>0.33333333333333331</v>
      </c>
      <c r="G166">
        <v>1</v>
      </c>
      <c r="H166" s="6">
        <f>FLOOR(tblPivotData[[#This Row],[Time]],Summary!$B$6/1440)</f>
        <v>0.33333333333333331</v>
      </c>
      <c r="I166">
        <f>INDEX(PeakCalc!$L$10:$L$303,MATCH(tblPivotData[[#This Row],[Time]],PeakCalc!$G$10:$G$303,0))</f>
        <v>1</v>
      </c>
    </row>
    <row r="167" spans="1:9" x14ac:dyDescent="0.3">
      <c r="A167" t="s">
        <v>93</v>
      </c>
      <c r="B167" t="s">
        <v>97</v>
      </c>
      <c r="C167" t="s">
        <v>94</v>
      </c>
      <c r="D167" t="s">
        <v>89</v>
      </c>
      <c r="E167" t="s">
        <v>43</v>
      </c>
      <c r="F167" s="6">
        <v>0.34375</v>
      </c>
      <c r="G167">
        <v>3</v>
      </c>
      <c r="H167" s="6">
        <f>FLOOR(tblPivotData[[#This Row],[Time]],Summary!$B$6/1440)</f>
        <v>0.34375</v>
      </c>
      <c r="I167">
        <f>INDEX(PeakCalc!$L$10:$L$303,MATCH(tblPivotData[[#This Row],[Time]],PeakCalc!$G$10:$G$303,0))</f>
        <v>1</v>
      </c>
    </row>
    <row r="168" spans="1:9" x14ac:dyDescent="0.3">
      <c r="A168" t="s">
        <v>93</v>
      </c>
      <c r="B168" t="s">
        <v>97</v>
      </c>
      <c r="C168" t="s">
        <v>94</v>
      </c>
      <c r="D168" t="s">
        <v>89</v>
      </c>
      <c r="E168" t="s">
        <v>43</v>
      </c>
      <c r="F168" s="6">
        <v>0.35416666666666669</v>
      </c>
      <c r="G168">
        <v>2</v>
      </c>
      <c r="H168" s="6">
        <f>FLOOR(tblPivotData[[#This Row],[Time]],Summary!$B$6/1440)</f>
        <v>0.35416666666666663</v>
      </c>
      <c r="I168">
        <f>INDEX(PeakCalc!$L$10:$L$303,MATCH(tblPivotData[[#This Row],[Time]],PeakCalc!$G$10:$G$303,0))</f>
        <v>1</v>
      </c>
    </row>
    <row r="169" spans="1:9" x14ac:dyDescent="0.3">
      <c r="A169" t="s">
        <v>93</v>
      </c>
      <c r="B169" t="s">
        <v>97</v>
      </c>
      <c r="C169" t="s">
        <v>94</v>
      </c>
      <c r="D169" t="s">
        <v>89</v>
      </c>
      <c r="E169" t="s">
        <v>43</v>
      </c>
      <c r="F169" s="6">
        <v>0.36458333333333331</v>
      </c>
      <c r="G169">
        <v>0</v>
      </c>
      <c r="H169" s="6">
        <f>FLOOR(tblPivotData[[#This Row],[Time]],Summary!$B$6/1440)</f>
        <v>0.36458333333333331</v>
      </c>
      <c r="I169">
        <f>INDEX(PeakCalc!$L$10:$L$303,MATCH(tblPivotData[[#This Row],[Time]],PeakCalc!$G$10:$G$303,0))</f>
        <v>1</v>
      </c>
    </row>
    <row r="170" spans="1:9" x14ac:dyDescent="0.3">
      <c r="A170" t="s">
        <v>93</v>
      </c>
      <c r="B170" t="s">
        <v>97</v>
      </c>
      <c r="C170" t="s">
        <v>94</v>
      </c>
      <c r="D170" t="s">
        <v>89</v>
      </c>
      <c r="E170" t="s">
        <v>90</v>
      </c>
      <c r="F170" s="6">
        <v>0.54166666666666663</v>
      </c>
      <c r="G170">
        <v>0</v>
      </c>
      <c r="H170" s="6">
        <f>FLOOR(tblPivotData[[#This Row],[Time]],Summary!$B$6/1440)</f>
        <v>0.54166666666666663</v>
      </c>
      <c r="I170">
        <f>INDEX(PeakCalc!$L$10:$L$303,MATCH(tblPivotData[[#This Row],[Time]],PeakCalc!$G$10:$G$303,0))</f>
        <v>1</v>
      </c>
    </row>
    <row r="171" spans="1:9" x14ac:dyDescent="0.3">
      <c r="A171" t="s">
        <v>93</v>
      </c>
      <c r="B171" t="s">
        <v>97</v>
      </c>
      <c r="C171" t="s">
        <v>94</v>
      </c>
      <c r="D171" t="s">
        <v>89</v>
      </c>
      <c r="E171" t="s">
        <v>90</v>
      </c>
      <c r="F171" s="6">
        <v>0.55208333333333337</v>
      </c>
      <c r="G171">
        <v>0</v>
      </c>
      <c r="H171" s="6">
        <f>FLOOR(tblPivotData[[#This Row],[Time]],Summary!$B$6/1440)</f>
        <v>0.55208333333333326</v>
      </c>
      <c r="I171">
        <f>INDEX(PeakCalc!$L$10:$L$303,MATCH(tblPivotData[[#This Row],[Time]],PeakCalc!$G$10:$G$303,0))</f>
        <v>1</v>
      </c>
    </row>
    <row r="172" spans="1:9" x14ac:dyDescent="0.3">
      <c r="A172" t="s">
        <v>93</v>
      </c>
      <c r="B172" t="s">
        <v>97</v>
      </c>
      <c r="C172" t="s">
        <v>94</v>
      </c>
      <c r="D172" t="s">
        <v>89</v>
      </c>
      <c r="E172" t="s">
        <v>90</v>
      </c>
      <c r="F172" s="6">
        <v>0.5625</v>
      </c>
      <c r="G172">
        <v>1</v>
      </c>
      <c r="H172" s="6">
        <f>FLOOR(tblPivotData[[#This Row],[Time]],Summary!$B$6/1440)</f>
        <v>0.5625</v>
      </c>
      <c r="I172">
        <f>INDEX(PeakCalc!$L$10:$L$303,MATCH(tblPivotData[[#This Row],[Time]],PeakCalc!$G$10:$G$303,0))</f>
        <v>1</v>
      </c>
    </row>
    <row r="173" spans="1:9" x14ac:dyDescent="0.3">
      <c r="A173" t="s">
        <v>93</v>
      </c>
      <c r="B173" t="s">
        <v>97</v>
      </c>
      <c r="C173" t="s">
        <v>94</v>
      </c>
      <c r="D173" t="s">
        <v>89</v>
      </c>
      <c r="E173" t="s">
        <v>90</v>
      </c>
      <c r="F173" s="6">
        <v>0.57291666666666663</v>
      </c>
      <c r="G173">
        <v>0</v>
      </c>
      <c r="H173" s="6">
        <f>FLOOR(tblPivotData[[#This Row],[Time]],Summary!$B$6/1440)</f>
        <v>0.57291666666666663</v>
      </c>
      <c r="I173">
        <f>INDEX(PeakCalc!$L$10:$L$303,MATCH(tblPivotData[[#This Row],[Time]],PeakCalc!$G$10:$G$303,0))</f>
        <v>1</v>
      </c>
    </row>
    <row r="174" spans="1:9" x14ac:dyDescent="0.3">
      <c r="A174" t="s">
        <v>93</v>
      </c>
      <c r="B174" t="s">
        <v>97</v>
      </c>
      <c r="C174" t="s">
        <v>94</v>
      </c>
      <c r="D174" t="s">
        <v>89</v>
      </c>
      <c r="E174" t="s">
        <v>44</v>
      </c>
      <c r="F174" s="6">
        <v>0.66666666666666663</v>
      </c>
      <c r="G174">
        <v>0</v>
      </c>
      <c r="H174" s="6">
        <f>FLOOR(tblPivotData[[#This Row],[Time]],Summary!$B$6/1440)</f>
        <v>0.66666666666666663</v>
      </c>
      <c r="I174">
        <f>INDEX(PeakCalc!$L$10:$L$303,MATCH(tblPivotData[[#This Row],[Time]],PeakCalc!$G$10:$G$303,0))</f>
        <v>0</v>
      </c>
    </row>
    <row r="175" spans="1:9" x14ac:dyDescent="0.3">
      <c r="A175" t="s">
        <v>93</v>
      </c>
      <c r="B175" t="s">
        <v>97</v>
      </c>
      <c r="C175" t="s">
        <v>94</v>
      </c>
      <c r="D175" t="s">
        <v>89</v>
      </c>
      <c r="E175" t="s">
        <v>44</v>
      </c>
      <c r="F175" s="6">
        <v>0.67708333333333337</v>
      </c>
      <c r="G175">
        <v>0</v>
      </c>
      <c r="H175" s="6">
        <f>FLOOR(tblPivotData[[#This Row],[Time]],Summary!$B$6/1440)</f>
        <v>0.67708333333333326</v>
      </c>
      <c r="I175">
        <f>INDEX(PeakCalc!$L$10:$L$303,MATCH(tblPivotData[[#This Row],[Time]],PeakCalc!$G$10:$G$303,0))</f>
        <v>0</v>
      </c>
    </row>
    <row r="176" spans="1:9" x14ac:dyDescent="0.3">
      <c r="A176" t="s">
        <v>93</v>
      </c>
      <c r="B176" t="s">
        <v>97</v>
      </c>
      <c r="C176" t="s">
        <v>94</v>
      </c>
      <c r="D176" t="s">
        <v>89</v>
      </c>
      <c r="E176" t="s">
        <v>44</v>
      </c>
      <c r="F176" s="6">
        <v>0.6875</v>
      </c>
      <c r="G176">
        <v>1</v>
      </c>
      <c r="H176" s="6">
        <f>FLOOR(tblPivotData[[#This Row],[Time]],Summary!$B$6/1440)</f>
        <v>0.6875</v>
      </c>
      <c r="I176">
        <f>INDEX(PeakCalc!$L$10:$L$303,MATCH(tblPivotData[[#This Row],[Time]],PeakCalc!$G$10:$G$303,0))</f>
        <v>1</v>
      </c>
    </row>
    <row r="177" spans="1:9" x14ac:dyDescent="0.3">
      <c r="A177" t="s">
        <v>93</v>
      </c>
      <c r="B177" t="s">
        <v>97</v>
      </c>
      <c r="C177" t="s">
        <v>94</v>
      </c>
      <c r="D177" t="s">
        <v>89</v>
      </c>
      <c r="E177" t="s">
        <v>44</v>
      </c>
      <c r="F177" s="6">
        <v>0.69791666666666663</v>
      </c>
      <c r="G177">
        <v>1</v>
      </c>
      <c r="H177" s="6">
        <f>FLOOR(tblPivotData[[#This Row],[Time]],Summary!$B$6/1440)</f>
        <v>0.69791666666666663</v>
      </c>
      <c r="I177">
        <f>INDEX(PeakCalc!$L$10:$L$303,MATCH(tblPivotData[[#This Row],[Time]],PeakCalc!$G$10:$G$303,0))</f>
        <v>1</v>
      </c>
    </row>
    <row r="178" spans="1:9" x14ac:dyDescent="0.3">
      <c r="A178" t="s">
        <v>93</v>
      </c>
      <c r="B178" t="s">
        <v>97</v>
      </c>
      <c r="C178" t="s">
        <v>94</v>
      </c>
      <c r="D178" t="s">
        <v>89</v>
      </c>
      <c r="E178" t="s">
        <v>44</v>
      </c>
      <c r="F178" s="6">
        <v>0.70833333333333337</v>
      </c>
      <c r="G178">
        <v>0</v>
      </c>
      <c r="H178" s="6">
        <f>FLOOR(tblPivotData[[#This Row],[Time]],Summary!$B$6/1440)</f>
        <v>0.70833333333333326</v>
      </c>
      <c r="I178">
        <f>INDEX(PeakCalc!$L$10:$L$303,MATCH(tblPivotData[[#This Row],[Time]],PeakCalc!$G$10:$G$303,0))</f>
        <v>1</v>
      </c>
    </row>
    <row r="179" spans="1:9" x14ac:dyDescent="0.3">
      <c r="A179" t="s">
        <v>93</v>
      </c>
      <c r="B179" t="s">
        <v>97</v>
      </c>
      <c r="C179" t="s">
        <v>94</v>
      </c>
      <c r="D179" t="s">
        <v>89</v>
      </c>
      <c r="E179" t="s">
        <v>44</v>
      </c>
      <c r="F179" s="6">
        <v>0.71875</v>
      </c>
      <c r="G179">
        <v>0</v>
      </c>
      <c r="H179" s="6">
        <f>FLOOR(tblPivotData[[#This Row],[Time]],Summary!$B$6/1440)</f>
        <v>0.71875</v>
      </c>
      <c r="I179">
        <f>INDEX(PeakCalc!$L$10:$L$303,MATCH(tblPivotData[[#This Row],[Time]],PeakCalc!$G$10:$G$303,0))</f>
        <v>1</v>
      </c>
    </row>
    <row r="180" spans="1:9" x14ac:dyDescent="0.3">
      <c r="A180" t="s">
        <v>93</v>
      </c>
      <c r="B180" t="s">
        <v>97</v>
      </c>
      <c r="C180" t="s">
        <v>94</v>
      </c>
      <c r="D180" t="s">
        <v>89</v>
      </c>
      <c r="E180" t="s">
        <v>44</v>
      </c>
      <c r="F180" s="6">
        <v>0.72916666666666663</v>
      </c>
      <c r="G180">
        <v>0</v>
      </c>
      <c r="H180" s="6">
        <f>FLOOR(tblPivotData[[#This Row],[Time]],Summary!$B$6/1440)</f>
        <v>0.72916666666666663</v>
      </c>
      <c r="I180">
        <f>INDEX(PeakCalc!$L$10:$L$303,MATCH(tblPivotData[[#This Row],[Time]],PeakCalc!$G$10:$G$303,0))</f>
        <v>0</v>
      </c>
    </row>
    <row r="181" spans="1:9" x14ac:dyDescent="0.3">
      <c r="A181" t="s">
        <v>93</v>
      </c>
      <c r="B181" t="s">
        <v>97</v>
      </c>
      <c r="C181" t="s">
        <v>94</v>
      </c>
      <c r="D181" t="s">
        <v>89</v>
      </c>
      <c r="E181" t="s">
        <v>44</v>
      </c>
      <c r="F181" s="6">
        <v>0.73958333333333337</v>
      </c>
      <c r="G181">
        <v>1</v>
      </c>
      <c r="H181" s="6">
        <f>FLOOR(tblPivotData[[#This Row],[Time]],Summary!$B$6/1440)</f>
        <v>0.73958333333333326</v>
      </c>
      <c r="I181">
        <f>INDEX(PeakCalc!$L$10:$L$303,MATCH(tblPivotData[[#This Row],[Time]],PeakCalc!$G$10:$G$303,0))</f>
        <v>0</v>
      </c>
    </row>
    <row r="182" spans="1:9" x14ac:dyDescent="0.3">
      <c r="A182" t="s">
        <v>93</v>
      </c>
      <c r="B182" t="s">
        <v>98</v>
      </c>
      <c r="C182" t="s">
        <v>92</v>
      </c>
      <c r="D182" t="s">
        <v>79</v>
      </c>
      <c r="E182" t="s">
        <v>43</v>
      </c>
      <c r="F182" s="6">
        <v>0.29166666666666669</v>
      </c>
      <c r="G182">
        <v>1</v>
      </c>
      <c r="H182" s="6">
        <f>FLOOR(tblPivotData[[#This Row],[Time]],Summary!$B$6/1440)</f>
        <v>0.29166666666666663</v>
      </c>
      <c r="I182">
        <f>INDEX(PeakCalc!$L$10:$L$303,MATCH(tblPivotData[[#This Row],[Time]],PeakCalc!$G$10:$G$303,0))</f>
        <v>0</v>
      </c>
    </row>
    <row r="183" spans="1:9" x14ac:dyDescent="0.3">
      <c r="A183" t="s">
        <v>93</v>
      </c>
      <c r="B183" t="s">
        <v>98</v>
      </c>
      <c r="C183" t="s">
        <v>92</v>
      </c>
      <c r="D183" t="s">
        <v>79</v>
      </c>
      <c r="E183" t="s">
        <v>43</v>
      </c>
      <c r="F183" s="6">
        <v>0.30208333333333331</v>
      </c>
      <c r="G183">
        <v>2</v>
      </c>
      <c r="H183" s="6">
        <f>FLOOR(tblPivotData[[#This Row],[Time]],Summary!$B$6/1440)</f>
        <v>0.30208333333333331</v>
      </c>
      <c r="I183">
        <f>INDEX(PeakCalc!$L$10:$L$303,MATCH(tblPivotData[[#This Row],[Time]],PeakCalc!$G$10:$G$303,0))</f>
        <v>0</v>
      </c>
    </row>
    <row r="184" spans="1:9" x14ac:dyDescent="0.3">
      <c r="A184" t="s">
        <v>93</v>
      </c>
      <c r="B184" t="s">
        <v>98</v>
      </c>
      <c r="C184" t="s">
        <v>92</v>
      </c>
      <c r="D184" t="s">
        <v>79</v>
      </c>
      <c r="E184" t="s">
        <v>43</v>
      </c>
      <c r="F184" s="6">
        <v>0.3125</v>
      </c>
      <c r="G184">
        <v>2</v>
      </c>
      <c r="H184" s="6">
        <f>FLOOR(tblPivotData[[#This Row],[Time]],Summary!$B$6/1440)</f>
        <v>0.3125</v>
      </c>
      <c r="I184">
        <f>INDEX(PeakCalc!$L$10:$L$303,MATCH(tblPivotData[[#This Row],[Time]],PeakCalc!$G$10:$G$303,0))</f>
        <v>0</v>
      </c>
    </row>
    <row r="185" spans="1:9" x14ac:dyDescent="0.3">
      <c r="A185" t="s">
        <v>93</v>
      </c>
      <c r="B185" t="s">
        <v>98</v>
      </c>
      <c r="C185" t="s">
        <v>92</v>
      </c>
      <c r="D185" t="s">
        <v>79</v>
      </c>
      <c r="E185" t="s">
        <v>43</v>
      </c>
      <c r="F185" s="6">
        <v>0.32291666666666669</v>
      </c>
      <c r="G185">
        <v>1</v>
      </c>
      <c r="H185" s="6">
        <f>FLOOR(tblPivotData[[#This Row],[Time]],Summary!$B$6/1440)</f>
        <v>0.32291666666666663</v>
      </c>
      <c r="I185">
        <f>INDEX(PeakCalc!$L$10:$L$303,MATCH(tblPivotData[[#This Row],[Time]],PeakCalc!$G$10:$G$303,0))</f>
        <v>0</v>
      </c>
    </row>
    <row r="186" spans="1:9" x14ac:dyDescent="0.3">
      <c r="A186" t="s">
        <v>93</v>
      </c>
      <c r="B186" t="s">
        <v>98</v>
      </c>
      <c r="C186" t="s">
        <v>92</v>
      </c>
      <c r="D186" t="s">
        <v>79</v>
      </c>
      <c r="E186" t="s">
        <v>43</v>
      </c>
      <c r="F186" s="6">
        <v>0.33333333333333331</v>
      </c>
      <c r="G186">
        <v>0</v>
      </c>
      <c r="H186" s="6">
        <f>FLOOR(tblPivotData[[#This Row],[Time]],Summary!$B$6/1440)</f>
        <v>0.33333333333333331</v>
      </c>
      <c r="I186">
        <f>INDEX(PeakCalc!$L$10:$L$303,MATCH(tblPivotData[[#This Row],[Time]],PeakCalc!$G$10:$G$303,0))</f>
        <v>1</v>
      </c>
    </row>
    <row r="187" spans="1:9" x14ac:dyDescent="0.3">
      <c r="A187" t="s">
        <v>93</v>
      </c>
      <c r="B187" t="s">
        <v>98</v>
      </c>
      <c r="C187" t="s">
        <v>92</v>
      </c>
      <c r="D187" t="s">
        <v>79</v>
      </c>
      <c r="E187" t="s">
        <v>43</v>
      </c>
      <c r="F187" s="6">
        <v>0.34375</v>
      </c>
      <c r="G187">
        <v>3</v>
      </c>
      <c r="H187" s="6">
        <f>FLOOR(tblPivotData[[#This Row],[Time]],Summary!$B$6/1440)</f>
        <v>0.34375</v>
      </c>
      <c r="I187">
        <f>INDEX(PeakCalc!$L$10:$L$303,MATCH(tblPivotData[[#This Row],[Time]],PeakCalc!$G$10:$G$303,0))</f>
        <v>1</v>
      </c>
    </row>
    <row r="188" spans="1:9" x14ac:dyDescent="0.3">
      <c r="A188" t="s">
        <v>93</v>
      </c>
      <c r="B188" t="s">
        <v>98</v>
      </c>
      <c r="C188" t="s">
        <v>92</v>
      </c>
      <c r="D188" t="s">
        <v>79</v>
      </c>
      <c r="E188" t="s">
        <v>43</v>
      </c>
      <c r="F188" s="6">
        <v>0.35416666666666669</v>
      </c>
      <c r="G188">
        <v>10</v>
      </c>
      <c r="H188" s="6">
        <f>FLOOR(tblPivotData[[#This Row],[Time]],Summary!$B$6/1440)</f>
        <v>0.35416666666666663</v>
      </c>
      <c r="I188">
        <f>INDEX(PeakCalc!$L$10:$L$303,MATCH(tblPivotData[[#This Row],[Time]],PeakCalc!$G$10:$G$303,0))</f>
        <v>1</v>
      </c>
    </row>
    <row r="189" spans="1:9" x14ac:dyDescent="0.3">
      <c r="A189" t="s">
        <v>93</v>
      </c>
      <c r="B189" t="s">
        <v>98</v>
      </c>
      <c r="C189" t="s">
        <v>92</v>
      </c>
      <c r="D189" t="s">
        <v>79</v>
      </c>
      <c r="E189" t="s">
        <v>43</v>
      </c>
      <c r="F189" s="6">
        <v>0.36458333333333331</v>
      </c>
      <c r="G189">
        <v>2</v>
      </c>
      <c r="H189" s="6">
        <f>FLOOR(tblPivotData[[#This Row],[Time]],Summary!$B$6/1440)</f>
        <v>0.36458333333333331</v>
      </c>
      <c r="I189">
        <f>INDEX(PeakCalc!$L$10:$L$303,MATCH(tblPivotData[[#This Row],[Time]],PeakCalc!$G$10:$G$303,0))</f>
        <v>1</v>
      </c>
    </row>
    <row r="190" spans="1:9" x14ac:dyDescent="0.3">
      <c r="A190" t="s">
        <v>93</v>
      </c>
      <c r="B190" t="s">
        <v>98</v>
      </c>
      <c r="C190" t="s">
        <v>92</v>
      </c>
      <c r="D190" t="s">
        <v>79</v>
      </c>
      <c r="E190" t="s">
        <v>90</v>
      </c>
      <c r="F190" s="6">
        <v>0.54166666666666663</v>
      </c>
      <c r="G190">
        <v>3</v>
      </c>
      <c r="H190" s="6">
        <f>FLOOR(tblPivotData[[#This Row],[Time]],Summary!$B$6/1440)</f>
        <v>0.54166666666666663</v>
      </c>
      <c r="I190">
        <f>INDEX(PeakCalc!$L$10:$L$303,MATCH(tblPivotData[[#This Row],[Time]],PeakCalc!$G$10:$G$303,0))</f>
        <v>1</v>
      </c>
    </row>
    <row r="191" spans="1:9" x14ac:dyDescent="0.3">
      <c r="A191" t="s">
        <v>93</v>
      </c>
      <c r="B191" t="s">
        <v>98</v>
      </c>
      <c r="C191" t="s">
        <v>92</v>
      </c>
      <c r="D191" t="s">
        <v>79</v>
      </c>
      <c r="E191" t="s">
        <v>90</v>
      </c>
      <c r="F191" s="6">
        <v>0.55208333333333337</v>
      </c>
      <c r="G191">
        <v>2</v>
      </c>
      <c r="H191" s="6">
        <f>FLOOR(tblPivotData[[#This Row],[Time]],Summary!$B$6/1440)</f>
        <v>0.55208333333333326</v>
      </c>
      <c r="I191">
        <f>INDEX(PeakCalc!$L$10:$L$303,MATCH(tblPivotData[[#This Row],[Time]],PeakCalc!$G$10:$G$303,0))</f>
        <v>1</v>
      </c>
    </row>
    <row r="192" spans="1:9" x14ac:dyDescent="0.3">
      <c r="A192" t="s">
        <v>93</v>
      </c>
      <c r="B192" t="s">
        <v>98</v>
      </c>
      <c r="C192" t="s">
        <v>92</v>
      </c>
      <c r="D192" t="s">
        <v>79</v>
      </c>
      <c r="E192" t="s">
        <v>90</v>
      </c>
      <c r="F192" s="6">
        <v>0.5625</v>
      </c>
      <c r="G192">
        <v>1</v>
      </c>
      <c r="H192" s="6">
        <f>FLOOR(tblPivotData[[#This Row],[Time]],Summary!$B$6/1440)</f>
        <v>0.5625</v>
      </c>
      <c r="I192">
        <f>INDEX(PeakCalc!$L$10:$L$303,MATCH(tblPivotData[[#This Row],[Time]],PeakCalc!$G$10:$G$303,0))</f>
        <v>1</v>
      </c>
    </row>
    <row r="193" spans="1:9" x14ac:dyDescent="0.3">
      <c r="A193" t="s">
        <v>93</v>
      </c>
      <c r="B193" t="s">
        <v>98</v>
      </c>
      <c r="C193" t="s">
        <v>92</v>
      </c>
      <c r="D193" t="s">
        <v>79</v>
      </c>
      <c r="E193" t="s">
        <v>90</v>
      </c>
      <c r="F193" s="6">
        <v>0.57291666666666663</v>
      </c>
      <c r="G193">
        <v>3</v>
      </c>
      <c r="H193" s="6">
        <f>FLOOR(tblPivotData[[#This Row],[Time]],Summary!$B$6/1440)</f>
        <v>0.57291666666666663</v>
      </c>
      <c r="I193">
        <f>INDEX(PeakCalc!$L$10:$L$303,MATCH(tblPivotData[[#This Row],[Time]],PeakCalc!$G$10:$G$303,0))</f>
        <v>1</v>
      </c>
    </row>
    <row r="194" spans="1:9" x14ac:dyDescent="0.3">
      <c r="A194" t="s">
        <v>93</v>
      </c>
      <c r="B194" t="s">
        <v>98</v>
      </c>
      <c r="C194" t="s">
        <v>92</v>
      </c>
      <c r="D194" t="s">
        <v>79</v>
      </c>
      <c r="E194" t="s">
        <v>44</v>
      </c>
      <c r="F194" s="6">
        <v>0.66666666666666663</v>
      </c>
      <c r="G194">
        <v>1</v>
      </c>
      <c r="H194" s="6">
        <f>FLOOR(tblPivotData[[#This Row],[Time]],Summary!$B$6/1440)</f>
        <v>0.66666666666666663</v>
      </c>
      <c r="I194">
        <f>INDEX(PeakCalc!$L$10:$L$303,MATCH(tblPivotData[[#This Row],[Time]],PeakCalc!$G$10:$G$303,0))</f>
        <v>0</v>
      </c>
    </row>
    <row r="195" spans="1:9" x14ac:dyDescent="0.3">
      <c r="A195" t="s">
        <v>93</v>
      </c>
      <c r="B195" t="s">
        <v>98</v>
      </c>
      <c r="C195" t="s">
        <v>92</v>
      </c>
      <c r="D195" t="s">
        <v>79</v>
      </c>
      <c r="E195" t="s">
        <v>44</v>
      </c>
      <c r="F195" s="6">
        <v>0.67708333333333337</v>
      </c>
      <c r="G195">
        <v>1</v>
      </c>
      <c r="H195" s="6">
        <f>FLOOR(tblPivotData[[#This Row],[Time]],Summary!$B$6/1440)</f>
        <v>0.67708333333333326</v>
      </c>
      <c r="I195">
        <f>INDEX(PeakCalc!$L$10:$L$303,MATCH(tblPivotData[[#This Row],[Time]],PeakCalc!$G$10:$G$303,0))</f>
        <v>0</v>
      </c>
    </row>
    <row r="196" spans="1:9" x14ac:dyDescent="0.3">
      <c r="A196" t="s">
        <v>93</v>
      </c>
      <c r="B196" t="s">
        <v>98</v>
      </c>
      <c r="C196" t="s">
        <v>92</v>
      </c>
      <c r="D196" t="s">
        <v>79</v>
      </c>
      <c r="E196" t="s">
        <v>44</v>
      </c>
      <c r="F196" s="6">
        <v>0.6875</v>
      </c>
      <c r="G196">
        <v>0</v>
      </c>
      <c r="H196" s="6">
        <f>FLOOR(tblPivotData[[#This Row],[Time]],Summary!$B$6/1440)</f>
        <v>0.6875</v>
      </c>
      <c r="I196">
        <f>INDEX(PeakCalc!$L$10:$L$303,MATCH(tblPivotData[[#This Row],[Time]],PeakCalc!$G$10:$G$303,0))</f>
        <v>1</v>
      </c>
    </row>
    <row r="197" spans="1:9" x14ac:dyDescent="0.3">
      <c r="A197" t="s">
        <v>93</v>
      </c>
      <c r="B197" t="s">
        <v>98</v>
      </c>
      <c r="C197" t="s">
        <v>92</v>
      </c>
      <c r="D197" t="s">
        <v>79</v>
      </c>
      <c r="E197" t="s">
        <v>44</v>
      </c>
      <c r="F197" s="6">
        <v>0.69791666666666663</v>
      </c>
      <c r="G197">
        <v>2</v>
      </c>
      <c r="H197" s="6">
        <f>FLOOR(tblPivotData[[#This Row],[Time]],Summary!$B$6/1440)</f>
        <v>0.69791666666666663</v>
      </c>
      <c r="I197">
        <f>INDEX(PeakCalc!$L$10:$L$303,MATCH(tblPivotData[[#This Row],[Time]],PeakCalc!$G$10:$G$303,0))</f>
        <v>1</v>
      </c>
    </row>
    <row r="198" spans="1:9" x14ac:dyDescent="0.3">
      <c r="A198" t="s">
        <v>93</v>
      </c>
      <c r="B198" t="s">
        <v>98</v>
      </c>
      <c r="C198" t="s">
        <v>92</v>
      </c>
      <c r="D198" t="s">
        <v>79</v>
      </c>
      <c r="E198" t="s">
        <v>44</v>
      </c>
      <c r="F198" s="6">
        <v>0.70833333333333337</v>
      </c>
      <c r="G198">
        <v>2</v>
      </c>
      <c r="H198" s="6">
        <f>FLOOR(tblPivotData[[#This Row],[Time]],Summary!$B$6/1440)</f>
        <v>0.70833333333333326</v>
      </c>
      <c r="I198">
        <f>INDEX(PeakCalc!$L$10:$L$303,MATCH(tblPivotData[[#This Row],[Time]],PeakCalc!$G$10:$G$303,0))</f>
        <v>1</v>
      </c>
    </row>
    <row r="199" spans="1:9" x14ac:dyDescent="0.3">
      <c r="A199" t="s">
        <v>93</v>
      </c>
      <c r="B199" t="s">
        <v>98</v>
      </c>
      <c r="C199" t="s">
        <v>92</v>
      </c>
      <c r="D199" t="s">
        <v>79</v>
      </c>
      <c r="E199" t="s">
        <v>44</v>
      </c>
      <c r="F199" s="6">
        <v>0.71875</v>
      </c>
      <c r="G199">
        <v>0</v>
      </c>
      <c r="H199" s="6">
        <f>FLOOR(tblPivotData[[#This Row],[Time]],Summary!$B$6/1440)</f>
        <v>0.71875</v>
      </c>
      <c r="I199">
        <f>INDEX(PeakCalc!$L$10:$L$303,MATCH(tblPivotData[[#This Row],[Time]],PeakCalc!$G$10:$G$303,0))</f>
        <v>1</v>
      </c>
    </row>
    <row r="200" spans="1:9" x14ac:dyDescent="0.3">
      <c r="A200" t="s">
        <v>93</v>
      </c>
      <c r="B200" t="s">
        <v>98</v>
      </c>
      <c r="C200" t="s">
        <v>92</v>
      </c>
      <c r="D200" t="s">
        <v>79</v>
      </c>
      <c r="E200" t="s">
        <v>44</v>
      </c>
      <c r="F200" s="6">
        <v>0.72916666666666663</v>
      </c>
      <c r="G200">
        <v>0</v>
      </c>
      <c r="H200" s="6">
        <f>FLOOR(tblPivotData[[#This Row],[Time]],Summary!$B$6/1440)</f>
        <v>0.72916666666666663</v>
      </c>
      <c r="I200">
        <f>INDEX(PeakCalc!$L$10:$L$303,MATCH(tblPivotData[[#This Row],[Time]],PeakCalc!$G$10:$G$303,0))</f>
        <v>0</v>
      </c>
    </row>
    <row r="201" spans="1:9" x14ac:dyDescent="0.3">
      <c r="A201" t="s">
        <v>93</v>
      </c>
      <c r="B201" t="s">
        <v>98</v>
      </c>
      <c r="C201" t="s">
        <v>92</v>
      </c>
      <c r="D201" t="s">
        <v>79</v>
      </c>
      <c r="E201" t="s">
        <v>44</v>
      </c>
      <c r="F201" s="6">
        <v>0.73958333333333337</v>
      </c>
      <c r="G201">
        <v>2</v>
      </c>
      <c r="H201" s="6">
        <f>FLOOR(tblPivotData[[#This Row],[Time]],Summary!$B$6/1440)</f>
        <v>0.73958333333333326</v>
      </c>
      <c r="I201">
        <f>INDEX(PeakCalc!$L$10:$L$303,MATCH(tblPivotData[[#This Row],[Time]],PeakCalc!$G$10:$G$303,0))</f>
        <v>0</v>
      </c>
    </row>
    <row r="202" spans="1:9" x14ac:dyDescent="0.3">
      <c r="A202" t="s">
        <v>93</v>
      </c>
      <c r="B202" t="s">
        <v>98</v>
      </c>
      <c r="C202" t="s">
        <v>92</v>
      </c>
      <c r="D202" t="s">
        <v>88</v>
      </c>
      <c r="E202" t="s">
        <v>43</v>
      </c>
      <c r="F202" s="6">
        <v>0.29166666666666669</v>
      </c>
      <c r="G202">
        <v>0</v>
      </c>
      <c r="H202" s="6">
        <f>FLOOR(tblPivotData[[#This Row],[Time]],Summary!$B$6/1440)</f>
        <v>0.29166666666666663</v>
      </c>
      <c r="I202">
        <f>INDEX(PeakCalc!$L$10:$L$303,MATCH(tblPivotData[[#This Row],[Time]],PeakCalc!$G$10:$G$303,0))</f>
        <v>0</v>
      </c>
    </row>
    <row r="203" spans="1:9" x14ac:dyDescent="0.3">
      <c r="A203" t="s">
        <v>93</v>
      </c>
      <c r="B203" t="s">
        <v>98</v>
      </c>
      <c r="C203" t="s">
        <v>92</v>
      </c>
      <c r="D203" t="s">
        <v>88</v>
      </c>
      <c r="E203" t="s">
        <v>43</v>
      </c>
      <c r="F203" s="6">
        <v>0.30208333333333331</v>
      </c>
      <c r="G203">
        <v>0</v>
      </c>
      <c r="H203" s="6">
        <f>FLOOR(tblPivotData[[#This Row],[Time]],Summary!$B$6/1440)</f>
        <v>0.30208333333333331</v>
      </c>
      <c r="I203">
        <f>INDEX(PeakCalc!$L$10:$L$303,MATCH(tblPivotData[[#This Row],[Time]],PeakCalc!$G$10:$G$303,0))</f>
        <v>0</v>
      </c>
    </row>
    <row r="204" spans="1:9" x14ac:dyDescent="0.3">
      <c r="A204" t="s">
        <v>93</v>
      </c>
      <c r="B204" t="s">
        <v>98</v>
      </c>
      <c r="C204" t="s">
        <v>92</v>
      </c>
      <c r="D204" t="s">
        <v>88</v>
      </c>
      <c r="E204" t="s">
        <v>43</v>
      </c>
      <c r="F204" s="6">
        <v>0.3125</v>
      </c>
      <c r="G204">
        <v>0</v>
      </c>
      <c r="H204" s="6">
        <f>FLOOR(tblPivotData[[#This Row],[Time]],Summary!$B$6/1440)</f>
        <v>0.3125</v>
      </c>
      <c r="I204">
        <f>INDEX(PeakCalc!$L$10:$L$303,MATCH(tblPivotData[[#This Row],[Time]],PeakCalc!$G$10:$G$303,0))</f>
        <v>0</v>
      </c>
    </row>
    <row r="205" spans="1:9" x14ac:dyDescent="0.3">
      <c r="A205" t="s">
        <v>93</v>
      </c>
      <c r="B205" t="s">
        <v>98</v>
      </c>
      <c r="C205" t="s">
        <v>92</v>
      </c>
      <c r="D205" t="s">
        <v>88</v>
      </c>
      <c r="E205" t="s">
        <v>43</v>
      </c>
      <c r="F205" s="6">
        <v>0.32291666666666669</v>
      </c>
      <c r="G205">
        <v>0</v>
      </c>
      <c r="H205" s="6">
        <f>FLOOR(tblPivotData[[#This Row],[Time]],Summary!$B$6/1440)</f>
        <v>0.32291666666666663</v>
      </c>
      <c r="I205">
        <f>INDEX(PeakCalc!$L$10:$L$303,MATCH(tblPivotData[[#This Row],[Time]],PeakCalc!$G$10:$G$303,0))</f>
        <v>0</v>
      </c>
    </row>
    <row r="206" spans="1:9" x14ac:dyDescent="0.3">
      <c r="A206" t="s">
        <v>93</v>
      </c>
      <c r="B206" t="s">
        <v>98</v>
      </c>
      <c r="C206" t="s">
        <v>92</v>
      </c>
      <c r="D206" t="s">
        <v>88</v>
      </c>
      <c r="E206" t="s">
        <v>43</v>
      </c>
      <c r="F206" s="6">
        <v>0.33333333333333331</v>
      </c>
      <c r="G206">
        <v>0</v>
      </c>
      <c r="H206" s="6">
        <f>FLOOR(tblPivotData[[#This Row],[Time]],Summary!$B$6/1440)</f>
        <v>0.33333333333333331</v>
      </c>
      <c r="I206">
        <f>INDEX(PeakCalc!$L$10:$L$303,MATCH(tblPivotData[[#This Row],[Time]],PeakCalc!$G$10:$G$303,0))</f>
        <v>1</v>
      </c>
    </row>
    <row r="207" spans="1:9" x14ac:dyDescent="0.3">
      <c r="A207" t="s">
        <v>93</v>
      </c>
      <c r="B207" t="s">
        <v>98</v>
      </c>
      <c r="C207" t="s">
        <v>92</v>
      </c>
      <c r="D207" t="s">
        <v>88</v>
      </c>
      <c r="E207" t="s">
        <v>43</v>
      </c>
      <c r="F207" s="6">
        <v>0.34375</v>
      </c>
      <c r="G207">
        <v>0</v>
      </c>
      <c r="H207" s="6">
        <f>FLOOR(tblPivotData[[#This Row],[Time]],Summary!$B$6/1440)</f>
        <v>0.34375</v>
      </c>
      <c r="I207">
        <f>INDEX(PeakCalc!$L$10:$L$303,MATCH(tblPivotData[[#This Row],[Time]],PeakCalc!$G$10:$G$303,0))</f>
        <v>1</v>
      </c>
    </row>
    <row r="208" spans="1:9" x14ac:dyDescent="0.3">
      <c r="A208" t="s">
        <v>93</v>
      </c>
      <c r="B208" t="s">
        <v>98</v>
      </c>
      <c r="C208" t="s">
        <v>92</v>
      </c>
      <c r="D208" t="s">
        <v>88</v>
      </c>
      <c r="E208" t="s">
        <v>43</v>
      </c>
      <c r="F208" s="6">
        <v>0.35416666666666669</v>
      </c>
      <c r="G208">
        <v>0</v>
      </c>
      <c r="H208" s="6">
        <f>FLOOR(tblPivotData[[#This Row],[Time]],Summary!$B$6/1440)</f>
        <v>0.35416666666666663</v>
      </c>
      <c r="I208">
        <f>INDEX(PeakCalc!$L$10:$L$303,MATCH(tblPivotData[[#This Row],[Time]],PeakCalc!$G$10:$G$303,0))</f>
        <v>1</v>
      </c>
    </row>
    <row r="209" spans="1:9" x14ac:dyDescent="0.3">
      <c r="A209" t="s">
        <v>93</v>
      </c>
      <c r="B209" t="s">
        <v>98</v>
      </c>
      <c r="C209" t="s">
        <v>92</v>
      </c>
      <c r="D209" t="s">
        <v>88</v>
      </c>
      <c r="E209" t="s">
        <v>43</v>
      </c>
      <c r="F209" s="6">
        <v>0.36458333333333331</v>
      </c>
      <c r="G209">
        <v>0</v>
      </c>
      <c r="H209" s="6">
        <f>FLOOR(tblPivotData[[#This Row],[Time]],Summary!$B$6/1440)</f>
        <v>0.36458333333333331</v>
      </c>
      <c r="I209">
        <f>INDEX(PeakCalc!$L$10:$L$303,MATCH(tblPivotData[[#This Row],[Time]],PeakCalc!$G$10:$G$303,0))</f>
        <v>1</v>
      </c>
    </row>
    <row r="210" spans="1:9" x14ac:dyDescent="0.3">
      <c r="A210" t="s">
        <v>93</v>
      </c>
      <c r="B210" t="s">
        <v>98</v>
      </c>
      <c r="C210" t="s">
        <v>92</v>
      </c>
      <c r="D210" t="s">
        <v>88</v>
      </c>
      <c r="E210" t="s">
        <v>90</v>
      </c>
      <c r="F210" s="6">
        <v>0.54166666666666663</v>
      </c>
      <c r="G210">
        <v>0</v>
      </c>
      <c r="H210" s="6">
        <f>FLOOR(tblPivotData[[#This Row],[Time]],Summary!$B$6/1440)</f>
        <v>0.54166666666666663</v>
      </c>
      <c r="I210">
        <f>INDEX(PeakCalc!$L$10:$L$303,MATCH(tblPivotData[[#This Row],[Time]],PeakCalc!$G$10:$G$303,0))</f>
        <v>1</v>
      </c>
    </row>
    <row r="211" spans="1:9" x14ac:dyDescent="0.3">
      <c r="A211" t="s">
        <v>93</v>
      </c>
      <c r="B211" t="s">
        <v>98</v>
      </c>
      <c r="C211" t="s">
        <v>92</v>
      </c>
      <c r="D211" t="s">
        <v>88</v>
      </c>
      <c r="E211" t="s">
        <v>90</v>
      </c>
      <c r="F211" s="6">
        <v>0.55208333333333337</v>
      </c>
      <c r="G211">
        <v>0</v>
      </c>
      <c r="H211" s="6">
        <f>FLOOR(tblPivotData[[#This Row],[Time]],Summary!$B$6/1440)</f>
        <v>0.55208333333333326</v>
      </c>
      <c r="I211">
        <f>INDEX(PeakCalc!$L$10:$L$303,MATCH(tblPivotData[[#This Row],[Time]],PeakCalc!$G$10:$G$303,0))</f>
        <v>1</v>
      </c>
    </row>
    <row r="212" spans="1:9" x14ac:dyDescent="0.3">
      <c r="A212" t="s">
        <v>93</v>
      </c>
      <c r="B212" t="s">
        <v>98</v>
      </c>
      <c r="C212" t="s">
        <v>92</v>
      </c>
      <c r="D212" t="s">
        <v>88</v>
      </c>
      <c r="E212" t="s">
        <v>90</v>
      </c>
      <c r="F212" s="6">
        <v>0.5625</v>
      </c>
      <c r="G212">
        <v>0</v>
      </c>
      <c r="H212" s="6">
        <f>FLOOR(tblPivotData[[#This Row],[Time]],Summary!$B$6/1440)</f>
        <v>0.5625</v>
      </c>
      <c r="I212">
        <f>INDEX(PeakCalc!$L$10:$L$303,MATCH(tblPivotData[[#This Row],[Time]],PeakCalc!$G$10:$G$303,0))</f>
        <v>1</v>
      </c>
    </row>
    <row r="213" spans="1:9" x14ac:dyDescent="0.3">
      <c r="A213" t="s">
        <v>93</v>
      </c>
      <c r="B213" t="s">
        <v>98</v>
      </c>
      <c r="C213" t="s">
        <v>92</v>
      </c>
      <c r="D213" t="s">
        <v>88</v>
      </c>
      <c r="E213" t="s">
        <v>90</v>
      </c>
      <c r="F213" s="6">
        <v>0.57291666666666663</v>
      </c>
      <c r="G213">
        <v>0</v>
      </c>
      <c r="H213" s="6">
        <f>FLOOR(tblPivotData[[#This Row],[Time]],Summary!$B$6/1440)</f>
        <v>0.57291666666666663</v>
      </c>
      <c r="I213">
        <f>INDEX(PeakCalc!$L$10:$L$303,MATCH(tblPivotData[[#This Row],[Time]],PeakCalc!$G$10:$G$303,0))</f>
        <v>1</v>
      </c>
    </row>
    <row r="214" spans="1:9" x14ac:dyDescent="0.3">
      <c r="A214" t="s">
        <v>93</v>
      </c>
      <c r="B214" t="s">
        <v>98</v>
      </c>
      <c r="C214" t="s">
        <v>92</v>
      </c>
      <c r="D214" t="s">
        <v>88</v>
      </c>
      <c r="E214" t="s">
        <v>44</v>
      </c>
      <c r="F214" s="6">
        <v>0.66666666666666663</v>
      </c>
      <c r="G214">
        <v>0</v>
      </c>
      <c r="H214" s="6">
        <f>FLOOR(tblPivotData[[#This Row],[Time]],Summary!$B$6/1440)</f>
        <v>0.66666666666666663</v>
      </c>
      <c r="I214">
        <f>INDEX(PeakCalc!$L$10:$L$303,MATCH(tblPivotData[[#This Row],[Time]],PeakCalc!$G$10:$G$303,0))</f>
        <v>0</v>
      </c>
    </row>
    <row r="215" spans="1:9" x14ac:dyDescent="0.3">
      <c r="A215" t="s">
        <v>93</v>
      </c>
      <c r="B215" t="s">
        <v>98</v>
      </c>
      <c r="C215" t="s">
        <v>92</v>
      </c>
      <c r="D215" t="s">
        <v>88</v>
      </c>
      <c r="E215" t="s">
        <v>44</v>
      </c>
      <c r="F215" s="6">
        <v>0.67708333333333337</v>
      </c>
      <c r="G215">
        <v>0</v>
      </c>
      <c r="H215" s="6">
        <f>FLOOR(tblPivotData[[#This Row],[Time]],Summary!$B$6/1440)</f>
        <v>0.67708333333333326</v>
      </c>
      <c r="I215">
        <f>INDEX(PeakCalc!$L$10:$L$303,MATCH(tblPivotData[[#This Row],[Time]],PeakCalc!$G$10:$G$303,0))</f>
        <v>0</v>
      </c>
    </row>
    <row r="216" spans="1:9" x14ac:dyDescent="0.3">
      <c r="A216" t="s">
        <v>93</v>
      </c>
      <c r="B216" t="s">
        <v>98</v>
      </c>
      <c r="C216" t="s">
        <v>92</v>
      </c>
      <c r="D216" t="s">
        <v>88</v>
      </c>
      <c r="E216" t="s">
        <v>44</v>
      </c>
      <c r="F216" s="6">
        <v>0.6875</v>
      </c>
      <c r="G216">
        <v>0</v>
      </c>
      <c r="H216" s="6">
        <f>FLOOR(tblPivotData[[#This Row],[Time]],Summary!$B$6/1440)</f>
        <v>0.6875</v>
      </c>
      <c r="I216">
        <f>INDEX(PeakCalc!$L$10:$L$303,MATCH(tblPivotData[[#This Row],[Time]],PeakCalc!$G$10:$G$303,0))</f>
        <v>1</v>
      </c>
    </row>
    <row r="217" spans="1:9" x14ac:dyDescent="0.3">
      <c r="A217" t="s">
        <v>93</v>
      </c>
      <c r="B217" t="s">
        <v>98</v>
      </c>
      <c r="C217" t="s">
        <v>92</v>
      </c>
      <c r="D217" t="s">
        <v>88</v>
      </c>
      <c r="E217" t="s">
        <v>44</v>
      </c>
      <c r="F217" s="6">
        <v>0.69791666666666663</v>
      </c>
      <c r="G217">
        <v>0</v>
      </c>
      <c r="H217" s="6">
        <f>FLOOR(tblPivotData[[#This Row],[Time]],Summary!$B$6/1440)</f>
        <v>0.69791666666666663</v>
      </c>
      <c r="I217">
        <f>INDEX(PeakCalc!$L$10:$L$303,MATCH(tblPivotData[[#This Row],[Time]],PeakCalc!$G$10:$G$303,0))</f>
        <v>1</v>
      </c>
    </row>
    <row r="218" spans="1:9" x14ac:dyDescent="0.3">
      <c r="A218" t="s">
        <v>93</v>
      </c>
      <c r="B218" t="s">
        <v>98</v>
      </c>
      <c r="C218" t="s">
        <v>92</v>
      </c>
      <c r="D218" t="s">
        <v>88</v>
      </c>
      <c r="E218" t="s">
        <v>44</v>
      </c>
      <c r="F218" s="6">
        <v>0.70833333333333337</v>
      </c>
      <c r="G218">
        <v>0</v>
      </c>
      <c r="H218" s="6">
        <f>FLOOR(tblPivotData[[#This Row],[Time]],Summary!$B$6/1440)</f>
        <v>0.70833333333333326</v>
      </c>
      <c r="I218">
        <f>INDEX(PeakCalc!$L$10:$L$303,MATCH(tblPivotData[[#This Row],[Time]],PeakCalc!$G$10:$G$303,0))</f>
        <v>1</v>
      </c>
    </row>
    <row r="219" spans="1:9" x14ac:dyDescent="0.3">
      <c r="A219" t="s">
        <v>93</v>
      </c>
      <c r="B219" t="s">
        <v>98</v>
      </c>
      <c r="C219" t="s">
        <v>92</v>
      </c>
      <c r="D219" t="s">
        <v>88</v>
      </c>
      <c r="E219" t="s">
        <v>44</v>
      </c>
      <c r="F219" s="6">
        <v>0.71875</v>
      </c>
      <c r="G219">
        <v>0</v>
      </c>
      <c r="H219" s="6">
        <f>FLOOR(tblPivotData[[#This Row],[Time]],Summary!$B$6/1440)</f>
        <v>0.71875</v>
      </c>
      <c r="I219">
        <f>INDEX(PeakCalc!$L$10:$L$303,MATCH(tblPivotData[[#This Row],[Time]],PeakCalc!$G$10:$G$303,0))</f>
        <v>1</v>
      </c>
    </row>
    <row r="220" spans="1:9" x14ac:dyDescent="0.3">
      <c r="A220" t="s">
        <v>93</v>
      </c>
      <c r="B220" t="s">
        <v>98</v>
      </c>
      <c r="C220" t="s">
        <v>92</v>
      </c>
      <c r="D220" t="s">
        <v>88</v>
      </c>
      <c r="E220" t="s">
        <v>44</v>
      </c>
      <c r="F220" s="6">
        <v>0.72916666666666663</v>
      </c>
      <c r="G220">
        <v>0</v>
      </c>
      <c r="H220" s="6">
        <f>FLOOR(tblPivotData[[#This Row],[Time]],Summary!$B$6/1440)</f>
        <v>0.72916666666666663</v>
      </c>
      <c r="I220">
        <f>INDEX(PeakCalc!$L$10:$L$303,MATCH(tblPivotData[[#This Row],[Time]],PeakCalc!$G$10:$G$303,0))</f>
        <v>0</v>
      </c>
    </row>
    <row r="221" spans="1:9" x14ac:dyDescent="0.3">
      <c r="A221" t="s">
        <v>93</v>
      </c>
      <c r="B221" t="s">
        <v>98</v>
      </c>
      <c r="C221" t="s">
        <v>92</v>
      </c>
      <c r="D221" t="s">
        <v>88</v>
      </c>
      <c r="E221" t="s">
        <v>44</v>
      </c>
      <c r="F221" s="6">
        <v>0.73958333333333337</v>
      </c>
      <c r="G221">
        <v>0</v>
      </c>
      <c r="H221" s="6">
        <f>FLOOR(tblPivotData[[#This Row],[Time]],Summary!$B$6/1440)</f>
        <v>0.73958333333333326</v>
      </c>
      <c r="I221">
        <f>INDEX(PeakCalc!$L$10:$L$303,MATCH(tblPivotData[[#This Row],[Time]],PeakCalc!$G$10:$G$303,0))</f>
        <v>0</v>
      </c>
    </row>
    <row r="222" spans="1:9" x14ac:dyDescent="0.3">
      <c r="A222" t="s">
        <v>93</v>
      </c>
      <c r="B222" t="s">
        <v>98</v>
      </c>
      <c r="C222" t="s">
        <v>92</v>
      </c>
      <c r="D222" t="s">
        <v>89</v>
      </c>
      <c r="E222" t="s">
        <v>43</v>
      </c>
      <c r="F222" s="6">
        <v>0.29166666666666669</v>
      </c>
      <c r="G222">
        <v>0</v>
      </c>
      <c r="H222" s="6">
        <f>FLOOR(tblPivotData[[#This Row],[Time]],Summary!$B$6/1440)</f>
        <v>0.29166666666666663</v>
      </c>
      <c r="I222">
        <f>INDEX(PeakCalc!$L$10:$L$303,MATCH(tblPivotData[[#This Row],[Time]],PeakCalc!$G$10:$G$303,0))</f>
        <v>0</v>
      </c>
    </row>
    <row r="223" spans="1:9" x14ac:dyDescent="0.3">
      <c r="A223" t="s">
        <v>93</v>
      </c>
      <c r="B223" t="s">
        <v>98</v>
      </c>
      <c r="C223" t="s">
        <v>92</v>
      </c>
      <c r="D223" t="s">
        <v>89</v>
      </c>
      <c r="E223" t="s">
        <v>43</v>
      </c>
      <c r="F223" s="6">
        <v>0.30208333333333331</v>
      </c>
      <c r="G223">
        <v>0</v>
      </c>
      <c r="H223" s="6">
        <f>FLOOR(tblPivotData[[#This Row],[Time]],Summary!$B$6/1440)</f>
        <v>0.30208333333333331</v>
      </c>
      <c r="I223">
        <f>INDEX(PeakCalc!$L$10:$L$303,MATCH(tblPivotData[[#This Row],[Time]],PeakCalc!$G$10:$G$303,0))</f>
        <v>0</v>
      </c>
    </row>
    <row r="224" spans="1:9" x14ac:dyDescent="0.3">
      <c r="A224" t="s">
        <v>93</v>
      </c>
      <c r="B224" t="s">
        <v>98</v>
      </c>
      <c r="C224" t="s">
        <v>92</v>
      </c>
      <c r="D224" t="s">
        <v>89</v>
      </c>
      <c r="E224" t="s">
        <v>43</v>
      </c>
      <c r="F224" s="6">
        <v>0.3125</v>
      </c>
      <c r="G224">
        <v>0</v>
      </c>
      <c r="H224" s="6">
        <f>FLOOR(tblPivotData[[#This Row],[Time]],Summary!$B$6/1440)</f>
        <v>0.3125</v>
      </c>
      <c r="I224">
        <f>INDEX(PeakCalc!$L$10:$L$303,MATCH(tblPivotData[[#This Row],[Time]],PeakCalc!$G$10:$G$303,0))</f>
        <v>0</v>
      </c>
    </row>
    <row r="225" spans="1:9" x14ac:dyDescent="0.3">
      <c r="A225" t="s">
        <v>93</v>
      </c>
      <c r="B225" t="s">
        <v>98</v>
      </c>
      <c r="C225" t="s">
        <v>92</v>
      </c>
      <c r="D225" t="s">
        <v>89</v>
      </c>
      <c r="E225" t="s">
        <v>43</v>
      </c>
      <c r="F225" s="6">
        <v>0.32291666666666669</v>
      </c>
      <c r="G225">
        <v>0</v>
      </c>
      <c r="H225" s="6">
        <f>FLOOR(tblPivotData[[#This Row],[Time]],Summary!$B$6/1440)</f>
        <v>0.32291666666666663</v>
      </c>
      <c r="I225">
        <f>INDEX(PeakCalc!$L$10:$L$303,MATCH(tblPivotData[[#This Row],[Time]],PeakCalc!$G$10:$G$303,0))</f>
        <v>0</v>
      </c>
    </row>
    <row r="226" spans="1:9" x14ac:dyDescent="0.3">
      <c r="A226" t="s">
        <v>93</v>
      </c>
      <c r="B226" t="s">
        <v>98</v>
      </c>
      <c r="C226" t="s">
        <v>92</v>
      </c>
      <c r="D226" t="s">
        <v>89</v>
      </c>
      <c r="E226" t="s">
        <v>43</v>
      </c>
      <c r="F226" s="6">
        <v>0.33333333333333331</v>
      </c>
      <c r="G226">
        <v>0</v>
      </c>
      <c r="H226" s="6">
        <f>FLOOR(tblPivotData[[#This Row],[Time]],Summary!$B$6/1440)</f>
        <v>0.33333333333333331</v>
      </c>
      <c r="I226">
        <f>INDEX(PeakCalc!$L$10:$L$303,MATCH(tblPivotData[[#This Row],[Time]],PeakCalc!$G$10:$G$303,0))</f>
        <v>1</v>
      </c>
    </row>
    <row r="227" spans="1:9" x14ac:dyDescent="0.3">
      <c r="A227" t="s">
        <v>93</v>
      </c>
      <c r="B227" t="s">
        <v>98</v>
      </c>
      <c r="C227" t="s">
        <v>92</v>
      </c>
      <c r="D227" t="s">
        <v>89</v>
      </c>
      <c r="E227" t="s">
        <v>43</v>
      </c>
      <c r="F227" s="6">
        <v>0.34375</v>
      </c>
      <c r="G227">
        <v>0</v>
      </c>
      <c r="H227" s="6">
        <f>FLOOR(tblPivotData[[#This Row],[Time]],Summary!$B$6/1440)</f>
        <v>0.34375</v>
      </c>
      <c r="I227">
        <f>INDEX(PeakCalc!$L$10:$L$303,MATCH(tblPivotData[[#This Row],[Time]],PeakCalc!$G$10:$G$303,0))</f>
        <v>1</v>
      </c>
    </row>
    <row r="228" spans="1:9" x14ac:dyDescent="0.3">
      <c r="A228" t="s">
        <v>93</v>
      </c>
      <c r="B228" t="s">
        <v>98</v>
      </c>
      <c r="C228" t="s">
        <v>92</v>
      </c>
      <c r="D228" t="s">
        <v>89</v>
      </c>
      <c r="E228" t="s">
        <v>43</v>
      </c>
      <c r="F228" s="6">
        <v>0.35416666666666669</v>
      </c>
      <c r="G228">
        <v>0</v>
      </c>
      <c r="H228" s="6">
        <f>FLOOR(tblPivotData[[#This Row],[Time]],Summary!$B$6/1440)</f>
        <v>0.35416666666666663</v>
      </c>
      <c r="I228">
        <f>INDEX(PeakCalc!$L$10:$L$303,MATCH(tblPivotData[[#This Row],[Time]],PeakCalc!$G$10:$G$303,0))</f>
        <v>1</v>
      </c>
    </row>
    <row r="229" spans="1:9" x14ac:dyDescent="0.3">
      <c r="A229" t="s">
        <v>93</v>
      </c>
      <c r="B229" t="s">
        <v>98</v>
      </c>
      <c r="C229" t="s">
        <v>92</v>
      </c>
      <c r="D229" t="s">
        <v>89</v>
      </c>
      <c r="E229" t="s">
        <v>43</v>
      </c>
      <c r="F229" s="6">
        <v>0.36458333333333331</v>
      </c>
      <c r="G229">
        <v>0</v>
      </c>
      <c r="H229" s="6">
        <f>FLOOR(tblPivotData[[#This Row],[Time]],Summary!$B$6/1440)</f>
        <v>0.36458333333333331</v>
      </c>
      <c r="I229">
        <f>INDEX(PeakCalc!$L$10:$L$303,MATCH(tblPivotData[[#This Row],[Time]],PeakCalc!$G$10:$G$303,0))</f>
        <v>1</v>
      </c>
    </row>
    <row r="230" spans="1:9" x14ac:dyDescent="0.3">
      <c r="A230" t="s">
        <v>93</v>
      </c>
      <c r="B230" t="s">
        <v>98</v>
      </c>
      <c r="C230" t="s">
        <v>92</v>
      </c>
      <c r="D230" t="s">
        <v>89</v>
      </c>
      <c r="E230" t="s">
        <v>90</v>
      </c>
      <c r="F230" s="6">
        <v>0.54166666666666663</v>
      </c>
      <c r="G230">
        <v>0</v>
      </c>
      <c r="H230" s="6">
        <f>FLOOR(tblPivotData[[#This Row],[Time]],Summary!$B$6/1440)</f>
        <v>0.54166666666666663</v>
      </c>
      <c r="I230">
        <f>INDEX(PeakCalc!$L$10:$L$303,MATCH(tblPivotData[[#This Row],[Time]],PeakCalc!$G$10:$G$303,0))</f>
        <v>1</v>
      </c>
    </row>
    <row r="231" spans="1:9" x14ac:dyDescent="0.3">
      <c r="A231" t="s">
        <v>93</v>
      </c>
      <c r="B231" t="s">
        <v>98</v>
      </c>
      <c r="C231" t="s">
        <v>92</v>
      </c>
      <c r="D231" t="s">
        <v>89</v>
      </c>
      <c r="E231" t="s">
        <v>90</v>
      </c>
      <c r="F231" s="6">
        <v>0.55208333333333337</v>
      </c>
      <c r="G231">
        <v>0</v>
      </c>
      <c r="H231" s="6">
        <f>FLOOR(tblPivotData[[#This Row],[Time]],Summary!$B$6/1440)</f>
        <v>0.55208333333333326</v>
      </c>
      <c r="I231">
        <f>INDEX(PeakCalc!$L$10:$L$303,MATCH(tblPivotData[[#This Row],[Time]],PeakCalc!$G$10:$G$303,0))</f>
        <v>1</v>
      </c>
    </row>
    <row r="232" spans="1:9" x14ac:dyDescent="0.3">
      <c r="A232" t="s">
        <v>93</v>
      </c>
      <c r="B232" t="s">
        <v>98</v>
      </c>
      <c r="C232" t="s">
        <v>92</v>
      </c>
      <c r="D232" t="s">
        <v>89</v>
      </c>
      <c r="E232" t="s">
        <v>90</v>
      </c>
      <c r="F232" s="6">
        <v>0.5625</v>
      </c>
      <c r="G232">
        <v>0</v>
      </c>
      <c r="H232" s="6">
        <f>FLOOR(tblPivotData[[#This Row],[Time]],Summary!$B$6/1440)</f>
        <v>0.5625</v>
      </c>
      <c r="I232">
        <f>INDEX(PeakCalc!$L$10:$L$303,MATCH(tblPivotData[[#This Row],[Time]],PeakCalc!$G$10:$G$303,0))</f>
        <v>1</v>
      </c>
    </row>
    <row r="233" spans="1:9" x14ac:dyDescent="0.3">
      <c r="A233" t="s">
        <v>93</v>
      </c>
      <c r="B233" t="s">
        <v>98</v>
      </c>
      <c r="C233" t="s">
        <v>92</v>
      </c>
      <c r="D233" t="s">
        <v>89</v>
      </c>
      <c r="E233" t="s">
        <v>90</v>
      </c>
      <c r="F233" s="6">
        <v>0.57291666666666663</v>
      </c>
      <c r="G233">
        <v>0</v>
      </c>
      <c r="H233" s="6">
        <f>FLOOR(tblPivotData[[#This Row],[Time]],Summary!$B$6/1440)</f>
        <v>0.57291666666666663</v>
      </c>
      <c r="I233">
        <f>INDEX(PeakCalc!$L$10:$L$303,MATCH(tblPivotData[[#This Row],[Time]],PeakCalc!$G$10:$G$303,0))</f>
        <v>1</v>
      </c>
    </row>
    <row r="234" spans="1:9" x14ac:dyDescent="0.3">
      <c r="A234" t="s">
        <v>93</v>
      </c>
      <c r="B234" t="s">
        <v>98</v>
      </c>
      <c r="C234" t="s">
        <v>92</v>
      </c>
      <c r="D234" t="s">
        <v>89</v>
      </c>
      <c r="E234" t="s">
        <v>44</v>
      </c>
      <c r="F234" s="6">
        <v>0.66666666666666663</v>
      </c>
      <c r="G234">
        <v>0</v>
      </c>
      <c r="H234" s="6">
        <f>FLOOR(tblPivotData[[#This Row],[Time]],Summary!$B$6/1440)</f>
        <v>0.66666666666666663</v>
      </c>
      <c r="I234">
        <f>INDEX(PeakCalc!$L$10:$L$303,MATCH(tblPivotData[[#This Row],[Time]],PeakCalc!$G$10:$G$303,0))</f>
        <v>0</v>
      </c>
    </row>
    <row r="235" spans="1:9" x14ac:dyDescent="0.3">
      <c r="A235" t="s">
        <v>93</v>
      </c>
      <c r="B235" t="s">
        <v>98</v>
      </c>
      <c r="C235" t="s">
        <v>92</v>
      </c>
      <c r="D235" t="s">
        <v>89</v>
      </c>
      <c r="E235" t="s">
        <v>44</v>
      </c>
      <c r="F235" s="6">
        <v>0.67708333333333337</v>
      </c>
      <c r="G235">
        <v>0</v>
      </c>
      <c r="H235" s="6">
        <f>FLOOR(tblPivotData[[#This Row],[Time]],Summary!$B$6/1440)</f>
        <v>0.67708333333333326</v>
      </c>
      <c r="I235">
        <f>INDEX(PeakCalc!$L$10:$L$303,MATCH(tblPivotData[[#This Row],[Time]],PeakCalc!$G$10:$G$303,0))</f>
        <v>0</v>
      </c>
    </row>
    <row r="236" spans="1:9" x14ac:dyDescent="0.3">
      <c r="A236" t="s">
        <v>93</v>
      </c>
      <c r="B236" t="s">
        <v>98</v>
      </c>
      <c r="C236" t="s">
        <v>92</v>
      </c>
      <c r="D236" t="s">
        <v>89</v>
      </c>
      <c r="E236" t="s">
        <v>44</v>
      </c>
      <c r="F236" s="6">
        <v>0.6875</v>
      </c>
      <c r="G236">
        <v>0</v>
      </c>
      <c r="H236" s="6">
        <f>FLOOR(tblPivotData[[#This Row],[Time]],Summary!$B$6/1440)</f>
        <v>0.6875</v>
      </c>
      <c r="I236">
        <f>INDEX(PeakCalc!$L$10:$L$303,MATCH(tblPivotData[[#This Row],[Time]],PeakCalc!$G$10:$G$303,0))</f>
        <v>1</v>
      </c>
    </row>
    <row r="237" spans="1:9" x14ac:dyDescent="0.3">
      <c r="A237" t="s">
        <v>93</v>
      </c>
      <c r="B237" t="s">
        <v>98</v>
      </c>
      <c r="C237" t="s">
        <v>92</v>
      </c>
      <c r="D237" t="s">
        <v>89</v>
      </c>
      <c r="E237" t="s">
        <v>44</v>
      </c>
      <c r="F237" s="6">
        <v>0.69791666666666663</v>
      </c>
      <c r="G237">
        <v>0</v>
      </c>
      <c r="H237" s="6">
        <f>FLOOR(tblPivotData[[#This Row],[Time]],Summary!$B$6/1440)</f>
        <v>0.69791666666666663</v>
      </c>
      <c r="I237">
        <f>INDEX(PeakCalc!$L$10:$L$303,MATCH(tblPivotData[[#This Row],[Time]],PeakCalc!$G$10:$G$303,0))</f>
        <v>1</v>
      </c>
    </row>
    <row r="238" spans="1:9" x14ac:dyDescent="0.3">
      <c r="A238" t="s">
        <v>93</v>
      </c>
      <c r="B238" t="s">
        <v>98</v>
      </c>
      <c r="C238" t="s">
        <v>92</v>
      </c>
      <c r="D238" t="s">
        <v>89</v>
      </c>
      <c r="E238" t="s">
        <v>44</v>
      </c>
      <c r="F238" s="6">
        <v>0.70833333333333337</v>
      </c>
      <c r="G238">
        <v>0</v>
      </c>
      <c r="H238" s="6">
        <f>FLOOR(tblPivotData[[#This Row],[Time]],Summary!$B$6/1440)</f>
        <v>0.70833333333333326</v>
      </c>
      <c r="I238">
        <f>INDEX(PeakCalc!$L$10:$L$303,MATCH(tblPivotData[[#This Row],[Time]],PeakCalc!$G$10:$G$303,0))</f>
        <v>1</v>
      </c>
    </row>
    <row r="239" spans="1:9" x14ac:dyDescent="0.3">
      <c r="A239" t="s">
        <v>93</v>
      </c>
      <c r="B239" t="s">
        <v>98</v>
      </c>
      <c r="C239" t="s">
        <v>92</v>
      </c>
      <c r="D239" t="s">
        <v>89</v>
      </c>
      <c r="E239" t="s">
        <v>44</v>
      </c>
      <c r="F239" s="6">
        <v>0.71875</v>
      </c>
      <c r="G239">
        <v>0</v>
      </c>
      <c r="H239" s="6">
        <f>FLOOR(tblPivotData[[#This Row],[Time]],Summary!$B$6/1440)</f>
        <v>0.71875</v>
      </c>
      <c r="I239">
        <f>INDEX(PeakCalc!$L$10:$L$303,MATCH(tblPivotData[[#This Row],[Time]],PeakCalc!$G$10:$G$303,0))</f>
        <v>1</v>
      </c>
    </row>
    <row r="240" spans="1:9" x14ac:dyDescent="0.3">
      <c r="A240" t="s">
        <v>93</v>
      </c>
      <c r="B240" t="s">
        <v>98</v>
      </c>
      <c r="C240" t="s">
        <v>92</v>
      </c>
      <c r="D240" t="s">
        <v>89</v>
      </c>
      <c r="E240" t="s">
        <v>44</v>
      </c>
      <c r="F240" s="6">
        <v>0.72916666666666663</v>
      </c>
      <c r="G240">
        <v>0</v>
      </c>
      <c r="H240" s="6">
        <f>FLOOR(tblPivotData[[#This Row],[Time]],Summary!$B$6/1440)</f>
        <v>0.72916666666666663</v>
      </c>
      <c r="I240">
        <f>INDEX(PeakCalc!$L$10:$L$303,MATCH(tblPivotData[[#This Row],[Time]],PeakCalc!$G$10:$G$303,0))</f>
        <v>0</v>
      </c>
    </row>
    <row r="241" spans="1:9" x14ac:dyDescent="0.3">
      <c r="A241" t="s">
        <v>93</v>
      </c>
      <c r="B241" t="s">
        <v>98</v>
      </c>
      <c r="C241" t="s">
        <v>92</v>
      </c>
      <c r="D241" t="s">
        <v>89</v>
      </c>
      <c r="E241" t="s">
        <v>44</v>
      </c>
      <c r="F241" s="6">
        <v>0.73958333333333337</v>
      </c>
      <c r="G241">
        <v>0</v>
      </c>
      <c r="H241" s="6">
        <f>FLOOR(tblPivotData[[#This Row],[Time]],Summary!$B$6/1440)</f>
        <v>0.73958333333333326</v>
      </c>
      <c r="I241">
        <f>INDEX(PeakCalc!$L$10:$L$303,MATCH(tblPivotData[[#This Row],[Time]],PeakCalc!$G$10:$G$303,0))</f>
        <v>0</v>
      </c>
    </row>
    <row r="242" spans="1:9" x14ac:dyDescent="0.3">
      <c r="A242" t="s">
        <v>94</v>
      </c>
      <c r="B242" t="s">
        <v>99</v>
      </c>
      <c r="C242" t="s">
        <v>92</v>
      </c>
      <c r="D242" t="s">
        <v>79</v>
      </c>
      <c r="E242" t="s">
        <v>43</v>
      </c>
      <c r="F242" s="6">
        <v>0.29166666666666669</v>
      </c>
      <c r="G242">
        <v>79</v>
      </c>
      <c r="H242" s="6">
        <f>FLOOR(tblPivotData[[#This Row],[Time]],Summary!$B$6/1440)</f>
        <v>0.29166666666666663</v>
      </c>
      <c r="I242">
        <f>INDEX(PeakCalc!$L$10:$L$303,MATCH(tblPivotData[[#This Row],[Time]],PeakCalc!$G$10:$G$303,0))</f>
        <v>0</v>
      </c>
    </row>
    <row r="243" spans="1:9" x14ac:dyDescent="0.3">
      <c r="A243" t="s">
        <v>94</v>
      </c>
      <c r="B243" t="s">
        <v>99</v>
      </c>
      <c r="C243" t="s">
        <v>92</v>
      </c>
      <c r="D243" t="s">
        <v>79</v>
      </c>
      <c r="E243" t="s">
        <v>43</v>
      </c>
      <c r="F243" s="6">
        <v>0.30208333333333331</v>
      </c>
      <c r="G243">
        <v>130</v>
      </c>
      <c r="H243" s="6">
        <f>FLOOR(tblPivotData[[#This Row],[Time]],Summary!$B$6/1440)</f>
        <v>0.30208333333333331</v>
      </c>
      <c r="I243">
        <f>INDEX(PeakCalc!$L$10:$L$303,MATCH(tblPivotData[[#This Row],[Time]],PeakCalc!$G$10:$G$303,0))</f>
        <v>0</v>
      </c>
    </row>
    <row r="244" spans="1:9" x14ac:dyDescent="0.3">
      <c r="A244" t="s">
        <v>94</v>
      </c>
      <c r="B244" t="s">
        <v>99</v>
      </c>
      <c r="C244" t="s">
        <v>92</v>
      </c>
      <c r="D244" t="s">
        <v>79</v>
      </c>
      <c r="E244" t="s">
        <v>43</v>
      </c>
      <c r="F244" s="6">
        <v>0.3125</v>
      </c>
      <c r="G244">
        <v>118</v>
      </c>
      <c r="H244" s="6">
        <f>FLOOR(tblPivotData[[#This Row],[Time]],Summary!$B$6/1440)</f>
        <v>0.3125</v>
      </c>
      <c r="I244">
        <f>INDEX(PeakCalc!$L$10:$L$303,MATCH(tblPivotData[[#This Row],[Time]],PeakCalc!$G$10:$G$303,0))</f>
        <v>0</v>
      </c>
    </row>
    <row r="245" spans="1:9" x14ac:dyDescent="0.3">
      <c r="A245" t="s">
        <v>94</v>
      </c>
      <c r="B245" t="s">
        <v>99</v>
      </c>
      <c r="C245" t="s">
        <v>92</v>
      </c>
      <c r="D245" t="s">
        <v>79</v>
      </c>
      <c r="E245" t="s">
        <v>43</v>
      </c>
      <c r="F245" s="6">
        <v>0.32291666666666669</v>
      </c>
      <c r="G245">
        <v>130</v>
      </c>
      <c r="H245" s="6">
        <f>FLOOR(tblPivotData[[#This Row],[Time]],Summary!$B$6/1440)</f>
        <v>0.32291666666666663</v>
      </c>
      <c r="I245">
        <f>INDEX(PeakCalc!$L$10:$L$303,MATCH(tblPivotData[[#This Row],[Time]],PeakCalc!$G$10:$G$303,0))</f>
        <v>0</v>
      </c>
    </row>
    <row r="246" spans="1:9" x14ac:dyDescent="0.3">
      <c r="A246" t="s">
        <v>94</v>
      </c>
      <c r="B246" t="s">
        <v>99</v>
      </c>
      <c r="C246" t="s">
        <v>92</v>
      </c>
      <c r="D246" t="s">
        <v>79</v>
      </c>
      <c r="E246" t="s">
        <v>43</v>
      </c>
      <c r="F246" s="6">
        <v>0.33333333333333331</v>
      </c>
      <c r="G246">
        <v>136</v>
      </c>
      <c r="H246" s="6">
        <f>FLOOR(tblPivotData[[#This Row],[Time]],Summary!$B$6/1440)</f>
        <v>0.33333333333333331</v>
      </c>
      <c r="I246">
        <f>INDEX(PeakCalc!$L$10:$L$303,MATCH(tblPivotData[[#This Row],[Time]],PeakCalc!$G$10:$G$303,0))</f>
        <v>1</v>
      </c>
    </row>
    <row r="247" spans="1:9" x14ac:dyDescent="0.3">
      <c r="A247" t="s">
        <v>94</v>
      </c>
      <c r="B247" t="s">
        <v>99</v>
      </c>
      <c r="C247" t="s">
        <v>92</v>
      </c>
      <c r="D247" t="s">
        <v>79</v>
      </c>
      <c r="E247" t="s">
        <v>43</v>
      </c>
      <c r="F247" s="6">
        <v>0.34375</v>
      </c>
      <c r="G247">
        <v>145</v>
      </c>
      <c r="H247" s="6">
        <f>FLOOR(tblPivotData[[#This Row],[Time]],Summary!$B$6/1440)</f>
        <v>0.34375</v>
      </c>
      <c r="I247">
        <f>INDEX(PeakCalc!$L$10:$L$303,MATCH(tblPivotData[[#This Row],[Time]],PeakCalc!$G$10:$G$303,0))</f>
        <v>1</v>
      </c>
    </row>
    <row r="248" spans="1:9" x14ac:dyDescent="0.3">
      <c r="A248" t="s">
        <v>94</v>
      </c>
      <c r="B248" t="s">
        <v>99</v>
      </c>
      <c r="C248" t="s">
        <v>92</v>
      </c>
      <c r="D248" t="s">
        <v>79</v>
      </c>
      <c r="E248" t="s">
        <v>43</v>
      </c>
      <c r="F248" s="6">
        <v>0.35416666666666669</v>
      </c>
      <c r="G248">
        <v>146</v>
      </c>
      <c r="H248" s="6">
        <f>FLOOR(tblPivotData[[#This Row],[Time]],Summary!$B$6/1440)</f>
        <v>0.35416666666666663</v>
      </c>
      <c r="I248">
        <f>INDEX(PeakCalc!$L$10:$L$303,MATCH(tblPivotData[[#This Row],[Time]],PeakCalc!$G$10:$G$303,0))</f>
        <v>1</v>
      </c>
    </row>
    <row r="249" spans="1:9" x14ac:dyDescent="0.3">
      <c r="A249" t="s">
        <v>94</v>
      </c>
      <c r="B249" t="s">
        <v>99</v>
      </c>
      <c r="C249" t="s">
        <v>92</v>
      </c>
      <c r="D249" t="s">
        <v>79</v>
      </c>
      <c r="E249" t="s">
        <v>43</v>
      </c>
      <c r="F249" s="6">
        <v>0.36458333333333331</v>
      </c>
      <c r="G249">
        <v>166</v>
      </c>
      <c r="H249" s="6">
        <f>FLOOR(tblPivotData[[#This Row],[Time]],Summary!$B$6/1440)</f>
        <v>0.36458333333333331</v>
      </c>
      <c r="I249">
        <f>INDEX(PeakCalc!$L$10:$L$303,MATCH(tblPivotData[[#This Row],[Time]],PeakCalc!$G$10:$G$303,0))</f>
        <v>1</v>
      </c>
    </row>
    <row r="250" spans="1:9" x14ac:dyDescent="0.3">
      <c r="A250" t="s">
        <v>94</v>
      </c>
      <c r="B250" t="s">
        <v>99</v>
      </c>
      <c r="C250" t="s">
        <v>92</v>
      </c>
      <c r="D250" t="s">
        <v>79</v>
      </c>
      <c r="E250" t="s">
        <v>90</v>
      </c>
      <c r="F250" s="6">
        <v>0.54166666666666663</v>
      </c>
      <c r="G250">
        <v>240</v>
      </c>
      <c r="H250" s="6">
        <f>FLOOR(tblPivotData[[#This Row],[Time]],Summary!$B$6/1440)</f>
        <v>0.54166666666666663</v>
      </c>
      <c r="I250">
        <f>INDEX(PeakCalc!$L$10:$L$303,MATCH(tblPivotData[[#This Row],[Time]],PeakCalc!$G$10:$G$303,0))</f>
        <v>1</v>
      </c>
    </row>
    <row r="251" spans="1:9" x14ac:dyDescent="0.3">
      <c r="A251" t="s">
        <v>94</v>
      </c>
      <c r="B251" t="s">
        <v>99</v>
      </c>
      <c r="C251" t="s">
        <v>92</v>
      </c>
      <c r="D251" t="s">
        <v>79</v>
      </c>
      <c r="E251" t="s">
        <v>90</v>
      </c>
      <c r="F251" s="6">
        <v>0.55208333333333337</v>
      </c>
      <c r="G251">
        <v>248</v>
      </c>
      <c r="H251" s="6">
        <f>FLOOR(tblPivotData[[#This Row],[Time]],Summary!$B$6/1440)</f>
        <v>0.55208333333333326</v>
      </c>
      <c r="I251">
        <f>INDEX(PeakCalc!$L$10:$L$303,MATCH(tblPivotData[[#This Row],[Time]],PeakCalc!$G$10:$G$303,0))</f>
        <v>1</v>
      </c>
    </row>
    <row r="252" spans="1:9" x14ac:dyDescent="0.3">
      <c r="A252" t="s">
        <v>94</v>
      </c>
      <c r="B252" t="s">
        <v>99</v>
      </c>
      <c r="C252" t="s">
        <v>92</v>
      </c>
      <c r="D252" t="s">
        <v>79</v>
      </c>
      <c r="E252" t="s">
        <v>90</v>
      </c>
      <c r="F252" s="6">
        <v>0.5625</v>
      </c>
      <c r="G252">
        <v>231</v>
      </c>
      <c r="H252" s="6">
        <f>FLOOR(tblPivotData[[#This Row],[Time]],Summary!$B$6/1440)</f>
        <v>0.5625</v>
      </c>
      <c r="I252">
        <f>INDEX(PeakCalc!$L$10:$L$303,MATCH(tblPivotData[[#This Row],[Time]],PeakCalc!$G$10:$G$303,0))</f>
        <v>1</v>
      </c>
    </row>
    <row r="253" spans="1:9" x14ac:dyDescent="0.3">
      <c r="A253" t="s">
        <v>94</v>
      </c>
      <c r="B253" t="s">
        <v>99</v>
      </c>
      <c r="C253" t="s">
        <v>92</v>
      </c>
      <c r="D253" t="s">
        <v>79</v>
      </c>
      <c r="E253" t="s">
        <v>90</v>
      </c>
      <c r="F253" s="6">
        <v>0.57291666666666663</v>
      </c>
      <c r="G253">
        <v>209</v>
      </c>
      <c r="H253" s="6">
        <f>FLOOR(tblPivotData[[#This Row],[Time]],Summary!$B$6/1440)</f>
        <v>0.57291666666666663</v>
      </c>
      <c r="I253">
        <f>INDEX(PeakCalc!$L$10:$L$303,MATCH(tblPivotData[[#This Row],[Time]],PeakCalc!$G$10:$G$303,0))</f>
        <v>1</v>
      </c>
    </row>
    <row r="254" spans="1:9" x14ac:dyDescent="0.3">
      <c r="A254" t="s">
        <v>94</v>
      </c>
      <c r="B254" t="s">
        <v>99</v>
      </c>
      <c r="C254" t="s">
        <v>92</v>
      </c>
      <c r="D254" t="s">
        <v>79</v>
      </c>
      <c r="E254" t="s">
        <v>44</v>
      </c>
      <c r="F254" s="6">
        <v>0.66666666666666663</v>
      </c>
      <c r="G254">
        <v>274</v>
      </c>
      <c r="H254" s="6">
        <f>FLOOR(tblPivotData[[#This Row],[Time]],Summary!$B$6/1440)</f>
        <v>0.66666666666666663</v>
      </c>
      <c r="I254">
        <f>INDEX(PeakCalc!$L$10:$L$303,MATCH(tblPivotData[[#This Row],[Time]],PeakCalc!$G$10:$G$303,0))</f>
        <v>0</v>
      </c>
    </row>
    <row r="255" spans="1:9" x14ac:dyDescent="0.3">
      <c r="A255" t="s">
        <v>94</v>
      </c>
      <c r="B255" t="s">
        <v>99</v>
      </c>
      <c r="C255" t="s">
        <v>92</v>
      </c>
      <c r="D255" t="s">
        <v>79</v>
      </c>
      <c r="E255" t="s">
        <v>44</v>
      </c>
      <c r="F255" s="6">
        <v>0.67708333333333337</v>
      </c>
      <c r="G255">
        <v>290</v>
      </c>
      <c r="H255" s="6">
        <f>FLOOR(tblPivotData[[#This Row],[Time]],Summary!$B$6/1440)</f>
        <v>0.67708333333333326</v>
      </c>
      <c r="I255">
        <f>INDEX(PeakCalc!$L$10:$L$303,MATCH(tblPivotData[[#This Row],[Time]],PeakCalc!$G$10:$G$303,0))</f>
        <v>0</v>
      </c>
    </row>
    <row r="256" spans="1:9" x14ac:dyDescent="0.3">
      <c r="A256" t="s">
        <v>94</v>
      </c>
      <c r="B256" t="s">
        <v>99</v>
      </c>
      <c r="C256" t="s">
        <v>92</v>
      </c>
      <c r="D256" t="s">
        <v>79</v>
      </c>
      <c r="E256" t="s">
        <v>44</v>
      </c>
      <c r="F256" s="6">
        <v>0.6875</v>
      </c>
      <c r="G256">
        <v>287</v>
      </c>
      <c r="H256" s="6">
        <f>FLOOR(tblPivotData[[#This Row],[Time]],Summary!$B$6/1440)</f>
        <v>0.6875</v>
      </c>
      <c r="I256">
        <f>INDEX(PeakCalc!$L$10:$L$303,MATCH(tblPivotData[[#This Row],[Time]],PeakCalc!$G$10:$G$303,0))</f>
        <v>1</v>
      </c>
    </row>
    <row r="257" spans="1:9" x14ac:dyDescent="0.3">
      <c r="A257" t="s">
        <v>94</v>
      </c>
      <c r="B257" t="s">
        <v>99</v>
      </c>
      <c r="C257" t="s">
        <v>92</v>
      </c>
      <c r="D257" t="s">
        <v>79</v>
      </c>
      <c r="E257" t="s">
        <v>44</v>
      </c>
      <c r="F257" s="6">
        <v>0.69791666666666663</v>
      </c>
      <c r="G257">
        <v>270</v>
      </c>
      <c r="H257" s="6">
        <f>FLOOR(tblPivotData[[#This Row],[Time]],Summary!$B$6/1440)</f>
        <v>0.69791666666666663</v>
      </c>
      <c r="I257">
        <f>INDEX(PeakCalc!$L$10:$L$303,MATCH(tblPivotData[[#This Row],[Time]],PeakCalc!$G$10:$G$303,0))</f>
        <v>1</v>
      </c>
    </row>
    <row r="258" spans="1:9" x14ac:dyDescent="0.3">
      <c r="A258" t="s">
        <v>94</v>
      </c>
      <c r="B258" t="s">
        <v>99</v>
      </c>
      <c r="C258" t="s">
        <v>92</v>
      </c>
      <c r="D258" t="s">
        <v>79</v>
      </c>
      <c r="E258" t="s">
        <v>44</v>
      </c>
      <c r="F258" s="6">
        <v>0.70833333333333337</v>
      </c>
      <c r="G258">
        <v>283</v>
      </c>
      <c r="H258" s="6">
        <f>FLOOR(tblPivotData[[#This Row],[Time]],Summary!$B$6/1440)</f>
        <v>0.70833333333333326</v>
      </c>
      <c r="I258">
        <f>INDEX(PeakCalc!$L$10:$L$303,MATCH(tblPivotData[[#This Row],[Time]],PeakCalc!$G$10:$G$303,0))</f>
        <v>1</v>
      </c>
    </row>
    <row r="259" spans="1:9" x14ac:dyDescent="0.3">
      <c r="A259" t="s">
        <v>94</v>
      </c>
      <c r="B259" t="s">
        <v>99</v>
      </c>
      <c r="C259" t="s">
        <v>92</v>
      </c>
      <c r="D259" t="s">
        <v>79</v>
      </c>
      <c r="E259" t="s">
        <v>44</v>
      </c>
      <c r="F259" s="6">
        <v>0.71875</v>
      </c>
      <c r="G259">
        <v>309</v>
      </c>
      <c r="H259" s="6">
        <f>FLOOR(tblPivotData[[#This Row],[Time]],Summary!$B$6/1440)</f>
        <v>0.71875</v>
      </c>
      <c r="I259">
        <f>INDEX(PeakCalc!$L$10:$L$303,MATCH(tblPivotData[[#This Row],[Time]],PeakCalc!$G$10:$G$303,0))</f>
        <v>1</v>
      </c>
    </row>
    <row r="260" spans="1:9" x14ac:dyDescent="0.3">
      <c r="A260" t="s">
        <v>94</v>
      </c>
      <c r="B260" t="s">
        <v>99</v>
      </c>
      <c r="C260" t="s">
        <v>92</v>
      </c>
      <c r="D260" t="s">
        <v>79</v>
      </c>
      <c r="E260" t="s">
        <v>44</v>
      </c>
      <c r="F260" s="6">
        <v>0.72916666666666663</v>
      </c>
      <c r="G260">
        <v>317</v>
      </c>
      <c r="H260" s="6">
        <f>FLOOR(tblPivotData[[#This Row],[Time]],Summary!$B$6/1440)</f>
        <v>0.72916666666666663</v>
      </c>
      <c r="I260">
        <f>INDEX(PeakCalc!$L$10:$L$303,MATCH(tblPivotData[[#This Row],[Time]],PeakCalc!$G$10:$G$303,0))</f>
        <v>0</v>
      </c>
    </row>
    <row r="261" spans="1:9" x14ac:dyDescent="0.3">
      <c r="A261" t="s">
        <v>94</v>
      </c>
      <c r="B261" t="s">
        <v>99</v>
      </c>
      <c r="C261" t="s">
        <v>92</v>
      </c>
      <c r="D261" t="s">
        <v>79</v>
      </c>
      <c r="E261" t="s">
        <v>44</v>
      </c>
      <c r="F261" s="6">
        <v>0.73958333333333337</v>
      </c>
      <c r="G261">
        <v>314</v>
      </c>
      <c r="H261" s="6">
        <f>FLOOR(tblPivotData[[#This Row],[Time]],Summary!$B$6/1440)</f>
        <v>0.73958333333333326</v>
      </c>
      <c r="I261">
        <f>INDEX(PeakCalc!$L$10:$L$303,MATCH(tblPivotData[[#This Row],[Time]],PeakCalc!$G$10:$G$303,0))</f>
        <v>0</v>
      </c>
    </row>
    <row r="262" spans="1:9" x14ac:dyDescent="0.3">
      <c r="A262" t="s">
        <v>94</v>
      </c>
      <c r="B262" t="s">
        <v>99</v>
      </c>
      <c r="C262" t="s">
        <v>92</v>
      </c>
      <c r="D262" t="s">
        <v>88</v>
      </c>
      <c r="E262" t="s">
        <v>43</v>
      </c>
      <c r="F262" s="6">
        <v>0.29166666666666669</v>
      </c>
      <c r="G262">
        <v>9</v>
      </c>
      <c r="H262" s="6">
        <f>FLOOR(tblPivotData[[#This Row],[Time]],Summary!$B$6/1440)</f>
        <v>0.29166666666666663</v>
      </c>
      <c r="I262">
        <f>INDEX(PeakCalc!$L$10:$L$303,MATCH(tblPivotData[[#This Row],[Time]],PeakCalc!$G$10:$G$303,0))</f>
        <v>0</v>
      </c>
    </row>
    <row r="263" spans="1:9" x14ac:dyDescent="0.3">
      <c r="A263" t="s">
        <v>94</v>
      </c>
      <c r="B263" t="s">
        <v>99</v>
      </c>
      <c r="C263" t="s">
        <v>92</v>
      </c>
      <c r="D263" t="s">
        <v>88</v>
      </c>
      <c r="E263" t="s">
        <v>43</v>
      </c>
      <c r="F263" s="6">
        <v>0.30208333333333331</v>
      </c>
      <c r="G263">
        <v>8</v>
      </c>
      <c r="H263" s="6">
        <f>FLOOR(tblPivotData[[#This Row],[Time]],Summary!$B$6/1440)</f>
        <v>0.30208333333333331</v>
      </c>
      <c r="I263">
        <f>INDEX(PeakCalc!$L$10:$L$303,MATCH(tblPivotData[[#This Row],[Time]],PeakCalc!$G$10:$G$303,0))</f>
        <v>0</v>
      </c>
    </row>
    <row r="264" spans="1:9" x14ac:dyDescent="0.3">
      <c r="A264" t="s">
        <v>94</v>
      </c>
      <c r="B264" t="s">
        <v>99</v>
      </c>
      <c r="C264" t="s">
        <v>92</v>
      </c>
      <c r="D264" t="s">
        <v>88</v>
      </c>
      <c r="E264" t="s">
        <v>43</v>
      </c>
      <c r="F264" s="6">
        <v>0.3125</v>
      </c>
      <c r="G264">
        <v>11</v>
      </c>
      <c r="H264" s="6">
        <f>FLOOR(tblPivotData[[#This Row],[Time]],Summary!$B$6/1440)</f>
        <v>0.3125</v>
      </c>
      <c r="I264">
        <f>INDEX(PeakCalc!$L$10:$L$303,MATCH(tblPivotData[[#This Row],[Time]],PeakCalc!$G$10:$G$303,0))</f>
        <v>0</v>
      </c>
    </row>
    <row r="265" spans="1:9" x14ac:dyDescent="0.3">
      <c r="A265" t="s">
        <v>94</v>
      </c>
      <c r="B265" t="s">
        <v>99</v>
      </c>
      <c r="C265" t="s">
        <v>92</v>
      </c>
      <c r="D265" t="s">
        <v>88</v>
      </c>
      <c r="E265" t="s">
        <v>43</v>
      </c>
      <c r="F265" s="6">
        <v>0.32291666666666669</v>
      </c>
      <c r="G265">
        <v>7</v>
      </c>
      <c r="H265" s="6">
        <f>FLOOR(tblPivotData[[#This Row],[Time]],Summary!$B$6/1440)</f>
        <v>0.32291666666666663</v>
      </c>
      <c r="I265">
        <f>INDEX(PeakCalc!$L$10:$L$303,MATCH(tblPivotData[[#This Row],[Time]],PeakCalc!$G$10:$G$303,0))</f>
        <v>0</v>
      </c>
    </row>
    <row r="266" spans="1:9" x14ac:dyDescent="0.3">
      <c r="A266" t="s">
        <v>94</v>
      </c>
      <c r="B266" t="s">
        <v>99</v>
      </c>
      <c r="C266" t="s">
        <v>92</v>
      </c>
      <c r="D266" t="s">
        <v>88</v>
      </c>
      <c r="E266" t="s">
        <v>43</v>
      </c>
      <c r="F266" s="6">
        <v>0.33333333333333331</v>
      </c>
      <c r="G266">
        <v>19</v>
      </c>
      <c r="H266" s="6">
        <f>FLOOR(tblPivotData[[#This Row],[Time]],Summary!$B$6/1440)</f>
        <v>0.33333333333333331</v>
      </c>
      <c r="I266">
        <f>INDEX(PeakCalc!$L$10:$L$303,MATCH(tblPivotData[[#This Row],[Time]],PeakCalc!$G$10:$G$303,0))</f>
        <v>1</v>
      </c>
    </row>
    <row r="267" spans="1:9" x14ac:dyDescent="0.3">
      <c r="A267" t="s">
        <v>94</v>
      </c>
      <c r="B267" t="s">
        <v>99</v>
      </c>
      <c r="C267" t="s">
        <v>92</v>
      </c>
      <c r="D267" t="s">
        <v>88</v>
      </c>
      <c r="E267" t="s">
        <v>43</v>
      </c>
      <c r="F267" s="6">
        <v>0.34375</v>
      </c>
      <c r="G267">
        <v>9</v>
      </c>
      <c r="H267" s="6">
        <f>FLOOR(tblPivotData[[#This Row],[Time]],Summary!$B$6/1440)</f>
        <v>0.34375</v>
      </c>
      <c r="I267">
        <f>INDEX(PeakCalc!$L$10:$L$303,MATCH(tblPivotData[[#This Row],[Time]],PeakCalc!$G$10:$G$303,0))</f>
        <v>1</v>
      </c>
    </row>
    <row r="268" spans="1:9" x14ac:dyDescent="0.3">
      <c r="A268" t="s">
        <v>94</v>
      </c>
      <c r="B268" t="s">
        <v>99</v>
      </c>
      <c r="C268" t="s">
        <v>92</v>
      </c>
      <c r="D268" t="s">
        <v>88</v>
      </c>
      <c r="E268" t="s">
        <v>43</v>
      </c>
      <c r="F268" s="6">
        <v>0.35416666666666669</v>
      </c>
      <c r="G268">
        <v>11</v>
      </c>
      <c r="H268" s="6">
        <f>FLOOR(tblPivotData[[#This Row],[Time]],Summary!$B$6/1440)</f>
        <v>0.35416666666666663</v>
      </c>
      <c r="I268">
        <f>INDEX(PeakCalc!$L$10:$L$303,MATCH(tblPivotData[[#This Row],[Time]],PeakCalc!$G$10:$G$303,0))</f>
        <v>1</v>
      </c>
    </row>
    <row r="269" spans="1:9" x14ac:dyDescent="0.3">
      <c r="A269" t="s">
        <v>94</v>
      </c>
      <c r="B269" t="s">
        <v>99</v>
      </c>
      <c r="C269" t="s">
        <v>92</v>
      </c>
      <c r="D269" t="s">
        <v>88</v>
      </c>
      <c r="E269" t="s">
        <v>43</v>
      </c>
      <c r="F269" s="6">
        <v>0.36458333333333331</v>
      </c>
      <c r="G269">
        <v>9</v>
      </c>
      <c r="H269" s="6">
        <f>FLOOR(tblPivotData[[#This Row],[Time]],Summary!$B$6/1440)</f>
        <v>0.36458333333333331</v>
      </c>
      <c r="I269">
        <f>INDEX(PeakCalc!$L$10:$L$303,MATCH(tblPivotData[[#This Row],[Time]],PeakCalc!$G$10:$G$303,0))</f>
        <v>1</v>
      </c>
    </row>
    <row r="270" spans="1:9" x14ac:dyDescent="0.3">
      <c r="A270" t="s">
        <v>94</v>
      </c>
      <c r="B270" t="s">
        <v>99</v>
      </c>
      <c r="C270" t="s">
        <v>92</v>
      </c>
      <c r="D270" t="s">
        <v>88</v>
      </c>
      <c r="E270" t="s">
        <v>90</v>
      </c>
      <c r="F270" s="6">
        <v>0.54166666666666663</v>
      </c>
      <c r="G270">
        <v>5</v>
      </c>
      <c r="H270" s="6">
        <f>FLOOR(tblPivotData[[#This Row],[Time]],Summary!$B$6/1440)</f>
        <v>0.54166666666666663</v>
      </c>
      <c r="I270">
        <f>INDEX(PeakCalc!$L$10:$L$303,MATCH(tblPivotData[[#This Row],[Time]],PeakCalc!$G$10:$G$303,0))</f>
        <v>1</v>
      </c>
    </row>
    <row r="271" spans="1:9" x14ac:dyDescent="0.3">
      <c r="A271" t="s">
        <v>94</v>
      </c>
      <c r="B271" t="s">
        <v>99</v>
      </c>
      <c r="C271" t="s">
        <v>92</v>
      </c>
      <c r="D271" t="s">
        <v>88</v>
      </c>
      <c r="E271" t="s">
        <v>90</v>
      </c>
      <c r="F271" s="6">
        <v>0.55208333333333337</v>
      </c>
      <c r="G271">
        <v>9</v>
      </c>
      <c r="H271" s="6">
        <f>FLOOR(tblPivotData[[#This Row],[Time]],Summary!$B$6/1440)</f>
        <v>0.55208333333333326</v>
      </c>
      <c r="I271">
        <f>INDEX(PeakCalc!$L$10:$L$303,MATCH(tblPivotData[[#This Row],[Time]],PeakCalc!$G$10:$G$303,0))</f>
        <v>1</v>
      </c>
    </row>
    <row r="272" spans="1:9" x14ac:dyDescent="0.3">
      <c r="A272" t="s">
        <v>94</v>
      </c>
      <c r="B272" t="s">
        <v>99</v>
      </c>
      <c r="C272" t="s">
        <v>92</v>
      </c>
      <c r="D272" t="s">
        <v>88</v>
      </c>
      <c r="E272" t="s">
        <v>90</v>
      </c>
      <c r="F272" s="6">
        <v>0.5625</v>
      </c>
      <c r="G272">
        <v>4</v>
      </c>
      <c r="H272" s="6">
        <f>FLOOR(tblPivotData[[#This Row],[Time]],Summary!$B$6/1440)</f>
        <v>0.5625</v>
      </c>
      <c r="I272">
        <f>INDEX(PeakCalc!$L$10:$L$303,MATCH(tblPivotData[[#This Row],[Time]],PeakCalc!$G$10:$G$303,0))</f>
        <v>1</v>
      </c>
    </row>
    <row r="273" spans="1:9" x14ac:dyDescent="0.3">
      <c r="A273" t="s">
        <v>94</v>
      </c>
      <c r="B273" t="s">
        <v>99</v>
      </c>
      <c r="C273" t="s">
        <v>92</v>
      </c>
      <c r="D273" t="s">
        <v>88</v>
      </c>
      <c r="E273" t="s">
        <v>90</v>
      </c>
      <c r="F273" s="6">
        <v>0.57291666666666663</v>
      </c>
      <c r="G273">
        <v>8</v>
      </c>
      <c r="H273" s="6">
        <f>FLOOR(tblPivotData[[#This Row],[Time]],Summary!$B$6/1440)</f>
        <v>0.57291666666666663</v>
      </c>
      <c r="I273">
        <f>INDEX(PeakCalc!$L$10:$L$303,MATCH(tblPivotData[[#This Row],[Time]],PeakCalc!$G$10:$G$303,0))</f>
        <v>1</v>
      </c>
    </row>
    <row r="274" spans="1:9" x14ac:dyDescent="0.3">
      <c r="A274" t="s">
        <v>94</v>
      </c>
      <c r="B274" t="s">
        <v>99</v>
      </c>
      <c r="C274" t="s">
        <v>92</v>
      </c>
      <c r="D274" t="s">
        <v>88</v>
      </c>
      <c r="E274" t="s">
        <v>44</v>
      </c>
      <c r="F274" s="6">
        <v>0.66666666666666663</v>
      </c>
      <c r="G274">
        <v>10</v>
      </c>
      <c r="H274" s="6">
        <f>FLOOR(tblPivotData[[#This Row],[Time]],Summary!$B$6/1440)</f>
        <v>0.66666666666666663</v>
      </c>
      <c r="I274">
        <f>INDEX(PeakCalc!$L$10:$L$303,MATCH(tblPivotData[[#This Row],[Time]],PeakCalc!$G$10:$G$303,0))</f>
        <v>0</v>
      </c>
    </row>
    <row r="275" spans="1:9" x14ac:dyDescent="0.3">
      <c r="A275" t="s">
        <v>94</v>
      </c>
      <c r="B275" t="s">
        <v>99</v>
      </c>
      <c r="C275" t="s">
        <v>92</v>
      </c>
      <c r="D275" t="s">
        <v>88</v>
      </c>
      <c r="E275" t="s">
        <v>44</v>
      </c>
      <c r="F275" s="6">
        <v>0.67708333333333337</v>
      </c>
      <c r="G275">
        <v>2</v>
      </c>
      <c r="H275" s="6">
        <f>FLOOR(tblPivotData[[#This Row],[Time]],Summary!$B$6/1440)</f>
        <v>0.67708333333333326</v>
      </c>
      <c r="I275">
        <f>INDEX(PeakCalc!$L$10:$L$303,MATCH(tblPivotData[[#This Row],[Time]],PeakCalc!$G$10:$G$303,0))</f>
        <v>0</v>
      </c>
    </row>
    <row r="276" spans="1:9" x14ac:dyDescent="0.3">
      <c r="A276" t="s">
        <v>94</v>
      </c>
      <c r="B276" t="s">
        <v>99</v>
      </c>
      <c r="C276" t="s">
        <v>92</v>
      </c>
      <c r="D276" t="s">
        <v>88</v>
      </c>
      <c r="E276" t="s">
        <v>44</v>
      </c>
      <c r="F276" s="6">
        <v>0.6875</v>
      </c>
      <c r="G276">
        <v>5</v>
      </c>
      <c r="H276" s="6">
        <f>FLOOR(tblPivotData[[#This Row],[Time]],Summary!$B$6/1440)</f>
        <v>0.6875</v>
      </c>
      <c r="I276">
        <f>INDEX(PeakCalc!$L$10:$L$303,MATCH(tblPivotData[[#This Row],[Time]],PeakCalc!$G$10:$G$303,0))</f>
        <v>1</v>
      </c>
    </row>
    <row r="277" spans="1:9" x14ac:dyDescent="0.3">
      <c r="A277" t="s">
        <v>94</v>
      </c>
      <c r="B277" t="s">
        <v>99</v>
      </c>
      <c r="C277" t="s">
        <v>92</v>
      </c>
      <c r="D277" t="s">
        <v>88</v>
      </c>
      <c r="E277" t="s">
        <v>44</v>
      </c>
      <c r="F277" s="6">
        <v>0.69791666666666663</v>
      </c>
      <c r="G277">
        <v>4</v>
      </c>
      <c r="H277" s="6">
        <f>FLOOR(tblPivotData[[#This Row],[Time]],Summary!$B$6/1440)</f>
        <v>0.69791666666666663</v>
      </c>
      <c r="I277">
        <f>INDEX(PeakCalc!$L$10:$L$303,MATCH(tblPivotData[[#This Row],[Time]],PeakCalc!$G$10:$G$303,0))</f>
        <v>1</v>
      </c>
    </row>
    <row r="278" spans="1:9" x14ac:dyDescent="0.3">
      <c r="A278" t="s">
        <v>94</v>
      </c>
      <c r="B278" t="s">
        <v>99</v>
      </c>
      <c r="C278" t="s">
        <v>92</v>
      </c>
      <c r="D278" t="s">
        <v>88</v>
      </c>
      <c r="E278" t="s">
        <v>44</v>
      </c>
      <c r="F278" s="6">
        <v>0.70833333333333337</v>
      </c>
      <c r="G278">
        <v>5</v>
      </c>
      <c r="H278" s="6">
        <f>FLOOR(tblPivotData[[#This Row],[Time]],Summary!$B$6/1440)</f>
        <v>0.70833333333333326</v>
      </c>
      <c r="I278">
        <f>INDEX(PeakCalc!$L$10:$L$303,MATCH(tblPivotData[[#This Row],[Time]],PeakCalc!$G$10:$G$303,0))</f>
        <v>1</v>
      </c>
    </row>
    <row r="279" spans="1:9" x14ac:dyDescent="0.3">
      <c r="A279" t="s">
        <v>94</v>
      </c>
      <c r="B279" t="s">
        <v>99</v>
      </c>
      <c r="C279" t="s">
        <v>92</v>
      </c>
      <c r="D279" t="s">
        <v>88</v>
      </c>
      <c r="E279" t="s">
        <v>44</v>
      </c>
      <c r="F279" s="6">
        <v>0.71875</v>
      </c>
      <c r="G279">
        <v>1</v>
      </c>
      <c r="H279" s="6">
        <f>FLOOR(tblPivotData[[#This Row],[Time]],Summary!$B$6/1440)</f>
        <v>0.71875</v>
      </c>
      <c r="I279">
        <f>INDEX(PeakCalc!$L$10:$L$303,MATCH(tblPivotData[[#This Row],[Time]],PeakCalc!$G$10:$G$303,0))</f>
        <v>1</v>
      </c>
    </row>
    <row r="280" spans="1:9" x14ac:dyDescent="0.3">
      <c r="A280" t="s">
        <v>94</v>
      </c>
      <c r="B280" t="s">
        <v>99</v>
      </c>
      <c r="C280" t="s">
        <v>92</v>
      </c>
      <c r="D280" t="s">
        <v>88</v>
      </c>
      <c r="E280" t="s">
        <v>44</v>
      </c>
      <c r="F280" s="6">
        <v>0.72916666666666663</v>
      </c>
      <c r="G280">
        <v>3</v>
      </c>
      <c r="H280" s="6">
        <f>FLOOR(tblPivotData[[#This Row],[Time]],Summary!$B$6/1440)</f>
        <v>0.72916666666666663</v>
      </c>
      <c r="I280">
        <f>INDEX(PeakCalc!$L$10:$L$303,MATCH(tblPivotData[[#This Row],[Time]],PeakCalc!$G$10:$G$303,0))</f>
        <v>0</v>
      </c>
    </row>
    <row r="281" spans="1:9" x14ac:dyDescent="0.3">
      <c r="A281" t="s">
        <v>94</v>
      </c>
      <c r="B281" t="s">
        <v>99</v>
      </c>
      <c r="C281" t="s">
        <v>92</v>
      </c>
      <c r="D281" t="s">
        <v>88</v>
      </c>
      <c r="E281" t="s">
        <v>44</v>
      </c>
      <c r="F281" s="6">
        <v>0.73958333333333337</v>
      </c>
      <c r="G281">
        <v>3</v>
      </c>
      <c r="H281" s="6">
        <f>FLOOR(tblPivotData[[#This Row],[Time]],Summary!$B$6/1440)</f>
        <v>0.73958333333333326</v>
      </c>
      <c r="I281">
        <f>INDEX(PeakCalc!$L$10:$L$303,MATCH(tblPivotData[[#This Row],[Time]],PeakCalc!$G$10:$G$303,0))</f>
        <v>0</v>
      </c>
    </row>
    <row r="282" spans="1:9" x14ac:dyDescent="0.3">
      <c r="A282" t="s">
        <v>94</v>
      </c>
      <c r="B282" t="s">
        <v>99</v>
      </c>
      <c r="C282" t="s">
        <v>92</v>
      </c>
      <c r="D282" t="s">
        <v>89</v>
      </c>
      <c r="E282" t="s">
        <v>43</v>
      </c>
      <c r="F282" s="6">
        <v>0.29166666666666669</v>
      </c>
      <c r="G282">
        <v>3</v>
      </c>
      <c r="H282" s="6">
        <f>FLOOR(tblPivotData[[#This Row],[Time]],Summary!$B$6/1440)</f>
        <v>0.29166666666666663</v>
      </c>
      <c r="I282">
        <f>INDEX(PeakCalc!$L$10:$L$303,MATCH(tblPivotData[[#This Row],[Time]],PeakCalc!$G$10:$G$303,0))</f>
        <v>0</v>
      </c>
    </row>
    <row r="283" spans="1:9" x14ac:dyDescent="0.3">
      <c r="A283" t="s">
        <v>94</v>
      </c>
      <c r="B283" t="s">
        <v>99</v>
      </c>
      <c r="C283" t="s">
        <v>92</v>
      </c>
      <c r="D283" t="s">
        <v>89</v>
      </c>
      <c r="E283" t="s">
        <v>43</v>
      </c>
      <c r="F283" s="6">
        <v>0.30208333333333331</v>
      </c>
      <c r="G283">
        <v>0</v>
      </c>
      <c r="H283" s="6">
        <f>FLOOR(tblPivotData[[#This Row],[Time]],Summary!$B$6/1440)</f>
        <v>0.30208333333333331</v>
      </c>
      <c r="I283">
        <f>INDEX(PeakCalc!$L$10:$L$303,MATCH(tblPivotData[[#This Row],[Time]],PeakCalc!$G$10:$G$303,0))</f>
        <v>0</v>
      </c>
    </row>
    <row r="284" spans="1:9" x14ac:dyDescent="0.3">
      <c r="A284" t="s">
        <v>94</v>
      </c>
      <c r="B284" t="s">
        <v>99</v>
      </c>
      <c r="C284" t="s">
        <v>92</v>
      </c>
      <c r="D284" t="s">
        <v>89</v>
      </c>
      <c r="E284" t="s">
        <v>43</v>
      </c>
      <c r="F284" s="6">
        <v>0.3125</v>
      </c>
      <c r="G284">
        <v>1</v>
      </c>
      <c r="H284" s="6">
        <f>FLOOR(tblPivotData[[#This Row],[Time]],Summary!$B$6/1440)</f>
        <v>0.3125</v>
      </c>
      <c r="I284">
        <f>INDEX(PeakCalc!$L$10:$L$303,MATCH(tblPivotData[[#This Row],[Time]],PeakCalc!$G$10:$G$303,0))</f>
        <v>0</v>
      </c>
    </row>
    <row r="285" spans="1:9" x14ac:dyDescent="0.3">
      <c r="A285" t="s">
        <v>94</v>
      </c>
      <c r="B285" t="s">
        <v>99</v>
      </c>
      <c r="C285" t="s">
        <v>92</v>
      </c>
      <c r="D285" t="s">
        <v>89</v>
      </c>
      <c r="E285" t="s">
        <v>43</v>
      </c>
      <c r="F285" s="6">
        <v>0.32291666666666669</v>
      </c>
      <c r="G285">
        <v>1</v>
      </c>
      <c r="H285" s="6">
        <f>FLOOR(tblPivotData[[#This Row],[Time]],Summary!$B$6/1440)</f>
        <v>0.32291666666666663</v>
      </c>
      <c r="I285">
        <f>INDEX(PeakCalc!$L$10:$L$303,MATCH(tblPivotData[[#This Row],[Time]],PeakCalc!$G$10:$G$303,0))</f>
        <v>0</v>
      </c>
    </row>
    <row r="286" spans="1:9" x14ac:dyDescent="0.3">
      <c r="A286" t="s">
        <v>94</v>
      </c>
      <c r="B286" t="s">
        <v>99</v>
      </c>
      <c r="C286" t="s">
        <v>92</v>
      </c>
      <c r="D286" t="s">
        <v>89</v>
      </c>
      <c r="E286" t="s">
        <v>43</v>
      </c>
      <c r="F286" s="6">
        <v>0.33333333333333331</v>
      </c>
      <c r="G286">
        <v>0</v>
      </c>
      <c r="H286" s="6">
        <f>FLOOR(tblPivotData[[#This Row],[Time]],Summary!$B$6/1440)</f>
        <v>0.33333333333333331</v>
      </c>
      <c r="I286">
        <f>INDEX(PeakCalc!$L$10:$L$303,MATCH(tblPivotData[[#This Row],[Time]],PeakCalc!$G$10:$G$303,0))</f>
        <v>1</v>
      </c>
    </row>
    <row r="287" spans="1:9" x14ac:dyDescent="0.3">
      <c r="A287" t="s">
        <v>94</v>
      </c>
      <c r="B287" t="s">
        <v>99</v>
      </c>
      <c r="C287" t="s">
        <v>92</v>
      </c>
      <c r="D287" t="s">
        <v>89</v>
      </c>
      <c r="E287" t="s">
        <v>43</v>
      </c>
      <c r="F287" s="6">
        <v>0.34375</v>
      </c>
      <c r="G287">
        <v>1</v>
      </c>
      <c r="H287" s="6">
        <f>FLOOR(tblPivotData[[#This Row],[Time]],Summary!$B$6/1440)</f>
        <v>0.34375</v>
      </c>
      <c r="I287">
        <f>INDEX(PeakCalc!$L$10:$L$303,MATCH(tblPivotData[[#This Row],[Time]],PeakCalc!$G$10:$G$303,0))</f>
        <v>1</v>
      </c>
    </row>
    <row r="288" spans="1:9" x14ac:dyDescent="0.3">
      <c r="A288" t="s">
        <v>94</v>
      </c>
      <c r="B288" t="s">
        <v>99</v>
      </c>
      <c r="C288" t="s">
        <v>92</v>
      </c>
      <c r="D288" t="s">
        <v>89</v>
      </c>
      <c r="E288" t="s">
        <v>43</v>
      </c>
      <c r="F288" s="6">
        <v>0.35416666666666669</v>
      </c>
      <c r="G288">
        <v>1</v>
      </c>
      <c r="H288" s="6">
        <f>FLOOR(tblPivotData[[#This Row],[Time]],Summary!$B$6/1440)</f>
        <v>0.35416666666666663</v>
      </c>
      <c r="I288">
        <f>INDEX(PeakCalc!$L$10:$L$303,MATCH(tblPivotData[[#This Row],[Time]],PeakCalc!$G$10:$G$303,0))</f>
        <v>1</v>
      </c>
    </row>
    <row r="289" spans="1:9" x14ac:dyDescent="0.3">
      <c r="A289" t="s">
        <v>94</v>
      </c>
      <c r="B289" t="s">
        <v>99</v>
      </c>
      <c r="C289" t="s">
        <v>92</v>
      </c>
      <c r="D289" t="s">
        <v>89</v>
      </c>
      <c r="E289" t="s">
        <v>43</v>
      </c>
      <c r="F289" s="6">
        <v>0.36458333333333331</v>
      </c>
      <c r="G289">
        <v>1</v>
      </c>
      <c r="H289" s="6">
        <f>FLOOR(tblPivotData[[#This Row],[Time]],Summary!$B$6/1440)</f>
        <v>0.36458333333333331</v>
      </c>
      <c r="I289">
        <f>INDEX(PeakCalc!$L$10:$L$303,MATCH(tblPivotData[[#This Row],[Time]],PeakCalc!$G$10:$G$303,0))</f>
        <v>1</v>
      </c>
    </row>
    <row r="290" spans="1:9" x14ac:dyDescent="0.3">
      <c r="A290" t="s">
        <v>94</v>
      </c>
      <c r="B290" t="s">
        <v>99</v>
      </c>
      <c r="C290" t="s">
        <v>92</v>
      </c>
      <c r="D290" t="s">
        <v>89</v>
      </c>
      <c r="E290" t="s">
        <v>90</v>
      </c>
      <c r="F290" s="6">
        <v>0.54166666666666663</v>
      </c>
      <c r="G290">
        <v>0</v>
      </c>
      <c r="H290" s="6">
        <f>FLOOR(tblPivotData[[#This Row],[Time]],Summary!$B$6/1440)</f>
        <v>0.54166666666666663</v>
      </c>
      <c r="I290">
        <f>INDEX(PeakCalc!$L$10:$L$303,MATCH(tblPivotData[[#This Row],[Time]],PeakCalc!$G$10:$G$303,0))</f>
        <v>1</v>
      </c>
    </row>
    <row r="291" spans="1:9" x14ac:dyDescent="0.3">
      <c r="A291" t="s">
        <v>94</v>
      </c>
      <c r="B291" t="s">
        <v>99</v>
      </c>
      <c r="C291" t="s">
        <v>92</v>
      </c>
      <c r="D291" t="s">
        <v>89</v>
      </c>
      <c r="E291" t="s">
        <v>90</v>
      </c>
      <c r="F291" s="6">
        <v>0.55208333333333337</v>
      </c>
      <c r="G291">
        <v>1</v>
      </c>
      <c r="H291" s="6">
        <f>FLOOR(tblPivotData[[#This Row],[Time]],Summary!$B$6/1440)</f>
        <v>0.55208333333333326</v>
      </c>
      <c r="I291">
        <f>INDEX(PeakCalc!$L$10:$L$303,MATCH(tblPivotData[[#This Row],[Time]],PeakCalc!$G$10:$G$303,0))</f>
        <v>1</v>
      </c>
    </row>
    <row r="292" spans="1:9" x14ac:dyDescent="0.3">
      <c r="A292" t="s">
        <v>94</v>
      </c>
      <c r="B292" t="s">
        <v>99</v>
      </c>
      <c r="C292" t="s">
        <v>92</v>
      </c>
      <c r="D292" t="s">
        <v>89</v>
      </c>
      <c r="E292" t="s">
        <v>90</v>
      </c>
      <c r="F292" s="6">
        <v>0.5625</v>
      </c>
      <c r="G292">
        <v>1</v>
      </c>
      <c r="H292" s="6">
        <f>FLOOR(tblPivotData[[#This Row],[Time]],Summary!$B$6/1440)</f>
        <v>0.5625</v>
      </c>
      <c r="I292">
        <f>INDEX(PeakCalc!$L$10:$L$303,MATCH(tblPivotData[[#This Row],[Time]],PeakCalc!$G$10:$G$303,0))</f>
        <v>1</v>
      </c>
    </row>
    <row r="293" spans="1:9" x14ac:dyDescent="0.3">
      <c r="A293" t="s">
        <v>94</v>
      </c>
      <c r="B293" t="s">
        <v>99</v>
      </c>
      <c r="C293" t="s">
        <v>92</v>
      </c>
      <c r="D293" t="s">
        <v>89</v>
      </c>
      <c r="E293" t="s">
        <v>90</v>
      </c>
      <c r="F293" s="6">
        <v>0.57291666666666663</v>
      </c>
      <c r="G293">
        <v>0</v>
      </c>
      <c r="H293" s="6">
        <f>FLOOR(tblPivotData[[#This Row],[Time]],Summary!$B$6/1440)</f>
        <v>0.57291666666666663</v>
      </c>
      <c r="I293">
        <f>INDEX(PeakCalc!$L$10:$L$303,MATCH(tblPivotData[[#This Row],[Time]],PeakCalc!$G$10:$G$303,0))</f>
        <v>1</v>
      </c>
    </row>
    <row r="294" spans="1:9" x14ac:dyDescent="0.3">
      <c r="A294" t="s">
        <v>94</v>
      </c>
      <c r="B294" t="s">
        <v>99</v>
      </c>
      <c r="C294" t="s">
        <v>92</v>
      </c>
      <c r="D294" t="s">
        <v>89</v>
      </c>
      <c r="E294" t="s">
        <v>44</v>
      </c>
      <c r="F294" s="6">
        <v>0.66666666666666663</v>
      </c>
      <c r="G294">
        <v>2</v>
      </c>
      <c r="H294" s="6">
        <f>FLOOR(tblPivotData[[#This Row],[Time]],Summary!$B$6/1440)</f>
        <v>0.66666666666666663</v>
      </c>
      <c r="I294">
        <f>INDEX(PeakCalc!$L$10:$L$303,MATCH(tblPivotData[[#This Row],[Time]],PeakCalc!$G$10:$G$303,0))</f>
        <v>0</v>
      </c>
    </row>
    <row r="295" spans="1:9" x14ac:dyDescent="0.3">
      <c r="A295" t="s">
        <v>94</v>
      </c>
      <c r="B295" t="s">
        <v>99</v>
      </c>
      <c r="C295" t="s">
        <v>92</v>
      </c>
      <c r="D295" t="s">
        <v>89</v>
      </c>
      <c r="E295" t="s">
        <v>44</v>
      </c>
      <c r="F295" s="6">
        <v>0.67708333333333337</v>
      </c>
      <c r="G295">
        <v>0</v>
      </c>
      <c r="H295" s="6">
        <f>FLOOR(tblPivotData[[#This Row],[Time]],Summary!$B$6/1440)</f>
        <v>0.67708333333333326</v>
      </c>
      <c r="I295">
        <f>INDEX(PeakCalc!$L$10:$L$303,MATCH(tblPivotData[[#This Row],[Time]],PeakCalc!$G$10:$G$303,0))</f>
        <v>0</v>
      </c>
    </row>
    <row r="296" spans="1:9" x14ac:dyDescent="0.3">
      <c r="A296" t="s">
        <v>94</v>
      </c>
      <c r="B296" t="s">
        <v>99</v>
      </c>
      <c r="C296" t="s">
        <v>92</v>
      </c>
      <c r="D296" t="s">
        <v>89</v>
      </c>
      <c r="E296" t="s">
        <v>44</v>
      </c>
      <c r="F296" s="6">
        <v>0.6875</v>
      </c>
      <c r="G296">
        <v>4</v>
      </c>
      <c r="H296" s="6">
        <f>FLOOR(tblPivotData[[#This Row],[Time]],Summary!$B$6/1440)</f>
        <v>0.6875</v>
      </c>
      <c r="I296">
        <f>INDEX(PeakCalc!$L$10:$L$303,MATCH(tblPivotData[[#This Row],[Time]],PeakCalc!$G$10:$G$303,0))</f>
        <v>1</v>
      </c>
    </row>
    <row r="297" spans="1:9" x14ac:dyDescent="0.3">
      <c r="A297" t="s">
        <v>94</v>
      </c>
      <c r="B297" t="s">
        <v>99</v>
      </c>
      <c r="C297" t="s">
        <v>92</v>
      </c>
      <c r="D297" t="s">
        <v>89</v>
      </c>
      <c r="E297" t="s">
        <v>44</v>
      </c>
      <c r="F297" s="6">
        <v>0.69791666666666663</v>
      </c>
      <c r="G297">
        <v>0</v>
      </c>
      <c r="H297" s="6">
        <f>FLOOR(tblPivotData[[#This Row],[Time]],Summary!$B$6/1440)</f>
        <v>0.69791666666666663</v>
      </c>
      <c r="I297">
        <f>INDEX(PeakCalc!$L$10:$L$303,MATCH(tblPivotData[[#This Row],[Time]],PeakCalc!$G$10:$G$303,0))</f>
        <v>1</v>
      </c>
    </row>
    <row r="298" spans="1:9" x14ac:dyDescent="0.3">
      <c r="A298" t="s">
        <v>94</v>
      </c>
      <c r="B298" t="s">
        <v>99</v>
      </c>
      <c r="C298" t="s">
        <v>92</v>
      </c>
      <c r="D298" t="s">
        <v>89</v>
      </c>
      <c r="E298" t="s">
        <v>44</v>
      </c>
      <c r="F298" s="6">
        <v>0.70833333333333337</v>
      </c>
      <c r="G298">
        <v>2</v>
      </c>
      <c r="H298" s="6">
        <f>FLOOR(tblPivotData[[#This Row],[Time]],Summary!$B$6/1440)</f>
        <v>0.70833333333333326</v>
      </c>
      <c r="I298">
        <f>INDEX(PeakCalc!$L$10:$L$303,MATCH(tblPivotData[[#This Row],[Time]],PeakCalc!$G$10:$G$303,0))</f>
        <v>1</v>
      </c>
    </row>
    <row r="299" spans="1:9" x14ac:dyDescent="0.3">
      <c r="A299" t="s">
        <v>94</v>
      </c>
      <c r="B299" t="s">
        <v>99</v>
      </c>
      <c r="C299" t="s">
        <v>92</v>
      </c>
      <c r="D299" t="s">
        <v>89</v>
      </c>
      <c r="E299" t="s">
        <v>44</v>
      </c>
      <c r="F299" s="6">
        <v>0.71875</v>
      </c>
      <c r="G299">
        <v>2</v>
      </c>
      <c r="H299" s="6">
        <f>FLOOR(tblPivotData[[#This Row],[Time]],Summary!$B$6/1440)</f>
        <v>0.71875</v>
      </c>
      <c r="I299">
        <f>INDEX(PeakCalc!$L$10:$L$303,MATCH(tblPivotData[[#This Row],[Time]],PeakCalc!$G$10:$G$303,0))</f>
        <v>1</v>
      </c>
    </row>
    <row r="300" spans="1:9" x14ac:dyDescent="0.3">
      <c r="A300" t="s">
        <v>94</v>
      </c>
      <c r="B300" t="s">
        <v>99</v>
      </c>
      <c r="C300" t="s">
        <v>92</v>
      </c>
      <c r="D300" t="s">
        <v>89</v>
      </c>
      <c r="E300" t="s">
        <v>44</v>
      </c>
      <c r="F300" s="6">
        <v>0.72916666666666663</v>
      </c>
      <c r="G300">
        <v>3</v>
      </c>
      <c r="H300" s="6">
        <f>FLOOR(tblPivotData[[#This Row],[Time]],Summary!$B$6/1440)</f>
        <v>0.72916666666666663</v>
      </c>
      <c r="I300">
        <f>INDEX(PeakCalc!$L$10:$L$303,MATCH(tblPivotData[[#This Row],[Time]],PeakCalc!$G$10:$G$303,0))</f>
        <v>0</v>
      </c>
    </row>
    <row r="301" spans="1:9" x14ac:dyDescent="0.3">
      <c r="A301" t="s">
        <v>94</v>
      </c>
      <c r="B301" t="s">
        <v>99</v>
      </c>
      <c r="C301" t="s">
        <v>92</v>
      </c>
      <c r="D301" t="s">
        <v>89</v>
      </c>
      <c r="E301" t="s">
        <v>44</v>
      </c>
      <c r="F301" s="6">
        <v>0.73958333333333337</v>
      </c>
      <c r="G301">
        <v>2</v>
      </c>
      <c r="H301" s="6">
        <f>FLOOR(tblPivotData[[#This Row],[Time]],Summary!$B$6/1440)</f>
        <v>0.73958333333333326</v>
      </c>
      <c r="I301">
        <f>INDEX(PeakCalc!$L$10:$L$303,MATCH(tblPivotData[[#This Row],[Time]],PeakCalc!$G$10:$G$303,0))</f>
        <v>0</v>
      </c>
    </row>
    <row r="302" spans="1:9" x14ac:dyDescent="0.3">
      <c r="A302" t="s">
        <v>94</v>
      </c>
      <c r="B302" t="s">
        <v>100</v>
      </c>
      <c r="C302" t="s">
        <v>93</v>
      </c>
      <c r="D302" t="s">
        <v>79</v>
      </c>
      <c r="E302" t="s">
        <v>43</v>
      </c>
      <c r="F302" s="6">
        <v>0.29166666666666669</v>
      </c>
      <c r="G302">
        <v>3</v>
      </c>
      <c r="H302" s="6">
        <f>FLOOR(tblPivotData[[#This Row],[Time]],Summary!$B$6/1440)</f>
        <v>0.29166666666666663</v>
      </c>
      <c r="I302">
        <f>INDEX(PeakCalc!$L$10:$L$303,MATCH(tblPivotData[[#This Row],[Time]],PeakCalc!$G$10:$G$303,0))</f>
        <v>0</v>
      </c>
    </row>
    <row r="303" spans="1:9" x14ac:dyDescent="0.3">
      <c r="A303" t="s">
        <v>94</v>
      </c>
      <c r="B303" t="s">
        <v>100</v>
      </c>
      <c r="C303" t="s">
        <v>93</v>
      </c>
      <c r="D303" t="s">
        <v>79</v>
      </c>
      <c r="E303" t="s">
        <v>43</v>
      </c>
      <c r="F303" s="6">
        <v>0.30208333333333331</v>
      </c>
      <c r="G303">
        <v>4</v>
      </c>
      <c r="H303" s="6">
        <f>FLOOR(tblPivotData[[#This Row],[Time]],Summary!$B$6/1440)</f>
        <v>0.30208333333333331</v>
      </c>
      <c r="I303">
        <f>INDEX(PeakCalc!$L$10:$L$303,MATCH(tblPivotData[[#This Row],[Time]],PeakCalc!$G$10:$G$303,0))</f>
        <v>0</v>
      </c>
    </row>
    <row r="304" spans="1:9" x14ac:dyDescent="0.3">
      <c r="A304" t="s">
        <v>94</v>
      </c>
      <c r="B304" t="s">
        <v>100</v>
      </c>
      <c r="C304" t="s">
        <v>93</v>
      </c>
      <c r="D304" t="s">
        <v>79</v>
      </c>
      <c r="E304" t="s">
        <v>43</v>
      </c>
      <c r="F304" s="6">
        <v>0.3125</v>
      </c>
      <c r="G304">
        <v>4</v>
      </c>
      <c r="H304" s="6">
        <f>FLOOR(tblPivotData[[#This Row],[Time]],Summary!$B$6/1440)</f>
        <v>0.3125</v>
      </c>
      <c r="I304">
        <f>INDEX(PeakCalc!$L$10:$L$303,MATCH(tblPivotData[[#This Row],[Time]],PeakCalc!$G$10:$G$303,0))</f>
        <v>0</v>
      </c>
    </row>
    <row r="305" spans="1:9" x14ac:dyDescent="0.3">
      <c r="A305" t="s">
        <v>94</v>
      </c>
      <c r="B305" t="s">
        <v>100</v>
      </c>
      <c r="C305" t="s">
        <v>93</v>
      </c>
      <c r="D305" t="s">
        <v>79</v>
      </c>
      <c r="E305" t="s">
        <v>43</v>
      </c>
      <c r="F305" s="6">
        <v>0.32291666666666669</v>
      </c>
      <c r="G305">
        <v>6</v>
      </c>
      <c r="H305" s="6">
        <f>FLOOR(tblPivotData[[#This Row],[Time]],Summary!$B$6/1440)</f>
        <v>0.32291666666666663</v>
      </c>
      <c r="I305">
        <f>INDEX(PeakCalc!$L$10:$L$303,MATCH(tblPivotData[[#This Row],[Time]],PeakCalc!$G$10:$G$303,0))</f>
        <v>0</v>
      </c>
    </row>
    <row r="306" spans="1:9" x14ac:dyDescent="0.3">
      <c r="A306" t="s">
        <v>94</v>
      </c>
      <c r="B306" t="s">
        <v>100</v>
      </c>
      <c r="C306" t="s">
        <v>93</v>
      </c>
      <c r="D306" t="s">
        <v>79</v>
      </c>
      <c r="E306" t="s">
        <v>43</v>
      </c>
      <c r="F306" s="6">
        <v>0.33333333333333331</v>
      </c>
      <c r="G306">
        <v>5</v>
      </c>
      <c r="H306" s="6">
        <f>FLOOR(tblPivotData[[#This Row],[Time]],Summary!$B$6/1440)</f>
        <v>0.33333333333333331</v>
      </c>
      <c r="I306">
        <f>INDEX(PeakCalc!$L$10:$L$303,MATCH(tblPivotData[[#This Row],[Time]],PeakCalc!$G$10:$G$303,0))</f>
        <v>1</v>
      </c>
    </row>
    <row r="307" spans="1:9" x14ac:dyDescent="0.3">
      <c r="A307" t="s">
        <v>94</v>
      </c>
      <c r="B307" t="s">
        <v>100</v>
      </c>
      <c r="C307" t="s">
        <v>93</v>
      </c>
      <c r="D307" t="s">
        <v>79</v>
      </c>
      <c r="E307" t="s">
        <v>43</v>
      </c>
      <c r="F307" s="6">
        <v>0.34375</v>
      </c>
      <c r="G307">
        <v>4</v>
      </c>
      <c r="H307" s="6">
        <f>FLOOR(tblPivotData[[#This Row],[Time]],Summary!$B$6/1440)</f>
        <v>0.34375</v>
      </c>
      <c r="I307">
        <f>INDEX(PeakCalc!$L$10:$L$303,MATCH(tblPivotData[[#This Row],[Time]],PeakCalc!$G$10:$G$303,0))</f>
        <v>1</v>
      </c>
    </row>
    <row r="308" spans="1:9" x14ac:dyDescent="0.3">
      <c r="A308" t="s">
        <v>94</v>
      </c>
      <c r="B308" t="s">
        <v>100</v>
      </c>
      <c r="C308" t="s">
        <v>93</v>
      </c>
      <c r="D308" t="s">
        <v>79</v>
      </c>
      <c r="E308" t="s">
        <v>43</v>
      </c>
      <c r="F308" s="6">
        <v>0.35416666666666669</v>
      </c>
      <c r="G308">
        <v>4</v>
      </c>
      <c r="H308" s="6">
        <f>FLOOR(tblPivotData[[#This Row],[Time]],Summary!$B$6/1440)</f>
        <v>0.35416666666666663</v>
      </c>
      <c r="I308">
        <f>INDEX(PeakCalc!$L$10:$L$303,MATCH(tblPivotData[[#This Row],[Time]],PeakCalc!$G$10:$G$303,0))</f>
        <v>1</v>
      </c>
    </row>
    <row r="309" spans="1:9" x14ac:dyDescent="0.3">
      <c r="A309" t="s">
        <v>94</v>
      </c>
      <c r="B309" t="s">
        <v>100</v>
      </c>
      <c r="C309" t="s">
        <v>93</v>
      </c>
      <c r="D309" t="s">
        <v>79</v>
      </c>
      <c r="E309" t="s">
        <v>43</v>
      </c>
      <c r="F309" s="6">
        <v>0.36458333333333331</v>
      </c>
      <c r="G309">
        <v>6</v>
      </c>
      <c r="H309" s="6">
        <f>FLOOR(tblPivotData[[#This Row],[Time]],Summary!$B$6/1440)</f>
        <v>0.36458333333333331</v>
      </c>
      <c r="I309">
        <f>INDEX(PeakCalc!$L$10:$L$303,MATCH(tblPivotData[[#This Row],[Time]],PeakCalc!$G$10:$G$303,0))</f>
        <v>1</v>
      </c>
    </row>
    <row r="310" spans="1:9" x14ac:dyDescent="0.3">
      <c r="A310" t="s">
        <v>94</v>
      </c>
      <c r="B310" t="s">
        <v>100</v>
      </c>
      <c r="C310" t="s">
        <v>93</v>
      </c>
      <c r="D310" t="s">
        <v>79</v>
      </c>
      <c r="E310" t="s">
        <v>90</v>
      </c>
      <c r="F310" s="6">
        <v>0.54166666666666663</v>
      </c>
      <c r="G310">
        <v>9</v>
      </c>
      <c r="H310" s="6">
        <f>FLOOR(tblPivotData[[#This Row],[Time]],Summary!$B$6/1440)</f>
        <v>0.54166666666666663</v>
      </c>
      <c r="I310">
        <f>INDEX(PeakCalc!$L$10:$L$303,MATCH(tblPivotData[[#This Row],[Time]],PeakCalc!$G$10:$G$303,0))</f>
        <v>1</v>
      </c>
    </row>
    <row r="311" spans="1:9" x14ac:dyDescent="0.3">
      <c r="A311" t="s">
        <v>94</v>
      </c>
      <c r="B311" t="s">
        <v>100</v>
      </c>
      <c r="C311" t="s">
        <v>93</v>
      </c>
      <c r="D311" t="s">
        <v>79</v>
      </c>
      <c r="E311" t="s">
        <v>90</v>
      </c>
      <c r="F311" s="6">
        <v>0.55208333333333337</v>
      </c>
      <c r="G311">
        <v>16</v>
      </c>
      <c r="H311" s="6">
        <f>FLOOR(tblPivotData[[#This Row],[Time]],Summary!$B$6/1440)</f>
        <v>0.55208333333333326</v>
      </c>
      <c r="I311">
        <f>INDEX(PeakCalc!$L$10:$L$303,MATCH(tblPivotData[[#This Row],[Time]],PeakCalc!$G$10:$G$303,0))</f>
        <v>1</v>
      </c>
    </row>
    <row r="312" spans="1:9" x14ac:dyDescent="0.3">
      <c r="A312" t="s">
        <v>94</v>
      </c>
      <c r="B312" t="s">
        <v>100</v>
      </c>
      <c r="C312" t="s">
        <v>93</v>
      </c>
      <c r="D312" t="s">
        <v>79</v>
      </c>
      <c r="E312" t="s">
        <v>90</v>
      </c>
      <c r="F312" s="6">
        <v>0.5625</v>
      </c>
      <c r="G312">
        <v>20</v>
      </c>
      <c r="H312" s="6">
        <f>FLOOR(tblPivotData[[#This Row],[Time]],Summary!$B$6/1440)</f>
        <v>0.5625</v>
      </c>
      <c r="I312">
        <f>INDEX(PeakCalc!$L$10:$L$303,MATCH(tblPivotData[[#This Row],[Time]],PeakCalc!$G$10:$G$303,0))</f>
        <v>1</v>
      </c>
    </row>
    <row r="313" spans="1:9" x14ac:dyDescent="0.3">
      <c r="A313" t="s">
        <v>94</v>
      </c>
      <c r="B313" t="s">
        <v>100</v>
      </c>
      <c r="C313" t="s">
        <v>93</v>
      </c>
      <c r="D313" t="s">
        <v>79</v>
      </c>
      <c r="E313" t="s">
        <v>90</v>
      </c>
      <c r="F313" s="6">
        <v>0.57291666666666663</v>
      </c>
      <c r="G313">
        <v>15</v>
      </c>
      <c r="H313" s="6">
        <f>FLOOR(tblPivotData[[#This Row],[Time]],Summary!$B$6/1440)</f>
        <v>0.57291666666666663</v>
      </c>
      <c r="I313">
        <f>INDEX(PeakCalc!$L$10:$L$303,MATCH(tblPivotData[[#This Row],[Time]],PeakCalc!$G$10:$G$303,0))</f>
        <v>1</v>
      </c>
    </row>
    <row r="314" spans="1:9" x14ac:dyDescent="0.3">
      <c r="A314" t="s">
        <v>94</v>
      </c>
      <c r="B314" t="s">
        <v>100</v>
      </c>
      <c r="C314" t="s">
        <v>93</v>
      </c>
      <c r="D314" t="s">
        <v>79</v>
      </c>
      <c r="E314" t="s">
        <v>44</v>
      </c>
      <c r="F314" s="6">
        <v>0.66666666666666663</v>
      </c>
      <c r="G314">
        <v>16</v>
      </c>
      <c r="H314" s="6">
        <f>FLOOR(tblPivotData[[#This Row],[Time]],Summary!$B$6/1440)</f>
        <v>0.66666666666666663</v>
      </c>
      <c r="I314">
        <f>INDEX(PeakCalc!$L$10:$L$303,MATCH(tblPivotData[[#This Row],[Time]],PeakCalc!$G$10:$G$303,0))</f>
        <v>0</v>
      </c>
    </row>
    <row r="315" spans="1:9" x14ac:dyDescent="0.3">
      <c r="A315" t="s">
        <v>94</v>
      </c>
      <c r="B315" t="s">
        <v>100</v>
      </c>
      <c r="C315" t="s">
        <v>93</v>
      </c>
      <c r="D315" t="s">
        <v>79</v>
      </c>
      <c r="E315" t="s">
        <v>44</v>
      </c>
      <c r="F315" s="6">
        <v>0.67708333333333337</v>
      </c>
      <c r="G315">
        <v>19</v>
      </c>
      <c r="H315" s="6">
        <f>FLOOR(tblPivotData[[#This Row],[Time]],Summary!$B$6/1440)</f>
        <v>0.67708333333333326</v>
      </c>
      <c r="I315">
        <f>INDEX(PeakCalc!$L$10:$L$303,MATCH(tblPivotData[[#This Row],[Time]],PeakCalc!$G$10:$G$303,0))</f>
        <v>0</v>
      </c>
    </row>
    <row r="316" spans="1:9" x14ac:dyDescent="0.3">
      <c r="A316" t="s">
        <v>94</v>
      </c>
      <c r="B316" t="s">
        <v>100</v>
      </c>
      <c r="C316" t="s">
        <v>93</v>
      </c>
      <c r="D316" t="s">
        <v>79</v>
      </c>
      <c r="E316" t="s">
        <v>44</v>
      </c>
      <c r="F316" s="6">
        <v>0.6875</v>
      </c>
      <c r="G316">
        <v>19</v>
      </c>
      <c r="H316" s="6">
        <f>FLOOR(tblPivotData[[#This Row],[Time]],Summary!$B$6/1440)</f>
        <v>0.6875</v>
      </c>
      <c r="I316">
        <f>INDEX(PeakCalc!$L$10:$L$303,MATCH(tblPivotData[[#This Row],[Time]],PeakCalc!$G$10:$G$303,0))</f>
        <v>1</v>
      </c>
    </row>
    <row r="317" spans="1:9" x14ac:dyDescent="0.3">
      <c r="A317" t="s">
        <v>94</v>
      </c>
      <c r="B317" t="s">
        <v>100</v>
      </c>
      <c r="C317" t="s">
        <v>93</v>
      </c>
      <c r="D317" t="s">
        <v>79</v>
      </c>
      <c r="E317" t="s">
        <v>44</v>
      </c>
      <c r="F317" s="6">
        <v>0.69791666666666663</v>
      </c>
      <c r="G317">
        <v>13</v>
      </c>
      <c r="H317" s="6">
        <f>FLOOR(tblPivotData[[#This Row],[Time]],Summary!$B$6/1440)</f>
        <v>0.69791666666666663</v>
      </c>
      <c r="I317">
        <f>INDEX(PeakCalc!$L$10:$L$303,MATCH(tblPivotData[[#This Row],[Time]],PeakCalc!$G$10:$G$303,0))</f>
        <v>1</v>
      </c>
    </row>
    <row r="318" spans="1:9" x14ac:dyDescent="0.3">
      <c r="A318" t="s">
        <v>94</v>
      </c>
      <c r="B318" t="s">
        <v>100</v>
      </c>
      <c r="C318" t="s">
        <v>93</v>
      </c>
      <c r="D318" t="s">
        <v>79</v>
      </c>
      <c r="E318" t="s">
        <v>44</v>
      </c>
      <c r="F318" s="6">
        <v>0.70833333333333337</v>
      </c>
      <c r="G318">
        <v>29</v>
      </c>
      <c r="H318" s="6">
        <f>FLOOR(tblPivotData[[#This Row],[Time]],Summary!$B$6/1440)</f>
        <v>0.70833333333333326</v>
      </c>
      <c r="I318">
        <f>INDEX(PeakCalc!$L$10:$L$303,MATCH(tblPivotData[[#This Row],[Time]],PeakCalc!$G$10:$G$303,0))</f>
        <v>1</v>
      </c>
    </row>
    <row r="319" spans="1:9" x14ac:dyDescent="0.3">
      <c r="A319" t="s">
        <v>94</v>
      </c>
      <c r="B319" t="s">
        <v>100</v>
      </c>
      <c r="C319" t="s">
        <v>93</v>
      </c>
      <c r="D319" t="s">
        <v>79</v>
      </c>
      <c r="E319" t="s">
        <v>44</v>
      </c>
      <c r="F319" s="6">
        <v>0.71875</v>
      </c>
      <c r="G319">
        <v>32</v>
      </c>
      <c r="H319" s="6">
        <f>FLOOR(tblPivotData[[#This Row],[Time]],Summary!$B$6/1440)</f>
        <v>0.71875</v>
      </c>
      <c r="I319">
        <f>INDEX(PeakCalc!$L$10:$L$303,MATCH(tblPivotData[[#This Row],[Time]],PeakCalc!$G$10:$G$303,0))</f>
        <v>1</v>
      </c>
    </row>
    <row r="320" spans="1:9" x14ac:dyDescent="0.3">
      <c r="A320" t="s">
        <v>94</v>
      </c>
      <c r="B320" t="s">
        <v>100</v>
      </c>
      <c r="C320" t="s">
        <v>93</v>
      </c>
      <c r="D320" t="s">
        <v>79</v>
      </c>
      <c r="E320" t="s">
        <v>44</v>
      </c>
      <c r="F320" s="6">
        <v>0.72916666666666663</v>
      </c>
      <c r="G320">
        <v>17</v>
      </c>
      <c r="H320" s="6">
        <f>FLOOR(tblPivotData[[#This Row],[Time]],Summary!$B$6/1440)</f>
        <v>0.72916666666666663</v>
      </c>
      <c r="I320">
        <f>INDEX(PeakCalc!$L$10:$L$303,MATCH(tblPivotData[[#This Row],[Time]],PeakCalc!$G$10:$G$303,0))</f>
        <v>0</v>
      </c>
    </row>
    <row r="321" spans="1:9" x14ac:dyDescent="0.3">
      <c r="A321" t="s">
        <v>94</v>
      </c>
      <c r="B321" t="s">
        <v>100</v>
      </c>
      <c r="C321" t="s">
        <v>93</v>
      </c>
      <c r="D321" t="s">
        <v>79</v>
      </c>
      <c r="E321" t="s">
        <v>44</v>
      </c>
      <c r="F321" s="6">
        <v>0.73958333333333337</v>
      </c>
      <c r="G321">
        <v>23</v>
      </c>
      <c r="H321" s="6">
        <f>FLOOR(tblPivotData[[#This Row],[Time]],Summary!$B$6/1440)</f>
        <v>0.73958333333333326</v>
      </c>
      <c r="I321">
        <f>INDEX(PeakCalc!$L$10:$L$303,MATCH(tblPivotData[[#This Row],[Time]],PeakCalc!$G$10:$G$303,0))</f>
        <v>0</v>
      </c>
    </row>
    <row r="322" spans="1:9" x14ac:dyDescent="0.3">
      <c r="A322" t="s">
        <v>94</v>
      </c>
      <c r="B322" t="s">
        <v>100</v>
      </c>
      <c r="C322" t="s">
        <v>93</v>
      </c>
      <c r="D322" t="s">
        <v>88</v>
      </c>
      <c r="E322" t="s">
        <v>43</v>
      </c>
      <c r="F322" s="6">
        <v>0.29166666666666669</v>
      </c>
      <c r="G322">
        <v>0</v>
      </c>
      <c r="H322" s="6">
        <f>FLOOR(tblPivotData[[#This Row],[Time]],Summary!$B$6/1440)</f>
        <v>0.29166666666666663</v>
      </c>
      <c r="I322">
        <f>INDEX(PeakCalc!$L$10:$L$303,MATCH(tblPivotData[[#This Row],[Time]],PeakCalc!$G$10:$G$303,0))</f>
        <v>0</v>
      </c>
    </row>
    <row r="323" spans="1:9" x14ac:dyDescent="0.3">
      <c r="A323" t="s">
        <v>94</v>
      </c>
      <c r="B323" t="s">
        <v>100</v>
      </c>
      <c r="C323" t="s">
        <v>93</v>
      </c>
      <c r="D323" t="s">
        <v>88</v>
      </c>
      <c r="E323" t="s">
        <v>43</v>
      </c>
      <c r="F323" s="6">
        <v>0.30208333333333331</v>
      </c>
      <c r="G323">
        <v>0</v>
      </c>
      <c r="H323" s="6">
        <f>FLOOR(tblPivotData[[#This Row],[Time]],Summary!$B$6/1440)</f>
        <v>0.30208333333333331</v>
      </c>
      <c r="I323">
        <f>INDEX(PeakCalc!$L$10:$L$303,MATCH(tblPivotData[[#This Row],[Time]],PeakCalc!$G$10:$G$303,0))</f>
        <v>0</v>
      </c>
    </row>
    <row r="324" spans="1:9" x14ac:dyDescent="0.3">
      <c r="A324" t="s">
        <v>94</v>
      </c>
      <c r="B324" t="s">
        <v>100</v>
      </c>
      <c r="C324" t="s">
        <v>93</v>
      </c>
      <c r="D324" t="s">
        <v>88</v>
      </c>
      <c r="E324" t="s">
        <v>43</v>
      </c>
      <c r="F324" s="6">
        <v>0.3125</v>
      </c>
      <c r="G324">
        <v>2</v>
      </c>
      <c r="H324" s="6">
        <f>FLOOR(tblPivotData[[#This Row],[Time]],Summary!$B$6/1440)</f>
        <v>0.3125</v>
      </c>
      <c r="I324">
        <f>INDEX(PeakCalc!$L$10:$L$303,MATCH(tblPivotData[[#This Row],[Time]],PeakCalc!$G$10:$G$303,0))</f>
        <v>0</v>
      </c>
    </row>
    <row r="325" spans="1:9" x14ac:dyDescent="0.3">
      <c r="A325" t="s">
        <v>94</v>
      </c>
      <c r="B325" t="s">
        <v>100</v>
      </c>
      <c r="C325" t="s">
        <v>93</v>
      </c>
      <c r="D325" t="s">
        <v>88</v>
      </c>
      <c r="E325" t="s">
        <v>43</v>
      </c>
      <c r="F325" s="6">
        <v>0.32291666666666669</v>
      </c>
      <c r="G325">
        <v>0</v>
      </c>
      <c r="H325" s="6">
        <f>FLOOR(tblPivotData[[#This Row],[Time]],Summary!$B$6/1440)</f>
        <v>0.32291666666666663</v>
      </c>
      <c r="I325">
        <f>INDEX(PeakCalc!$L$10:$L$303,MATCH(tblPivotData[[#This Row],[Time]],PeakCalc!$G$10:$G$303,0))</f>
        <v>0</v>
      </c>
    </row>
    <row r="326" spans="1:9" x14ac:dyDescent="0.3">
      <c r="A326" t="s">
        <v>94</v>
      </c>
      <c r="B326" t="s">
        <v>100</v>
      </c>
      <c r="C326" t="s">
        <v>93</v>
      </c>
      <c r="D326" t="s">
        <v>88</v>
      </c>
      <c r="E326" t="s">
        <v>43</v>
      </c>
      <c r="F326" s="6">
        <v>0.33333333333333331</v>
      </c>
      <c r="G326">
        <v>1</v>
      </c>
      <c r="H326" s="6">
        <f>FLOOR(tblPivotData[[#This Row],[Time]],Summary!$B$6/1440)</f>
        <v>0.33333333333333331</v>
      </c>
      <c r="I326">
        <f>INDEX(PeakCalc!$L$10:$L$303,MATCH(tblPivotData[[#This Row],[Time]],PeakCalc!$G$10:$G$303,0))</f>
        <v>1</v>
      </c>
    </row>
    <row r="327" spans="1:9" x14ac:dyDescent="0.3">
      <c r="A327" t="s">
        <v>94</v>
      </c>
      <c r="B327" t="s">
        <v>100</v>
      </c>
      <c r="C327" t="s">
        <v>93</v>
      </c>
      <c r="D327" t="s">
        <v>88</v>
      </c>
      <c r="E327" t="s">
        <v>43</v>
      </c>
      <c r="F327" s="6">
        <v>0.34375</v>
      </c>
      <c r="G327">
        <v>1</v>
      </c>
      <c r="H327" s="6">
        <f>FLOOR(tblPivotData[[#This Row],[Time]],Summary!$B$6/1440)</f>
        <v>0.34375</v>
      </c>
      <c r="I327">
        <f>INDEX(PeakCalc!$L$10:$L$303,MATCH(tblPivotData[[#This Row],[Time]],PeakCalc!$G$10:$G$303,0))</f>
        <v>1</v>
      </c>
    </row>
    <row r="328" spans="1:9" x14ac:dyDescent="0.3">
      <c r="A328" t="s">
        <v>94</v>
      </c>
      <c r="B328" t="s">
        <v>100</v>
      </c>
      <c r="C328" t="s">
        <v>93</v>
      </c>
      <c r="D328" t="s">
        <v>88</v>
      </c>
      <c r="E328" t="s">
        <v>43</v>
      </c>
      <c r="F328" s="6">
        <v>0.35416666666666669</v>
      </c>
      <c r="G328">
        <v>0</v>
      </c>
      <c r="H328" s="6">
        <f>FLOOR(tblPivotData[[#This Row],[Time]],Summary!$B$6/1440)</f>
        <v>0.35416666666666663</v>
      </c>
      <c r="I328">
        <f>INDEX(PeakCalc!$L$10:$L$303,MATCH(tblPivotData[[#This Row],[Time]],PeakCalc!$G$10:$G$303,0))</f>
        <v>1</v>
      </c>
    </row>
    <row r="329" spans="1:9" x14ac:dyDescent="0.3">
      <c r="A329" t="s">
        <v>94</v>
      </c>
      <c r="B329" t="s">
        <v>100</v>
      </c>
      <c r="C329" t="s">
        <v>93</v>
      </c>
      <c r="D329" t="s">
        <v>88</v>
      </c>
      <c r="E329" t="s">
        <v>43</v>
      </c>
      <c r="F329" s="6">
        <v>0.36458333333333331</v>
      </c>
      <c r="G329">
        <v>1</v>
      </c>
      <c r="H329" s="6">
        <f>FLOOR(tblPivotData[[#This Row],[Time]],Summary!$B$6/1440)</f>
        <v>0.36458333333333331</v>
      </c>
      <c r="I329">
        <f>INDEX(PeakCalc!$L$10:$L$303,MATCH(tblPivotData[[#This Row],[Time]],PeakCalc!$G$10:$G$303,0))</f>
        <v>1</v>
      </c>
    </row>
    <row r="330" spans="1:9" x14ac:dyDescent="0.3">
      <c r="A330" t="s">
        <v>94</v>
      </c>
      <c r="B330" t="s">
        <v>100</v>
      </c>
      <c r="C330" t="s">
        <v>93</v>
      </c>
      <c r="D330" t="s">
        <v>88</v>
      </c>
      <c r="E330" t="s">
        <v>90</v>
      </c>
      <c r="F330" s="6">
        <v>0.54166666666666663</v>
      </c>
      <c r="G330">
        <v>2</v>
      </c>
      <c r="H330" s="6">
        <f>FLOOR(tblPivotData[[#This Row],[Time]],Summary!$B$6/1440)</f>
        <v>0.54166666666666663</v>
      </c>
      <c r="I330">
        <f>INDEX(PeakCalc!$L$10:$L$303,MATCH(tblPivotData[[#This Row],[Time]],PeakCalc!$G$10:$G$303,0))</f>
        <v>1</v>
      </c>
    </row>
    <row r="331" spans="1:9" x14ac:dyDescent="0.3">
      <c r="A331" t="s">
        <v>94</v>
      </c>
      <c r="B331" t="s">
        <v>100</v>
      </c>
      <c r="C331" t="s">
        <v>93</v>
      </c>
      <c r="D331" t="s">
        <v>88</v>
      </c>
      <c r="E331" t="s">
        <v>90</v>
      </c>
      <c r="F331" s="6">
        <v>0.55208333333333337</v>
      </c>
      <c r="G331">
        <v>0</v>
      </c>
      <c r="H331" s="6">
        <f>FLOOR(tblPivotData[[#This Row],[Time]],Summary!$B$6/1440)</f>
        <v>0.55208333333333326</v>
      </c>
      <c r="I331">
        <f>INDEX(PeakCalc!$L$10:$L$303,MATCH(tblPivotData[[#This Row],[Time]],PeakCalc!$G$10:$G$303,0))</f>
        <v>1</v>
      </c>
    </row>
    <row r="332" spans="1:9" x14ac:dyDescent="0.3">
      <c r="A332" t="s">
        <v>94</v>
      </c>
      <c r="B332" t="s">
        <v>100</v>
      </c>
      <c r="C332" t="s">
        <v>93</v>
      </c>
      <c r="D332" t="s">
        <v>88</v>
      </c>
      <c r="E332" t="s">
        <v>90</v>
      </c>
      <c r="F332" s="6">
        <v>0.5625</v>
      </c>
      <c r="G332">
        <v>0</v>
      </c>
      <c r="H332" s="6">
        <f>FLOOR(tblPivotData[[#This Row],[Time]],Summary!$B$6/1440)</f>
        <v>0.5625</v>
      </c>
      <c r="I332">
        <f>INDEX(PeakCalc!$L$10:$L$303,MATCH(tblPivotData[[#This Row],[Time]],PeakCalc!$G$10:$G$303,0))</f>
        <v>1</v>
      </c>
    </row>
    <row r="333" spans="1:9" x14ac:dyDescent="0.3">
      <c r="A333" t="s">
        <v>94</v>
      </c>
      <c r="B333" t="s">
        <v>100</v>
      </c>
      <c r="C333" t="s">
        <v>93</v>
      </c>
      <c r="D333" t="s">
        <v>88</v>
      </c>
      <c r="E333" t="s">
        <v>90</v>
      </c>
      <c r="F333" s="6">
        <v>0.57291666666666663</v>
      </c>
      <c r="G333">
        <v>1</v>
      </c>
      <c r="H333" s="6">
        <f>FLOOR(tblPivotData[[#This Row],[Time]],Summary!$B$6/1440)</f>
        <v>0.57291666666666663</v>
      </c>
      <c r="I333">
        <f>INDEX(PeakCalc!$L$10:$L$303,MATCH(tblPivotData[[#This Row],[Time]],PeakCalc!$G$10:$G$303,0))</f>
        <v>1</v>
      </c>
    </row>
    <row r="334" spans="1:9" x14ac:dyDescent="0.3">
      <c r="A334" t="s">
        <v>94</v>
      </c>
      <c r="B334" t="s">
        <v>100</v>
      </c>
      <c r="C334" t="s">
        <v>93</v>
      </c>
      <c r="D334" t="s">
        <v>88</v>
      </c>
      <c r="E334" t="s">
        <v>44</v>
      </c>
      <c r="F334" s="6">
        <v>0.66666666666666663</v>
      </c>
      <c r="G334">
        <v>0</v>
      </c>
      <c r="H334" s="6">
        <f>FLOOR(tblPivotData[[#This Row],[Time]],Summary!$B$6/1440)</f>
        <v>0.66666666666666663</v>
      </c>
      <c r="I334">
        <f>INDEX(PeakCalc!$L$10:$L$303,MATCH(tblPivotData[[#This Row],[Time]],PeakCalc!$G$10:$G$303,0))</f>
        <v>0</v>
      </c>
    </row>
    <row r="335" spans="1:9" x14ac:dyDescent="0.3">
      <c r="A335" t="s">
        <v>94</v>
      </c>
      <c r="B335" t="s">
        <v>100</v>
      </c>
      <c r="C335" t="s">
        <v>93</v>
      </c>
      <c r="D335" t="s">
        <v>88</v>
      </c>
      <c r="E335" t="s">
        <v>44</v>
      </c>
      <c r="F335" s="6">
        <v>0.67708333333333337</v>
      </c>
      <c r="G335">
        <v>0</v>
      </c>
      <c r="H335" s="6">
        <f>FLOOR(tblPivotData[[#This Row],[Time]],Summary!$B$6/1440)</f>
        <v>0.67708333333333326</v>
      </c>
      <c r="I335">
        <f>INDEX(PeakCalc!$L$10:$L$303,MATCH(tblPivotData[[#This Row],[Time]],PeakCalc!$G$10:$G$303,0))</f>
        <v>0</v>
      </c>
    </row>
    <row r="336" spans="1:9" x14ac:dyDescent="0.3">
      <c r="A336" t="s">
        <v>94</v>
      </c>
      <c r="B336" t="s">
        <v>100</v>
      </c>
      <c r="C336" t="s">
        <v>93</v>
      </c>
      <c r="D336" t="s">
        <v>88</v>
      </c>
      <c r="E336" t="s">
        <v>44</v>
      </c>
      <c r="F336" s="6">
        <v>0.6875</v>
      </c>
      <c r="G336">
        <v>0</v>
      </c>
      <c r="H336" s="6">
        <f>FLOOR(tblPivotData[[#This Row],[Time]],Summary!$B$6/1440)</f>
        <v>0.6875</v>
      </c>
      <c r="I336">
        <f>INDEX(PeakCalc!$L$10:$L$303,MATCH(tblPivotData[[#This Row],[Time]],PeakCalc!$G$10:$G$303,0))</f>
        <v>1</v>
      </c>
    </row>
    <row r="337" spans="1:9" x14ac:dyDescent="0.3">
      <c r="A337" t="s">
        <v>94</v>
      </c>
      <c r="B337" t="s">
        <v>100</v>
      </c>
      <c r="C337" t="s">
        <v>93</v>
      </c>
      <c r="D337" t="s">
        <v>88</v>
      </c>
      <c r="E337" t="s">
        <v>44</v>
      </c>
      <c r="F337" s="6">
        <v>0.69791666666666663</v>
      </c>
      <c r="G337">
        <v>0</v>
      </c>
      <c r="H337" s="6">
        <f>FLOOR(tblPivotData[[#This Row],[Time]],Summary!$B$6/1440)</f>
        <v>0.69791666666666663</v>
      </c>
      <c r="I337">
        <f>INDEX(PeakCalc!$L$10:$L$303,MATCH(tblPivotData[[#This Row],[Time]],PeakCalc!$G$10:$G$303,0))</f>
        <v>1</v>
      </c>
    </row>
    <row r="338" spans="1:9" x14ac:dyDescent="0.3">
      <c r="A338" t="s">
        <v>94</v>
      </c>
      <c r="B338" t="s">
        <v>100</v>
      </c>
      <c r="C338" t="s">
        <v>93</v>
      </c>
      <c r="D338" t="s">
        <v>88</v>
      </c>
      <c r="E338" t="s">
        <v>44</v>
      </c>
      <c r="F338" s="6">
        <v>0.70833333333333337</v>
      </c>
      <c r="G338">
        <v>0</v>
      </c>
      <c r="H338" s="6">
        <f>FLOOR(tblPivotData[[#This Row],[Time]],Summary!$B$6/1440)</f>
        <v>0.70833333333333326</v>
      </c>
      <c r="I338">
        <f>INDEX(PeakCalc!$L$10:$L$303,MATCH(tblPivotData[[#This Row],[Time]],PeakCalc!$G$10:$G$303,0))</f>
        <v>1</v>
      </c>
    </row>
    <row r="339" spans="1:9" x14ac:dyDescent="0.3">
      <c r="A339" t="s">
        <v>94</v>
      </c>
      <c r="B339" t="s">
        <v>100</v>
      </c>
      <c r="C339" t="s">
        <v>93</v>
      </c>
      <c r="D339" t="s">
        <v>88</v>
      </c>
      <c r="E339" t="s">
        <v>44</v>
      </c>
      <c r="F339" s="6">
        <v>0.71875</v>
      </c>
      <c r="G339">
        <v>0</v>
      </c>
      <c r="H339" s="6">
        <f>FLOOR(tblPivotData[[#This Row],[Time]],Summary!$B$6/1440)</f>
        <v>0.71875</v>
      </c>
      <c r="I339">
        <f>INDEX(PeakCalc!$L$10:$L$303,MATCH(tblPivotData[[#This Row],[Time]],PeakCalc!$G$10:$G$303,0))</f>
        <v>1</v>
      </c>
    </row>
    <row r="340" spans="1:9" x14ac:dyDescent="0.3">
      <c r="A340" t="s">
        <v>94</v>
      </c>
      <c r="B340" t="s">
        <v>100</v>
      </c>
      <c r="C340" t="s">
        <v>93</v>
      </c>
      <c r="D340" t="s">
        <v>88</v>
      </c>
      <c r="E340" t="s">
        <v>44</v>
      </c>
      <c r="F340" s="6">
        <v>0.72916666666666663</v>
      </c>
      <c r="G340">
        <v>0</v>
      </c>
      <c r="H340" s="6">
        <f>FLOOR(tblPivotData[[#This Row],[Time]],Summary!$B$6/1440)</f>
        <v>0.72916666666666663</v>
      </c>
      <c r="I340">
        <f>INDEX(PeakCalc!$L$10:$L$303,MATCH(tblPivotData[[#This Row],[Time]],PeakCalc!$G$10:$G$303,0))</f>
        <v>0</v>
      </c>
    </row>
    <row r="341" spans="1:9" x14ac:dyDescent="0.3">
      <c r="A341" t="s">
        <v>94</v>
      </c>
      <c r="B341" t="s">
        <v>100</v>
      </c>
      <c r="C341" t="s">
        <v>93</v>
      </c>
      <c r="D341" t="s">
        <v>88</v>
      </c>
      <c r="E341" t="s">
        <v>44</v>
      </c>
      <c r="F341" s="6">
        <v>0.73958333333333337</v>
      </c>
      <c r="G341">
        <v>0</v>
      </c>
      <c r="H341" s="6">
        <f>FLOOR(tblPivotData[[#This Row],[Time]],Summary!$B$6/1440)</f>
        <v>0.73958333333333326</v>
      </c>
      <c r="I341">
        <f>INDEX(PeakCalc!$L$10:$L$303,MATCH(tblPivotData[[#This Row],[Time]],PeakCalc!$G$10:$G$303,0))</f>
        <v>0</v>
      </c>
    </row>
    <row r="342" spans="1:9" x14ac:dyDescent="0.3">
      <c r="A342" t="s">
        <v>94</v>
      </c>
      <c r="B342" t="s">
        <v>100</v>
      </c>
      <c r="C342" t="s">
        <v>93</v>
      </c>
      <c r="D342" t="s">
        <v>89</v>
      </c>
      <c r="E342" t="s">
        <v>43</v>
      </c>
      <c r="F342" s="6">
        <v>0.29166666666666669</v>
      </c>
      <c r="G342">
        <v>0</v>
      </c>
      <c r="H342" s="6">
        <f>FLOOR(tblPivotData[[#This Row],[Time]],Summary!$B$6/1440)</f>
        <v>0.29166666666666663</v>
      </c>
      <c r="I342">
        <f>INDEX(PeakCalc!$L$10:$L$303,MATCH(tblPivotData[[#This Row],[Time]],PeakCalc!$G$10:$G$303,0))</f>
        <v>0</v>
      </c>
    </row>
    <row r="343" spans="1:9" x14ac:dyDescent="0.3">
      <c r="A343" t="s">
        <v>94</v>
      </c>
      <c r="B343" t="s">
        <v>100</v>
      </c>
      <c r="C343" t="s">
        <v>93</v>
      </c>
      <c r="D343" t="s">
        <v>89</v>
      </c>
      <c r="E343" t="s">
        <v>43</v>
      </c>
      <c r="F343" s="6">
        <v>0.30208333333333331</v>
      </c>
      <c r="G343">
        <v>0</v>
      </c>
      <c r="H343" s="6">
        <f>FLOOR(tblPivotData[[#This Row],[Time]],Summary!$B$6/1440)</f>
        <v>0.30208333333333331</v>
      </c>
      <c r="I343">
        <f>INDEX(PeakCalc!$L$10:$L$303,MATCH(tblPivotData[[#This Row],[Time]],PeakCalc!$G$10:$G$303,0))</f>
        <v>0</v>
      </c>
    </row>
    <row r="344" spans="1:9" x14ac:dyDescent="0.3">
      <c r="A344" t="s">
        <v>94</v>
      </c>
      <c r="B344" t="s">
        <v>100</v>
      </c>
      <c r="C344" t="s">
        <v>93</v>
      </c>
      <c r="D344" t="s">
        <v>89</v>
      </c>
      <c r="E344" t="s">
        <v>43</v>
      </c>
      <c r="F344" s="6">
        <v>0.3125</v>
      </c>
      <c r="G344">
        <v>0</v>
      </c>
      <c r="H344" s="6">
        <f>FLOOR(tblPivotData[[#This Row],[Time]],Summary!$B$6/1440)</f>
        <v>0.3125</v>
      </c>
      <c r="I344">
        <f>INDEX(PeakCalc!$L$10:$L$303,MATCH(tblPivotData[[#This Row],[Time]],PeakCalc!$G$10:$G$303,0))</f>
        <v>0</v>
      </c>
    </row>
    <row r="345" spans="1:9" x14ac:dyDescent="0.3">
      <c r="A345" t="s">
        <v>94</v>
      </c>
      <c r="B345" t="s">
        <v>100</v>
      </c>
      <c r="C345" t="s">
        <v>93</v>
      </c>
      <c r="D345" t="s">
        <v>89</v>
      </c>
      <c r="E345" t="s">
        <v>43</v>
      </c>
      <c r="F345" s="6">
        <v>0.32291666666666669</v>
      </c>
      <c r="G345">
        <v>1</v>
      </c>
      <c r="H345" s="6">
        <f>FLOOR(tblPivotData[[#This Row],[Time]],Summary!$B$6/1440)</f>
        <v>0.32291666666666663</v>
      </c>
      <c r="I345">
        <f>INDEX(PeakCalc!$L$10:$L$303,MATCH(tblPivotData[[#This Row],[Time]],PeakCalc!$G$10:$G$303,0))</f>
        <v>0</v>
      </c>
    </row>
    <row r="346" spans="1:9" x14ac:dyDescent="0.3">
      <c r="A346" t="s">
        <v>94</v>
      </c>
      <c r="B346" t="s">
        <v>100</v>
      </c>
      <c r="C346" t="s">
        <v>93</v>
      </c>
      <c r="D346" t="s">
        <v>89</v>
      </c>
      <c r="E346" t="s">
        <v>43</v>
      </c>
      <c r="F346" s="6">
        <v>0.33333333333333331</v>
      </c>
      <c r="G346">
        <v>0</v>
      </c>
      <c r="H346" s="6">
        <f>FLOOR(tblPivotData[[#This Row],[Time]],Summary!$B$6/1440)</f>
        <v>0.33333333333333331</v>
      </c>
      <c r="I346">
        <f>INDEX(PeakCalc!$L$10:$L$303,MATCH(tblPivotData[[#This Row],[Time]],PeakCalc!$G$10:$G$303,0))</f>
        <v>1</v>
      </c>
    </row>
    <row r="347" spans="1:9" x14ac:dyDescent="0.3">
      <c r="A347" t="s">
        <v>94</v>
      </c>
      <c r="B347" t="s">
        <v>100</v>
      </c>
      <c r="C347" t="s">
        <v>93</v>
      </c>
      <c r="D347" t="s">
        <v>89</v>
      </c>
      <c r="E347" t="s">
        <v>43</v>
      </c>
      <c r="F347" s="6">
        <v>0.34375</v>
      </c>
      <c r="G347">
        <v>0</v>
      </c>
      <c r="H347" s="6">
        <f>FLOOR(tblPivotData[[#This Row],[Time]],Summary!$B$6/1440)</f>
        <v>0.34375</v>
      </c>
      <c r="I347">
        <f>INDEX(PeakCalc!$L$10:$L$303,MATCH(tblPivotData[[#This Row],[Time]],PeakCalc!$G$10:$G$303,0))</f>
        <v>1</v>
      </c>
    </row>
    <row r="348" spans="1:9" x14ac:dyDescent="0.3">
      <c r="A348" t="s">
        <v>94</v>
      </c>
      <c r="B348" t="s">
        <v>100</v>
      </c>
      <c r="C348" t="s">
        <v>93</v>
      </c>
      <c r="D348" t="s">
        <v>89</v>
      </c>
      <c r="E348" t="s">
        <v>43</v>
      </c>
      <c r="F348" s="6">
        <v>0.35416666666666669</v>
      </c>
      <c r="G348">
        <v>0</v>
      </c>
      <c r="H348" s="6">
        <f>FLOOR(tblPivotData[[#This Row],[Time]],Summary!$B$6/1440)</f>
        <v>0.35416666666666663</v>
      </c>
      <c r="I348">
        <f>INDEX(PeakCalc!$L$10:$L$303,MATCH(tblPivotData[[#This Row],[Time]],PeakCalc!$G$10:$G$303,0))</f>
        <v>1</v>
      </c>
    </row>
    <row r="349" spans="1:9" x14ac:dyDescent="0.3">
      <c r="A349" t="s">
        <v>94</v>
      </c>
      <c r="B349" t="s">
        <v>100</v>
      </c>
      <c r="C349" t="s">
        <v>93</v>
      </c>
      <c r="D349" t="s">
        <v>89</v>
      </c>
      <c r="E349" t="s">
        <v>43</v>
      </c>
      <c r="F349" s="6">
        <v>0.36458333333333331</v>
      </c>
      <c r="G349">
        <v>0</v>
      </c>
      <c r="H349" s="6">
        <f>FLOOR(tblPivotData[[#This Row],[Time]],Summary!$B$6/1440)</f>
        <v>0.36458333333333331</v>
      </c>
      <c r="I349">
        <f>INDEX(PeakCalc!$L$10:$L$303,MATCH(tblPivotData[[#This Row],[Time]],PeakCalc!$G$10:$G$303,0))</f>
        <v>1</v>
      </c>
    </row>
    <row r="350" spans="1:9" x14ac:dyDescent="0.3">
      <c r="A350" t="s">
        <v>94</v>
      </c>
      <c r="B350" t="s">
        <v>100</v>
      </c>
      <c r="C350" t="s">
        <v>93</v>
      </c>
      <c r="D350" t="s">
        <v>89</v>
      </c>
      <c r="E350" t="s">
        <v>90</v>
      </c>
      <c r="F350" s="6">
        <v>0.54166666666666663</v>
      </c>
      <c r="G350">
        <v>1</v>
      </c>
      <c r="H350" s="6">
        <f>FLOOR(tblPivotData[[#This Row],[Time]],Summary!$B$6/1440)</f>
        <v>0.54166666666666663</v>
      </c>
      <c r="I350">
        <f>INDEX(PeakCalc!$L$10:$L$303,MATCH(tblPivotData[[#This Row],[Time]],PeakCalc!$G$10:$G$303,0))</f>
        <v>1</v>
      </c>
    </row>
    <row r="351" spans="1:9" x14ac:dyDescent="0.3">
      <c r="A351" t="s">
        <v>94</v>
      </c>
      <c r="B351" t="s">
        <v>100</v>
      </c>
      <c r="C351" t="s">
        <v>93</v>
      </c>
      <c r="D351" t="s">
        <v>89</v>
      </c>
      <c r="E351" t="s">
        <v>90</v>
      </c>
      <c r="F351" s="6">
        <v>0.55208333333333337</v>
      </c>
      <c r="G351">
        <v>0</v>
      </c>
      <c r="H351" s="6">
        <f>FLOOR(tblPivotData[[#This Row],[Time]],Summary!$B$6/1440)</f>
        <v>0.55208333333333326</v>
      </c>
      <c r="I351">
        <f>INDEX(PeakCalc!$L$10:$L$303,MATCH(tblPivotData[[#This Row],[Time]],PeakCalc!$G$10:$G$303,0))</f>
        <v>1</v>
      </c>
    </row>
    <row r="352" spans="1:9" x14ac:dyDescent="0.3">
      <c r="A352" t="s">
        <v>94</v>
      </c>
      <c r="B352" t="s">
        <v>100</v>
      </c>
      <c r="C352" t="s">
        <v>93</v>
      </c>
      <c r="D352" t="s">
        <v>89</v>
      </c>
      <c r="E352" t="s">
        <v>90</v>
      </c>
      <c r="F352" s="6">
        <v>0.5625</v>
      </c>
      <c r="G352">
        <v>1</v>
      </c>
      <c r="H352" s="6">
        <f>FLOOR(tblPivotData[[#This Row],[Time]],Summary!$B$6/1440)</f>
        <v>0.5625</v>
      </c>
      <c r="I352">
        <f>INDEX(PeakCalc!$L$10:$L$303,MATCH(tblPivotData[[#This Row],[Time]],PeakCalc!$G$10:$G$303,0))</f>
        <v>1</v>
      </c>
    </row>
    <row r="353" spans="1:9" x14ac:dyDescent="0.3">
      <c r="A353" t="s">
        <v>94</v>
      </c>
      <c r="B353" t="s">
        <v>100</v>
      </c>
      <c r="C353" t="s">
        <v>93</v>
      </c>
      <c r="D353" t="s">
        <v>89</v>
      </c>
      <c r="E353" t="s">
        <v>90</v>
      </c>
      <c r="F353" s="6">
        <v>0.57291666666666663</v>
      </c>
      <c r="G353">
        <v>0</v>
      </c>
      <c r="H353" s="6">
        <f>FLOOR(tblPivotData[[#This Row],[Time]],Summary!$B$6/1440)</f>
        <v>0.57291666666666663</v>
      </c>
      <c r="I353">
        <f>INDEX(PeakCalc!$L$10:$L$303,MATCH(tblPivotData[[#This Row],[Time]],PeakCalc!$G$10:$G$303,0))</f>
        <v>1</v>
      </c>
    </row>
    <row r="354" spans="1:9" x14ac:dyDescent="0.3">
      <c r="A354" t="s">
        <v>94</v>
      </c>
      <c r="B354" t="s">
        <v>100</v>
      </c>
      <c r="C354" t="s">
        <v>93</v>
      </c>
      <c r="D354" t="s">
        <v>89</v>
      </c>
      <c r="E354" t="s">
        <v>44</v>
      </c>
      <c r="F354" s="6">
        <v>0.66666666666666663</v>
      </c>
      <c r="G354">
        <v>0</v>
      </c>
      <c r="H354" s="6">
        <f>FLOOR(tblPivotData[[#This Row],[Time]],Summary!$B$6/1440)</f>
        <v>0.66666666666666663</v>
      </c>
      <c r="I354">
        <f>INDEX(PeakCalc!$L$10:$L$303,MATCH(tblPivotData[[#This Row],[Time]],PeakCalc!$G$10:$G$303,0))</f>
        <v>0</v>
      </c>
    </row>
    <row r="355" spans="1:9" x14ac:dyDescent="0.3">
      <c r="A355" t="s">
        <v>94</v>
      </c>
      <c r="B355" t="s">
        <v>100</v>
      </c>
      <c r="C355" t="s">
        <v>93</v>
      </c>
      <c r="D355" t="s">
        <v>89</v>
      </c>
      <c r="E355" t="s">
        <v>44</v>
      </c>
      <c r="F355" s="6">
        <v>0.67708333333333337</v>
      </c>
      <c r="G355">
        <v>0</v>
      </c>
      <c r="H355" s="6">
        <f>FLOOR(tblPivotData[[#This Row],[Time]],Summary!$B$6/1440)</f>
        <v>0.67708333333333326</v>
      </c>
      <c r="I355">
        <f>INDEX(PeakCalc!$L$10:$L$303,MATCH(tblPivotData[[#This Row],[Time]],PeakCalc!$G$10:$G$303,0))</f>
        <v>0</v>
      </c>
    </row>
    <row r="356" spans="1:9" x14ac:dyDescent="0.3">
      <c r="A356" t="s">
        <v>94</v>
      </c>
      <c r="B356" t="s">
        <v>100</v>
      </c>
      <c r="C356" t="s">
        <v>93</v>
      </c>
      <c r="D356" t="s">
        <v>89</v>
      </c>
      <c r="E356" t="s">
        <v>44</v>
      </c>
      <c r="F356" s="6">
        <v>0.6875</v>
      </c>
      <c r="G356">
        <v>0</v>
      </c>
      <c r="H356" s="6">
        <f>FLOOR(tblPivotData[[#This Row],[Time]],Summary!$B$6/1440)</f>
        <v>0.6875</v>
      </c>
      <c r="I356">
        <f>INDEX(PeakCalc!$L$10:$L$303,MATCH(tblPivotData[[#This Row],[Time]],PeakCalc!$G$10:$G$303,0))</f>
        <v>1</v>
      </c>
    </row>
    <row r="357" spans="1:9" x14ac:dyDescent="0.3">
      <c r="A357" t="s">
        <v>94</v>
      </c>
      <c r="B357" t="s">
        <v>100</v>
      </c>
      <c r="C357" t="s">
        <v>93</v>
      </c>
      <c r="D357" t="s">
        <v>89</v>
      </c>
      <c r="E357" t="s">
        <v>44</v>
      </c>
      <c r="F357" s="6">
        <v>0.69791666666666663</v>
      </c>
      <c r="G357">
        <v>0</v>
      </c>
      <c r="H357" s="6">
        <f>FLOOR(tblPivotData[[#This Row],[Time]],Summary!$B$6/1440)</f>
        <v>0.69791666666666663</v>
      </c>
      <c r="I357">
        <f>INDEX(PeakCalc!$L$10:$L$303,MATCH(tblPivotData[[#This Row],[Time]],PeakCalc!$G$10:$G$303,0))</f>
        <v>1</v>
      </c>
    </row>
    <row r="358" spans="1:9" x14ac:dyDescent="0.3">
      <c r="A358" t="s">
        <v>94</v>
      </c>
      <c r="B358" t="s">
        <v>100</v>
      </c>
      <c r="C358" t="s">
        <v>93</v>
      </c>
      <c r="D358" t="s">
        <v>89</v>
      </c>
      <c r="E358" t="s">
        <v>44</v>
      </c>
      <c r="F358" s="6">
        <v>0.70833333333333337</v>
      </c>
      <c r="G358">
        <v>2</v>
      </c>
      <c r="H358" s="6">
        <f>FLOOR(tblPivotData[[#This Row],[Time]],Summary!$B$6/1440)</f>
        <v>0.70833333333333326</v>
      </c>
      <c r="I358">
        <f>INDEX(PeakCalc!$L$10:$L$303,MATCH(tblPivotData[[#This Row],[Time]],PeakCalc!$G$10:$G$303,0))</f>
        <v>1</v>
      </c>
    </row>
    <row r="359" spans="1:9" x14ac:dyDescent="0.3">
      <c r="A359" t="s">
        <v>94</v>
      </c>
      <c r="B359" t="s">
        <v>100</v>
      </c>
      <c r="C359" t="s">
        <v>93</v>
      </c>
      <c r="D359" t="s">
        <v>89</v>
      </c>
      <c r="E359" t="s">
        <v>44</v>
      </c>
      <c r="F359" s="6">
        <v>0.71875</v>
      </c>
      <c r="G359">
        <v>0</v>
      </c>
      <c r="H359" s="6">
        <f>FLOOR(tblPivotData[[#This Row],[Time]],Summary!$B$6/1440)</f>
        <v>0.71875</v>
      </c>
      <c r="I359">
        <f>INDEX(PeakCalc!$L$10:$L$303,MATCH(tblPivotData[[#This Row],[Time]],PeakCalc!$G$10:$G$303,0))</f>
        <v>1</v>
      </c>
    </row>
    <row r="360" spans="1:9" x14ac:dyDescent="0.3">
      <c r="A360" t="s">
        <v>94</v>
      </c>
      <c r="B360" t="s">
        <v>100</v>
      </c>
      <c r="C360" t="s">
        <v>93</v>
      </c>
      <c r="D360" t="s">
        <v>89</v>
      </c>
      <c r="E360" t="s">
        <v>44</v>
      </c>
      <c r="F360" s="6">
        <v>0.72916666666666663</v>
      </c>
      <c r="G360">
        <v>2</v>
      </c>
      <c r="H360" s="6">
        <f>FLOOR(tblPivotData[[#This Row],[Time]],Summary!$B$6/1440)</f>
        <v>0.72916666666666663</v>
      </c>
      <c r="I360">
        <f>INDEX(PeakCalc!$L$10:$L$303,MATCH(tblPivotData[[#This Row],[Time]],PeakCalc!$G$10:$G$303,0))</f>
        <v>0</v>
      </c>
    </row>
    <row r="361" spans="1:9" x14ac:dyDescent="0.3">
      <c r="A361" t="s">
        <v>94</v>
      </c>
      <c r="B361" t="s">
        <v>100</v>
      </c>
      <c r="C361" t="s">
        <v>93</v>
      </c>
      <c r="D361" t="s">
        <v>89</v>
      </c>
      <c r="E361" t="s">
        <v>44</v>
      </c>
      <c r="F361" s="6">
        <v>0.73958333333333337</v>
      </c>
      <c r="G361">
        <v>2</v>
      </c>
      <c r="H361" s="6">
        <f>FLOOR(tblPivotData[[#This Row],[Time]],Summary!$B$6/1440)</f>
        <v>0.73958333333333326</v>
      </c>
      <c r="I361">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4.4" x14ac:dyDescent="0.3"/>
  <sheetData>
    <row r="2" spans="2:5" x14ac:dyDescent="0.3">
      <c r="B2" t="s">
        <v>71</v>
      </c>
      <c r="C2">
        <f>rngCountInterval</f>
        <v>15</v>
      </c>
    </row>
    <row r="5" spans="2:5" x14ac:dyDescent="0.3">
      <c r="B5" t="s">
        <v>72</v>
      </c>
    </row>
    <row r="7" spans="2:5" x14ac:dyDescent="0.3">
      <c r="B7" t="s">
        <v>73</v>
      </c>
      <c r="E7" t="s">
        <v>75</v>
      </c>
    </row>
    <row r="8" spans="2:5" x14ac:dyDescent="0.3">
      <c r="B8" s="2">
        <v>5</v>
      </c>
      <c r="C8" s="2">
        <v>15</v>
      </c>
      <c r="E8">
        <f>C2</f>
        <v>15</v>
      </c>
    </row>
    <row r="10" spans="2:5" x14ac:dyDescent="0.3">
      <c r="B10">
        <v>5</v>
      </c>
      <c r="C10">
        <v>15</v>
      </c>
      <c r="E10">
        <f t="shared" ref="E10:E15" si="0">INDEX($B10:$C10,1,MATCH(E$8,$B$8:$C$8,0))</f>
        <v>15</v>
      </c>
    </row>
    <row r="11" spans="2:5" x14ac:dyDescent="0.3">
      <c r="B11">
        <v>10</v>
      </c>
      <c r="C11">
        <v>30</v>
      </c>
      <c r="E11">
        <f t="shared" si="0"/>
        <v>30</v>
      </c>
    </row>
    <row r="12" spans="2:5" x14ac:dyDescent="0.3">
      <c r="B12">
        <v>15</v>
      </c>
      <c r="C12">
        <v>60</v>
      </c>
      <c r="E12">
        <f t="shared" si="0"/>
        <v>60</v>
      </c>
    </row>
    <row r="13" spans="2:5" x14ac:dyDescent="0.3">
      <c r="B13">
        <v>20</v>
      </c>
      <c r="C13" t="s">
        <v>74</v>
      </c>
      <c r="E13" t="str">
        <f t="shared" si="0"/>
        <v>-</v>
      </c>
    </row>
    <row r="14" spans="2:5" x14ac:dyDescent="0.3">
      <c r="B14">
        <v>30</v>
      </c>
      <c r="C14" t="s">
        <v>74</v>
      </c>
      <c r="E14" t="str">
        <f t="shared" si="0"/>
        <v>-</v>
      </c>
    </row>
    <row r="15" spans="2:5" x14ac:dyDescent="0.3">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AD36"/>
  <sheetViews>
    <sheetView showGridLines="0" tabSelected="1" zoomScaleNormal="100" workbookViewId="0"/>
  </sheetViews>
  <sheetFormatPr defaultRowHeight="14.4" x14ac:dyDescent="0.3"/>
  <cols>
    <col min="1" max="1" width="4.6640625" customWidth="1"/>
    <col min="2" max="2" width="12.88671875" customWidth="1"/>
    <col min="3" max="55" width="10.5546875" customWidth="1"/>
  </cols>
  <sheetData>
    <row r="2" spans="2:30" ht="18" x14ac:dyDescent="0.35">
      <c r="B2" s="3" t="s">
        <v>78</v>
      </c>
    </row>
    <row r="4" spans="2:30" x14ac:dyDescent="0.3">
      <c r="B4" t="s">
        <v>76</v>
      </c>
    </row>
    <row r="6" spans="2:30" x14ac:dyDescent="0.3">
      <c r="B6" s="12">
        <v>15</v>
      </c>
      <c r="C6" t="s">
        <v>34</v>
      </c>
    </row>
    <row r="8" spans="2:30" x14ac:dyDescent="0.3">
      <c r="B8" t="s">
        <v>77</v>
      </c>
    </row>
    <row r="10" spans="2:30" x14ac:dyDescent="0.3">
      <c r="B10" s="15" t="s">
        <v>85</v>
      </c>
      <c r="C10" s="16"/>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row>
    <row r="11" spans="2:30" x14ac:dyDescent="0.3">
      <c r="B11" s="16"/>
      <c r="C11" s="51" t="s">
        <v>92</v>
      </c>
      <c r="D11" s="52"/>
      <c r="E11" s="52"/>
      <c r="F11" s="52"/>
      <c r="G11" s="52"/>
      <c r="H11" s="52"/>
      <c r="I11" s="52"/>
      <c r="J11" s="52"/>
      <c r="K11" s="49" t="s">
        <v>102</v>
      </c>
      <c r="L11" s="51" t="s">
        <v>93</v>
      </c>
      <c r="M11" s="52"/>
      <c r="N11" s="52"/>
      <c r="O11" s="52"/>
      <c r="P11" s="52"/>
      <c r="Q11" s="52"/>
      <c r="R11" s="52"/>
      <c r="S11" s="52"/>
      <c r="T11" s="49" t="s">
        <v>103</v>
      </c>
      <c r="U11" s="51" t="s">
        <v>94</v>
      </c>
      <c r="V11" s="52"/>
      <c r="W11" s="52"/>
      <c r="X11" s="52"/>
      <c r="Y11" s="52"/>
      <c r="Z11" s="52"/>
      <c r="AA11" s="52"/>
      <c r="AB11" s="52"/>
      <c r="AC11" s="49" t="s">
        <v>104</v>
      </c>
      <c r="AD11" s="49" t="s">
        <v>49</v>
      </c>
    </row>
    <row r="12" spans="2:30" x14ac:dyDescent="0.3">
      <c r="B12" s="16"/>
      <c r="C12" s="49" t="s">
        <v>95</v>
      </c>
      <c r="D12" s="50"/>
      <c r="E12" s="50"/>
      <c r="F12" s="49" t="s">
        <v>105</v>
      </c>
      <c r="G12" s="49" t="s">
        <v>96</v>
      </c>
      <c r="H12" s="50"/>
      <c r="I12" s="50"/>
      <c r="J12" s="49" t="s">
        <v>106</v>
      </c>
      <c r="K12" s="50"/>
      <c r="L12" s="49" t="s">
        <v>97</v>
      </c>
      <c r="M12" s="50"/>
      <c r="N12" s="50"/>
      <c r="O12" s="49" t="s">
        <v>107</v>
      </c>
      <c r="P12" s="49" t="s">
        <v>98</v>
      </c>
      <c r="Q12" s="50"/>
      <c r="R12" s="50"/>
      <c r="S12" s="49" t="s">
        <v>108</v>
      </c>
      <c r="T12" s="50"/>
      <c r="U12" s="49" t="s">
        <v>99</v>
      </c>
      <c r="V12" s="50"/>
      <c r="W12" s="50"/>
      <c r="X12" s="49" t="s">
        <v>109</v>
      </c>
      <c r="Y12" s="49" t="s">
        <v>100</v>
      </c>
      <c r="Z12" s="50"/>
      <c r="AA12" s="50"/>
      <c r="AB12" s="49" t="s">
        <v>110</v>
      </c>
      <c r="AC12" s="50"/>
      <c r="AD12" s="50"/>
    </row>
    <row r="13" spans="2:30" ht="28.8" x14ac:dyDescent="0.3">
      <c r="B13" s="16"/>
      <c r="C13" s="17" t="s">
        <v>79</v>
      </c>
      <c r="D13" s="17" t="s">
        <v>88</v>
      </c>
      <c r="E13" s="17" t="s">
        <v>89</v>
      </c>
      <c r="F13" s="50"/>
      <c r="G13" s="17" t="s">
        <v>79</v>
      </c>
      <c r="H13" s="17" t="s">
        <v>88</v>
      </c>
      <c r="I13" s="17" t="s">
        <v>89</v>
      </c>
      <c r="J13" s="50"/>
      <c r="K13" s="50"/>
      <c r="L13" s="17" t="s">
        <v>79</v>
      </c>
      <c r="M13" s="17" t="s">
        <v>88</v>
      </c>
      <c r="N13" s="17" t="s">
        <v>89</v>
      </c>
      <c r="O13" s="50"/>
      <c r="P13" s="17" t="s">
        <v>79</v>
      </c>
      <c r="Q13" s="17" t="s">
        <v>88</v>
      </c>
      <c r="R13" s="17" t="s">
        <v>89</v>
      </c>
      <c r="S13" s="50"/>
      <c r="T13" s="50"/>
      <c r="U13" s="17" t="s">
        <v>79</v>
      </c>
      <c r="V13" s="17" t="s">
        <v>88</v>
      </c>
      <c r="W13" s="17" t="s">
        <v>89</v>
      </c>
      <c r="X13" s="50"/>
      <c r="Y13" s="17" t="s">
        <v>79</v>
      </c>
      <c r="Z13" s="17" t="s">
        <v>88</v>
      </c>
      <c r="AA13" s="17" t="s">
        <v>89</v>
      </c>
      <c r="AB13" s="50"/>
      <c r="AC13" s="50"/>
      <c r="AD13" s="50"/>
    </row>
    <row r="14" spans="2:30" x14ac:dyDescent="0.3">
      <c r="B14" s="10" t="s">
        <v>43</v>
      </c>
      <c r="C14">
        <v>26</v>
      </c>
      <c r="D14">
        <v>1</v>
      </c>
      <c r="E14">
        <v>2</v>
      </c>
      <c r="F14">
        <v>29</v>
      </c>
      <c r="G14">
        <v>2158</v>
      </c>
      <c r="H14">
        <v>59</v>
      </c>
      <c r="I14">
        <v>109</v>
      </c>
      <c r="J14">
        <v>2326</v>
      </c>
      <c r="K14">
        <v>2355</v>
      </c>
      <c r="L14">
        <v>185</v>
      </c>
      <c r="M14">
        <v>1</v>
      </c>
      <c r="N14">
        <v>14</v>
      </c>
      <c r="O14">
        <v>200</v>
      </c>
      <c r="P14">
        <v>21</v>
      </c>
      <c r="Q14">
        <v>0</v>
      </c>
      <c r="R14">
        <v>0</v>
      </c>
      <c r="S14">
        <v>21</v>
      </c>
      <c r="T14">
        <v>221</v>
      </c>
      <c r="U14">
        <v>1050</v>
      </c>
      <c r="V14">
        <v>83</v>
      </c>
      <c r="W14">
        <v>8</v>
      </c>
      <c r="X14">
        <v>1141</v>
      </c>
      <c r="Y14">
        <v>36</v>
      </c>
      <c r="Z14">
        <v>5</v>
      </c>
      <c r="AA14">
        <v>1</v>
      </c>
      <c r="AB14">
        <v>42</v>
      </c>
      <c r="AC14">
        <v>1183</v>
      </c>
      <c r="AD14">
        <v>3759</v>
      </c>
    </row>
    <row r="15" spans="2:30" x14ac:dyDescent="0.3">
      <c r="B15" s="11">
        <v>0.29166666666666669</v>
      </c>
      <c r="C15">
        <v>0</v>
      </c>
      <c r="D15">
        <v>0</v>
      </c>
      <c r="E15">
        <v>1</v>
      </c>
      <c r="F15">
        <v>1</v>
      </c>
      <c r="G15">
        <v>185</v>
      </c>
      <c r="H15">
        <v>4</v>
      </c>
      <c r="I15">
        <v>12</v>
      </c>
      <c r="J15">
        <v>201</v>
      </c>
      <c r="K15">
        <v>202</v>
      </c>
      <c r="L15">
        <v>18</v>
      </c>
      <c r="M15">
        <v>0</v>
      </c>
      <c r="N15">
        <v>2</v>
      </c>
      <c r="O15">
        <v>20</v>
      </c>
      <c r="P15">
        <v>1</v>
      </c>
      <c r="Q15">
        <v>0</v>
      </c>
      <c r="R15">
        <v>0</v>
      </c>
      <c r="S15">
        <v>1</v>
      </c>
      <c r="T15">
        <v>21</v>
      </c>
      <c r="U15">
        <v>79</v>
      </c>
      <c r="V15">
        <v>9</v>
      </c>
      <c r="W15">
        <v>3</v>
      </c>
      <c r="X15">
        <v>91</v>
      </c>
      <c r="Y15">
        <v>3</v>
      </c>
      <c r="Z15">
        <v>0</v>
      </c>
      <c r="AA15">
        <v>0</v>
      </c>
      <c r="AB15">
        <v>3</v>
      </c>
      <c r="AC15">
        <v>94</v>
      </c>
      <c r="AD15">
        <v>317</v>
      </c>
    </row>
    <row r="16" spans="2:30" x14ac:dyDescent="0.3">
      <c r="B16" s="11">
        <v>0.30208333333333331</v>
      </c>
      <c r="C16">
        <v>1</v>
      </c>
      <c r="D16">
        <v>0</v>
      </c>
      <c r="E16">
        <v>1</v>
      </c>
      <c r="F16">
        <v>2</v>
      </c>
      <c r="G16">
        <v>269</v>
      </c>
      <c r="H16">
        <v>1</v>
      </c>
      <c r="I16">
        <v>21</v>
      </c>
      <c r="J16">
        <v>291</v>
      </c>
      <c r="K16">
        <v>293</v>
      </c>
      <c r="L16">
        <v>18</v>
      </c>
      <c r="M16">
        <v>0</v>
      </c>
      <c r="N16">
        <v>1</v>
      </c>
      <c r="O16">
        <v>19</v>
      </c>
      <c r="P16">
        <v>2</v>
      </c>
      <c r="Q16">
        <v>0</v>
      </c>
      <c r="R16">
        <v>0</v>
      </c>
      <c r="S16">
        <v>2</v>
      </c>
      <c r="T16">
        <v>21</v>
      </c>
      <c r="U16">
        <v>130</v>
      </c>
      <c r="V16">
        <v>8</v>
      </c>
      <c r="W16">
        <v>0</v>
      </c>
      <c r="X16">
        <v>138</v>
      </c>
      <c r="Y16">
        <v>4</v>
      </c>
      <c r="Z16">
        <v>0</v>
      </c>
      <c r="AA16">
        <v>0</v>
      </c>
      <c r="AB16">
        <v>4</v>
      </c>
      <c r="AC16">
        <v>142</v>
      </c>
      <c r="AD16">
        <v>456</v>
      </c>
    </row>
    <row r="17" spans="2:30" x14ac:dyDescent="0.3">
      <c r="B17" s="11">
        <v>0.3125</v>
      </c>
      <c r="C17">
        <v>0</v>
      </c>
      <c r="D17">
        <v>0</v>
      </c>
      <c r="E17">
        <v>0</v>
      </c>
      <c r="F17">
        <v>0</v>
      </c>
      <c r="G17">
        <v>293</v>
      </c>
      <c r="H17">
        <v>8</v>
      </c>
      <c r="I17">
        <v>29</v>
      </c>
      <c r="J17">
        <v>330</v>
      </c>
      <c r="K17">
        <v>330</v>
      </c>
      <c r="L17">
        <v>27</v>
      </c>
      <c r="M17">
        <v>0</v>
      </c>
      <c r="N17">
        <v>3</v>
      </c>
      <c r="O17">
        <v>30</v>
      </c>
      <c r="P17">
        <v>2</v>
      </c>
      <c r="Q17">
        <v>0</v>
      </c>
      <c r="R17">
        <v>0</v>
      </c>
      <c r="S17">
        <v>2</v>
      </c>
      <c r="T17">
        <v>32</v>
      </c>
      <c r="U17">
        <v>118</v>
      </c>
      <c r="V17">
        <v>11</v>
      </c>
      <c r="W17">
        <v>1</v>
      </c>
      <c r="X17">
        <v>130</v>
      </c>
      <c r="Y17">
        <v>4</v>
      </c>
      <c r="Z17">
        <v>2</v>
      </c>
      <c r="AA17">
        <v>0</v>
      </c>
      <c r="AB17">
        <v>6</v>
      </c>
      <c r="AC17">
        <v>136</v>
      </c>
      <c r="AD17">
        <v>498</v>
      </c>
    </row>
    <row r="18" spans="2:30" x14ac:dyDescent="0.3">
      <c r="B18" s="11">
        <v>0.32291666666666669</v>
      </c>
      <c r="C18">
        <v>4</v>
      </c>
      <c r="D18">
        <v>0</v>
      </c>
      <c r="E18">
        <v>0</v>
      </c>
      <c r="F18">
        <v>4</v>
      </c>
      <c r="G18">
        <v>294</v>
      </c>
      <c r="H18">
        <v>7</v>
      </c>
      <c r="I18">
        <v>11</v>
      </c>
      <c r="J18">
        <v>312</v>
      </c>
      <c r="K18">
        <v>316</v>
      </c>
      <c r="L18">
        <v>29</v>
      </c>
      <c r="M18">
        <v>0</v>
      </c>
      <c r="N18">
        <v>2</v>
      </c>
      <c r="O18">
        <v>31</v>
      </c>
      <c r="P18">
        <v>1</v>
      </c>
      <c r="Q18">
        <v>0</v>
      </c>
      <c r="R18">
        <v>0</v>
      </c>
      <c r="S18">
        <v>1</v>
      </c>
      <c r="T18">
        <v>32</v>
      </c>
      <c r="U18">
        <v>130</v>
      </c>
      <c r="V18">
        <v>7</v>
      </c>
      <c r="W18">
        <v>1</v>
      </c>
      <c r="X18">
        <v>138</v>
      </c>
      <c r="Y18">
        <v>6</v>
      </c>
      <c r="Z18">
        <v>0</v>
      </c>
      <c r="AA18">
        <v>1</v>
      </c>
      <c r="AB18">
        <v>7</v>
      </c>
      <c r="AC18">
        <v>145</v>
      </c>
      <c r="AD18">
        <v>493</v>
      </c>
    </row>
    <row r="19" spans="2:30" x14ac:dyDescent="0.3">
      <c r="B19" s="11">
        <v>0.33333333333333331</v>
      </c>
      <c r="C19">
        <v>3</v>
      </c>
      <c r="D19">
        <v>0</v>
      </c>
      <c r="E19">
        <v>0</v>
      </c>
      <c r="F19">
        <v>3</v>
      </c>
      <c r="G19">
        <v>258</v>
      </c>
      <c r="H19">
        <v>16</v>
      </c>
      <c r="I19">
        <v>12</v>
      </c>
      <c r="J19">
        <v>286</v>
      </c>
      <c r="K19">
        <v>289</v>
      </c>
      <c r="L19">
        <v>17</v>
      </c>
      <c r="M19">
        <v>0</v>
      </c>
      <c r="N19">
        <v>1</v>
      </c>
      <c r="O19">
        <v>18</v>
      </c>
      <c r="P19">
        <v>0</v>
      </c>
      <c r="Q19">
        <v>0</v>
      </c>
      <c r="R19">
        <v>0</v>
      </c>
      <c r="S19">
        <v>0</v>
      </c>
      <c r="T19">
        <v>18</v>
      </c>
      <c r="U19">
        <v>136</v>
      </c>
      <c r="V19">
        <v>19</v>
      </c>
      <c r="W19">
        <v>0</v>
      </c>
      <c r="X19">
        <v>155</v>
      </c>
      <c r="Y19">
        <v>5</v>
      </c>
      <c r="Z19">
        <v>1</v>
      </c>
      <c r="AA19">
        <v>0</v>
      </c>
      <c r="AB19">
        <v>6</v>
      </c>
      <c r="AC19">
        <v>161</v>
      </c>
      <c r="AD19">
        <v>468</v>
      </c>
    </row>
    <row r="20" spans="2:30" x14ac:dyDescent="0.3">
      <c r="B20" s="11">
        <v>0.34375</v>
      </c>
      <c r="C20">
        <v>3</v>
      </c>
      <c r="D20">
        <v>0</v>
      </c>
      <c r="E20">
        <v>0</v>
      </c>
      <c r="F20">
        <v>3</v>
      </c>
      <c r="G20">
        <v>293</v>
      </c>
      <c r="H20">
        <v>7</v>
      </c>
      <c r="I20">
        <v>12</v>
      </c>
      <c r="J20">
        <v>312</v>
      </c>
      <c r="K20">
        <v>315</v>
      </c>
      <c r="L20">
        <v>26</v>
      </c>
      <c r="M20">
        <v>0</v>
      </c>
      <c r="N20">
        <v>3</v>
      </c>
      <c r="O20">
        <v>29</v>
      </c>
      <c r="P20">
        <v>3</v>
      </c>
      <c r="Q20">
        <v>0</v>
      </c>
      <c r="R20">
        <v>0</v>
      </c>
      <c r="S20">
        <v>3</v>
      </c>
      <c r="T20">
        <v>32</v>
      </c>
      <c r="U20">
        <v>145</v>
      </c>
      <c r="V20">
        <v>9</v>
      </c>
      <c r="W20">
        <v>1</v>
      </c>
      <c r="X20">
        <v>155</v>
      </c>
      <c r="Y20">
        <v>4</v>
      </c>
      <c r="Z20">
        <v>1</v>
      </c>
      <c r="AA20">
        <v>0</v>
      </c>
      <c r="AB20">
        <v>5</v>
      </c>
      <c r="AC20">
        <v>160</v>
      </c>
      <c r="AD20">
        <v>507</v>
      </c>
    </row>
    <row r="21" spans="2:30" x14ac:dyDescent="0.3">
      <c r="B21" s="11">
        <v>0.35416666666666669</v>
      </c>
      <c r="C21">
        <v>10</v>
      </c>
      <c r="D21">
        <v>1</v>
      </c>
      <c r="E21">
        <v>0</v>
      </c>
      <c r="F21">
        <v>11</v>
      </c>
      <c r="G21">
        <v>280</v>
      </c>
      <c r="H21">
        <v>12</v>
      </c>
      <c r="I21">
        <v>5</v>
      </c>
      <c r="J21">
        <v>297</v>
      </c>
      <c r="K21">
        <v>308</v>
      </c>
      <c r="L21">
        <v>24</v>
      </c>
      <c r="M21">
        <v>0</v>
      </c>
      <c r="N21">
        <v>2</v>
      </c>
      <c r="O21">
        <v>26</v>
      </c>
      <c r="P21">
        <v>10</v>
      </c>
      <c r="Q21">
        <v>0</v>
      </c>
      <c r="R21">
        <v>0</v>
      </c>
      <c r="S21">
        <v>10</v>
      </c>
      <c r="T21">
        <v>36</v>
      </c>
      <c r="U21">
        <v>146</v>
      </c>
      <c r="V21">
        <v>11</v>
      </c>
      <c r="W21">
        <v>1</v>
      </c>
      <c r="X21">
        <v>158</v>
      </c>
      <c r="Y21">
        <v>4</v>
      </c>
      <c r="Z21">
        <v>0</v>
      </c>
      <c r="AA21">
        <v>0</v>
      </c>
      <c r="AB21">
        <v>4</v>
      </c>
      <c r="AC21">
        <v>162</v>
      </c>
      <c r="AD21">
        <v>506</v>
      </c>
    </row>
    <row r="22" spans="2:30" x14ac:dyDescent="0.3">
      <c r="B22" s="11">
        <v>0.36458333333333331</v>
      </c>
      <c r="C22">
        <v>5</v>
      </c>
      <c r="D22">
        <v>0</v>
      </c>
      <c r="E22">
        <v>0</v>
      </c>
      <c r="F22">
        <v>5</v>
      </c>
      <c r="G22">
        <v>286</v>
      </c>
      <c r="H22">
        <v>4</v>
      </c>
      <c r="I22">
        <v>7</v>
      </c>
      <c r="J22">
        <v>297</v>
      </c>
      <c r="K22">
        <v>302</v>
      </c>
      <c r="L22">
        <v>26</v>
      </c>
      <c r="M22">
        <v>1</v>
      </c>
      <c r="N22">
        <v>0</v>
      </c>
      <c r="O22">
        <v>27</v>
      </c>
      <c r="P22">
        <v>2</v>
      </c>
      <c r="Q22">
        <v>0</v>
      </c>
      <c r="R22">
        <v>0</v>
      </c>
      <c r="S22">
        <v>2</v>
      </c>
      <c r="T22">
        <v>29</v>
      </c>
      <c r="U22">
        <v>166</v>
      </c>
      <c r="V22">
        <v>9</v>
      </c>
      <c r="W22">
        <v>1</v>
      </c>
      <c r="X22">
        <v>176</v>
      </c>
      <c r="Y22">
        <v>6</v>
      </c>
      <c r="Z22">
        <v>1</v>
      </c>
      <c r="AA22">
        <v>0</v>
      </c>
      <c r="AB22">
        <v>7</v>
      </c>
      <c r="AC22">
        <v>183</v>
      </c>
      <c r="AD22">
        <v>514</v>
      </c>
    </row>
    <row r="23" spans="2:30" x14ac:dyDescent="0.3">
      <c r="B23" s="10" t="s">
        <v>44</v>
      </c>
      <c r="C23">
        <v>56</v>
      </c>
      <c r="D23">
        <v>0</v>
      </c>
      <c r="E23">
        <v>6</v>
      </c>
      <c r="F23">
        <v>62</v>
      </c>
      <c r="G23">
        <v>1861</v>
      </c>
      <c r="H23">
        <v>38</v>
      </c>
      <c r="I23">
        <v>25</v>
      </c>
      <c r="J23">
        <v>1924</v>
      </c>
      <c r="K23">
        <v>1986</v>
      </c>
      <c r="L23">
        <v>96</v>
      </c>
      <c r="M23">
        <v>0</v>
      </c>
      <c r="N23">
        <v>3</v>
      </c>
      <c r="O23">
        <v>99</v>
      </c>
      <c r="P23">
        <v>8</v>
      </c>
      <c r="Q23">
        <v>0</v>
      </c>
      <c r="R23">
        <v>0</v>
      </c>
      <c r="S23">
        <v>8</v>
      </c>
      <c r="T23">
        <v>107</v>
      </c>
      <c r="U23">
        <v>2344</v>
      </c>
      <c r="V23">
        <v>33</v>
      </c>
      <c r="W23">
        <v>15</v>
      </c>
      <c r="X23">
        <v>2392</v>
      </c>
      <c r="Y23">
        <v>168</v>
      </c>
      <c r="Z23">
        <v>0</v>
      </c>
      <c r="AA23">
        <v>6</v>
      </c>
      <c r="AB23">
        <v>174</v>
      </c>
      <c r="AC23">
        <v>2566</v>
      </c>
      <c r="AD23">
        <v>4659</v>
      </c>
    </row>
    <row r="24" spans="2:30" x14ac:dyDescent="0.3">
      <c r="B24" s="11">
        <v>0.66666666666666663</v>
      </c>
      <c r="C24">
        <v>4</v>
      </c>
      <c r="D24">
        <v>0</v>
      </c>
      <c r="E24">
        <v>0</v>
      </c>
      <c r="F24">
        <v>4</v>
      </c>
      <c r="G24">
        <v>259</v>
      </c>
      <c r="H24">
        <v>5</v>
      </c>
      <c r="I24">
        <v>0</v>
      </c>
      <c r="J24">
        <v>264</v>
      </c>
      <c r="K24">
        <v>268</v>
      </c>
      <c r="L24">
        <v>10</v>
      </c>
      <c r="M24">
        <v>0</v>
      </c>
      <c r="N24">
        <v>0</v>
      </c>
      <c r="O24">
        <v>10</v>
      </c>
      <c r="P24">
        <v>1</v>
      </c>
      <c r="Q24">
        <v>0</v>
      </c>
      <c r="R24">
        <v>0</v>
      </c>
      <c r="S24">
        <v>1</v>
      </c>
      <c r="T24">
        <v>11</v>
      </c>
      <c r="U24">
        <v>274</v>
      </c>
      <c r="V24">
        <v>10</v>
      </c>
      <c r="W24">
        <v>2</v>
      </c>
      <c r="X24">
        <v>286</v>
      </c>
      <c r="Y24">
        <v>16</v>
      </c>
      <c r="Z24">
        <v>0</v>
      </c>
      <c r="AA24">
        <v>0</v>
      </c>
      <c r="AB24">
        <v>16</v>
      </c>
      <c r="AC24">
        <v>302</v>
      </c>
      <c r="AD24">
        <v>581</v>
      </c>
    </row>
    <row r="25" spans="2:30" x14ac:dyDescent="0.3">
      <c r="B25" s="11">
        <v>0.67708333333333337</v>
      </c>
      <c r="C25">
        <v>6</v>
      </c>
      <c r="D25">
        <v>0</v>
      </c>
      <c r="E25">
        <v>0</v>
      </c>
      <c r="F25">
        <v>6</v>
      </c>
      <c r="G25">
        <v>244</v>
      </c>
      <c r="H25">
        <v>6</v>
      </c>
      <c r="I25">
        <v>4</v>
      </c>
      <c r="J25">
        <v>254</v>
      </c>
      <c r="K25">
        <v>260</v>
      </c>
      <c r="L25">
        <v>12</v>
      </c>
      <c r="M25">
        <v>0</v>
      </c>
      <c r="N25">
        <v>0</v>
      </c>
      <c r="O25">
        <v>12</v>
      </c>
      <c r="P25">
        <v>1</v>
      </c>
      <c r="Q25">
        <v>0</v>
      </c>
      <c r="R25">
        <v>0</v>
      </c>
      <c r="S25">
        <v>1</v>
      </c>
      <c r="T25">
        <v>13</v>
      </c>
      <c r="U25">
        <v>290</v>
      </c>
      <c r="V25">
        <v>2</v>
      </c>
      <c r="W25">
        <v>0</v>
      </c>
      <c r="X25">
        <v>292</v>
      </c>
      <c r="Y25">
        <v>19</v>
      </c>
      <c r="Z25">
        <v>0</v>
      </c>
      <c r="AA25">
        <v>0</v>
      </c>
      <c r="AB25">
        <v>19</v>
      </c>
      <c r="AC25">
        <v>311</v>
      </c>
      <c r="AD25">
        <v>584</v>
      </c>
    </row>
    <row r="26" spans="2:30" x14ac:dyDescent="0.3">
      <c r="B26" s="11">
        <v>0.6875</v>
      </c>
      <c r="C26">
        <v>3</v>
      </c>
      <c r="D26">
        <v>0</v>
      </c>
      <c r="E26">
        <v>2</v>
      </c>
      <c r="F26">
        <v>5</v>
      </c>
      <c r="G26">
        <v>257</v>
      </c>
      <c r="H26">
        <v>8</v>
      </c>
      <c r="I26">
        <v>2</v>
      </c>
      <c r="J26">
        <v>267</v>
      </c>
      <c r="K26">
        <v>272</v>
      </c>
      <c r="L26">
        <v>11</v>
      </c>
      <c r="M26">
        <v>0</v>
      </c>
      <c r="N26">
        <v>1</v>
      </c>
      <c r="O26">
        <v>12</v>
      </c>
      <c r="P26">
        <v>0</v>
      </c>
      <c r="Q26">
        <v>0</v>
      </c>
      <c r="R26">
        <v>0</v>
      </c>
      <c r="S26">
        <v>0</v>
      </c>
      <c r="T26">
        <v>12</v>
      </c>
      <c r="U26">
        <v>287</v>
      </c>
      <c r="V26">
        <v>5</v>
      </c>
      <c r="W26">
        <v>4</v>
      </c>
      <c r="X26">
        <v>296</v>
      </c>
      <c r="Y26">
        <v>19</v>
      </c>
      <c r="Z26">
        <v>0</v>
      </c>
      <c r="AA26">
        <v>0</v>
      </c>
      <c r="AB26">
        <v>19</v>
      </c>
      <c r="AC26">
        <v>315</v>
      </c>
      <c r="AD26">
        <v>599</v>
      </c>
    </row>
    <row r="27" spans="2:30" x14ac:dyDescent="0.3">
      <c r="B27" s="11">
        <v>0.69791666666666663</v>
      </c>
      <c r="C27">
        <v>10</v>
      </c>
      <c r="D27">
        <v>0</v>
      </c>
      <c r="E27">
        <v>1</v>
      </c>
      <c r="F27">
        <v>11</v>
      </c>
      <c r="G27">
        <v>237</v>
      </c>
      <c r="H27">
        <v>4</v>
      </c>
      <c r="I27">
        <v>4</v>
      </c>
      <c r="J27">
        <v>245</v>
      </c>
      <c r="K27">
        <v>256</v>
      </c>
      <c r="L27">
        <v>14</v>
      </c>
      <c r="M27">
        <v>0</v>
      </c>
      <c r="N27">
        <v>1</v>
      </c>
      <c r="O27">
        <v>15</v>
      </c>
      <c r="P27">
        <v>2</v>
      </c>
      <c r="Q27">
        <v>0</v>
      </c>
      <c r="R27">
        <v>0</v>
      </c>
      <c r="S27">
        <v>2</v>
      </c>
      <c r="T27">
        <v>17</v>
      </c>
      <c r="U27">
        <v>270</v>
      </c>
      <c r="V27">
        <v>4</v>
      </c>
      <c r="W27">
        <v>0</v>
      </c>
      <c r="X27">
        <v>274</v>
      </c>
      <c r="Y27">
        <v>13</v>
      </c>
      <c r="Z27">
        <v>0</v>
      </c>
      <c r="AA27">
        <v>0</v>
      </c>
      <c r="AB27">
        <v>13</v>
      </c>
      <c r="AC27">
        <v>287</v>
      </c>
      <c r="AD27">
        <v>560</v>
      </c>
    </row>
    <row r="28" spans="2:30" x14ac:dyDescent="0.3">
      <c r="B28" s="11">
        <v>0.70833333333333337</v>
      </c>
      <c r="C28">
        <v>5</v>
      </c>
      <c r="D28">
        <v>0</v>
      </c>
      <c r="E28">
        <v>0</v>
      </c>
      <c r="F28">
        <v>5</v>
      </c>
      <c r="G28">
        <v>231</v>
      </c>
      <c r="H28">
        <v>2</v>
      </c>
      <c r="I28">
        <v>2</v>
      </c>
      <c r="J28">
        <v>235</v>
      </c>
      <c r="K28">
        <v>240</v>
      </c>
      <c r="L28">
        <v>16</v>
      </c>
      <c r="M28">
        <v>0</v>
      </c>
      <c r="N28">
        <v>0</v>
      </c>
      <c r="O28">
        <v>16</v>
      </c>
      <c r="P28">
        <v>2</v>
      </c>
      <c r="Q28">
        <v>0</v>
      </c>
      <c r="R28">
        <v>0</v>
      </c>
      <c r="S28">
        <v>2</v>
      </c>
      <c r="T28">
        <v>18</v>
      </c>
      <c r="U28">
        <v>283</v>
      </c>
      <c r="V28">
        <v>5</v>
      </c>
      <c r="W28">
        <v>2</v>
      </c>
      <c r="X28">
        <v>290</v>
      </c>
      <c r="Y28">
        <v>29</v>
      </c>
      <c r="Z28">
        <v>0</v>
      </c>
      <c r="AA28">
        <v>2</v>
      </c>
      <c r="AB28">
        <v>31</v>
      </c>
      <c r="AC28">
        <v>321</v>
      </c>
      <c r="AD28">
        <v>579</v>
      </c>
    </row>
    <row r="29" spans="2:30" x14ac:dyDescent="0.3">
      <c r="B29" s="11">
        <v>0.71875</v>
      </c>
      <c r="C29">
        <v>11</v>
      </c>
      <c r="D29">
        <v>0</v>
      </c>
      <c r="E29">
        <v>2</v>
      </c>
      <c r="F29">
        <v>13</v>
      </c>
      <c r="G29">
        <v>252</v>
      </c>
      <c r="H29">
        <v>4</v>
      </c>
      <c r="I29">
        <v>6</v>
      </c>
      <c r="J29">
        <v>262</v>
      </c>
      <c r="K29">
        <v>275</v>
      </c>
      <c r="L29">
        <v>16</v>
      </c>
      <c r="M29">
        <v>0</v>
      </c>
      <c r="N29">
        <v>0</v>
      </c>
      <c r="O29">
        <v>16</v>
      </c>
      <c r="P29">
        <v>0</v>
      </c>
      <c r="Q29">
        <v>0</v>
      </c>
      <c r="R29">
        <v>0</v>
      </c>
      <c r="S29">
        <v>0</v>
      </c>
      <c r="T29">
        <v>16</v>
      </c>
      <c r="U29">
        <v>309</v>
      </c>
      <c r="V29">
        <v>1</v>
      </c>
      <c r="W29">
        <v>2</v>
      </c>
      <c r="X29">
        <v>312</v>
      </c>
      <c r="Y29">
        <v>32</v>
      </c>
      <c r="Z29">
        <v>0</v>
      </c>
      <c r="AA29">
        <v>0</v>
      </c>
      <c r="AB29">
        <v>32</v>
      </c>
      <c r="AC29">
        <v>344</v>
      </c>
      <c r="AD29">
        <v>635</v>
      </c>
    </row>
    <row r="30" spans="2:30" x14ac:dyDescent="0.3">
      <c r="B30" s="11">
        <v>0.72916666666666663</v>
      </c>
      <c r="C30">
        <v>5</v>
      </c>
      <c r="D30">
        <v>0</v>
      </c>
      <c r="E30">
        <v>0</v>
      </c>
      <c r="F30">
        <v>5</v>
      </c>
      <c r="G30">
        <v>193</v>
      </c>
      <c r="H30">
        <v>5</v>
      </c>
      <c r="I30">
        <v>5</v>
      </c>
      <c r="J30">
        <v>203</v>
      </c>
      <c r="K30">
        <v>208</v>
      </c>
      <c r="L30">
        <v>8</v>
      </c>
      <c r="M30">
        <v>0</v>
      </c>
      <c r="N30">
        <v>0</v>
      </c>
      <c r="O30">
        <v>8</v>
      </c>
      <c r="P30">
        <v>0</v>
      </c>
      <c r="Q30">
        <v>0</v>
      </c>
      <c r="R30">
        <v>0</v>
      </c>
      <c r="S30">
        <v>0</v>
      </c>
      <c r="T30">
        <v>8</v>
      </c>
      <c r="U30">
        <v>317</v>
      </c>
      <c r="V30">
        <v>3</v>
      </c>
      <c r="W30">
        <v>3</v>
      </c>
      <c r="X30">
        <v>323</v>
      </c>
      <c r="Y30">
        <v>17</v>
      </c>
      <c r="Z30">
        <v>0</v>
      </c>
      <c r="AA30">
        <v>2</v>
      </c>
      <c r="AB30">
        <v>19</v>
      </c>
      <c r="AC30">
        <v>342</v>
      </c>
      <c r="AD30">
        <v>558</v>
      </c>
    </row>
    <row r="31" spans="2:30" x14ac:dyDescent="0.3">
      <c r="B31" s="11">
        <v>0.73958333333333337</v>
      </c>
      <c r="C31">
        <v>12</v>
      </c>
      <c r="D31">
        <v>0</v>
      </c>
      <c r="E31">
        <v>1</v>
      </c>
      <c r="F31">
        <v>13</v>
      </c>
      <c r="G31">
        <v>188</v>
      </c>
      <c r="H31">
        <v>4</v>
      </c>
      <c r="I31">
        <v>2</v>
      </c>
      <c r="J31">
        <v>194</v>
      </c>
      <c r="K31">
        <v>207</v>
      </c>
      <c r="L31">
        <v>9</v>
      </c>
      <c r="M31">
        <v>0</v>
      </c>
      <c r="N31">
        <v>1</v>
      </c>
      <c r="O31">
        <v>10</v>
      </c>
      <c r="P31">
        <v>2</v>
      </c>
      <c r="Q31">
        <v>0</v>
      </c>
      <c r="R31">
        <v>0</v>
      </c>
      <c r="S31">
        <v>2</v>
      </c>
      <c r="T31">
        <v>12</v>
      </c>
      <c r="U31">
        <v>314</v>
      </c>
      <c r="V31">
        <v>3</v>
      </c>
      <c r="W31">
        <v>2</v>
      </c>
      <c r="X31">
        <v>319</v>
      </c>
      <c r="Y31">
        <v>23</v>
      </c>
      <c r="Z31">
        <v>0</v>
      </c>
      <c r="AA31">
        <v>2</v>
      </c>
      <c r="AB31">
        <v>25</v>
      </c>
      <c r="AC31">
        <v>344</v>
      </c>
      <c r="AD31">
        <v>563</v>
      </c>
    </row>
    <row r="32" spans="2:30" x14ac:dyDescent="0.3">
      <c r="B32" s="10" t="s">
        <v>90</v>
      </c>
      <c r="C32">
        <v>11</v>
      </c>
      <c r="D32">
        <v>0</v>
      </c>
      <c r="E32">
        <v>2</v>
      </c>
      <c r="F32">
        <v>13</v>
      </c>
      <c r="G32">
        <v>774</v>
      </c>
      <c r="H32">
        <v>24</v>
      </c>
      <c r="I32">
        <v>15</v>
      </c>
      <c r="J32">
        <v>813</v>
      </c>
      <c r="K32">
        <v>826</v>
      </c>
      <c r="L32">
        <v>47</v>
      </c>
      <c r="M32">
        <v>0</v>
      </c>
      <c r="N32">
        <v>1</v>
      </c>
      <c r="O32">
        <v>48</v>
      </c>
      <c r="P32">
        <v>9</v>
      </c>
      <c r="Q32">
        <v>0</v>
      </c>
      <c r="R32">
        <v>0</v>
      </c>
      <c r="S32">
        <v>9</v>
      </c>
      <c r="T32">
        <v>57</v>
      </c>
      <c r="U32">
        <v>928</v>
      </c>
      <c r="V32">
        <v>26</v>
      </c>
      <c r="W32">
        <v>2</v>
      </c>
      <c r="X32">
        <v>956</v>
      </c>
      <c r="Y32">
        <v>60</v>
      </c>
      <c r="Z32">
        <v>3</v>
      </c>
      <c r="AA32">
        <v>2</v>
      </c>
      <c r="AB32">
        <v>65</v>
      </c>
      <c r="AC32">
        <v>1021</v>
      </c>
      <c r="AD32">
        <v>1904</v>
      </c>
    </row>
    <row r="33" spans="2:30" x14ac:dyDescent="0.3">
      <c r="B33" s="11">
        <v>0.54166666666666663</v>
      </c>
      <c r="C33">
        <v>5</v>
      </c>
      <c r="D33">
        <v>0</v>
      </c>
      <c r="E33">
        <v>0</v>
      </c>
      <c r="F33">
        <v>5</v>
      </c>
      <c r="G33">
        <v>176</v>
      </c>
      <c r="H33">
        <v>4</v>
      </c>
      <c r="I33">
        <v>3</v>
      </c>
      <c r="J33">
        <v>183</v>
      </c>
      <c r="K33">
        <v>188</v>
      </c>
      <c r="L33">
        <v>10</v>
      </c>
      <c r="M33">
        <v>0</v>
      </c>
      <c r="N33">
        <v>0</v>
      </c>
      <c r="O33">
        <v>10</v>
      </c>
      <c r="P33">
        <v>3</v>
      </c>
      <c r="Q33">
        <v>0</v>
      </c>
      <c r="R33">
        <v>0</v>
      </c>
      <c r="S33">
        <v>3</v>
      </c>
      <c r="T33">
        <v>13</v>
      </c>
      <c r="U33">
        <v>240</v>
      </c>
      <c r="V33">
        <v>5</v>
      </c>
      <c r="W33">
        <v>0</v>
      </c>
      <c r="X33">
        <v>245</v>
      </c>
      <c r="Y33">
        <v>9</v>
      </c>
      <c r="Z33">
        <v>2</v>
      </c>
      <c r="AA33">
        <v>1</v>
      </c>
      <c r="AB33">
        <v>12</v>
      </c>
      <c r="AC33">
        <v>257</v>
      </c>
      <c r="AD33">
        <v>458</v>
      </c>
    </row>
    <row r="34" spans="2:30" x14ac:dyDescent="0.3">
      <c r="B34" s="11">
        <v>0.55208333333333337</v>
      </c>
      <c r="C34">
        <v>2</v>
      </c>
      <c r="D34">
        <v>0</v>
      </c>
      <c r="E34">
        <v>1</v>
      </c>
      <c r="F34">
        <v>3</v>
      </c>
      <c r="G34">
        <v>204</v>
      </c>
      <c r="H34">
        <v>4</v>
      </c>
      <c r="I34">
        <v>3</v>
      </c>
      <c r="J34">
        <v>211</v>
      </c>
      <c r="K34">
        <v>214</v>
      </c>
      <c r="L34">
        <v>11</v>
      </c>
      <c r="M34">
        <v>0</v>
      </c>
      <c r="N34">
        <v>0</v>
      </c>
      <c r="O34">
        <v>11</v>
      </c>
      <c r="P34">
        <v>2</v>
      </c>
      <c r="Q34">
        <v>0</v>
      </c>
      <c r="R34">
        <v>0</v>
      </c>
      <c r="S34">
        <v>2</v>
      </c>
      <c r="T34">
        <v>13</v>
      </c>
      <c r="U34">
        <v>248</v>
      </c>
      <c r="V34">
        <v>9</v>
      </c>
      <c r="W34">
        <v>1</v>
      </c>
      <c r="X34">
        <v>258</v>
      </c>
      <c r="Y34">
        <v>16</v>
      </c>
      <c r="Z34">
        <v>0</v>
      </c>
      <c r="AA34">
        <v>0</v>
      </c>
      <c r="AB34">
        <v>16</v>
      </c>
      <c r="AC34">
        <v>274</v>
      </c>
      <c r="AD34">
        <v>501</v>
      </c>
    </row>
    <row r="35" spans="2:30" x14ac:dyDescent="0.3">
      <c r="B35" s="11">
        <v>0.5625</v>
      </c>
      <c r="C35">
        <v>1</v>
      </c>
      <c r="D35">
        <v>0</v>
      </c>
      <c r="E35">
        <v>1</v>
      </c>
      <c r="F35">
        <v>2</v>
      </c>
      <c r="G35">
        <v>207</v>
      </c>
      <c r="H35">
        <v>10</v>
      </c>
      <c r="I35">
        <v>4</v>
      </c>
      <c r="J35">
        <v>221</v>
      </c>
      <c r="K35">
        <v>223</v>
      </c>
      <c r="L35">
        <v>12</v>
      </c>
      <c r="M35">
        <v>0</v>
      </c>
      <c r="N35">
        <v>1</v>
      </c>
      <c r="O35">
        <v>13</v>
      </c>
      <c r="P35">
        <v>1</v>
      </c>
      <c r="Q35">
        <v>0</v>
      </c>
      <c r="R35">
        <v>0</v>
      </c>
      <c r="S35">
        <v>1</v>
      </c>
      <c r="T35">
        <v>14</v>
      </c>
      <c r="U35">
        <v>231</v>
      </c>
      <c r="V35">
        <v>4</v>
      </c>
      <c r="W35">
        <v>1</v>
      </c>
      <c r="X35">
        <v>236</v>
      </c>
      <c r="Y35">
        <v>20</v>
      </c>
      <c r="Z35">
        <v>0</v>
      </c>
      <c r="AA35">
        <v>1</v>
      </c>
      <c r="AB35">
        <v>21</v>
      </c>
      <c r="AC35">
        <v>257</v>
      </c>
      <c r="AD35">
        <v>494</v>
      </c>
    </row>
    <row r="36" spans="2:30" x14ac:dyDescent="0.3">
      <c r="B36" s="11">
        <v>0.57291666666666663</v>
      </c>
      <c r="C36">
        <v>3</v>
      </c>
      <c r="D36">
        <v>0</v>
      </c>
      <c r="E36">
        <v>0</v>
      </c>
      <c r="F36">
        <v>3</v>
      </c>
      <c r="G36">
        <v>187</v>
      </c>
      <c r="H36">
        <v>6</v>
      </c>
      <c r="I36">
        <v>5</v>
      </c>
      <c r="J36">
        <v>198</v>
      </c>
      <c r="K36">
        <v>201</v>
      </c>
      <c r="L36">
        <v>14</v>
      </c>
      <c r="M36">
        <v>0</v>
      </c>
      <c r="N36">
        <v>0</v>
      </c>
      <c r="O36">
        <v>14</v>
      </c>
      <c r="P36">
        <v>3</v>
      </c>
      <c r="Q36">
        <v>0</v>
      </c>
      <c r="R36">
        <v>0</v>
      </c>
      <c r="S36">
        <v>3</v>
      </c>
      <c r="T36">
        <v>17</v>
      </c>
      <c r="U36">
        <v>209</v>
      </c>
      <c r="V36">
        <v>8</v>
      </c>
      <c r="W36">
        <v>0</v>
      </c>
      <c r="X36">
        <v>217</v>
      </c>
      <c r="Y36">
        <v>15</v>
      </c>
      <c r="Z36">
        <v>1</v>
      </c>
      <c r="AA36">
        <v>0</v>
      </c>
      <c r="AB36">
        <v>16</v>
      </c>
      <c r="AC36">
        <v>233</v>
      </c>
      <c r="AD36">
        <v>451</v>
      </c>
    </row>
  </sheetData>
  <mergeCells count="19">
    <mergeCell ref="T11:T13"/>
    <mergeCell ref="U11:AB11"/>
    <mergeCell ref="AC11:AC13"/>
    <mergeCell ref="AD11:AD13"/>
    <mergeCell ref="C12:E12"/>
    <mergeCell ref="F12:F13"/>
    <mergeCell ref="G12:I12"/>
    <mergeCell ref="J12:J13"/>
    <mergeCell ref="L12:N12"/>
    <mergeCell ref="O12:O13"/>
    <mergeCell ref="P12:R12"/>
    <mergeCell ref="S12:S13"/>
    <mergeCell ref="U12:W12"/>
    <mergeCell ref="X12:X13"/>
    <mergeCell ref="Y12:AA12"/>
    <mergeCell ref="AB12:AB13"/>
    <mergeCell ref="C11:J11"/>
    <mergeCell ref="K11:K13"/>
    <mergeCell ref="L11:S11"/>
  </mergeCells>
  <conditionalFormatting pivot="1" sqref="C14:AD36">
    <cfRule type="expression" dxfId="2" priority="2">
      <formula>C$12&lt;&gt;""</formula>
    </cfRule>
  </conditionalFormatting>
  <conditionalFormatting pivot="1" sqref="C14:AD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4.4" x14ac:dyDescent="0.3"/>
  <cols>
    <col min="1" max="1" width="13.109375" customWidth="1"/>
    <col min="2" max="5" width="11.6640625" customWidth="1"/>
    <col min="6" max="6" width="6.109375" customWidth="1"/>
    <col min="7" max="7" width="14.33203125" customWidth="1"/>
    <col min="8" max="12" width="10.5546875" customWidth="1"/>
    <col min="13" max="13" width="11.33203125" bestFit="1" customWidth="1"/>
    <col min="14" max="14" width="15.44140625" customWidth="1"/>
    <col min="19" max="19" width="12.5546875" bestFit="1" customWidth="1"/>
    <col min="20" max="20" width="6.88671875" bestFit="1" customWidth="1"/>
    <col min="21" max="21" width="12.33203125" bestFit="1" customWidth="1"/>
  </cols>
  <sheetData>
    <row r="1" spans="1:21" x14ac:dyDescent="0.3">
      <c r="A1" t="s">
        <v>61</v>
      </c>
      <c r="B1" s="6">
        <f>A12-A11</f>
        <v>1.041666666666663E-2</v>
      </c>
      <c r="H1" s="2" t="s">
        <v>52</v>
      </c>
      <c r="N1" s="2" t="s">
        <v>58</v>
      </c>
    </row>
    <row r="3" spans="1:21" x14ac:dyDescent="0.3">
      <c r="B3" t="s">
        <v>64</v>
      </c>
      <c r="C3" t="s">
        <v>65</v>
      </c>
      <c r="D3" t="s">
        <v>66</v>
      </c>
      <c r="E3" t="s">
        <v>67</v>
      </c>
      <c r="H3" t="s">
        <v>64</v>
      </c>
      <c r="I3" t="s">
        <v>65</v>
      </c>
      <c r="J3" t="s">
        <v>66</v>
      </c>
      <c r="K3" t="s">
        <v>67</v>
      </c>
    </row>
    <row r="5" spans="1:21" x14ac:dyDescent="0.3">
      <c r="G5" t="s">
        <v>53</v>
      </c>
      <c r="H5">
        <f>MAX(H11:H303)</f>
        <v>1995</v>
      </c>
      <c r="I5">
        <f>MAX(I11:I303)</f>
        <v>1904</v>
      </c>
      <c r="J5">
        <f>MAX(J11:J303)</f>
        <v>2373</v>
      </c>
      <c r="K5">
        <f>MAX(K11:K303)</f>
        <v>0</v>
      </c>
      <c r="N5" t="s">
        <v>53</v>
      </c>
      <c r="O5">
        <f>INDEX($H5:$K5,1,MATCH($O$4,$H$10:$K$10,0))</f>
        <v>0</v>
      </c>
    </row>
    <row r="6" spans="1:21" x14ac:dyDescent="0.3">
      <c r="G6" t="s">
        <v>55</v>
      </c>
      <c r="H6" s="6">
        <f>IF(H5=0,0,H7-1/24)</f>
        <v>0.33333333333333326</v>
      </c>
      <c r="I6" s="6">
        <f t="shared" ref="I6:K6" si="0">IF(I5=0,0,I7-1/24)</f>
        <v>0.54166666666666663</v>
      </c>
      <c r="J6" s="6">
        <f t="shared" si="0"/>
        <v>0.6875</v>
      </c>
      <c r="K6" s="6">
        <f t="shared" si="0"/>
        <v>0</v>
      </c>
      <c r="L6" s="6"/>
      <c r="N6" t="s">
        <v>55</v>
      </c>
      <c r="O6" s="6">
        <f>INDEX($H6:$K6,1,MATCH($O$4,$H$10:$K$10,0))</f>
        <v>0</v>
      </c>
    </row>
    <row r="7" spans="1:21" x14ac:dyDescent="0.3">
      <c r="G7" t="s">
        <v>54</v>
      </c>
      <c r="H7" s="6">
        <f>IF(H5=0,0,INDEX($G$11:$G$303,MATCH(H$5,H$11:H$303,0))+$B$1)</f>
        <v>0.37499999999999994</v>
      </c>
      <c r="I7" s="6">
        <f t="shared" ref="I7:K7" si="1">IF(I5=0,0,INDEX($G$11:$G$303,MATCH(I$5,I$11:I$303,0))+$B$1)</f>
        <v>0.58333333333333326</v>
      </c>
      <c r="J7" s="6">
        <f t="shared" si="1"/>
        <v>0.72916666666666663</v>
      </c>
      <c r="K7" s="6">
        <f t="shared" si="1"/>
        <v>0</v>
      </c>
      <c r="L7" s="6"/>
      <c r="N7" t="s">
        <v>54</v>
      </c>
      <c r="O7" s="6">
        <f>INDEX($H7:$K7,1,MATCH($O$4,$H$10:$K$10,0))</f>
        <v>0</v>
      </c>
    </row>
    <row r="8" spans="1:21" x14ac:dyDescent="0.3">
      <c r="G8" t="s">
        <v>56</v>
      </c>
      <c r="H8" s="6" t="str">
        <f>IF(H5=0,"","The peak hour for " &amp;H10&amp;" is "&amp;H5&amp;" vehicles between " &amp; TEXT(H6, "hh:mm")&amp; " and " &amp;TEXT(H7,"hh:mm"))</f>
        <v>The peak hour for AM is 1995 vehicles between 08:00 and 09:00</v>
      </c>
      <c r="I8" s="6" t="str">
        <f>IF(I5=0,"","The peak hour for " &amp;I10&amp;" is "&amp;I5&amp;" vehicles between " &amp; TEXT(I6, "hh:mm")&amp; " and " &amp;TEXT(I7,"hh:mm"))</f>
        <v>The peak hour for INT is 1904 vehicles between 13:00 and 14:00</v>
      </c>
      <c r="J8" s="6" t="str">
        <f>IF(J5=0,"","The peak hour for " &amp;J10&amp;" is "&amp;J5&amp;" vehicles between " &amp; TEXT(J6, "hh:mm")&amp; " and " &amp;TEXT(J7,"hh:mm"))</f>
        <v>The peak hour for PM is 2373 vehicles between 16:30 and 17:30</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3">
      <c r="A9" s="8" t="s">
        <v>51</v>
      </c>
      <c r="B9" s="8" t="s">
        <v>50</v>
      </c>
    </row>
    <row r="10" spans="1:21" x14ac:dyDescent="0.3">
      <c r="A10" s="8" t="s">
        <v>48</v>
      </c>
      <c r="B10" t="s">
        <v>43</v>
      </c>
      <c r="C10" t="s">
        <v>90</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3">
      <c r="A11" s="9">
        <v>0.29166666666666669</v>
      </c>
      <c r="B11">
        <v>317</v>
      </c>
      <c r="G11" s="7">
        <f>A11</f>
        <v>0.29166666666666669</v>
      </c>
      <c r="H11">
        <f>IF(B11&lt;&gt;0,SUMIF($G$11:$G11,"&gt;"&amp;$G11-1/24,B$11:B11),0)</f>
        <v>317</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317</v>
      </c>
      <c r="Q11">
        <f>P11*L11</f>
        <v>0</v>
      </c>
      <c r="S11" s="9">
        <v>0.29166666666666669</v>
      </c>
      <c r="T11">
        <v>317</v>
      </c>
      <c r="U11">
        <v>0</v>
      </c>
    </row>
    <row r="12" spans="1:21" x14ac:dyDescent="0.3">
      <c r="A12" s="9">
        <v>0.30208333333333331</v>
      </c>
      <c r="B12">
        <v>456</v>
      </c>
      <c r="G12" s="7">
        <f t="shared" ref="G12:G26" si="3">A12</f>
        <v>0.30208333333333331</v>
      </c>
      <c r="H12">
        <f>IF(B12&lt;&gt;0,SUMIF($G$11:$G12,"&gt;"&amp;$G12-1/24,B$11:B12),0)</f>
        <v>773</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456</v>
      </c>
      <c r="Q12">
        <f t="shared" ref="Q12:Q75" si="7">P12*L12</f>
        <v>0</v>
      </c>
      <c r="S12" s="9">
        <v>0.30208333333333331</v>
      </c>
      <c r="T12">
        <v>456</v>
      </c>
      <c r="U12">
        <v>0</v>
      </c>
    </row>
    <row r="13" spans="1:21" x14ac:dyDescent="0.3">
      <c r="A13" s="9">
        <v>0.3125</v>
      </c>
      <c r="B13">
        <v>498</v>
      </c>
      <c r="G13" s="7">
        <f t="shared" si="3"/>
        <v>0.3125</v>
      </c>
      <c r="H13">
        <f>IF(B13&lt;&gt;0,SUMIF($G$11:$G13,"&gt;"&amp;$G13-1/24,B$11:B13),0)</f>
        <v>1271</v>
      </c>
      <c r="I13">
        <f>IF(C13&lt;&gt;0,SUMIF($G$11:$G13,"&gt;"&amp;$G13-1/24,C$11:C13),0)</f>
        <v>0</v>
      </c>
      <c r="J13">
        <f>IF(D13&lt;&gt;0,SUMIF($G$11:$G13,"&gt;"&amp;$G13-1/24,D$11:D13),0)</f>
        <v>0</v>
      </c>
      <c r="K13">
        <f>IF(E13&lt;&gt;0,SUMIF($G$11:$G13,"&gt;"&amp;$G13-1/24,E$11:E13),0)</f>
        <v>0</v>
      </c>
      <c r="L13">
        <f t="shared" si="4"/>
        <v>0</v>
      </c>
      <c r="N13" t="str">
        <f t="shared" si="5"/>
        <v>AM</v>
      </c>
      <c r="O13" s="7">
        <f t="shared" si="2"/>
        <v>0.3125</v>
      </c>
      <c r="P13">
        <f t="shared" si="6"/>
        <v>498</v>
      </c>
      <c r="Q13">
        <f t="shared" si="7"/>
        <v>0</v>
      </c>
      <c r="S13" s="9">
        <v>0.3125</v>
      </c>
      <c r="T13">
        <v>498</v>
      </c>
      <c r="U13">
        <v>0</v>
      </c>
    </row>
    <row r="14" spans="1:21" x14ac:dyDescent="0.3">
      <c r="A14" s="9">
        <v>0.32291666666666669</v>
      </c>
      <c r="B14">
        <v>493</v>
      </c>
      <c r="G14" s="7">
        <f t="shared" si="3"/>
        <v>0.32291666666666669</v>
      </c>
      <c r="H14">
        <f>IF(B14&lt;&gt;0,SUMIF($G$11:$G14,"&gt;"&amp;$G14-1/24,B$11:B14),0)</f>
        <v>1764</v>
      </c>
      <c r="I14">
        <f>IF(C14&lt;&gt;0,SUMIF($G$11:$G14,"&gt;"&amp;$G14-1/24,C$11:C14),0)</f>
        <v>0</v>
      </c>
      <c r="J14">
        <f>IF(D14&lt;&gt;0,SUMIF($G$11:$G14,"&gt;"&amp;$G14-1/24,D$11:D14),0)</f>
        <v>0</v>
      </c>
      <c r="K14">
        <f>IF(E14&lt;&gt;0,SUMIF($G$11:$G14,"&gt;"&amp;$G14-1/24,E$11:E14),0)</f>
        <v>0</v>
      </c>
      <c r="L14">
        <f t="shared" si="4"/>
        <v>0</v>
      </c>
      <c r="N14" t="str">
        <f t="shared" si="5"/>
        <v>AM</v>
      </c>
      <c r="O14" s="7">
        <f t="shared" si="2"/>
        <v>0.32291666666666669</v>
      </c>
      <c r="P14">
        <f t="shared" si="6"/>
        <v>493</v>
      </c>
      <c r="Q14">
        <f t="shared" si="7"/>
        <v>0</v>
      </c>
      <c r="S14" s="9">
        <v>0.32291666666666669</v>
      </c>
      <c r="T14">
        <v>493</v>
      </c>
      <c r="U14">
        <v>0</v>
      </c>
    </row>
    <row r="15" spans="1:21" x14ac:dyDescent="0.3">
      <c r="A15" s="9">
        <v>0.33333333333333331</v>
      </c>
      <c r="B15">
        <v>468</v>
      </c>
      <c r="G15" s="7">
        <f t="shared" si="3"/>
        <v>0.33333333333333331</v>
      </c>
      <c r="H15">
        <f>IF(B15&lt;&gt;0,SUMIF($G$11:$G15,"&gt;"&amp;$G15-1/24,B$11:B15),0)</f>
        <v>1915</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468</v>
      </c>
      <c r="Q15">
        <f t="shared" si="7"/>
        <v>468</v>
      </c>
      <c r="S15" s="9">
        <v>0.33333333333333331</v>
      </c>
      <c r="T15">
        <v>468</v>
      </c>
      <c r="U15">
        <v>468</v>
      </c>
    </row>
    <row r="16" spans="1:21" x14ac:dyDescent="0.3">
      <c r="A16" s="9">
        <v>0.34375</v>
      </c>
      <c r="B16">
        <v>507</v>
      </c>
      <c r="G16" s="7">
        <f t="shared" si="3"/>
        <v>0.34375</v>
      </c>
      <c r="H16">
        <f>IF(B16&lt;&gt;0,SUMIF($G$11:$G16,"&gt;"&amp;$G16-1/24,B$11:B16),0)</f>
        <v>1966</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507</v>
      </c>
      <c r="Q16">
        <f t="shared" si="7"/>
        <v>507</v>
      </c>
      <c r="S16" s="9">
        <v>0.34375</v>
      </c>
      <c r="T16">
        <v>507</v>
      </c>
      <c r="U16">
        <v>507</v>
      </c>
    </row>
    <row r="17" spans="1:21" x14ac:dyDescent="0.3">
      <c r="A17" s="9">
        <v>0.35416666666666669</v>
      </c>
      <c r="B17">
        <v>506</v>
      </c>
      <c r="G17" s="7">
        <f t="shared" si="3"/>
        <v>0.35416666666666669</v>
      </c>
      <c r="H17">
        <f>IF(B17&lt;&gt;0,SUMIF($G$11:$G17,"&gt;"&amp;$G17-1/24,B$11:B17),0)</f>
        <v>1974</v>
      </c>
      <c r="I17">
        <f>IF(C17&lt;&gt;0,SUMIF($G$11:$G17,"&gt;"&amp;$G17-1/24,C$11:C17),0)</f>
        <v>0</v>
      </c>
      <c r="J17">
        <f>IF(D17&lt;&gt;0,SUMIF($G$11:$G17,"&gt;"&amp;$G17-1/24,D$11:D17),0)</f>
        <v>0</v>
      </c>
      <c r="K17">
        <f>IF(E17&lt;&gt;0,SUMIF($G$11:$G17,"&gt;"&amp;$G17-1/24,E$11:E17),0)</f>
        <v>0</v>
      </c>
      <c r="L17">
        <f t="shared" si="4"/>
        <v>1</v>
      </c>
      <c r="N17" t="str">
        <f t="shared" si="5"/>
        <v>AM</v>
      </c>
      <c r="O17" s="7">
        <f t="shared" si="2"/>
        <v>0.35416666666666669</v>
      </c>
      <c r="P17">
        <f t="shared" si="6"/>
        <v>506</v>
      </c>
      <c r="Q17">
        <f t="shared" si="7"/>
        <v>506</v>
      </c>
      <c r="S17" s="9">
        <v>0.35416666666666669</v>
      </c>
      <c r="T17">
        <v>506</v>
      </c>
      <c r="U17">
        <v>506</v>
      </c>
    </row>
    <row r="18" spans="1:21" x14ac:dyDescent="0.3">
      <c r="A18" s="9">
        <v>0.36458333333333331</v>
      </c>
      <c r="B18">
        <v>514</v>
      </c>
      <c r="G18" s="7">
        <f t="shared" si="3"/>
        <v>0.36458333333333331</v>
      </c>
      <c r="H18">
        <f>IF(B18&lt;&gt;0,SUMIF($G$11:$G18,"&gt;"&amp;$G18-1/24,B$11:B18),0)</f>
        <v>1995</v>
      </c>
      <c r="I18">
        <f>IF(C18&lt;&gt;0,SUMIF($G$11:$G18,"&gt;"&amp;$G18-1/24,C$11:C18),0)</f>
        <v>0</v>
      </c>
      <c r="J18">
        <f>IF(D18&lt;&gt;0,SUMIF($G$11:$G18,"&gt;"&amp;$G18-1/24,D$11:D18),0)</f>
        <v>0</v>
      </c>
      <c r="K18">
        <f>IF(E18&lt;&gt;0,SUMIF($G$11:$G18,"&gt;"&amp;$G18-1/24,E$11:E18),0)</f>
        <v>0</v>
      </c>
      <c r="L18">
        <f t="shared" si="4"/>
        <v>1</v>
      </c>
      <c r="N18" t="str">
        <f t="shared" si="5"/>
        <v>AM</v>
      </c>
      <c r="O18" s="7">
        <f t="shared" si="2"/>
        <v>0.36458333333333331</v>
      </c>
      <c r="P18">
        <f t="shared" si="6"/>
        <v>514</v>
      </c>
      <c r="Q18">
        <f t="shared" si="7"/>
        <v>514</v>
      </c>
      <c r="S18" s="9">
        <v>0.36458333333333331</v>
      </c>
      <c r="T18">
        <v>514</v>
      </c>
      <c r="U18">
        <v>514</v>
      </c>
    </row>
    <row r="19" spans="1:21" x14ac:dyDescent="0.3">
      <c r="A19" s="9">
        <v>0.54166666666666663</v>
      </c>
      <c r="C19">
        <v>458</v>
      </c>
      <c r="G19" s="7">
        <f t="shared" si="3"/>
        <v>0.54166666666666663</v>
      </c>
      <c r="H19">
        <f>IF(B19&lt;&gt;0,SUMIF($G$11:$G19,"&gt;"&amp;$G19-1/24,B$11:B19),0)</f>
        <v>0</v>
      </c>
      <c r="I19">
        <f>IF(C19&lt;&gt;0,SUMIF($G$11:$G19,"&gt;"&amp;$G19-1/24,C$11:C19),0)</f>
        <v>458</v>
      </c>
      <c r="J19">
        <f>IF(D19&lt;&gt;0,SUMIF($G$11:$G19,"&gt;"&amp;$G19-1/24,D$11:D19),0)</f>
        <v>0</v>
      </c>
      <c r="K19">
        <f>IF(E19&lt;&gt;0,SUMIF($G$11:$G19,"&gt;"&amp;$G19-1/24,E$11:E19),0)</f>
        <v>0</v>
      </c>
      <c r="L19">
        <f t="shared" si="4"/>
        <v>1</v>
      </c>
      <c r="N19" t="str">
        <f t="shared" si="5"/>
        <v>INT</v>
      </c>
      <c r="O19" s="7">
        <f t="shared" si="2"/>
        <v>0.54166666666666663</v>
      </c>
      <c r="P19">
        <f t="shared" si="6"/>
        <v>458</v>
      </c>
      <c r="Q19">
        <f t="shared" si="7"/>
        <v>458</v>
      </c>
      <c r="S19" s="9" t="s">
        <v>49</v>
      </c>
      <c r="T19">
        <v>3759</v>
      </c>
      <c r="U19">
        <v>1995</v>
      </c>
    </row>
    <row r="20" spans="1:21" x14ac:dyDescent="0.3">
      <c r="A20" s="9">
        <v>0.55208333333333337</v>
      </c>
      <c r="C20">
        <v>501</v>
      </c>
      <c r="G20" s="7">
        <f t="shared" si="3"/>
        <v>0.55208333333333337</v>
      </c>
      <c r="H20">
        <f>IF(B20&lt;&gt;0,SUMIF($G$11:$G20,"&gt;"&amp;$G20-1/24,B$11:B20),0)</f>
        <v>0</v>
      </c>
      <c r="I20">
        <f>IF(C20&lt;&gt;0,SUMIF($G$11:$G20,"&gt;"&amp;$G20-1/24,C$11:C20),0)</f>
        <v>959</v>
      </c>
      <c r="J20">
        <f>IF(D20&lt;&gt;0,SUMIF($G$11:$G20,"&gt;"&amp;$G20-1/24,D$11:D20),0)</f>
        <v>0</v>
      </c>
      <c r="K20">
        <f>IF(E20&lt;&gt;0,SUMIF($G$11:$G20,"&gt;"&amp;$G20-1/24,E$11:E20),0)</f>
        <v>0</v>
      </c>
      <c r="L20">
        <f t="shared" si="4"/>
        <v>1</v>
      </c>
      <c r="N20" t="str">
        <f t="shared" si="5"/>
        <v>INT</v>
      </c>
      <c r="O20" s="7">
        <f t="shared" si="2"/>
        <v>0.55208333333333337</v>
      </c>
      <c r="P20">
        <f t="shared" si="6"/>
        <v>501</v>
      </c>
      <c r="Q20">
        <f t="shared" si="7"/>
        <v>501</v>
      </c>
    </row>
    <row r="21" spans="1:21" x14ac:dyDescent="0.3">
      <c r="A21" s="9">
        <v>0.5625</v>
      </c>
      <c r="C21">
        <v>494</v>
      </c>
      <c r="G21" s="7">
        <f t="shared" si="3"/>
        <v>0.5625</v>
      </c>
      <c r="H21">
        <f>IF(B21&lt;&gt;0,SUMIF($G$11:$G21,"&gt;"&amp;$G21-1/24,B$11:B21),0)</f>
        <v>0</v>
      </c>
      <c r="I21">
        <f>IF(C21&lt;&gt;0,SUMIF($G$11:$G21,"&gt;"&amp;$G21-1/24,C$11:C21),0)</f>
        <v>1453</v>
      </c>
      <c r="J21">
        <f>IF(D21&lt;&gt;0,SUMIF($G$11:$G21,"&gt;"&amp;$G21-1/24,D$11:D21),0)</f>
        <v>0</v>
      </c>
      <c r="K21">
        <f>IF(E21&lt;&gt;0,SUMIF($G$11:$G21,"&gt;"&amp;$G21-1/24,E$11:E21),0)</f>
        <v>0</v>
      </c>
      <c r="L21">
        <f t="shared" si="4"/>
        <v>1</v>
      </c>
      <c r="N21" t="str">
        <f t="shared" si="5"/>
        <v>INT</v>
      </c>
      <c r="O21" s="7">
        <f t="shared" si="2"/>
        <v>0.5625</v>
      </c>
      <c r="P21">
        <f t="shared" si="6"/>
        <v>494</v>
      </c>
      <c r="Q21">
        <f t="shared" si="7"/>
        <v>494</v>
      </c>
    </row>
    <row r="22" spans="1:21" x14ac:dyDescent="0.3">
      <c r="A22" s="9">
        <v>0.57291666666666663</v>
      </c>
      <c r="C22">
        <v>451</v>
      </c>
      <c r="G22" s="7">
        <f t="shared" si="3"/>
        <v>0.57291666666666663</v>
      </c>
      <c r="H22">
        <f>IF(B22&lt;&gt;0,SUMIF($G$11:$G22,"&gt;"&amp;$G22-1/24,B$11:B22),0)</f>
        <v>0</v>
      </c>
      <c r="I22">
        <f>IF(C22&lt;&gt;0,SUMIF($G$11:$G22,"&gt;"&amp;$G22-1/24,C$11:C22),0)</f>
        <v>1904</v>
      </c>
      <c r="J22">
        <f>IF(D22&lt;&gt;0,SUMIF($G$11:$G22,"&gt;"&amp;$G22-1/24,D$11:D22),0)</f>
        <v>0</v>
      </c>
      <c r="K22">
        <f>IF(E22&lt;&gt;0,SUMIF($G$11:$G22,"&gt;"&amp;$G22-1/24,E$11:E22),0)</f>
        <v>0</v>
      </c>
      <c r="L22">
        <f t="shared" si="4"/>
        <v>1</v>
      </c>
      <c r="N22" t="str">
        <f t="shared" si="5"/>
        <v>INT</v>
      </c>
      <c r="O22" s="7">
        <f t="shared" si="2"/>
        <v>0.57291666666666663</v>
      </c>
      <c r="P22">
        <f t="shared" si="6"/>
        <v>451</v>
      </c>
      <c r="Q22">
        <f t="shared" si="7"/>
        <v>451</v>
      </c>
    </row>
    <row r="23" spans="1:21" x14ac:dyDescent="0.3">
      <c r="A23" s="9">
        <v>0.66666666666666663</v>
      </c>
      <c r="D23">
        <v>581</v>
      </c>
      <c r="G23" s="7">
        <f t="shared" si="3"/>
        <v>0.66666666666666663</v>
      </c>
      <c r="H23">
        <f>IF(B23&lt;&gt;0,SUMIF($G$11:$G23,"&gt;"&amp;$G23-1/24,B$11:B23),0)</f>
        <v>0</v>
      </c>
      <c r="I23">
        <f>IF(C23&lt;&gt;0,SUMIF($G$11:$G23,"&gt;"&amp;$G23-1/24,C$11:C23),0)</f>
        <v>0</v>
      </c>
      <c r="J23">
        <f>IF(D23&lt;&gt;0,SUMIF($G$11:$G23,"&gt;"&amp;$G23-1/24,D$11:D23),0)</f>
        <v>581</v>
      </c>
      <c r="K23">
        <f>IF(E23&lt;&gt;0,SUMIF($G$11:$G23,"&gt;"&amp;$G23-1/24,E$11:E23),0)</f>
        <v>0</v>
      </c>
      <c r="L23">
        <f t="shared" si="4"/>
        <v>0</v>
      </c>
      <c r="N23" t="str">
        <f t="shared" si="5"/>
        <v>PM</v>
      </c>
      <c r="O23" s="7">
        <f t="shared" si="2"/>
        <v>0.66666666666666663</v>
      </c>
      <c r="P23">
        <f t="shared" si="6"/>
        <v>581</v>
      </c>
      <c r="Q23">
        <f t="shared" si="7"/>
        <v>0</v>
      </c>
    </row>
    <row r="24" spans="1:21" x14ac:dyDescent="0.3">
      <c r="A24" s="9">
        <v>0.67708333333333337</v>
      </c>
      <c r="D24">
        <v>584</v>
      </c>
      <c r="G24" s="7">
        <f t="shared" si="3"/>
        <v>0.67708333333333337</v>
      </c>
      <c r="H24">
        <f>IF(B24&lt;&gt;0,SUMIF($G$11:$G24,"&gt;"&amp;$G24-1/24,B$11:B24),0)</f>
        <v>0</v>
      </c>
      <c r="I24">
        <f>IF(C24&lt;&gt;0,SUMIF($G$11:$G24,"&gt;"&amp;$G24-1/24,C$11:C24),0)</f>
        <v>0</v>
      </c>
      <c r="J24">
        <f>IF(D24&lt;&gt;0,SUMIF($G$11:$G24,"&gt;"&amp;$G24-1/24,D$11:D24),0)</f>
        <v>1165</v>
      </c>
      <c r="K24">
        <f>IF(E24&lt;&gt;0,SUMIF($G$11:$G24,"&gt;"&amp;$G24-1/24,E$11:E24),0)</f>
        <v>0</v>
      </c>
      <c r="L24">
        <f t="shared" si="4"/>
        <v>0</v>
      </c>
      <c r="N24" t="str">
        <f t="shared" si="5"/>
        <v>PM</v>
      </c>
      <c r="O24" s="7">
        <f t="shared" si="2"/>
        <v>0.67708333333333337</v>
      </c>
      <c r="P24">
        <f t="shared" si="6"/>
        <v>584</v>
      </c>
      <c r="Q24">
        <f t="shared" si="7"/>
        <v>0</v>
      </c>
    </row>
    <row r="25" spans="1:21" x14ac:dyDescent="0.3">
      <c r="A25" s="9">
        <v>0.6875</v>
      </c>
      <c r="D25">
        <v>599</v>
      </c>
      <c r="G25" s="7">
        <f t="shared" si="3"/>
        <v>0.6875</v>
      </c>
      <c r="H25">
        <f>IF(B25&lt;&gt;0,SUMIF($G$11:$G25,"&gt;"&amp;$G25-1/24,B$11:B25),0)</f>
        <v>0</v>
      </c>
      <c r="I25">
        <f>IF(C25&lt;&gt;0,SUMIF($G$11:$G25,"&gt;"&amp;$G25-1/24,C$11:C25),0)</f>
        <v>0</v>
      </c>
      <c r="J25">
        <f>IF(D25&lt;&gt;0,SUMIF($G$11:$G25,"&gt;"&amp;$G25-1/24,D$11:D25),0)</f>
        <v>1764</v>
      </c>
      <c r="K25">
        <f>IF(E25&lt;&gt;0,SUMIF($G$11:$G25,"&gt;"&amp;$G25-1/24,E$11:E25),0)</f>
        <v>0</v>
      </c>
      <c r="L25">
        <f t="shared" si="4"/>
        <v>1</v>
      </c>
      <c r="N25" t="str">
        <f t="shared" si="5"/>
        <v>PM</v>
      </c>
      <c r="O25" s="7">
        <f t="shared" si="2"/>
        <v>0.6875</v>
      </c>
      <c r="P25">
        <f t="shared" si="6"/>
        <v>599</v>
      </c>
      <c r="Q25">
        <f t="shared" si="7"/>
        <v>599</v>
      </c>
    </row>
    <row r="26" spans="1:21" x14ac:dyDescent="0.3">
      <c r="A26" s="9">
        <v>0.69791666666666663</v>
      </c>
      <c r="D26">
        <v>560</v>
      </c>
      <c r="G26" s="7">
        <f t="shared" si="3"/>
        <v>0.69791666666666663</v>
      </c>
      <c r="H26">
        <f>IF(B26&lt;&gt;0,SUMIF($G$11:$G26,"&gt;"&amp;$G26-1/24,B$11:B26),0)</f>
        <v>0</v>
      </c>
      <c r="I26">
        <f>IF(C26&lt;&gt;0,SUMIF($G$11:$G26,"&gt;"&amp;$G26-1/24,C$11:C26),0)</f>
        <v>0</v>
      </c>
      <c r="J26">
        <f>IF(D26&lt;&gt;0,SUMIF($G$11:$G26,"&gt;"&amp;$G26-1/24,D$11:D26),0)</f>
        <v>2324</v>
      </c>
      <c r="K26">
        <f>IF(E26&lt;&gt;0,SUMIF($G$11:$G26,"&gt;"&amp;$G26-1/24,E$11:E26),0)</f>
        <v>0</v>
      </c>
      <c r="L26">
        <f t="shared" si="4"/>
        <v>1</v>
      </c>
      <c r="N26" t="str">
        <f t="shared" si="5"/>
        <v>PM</v>
      </c>
      <c r="O26" s="7">
        <f t="shared" si="2"/>
        <v>0.69791666666666663</v>
      </c>
      <c r="P26">
        <f t="shared" si="6"/>
        <v>560</v>
      </c>
      <c r="Q26">
        <f t="shared" si="7"/>
        <v>560</v>
      </c>
    </row>
    <row r="27" spans="1:21" x14ac:dyDescent="0.3">
      <c r="A27" s="9">
        <v>0.70833333333333337</v>
      </c>
      <c r="D27">
        <v>579</v>
      </c>
      <c r="G27" s="7">
        <f t="shared" ref="G27:G90" si="8">A27</f>
        <v>0.70833333333333337</v>
      </c>
      <c r="H27">
        <f>IF(B27&lt;&gt;0,SUMIF($G$11:$G27,"&gt;"&amp;$G27-1/24,B$11:B27),0)</f>
        <v>0</v>
      </c>
      <c r="I27">
        <f>IF(C27&lt;&gt;0,SUMIF($G$11:$G27,"&gt;"&amp;$G27-1/24,C$11:C27),0)</f>
        <v>0</v>
      </c>
      <c r="J27">
        <f>IF(D27&lt;&gt;0,SUMIF($G$11:$G27,"&gt;"&amp;$G27-1/24,D$11:D27),0)</f>
        <v>2322</v>
      </c>
      <c r="K27">
        <f>IF(E27&lt;&gt;0,SUMIF($G$11:$G27,"&gt;"&amp;$G27-1/24,E$11:E27),0)</f>
        <v>0</v>
      </c>
      <c r="L27">
        <f t="shared" si="4"/>
        <v>1</v>
      </c>
      <c r="N27" t="str">
        <f t="shared" si="5"/>
        <v>PM</v>
      </c>
      <c r="O27" s="7">
        <f t="shared" si="2"/>
        <v>0.70833333333333337</v>
      </c>
      <c r="P27">
        <f t="shared" si="6"/>
        <v>579</v>
      </c>
      <c r="Q27">
        <f t="shared" si="7"/>
        <v>579</v>
      </c>
    </row>
    <row r="28" spans="1:21" x14ac:dyDescent="0.3">
      <c r="A28" s="9">
        <v>0.71875</v>
      </c>
      <c r="D28">
        <v>635</v>
      </c>
      <c r="G28" s="7">
        <f t="shared" si="8"/>
        <v>0.71875</v>
      </c>
      <c r="H28">
        <f>IF(B28&lt;&gt;0,SUMIF($G$11:$G28,"&gt;"&amp;$G28-1/24,B$11:B28),0)</f>
        <v>0</v>
      </c>
      <c r="I28">
        <f>IF(C28&lt;&gt;0,SUMIF($G$11:$G28,"&gt;"&amp;$G28-1/24,C$11:C28),0)</f>
        <v>0</v>
      </c>
      <c r="J28">
        <f>IF(D28&lt;&gt;0,SUMIF($G$11:$G28,"&gt;"&amp;$G28-1/24,D$11:D28),0)</f>
        <v>2373</v>
      </c>
      <c r="K28">
        <f>IF(E28&lt;&gt;0,SUMIF($G$11:$G28,"&gt;"&amp;$G28-1/24,E$11:E28),0)</f>
        <v>0</v>
      </c>
      <c r="L28">
        <f t="shared" si="4"/>
        <v>1</v>
      </c>
      <c r="N28" t="str">
        <f t="shared" si="5"/>
        <v>PM</v>
      </c>
      <c r="O28" s="7">
        <f t="shared" si="2"/>
        <v>0.71875</v>
      </c>
      <c r="P28">
        <f t="shared" si="6"/>
        <v>635</v>
      </c>
      <c r="Q28">
        <f t="shared" si="7"/>
        <v>635</v>
      </c>
    </row>
    <row r="29" spans="1:21" x14ac:dyDescent="0.3">
      <c r="A29" s="9">
        <v>0.72916666666666663</v>
      </c>
      <c r="D29">
        <v>558</v>
      </c>
      <c r="G29" s="7">
        <f t="shared" si="8"/>
        <v>0.72916666666666663</v>
      </c>
      <c r="H29">
        <f>IF(B29&lt;&gt;0,SUMIF($G$11:$G29,"&gt;"&amp;$G29-1/24,B$11:B29),0)</f>
        <v>0</v>
      </c>
      <c r="I29">
        <f>IF(C29&lt;&gt;0,SUMIF($G$11:$G29,"&gt;"&amp;$G29-1/24,C$11:C29),0)</f>
        <v>0</v>
      </c>
      <c r="J29">
        <f>IF(D29&lt;&gt;0,SUMIF($G$11:$G29,"&gt;"&amp;$G29-1/24,D$11:D29),0)</f>
        <v>2332</v>
      </c>
      <c r="K29">
        <f>IF(E29&lt;&gt;0,SUMIF($G$11:$G29,"&gt;"&amp;$G29-1/24,E$11:E29),0)</f>
        <v>0</v>
      </c>
      <c r="L29">
        <f t="shared" si="4"/>
        <v>0</v>
      </c>
      <c r="N29" t="str">
        <f t="shared" si="5"/>
        <v>PM</v>
      </c>
      <c r="O29" s="7">
        <f t="shared" si="2"/>
        <v>0.72916666666666663</v>
      </c>
      <c r="P29">
        <f t="shared" si="6"/>
        <v>558</v>
      </c>
      <c r="Q29">
        <f t="shared" si="7"/>
        <v>0</v>
      </c>
    </row>
    <row r="30" spans="1:21" x14ac:dyDescent="0.3">
      <c r="A30" s="9">
        <v>0.73958333333333337</v>
      </c>
      <c r="D30">
        <v>563</v>
      </c>
      <c r="G30" s="7">
        <f t="shared" si="8"/>
        <v>0.73958333333333337</v>
      </c>
      <c r="H30">
        <f>IF(B30&lt;&gt;0,SUMIF($G$11:$G30,"&gt;"&amp;$G30-1/24,B$11:B30),0)</f>
        <v>0</v>
      </c>
      <c r="I30">
        <f>IF(C30&lt;&gt;0,SUMIF($G$11:$G30,"&gt;"&amp;$G30-1/24,C$11:C30),0)</f>
        <v>0</v>
      </c>
      <c r="J30">
        <f>IF(D30&lt;&gt;0,SUMIF($G$11:$G30,"&gt;"&amp;$G30-1/24,D$11:D30),0)</f>
        <v>2335</v>
      </c>
      <c r="K30">
        <f>IF(E30&lt;&gt;0,SUMIF($G$11:$G30,"&gt;"&amp;$G30-1/24,E$11:E30),0)</f>
        <v>0</v>
      </c>
      <c r="L30">
        <f t="shared" si="4"/>
        <v>0</v>
      </c>
      <c r="N30" t="str">
        <f t="shared" si="5"/>
        <v>PM</v>
      </c>
      <c r="O30" s="7">
        <f t="shared" si="2"/>
        <v>0.73958333333333337</v>
      </c>
      <c r="P30">
        <f t="shared" si="6"/>
        <v>563</v>
      </c>
      <c r="Q30">
        <f t="shared" si="7"/>
        <v>0</v>
      </c>
    </row>
    <row r="31" spans="1:21" x14ac:dyDescent="0.3">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3">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3">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3">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3">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3">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3">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3">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3">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3">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3">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3">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3">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3">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3">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3">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3">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3">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3">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3">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3">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3">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3">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3">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3">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3">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3">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3">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3">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3">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3">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3">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3">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3">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3">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3">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3">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3">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3">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3">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3">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3">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3">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3">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3">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3">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3">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3">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3">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3">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3">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3">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3">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3">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3">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3">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3">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3">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3">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3">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3">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3">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3">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3">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3">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3">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3">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3">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3">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3">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3">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3">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3">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3">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3">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3">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3">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3">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3">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3">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3">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3">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3">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3">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3">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3">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3">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3">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3">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3">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3">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3">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3">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3">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3">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3">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3">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3">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3">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3">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3">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3">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3">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3">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3">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3">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3">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3">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3">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3">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3">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3">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3">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3">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3">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3">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3">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3">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3">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3">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3">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3">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3">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3">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3">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3">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3">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3">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3">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3">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3">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3">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3">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3">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3">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3">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3">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3">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3">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3">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3">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3">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3">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3">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3">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3">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3">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3">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3">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3">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3">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3">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3">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3">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3">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3">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3">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3">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3">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3">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3">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3">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3">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3">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3">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3">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3">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3">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3">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3">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3">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3">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3">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3">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3">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3">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3">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3">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3">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3">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3">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3">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3">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3">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3">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3">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3">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3">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3">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3">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3">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3">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3">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3">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3">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3">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3">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3">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3">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3">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3">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3">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3">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3">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3">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3">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3">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3">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3">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3">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3">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3">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3">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3">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3">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3">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3">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3">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3">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3">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3">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3">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3">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3">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3">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3">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3">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3">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3">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3">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3">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3">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3">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3">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3">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3">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3">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3">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3">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3">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3">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3">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3">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3">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3">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3">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3">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3">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3">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3">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3">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3">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3">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3">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3">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3">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3">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3">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3">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3">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3">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3">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3">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3">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3">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3">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3">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3">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3">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3">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3">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3">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3">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4.4" x14ac:dyDescent="0.3"/>
  <cols>
    <col min="2" max="2" width="13.88671875" bestFit="1" customWidth="1"/>
    <col min="3" max="3" width="12.77734375" bestFit="1" customWidth="1"/>
  </cols>
  <sheetData>
    <row r="2" spans="2:5" x14ac:dyDescent="0.3">
      <c r="B2" s="8" t="s">
        <v>45</v>
      </c>
      <c r="C2" t="s">
        <v>43</v>
      </c>
    </row>
    <row r="3" spans="2:5" x14ac:dyDescent="0.3">
      <c r="E3" t="str">
        <f>"Vehicle Count for "&amp;$C$2&amp;" Period"</f>
        <v>Vehicle Count for AM Period</v>
      </c>
    </row>
    <row r="4" spans="2:5" x14ac:dyDescent="0.3">
      <c r="B4" s="8" t="s">
        <v>48</v>
      </c>
      <c r="C4" t="s">
        <v>51</v>
      </c>
      <c r="E4" t="str">
        <f>"Vehicle Count by Approach Leg for "&amp;C2&amp;" Period"</f>
        <v>Vehicle Count by Approach Leg for AM Period</v>
      </c>
    </row>
    <row r="5" spans="2:5" x14ac:dyDescent="0.3">
      <c r="B5" s="9">
        <v>0.29166666666666669</v>
      </c>
      <c r="C5">
        <v>317</v>
      </c>
      <c r="E5" t="str">
        <f>"Vehicle Count by Exit Leg for "&amp;C2&amp;" Period"</f>
        <v>Vehicle Count by Exit Leg for AM Period</v>
      </c>
    </row>
    <row r="6" spans="2:5" x14ac:dyDescent="0.3">
      <c r="B6" s="9">
        <v>0.30208333333333331</v>
      </c>
      <c r="C6">
        <v>456</v>
      </c>
    </row>
    <row r="7" spans="2:5" x14ac:dyDescent="0.3">
      <c r="B7" s="9">
        <v>0.3125</v>
      </c>
      <c r="C7">
        <v>498</v>
      </c>
    </row>
    <row r="8" spans="2:5" x14ac:dyDescent="0.3">
      <c r="B8" s="9">
        <v>0.32291666666666669</v>
      </c>
      <c r="C8">
        <v>493</v>
      </c>
    </row>
    <row r="9" spans="2:5" x14ac:dyDescent="0.3">
      <c r="B9" s="9">
        <v>0.33333333333333331</v>
      </c>
      <c r="C9">
        <v>468</v>
      </c>
    </row>
    <row r="10" spans="2:5" x14ac:dyDescent="0.3">
      <c r="B10" s="9">
        <v>0.34375</v>
      </c>
      <c r="C10">
        <v>507</v>
      </c>
    </row>
    <row r="11" spans="2:5" x14ac:dyDescent="0.3">
      <c r="B11" s="9">
        <v>0.35416666666666669</v>
      </c>
      <c r="C11">
        <v>506</v>
      </c>
    </row>
    <row r="12" spans="2:5" x14ac:dyDescent="0.3">
      <c r="B12" s="9">
        <v>0.36458333333333331</v>
      </c>
      <c r="C12">
        <v>514</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4.4" x14ac:dyDescent="0.3"/>
  <cols>
    <col min="1" max="1" width="4.44140625" customWidth="1"/>
    <col min="9" max="9" width="6.5546875" customWidth="1"/>
    <col min="10" max="10" width="12.5546875" bestFit="1" customWidth="1"/>
    <col min="11" max="11" width="14.109375" bestFit="1" customWidth="1"/>
    <col min="12" max="12" width="14.88671875" bestFit="1" customWidth="1"/>
    <col min="13" max="13" width="21.5546875" customWidth="1"/>
    <col min="14" max="14" width="8.33203125" customWidth="1"/>
    <col min="15" max="15" width="5.5546875" customWidth="1"/>
    <col min="16" max="18" width="3.33203125" customWidth="1"/>
    <col min="19" max="19" width="10.77734375" bestFit="1" customWidth="1"/>
    <col min="20" max="20" width="14.109375" bestFit="1" customWidth="1"/>
    <col min="21" max="21" width="14.88671875" bestFit="1" customWidth="1"/>
    <col min="22" max="22" width="21.5546875" customWidth="1"/>
    <col min="23" max="23" width="11.33203125" bestFit="1" customWidth="1"/>
  </cols>
  <sheetData>
    <row r="2" spans="2:2" ht="18" x14ac:dyDescent="0.35">
      <c r="B2" s="3" t="s">
        <v>68</v>
      </c>
    </row>
    <row r="4" spans="2:2" x14ac:dyDescent="0.3">
      <c r="B4" t="s">
        <v>69</v>
      </c>
    </row>
    <row r="24" spans="2:24" x14ac:dyDescent="0.3">
      <c r="J24" s="8" t="s">
        <v>80</v>
      </c>
      <c r="S24" s="8" t="s">
        <v>81</v>
      </c>
    </row>
    <row r="25" spans="2:24" x14ac:dyDescent="0.3">
      <c r="C25" s="16" t="s">
        <v>59</v>
      </c>
      <c r="K25" s="16" t="s">
        <v>92</v>
      </c>
      <c r="L25" s="16" t="s">
        <v>94</v>
      </c>
      <c r="M25" s="16" t="s">
        <v>93</v>
      </c>
      <c r="T25" s="16" t="s">
        <v>92</v>
      </c>
      <c r="U25" s="16" t="s">
        <v>94</v>
      </c>
      <c r="V25" s="16" t="s">
        <v>93</v>
      </c>
      <c r="X25" s="13"/>
    </row>
    <row r="26" spans="2:24" x14ac:dyDescent="0.3">
      <c r="B26" s="9">
        <v>0.29166666666666669</v>
      </c>
      <c r="C26" s="16">
        <v>317</v>
      </c>
      <c r="J26" s="9">
        <v>0.29166666666666669</v>
      </c>
      <c r="K26" s="16">
        <v>202</v>
      </c>
      <c r="L26" s="16">
        <v>94</v>
      </c>
      <c r="M26" s="16">
        <v>21</v>
      </c>
      <c r="S26" s="9">
        <v>0.29166666666666669</v>
      </c>
      <c r="T26" s="16">
        <v>92</v>
      </c>
      <c r="U26" s="16">
        <v>221</v>
      </c>
      <c r="V26" s="16">
        <v>4</v>
      </c>
    </row>
    <row r="27" spans="2:24" x14ac:dyDescent="0.3">
      <c r="B27" s="9">
        <v>0.30208333333333331</v>
      </c>
      <c r="C27" s="16">
        <v>456</v>
      </c>
      <c r="J27" s="9">
        <v>0.30208333333333331</v>
      </c>
      <c r="K27" s="16">
        <v>293</v>
      </c>
      <c r="L27" s="16">
        <v>142</v>
      </c>
      <c r="M27" s="16">
        <v>21</v>
      </c>
      <c r="S27" s="9">
        <v>0.30208333333333331</v>
      </c>
      <c r="T27" s="16">
        <v>140</v>
      </c>
      <c r="U27" s="16">
        <v>310</v>
      </c>
      <c r="V27" s="16">
        <v>6</v>
      </c>
    </row>
    <row r="28" spans="2:24" x14ac:dyDescent="0.3">
      <c r="B28" s="9">
        <v>0.3125</v>
      </c>
      <c r="C28" s="16">
        <v>498</v>
      </c>
      <c r="J28" s="9">
        <v>0.3125</v>
      </c>
      <c r="K28" s="16">
        <v>330</v>
      </c>
      <c r="L28" s="16">
        <v>136</v>
      </c>
      <c r="M28" s="16">
        <v>32</v>
      </c>
      <c r="S28" s="9">
        <v>0.3125</v>
      </c>
      <c r="T28" s="16">
        <v>132</v>
      </c>
      <c r="U28" s="16">
        <v>360</v>
      </c>
      <c r="V28" s="16">
        <v>6</v>
      </c>
    </row>
    <row r="29" spans="2:24" x14ac:dyDescent="0.3">
      <c r="B29" s="9">
        <v>0.32291666666666669</v>
      </c>
      <c r="C29" s="16">
        <v>493</v>
      </c>
      <c r="J29" s="9">
        <v>0.32291666666666669</v>
      </c>
      <c r="K29" s="16">
        <v>316</v>
      </c>
      <c r="L29" s="16">
        <v>145</v>
      </c>
      <c r="M29" s="16">
        <v>32</v>
      </c>
      <c r="S29" s="9">
        <v>0.32291666666666669</v>
      </c>
      <c r="T29" s="16">
        <v>139</v>
      </c>
      <c r="U29" s="16">
        <v>343</v>
      </c>
      <c r="V29" s="16">
        <v>11</v>
      </c>
    </row>
    <row r="30" spans="2:24" x14ac:dyDescent="0.3">
      <c r="B30" s="9">
        <v>0.33333333333333331</v>
      </c>
      <c r="C30" s="16">
        <v>468</v>
      </c>
      <c r="J30" s="9">
        <v>0.33333333333333331</v>
      </c>
      <c r="K30" s="16">
        <v>289</v>
      </c>
      <c r="L30" s="16">
        <v>161</v>
      </c>
      <c r="M30" s="16">
        <v>18</v>
      </c>
      <c r="S30" s="9">
        <v>0.33333333333333331</v>
      </c>
      <c r="T30" s="16">
        <v>155</v>
      </c>
      <c r="U30" s="16">
        <v>304</v>
      </c>
      <c r="V30" s="16">
        <v>9</v>
      </c>
    </row>
    <row r="31" spans="2:24" x14ac:dyDescent="0.3">
      <c r="B31" s="9">
        <v>0.34375</v>
      </c>
      <c r="C31" s="16">
        <v>507</v>
      </c>
      <c r="J31" s="9">
        <v>0.34375</v>
      </c>
      <c r="K31" s="16">
        <v>315</v>
      </c>
      <c r="L31" s="16">
        <v>160</v>
      </c>
      <c r="M31" s="16">
        <v>32</v>
      </c>
      <c r="S31" s="9">
        <v>0.34375</v>
      </c>
      <c r="T31" s="16">
        <v>158</v>
      </c>
      <c r="U31" s="16">
        <v>341</v>
      </c>
      <c r="V31" s="16">
        <v>8</v>
      </c>
    </row>
    <row r="32" spans="2:24" x14ac:dyDescent="0.3">
      <c r="B32" s="9">
        <v>0.35416666666666669</v>
      </c>
      <c r="C32" s="16">
        <v>506</v>
      </c>
      <c r="J32" s="9">
        <v>0.35416666666666669</v>
      </c>
      <c r="K32" s="16">
        <v>308</v>
      </c>
      <c r="L32" s="16">
        <v>162</v>
      </c>
      <c r="M32" s="16">
        <v>36</v>
      </c>
      <c r="S32" s="9">
        <v>0.35416666666666669</v>
      </c>
      <c r="T32" s="16">
        <v>168</v>
      </c>
      <c r="U32" s="16">
        <v>323</v>
      </c>
      <c r="V32" s="16">
        <v>15</v>
      </c>
    </row>
    <row r="33" spans="2:22" x14ac:dyDescent="0.3">
      <c r="B33" s="9">
        <v>0.36458333333333331</v>
      </c>
      <c r="C33" s="16">
        <v>514</v>
      </c>
      <c r="J33" s="9">
        <v>0.36458333333333331</v>
      </c>
      <c r="K33" s="16">
        <v>302</v>
      </c>
      <c r="L33" s="16">
        <v>183</v>
      </c>
      <c r="M33" s="16">
        <v>29</v>
      </c>
      <c r="S33" s="9">
        <v>0.36458333333333331</v>
      </c>
      <c r="T33" s="16">
        <v>178</v>
      </c>
      <c r="U33" s="16">
        <v>324</v>
      </c>
      <c r="V33" s="16">
        <v>12</v>
      </c>
    </row>
    <row r="34" spans="2:22" x14ac:dyDescent="0.3">
      <c r="B34" s="9" t="s">
        <v>49</v>
      </c>
      <c r="C34" s="16">
        <v>3759</v>
      </c>
      <c r="J34" s="9" t="s">
        <v>49</v>
      </c>
      <c r="K34" s="16">
        <v>2355</v>
      </c>
      <c r="L34" s="16">
        <v>1183</v>
      </c>
      <c r="M34" s="16">
        <v>221</v>
      </c>
      <c r="S34" s="9" t="s">
        <v>49</v>
      </c>
      <c r="T34" s="16">
        <v>1162</v>
      </c>
      <c r="U34" s="16">
        <v>2526</v>
      </c>
      <c r="V34" s="16">
        <v>71</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41"/>
  <sheetViews>
    <sheetView showGridLines="0" workbookViewId="0"/>
  </sheetViews>
  <sheetFormatPr defaultRowHeight="14.4" x14ac:dyDescent="0.3"/>
  <cols>
    <col min="1" max="1" width="3.6640625" customWidth="1"/>
    <col min="2" max="2" width="30.5546875" bestFit="1" customWidth="1"/>
    <col min="3" max="3" width="5" bestFit="1" customWidth="1"/>
    <col min="4" max="4" width="13.21875" bestFit="1" customWidth="1"/>
    <col min="5" max="5" width="7.109375" bestFit="1" customWidth="1"/>
    <col min="6" max="6" width="8.6640625" bestFit="1" customWidth="1"/>
    <col min="7" max="7" width="5" bestFit="1" customWidth="1"/>
    <col min="8" max="8" width="13.21875" bestFit="1" customWidth="1"/>
    <col min="9" max="9" width="7.109375" bestFit="1" customWidth="1"/>
    <col min="10" max="10" width="8.5546875" bestFit="1" customWidth="1"/>
    <col min="11" max="11" width="5" bestFit="1" customWidth="1"/>
    <col min="12" max="12" width="13.21875" bestFit="1" customWidth="1"/>
    <col min="13" max="13" width="7.109375" bestFit="1" customWidth="1"/>
    <col min="14" max="14" width="8.5546875" bestFit="1" customWidth="1"/>
    <col min="15" max="15" width="6.6640625" customWidth="1"/>
    <col min="16" max="16" width="5.6640625" customWidth="1"/>
    <col min="17" max="17" width="8.88671875" customWidth="1"/>
  </cols>
  <sheetData>
    <row r="2" spans="2:2" ht="18" x14ac:dyDescent="0.35">
      <c r="B2" s="3" t="s">
        <v>57</v>
      </c>
    </row>
    <row r="4" spans="2:2" x14ac:dyDescent="0.3">
      <c r="B4" s="6" t="str">
        <f>PeakCalc!H8</f>
        <v>The peak hour for AM is 1995 vehicles between 08:00 and 09:00</v>
      </c>
    </row>
    <row r="5" spans="2:2" x14ac:dyDescent="0.3">
      <c r="B5" s="6" t="str">
        <f>PeakCalc!I8</f>
        <v>The peak hour for INT is 1904 vehicles between 13:00 and 14:00</v>
      </c>
    </row>
    <row r="6" spans="2:2" x14ac:dyDescent="0.3">
      <c r="B6" s="6" t="str">
        <f>PeakCalc!J8</f>
        <v>The peak hour for PM is 2373 vehicles between 16:30 and 17:30</v>
      </c>
    </row>
    <row r="7" spans="2:2" x14ac:dyDescent="0.3">
      <c r="B7" s="6" t="str">
        <f>PeakCalc!K8</f>
        <v/>
      </c>
    </row>
    <row r="9" spans="2:2" x14ac:dyDescent="0.3">
      <c r="B9" t="s">
        <v>69</v>
      </c>
    </row>
    <row r="26" spans="2:14" x14ac:dyDescent="0.3">
      <c r="B26" s="2" t="s">
        <v>84</v>
      </c>
    </row>
    <row r="27" spans="2:14" hidden="1" x14ac:dyDescent="0.3">
      <c r="B27" s="8" t="s">
        <v>82</v>
      </c>
      <c r="C27" s="10">
        <v>1</v>
      </c>
    </row>
    <row r="29" spans="2:14" x14ac:dyDescent="0.3">
      <c r="B29" s="15" t="s">
        <v>85</v>
      </c>
      <c r="C29" s="16"/>
      <c r="D29" s="16"/>
      <c r="E29" s="16"/>
      <c r="F29" s="16"/>
      <c r="G29" s="16"/>
      <c r="H29" s="16"/>
      <c r="I29" s="16"/>
      <c r="J29" s="16"/>
      <c r="K29" s="16"/>
      <c r="L29" s="16"/>
      <c r="M29" s="16"/>
      <c r="N29" s="16"/>
    </row>
    <row r="30" spans="2:14" x14ac:dyDescent="0.3">
      <c r="B30" s="16"/>
      <c r="C30" s="51" t="s">
        <v>43</v>
      </c>
      <c r="D30" s="52"/>
      <c r="E30" s="52"/>
      <c r="F30" s="51" t="s">
        <v>83</v>
      </c>
      <c r="G30" s="49" t="s">
        <v>44</v>
      </c>
      <c r="H30" s="50"/>
      <c r="I30" s="50"/>
      <c r="J30" s="49" t="s">
        <v>86</v>
      </c>
      <c r="K30" s="49" t="s">
        <v>90</v>
      </c>
      <c r="L30" s="50"/>
      <c r="M30" s="50"/>
      <c r="N30" s="49" t="s">
        <v>111</v>
      </c>
    </row>
    <row r="31" spans="2:14" x14ac:dyDescent="0.3">
      <c r="B31" s="16"/>
      <c r="C31" s="17" t="s">
        <v>79</v>
      </c>
      <c r="D31" s="17" t="s">
        <v>88</v>
      </c>
      <c r="E31" s="17" t="s">
        <v>89</v>
      </c>
      <c r="F31" s="52"/>
      <c r="G31" s="17" t="s">
        <v>79</v>
      </c>
      <c r="H31" s="17" t="s">
        <v>88</v>
      </c>
      <c r="I31" s="17" t="s">
        <v>89</v>
      </c>
      <c r="J31" s="50"/>
      <c r="K31" s="17" t="s">
        <v>79</v>
      </c>
      <c r="L31" s="17" t="s">
        <v>88</v>
      </c>
      <c r="M31" s="17" t="s">
        <v>89</v>
      </c>
      <c r="N31" s="50"/>
    </row>
    <row r="32" spans="2:14" x14ac:dyDescent="0.3">
      <c r="B32" s="10" t="s">
        <v>92</v>
      </c>
      <c r="C32">
        <v>1138</v>
      </c>
      <c r="D32">
        <v>40</v>
      </c>
      <c r="E32">
        <v>36</v>
      </c>
      <c r="F32">
        <v>1214</v>
      </c>
      <c r="G32">
        <v>1006</v>
      </c>
      <c r="H32">
        <v>18</v>
      </c>
      <c r="I32">
        <v>19</v>
      </c>
      <c r="J32">
        <v>1043</v>
      </c>
      <c r="K32">
        <v>785</v>
      </c>
      <c r="L32">
        <v>24</v>
      </c>
      <c r="M32">
        <v>17</v>
      </c>
      <c r="N32">
        <v>826</v>
      </c>
    </row>
    <row r="33" spans="2:14" x14ac:dyDescent="0.3">
      <c r="B33" s="14" t="s">
        <v>95</v>
      </c>
      <c r="C33">
        <v>21</v>
      </c>
      <c r="D33">
        <v>1</v>
      </c>
      <c r="E33">
        <v>0</v>
      </c>
      <c r="F33">
        <v>22</v>
      </c>
      <c r="G33">
        <v>29</v>
      </c>
      <c r="H33">
        <v>0</v>
      </c>
      <c r="I33">
        <v>5</v>
      </c>
      <c r="J33">
        <v>34</v>
      </c>
      <c r="K33">
        <v>11</v>
      </c>
      <c r="L33">
        <v>0</v>
      </c>
      <c r="M33">
        <v>2</v>
      </c>
      <c r="N33">
        <v>13</v>
      </c>
    </row>
    <row r="34" spans="2:14" x14ac:dyDescent="0.3">
      <c r="B34" s="14" t="s">
        <v>96</v>
      </c>
      <c r="C34">
        <v>1117</v>
      </c>
      <c r="D34">
        <v>39</v>
      </c>
      <c r="E34">
        <v>36</v>
      </c>
      <c r="F34">
        <v>1192</v>
      </c>
      <c r="G34">
        <v>977</v>
      </c>
      <c r="H34">
        <v>18</v>
      </c>
      <c r="I34">
        <v>14</v>
      </c>
      <c r="J34">
        <v>1009</v>
      </c>
      <c r="K34">
        <v>774</v>
      </c>
      <c r="L34">
        <v>24</v>
      </c>
      <c r="M34">
        <v>15</v>
      </c>
      <c r="N34">
        <v>813</v>
      </c>
    </row>
    <row r="35" spans="2:14" x14ac:dyDescent="0.3">
      <c r="B35" s="10" t="s">
        <v>93</v>
      </c>
      <c r="C35">
        <v>108</v>
      </c>
      <c r="D35">
        <v>1</v>
      </c>
      <c r="E35">
        <v>6</v>
      </c>
      <c r="F35">
        <v>115</v>
      </c>
      <c r="G35">
        <v>61</v>
      </c>
      <c r="H35">
        <v>0</v>
      </c>
      <c r="I35">
        <v>2</v>
      </c>
      <c r="J35">
        <v>63</v>
      </c>
      <c r="K35">
        <v>56</v>
      </c>
      <c r="L35">
        <v>0</v>
      </c>
      <c r="M35">
        <v>1</v>
      </c>
      <c r="N35">
        <v>57</v>
      </c>
    </row>
    <row r="36" spans="2:14" x14ac:dyDescent="0.3">
      <c r="B36" s="14" t="s">
        <v>97</v>
      </c>
      <c r="C36">
        <v>93</v>
      </c>
      <c r="D36">
        <v>1</v>
      </c>
      <c r="E36">
        <v>6</v>
      </c>
      <c r="F36">
        <v>100</v>
      </c>
      <c r="G36">
        <v>57</v>
      </c>
      <c r="H36">
        <v>0</v>
      </c>
      <c r="I36">
        <v>2</v>
      </c>
      <c r="J36">
        <v>59</v>
      </c>
      <c r="K36">
        <v>47</v>
      </c>
      <c r="L36">
        <v>0</v>
      </c>
      <c r="M36">
        <v>1</v>
      </c>
      <c r="N36">
        <v>48</v>
      </c>
    </row>
    <row r="37" spans="2:14" x14ac:dyDescent="0.3">
      <c r="B37" s="14" t="s">
        <v>98</v>
      </c>
      <c r="C37">
        <v>15</v>
      </c>
      <c r="D37">
        <v>0</v>
      </c>
      <c r="E37">
        <v>0</v>
      </c>
      <c r="F37">
        <v>15</v>
      </c>
      <c r="G37">
        <v>4</v>
      </c>
      <c r="H37">
        <v>0</v>
      </c>
      <c r="I37">
        <v>0</v>
      </c>
      <c r="J37">
        <v>4</v>
      </c>
      <c r="K37">
        <v>9</v>
      </c>
      <c r="L37">
        <v>0</v>
      </c>
      <c r="M37">
        <v>0</v>
      </c>
      <c r="N37">
        <v>9</v>
      </c>
    </row>
    <row r="38" spans="2:14" x14ac:dyDescent="0.3">
      <c r="B38" s="10" t="s">
        <v>94</v>
      </c>
      <c r="C38">
        <v>612</v>
      </c>
      <c r="D38">
        <v>51</v>
      </c>
      <c r="E38">
        <v>3</v>
      </c>
      <c r="F38">
        <v>666</v>
      </c>
      <c r="G38">
        <v>1242</v>
      </c>
      <c r="H38">
        <v>15</v>
      </c>
      <c r="I38">
        <v>10</v>
      </c>
      <c r="J38">
        <v>1267</v>
      </c>
      <c r="K38">
        <v>988</v>
      </c>
      <c r="L38">
        <v>29</v>
      </c>
      <c r="M38">
        <v>4</v>
      </c>
      <c r="N38">
        <v>1021</v>
      </c>
    </row>
    <row r="39" spans="2:14" x14ac:dyDescent="0.3">
      <c r="B39" s="14" t="s">
        <v>99</v>
      </c>
      <c r="C39">
        <v>593</v>
      </c>
      <c r="D39">
        <v>48</v>
      </c>
      <c r="E39">
        <v>3</v>
      </c>
      <c r="F39">
        <v>644</v>
      </c>
      <c r="G39">
        <v>1149</v>
      </c>
      <c r="H39">
        <v>15</v>
      </c>
      <c r="I39">
        <v>8</v>
      </c>
      <c r="J39">
        <v>1172</v>
      </c>
      <c r="K39">
        <v>928</v>
      </c>
      <c r="L39">
        <v>26</v>
      </c>
      <c r="M39">
        <v>2</v>
      </c>
      <c r="N39">
        <v>956</v>
      </c>
    </row>
    <row r="40" spans="2:14" x14ac:dyDescent="0.3">
      <c r="B40" s="14" t="s">
        <v>100</v>
      </c>
      <c r="C40">
        <v>19</v>
      </c>
      <c r="D40">
        <v>3</v>
      </c>
      <c r="E40">
        <v>0</v>
      </c>
      <c r="F40">
        <v>22</v>
      </c>
      <c r="G40">
        <v>93</v>
      </c>
      <c r="H40">
        <v>0</v>
      </c>
      <c r="I40">
        <v>2</v>
      </c>
      <c r="J40">
        <v>95</v>
      </c>
      <c r="K40">
        <v>60</v>
      </c>
      <c r="L40">
        <v>3</v>
      </c>
      <c r="M40">
        <v>2</v>
      </c>
      <c r="N40">
        <v>65</v>
      </c>
    </row>
    <row r="41" spans="2:14" x14ac:dyDescent="0.3">
      <c r="B41" s="10" t="s">
        <v>49</v>
      </c>
      <c r="C41">
        <v>1858</v>
      </c>
      <c r="D41">
        <v>92</v>
      </c>
      <c r="E41">
        <v>45</v>
      </c>
      <c r="F41">
        <v>1995</v>
      </c>
      <c r="G41">
        <v>2309</v>
      </c>
      <c r="H41">
        <v>33</v>
      </c>
      <c r="I41">
        <v>31</v>
      </c>
      <c r="J41">
        <v>2373</v>
      </c>
      <c r="K41">
        <v>1829</v>
      </c>
      <c r="L41">
        <v>53</v>
      </c>
      <c r="M41">
        <v>22</v>
      </c>
      <c r="N41">
        <v>1904</v>
      </c>
    </row>
  </sheetData>
  <mergeCells count="6">
    <mergeCell ref="G30:I30"/>
    <mergeCell ref="J30:J31"/>
    <mergeCell ref="K30:M30"/>
    <mergeCell ref="N30:N31"/>
    <mergeCell ref="C30:E30"/>
    <mergeCell ref="F30:F31"/>
  </mergeCells>
  <conditionalFormatting pivot="1" sqref="C32:N41">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78133E-F071-457E-B4FF-4B469F3AFE1A}">
  <dimension ref="A1:BM37"/>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165</v>
      </c>
      <c r="B1" s="62"/>
      <c r="C1" s="61" t="s">
        <v>164</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163</v>
      </c>
      <c r="B2" s="62"/>
      <c r="C2" s="61" t="s">
        <v>162</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135</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161</v>
      </c>
      <c r="B4" s="62"/>
      <c r="C4" s="61" t="s">
        <v>112</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160</v>
      </c>
      <c r="B5" s="62"/>
      <c r="C5" s="61" t="s">
        <v>112</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112</v>
      </c>
      <c r="B6" s="62"/>
      <c r="C6" s="61" t="s">
        <v>112</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112</v>
      </c>
      <c r="B7" s="62"/>
      <c r="C7" s="61" t="s">
        <v>112</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112</v>
      </c>
      <c r="B8" s="62"/>
      <c r="C8" s="61" t="s">
        <v>112</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112</v>
      </c>
      <c r="B9" s="62"/>
      <c r="C9" s="61" t="s">
        <v>112</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159</v>
      </c>
      <c r="B10" s="62"/>
      <c r="C10" s="61" t="s">
        <v>158</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157</v>
      </c>
      <c r="B11" s="62"/>
      <c r="C11" s="61" t="s">
        <v>156</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112</v>
      </c>
      <c r="B12" s="60" t="s">
        <v>152</v>
      </c>
      <c r="C12" s="59"/>
      <c r="D12" s="59"/>
      <c r="E12" s="59"/>
      <c r="F12" s="59"/>
      <c r="G12" s="59"/>
      <c r="H12" s="59"/>
      <c r="I12" s="58"/>
      <c r="J12" s="60" t="s">
        <v>152</v>
      </c>
      <c r="K12" s="59"/>
      <c r="L12" s="59"/>
      <c r="M12" s="59"/>
      <c r="N12" s="59"/>
      <c r="O12" s="59"/>
      <c r="P12" s="59"/>
      <c r="Q12" s="58"/>
      <c r="R12" s="60" t="s">
        <v>155</v>
      </c>
      <c r="S12" s="59"/>
      <c r="T12" s="59"/>
      <c r="U12" s="59"/>
      <c r="V12" s="59"/>
      <c r="W12" s="59"/>
      <c r="X12" s="59"/>
      <c r="Y12" s="58"/>
      <c r="Z12" s="60" t="s">
        <v>152</v>
      </c>
      <c r="AA12" s="59"/>
      <c r="AB12" s="59"/>
      <c r="AC12" s="59"/>
      <c r="AD12" s="59"/>
      <c r="AE12" s="59"/>
      <c r="AF12" s="59"/>
      <c r="AG12" s="58"/>
      <c r="AH12" s="60" t="s">
        <v>154</v>
      </c>
      <c r="AI12" s="59"/>
      <c r="AJ12" s="59"/>
      <c r="AK12" s="59"/>
      <c r="AL12" s="59"/>
      <c r="AM12" s="59"/>
      <c r="AN12" s="59"/>
      <c r="AO12" s="58"/>
      <c r="AP12" s="60" t="s">
        <v>152</v>
      </c>
      <c r="AQ12" s="59"/>
      <c r="AR12" s="59"/>
      <c r="AS12" s="59"/>
      <c r="AT12" s="59"/>
      <c r="AU12" s="59"/>
      <c r="AV12" s="59"/>
      <c r="AW12" s="58"/>
      <c r="AX12" s="60" t="s">
        <v>153</v>
      </c>
      <c r="AY12" s="59"/>
      <c r="AZ12" s="59"/>
      <c r="BA12" s="59"/>
      <c r="BB12" s="59"/>
      <c r="BC12" s="59"/>
      <c r="BD12" s="59"/>
      <c r="BE12" s="58"/>
      <c r="BF12" s="60" t="s">
        <v>152</v>
      </c>
      <c r="BG12" s="59"/>
      <c r="BH12" s="59"/>
      <c r="BI12" s="59"/>
      <c r="BJ12" s="59"/>
      <c r="BK12" s="59"/>
      <c r="BL12" s="59"/>
      <c r="BM12" s="58"/>
    </row>
    <row r="13" spans="1:65" ht="15" customHeight="1" x14ac:dyDescent="0.25">
      <c r="A13" s="53" t="s">
        <v>112</v>
      </c>
      <c r="B13" s="57" t="s">
        <v>151</v>
      </c>
      <c r="C13" s="56"/>
      <c r="D13" s="56"/>
      <c r="E13" s="56"/>
      <c r="F13" s="56"/>
      <c r="G13" s="56"/>
      <c r="H13" s="56"/>
      <c r="I13" s="55"/>
      <c r="J13" s="57" t="s">
        <v>150</v>
      </c>
      <c r="K13" s="56"/>
      <c r="L13" s="56"/>
      <c r="M13" s="56"/>
      <c r="N13" s="56"/>
      <c r="O13" s="56"/>
      <c r="P13" s="56"/>
      <c r="Q13" s="55"/>
      <c r="R13" s="57" t="s">
        <v>149</v>
      </c>
      <c r="S13" s="56"/>
      <c r="T13" s="56"/>
      <c r="U13" s="56"/>
      <c r="V13" s="56"/>
      <c r="W13" s="56"/>
      <c r="X13" s="56"/>
      <c r="Y13" s="55"/>
      <c r="Z13" s="57" t="s">
        <v>148</v>
      </c>
      <c r="AA13" s="56"/>
      <c r="AB13" s="56"/>
      <c r="AC13" s="56"/>
      <c r="AD13" s="56"/>
      <c r="AE13" s="56"/>
      <c r="AF13" s="56"/>
      <c r="AG13" s="55"/>
      <c r="AH13" s="57" t="s">
        <v>147</v>
      </c>
      <c r="AI13" s="56"/>
      <c r="AJ13" s="56"/>
      <c r="AK13" s="56"/>
      <c r="AL13" s="56"/>
      <c r="AM13" s="56"/>
      <c r="AN13" s="56"/>
      <c r="AO13" s="55"/>
      <c r="AP13" s="57" t="s">
        <v>146</v>
      </c>
      <c r="AQ13" s="56"/>
      <c r="AR13" s="56"/>
      <c r="AS13" s="56"/>
      <c r="AT13" s="56"/>
      <c r="AU13" s="56"/>
      <c r="AV13" s="56"/>
      <c r="AW13" s="55"/>
      <c r="AX13" s="57" t="s">
        <v>145</v>
      </c>
      <c r="AY13" s="56"/>
      <c r="AZ13" s="56"/>
      <c r="BA13" s="56"/>
      <c r="BB13" s="56"/>
      <c r="BC13" s="56"/>
      <c r="BD13" s="56"/>
      <c r="BE13" s="55"/>
      <c r="BF13" s="57" t="s">
        <v>144</v>
      </c>
      <c r="BG13" s="56"/>
      <c r="BH13" s="56"/>
      <c r="BI13" s="56"/>
      <c r="BJ13" s="56"/>
      <c r="BK13" s="56"/>
      <c r="BL13" s="56"/>
      <c r="BM13" s="55"/>
    </row>
    <row r="14" spans="1:65" ht="15" customHeight="1" x14ac:dyDescent="0.25">
      <c r="A14" s="54" t="s">
        <v>9</v>
      </c>
      <c r="B14" s="54" t="s">
        <v>143</v>
      </c>
      <c r="C14" s="54" t="s">
        <v>142</v>
      </c>
      <c r="D14" s="54" t="s">
        <v>141</v>
      </c>
      <c r="E14" s="54" t="s">
        <v>140</v>
      </c>
      <c r="F14" s="54" t="s">
        <v>139</v>
      </c>
      <c r="G14" s="54" t="s">
        <v>138</v>
      </c>
      <c r="H14" s="54" t="s">
        <v>137</v>
      </c>
      <c r="I14" s="54" t="s">
        <v>136</v>
      </c>
      <c r="J14" s="54" t="s">
        <v>143</v>
      </c>
      <c r="K14" s="54" t="s">
        <v>142</v>
      </c>
      <c r="L14" s="54" t="s">
        <v>141</v>
      </c>
      <c r="M14" s="54" t="s">
        <v>140</v>
      </c>
      <c r="N14" s="54" t="s">
        <v>139</v>
      </c>
      <c r="O14" s="54" t="s">
        <v>138</v>
      </c>
      <c r="P14" s="54" t="s">
        <v>137</v>
      </c>
      <c r="Q14" s="54" t="s">
        <v>136</v>
      </c>
      <c r="R14" s="54" t="s">
        <v>143</v>
      </c>
      <c r="S14" s="54" t="s">
        <v>142</v>
      </c>
      <c r="T14" s="54" t="s">
        <v>141</v>
      </c>
      <c r="U14" s="54" t="s">
        <v>140</v>
      </c>
      <c r="V14" s="54" t="s">
        <v>139</v>
      </c>
      <c r="W14" s="54" t="s">
        <v>138</v>
      </c>
      <c r="X14" s="54" t="s">
        <v>137</v>
      </c>
      <c r="Y14" s="54" t="s">
        <v>136</v>
      </c>
      <c r="Z14" s="54" t="s">
        <v>143</v>
      </c>
      <c r="AA14" s="54" t="s">
        <v>142</v>
      </c>
      <c r="AB14" s="54" t="s">
        <v>141</v>
      </c>
      <c r="AC14" s="54" t="s">
        <v>140</v>
      </c>
      <c r="AD14" s="54" t="s">
        <v>139</v>
      </c>
      <c r="AE14" s="54" t="s">
        <v>138</v>
      </c>
      <c r="AF14" s="54" t="s">
        <v>137</v>
      </c>
      <c r="AG14" s="54" t="s">
        <v>136</v>
      </c>
      <c r="AH14" s="54" t="s">
        <v>143</v>
      </c>
      <c r="AI14" s="54" t="s">
        <v>142</v>
      </c>
      <c r="AJ14" s="54" t="s">
        <v>141</v>
      </c>
      <c r="AK14" s="54" t="s">
        <v>140</v>
      </c>
      <c r="AL14" s="54" t="s">
        <v>139</v>
      </c>
      <c r="AM14" s="54" t="s">
        <v>138</v>
      </c>
      <c r="AN14" s="54" t="s">
        <v>137</v>
      </c>
      <c r="AO14" s="54" t="s">
        <v>136</v>
      </c>
      <c r="AP14" s="54" t="s">
        <v>143</v>
      </c>
      <c r="AQ14" s="54" t="s">
        <v>142</v>
      </c>
      <c r="AR14" s="54" t="s">
        <v>141</v>
      </c>
      <c r="AS14" s="54" t="s">
        <v>140</v>
      </c>
      <c r="AT14" s="54" t="s">
        <v>139</v>
      </c>
      <c r="AU14" s="54" t="s">
        <v>138</v>
      </c>
      <c r="AV14" s="54" t="s">
        <v>137</v>
      </c>
      <c r="AW14" s="54" t="s">
        <v>136</v>
      </c>
      <c r="AX14" s="54" t="s">
        <v>143</v>
      </c>
      <c r="AY14" s="54" t="s">
        <v>142</v>
      </c>
      <c r="AZ14" s="54" t="s">
        <v>141</v>
      </c>
      <c r="BA14" s="54" t="s">
        <v>140</v>
      </c>
      <c r="BB14" s="54" t="s">
        <v>139</v>
      </c>
      <c r="BC14" s="54" t="s">
        <v>138</v>
      </c>
      <c r="BD14" s="54" t="s">
        <v>137</v>
      </c>
      <c r="BE14" s="54" t="s">
        <v>136</v>
      </c>
      <c r="BF14" s="54" t="s">
        <v>143</v>
      </c>
      <c r="BG14" s="54" t="s">
        <v>142</v>
      </c>
      <c r="BH14" s="54" t="s">
        <v>141</v>
      </c>
      <c r="BI14" s="54" t="s">
        <v>140</v>
      </c>
      <c r="BJ14" s="54" t="s">
        <v>139</v>
      </c>
      <c r="BK14" s="54" t="s">
        <v>138</v>
      </c>
      <c r="BL14" s="54" t="s">
        <v>137</v>
      </c>
      <c r="BM14" s="54" t="s">
        <v>136</v>
      </c>
    </row>
    <row r="15" spans="1:65" ht="15" customHeight="1" x14ac:dyDescent="0.25">
      <c r="A15" s="53" t="s">
        <v>135</v>
      </c>
      <c r="B15" s="53" t="s">
        <v>112</v>
      </c>
      <c r="C15" s="53" t="s">
        <v>112</v>
      </c>
      <c r="D15" s="53" t="s">
        <v>112</v>
      </c>
      <c r="E15" s="53" t="s">
        <v>112</v>
      </c>
      <c r="F15" s="53" t="s">
        <v>112</v>
      </c>
      <c r="G15" s="53" t="s">
        <v>112</v>
      </c>
      <c r="H15" s="53" t="s">
        <v>112</v>
      </c>
      <c r="I15" s="53" t="s">
        <v>112</v>
      </c>
      <c r="J15" s="53" t="s">
        <v>112</v>
      </c>
      <c r="K15" s="53" t="s">
        <v>112</v>
      </c>
      <c r="L15" s="53" t="s">
        <v>112</v>
      </c>
      <c r="M15" s="53" t="s">
        <v>112</v>
      </c>
      <c r="N15" s="53" t="s">
        <v>112</v>
      </c>
      <c r="O15" s="53" t="s">
        <v>112</v>
      </c>
      <c r="P15" s="53" t="s">
        <v>112</v>
      </c>
      <c r="Q15" s="53" t="s">
        <v>112</v>
      </c>
      <c r="R15" s="53" t="s">
        <v>112</v>
      </c>
      <c r="S15" s="53">
        <v>0</v>
      </c>
      <c r="T15" s="53" t="s">
        <v>112</v>
      </c>
      <c r="U15" s="53">
        <v>185</v>
      </c>
      <c r="V15" s="53" t="s">
        <v>112</v>
      </c>
      <c r="W15" s="53" t="s">
        <v>112</v>
      </c>
      <c r="X15" s="53" t="s">
        <v>112</v>
      </c>
      <c r="Y15" s="53">
        <v>0</v>
      </c>
      <c r="Z15" s="53" t="s">
        <v>112</v>
      </c>
      <c r="AA15" s="53" t="s">
        <v>112</v>
      </c>
      <c r="AB15" s="53" t="s">
        <v>112</v>
      </c>
      <c r="AC15" s="53" t="s">
        <v>112</v>
      </c>
      <c r="AD15" s="53" t="s">
        <v>112</v>
      </c>
      <c r="AE15" s="53" t="s">
        <v>112</v>
      </c>
      <c r="AF15" s="53" t="s">
        <v>112</v>
      </c>
      <c r="AG15" s="53" t="s">
        <v>112</v>
      </c>
      <c r="AH15" s="53" t="s">
        <v>112</v>
      </c>
      <c r="AI15" s="53">
        <v>18</v>
      </c>
      <c r="AJ15" s="53" t="s">
        <v>112</v>
      </c>
      <c r="AK15" s="53" t="s">
        <v>112</v>
      </c>
      <c r="AL15" s="53" t="s">
        <v>112</v>
      </c>
      <c r="AM15" s="53">
        <v>1</v>
      </c>
      <c r="AN15" s="53" t="s">
        <v>112</v>
      </c>
      <c r="AO15" s="53">
        <v>0</v>
      </c>
      <c r="AP15" s="53" t="s">
        <v>112</v>
      </c>
      <c r="AQ15" s="53" t="s">
        <v>112</v>
      </c>
      <c r="AR15" s="53" t="s">
        <v>112</v>
      </c>
      <c r="AS15" s="53" t="s">
        <v>112</v>
      </c>
      <c r="AT15" s="53" t="s">
        <v>112</v>
      </c>
      <c r="AU15" s="53" t="s">
        <v>112</v>
      </c>
      <c r="AV15" s="53" t="s">
        <v>112</v>
      </c>
      <c r="AW15" s="53" t="s">
        <v>112</v>
      </c>
      <c r="AX15" s="53" t="s">
        <v>112</v>
      </c>
      <c r="AY15" s="53" t="s">
        <v>112</v>
      </c>
      <c r="AZ15" s="53" t="s">
        <v>112</v>
      </c>
      <c r="BA15" s="53">
        <v>79</v>
      </c>
      <c r="BB15" s="53" t="s">
        <v>112</v>
      </c>
      <c r="BC15" s="53">
        <v>3</v>
      </c>
      <c r="BD15" s="53" t="s">
        <v>112</v>
      </c>
      <c r="BE15" s="53">
        <v>0</v>
      </c>
      <c r="BF15" s="53" t="s">
        <v>112</v>
      </c>
      <c r="BG15" s="53" t="s">
        <v>112</v>
      </c>
      <c r="BH15" s="53" t="s">
        <v>112</v>
      </c>
      <c r="BI15" s="53" t="s">
        <v>112</v>
      </c>
      <c r="BJ15" s="53" t="s">
        <v>112</v>
      </c>
      <c r="BK15" s="53" t="s">
        <v>112</v>
      </c>
      <c r="BL15" s="53" t="s">
        <v>112</v>
      </c>
      <c r="BM15" s="53" t="s">
        <v>112</v>
      </c>
    </row>
    <row r="16" spans="1:65" ht="15" customHeight="1" x14ac:dyDescent="0.25">
      <c r="A16" s="53" t="s">
        <v>134</v>
      </c>
      <c r="B16" s="53" t="s">
        <v>112</v>
      </c>
      <c r="C16" s="53" t="s">
        <v>112</v>
      </c>
      <c r="D16" s="53" t="s">
        <v>112</v>
      </c>
      <c r="E16" s="53" t="s">
        <v>112</v>
      </c>
      <c r="F16" s="53" t="s">
        <v>112</v>
      </c>
      <c r="G16" s="53" t="s">
        <v>112</v>
      </c>
      <c r="H16" s="53" t="s">
        <v>112</v>
      </c>
      <c r="I16" s="53" t="s">
        <v>112</v>
      </c>
      <c r="J16" s="53" t="s">
        <v>112</v>
      </c>
      <c r="K16" s="53" t="s">
        <v>112</v>
      </c>
      <c r="L16" s="53" t="s">
        <v>112</v>
      </c>
      <c r="M16" s="53" t="s">
        <v>112</v>
      </c>
      <c r="N16" s="53" t="s">
        <v>112</v>
      </c>
      <c r="O16" s="53" t="s">
        <v>112</v>
      </c>
      <c r="P16" s="53" t="s">
        <v>112</v>
      </c>
      <c r="Q16" s="53" t="s">
        <v>112</v>
      </c>
      <c r="R16" s="53" t="s">
        <v>112</v>
      </c>
      <c r="S16" s="53">
        <v>1</v>
      </c>
      <c r="T16" s="53" t="s">
        <v>112</v>
      </c>
      <c r="U16" s="53">
        <v>269</v>
      </c>
      <c r="V16" s="53" t="s">
        <v>112</v>
      </c>
      <c r="W16" s="53" t="s">
        <v>112</v>
      </c>
      <c r="X16" s="53" t="s">
        <v>112</v>
      </c>
      <c r="Y16" s="53">
        <v>0</v>
      </c>
      <c r="Z16" s="53" t="s">
        <v>112</v>
      </c>
      <c r="AA16" s="53" t="s">
        <v>112</v>
      </c>
      <c r="AB16" s="53" t="s">
        <v>112</v>
      </c>
      <c r="AC16" s="53" t="s">
        <v>112</v>
      </c>
      <c r="AD16" s="53" t="s">
        <v>112</v>
      </c>
      <c r="AE16" s="53" t="s">
        <v>112</v>
      </c>
      <c r="AF16" s="53" t="s">
        <v>112</v>
      </c>
      <c r="AG16" s="53" t="s">
        <v>112</v>
      </c>
      <c r="AH16" s="53" t="s">
        <v>112</v>
      </c>
      <c r="AI16" s="53">
        <v>18</v>
      </c>
      <c r="AJ16" s="53" t="s">
        <v>112</v>
      </c>
      <c r="AK16" s="53" t="s">
        <v>112</v>
      </c>
      <c r="AL16" s="53" t="s">
        <v>112</v>
      </c>
      <c r="AM16" s="53">
        <v>2</v>
      </c>
      <c r="AN16" s="53" t="s">
        <v>112</v>
      </c>
      <c r="AO16" s="53">
        <v>0</v>
      </c>
      <c r="AP16" s="53" t="s">
        <v>112</v>
      </c>
      <c r="AQ16" s="53" t="s">
        <v>112</v>
      </c>
      <c r="AR16" s="53" t="s">
        <v>112</v>
      </c>
      <c r="AS16" s="53" t="s">
        <v>112</v>
      </c>
      <c r="AT16" s="53" t="s">
        <v>112</v>
      </c>
      <c r="AU16" s="53" t="s">
        <v>112</v>
      </c>
      <c r="AV16" s="53" t="s">
        <v>112</v>
      </c>
      <c r="AW16" s="53" t="s">
        <v>112</v>
      </c>
      <c r="AX16" s="53" t="s">
        <v>112</v>
      </c>
      <c r="AY16" s="53" t="s">
        <v>112</v>
      </c>
      <c r="AZ16" s="53" t="s">
        <v>112</v>
      </c>
      <c r="BA16" s="53">
        <v>130</v>
      </c>
      <c r="BB16" s="53" t="s">
        <v>112</v>
      </c>
      <c r="BC16" s="53">
        <v>4</v>
      </c>
      <c r="BD16" s="53" t="s">
        <v>112</v>
      </c>
      <c r="BE16" s="53">
        <v>0</v>
      </c>
      <c r="BF16" s="53" t="s">
        <v>112</v>
      </c>
      <c r="BG16" s="53" t="s">
        <v>112</v>
      </c>
      <c r="BH16" s="53" t="s">
        <v>112</v>
      </c>
      <c r="BI16" s="53" t="s">
        <v>112</v>
      </c>
      <c r="BJ16" s="53" t="s">
        <v>112</v>
      </c>
      <c r="BK16" s="53" t="s">
        <v>112</v>
      </c>
      <c r="BL16" s="53" t="s">
        <v>112</v>
      </c>
      <c r="BM16" s="53" t="s">
        <v>112</v>
      </c>
    </row>
    <row r="17" spans="1:65" ht="15" customHeight="1" x14ac:dyDescent="0.25">
      <c r="A17" s="53" t="s">
        <v>133</v>
      </c>
      <c r="B17" s="53" t="s">
        <v>112</v>
      </c>
      <c r="C17" s="53" t="s">
        <v>112</v>
      </c>
      <c r="D17" s="53" t="s">
        <v>112</v>
      </c>
      <c r="E17" s="53" t="s">
        <v>112</v>
      </c>
      <c r="F17" s="53" t="s">
        <v>112</v>
      </c>
      <c r="G17" s="53" t="s">
        <v>112</v>
      </c>
      <c r="H17" s="53" t="s">
        <v>112</v>
      </c>
      <c r="I17" s="53" t="s">
        <v>112</v>
      </c>
      <c r="J17" s="53" t="s">
        <v>112</v>
      </c>
      <c r="K17" s="53" t="s">
        <v>112</v>
      </c>
      <c r="L17" s="53" t="s">
        <v>112</v>
      </c>
      <c r="M17" s="53" t="s">
        <v>112</v>
      </c>
      <c r="N17" s="53" t="s">
        <v>112</v>
      </c>
      <c r="O17" s="53" t="s">
        <v>112</v>
      </c>
      <c r="P17" s="53" t="s">
        <v>112</v>
      </c>
      <c r="Q17" s="53" t="s">
        <v>112</v>
      </c>
      <c r="R17" s="53" t="s">
        <v>112</v>
      </c>
      <c r="S17" s="53">
        <v>0</v>
      </c>
      <c r="T17" s="53" t="s">
        <v>112</v>
      </c>
      <c r="U17" s="53">
        <v>293</v>
      </c>
      <c r="V17" s="53" t="s">
        <v>112</v>
      </c>
      <c r="W17" s="53" t="s">
        <v>112</v>
      </c>
      <c r="X17" s="53" t="s">
        <v>112</v>
      </c>
      <c r="Y17" s="53">
        <v>0</v>
      </c>
      <c r="Z17" s="53" t="s">
        <v>112</v>
      </c>
      <c r="AA17" s="53" t="s">
        <v>112</v>
      </c>
      <c r="AB17" s="53" t="s">
        <v>112</v>
      </c>
      <c r="AC17" s="53" t="s">
        <v>112</v>
      </c>
      <c r="AD17" s="53" t="s">
        <v>112</v>
      </c>
      <c r="AE17" s="53" t="s">
        <v>112</v>
      </c>
      <c r="AF17" s="53" t="s">
        <v>112</v>
      </c>
      <c r="AG17" s="53" t="s">
        <v>112</v>
      </c>
      <c r="AH17" s="53" t="s">
        <v>112</v>
      </c>
      <c r="AI17" s="53">
        <v>27</v>
      </c>
      <c r="AJ17" s="53" t="s">
        <v>112</v>
      </c>
      <c r="AK17" s="53" t="s">
        <v>112</v>
      </c>
      <c r="AL17" s="53" t="s">
        <v>112</v>
      </c>
      <c r="AM17" s="53">
        <v>2</v>
      </c>
      <c r="AN17" s="53" t="s">
        <v>112</v>
      </c>
      <c r="AO17" s="53">
        <v>0</v>
      </c>
      <c r="AP17" s="53" t="s">
        <v>112</v>
      </c>
      <c r="AQ17" s="53" t="s">
        <v>112</v>
      </c>
      <c r="AR17" s="53" t="s">
        <v>112</v>
      </c>
      <c r="AS17" s="53" t="s">
        <v>112</v>
      </c>
      <c r="AT17" s="53" t="s">
        <v>112</v>
      </c>
      <c r="AU17" s="53" t="s">
        <v>112</v>
      </c>
      <c r="AV17" s="53" t="s">
        <v>112</v>
      </c>
      <c r="AW17" s="53" t="s">
        <v>112</v>
      </c>
      <c r="AX17" s="53" t="s">
        <v>112</v>
      </c>
      <c r="AY17" s="53" t="s">
        <v>112</v>
      </c>
      <c r="AZ17" s="53" t="s">
        <v>112</v>
      </c>
      <c r="BA17" s="53">
        <v>118</v>
      </c>
      <c r="BB17" s="53" t="s">
        <v>112</v>
      </c>
      <c r="BC17" s="53">
        <v>4</v>
      </c>
      <c r="BD17" s="53" t="s">
        <v>112</v>
      </c>
      <c r="BE17" s="53">
        <v>0</v>
      </c>
      <c r="BF17" s="53" t="s">
        <v>112</v>
      </c>
      <c r="BG17" s="53" t="s">
        <v>112</v>
      </c>
      <c r="BH17" s="53" t="s">
        <v>112</v>
      </c>
      <c r="BI17" s="53" t="s">
        <v>112</v>
      </c>
      <c r="BJ17" s="53" t="s">
        <v>112</v>
      </c>
      <c r="BK17" s="53" t="s">
        <v>112</v>
      </c>
      <c r="BL17" s="53" t="s">
        <v>112</v>
      </c>
      <c r="BM17" s="53" t="s">
        <v>112</v>
      </c>
    </row>
    <row r="18" spans="1:65" ht="15" customHeight="1" x14ac:dyDescent="0.25">
      <c r="A18" s="53" t="s">
        <v>132</v>
      </c>
      <c r="B18" s="53" t="s">
        <v>112</v>
      </c>
      <c r="C18" s="53" t="s">
        <v>112</v>
      </c>
      <c r="D18" s="53" t="s">
        <v>112</v>
      </c>
      <c r="E18" s="53" t="s">
        <v>112</v>
      </c>
      <c r="F18" s="53" t="s">
        <v>112</v>
      </c>
      <c r="G18" s="53" t="s">
        <v>112</v>
      </c>
      <c r="H18" s="53" t="s">
        <v>112</v>
      </c>
      <c r="I18" s="53" t="s">
        <v>112</v>
      </c>
      <c r="J18" s="53" t="s">
        <v>112</v>
      </c>
      <c r="K18" s="53" t="s">
        <v>112</v>
      </c>
      <c r="L18" s="53" t="s">
        <v>112</v>
      </c>
      <c r="M18" s="53" t="s">
        <v>112</v>
      </c>
      <c r="N18" s="53" t="s">
        <v>112</v>
      </c>
      <c r="O18" s="53" t="s">
        <v>112</v>
      </c>
      <c r="P18" s="53" t="s">
        <v>112</v>
      </c>
      <c r="Q18" s="53" t="s">
        <v>112</v>
      </c>
      <c r="R18" s="53" t="s">
        <v>112</v>
      </c>
      <c r="S18" s="53">
        <v>4</v>
      </c>
      <c r="T18" s="53" t="s">
        <v>112</v>
      </c>
      <c r="U18" s="53">
        <v>294</v>
      </c>
      <c r="V18" s="53" t="s">
        <v>112</v>
      </c>
      <c r="W18" s="53" t="s">
        <v>112</v>
      </c>
      <c r="X18" s="53" t="s">
        <v>112</v>
      </c>
      <c r="Y18" s="53">
        <v>0</v>
      </c>
      <c r="Z18" s="53" t="s">
        <v>112</v>
      </c>
      <c r="AA18" s="53" t="s">
        <v>112</v>
      </c>
      <c r="AB18" s="53" t="s">
        <v>112</v>
      </c>
      <c r="AC18" s="53" t="s">
        <v>112</v>
      </c>
      <c r="AD18" s="53" t="s">
        <v>112</v>
      </c>
      <c r="AE18" s="53" t="s">
        <v>112</v>
      </c>
      <c r="AF18" s="53" t="s">
        <v>112</v>
      </c>
      <c r="AG18" s="53" t="s">
        <v>112</v>
      </c>
      <c r="AH18" s="53" t="s">
        <v>112</v>
      </c>
      <c r="AI18" s="53">
        <v>29</v>
      </c>
      <c r="AJ18" s="53" t="s">
        <v>112</v>
      </c>
      <c r="AK18" s="53" t="s">
        <v>112</v>
      </c>
      <c r="AL18" s="53" t="s">
        <v>112</v>
      </c>
      <c r="AM18" s="53">
        <v>1</v>
      </c>
      <c r="AN18" s="53" t="s">
        <v>112</v>
      </c>
      <c r="AO18" s="53">
        <v>0</v>
      </c>
      <c r="AP18" s="53" t="s">
        <v>112</v>
      </c>
      <c r="AQ18" s="53" t="s">
        <v>112</v>
      </c>
      <c r="AR18" s="53" t="s">
        <v>112</v>
      </c>
      <c r="AS18" s="53" t="s">
        <v>112</v>
      </c>
      <c r="AT18" s="53" t="s">
        <v>112</v>
      </c>
      <c r="AU18" s="53" t="s">
        <v>112</v>
      </c>
      <c r="AV18" s="53" t="s">
        <v>112</v>
      </c>
      <c r="AW18" s="53" t="s">
        <v>112</v>
      </c>
      <c r="AX18" s="53" t="s">
        <v>112</v>
      </c>
      <c r="AY18" s="53" t="s">
        <v>112</v>
      </c>
      <c r="AZ18" s="53" t="s">
        <v>112</v>
      </c>
      <c r="BA18" s="53">
        <v>130</v>
      </c>
      <c r="BB18" s="53" t="s">
        <v>112</v>
      </c>
      <c r="BC18" s="53">
        <v>6</v>
      </c>
      <c r="BD18" s="53" t="s">
        <v>112</v>
      </c>
      <c r="BE18" s="53">
        <v>0</v>
      </c>
      <c r="BF18" s="53" t="s">
        <v>112</v>
      </c>
      <c r="BG18" s="53" t="s">
        <v>112</v>
      </c>
      <c r="BH18" s="53" t="s">
        <v>112</v>
      </c>
      <c r="BI18" s="53" t="s">
        <v>112</v>
      </c>
      <c r="BJ18" s="53" t="s">
        <v>112</v>
      </c>
      <c r="BK18" s="53" t="s">
        <v>112</v>
      </c>
      <c r="BL18" s="53" t="s">
        <v>112</v>
      </c>
      <c r="BM18" s="53" t="s">
        <v>112</v>
      </c>
    </row>
    <row r="19" spans="1:65" ht="15" customHeight="1" x14ac:dyDescent="0.25">
      <c r="A19" s="53" t="s">
        <v>131</v>
      </c>
      <c r="B19" s="53" t="s">
        <v>112</v>
      </c>
      <c r="C19" s="53" t="s">
        <v>112</v>
      </c>
      <c r="D19" s="53" t="s">
        <v>112</v>
      </c>
      <c r="E19" s="53" t="s">
        <v>112</v>
      </c>
      <c r="F19" s="53" t="s">
        <v>112</v>
      </c>
      <c r="G19" s="53" t="s">
        <v>112</v>
      </c>
      <c r="H19" s="53" t="s">
        <v>112</v>
      </c>
      <c r="I19" s="53" t="s">
        <v>112</v>
      </c>
      <c r="J19" s="53" t="s">
        <v>112</v>
      </c>
      <c r="K19" s="53" t="s">
        <v>112</v>
      </c>
      <c r="L19" s="53" t="s">
        <v>112</v>
      </c>
      <c r="M19" s="53" t="s">
        <v>112</v>
      </c>
      <c r="N19" s="53" t="s">
        <v>112</v>
      </c>
      <c r="O19" s="53" t="s">
        <v>112</v>
      </c>
      <c r="P19" s="53" t="s">
        <v>112</v>
      </c>
      <c r="Q19" s="53" t="s">
        <v>112</v>
      </c>
      <c r="R19" s="53" t="s">
        <v>112</v>
      </c>
      <c r="S19" s="53">
        <v>3</v>
      </c>
      <c r="T19" s="53" t="s">
        <v>112</v>
      </c>
      <c r="U19" s="53">
        <v>258</v>
      </c>
      <c r="V19" s="53" t="s">
        <v>112</v>
      </c>
      <c r="W19" s="53" t="s">
        <v>112</v>
      </c>
      <c r="X19" s="53" t="s">
        <v>112</v>
      </c>
      <c r="Y19" s="53">
        <v>0</v>
      </c>
      <c r="Z19" s="53" t="s">
        <v>112</v>
      </c>
      <c r="AA19" s="53" t="s">
        <v>112</v>
      </c>
      <c r="AB19" s="53" t="s">
        <v>112</v>
      </c>
      <c r="AC19" s="53" t="s">
        <v>112</v>
      </c>
      <c r="AD19" s="53" t="s">
        <v>112</v>
      </c>
      <c r="AE19" s="53" t="s">
        <v>112</v>
      </c>
      <c r="AF19" s="53" t="s">
        <v>112</v>
      </c>
      <c r="AG19" s="53" t="s">
        <v>112</v>
      </c>
      <c r="AH19" s="53" t="s">
        <v>112</v>
      </c>
      <c r="AI19" s="53">
        <v>17</v>
      </c>
      <c r="AJ19" s="53" t="s">
        <v>112</v>
      </c>
      <c r="AK19" s="53" t="s">
        <v>112</v>
      </c>
      <c r="AL19" s="53" t="s">
        <v>112</v>
      </c>
      <c r="AM19" s="53">
        <v>0</v>
      </c>
      <c r="AN19" s="53" t="s">
        <v>112</v>
      </c>
      <c r="AO19" s="53">
        <v>0</v>
      </c>
      <c r="AP19" s="53" t="s">
        <v>112</v>
      </c>
      <c r="AQ19" s="53" t="s">
        <v>112</v>
      </c>
      <c r="AR19" s="53" t="s">
        <v>112</v>
      </c>
      <c r="AS19" s="53" t="s">
        <v>112</v>
      </c>
      <c r="AT19" s="53" t="s">
        <v>112</v>
      </c>
      <c r="AU19" s="53" t="s">
        <v>112</v>
      </c>
      <c r="AV19" s="53" t="s">
        <v>112</v>
      </c>
      <c r="AW19" s="53" t="s">
        <v>112</v>
      </c>
      <c r="AX19" s="53" t="s">
        <v>112</v>
      </c>
      <c r="AY19" s="53" t="s">
        <v>112</v>
      </c>
      <c r="AZ19" s="53" t="s">
        <v>112</v>
      </c>
      <c r="BA19" s="53">
        <v>136</v>
      </c>
      <c r="BB19" s="53" t="s">
        <v>112</v>
      </c>
      <c r="BC19" s="53">
        <v>5</v>
      </c>
      <c r="BD19" s="53" t="s">
        <v>112</v>
      </c>
      <c r="BE19" s="53">
        <v>0</v>
      </c>
      <c r="BF19" s="53" t="s">
        <v>112</v>
      </c>
      <c r="BG19" s="53" t="s">
        <v>112</v>
      </c>
      <c r="BH19" s="53" t="s">
        <v>112</v>
      </c>
      <c r="BI19" s="53" t="s">
        <v>112</v>
      </c>
      <c r="BJ19" s="53" t="s">
        <v>112</v>
      </c>
      <c r="BK19" s="53" t="s">
        <v>112</v>
      </c>
      <c r="BL19" s="53" t="s">
        <v>112</v>
      </c>
      <c r="BM19" s="53" t="s">
        <v>112</v>
      </c>
    </row>
    <row r="20" spans="1:65" ht="15" customHeight="1" x14ac:dyDescent="0.25">
      <c r="A20" s="53" t="s">
        <v>130</v>
      </c>
      <c r="B20" s="53" t="s">
        <v>112</v>
      </c>
      <c r="C20" s="53" t="s">
        <v>112</v>
      </c>
      <c r="D20" s="53" t="s">
        <v>112</v>
      </c>
      <c r="E20" s="53" t="s">
        <v>112</v>
      </c>
      <c r="F20" s="53" t="s">
        <v>112</v>
      </c>
      <c r="G20" s="53" t="s">
        <v>112</v>
      </c>
      <c r="H20" s="53" t="s">
        <v>112</v>
      </c>
      <c r="I20" s="53" t="s">
        <v>112</v>
      </c>
      <c r="J20" s="53" t="s">
        <v>112</v>
      </c>
      <c r="K20" s="53" t="s">
        <v>112</v>
      </c>
      <c r="L20" s="53" t="s">
        <v>112</v>
      </c>
      <c r="M20" s="53" t="s">
        <v>112</v>
      </c>
      <c r="N20" s="53" t="s">
        <v>112</v>
      </c>
      <c r="O20" s="53" t="s">
        <v>112</v>
      </c>
      <c r="P20" s="53" t="s">
        <v>112</v>
      </c>
      <c r="Q20" s="53" t="s">
        <v>112</v>
      </c>
      <c r="R20" s="53" t="s">
        <v>112</v>
      </c>
      <c r="S20" s="53">
        <v>3</v>
      </c>
      <c r="T20" s="53" t="s">
        <v>112</v>
      </c>
      <c r="U20" s="53">
        <v>293</v>
      </c>
      <c r="V20" s="53" t="s">
        <v>112</v>
      </c>
      <c r="W20" s="53" t="s">
        <v>112</v>
      </c>
      <c r="X20" s="53" t="s">
        <v>112</v>
      </c>
      <c r="Y20" s="53">
        <v>0</v>
      </c>
      <c r="Z20" s="53" t="s">
        <v>112</v>
      </c>
      <c r="AA20" s="53" t="s">
        <v>112</v>
      </c>
      <c r="AB20" s="53" t="s">
        <v>112</v>
      </c>
      <c r="AC20" s="53" t="s">
        <v>112</v>
      </c>
      <c r="AD20" s="53" t="s">
        <v>112</v>
      </c>
      <c r="AE20" s="53" t="s">
        <v>112</v>
      </c>
      <c r="AF20" s="53" t="s">
        <v>112</v>
      </c>
      <c r="AG20" s="53" t="s">
        <v>112</v>
      </c>
      <c r="AH20" s="53" t="s">
        <v>112</v>
      </c>
      <c r="AI20" s="53">
        <v>26</v>
      </c>
      <c r="AJ20" s="53" t="s">
        <v>112</v>
      </c>
      <c r="AK20" s="53" t="s">
        <v>112</v>
      </c>
      <c r="AL20" s="53" t="s">
        <v>112</v>
      </c>
      <c r="AM20" s="53">
        <v>3</v>
      </c>
      <c r="AN20" s="53" t="s">
        <v>112</v>
      </c>
      <c r="AO20" s="53">
        <v>0</v>
      </c>
      <c r="AP20" s="53" t="s">
        <v>112</v>
      </c>
      <c r="AQ20" s="53" t="s">
        <v>112</v>
      </c>
      <c r="AR20" s="53" t="s">
        <v>112</v>
      </c>
      <c r="AS20" s="53" t="s">
        <v>112</v>
      </c>
      <c r="AT20" s="53" t="s">
        <v>112</v>
      </c>
      <c r="AU20" s="53" t="s">
        <v>112</v>
      </c>
      <c r="AV20" s="53" t="s">
        <v>112</v>
      </c>
      <c r="AW20" s="53" t="s">
        <v>112</v>
      </c>
      <c r="AX20" s="53" t="s">
        <v>112</v>
      </c>
      <c r="AY20" s="53" t="s">
        <v>112</v>
      </c>
      <c r="AZ20" s="53" t="s">
        <v>112</v>
      </c>
      <c r="BA20" s="53">
        <v>145</v>
      </c>
      <c r="BB20" s="53" t="s">
        <v>112</v>
      </c>
      <c r="BC20" s="53">
        <v>4</v>
      </c>
      <c r="BD20" s="53" t="s">
        <v>112</v>
      </c>
      <c r="BE20" s="53">
        <v>1</v>
      </c>
      <c r="BF20" s="53" t="s">
        <v>112</v>
      </c>
      <c r="BG20" s="53" t="s">
        <v>112</v>
      </c>
      <c r="BH20" s="53" t="s">
        <v>112</v>
      </c>
      <c r="BI20" s="53" t="s">
        <v>112</v>
      </c>
      <c r="BJ20" s="53" t="s">
        <v>112</v>
      </c>
      <c r="BK20" s="53" t="s">
        <v>112</v>
      </c>
      <c r="BL20" s="53" t="s">
        <v>112</v>
      </c>
      <c r="BM20" s="53" t="s">
        <v>112</v>
      </c>
    </row>
    <row r="21" spans="1:65" ht="15" customHeight="1" x14ac:dyDescent="0.25">
      <c r="A21" s="53" t="s">
        <v>129</v>
      </c>
      <c r="B21" s="53" t="s">
        <v>112</v>
      </c>
      <c r="C21" s="53" t="s">
        <v>112</v>
      </c>
      <c r="D21" s="53" t="s">
        <v>112</v>
      </c>
      <c r="E21" s="53" t="s">
        <v>112</v>
      </c>
      <c r="F21" s="53" t="s">
        <v>112</v>
      </c>
      <c r="G21" s="53" t="s">
        <v>112</v>
      </c>
      <c r="H21" s="53" t="s">
        <v>112</v>
      </c>
      <c r="I21" s="53" t="s">
        <v>112</v>
      </c>
      <c r="J21" s="53" t="s">
        <v>112</v>
      </c>
      <c r="K21" s="53" t="s">
        <v>112</v>
      </c>
      <c r="L21" s="53" t="s">
        <v>112</v>
      </c>
      <c r="M21" s="53" t="s">
        <v>112</v>
      </c>
      <c r="N21" s="53" t="s">
        <v>112</v>
      </c>
      <c r="O21" s="53" t="s">
        <v>112</v>
      </c>
      <c r="P21" s="53" t="s">
        <v>112</v>
      </c>
      <c r="Q21" s="53" t="s">
        <v>112</v>
      </c>
      <c r="R21" s="53" t="s">
        <v>112</v>
      </c>
      <c r="S21" s="53">
        <v>10</v>
      </c>
      <c r="T21" s="53" t="s">
        <v>112</v>
      </c>
      <c r="U21" s="53">
        <v>280</v>
      </c>
      <c r="V21" s="53" t="s">
        <v>112</v>
      </c>
      <c r="W21" s="53" t="s">
        <v>112</v>
      </c>
      <c r="X21" s="53" t="s">
        <v>112</v>
      </c>
      <c r="Y21" s="53">
        <v>0</v>
      </c>
      <c r="Z21" s="53" t="s">
        <v>112</v>
      </c>
      <c r="AA21" s="53" t="s">
        <v>112</v>
      </c>
      <c r="AB21" s="53" t="s">
        <v>112</v>
      </c>
      <c r="AC21" s="53" t="s">
        <v>112</v>
      </c>
      <c r="AD21" s="53" t="s">
        <v>112</v>
      </c>
      <c r="AE21" s="53" t="s">
        <v>112</v>
      </c>
      <c r="AF21" s="53" t="s">
        <v>112</v>
      </c>
      <c r="AG21" s="53" t="s">
        <v>112</v>
      </c>
      <c r="AH21" s="53" t="s">
        <v>112</v>
      </c>
      <c r="AI21" s="53">
        <v>24</v>
      </c>
      <c r="AJ21" s="53" t="s">
        <v>112</v>
      </c>
      <c r="AK21" s="53" t="s">
        <v>112</v>
      </c>
      <c r="AL21" s="53" t="s">
        <v>112</v>
      </c>
      <c r="AM21" s="53">
        <v>10</v>
      </c>
      <c r="AN21" s="53" t="s">
        <v>112</v>
      </c>
      <c r="AO21" s="53">
        <v>0</v>
      </c>
      <c r="AP21" s="53" t="s">
        <v>112</v>
      </c>
      <c r="AQ21" s="53" t="s">
        <v>112</v>
      </c>
      <c r="AR21" s="53" t="s">
        <v>112</v>
      </c>
      <c r="AS21" s="53" t="s">
        <v>112</v>
      </c>
      <c r="AT21" s="53" t="s">
        <v>112</v>
      </c>
      <c r="AU21" s="53" t="s">
        <v>112</v>
      </c>
      <c r="AV21" s="53" t="s">
        <v>112</v>
      </c>
      <c r="AW21" s="53" t="s">
        <v>112</v>
      </c>
      <c r="AX21" s="53" t="s">
        <v>112</v>
      </c>
      <c r="AY21" s="53" t="s">
        <v>112</v>
      </c>
      <c r="AZ21" s="53" t="s">
        <v>112</v>
      </c>
      <c r="BA21" s="53">
        <v>146</v>
      </c>
      <c r="BB21" s="53" t="s">
        <v>112</v>
      </c>
      <c r="BC21" s="53">
        <v>4</v>
      </c>
      <c r="BD21" s="53" t="s">
        <v>112</v>
      </c>
      <c r="BE21" s="53">
        <v>0</v>
      </c>
      <c r="BF21" s="53" t="s">
        <v>112</v>
      </c>
      <c r="BG21" s="53" t="s">
        <v>112</v>
      </c>
      <c r="BH21" s="53" t="s">
        <v>112</v>
      </c>
      <c r="BI21" s="53" t="s">
        <v>112</v>
      </c>
      <c r="BJ21" s="53" t="s">
        <v>112</v>
      </c>
      <c r="BK21" s="53" t="s">
        <v>112</v>
      </c>
      <c r="BL21" s="53" t="s">
        <v>112</v>
      </c>
      <c r="BM21" s="53" t="s">
        <v>112</v>
      </c>
    </row>
    <row r="22" spans="1:65" ht="15" customHeight="1" x14ac:dyDescent="0.25">
      <c r="A22" s="53" t="s">
        <v>128</v>
      </c>
      <c r="B22" s="53" t="s">
        <v>112</v>
      </c>
      <c r="C22" s="53" t="s">
        <v>112</v>
      </c>
      <c r="D22" s="53" t="s">
        <v>112</v>
      </c>
      <c r="E22" s="53" t="s">
        <v>112</v>
      </c>
      <c r="F22" s="53" t="s">
        <v>112</v>
      </c>
      <c r="G22" s="53" t="s">
        <v>112</v>
      </c>
      <c r="H22" s="53" t="s">
        <v>112</v>
      </c>
      <c r="I22" s="53" t="s">
        <v>112</v>
      </c>
      <c r="J22" s="53" t="s">
        <v>112</v>
      </c>
      <c r="K22" s="53" t="s">
        <v>112</v>
      </c>
      <c r="L22" s="53" t="s">
        <v>112</v>
      </c>
      <c r="M22" s="53" t="s">
        <v>112</v>
      </c>
      <c r="N22" s="53" t="s">
        <v>112</v>
      </c>
      <c r="O22" s="53" t="s">
        <v>112</v>
      </c>
      <c r="P22" s="53" t="s">
        <v>112</v>
      </c>
      <c r="Q22" s="53" t="s">
        <v>112</v>
      </c>
      <c r="R22" s="53" t="s">
        <v>112</v>
      </c>
      <c r="S22" s="53">
        <v>5</v>
      </c>
      <c r="T22" s="53" t="s">
        <v>112</v>
      </c>
      <c r="U22" s="53">
        <v>286</v>
      </c>
      <c r="V22" s="53" t="s">
        <v>112</v>
      </c>
      <c r="W22" s="53" t="s">
        <v>112</v>
      </c>
      <c r="X22" s="53" t="s">
        <v>112</v>
      </c>
      <c r="Y22" s="53">
        <v>0</v>
      </c>
      <c r="Z22" s="53" t="s">
        <v>112</v>
      </c>
      <c r="AA22" s="53" t="s">
        <v>112</v>
      </c>
      <c r="AB22" s="53" t="s">
        <v>112</v>
      </c>
      <c r="AC22" s="53" t="s">
        <v>112</v>
      </c>
      <c r="AD22" s="53" t="s">
        <v>112</v>
      </c>
      <c r="AE22" s="53" t="s">
        <v>112</v>
      </c>
      <c r="AF22" s="53" t="s">
        <v>112</v>
      </c>
      <c r="AG22" s="53" t="s">
        <v>112</v>
      </c>
      <c r="AH22" s="53" t="s">
        <v>112</v>
      </c>
      <c r="AI22" s="53">
        <v>26</v>
      </c>
      <c r="AJ22" s="53" t="s">
        <v>112</v>
      </c>
      <c r="AK22" s="53" t="s">
        <v>112</v>
      </c>
      <c r="AL22" s="53" t="s">
        <v>112</v>
      </c>
      <c r="AM22" s="53">
        <v>2</v>
      </c>
      <c r="AN22" s="53" t="s">
        <v>112</v>
      </c>
      <c r="AO22" s="53">
        <v>0</v>
      </c>
      <c r="AP22" s="53" t="s">
        <v>112</v>
      </c>
      <c r="AQ22" s="53" t="s">
        <v>112</v>
      </c>
      <c r="AR22" s="53" t="s">
        <v>112</v>
      </c>
      <c r="AS22" s="53" t="s">
        <v>112</v>
      </c>
      <c r="AT22" s="53" t="s">
        <v>112</v>
      </c>
      <c r="AU22" s="53" t="s">
        <v>112</v>
      </c>
      <c r="AV22" s="53" t="s">
        <v>112</v>
      </c>
      <c r="AW22" s="53" t="s">
        <v>112</v>
      </c>
      <c r="AX22" s="53" t="s">
        <v>112</v>
      </c>
      <c r="AY22" s="53" t="s">
        <v>112</v>
      </c>
      <c r="AZ22" s="53" t="s">
        <v>112</v>
      </c>
      <c r="BA22" s="53">
        <v>166</v>
      </c>
      <c r="BB22" s="53" t="s">
        <v>112</v>
      </c>
      <c r="BC22" s="53">
        <v>6</v>
      </c>
      <c r="BD22" s="53" t="s">
        <v>112</v>
      </c>
      <c r="BE22" s="53">
        <v>0</v>
      </c>
      <c r="BF22" s="53" t="s">
        <v>112</v>
      </c>
      <c r="BG22" s="53" t="s">
        <v>112</v>
      </c>
      <c r="BH22" s="53" t="s">
        <v>112</v>
      </c>
      <c r="BI22" s="53" t="s">
        <v>112</v>
      </c>
      <c r="BJ22" s="53" t="s">
        <v>112</v>
      </c>
      <c r="BK22" s="53" t="s">
        <v>112</v>
      </c>
      <c r="BL22" s="53" t="s">
        <v>112</v>
      </c>
      <c r="BM22" s="53" t="s">
        <v>112</v>
      </c>
    </row>
    <row r="23" spans="1:65" ht="15" customHeight="1" x14ac:dyDescent="0.25">
      <c r="A23" s="53" t="s">
        <v>127</v>
      </c>
      <c r="B23" s="53" t="s">
        <v>112</v>
      </c>
      <c r="C23" s="53" t="s">
        <v>112</v>
      </c>
      <c r="D23" s="53" t="s">
        <v>112</v>
      </c>
      <c r="E23" s="53" t="s">
        <v>112</v>
      </c>
      <c r="F23" s="53" t="s">
        <v>112</v>
      </c>
      <c r="G23" s="53" t="s">
        <v>112</v>
      </c>
      <c r="H23" s="53" t="s">
        <v>112</v>
      </c>
      <c r="I23" s="53" t="s">
        <v>112</v>
      </c>
      <c r="J23" s="53" t="s">
        <v>112</v>
      </c>
      <c r="K23" s="53" t="s">
        <v>112</v>
      </c>
      <c r="L23" s="53" t="s">
        <v>112</v>
      </c>
      <c r="M23" s="53" t="s">
        <v>112</v>
      </c>
      <c r="N23" s="53" t="s">
        <v>112</v>
      </c>
      <c r="O23" s="53" t="s">
        <v>112</v>
      </c>
      <c r="P23" s="53" t="s">
        <v>112</v>
      </c>
      <c r="Q23" s="53" t="s">
        <v>112</v>
      </c>
      <c r="R23" s="53" t="s">
        <v>112</v>
      </c>
      <c r="S23" s="53">
        <v>0</v>
      </c>
      <c r="T23" s="53" t="s">
        <v>112</v>
      </c>
      <c r="U23" s="53">
        <v>0</v>
      </c>
      <c r="V23" s="53" t="s">
        <v>112</v>
      </c>
      <c r="W23" s="53" t="s">
        <v>112</v>
      </c>
      <c r="X23" s="53" t="s">
        <v>112</v>
      </c>
      <c r="Y23" s="53">
        <v>0</v>
      </c>
      <c r="Z23" s="53" t="s">
        <v>112</v>
      </c>
      <c r="AA23" s="53" t="s">
        <v>112</v>
      </c>
      <c r="AB23" s="53" t="s">
        <v>112</v>
      </c>
      <c r="AC23" s="53" t="s">
        <v>112</v>
      </c>
      <c r="AD23" s="53" t="s">
        <v>112</v>
      </c>
      <c r="AE23" s="53" t="s">
        <v>112</v>
      </c>
      <c r="AF23" s="53" t="s">
        <v>112</v>
      </c>
      <c r="AG23" s="53" t="s">
        <v>112</v>
      </c>
      <c r="AH23" s="53" t="s">
        <v>112</v>
      </c>
      <c r="AI23" s="53">
        <v>0</v>
      </c>
      <c r="AJ23" s="53" t="s">
        <v>112</v>
      </c>
      <c r="AK23" s="53" t="s">
        <v>112</v>
      </c>
      <c r="AL23" s="53" t="s">
        <v>112</v>
      </c>
      <c r="AM23" s="53">
        <v>0</v>
      </c>
      <c r="AN23" s="53" t="s">
        <v>112</v>
      </c>
      <c r="AO23" s="53">
        <v>0</v>
      </c>
      <c r="AP23" s="53" t="s">
        <v>112</v>
      </c>
      <c r="AQ23" s="53" t="s">
        <v>112</v>
      </c>
      <c r="AR23" s="53" t="s">
        <v>112</v>
      </c>
      <c r="AS23" s="53" t="s">
        <v>112</v>
      </c>
      <c r="AT23" s="53" t="s">
        <v>112</v>
      </c>
      <c r="AU23" s="53" t="s">
        <v>112</v>
      </c>
      <c r="AV23" s="53" t="s">
        <v>112</v>
      </c>
      <c r="AW23" s="53" t="s">
        <v>112</v>
      </c>
      <c r="AX23" s="53" t="s">
        <v>112</v>
      </c>
      <c r="AY23" s="53" t="s">
        <v>112</v>
      </c>
      <c r="AZ23" s="53" t="s">
        <v>112</v>
      </c>
      <c r="BA23" s="53">
        <v>0</v>
      </c>
      <c r="BB23" s="53" t="s">
        <v>112</v>
      </c>
      <c r="BC23" s="53">
        <v>0</v>
      </c>
      <c r="BD23" s="53" t="s">
        <v>112</v>
      </c>
      <c r="BE23" s="53">
        <v>0</v>
      </c>
      <c r="BF23" s="53" t="s">
        <v>112</v>
      </c>
      <c r="BG23" s="53" t="s">
        <v>112</v>
      </c>
      <c r="BH23" s="53" t="s">
        <v>112</v>
      </c>
      <c r="BI23" s="53" t="s">
        <v>112</v>
      </c>
      <c r="BJ23" s="53" t="s">
        <v>112</v>
      </c>
      <c r="BK23" s="53" t="s">
        <v>112</v>
      </c>
      <c r="BL23" s="53" t="s">
        <v>112</v>
      </c>
      <c r="BM23" s="53" t="s">
        <v>112</v>
      </c>
    </row>
    <row r="24" spans="1:65" ht="15" customHeight="1" x14ac:dyDescent="0.25">
      <c r="A24" s="53" t="s">
        <v>126</v>
      </c>
      <c r="B24" s="53" t="s">
        <v>112</v>
      </c>
      <c r="C24" s="53" t="s">
        <v>112</v>
      </c>
      <c r="D24" s="53" t="s">
        <v>112</v>
      </c>
      <c r="E24" s="53" t="s">
        <v>112</v>
      </c>
      <c r="F24" s="53" t="s">
        <v>112</v>
      </c>
      <c r="G24" s="53" t="s">
        <v>112</v>
      </c>
      <c r="H24" s="53" t="s">
        <v>112</v>
      </c>
      <c r="I24" s="53" t="s">
        <v>112</v>
      </c>
      <c r="J24" s="53" t="s">
        <v>112</v>
      </c>
      <c r="K24" s="53" t="s">
        <v>112</v>
      </c>
      <c r="L24" s="53" t="s">
        <v>112</v>
      </c>
      <c r="M24" s="53" t="s">
        <v>112</v>
      </c>
      <c r="N24" s="53" t="s">
        <v>112</v>
      </c>
      <c r="O24" s="53" t="s">
        <v>112</v>
      </c>
      <c r="P24" s="53" t="s">
        <v>112</v>
      </c>
      <c r="Q24" s="53" t="s">
        <v>112</v>
      </c>
      <c r="R24" s="53" t="s">
        <v>112</v>
      </c>
      <c r="S24" s="53">
        <v>5</v>
      </c>
      <c r="T24" s="53" t="s">
        <v>112</v>
      </c>
      <c r="U24" s="53">
        <v>176</v>
      </c>
      <c r="V24" s="53" t="s">
        <v>112</v>
      </c>
      <c r="W24" s="53" t="s">
        <v>112</v>
      </c>
      <c r="X24" s="53" t="s">
        <v>112</v>
      </c>
      <c r="Y24" s="53">
        <v>0</v>
      </c>
      <c r="Z24" s="53" t="s">
        <v>112</v>
      </c>
      <c r="AA24" s="53" t="s">
        <v>112</v>
      </c>
      <c r="AB24" s="53" t="s">
        <v>112</v>
      </c>
      <c r="AC24" s="53" t="s">
        <v>112</v>
      </c>
      <c r="AD24" s="53" t="s">
        <v>112</v>
      </c>
      <c r="AE24" s="53" t="s">
        <v>112</v>
      </c>
      <c r="AF24" s="53" t="s">
        <v>112</v>
      </c>
      <c r="AG24" s="53" t="s">
        <v>112</v>
      </c>
      <c r="AH24" s="53" t="s">
        <v>112</v>
      </c>
      <c r="AI24" s="53">
        <v>10</v>
      </c>
      <c r="AJ24" s="53" t="s">
        <v>112</v>
      </c>
      <c r="AK24" s="53" t="s">
        <v>112</v>
      </c>
      <c r="AL24" s="53" t="s">
        <v>112</v>
      </c>
      <c r="AM24" s="53">
        <v>3</v>
      </c>
      <c r="AN24" s="53" t="s">
        <v>112</v>
      </c>
      <c r="AO24" s="53">
        <v>0</v>
      </c>
      <c r="AP24" s="53" t="s">
        <v>112</v>
      </c>
      <c r="AQ24" s="53" t="s">
        <v>112</v>
      </c>
      <c r="AR24" s="53" t="s">
        <v>112</v>
      </c>
      <c r="AS24" s="53" t="s">
        <v>112</v>
      </c>
      <c r="AT24" s="53" t="s">
        <v>112</v>
      </c>
      <c r="AU24" s="53" t="s">
        <v>112</v>
      </c>
      <c r="AV24" s="53" t="s">
        <v>112</v>
      </c>
      <c r="AW24" s="53" t="s">
        <v>112</v>
      </c>
      <c r="AX24" s="53" t="s">
        <v>112</v>
      </c>
      <c r="AY24" s="53" t="s">
        <v>112</v>
      </c>
      <c r="AZ24" s="53" t="s">
        <v>112</v>
      </c>
      <c r="BA24" s="53">
        <v>240</v>
      </c>
      <c r="BB24" s="53" t="s">
        <v>112</v>
      </c>
      <c r="BC24" s="53">
        <v>9</v>
      </c>
      <c r="BD24" s="53" t="s">
        <v>112</v>
      </c>
      <c r="BE24" s="53">
        <v>0</v>
      </c>
      <c r="BF24" s="53" t="s">
        <v>112</v>
      </c>
      <c r="BG24" s="53" t="s">
        <v>112</v>
      </c>
      <c r="BH24" s="53" t="s">
        <v>112</v>
      </c>
      <c r="BI24" s="53" t="s">
        <v>112</v>
      </c>
      <c r="BJ24" s="53" t="s">
        <v>112</v>
      </c>
      <c r="BK24" s="53" t="s">
        <v>112</v>
      </c>
      <c r="BL24" s="53" t="s">
        <v>112</v>
      </c>
      <c r="BM24" s="53" t="s">
        <v>112</v>
      </c>
    </row>
    <row r="25" spans="1:65" ht="15" customHeight="1" x14ac:dyDescent="0.25">
      <c r="A25" s="53" t="s">
        <v>125</v>
      </c>
      <c r="B25" s="53" t="s">
        <v>112</v>
      </c>
      <c r="C25" s="53" t="s">
        <v>112</v>
      </c>
      <c r="D25" s="53" t="s">
        <v>112</v>
      </c>
      <c r="E25" s="53" t="s">
        <v>112</v>
      </c>
      <c r="F25" s="53" t="s">
        <v>112</v>
      </c>
      <c r="G25" s="53" t="s">
        <v>112</v>
      </c>
      <c r="H25" s="53" t="s">
        <v>112</v>
      </c>
      <c r="I25" s="53" t="s">
        <v>112</v>
      </c>
      <c r="J25" s="53" t="s">
        <v>112</v>
      </c>
      <c r="K25" s="53" t="s">
        <v>112</v>
      </c>
      <c r="L25" s="53" t="s">
        <v>112</v>
      </c>
      <c r="M25" s="53" t="s">
        <v>112</v>
      </c>
      <c r="N25" s="53" t="s">
        <v>112</v>
      </c>
      <c r="O25" s="53" t="s">
        <v>112</v>
      </c>
      <c r="P25" s="53" t="s">
        <v>112</v>
      </c>
      <c r="Q25" s="53" t="s">
        <v>112</v>
      </c>
      <c r="R25" s="53" t="s">
        <v>112</v>
      </c>
      <c r="S25" s="53">
        <v>2</v>
      </c>
      <c r="T25" s="53" t="s">
        <v>112</v>
      </c>
      <c r="U25" s="53">
        <v>204</v>
      </c>
      <c r="V25" s="53" t="s">
        <v>112</v>
      </c>
      <c r="W25" s="53" t="s">
        <v>112</v>
      </c>
      <c r="X25" s="53" t="s">
        <v>112</v>
      </c>
      <c r="Y25" s="53">
        <v>0</v>
      </c>
      <c r="Z25" s="53" t="s">
        <v>112</v>
      </c>
      <c r="AA25" s="53" t="s">
        <v>112</v>
      </c>
      <c r="AB25" s="53" t="s">
        <v>112</v>
      </c>
      <c r="AC25" s="53" t="s">
        <v>112</v>
      </c>
      <c r="AD25" s="53" t="s">
        <v>112</v>
      </c>
      <c r="AE25" s="53" t="s">
        <v>112</v>
      </c>
      <c r="AF25" s="53" t="s">
        <v>112</v>
      </c>
      <c r="AG25" s="53" t="s">
        <v>112</v>
      </c>
      <c r="AH25" s="53" t="s">
        <v>112</v>
      </c>
      <c r="AI25" s="53">
        <v>11</v>
      </c>
      <c r="AJ25" s="53" t="s">
        <v>112</v>
      </c>
      <c r="AK25" s="53" t="s">
        <v>112</v>
      </c>
      <c r="AL25" s="53" t="s">
        <v>112</v>
      </c>
      <c r="AM25" s="53">
        <v>2</v>
      </c>
      <c r="AN25" s="53" t="s">
        <v>112</v>
      </c>
      <c r="AO25" s="53">
        <v>0</v>
      </c>
      <c r="AP25" s="53" t="s">
        <v>112</v>
      </c>
      <c r="AQ25" s="53" t="s">
        <v>112</v>
      </c>
      <c r="AR25" s="53" t="s">
        <v>112</v>
      </c>
      <c r="AS25" s="53" t="s">
        <v>112</v>
      </c>
      <c r="AT25" s="53" t="s">
        <v>112</v>
      </c>
      <c r="AU25" s="53" t="s">
        <v>112</v>
      </c>
      <c r="AV25" s="53" t="s">
        <v>112</v>
      </c>
      <c r="AW25" s="53" t="s">
        <v>112</v>
      </c>
      <c r="AX25" s="53" t="s">
        <v>112</v>
      </c>
      <c r="AY25" s="53" t="s">
        <v>112</v>
      </c>
      <c r="AZ25" s="53" t="s">
        <v>112</v>
      </c>
      <c r="BA25" s="53">
        <v>248</v>
      </c>
      <c r="BB25" s="53" t="s">
        <v>112</v>
      </c>
      <c r="BC25" s="53">
        <v>16</v>
      </c>
      <c r="BD25" s="53" t="s">
        <v>112</v>
      </c>
      <c r="BE25" s="53">
        <v>0</v>
      </c>
      <c r="BF25" s="53" t="s">
        <v>112</v>
      </c>
      <c r="BG25" s="53" t="s">
        <v>112</v>
      </c>
      <c r="BH25" s="53" t="s">
        <v>112</v>
      </c>
      <c r="BI25" s="53" t="s">
        <v>112</v>
      </c>
      <c r="BJ25" s="53" t="s">
        <v>112</v>
      </c>
      <c r="BK25" s="53" t="s">
        <v>112</v>
      </c>
      <c r="BL25" s="53" t="s">
        <v>112</v>
      </c>
      <c r="BM25" s="53" t="s">
        <v>112</v>
      </c>
    </row>
    <row r="26" spans="1:65" ht="15" customHeight="1" x14ac:dyDescent="0.25">
      <c r="A26" s="53" t="s">
        <v>124</v>
      </c>
      <c r="B26" s="53" t="s">
        <v>112</v>
      </c>
      <c r="C26" s="53" t="s">
        <v>112</v>
      </c>
      <c r="D26" s="53" t="s">
        <v>112</v>
      </c>
      <c r="E26" s="53" t="s">
        <v>112</v>
      </c>
      <c r="F26" s="53" t="s">
        <v>112</v>
      </c>
      <c r="G26" s="53" t="s">
        <v>112</v>
      </c>
      <c r="H26" s="53" t="s">
        <v>112</v>
      </c>
      <c r="I26" s="53" t="s">
        <v>112</v>
      </c>
      <c r="J26" s="53" t="s">
        <v>112</v>
      </c>
      <c r="K26" s="53" t="s">
        <v>112</v>
      </c>
      <c r="L26" s="53" t="s">
        <v>112</v>
      </c>
      <c r="M26" s="53" t="s">
        <v>112</v>
      </c>
      <c r="N26" s="53" t="s">
        <v>112</v>
      </c>
      <c r="O26" s="53" t="s">
        <v>112</v>
      </c>
      <c r="P26" s="53" t="s">
        <v>112</v>
      </c>
      <c r="Q26" s="53" t="s">
        <v>112</v>
      </c>
      <c r="R26" s="53" t="s">
        <v>112</v>
      </c>
      <c r="S26" s="53">
        <v>1</v>
      </c>
      <c r="T26" s="53" t="s">
        <v>112</v>
      </c>
      <c r="U26" s="53">
        <v>207</v>
      </c>
      <c r="V26" s="53" t="s">
        <v>112</v>
      </c>
      <c r="W26" s="53" t="s">
        <v>112</v>
      </c>
      <c r="X26" s="53" t="s">
        <v>112</v>
      </c>
      <c r="Y26" s="53">
        <v>0</v>
      </c>
      <c r="Z26" s="53" t="s">
        <v>112</v>
      </c>
      <c r="AA26" s="53" t="s">
        <v>112</v>
      </c>
      <c r="AB26" s="53" t="s">
        <v>112</v>
      </c>
      <c r="AC26" s="53" t="s">
        <v>112</v>
      </c>
      <c r="AD26" s="53" t="s">
        <v>112</v>
      </c>
      <c r="AE26" s="53" t="s">
        <v>112</v>
      </c>
      <c r="AF26" s="53" t="s">
        <v>112</v>
      </c>
      <c r="AG26" s="53" t="s">
        <v>112</v>
      </c>
      <c r="AH26" s="53" t="s">
        <v>112</v>
      </c>
      <c r="AI26" s="53">
        <v>12</v>
      </c>
      <c r="AJ26" s="53" t="s">
        <v>112</v>
      </c>
      <c r="AK26" s="53" t="s">
        <v>112</v>
      </c>
      <c r="AL26" s="53" t="s">
        <v>112</v>
      </c>
      <c r="AM26" s="53">
        <v>1</v>
      </c>
      <c r="AN26" s="53" t="s">
        <v>112</v>
      </c>
      <c r="AO26" s="53">
        <v>0</v>
      </c>
      <c r="AP26" s="53" t="s">
        <v>112</v>
      </c>
      <c r="AQ26" s="53" t="s">
        <v>112</v>
      </c>
      <c r="AR26" s="53" t="s">
        <v>112</v>
      </c>
      <c r="AS26" s="53" t="s">
        <v>112</v>
      </c>
      <c r="AT26" s="53" t="s">
        <v>112</v>
      </c>
      <c r="AU26" s="53" t="s">
        <v>112</v>
      </c>
      <c r="AV26" s="53" t="s">
        <v>112</v>
      </c>
      <c r="AW26" s="53" t="s">
        <v>112</v>
      </c>
      <c r="AX26" s="53" t="s">
        <v>112</v>
      </c>
      <c r="AY26" s="53" t="s">
        <v>112</v>
      </c>
      <c r="AZ26" s="53" t="s">
        <v>112</v>
      </c>
      <c r="BA26" s="53">
        <v>231</v>
      </c>
      <c r="BB26" s="53" t="s">
        <v>112</v>
      </c>
      <c r="BC26" s="53">
        <v>20</v>
      </c>
      <c r="BD26" s="53" t="s">
        <v>112</v>
      </c>
      <c r="BE26" s="53">
        <v>0</v>
      </c>
      <c r="BF26" s="53" t="s">
        <v>112</v>
      </c>
      <c r="BG26" s="53" t="s">
        <v>112</v>
      </c>
      <c r="BH26" s="53" t="s">
        <v>112</v>
      </c>
      <c r="BI26" s="53" t="s">
        <v>112</v>
      </c>
      <c r="BJ26" s="53" t="s">
        <v>112</v>
      </c>
      <c r="BK26" s="53" t="s">
        <v>112</v>
      </c>
      <c r="BL26" s="53" t="s">
        <v>112</v>
      </c>
      <c r="BM26" s="53" t="s">
        <v>112</v>
      </c>
    </row>
    <row r="27" spans="1:65" ht="15" customHeight="1" x14ac:dyDescent="0.25">
      <c r="A27" s="53" t="s">
        <v>123</v>
      </c>
      <c r="B27" s="53" t="s">
        <v>112</v>
      </c>
      <c r="C27" s="53" t="s">
        <v>112</v>
      </c>
      <c r="D27" s="53" t="s">
        <v>112</v>
      </c>
      <c r="E27" s="53" t="s">
        <v>112</v>
      </c>
      <c r="F27" s="53" t="s">
        <v>112</v>
      </c>
      <c r="G27" s="53" t="s">
        <v>112</v>
      </c>
      <c r="H27" s="53" t="s">
        <v>112</v>
      </c>
      <c r="I27" s="53" t="s">
        <v>112</v>
      </c>
      <c r="J27" s="53" t="s">
        <v>112</v>
      </c>
      <c r="K27" s="53" t="s">
        <v>112</v>
      </c>
      <c r="L27" s="53" t="s">
        <v>112</v>
      </c>
      <c r="M27" s="53" t="s">
        <v>112</v>
      </c>
      <c r="N27" s="53" t="s">
        <v>112</v>
      </c>
      <c r="O27" s="53" t="s">
        <v>112</v>
      </c>
      <c r="P27" s="53" t="s">
        <v>112</v>
      </c>
      <c r="Q27" s="53" t="s">
        <v>112</v>
      </c>
      <c r="R27" s="53" t="s">
        <v>112</v>
      </c>
      <c r="S27" s="53">
        <v>3</v>
      </c>
      <c r="T27" s="53" t="s">
        <v>112</v>
      </c>
      <c r="U27" s="53">
        <v>187</v>
      </c>
      <c r="V27" s="53" t="s">
        <v>112</v>
      </c>
      <c r="W27" s="53" t="s">
        <v>112</v>
      </c>
      <c r="X27" s="53" t="s">
        <v>112</v>
      </c>
      <c r="Y27" s="53">
        <v>0</v>
      </c>
      <c r="Z27" s="53" t="s">
        <v>112</v>
      </c>
      <c r="AA27" s="53" t="s">
        <v>112</v>
      </c>
      <c r="AB27" s="53" t="s">
        <v>112</v>
      </c>
      <c r="AC27" s="53" t="s">
        <v>112</v>
      </c>
      <c r="AD27" s="53" t="s">
        <v>112</v>
      </c>
      <c r="AE27" s="53" t="s">
        <v>112</v>
      </c>
      <c r="AF27" s="53" t="s">
        <v>112</v>
      </c>
      <c r="AG27" s="53" t="s">
        <v>112</v>
      </c>
      <c r="AH27" s="53" t="s">
        <v>112</v>
      </c>
      <c r="AI27" s="53">
        <v>14</v>
      </c>
      <c r="AJ27" s="53" t="s">
        <v>112</v>
      </c>
      <c r="AK27" s="53" t="s">
        <v>112</v>
      </c>
      <c r="AL27" s="53" t="s">
        <v>112</v>
      </c>
      <c r="AM27" s="53">
        <v>3</v>
      </c>
      <c r="AN27" s="53" t="s">
        <v>112</v>
      </c>
      <c r="AO27" s="53">
        <v>0</v>
      </c>
      <c r="AP27" s="53" t="s">
        <v>112</v>
      </c>
      <c r="AQ27" s="53" t="s">
        <v>112</v>
      </c>
      <c r="AR27" s="53" t="s">
        <v>112</v>
      </c>
      <c r="AS27" s="53" t="s">
        <v>112</v>
      </c>
      <c r="AT27" s="53" t="s">
        <v>112</v>
      </c>
      <c r="AU27" s="53" t="s">
        <v>112</v>
      </c>
      <c r="AV27" s="53" t="s">
        <v>112</v>
      </c>
      <c r="AW27" s="53" t="s">
        <v>112</v>
      </c>
      <c r="AX27" s="53" t="s">
        <v>112</v>
      </c>
      <c r="AY27" s="53" t="s">
        <v>112</v>
      </c>
      <c r="AZ27" s="53" t="s">
        <v>112</v>
      </c>
      <c r="BA27" s="53">
        <v>209</v>
      </c>
      <c r="BB27" s="53" t="s">
        <v>112</v>
      </c>
      <c r="BC27" s="53">
        <v>15</v>
      </c>
      <c r="BD27" s="53" t="s">
        <v>112</v>
      </c>
      <c r="BE27" s="53">
        <v>0</v>
      </c>
      <c r="BF27" s="53" t="s">
        <v>112</v>
      </c>
      <c r="BG27" s="53" t="s">
        <v>112</v>
      </c>
      <c r="BH27" s="53" t="s">
        <v>112</v>
      </c>
      <c r="BI27" s="53" t="s">
        <v>112</v>
      </c>
      <c r="BJ27" s="53" t="s">
        <v>112</v>
      </c>
      <c r="BK27" s="53" t="s">
        <v>112</v>
      </c>
      <c r="BL27" s="53" t="s">
        <v>112</v>
      </c>
      <c r="BM27" s="53" t="s">
        <v>112</v>
      </c>
    </row>
    <row r="28" spans="1:65" ht="15" customHeight="1" x14ac:dyDescent="0.25">
      <c r="A28" s="53" t="s">
        <v>122</v>
      </c>
      <c r="B28" s="53" t="s">
        <v>112</v>
      </c>
      <c r="C28" s="53" t="s">
        <v>112</v>
      </c>
      <c r="D28" s="53" t="s">
        <v>112</v>
      </c>
      <c r="E28" s="53" t="s">
        <v>112</v>
      </c>
      <c r="F28" s="53" t="s">
        <v>112</v>
      </c>
      <c r="G28" s="53" t="s">
        <v>112</v>
      </c>
      <c r="H28" s="53" t="s">
        <v>112</v>
      </c>
      <c r="I28" s="53" t="s">
        <v>112</v>
      </c>
      <c r="J28" s="53" t="s">
        <v>112</v>
      </c>
      <c r="K28" s="53" t="s">
        <v>112</v>
      </c>
      <c r="L28" s="53" t="s">
        <v>112</v>
      </c>
      <c r="M28" s="53" t="s">
        <v>112</v>
      </c>
      <c r="N28" s="53" t="s">
        <v>112</v>
      </c>
      <c r="O28" s="53" t="s">
        <v>112</v>
      </c>
      <c r="P28" s="53" t="s">
        <v>112</v>
      </c>
      <c r="Q28" s="53" t="s">
        <v>112</v>
      </c>
      <c r="R28" s="53" t="s">
        <v>112</v>
      </c>
      <c r="S28" s="53">
        <v>0</v>
      </c>
      <c r="T28" s="53" t="s">
        <v>112</v>
      </c>
      <c r="U28" s="53">
        <v>0</v>
      </c>
      <c r="V28" s="53" t="s">
        <v>112</v>
      </c>
      <c r="W28" s="53" t="s">
        <v>112</v>
      </c>
      <c r="X28" s="53" t="s">
        <v>112</v>
      </c>
      <c r="Y28" s="53">
        <v>0</v>
      </c>
      <c r="Z28" s="53" t="s">
        <v>112</v>
      </c>
      <c r="AA28" s="53" t="s">
        <v>112</v>
      </c>
      <c r="AB28" s="53" t="s">
        <v>112</v>
      </c>
      <c r="AC28" s="53" t="s">
        <v>112</v>
      </c>
      <c r="AD28" s="53" t="s">
        <v>112</v>
      </c>
      <c r="AE28" s="53" t="s">
        <v>112</v>
      </c>
      <c r="AF28" s="53" t="s">
        <v>112</v>
      </c>
      <c r="AG28" s="53" t="s">
        <v>112</v>
      </c>
      <c r="AH28" s="53" t="s">
        <v>112</v>
      </c>
      <c r="AI28" s="53">
        <v>0</v>
      </c>
      <c r="AJ28" s="53" t="s">
        <v>112</v>
      </c>
      <c r="AK28" s="53" t="s">
        <v>112</v>
      </c>
      <c r="AL28" s="53" t="s">
        <v>112</v>
      </c>
      <c r="AM28" s="53">
        <v>0</v>
      </c>
      <c r="AN28" s="53" t="s">
        <v>112</v>
      </c>
      <c r="AO28" s="53">
        <v>0</v>
      </c>
      <c r="AP28" s="53" t="s">
        <v>112</v>
      </c>
      <c r="AQ28" s="53" t="s">
        <v>112</v>
      </c>
      <c r="AR28" s="53" t="s">
        <v>112</v>
      </c>
      <c r="AS28" s="53" t="s">
        <v>112</v>
      </c>
      <c r="AT28" s="53" t="s">
        <v>112</v>
      </c>
      <c r="AU28" s="53" t="s">
        <v>112</v>
      </c>
      <c r="AV28" s="53" t="s">
        <v>112</v>
      </c>
      <c r="AW28" s="53" t="s">
        <v>112</v>
      </c>
      <c r="AX28" s="53" t="s">
        <v>112</v>
      </c>
      <c r="AY28" s="53" t="s">
        <v>112</v>
      </c>
      <c r="AZ28" s="53" t="s">
        <v>112</v>
      </c>
      <c r="BA28" s="53">
        <v>0</v>
      </c>
      <c r="BB28" s="53" t="s">
        <v>112</v>
      </c>
      <c r="BC28" s="53">
        <v>0</v>
      </c>
      <c r="BD28" s="53" t="s">
        <v>112</v>
      </c>
      <c r="BE28" s="53">
        <v>0</v>
      </c>
      <c r="BF28" s="53" t="s">
        <v>112</v>
      </c>
      <c r="BG28" s="53" t="s">
        <v>112</v>
      </c>
      <c r="BH28" s="53" t="s">
        <v>112</v>
      </c>
      <c r="BI28" s="53" t="s">
        <v>112</v>
      </c>
      <c r="BJ28" s="53" t="s">
        <v>112</v>
      </c>
      <c r="BK28" s="53" t="s">
        <v>112</v>
      </c>
      <c r="BL28" s="53" t="s">
        <v>112</v>
      </c>
      <c r="BM28" s="53" t="s">
        <v>112</v>
      </c>
    </row>
    <row r="29" spans="1:65" ht="15" customHeight="1" x14ac:dyDescent="0.25">
      <c r="A29" s="53" t="s">
        <v>121</v>
      </c>
      <c r="B29" s="53" t="s">
        <v>112</v>
      </c>
      <c r="C29" s="53" t="s">
        <v>112</v>
      </c>
      <c r="D29" s="53" t="s">
        <v>112</v>
      </c>
      <c r="E29" s="53" t="s">
        <v>112</v>
      </c>
      <c r="F29" s="53" t="s">
        <v>112</v>
      </c>
      <c r="G29" s="53" t="s">
        <v>112</v>
      </c>
      <c r="H29" s="53" t="s">
        <v>112</v>
      </c>
      <c r="I29" s="53" t="s">
        <v>112</v>
      </c>
      <c r="J29" s="53" t="s">
        <v>112</v>
      </c>
      <c r="K29" s="53" t="s">
        <v>112</v>
      </c>
      <c r="L29" s="53" t="s">
        <v>112</v>
      </c>
      <c r="M29" s="53" t="s">
        <v>112</v>
      </c>
      <c r="N29" s="53" t="s">
        <v>112</v>
      </c>
      <c r="O29" s="53" t="s">
        <v>112</v>
      </c>
      <c r="P29" s="53" t="s">
        <v>112</v>
      </c>
      <c r="Q29" s="53" t="s">
        <v>112</v>
      </c>
      <c r="R29" s="53" t="s">
        <v>112</v>
      </c>
      <c r="S29" s="53">
        <v>4</v>
      </c>
      <c r="T29" s="53" t="s">
        <v>112</v>
      </c>
      <c r="U29" s="53">
        <v>259</v>
      </c>
      <c r="V29" s="53" t="s">
        <v>112</v>
      </c>
      <c r="W29" s="53" t="s">
        <v>112</v>
      </c>
      <c r="X29" s="53" t="s">
        <v>112</v>
      </c>
      <c r="Y29" s="53">
        <v>0</v>
      </c>
      <c r="Z29" s="53" t="s">
        <v>112</v>
      </c>
      <c r="AA29" s="53" t="s">
        <v>112</v>
      </c>
      <c r="AB29" s="53" t="s">
        <v>112</v>
      </c>
      <c r="AC29" s="53" t="s">
        <v>112</v>
      </c>
      <c r="AD29" s="53" t="s">
        <v>112</v>
      </c>
      <c r="AE29" s="53" t="s">
        <v>112</v>
      </c>
      <c r="AF29" s="53" t="s">
        <v>112</v>
      </c>
      <c r="AG29" s="53" t="s">
        <v>112</v>
      </c>
      <c r="AH29" s="53" t="s">
        <v>112</v>
      </c>
      <c r="AI29" s="53">
        <v>10</v>
      </c>
      <c r="AJ29" s="53" t="s">
        <v>112</v>
      </c>
      <c r="AK29" s="53" t="s">
        <v>112</v>
      </c>
      <c r="AL29" s="53" t="s">
        <v>112</v>
      </c>
      <c r="AM29" s="53">
        <v>1</v>
      </c>
      <c r="AN29" s="53" t="s">
        <v>112</v>
      </c>
      <c r="AO29" s="53">
        <v>0</v>
      </c>
      <c r="AP29" s="53" t="s">
        <v>112</v>
      </c>
      <c r="AQ29" s="53" t="s">
        <v>112</v>
      </c>
      <c r="AR29" s="53" t="s">
        <v>112</v>
      </c>
      <c r="AS29" s="53" t="s">
        <v>112</v>
      </c>
      <c r="AT29" s="53" t="s">
        <v>112</v>
      </c>
      <c r="AU29" s="53" t="s">
        <v>112</v>
      </c>
      <c r="AV29" s="53" t="s">
        <v>112</v>
      </c>
      <c r="AW29" s="53" t="s">
        <v>112</v>
      </c>
      <c r="AX29" s="53" t="s">
        <v>112</v>
      </c>
      <c r="AY29" s="53" t="s">
        <v>112</v>
      </c>
      <c r="AZ29" s="53" t="s">
        <v>112</v>
      </c>
      <c r="BA29" s="53">
        <v>274</v>
      </c>
      <c r="BB29" s="53" t="s">
        <v>112</v>
      </c>
      <c r="BC29" s="53">
        <v>16</v>
      </c>
      <c r="BD29" s="53" t="s">
        <v>112</v>
      </c>
      <c r="BE29" s="53">
        <v>0</v>
      </c>
      <c r="BF29" s="53" t="s">
        <v>112</v>
      </c>
      <c r="BG29" s="53" t="s">
        <v>112</v>
      </c>
      <c r="BH29" s="53" t="s">
        <v>112</v>
      </c>
      <c r="BI29" s="53" t="s">
        <v>112</v>
      </c>
      <c r="BJ29" s="53" t="s">
        <v>112</v>
      </c>
      <c r="BK29" s="53" t="s">
        <v>112</v>
      </c>
      <c r="BL29" s="53" t="s">
        <v>112</v>
      </c>
      <c r="BM29" s="53" t="s">
        <v>112</v>
      </c>
    </row>
    <row r="30" spans="1:65" ht="15" customHeight="1" x14ac:dyDescent="0.25">
      <c r="A30" s="53" t="s">
        <v>120</v>
      </c>
      <c r="B30" s="53" t="s">
        <v>112</v>
      </c>
      <c r="C30" s="53" t="s">
        <v>112</v>
      </c>
      <c r="D30" s="53" t="s">
        <v>112</v>
      </c>
      <c r="E30" s="53" t="s">
        <v>112</v>
      </c>
      <c r="F30" s="53" t="s">
        <v>112</v>
      </c>
      <c r="G30" s="53" t="s">
        <v>112</v>
      </c>
      <c r="H30" s="53" t="s">
        <v>112</v>
      </c>
      <c r="I30" s="53" t="s">
        <v>112</v>
      </c>
      <c r="J30" s="53" t="s">
        <v>112</v>
      </c>
      <c r="K30" s="53" t="s">
        <v>112</v>
      </c>
      <c r="L30" s="53" t="s">
        <v>112</v>
      </c>
      <c r="M30" s="53" t="s">
        <v>112</v>
      </c>
      <c r="N30" s="53" t="s">
        <v>112</v>
      </c>
      <c r="O30" s="53" t="s">
        <v>112</v>
      </c>
      <c r="P30" s="53" t="s">
        <v>112</v>
      </c>
      <c r="Q30" s="53" t="s">
        <v>112</v>
      </c>
      <c r="R30" s="53" t="s">
        <v>112</v>
      </c>
      <c r="S30" s="53">
        <v>6</v>
      </c>
      <c r="T30" s="53" t="s">
        <v>112</v>
      </c>
      <c r="U30" s="53">
        <v>244</v>
      </c>
      <c r="V30" s="53" t="s">
        <v>112</v>
      </c>
      <c r="W30" s="53" t="s">
        <v>112</v>
      </c>
      <c r="X30" s="53" t="s">
        <v>112</v>
      </c>
      <c r="Y30" s="53">
        <v>0</v>
      </c>
      <c r="Z30" s="53" t="s">
        <v>112</v>
      </c>
      <c r="AA30" s="53" t="s">
        <v>112</v>
      </c>
      <c r="AB30" s="53" t="s">
        <v>112</v>
      </c>
      <c r="AC30" s="53" t="s">
        <v>112</v>
      </c>
      <c r="AD30" s="53" t="s">
        <v>112</v>
      </c>
      <c r="AE30" s="53" t="s">
        <v>112</v>
      </c>
      <c r="AF30" s="53" t="s">
        <v>112</v>
      </c>
      <c r="AG30" s="53" t="s">
        <v>112</v>
      </c>
      <c r="AH30" s="53" t="s">
        <v>112</v>
      </c>
      <c r="AI30" s="53">
        <v>12</v>
      </c>
      <c r="AJ30" s="53" t="s">
        <v>112</v>
      </c>
      <c r="AK30" s="53" t="s">
        <v>112</v>
      </c>
      <c r="AL30" s="53" t="s">
        <v>112</v>
      </c>
      <c r="AM30" s="53">
        <v>1</v>
      </c>
      <c r="AN30" s="53" t="s">
        <v>112</v>
      </c>
      <c r="AO30" s="53">
        <v>0</v>
      </c>
      <c r="AP30" s="53" t="s">
        <v>112</v>
      </c>
      <c r="AQ30" s="53" t="s">
        <v>112</v>
      </c>
      <c r="AR30" s="53" t="s">
        <v>112</v>
      </c>
      <c r="AS30" s="53" t="s">
        <v>112</v>
      </c>
      <c r="AT30" s="53" t="s">
        <v>112</v>
      </c>
      <c r="AU30" s="53" t="s">
        <v>112</v>
      </c>
      <c r="AV30" s="53" t="s">
        <v>112</v>
      </c>
      <c r="AW30" s="53" t="s">
        <v>112</v>
      </c>
      <c r="AX30" s="53" t="s">
        <v>112</v>
      </c>
      <c r="AY30" s="53" t="s">
        <v>112</v>
      </c>
      <c r="AZ30" s="53" t="s">
        <v>112</v>
      </c>
      <c r="BA30" s="53">
        <v>290</v>
      </c>
      <c r="BB30" s="53" t="s">
        <v>112</v>
      </c>
      <c r="BC30" s="53">
        <v>19</v>
      </c>
      <c r="BD30" s="53" t="s">
        <v>112</v>
      </c>
      <c r="BE30" s="53">
        <v>0</v>
      </c>
      <c r="BF30" s="53" t="s">
        <v>112</v>
      </c>
      <c r="BG30" s="53" t="s">
        <v>112</v>
      </c>
      <c r="BH30" s="53" t="s">
        <v>112</v>
      </c>
      <c r="BI30" s="53" t="s">
        <v>112</v>
      </c>
      <c r="BJ30" s="53" t="s">
        <v>112</v>
      </c>
      <c r="BK30" s="53" t="s">
        <v>112</v>
      </c>
      <c r="BL30" s="53" t="s">
        <v>112</v>
      </c>
      <c r="BM30" s="53" t="s">
        <v>112</v>
      </c>
    </row>
    <row r="31" spans="1:65" ht="15" customHeight="1" x14ac:dyDescent="0.25">
      <c r="A31" s="53" t="s">
        <v>119</v>
      </c>
      <c r="B31" s="53" t="s">
        <v>112</v>
      </c>
      <c r="C31" s="53" t="s">
        <v>112</v>
      </c>
      <c r="D31" s="53" t="s">
        <v>112</v>
      </c>
      <c r="E31" s="53" t="s">
        <v>112</v>
      </c>
      <c r="F31" s="53" t="s">
        <v>112</v>
      </c>
      <c r="G31" s="53" t="s">
        <v>112</v>
      </c>
      <c r="H31" s="53" t="s">
        <v>112</v>
      </c>
      <c r="I31" s="53" t="s">
        <v>112</v>
      </c>
      <c r="J31" s="53" t="s">
        <v>112</v>
      </c>
      <c r="K31" s="53" t="s">
        <v>112</v>
      </c>
      <c r="L31" s="53" t="s">
        <v>112</v>
      </c>
      <c r="M31" s="53" t="s">
        <v>112</v>
      </c>
      <c r="N31" s="53" t="s">
        <v>112</v>
      </c>
      <c r="O31" s="53" t="s">
        <v>112</v>
      </c>
      <c r="P31" s="53" t="s">
        <v>112</v>
      </c>
      <c r="Q31" s="53" t="s">
        <v>112</v>
      </c>
      <c r="R31" s="53" t="s">
        <v>112</v>
      </c>
      <c r="S31" s="53">
        <v>3</v>
      </c>
      <c r="T31" s="53" t="s">
        <v>112</v>
      </c>
      <c r="U31" s="53">
        <v>257</v>
      </c>
      <c r="V31" s="53" t="s">
        <v>112</v>
      </c>
      <c r="W31" s="53" t="s">
        <v>112</v>
      </c>
      <c r="X31" s="53" t="s">
        <v>112</v>
      </c>
      <c r="Y31" s="53">
        <v>0</v>
      </c>
      <c r="Z31" s="53" t="s">
        <v>112</v>
      </c>
      <c r="AA31" s="53" t="s">
        <v>112</v>
      </c>
      <c r="AB31" s="53" t="s">
        <v>112</v>
      </c>
      <c r="AC31" s="53" t="s">
        <v>112</v>
      </c>
      <c r="AD31" s="53" t="s">
        <v>112</v>
      </c>
      <c r="AE31" s="53" t="s">
        <v>112</v>
      </c>
      <c r="AF31" s="53" t="s">
        <v>112</v>
      </c>
      <c r="AG31" s="53" t="s">
        <v>112</v>
      </c>
      <c r="AH31" s="53" t="s">
        <v>112</v>
      </c>
      <c r="AI31" s="53">
        <v>11</v>
      </c>
      <c r="AJ31" s="53" t="s">
        <v>112</v>
      </c>
      <c r="AK31" s="53" t="s">
        <v>112</v>
      </c>
      <c r="AL31" s="53" t="s">
        <v>112</v>
      </c>
      <c r="AM31" s="53">
        <v>0</v>
      </c>
      <c r="AN31" s="53" t="s">
        <v>112</v>
      </c>
      <c r="AO31" s="53">
        <v>0</v>
      </c>
      <c r="AP31" s="53" t="s">
        <v>112</v>
      </c>
      <c r="AQ31" s="53" t="s">
        <v>112</v>
      </c>
      <c r="AR31" s="53" t="s">
        <v>112</v>
      </c>
      <c r="AS31" s="53" t="s">
        <v>112</v>
      </c>
      <c r="AT31" s="53" t="s">
        <v>112</v>
      </c>
      <c r="AU31" s="53" t="s">
        <v>112</v>
      </c>
      <c r="AV31" s="53" t="s">
        <v>112</v>
      </c>
      <c r="AW31" s="53" t="s">
        <v>112</v>
      </c>
      <c r="AX31" s="53" t="s">
        <v>112</v>
      </c>
      <c r="AY31" s="53" t="s">
        <v>112</v>
      </c>
      <c r="AZ31" s="53" t="s">
        <v>112</v>
      </c>
      <c r="BA31" s="53">
        <v>287</v>
      </c>
      <c r="BB31" s="53" t="s">
        <v>112</v>
      </c>
      <c r="BC31" s="53">
        <v>19</v>
      </c>
      <c r="BD31" s="53" t="s">
        <v>112</v>
      </c>
      <c r="BE31" s="53">
        <v>0</v>
      </c>
      <c r="BF31" s="53" t="s">
        <v>112</v>
      </c>
      <c r="BG31" s="53" t="s">
        <v>112</v>
      </c>
      <c r="BH31" s="53" t="s">
        <v>112</v>
      </c>
      <c r="BI31" s="53" t="s">
        <v>112</v>
      </c>
      <c r="BJ31" s="53" t="s">
        <v>112</v>
      </c>
      <c r="BK31" s="53" t="s">
        <v>112</v>
      </c>
      <c r="BL31" s="53" t="s">
        <v>112</v>
      </c>
      <c r="BM31" s="53" t="s">
        <v>112</v>
      </c>
    </row>
    <row r="32" spans="1:65" ht="15" customHeight="1" x14ac:dyDescent="0.25">
      <c r="A32" s="53" t="s">
        <v>118</v>
      </c>
      <c r="B32" s="53" t="s">
        <v>112</v>
      </c>
      <c r="C32" s="53" t="s">
        <v>112</v>
      </c>
      <c r="D32" s="53" t="s">
        <v>112</v>
      </c>
      <c r="E32" s="53" t="s">
        <v>112</v>
      </c>
      <c r="F32" s="53" t="s">
        <v>112</v>
      </c>
      <c r="G32" s="53" t="s">
        <v>112</v>
      </c>
      <c r="H32" s="53" t="s">
        <v>112</v>
      </c>
      <c r="I32" s="53" t="s">
        <v>112</v>
      </c>
      <c r="J32" s="53" t="s">
        <v>112</v>
      </c>
      <c r="K32" s="53" t="s">
        <v>112</v>
      </c>
      <c r="L32" s="53" t="s">
        <v>112</v>
      </c>
      <c r="M32" s="53" t="s">
        <v>112</v>
      </c>
      <c r="N32" s="53" t="s">
        <v>112</v>
      </c>
      <c r="O32" s="53" t="s">
        <v>112</v>
      </c>
      <c r="P32" s="53" t="s">
        <v>112</v>
      </c>
      <c r="Q32" s="53" t="s">
        <v>112</v>
      </c>
      <c r="R32" s="53" t="s">
        <v>112</v>
      </c>
      <c r="S32" s="53">
        <v>10</v>
      </c>
      <c r="T32" s="53" t="s">
        <v>112</v>
      </c>
      <c r="U32" s="53">
        <v>237</v>
      </c>
      <c r="V32" s="53" t="s">
        <v>112</v>
      </c>
      <c r="W32" s="53" t="s">
        <v>112</v>
      </c>
      <c r="X32" s="53" t="s">
        <v>112</v>
      </c>
      <c r="Y32" s="53">
        <v>0</v>
      </c>
      <c r="Z32" s="53" t="s">
        <v>112</v>
      </c>
      <c r="AA32" s="53" t="s">
        <v>112</v>
      </c>
      <c r="AB32" s="53" t="s">
        <v>112</v>
      </c>
      <c r="AC32" s="53" t="s">
        <v>112</v>
      </c>
      <c r="AD32" s="53" t="s">
        <v>112</v>
      </c>
      <c r="AE32" s="53" t="s">
        <v>112</v>
      </c>
      <c r="AF32" s="53" t="s">
        <v>112</v>
      </c>
      <c r="AG32" s="53" t="s">
        <v>112</v>
      </c>
      <c r="AH32" s="53" t="s">
        <v>112</v>
      </c>
      <c r="AI32" s="53">
        <v>14</v>
      </c>
      <c r="AJ32" s="53" t="s">
        <v>112</v>
      </c>
      <c r="AK32" s="53" t="s">
        <v>112</v>
      </c>
      <c r="AL32" s="53" t="s">
        <v>112</v>
      </c>
      <c r="AM32" s="53">
        <v>2</v>
      </c>
      <c r="AN32" s="53" t="s">
        <v>112</v>
      </c>
      <c r="AO32" s="53">
        <v>0</v>
      </c>
      <c r="AP32" s="53" t="s">
        <v>112</v>
      </c>
      <c r="AQ32" s="53" t="s">
        <v>112</v>
      </c>
      <c r="AR32" s="53" t="s">
        <v>112</v>
      </c>
      <c r="AS32" s="53" t="s">
        <v>112</v>
      </c>
      <c r="AT32" s="53" t="s">
        <v>112</v>
      </c>
      <c r="AU32" s="53" t="s">
        <v>112</v>
      </c>
      <c r="AV32" s="53" t="s">
        <v>112</v>
      </c>
      <c r="AW32" s="53" t="s">
        <v>112</v>
      </c>
      <c r="AX32" s="53" t="s">
        <v>112</v>
      </c>
      <c r="AY32" s="53" t="s">
        <v>112</v>
      </c>
      <c r="AZ32" s="53" t="s">
        <v>112</v>
      </c>
      <c r="BA32" s="53">
        <v>270</v>
      </c>
      <c r="BB32" s="53" t="s">
        <v>112</v>
      </c>
      <c r="BC32" s="53">
        <v>13</v>
      </c>
      <c r="BD32" s="53" t="s">
        <v>112</v>
      </c>
      <c r="BE32" s="53">
        <v>0</v>
      </c>
      <c r="BF32" s="53" t="s">
        <v>112</v>
      </c>
      <c r="BG32" s="53" t="s">
        <v>112</v>
      </c>
      <c r="BH32" s="53" t="s">
        <v>112</v>
      </c>
      <c r="BI32" s="53" t="s">
        <v>112</v>
      </c>
      <c r="BJ32" s="53" t="s">
        <v>112</v>
      </c>
      <c r="BK32" s="53" t="s">
        <v>112</v>
      </c>
      <c r="BL32" s="53" t="s">
        <v>112</v>
      </c>
      <c r="BM32" s="53" t="s">
        <v>112</v>
      </c>
    </row>
    <row r="33" spans="1:65" ht="15" customHeight="1" x14ac:dyDescent="0.25">
      <c r="A33" s="53" t="s">
        <v>117</v>
      </c>
      <c r="B33" s="53" t="s">
        <v>112</v>
      </c>
      <c r="C33" s="53" t="s">
        <v>112</v>
      </c>
      <c r="D33" s="53" t="s">
        <v>112</v>
      </c>
      <c r="E33" s="53" t="s">
        <v>112</v>
      </c>
      <c r="F33" s="53" t="s">
        <v>112</v>
      </c>
      <c r="G33" s="53" t="s">
        <v>112</v>
      </c>
      <c r="H33" s="53" t="s">
        <v>112</v>
      </c>
      <c r="I33" s="53" t="s">
        <v>112</v>
      </c>
      <c r="J33" s="53" t="s">
        <v>112</v>
      </c>
      <c r="K33" s="53" t="s">
        <v>112</v>
      </c>
      <c r="L33" s="53" t="s">
        <v>112</v>
      </c>
      <c r="M33" s="53" t="s">
        <v>112</v>
      </c>
      <c r="N33" s="53" t="s">
        <v>112</v>
      </c>
      <c r="O33" s="53" t="s">
        <v>112</v>
      </c>
      <c r="P33" s="53" t="s">
        <v>112</v>
      </c>
      <c r="Q33" s="53" t="s">
        <v>112</v>
      </c>
      <c r="R33" s="53" t="s">
        <v>112</v>
      </c>
      <c r="S33" s="53">
        <v>5</v>
      </c>
      <c r="T33" s="53" t="s">
        <v>112</v>
      </c>
      <c r="U33" s="53">
        <v>231</v>
      </c>
      <c r="V33" s="53" t="s">
        <v>112</v>
      </c>
      <c r="W33" s="53" t="s">
        <v>112</v>
      </c>
      <c r="X33" s="53" t="s">
        <v>112</v>
      </c>
      <c r="Y33" s="53">
        <v>0</v>
      </c>
      <c r="Z33" s="53" t="s">
        <v>112</v>
      </c>
      <c r="AA33" s="53" t="s">
        <v>112</v>
      </c>
      <c r="AB33" s="53" t="s">
        <v>112</v>
      </c>
      <c r="AC33" s="53" t="s">
        <v>112</v>
      </c>
      <c r="AD33" s="53" t="s">
        <v>112</v>
      </c>
      <c r="AE33" s="53" t="s">
        <v>112</v>
      </c>
      <c r="AF33" s="53" t="s">
        <v>112</v>
      </c>
      <c r="AG33" s="53" t="s">
        <v>112</v>
      </c>
      <c r="AH33" s="53" t="s">
        <v>112</v>
      </c>
      <c r="AI33" s="53">
        <v>16</v>
      </c>
      <c r="AJ33" s="53" t="s">
        <v>112</v>
      </c>
      <c r="AK33" s="53" t="s">
        <v>112</v>
      </c>
      <c r="AL33" s="53" t="s">
        <v>112</v>
      </c>
      <c r="AM33" s="53">
        <v>2</v>
      </c>
      <c r="AN33" s="53" t="s">
        <v>112</v>
      </c>
      <c r="AO33" s="53">
        <v>0</v>
      </c>
      <c r="AP33" s="53" t="s">
        <v>112</v>
      </c>
      <c r="AQ33" s="53" t="s">
        <v>112</v>
      </c>
      <c r="AR33" s="53" t="s">
        <v>112</v>
      </c>
      <c r="AS33" s="53" t="s">
        <v>112</v>
      </c>
      <c r="AT33" s="53" t="s">
        <v>112</v>
      </c>
      <c r="AU33" s="53" t="s">
        <v>112</v>
      </c>
      <c r="AV33" s="53" t="s">
        <v>112</v>
      </c>
      <c r="AW33" s="53" t="s">
        <v>112</v>
      </c>
      <c r="AX33" s="53" t="s">
        <v>112</v>
      </c>
      <c r="AY33" s="53" t="s">
        <v>112</v>
      </c>
      <c r="AZ33" s="53" t="s">
        <v>112</v>
      </c>
      <c r="BA33" s="53">
        <v>283</v>
      </c>
      <c r="BB33" s="53" t="s">
        <v>112</v>
      </c>
      <c r="BC33" s="53">
        <v>29</v>
      </c>
      <c r="BD33" s="53" t="s">
        <v>112</v>
      </c>
      <c r="BE33" s="53">
        <v>0</v>
      </c>
      <c r="BF33" s="53" t="s">
        <v>112</v>
      </c>
      <c r="BG33" s="53" t="s">
        <v>112</v>
      </c>
      <c r="BH33" s="53" t="s">
        <v>112</v>
      </c>
      <c r="BI33" s="53" t="s">
        <v>112</v>
      </c>
      <c r="BJ33" s="53" t="s">
        <v>112</v>
      </c>
      <c r="BK33" s="53" t="s">
        <v>112</v>
      </c>
      <c r="BL33" s="53" t="s">
        <v>112</v>
      </c>
      <c r="BM33" s="53" t="s">
        <v>112</v>
      </c>
    </row>
    <row r="34" spans="1:65" ht="15" customHeight="1" x14ac:dyDescent="0.25">
      <c r="A34" s="53" t="s">
        <v>116</v>
      </c>
      <c r="B34" s="53" t="s">
        <v>112</v>
      </c>
      <c r="C34" s="53" t="s">
        <v>112</v>
      </c>
      <c r="D34" s="53" t="s">
        <v>112</v>
      </c>
      <c r="E34" s="53" t="s">
        <v>112</v>
      </c>
      <c r="F34" s="53" t="s">
        <v>112</v>
      </c>
      <c r="G34" s="53" t="s">
        <v>112</v>
      </c>
      <c r="H34" s="53" t="s">
        <v>112</v>
      </c>
      <c r="I34" s="53" t="s">
        <v>112</v>
      </c>
      <c r="J34" s="53" t="s">
        <v>112</v>
      </c>
      <c r="K34" s="53" t="s">
        <v>112</v>
      </c>
      <c r="L34" s="53" t="s">
        <v>112</v>
      </c>
      <c r="M34" s="53" t="s">
        <v>112</v>
      </c>
      <c r="N34" s="53" t="s">
        <v>112</v>
      </c>
      <c r="O34" s="53" t="s">
        <v>112</v>
      </c>
      <c r="P34" s="53" t="s">
        <v>112</v>
      </c>
      <c r="Q34" s="53" t="s">
        <v>112</v>
      </c>
      <c r="R34" s="53" t="s">
        <v>112</v>
      </c>
      <c r="S34" s="53">
        <v>11</v>
      </c>
      <c r="T34" s="53" t="s">
        <v>112</v>
      </c>
      <c r="U34" s="53">
        <v>252</v>
      </c>
      <c r="V34" s="53" t="s">
        <v>112</v>
      </c>
      <c r="W34" s="53" t="s">
        <v>112</v>
      </c>
      <c r="X34" s="53" t="s">
        <v>112</v>
      </c>
      <c r="Y34" s="53">
        <v>0</v>
      </c>
      <c r="Z34" s="53" t="s">
        <v>112</v>
      </c>
      <c r="AA34" s="53" t="s">
        <v>112</v>
      </c>
      <c r="AB34" s="53" t="s">
        <v>112</v>
      </c>
      <c r="AC34" s="53" t="s">
        <v>112</v>
      </c>
      <c r="AD34" s="53" t="s">
        <v>112</v>
      </c>
      <c r="AE34" s="53" t="s">
        <v>112</v>
      </c>
      <c r="AF34" s="53" t="s">
        <v>112</v>
      </c>
      <c r="AG34" s="53" t="s">
        <v>112</v>
      </c>
      <c r="AH34" s="53" t="s">
        <v>112</v>
      </c>
      <c r="AI34" s="53">
        <v>16</v>
      </c>
      <c r="AJ34" s="53" t="s">
        <v>112</v>
      </c>
      <c r="AK34" s="53" t="s">
        <v>112</v>
      </c>
      <c r="AL34" s="53" t="s">
        <v>112</v>
      </c>
      <c r="AM34" s="53">
        <v>0</v>
      </c>
      <c r="AN34" s="53" t="s">
        <v>112</v>
      </c>
      <c r="AO34" s="53">
        <v>0</v>
      </c>
      <c r="AP34" s="53" t="s">
        <v>112</v>
      </c>
      <c r="AQ34" s="53" t="s">
        <v>112</v>
      </c>
      <c r="AR34" s="53" t="s">
        <v>112</v>
      </c>
      <c r="AS34" s="53" t="s">
        <v>112</v>
      </c>
      <c r="AT34" s="53" t="s">
        <v>112</v>
      </c>
      <c r="AU34" s="53" t="s">
        <v>112</v>
      </c>
      <c r="AV34" s="53" t="s">
        <v>112</v>
      </c>
      <c r="AW34" s="53" t="s">
        <v>112</v>
      </c>
      <c r="AX34" s="53" t="s">
        <v>112</v>
      </c>
      <c r="AY34" s="53" t="s">
        <v>112</v>
      </c>
      <c r="AZ34" s="53" t="s">
        <v>112</v>
      </c>
      <c r="BA34" s="53">
        <v>309</v>
      </c>
      <c r="BB34" s="53" t="s">
        <v>112</v>
      </c>
      <c r="BC34" s="53">
        <v>32</v>
      </c>
      <c r="BD34" s="53" t="s">
        <v>112</v>
      </c>
      <c r="BE34" s="53">
        <v>0</v>
      </c>
      <c r="BF34" s="53" t="s">
        <v>112</v>
      </c>
      <c r="BG34" s="53" t="s">
        <v>112</v>
      </c>
      <c r="BH34" s="53" t="s">
        <v>112</v>
      </c>
      <c r="BI34" s="53" t="s">
        <v>112</v>
      </c>
      <c r="BJ34" s="53" t="s">
        <v>112</v>
      </c>
      <c r="BK34" s="53" t="s">
        <v>112</v>
      </c>
      <c r="BL34" s="53" t="s">
        <v>112</v>
      </c>
      <c r="BM34" s="53" t="s">
        <v>112</v>
      </c>
    </row>
    <row r="35" spans="1:65" ht="15" customHeight="1" x14ac:dyDescent="0.25">
      <c r="A35" s="53" t="s">
        <v>115</v>
      </c>
      <c r="B35" s="53" t="s">
        <v>112</v>
      </c>
      <c r="C35" s="53" t="s">
        <v>112</v>
      </c>
      <c r="D35" s="53" t="s">
        <v>112</v>
      </c>
      <c r="E35" s="53" t="s">
        <v>112</v>
      </c>
      <c r="F35" s="53" t="s">
        <v>112</v>
      </c>
      <c r="G35" s="53" t="s">
        <v>112</v>
      </c>
      <c r="H35" s="53" t="s">
        <v>112</v>
      </c>
      <c r="I35" s="53" t="s">
        <v>112</v>
      </c>
      <c r="J35" s="53" t="s">
        <v>112</v>
      </c>
      <c r="K35" s="53" t="s">
        <v>112</v>
      </c>
      <c r="L35" s="53" t="s">
        <v>112</v>
      </c>
      <c r="M35" s="53" t="s">
        <v>112</v>
      </c>
      <c r="N35" s="53" t="s">
        <v>112</v>
      </c>
      <c r="O35" s="53" t="s">
        <v>112</v>
      </c>
      <c r="P35" s="53" t="s">
        <v>112</v>
      </c>
      <c r="Q35" s="53" t="s">
        <v>112</v>
      </c>
      <c r="R35" s="53" t="s">
        <v>112</v>
      </c>
      <c r="S35" s="53">
        <v>5</v>
      </c>
      <c r="T35" s="53" t="s">
        <v>112</v>
      </c>
      <c r="U35" s="53">
        <v>193</v>
      </c>
      <c r="V35" s="53" t="s">
        <v>112</v>
      </c>
      <c r="W35" s="53" t="s">
        <v>112</v>
      </c>
      <c r="X35" s="53" t="s">
        <v>112</v>
      </c>
      <c r="Y35" s="53">
        <v>0</v>
      </c>
      <c r="Z35" s="53" t="s">
        <v>112</v>
      </c>
      <c r="AA35" s="53" t="s">
        <v>112</v>
      </c>
      <c r="AB35" s="53" t="s">
        <v>112</v>
      </c>
      <c r="AC35" s="53" t="s">
        <v>112</v>
      </c>
      <c r="AD35" s="53" t="s">
        <v>112</v>
      </c>
      <c r="AE35" s="53" t="s">
        <v>112</v>
      </c>
      <c r="AF35" s="53" t="s">
        <v>112</v>
      </c>
      <c r="AG35" s="53" t="s">
        <v>112</v>
      </c>
      <c r="AH35" s="53" t="s">
        <v>112</v>
      </c>
      <c r="AI35" s="53">
        <v>8</v>
      </c>
      <c r="AJ35" s="53" t="s">
        <v>112</v>
      </c>
      <c r="AK35" s="53" t="s">
        <v>112</v>
      </c>
      <c r="AL35" s="53" t="s">
        <v>112</v>
      </c>
      <c r="AM35" s="53">
        <v>0</v>
      </c>
      <c r="AN35" s="53" t="s">
        <v>112</v>
      </c>
      <c r="AO35" s="53">
        <v>0</v>
      </c>
      <c r="AP35" s="53" t="s">
        <v>112</v>
      </c>
      <c r="AQ35" s="53" t="s">
        <v>112</v>
      </c>
      <c r="AR35" s="53" t="s">
        <v>112</v>
      </c>
      <c r="AS35" s="53" t="s">
        <v>112</v>
      </c>
      <c r="AT35" s="53" t="s">
        <v>112</v>
      </c>
      <c r="AU35" s="53" t="s">
        <v>112</v>
      </c>
      <c r="AV35" s="53" t="s">
        <v>112</v>
      </c>
      <c r="AW35" s="53" t="s">
        <v>112</v>
      </c>
      <c r="AX35" s="53" t="s">
        <v>112</v>
      </c>
      <c r="AY35" s="53" t="s">
        <v>112</v>
      </c>
      <c r="AZ35" s="53" t="s">
        <v>112</v>
      </c>
      <c r="BA35" s="53">
        <v>317</v>
      </c>
      <c r="BB35" s="53" t="s">
        <v>112</v>
      </c>
      <c r="BC35" s="53">
        <v>17</v>
      </c>
      <c r="BD35" s="53" t="s">
        <v>112</v>
      </c>
      <c r="BE35" s="53">
        <v>0</v>
      </c>
      <c r="BF35" s="53" t="s">
        <v>112</v>
      </c>
      <c r="BG35" s="53" t="s">
        <v>112</v>
      </c>
      <c r="BH35" s="53" t="s">
        <v>112</v>
      </c>
      <c r="BI35" s="53" t="s">
        <v>112</v>
      </c>
      <c r="BJ35" s="53" t="s">
        <v>112</v>
      </c>
      <c r="BK35" s="53" t="s">
        <v>112</v>
      </c>
      <c r="BL35" s="53" t="s">
        <v>112</v>
      </c>
      <c r="BM35" s="53" t="s">
        <v>112</v>
      </c>
    </row>
    <row r="36" spans="1:65" ht="15" customHeight="1" x14ac:dyDescent="0.25">
      <c r="A36" s="53" t="s">
        <v>114</v>
      </c>
      <c r="B36" s="53" t="s">
        <v>112</v>
      </c>
      <c r="C36" s="53" t="s">
        <v>112</v>
      </c>
      <c r="D36" s="53" t="s">
        <v>112</v>
      </c>
      <c r="E36" s="53" t="s">
        <v>112</v>
      </c>
      <c r="F36" s="53" t="s">
        <v>112</v>
      </c>
      <c r="G36" s="53" t="s">
        <v>112</v>
      </c>
      <c r="H36" s="53" t="s">
        <v>112</v>
      </c>
      <c r="I36" s="53" t="s">
        <v>112</v>
      </c>
      <c r="J36" s="53" t="s">
        <v>112</v>
      </c>
      <c r="K36" s="53" t="s">
        <v>112</v>
      </c>
      <c r="L36" s="53" t="s">
        <v>112</v>
      </c>
      <c r="M36" s="53" t="s">
        <v>112</v>
      </c>
      <c r="N36" s="53" t="s">
        <v>112</v>
      </c>
      <c r="O36" s="53" t="s">
        <v>112</v>
      </c>
      <c r="P36" s="53" t="s">
        <v>112</v>
      </c>
      <c r="Q36" s="53" t="s">
        <v>112</v>
      </c>
      <c r="R36" s="53" t="s">
        <v>112</v>
      </c>
      <c r="S36" s="53">
        <v>12</v>
      </c>
      <c r="T36" s="53" t="s">
        <v>112</v>
      </c>
      <c r="U36" s="53">
        <v>188</v>
      </c>
      <c r="V36" s="53" t="s">
        <v>112</v>
      </c>
      <c r="W36" s="53" t="s">
        <v>112</v>
      </c>
      <c r="X36" s="53" t="s">
        <v>112</v>
      </c>
      <c r="Y36" s="53">
        <v>0</v>
      </c>
      <c r="Z36" s="53" t="s">
        <v>112</v>
      </c>
      <c r="AA36" s="53" t="s">
        <v>112</v>
      </c>
      <c r="AB36" s="53" t="s">
        <v>112</v>
      </c>
      <c r="AC36" s="53" t="s">
        <v>112</v>
      </c>
      <c r="AD36" s="53" t="s">
        <v>112</v>
      </c>
      <c r="AE36" s="53" t="s">
        <v>112</v>
      </c>
      <c r="AF36" s="53" t="s">
        <v>112</v>
      </c>
      <c r="AG36" s="53" t="s">
        <v>112</v>
      </c>
      <c r="AH36" s="53" t="s">
        <v>112</v>
      </c>
      <c r="AI36" s="53">
        <v>9</v>
      </c>
      <c r="AJ36" s="53" t="s">
        <v>112</v>
      </c>
      <c r="AK36" s="53" t="s">
        <v>112</v>
      </c>
      <c r="AL36" s="53" t="s">
        <v>112</v>
      </c>
      <c r="AM36" s="53">
        <v>2</v>
      </c>
      <c r="AN36" s="53" t="s">
        <v>112</v>
      </c>
      <c r="AO36" s="53">
        <v>0</v>
      </c>
      <c r="AP36" s="53" t="s">
        <v>112</v>
      </c>
      <c r="AQ36" s="53" t="s">
        <v>112</v>
      </c>
      <c r="AR36" s="53" t="s">
        <v>112</v>
      </c>
      <c r="AS36" s="53" t="s">
        <v>112</v>
      </c>
      <c r="AT36" s="53" t="s">
        <v>112</v>
      </c>
      <c r="AU36" s="53" t="s">
        <v>112</v>
      </c>
      <c r="AV36" s="53" t="s">
        <v>112</v>
      </c>
      <c r="AW36" s="53" t="s">
        <v>112</v>
      </c>
      <c r="AX36" s="53" t="s">
        <v>112</v>
      </c>
      <c r="AY36" s="53" t="s">
        <v>112</v>
      </c>
      <c r="AZ36" s="53" t="s">
        <v>112</v>
      </c>
      <c r="BA36" s="53">
        <v>314</v>
      </c>
      <c r="BB36" s="53" t="s">
        <v>112</v>
      </c>
      <c r="BC36" s="53">
        <v>23</v>
      </c>
      <c r="BD36" s="53" t="s">
        <v>112</v>
      </c>
      <c r="BE36" s="53">
        <v>0</v>
      </c>
      <c r="BF36" s="53" t="s">
        <v>112</v>
      </c>
      <c r="BG36" s="53" t="s">
        <v>112</v>
      </c>
      <c r="BH36" s="53" t="s">
        <v>112</v>
      </c>
      <c r="BI36" s="53" t="s">
        <v>112</v>
      </c>
      <c r="BJ36" s="53" t="s">
        <v>112</v>
      </c>
      <c r="BK36" s="53" t="s">
        <v>112</v>
      </c>
      <c r="BL36" s="53" t="s">
        <v>112</v>
      </c>
      <c r="BM36" s="53" t="s">
        <v>112</v>
      </c>
    </row>
    <row r="37" spans="1:65" ht="15" customHeight="1" x14ac:dyDescent="0.25">
      <c r="A37" s="53" t="s">
        <v>113</v>
      </c>
      <c r="B37" s="53" t="s">
        <v>112</v>
      </c>
      <c r="C37" s="53" t="s">
        <v>112</v>
      </c>
      <c r="D37" s="53" t="s">
        <v>112</v>
      </c>
      <c r="E37" s="53" t="s">
        <v>112</v>
      </c>
      <c r="F37" s="53" t="s">
        <v>112</v>
      </c>
      <c r="G37" s="53" t="s">
        <v>112</v>
      </c>
      <c r="H37" s="53" t="s">
        <v>112</v>
      </c>
      <c r="I37" s="53" t="s">
        <v>112</v>
      </c>
      <c r="J37" s="53" t="s">
        <v>112</v>
      </c>
      <c r="K37" s="53" t="s">
        <v>112</v>
      </c>
      <c r="L37" s="53" t="s">
        <v>112</v>
      </c>
      <c r="M37" s="53" t="s">
        <v>112</v>
      </c>
      <c r="N37" s="53" t="s">
        <v>112</v>
      </c>
      <c r="O37" s="53" t="s">
        <v>112</v>
      </c>
      <c r="P37" s="53" t="s">
        <v>112</v>
      </c>
      <c r="Q37" s="53" t="s">
        <v>112</v>
      </c>
      <c r="R37" s="53" t="s">
        <v>112</v>
      </c>
      <c r="S37" s="53">
        <v>0</v>
      </c>
      <c r="T37" s="53" t="s">
        <v>112</v>
      </c>
      <c r="U37" s="53">
        <v>1</v>
      </c>
      <c r="V37" s="53" t="s">
        <v>112</v>
      </c>
      <c r="W37" s="53" t="s">
        <v>112</v>
      </c>
      <c r="X37" s="53" t="s">
        <v>112</v>
      </c>
      <c r="Y37" s="53">
        <v>0</v>
      </c>
      <c r="Z37" s="53" t="s">
        <v>112</v>
      </c>
      <c r="AA37" s="53" t="s">
        <v>112</v>
      </c>
      <c r="AB37" s="53" t="s">
        <v>112</v>
      </c>
      <c r="AC37" s="53" t="s">
        <v>112</v>
      </c>
      <c r="AD37" s="53" t="s">
        <v>112</v>
      </c>
      <c r="AE37" s="53" t="s">
        <v>112</v>
      </c>
      <c r="AF37" s="53" t="s">
        <v>112</v>
      </c>
      <c r="AG37" s="53" t="s">
        <v>112</v>
      </c>
      <c r="AH37" s="53" t="s">
        <v>112</v>
      </c>
      <c r="AI37" s="53">
        <v>0</v>
      </c>
      <c r="AJ37" s="53" t="s">
        <v>112</v>
      </c>
      <c r="AK37" s="53" t="s">
        <v>112</v>
      </c>
      <c r="AL37" s="53" t="s">
        <v>112</v>
      </c>
      <c r="AM37" s="53">
        <v>0</v>
      </c>
      <c r="AN37" s="53" t="s">
        <v>112</v>
      </c>
      <c r="AO37" s="53">
        <v>0</v>
      </c>
      <c r="AP37" s="53" t="s">
        <v>112</v>
      </c>
      <c r="AQ37" s="53" t="s">
        <v>112</v>
      </c>
      <c r="AR37" s="53" t="s">
        <v>112</v>
      </c>
      <c r="AS37" s="53" t="s">
        <v>112</v>
      </c>
      <c r="AT37" s="53" t="s">
        <v>112</v>
      </c>
      <c r="AU37" s="53" t="s">
        <v>112</v>
      </c>
      <c r="AV37" s="53" t="s">
        <v>112</v>
      </c>
      <c r="AW37" s="53" t="s">
        <v>112</v>
      </c>
      <c r="AX37" s="53" t="s">
        <v>112</v>
      </c>
      <c r="AY37" s="53" t="s">
        <v>112</v>
      </c>
      <c r="AZ37" s="53" t="s">
        <v>112</v>
      </c>
      <c r="BA37" s="53">
        <v>0</v>
      </c>
      <c r="BB37" s="53" t="s">
        <v>112</v>
      </c>
      <c r="BC37" s="53">
        <v>0</v>
      </c>
      <c r="BD37" s="53" t="s">
        <v>112</v>
      </c>
      <c r="BE37" s="53">
        <v>0</v>
      </c>
      <c r="BF37" s="53" t="s">
        <v>112</v>
      </c>
      <c r="BG37" s="53" t="s">
        <v>112</v>
      </c>
      <c r="BH37" s="53" t="s">
        <v>112</v>
      </c>
      <c r="BI37" s="53" t="s">
        <v>112</v>
      </c>
      <c r="BJ37" s="53" t="s">
        <v>112</v>
      </c>
      <c r="BK37" s="53" t="s">
        <v>112</v>
      </c>
      <c r="BL37" s="53" t="s">
        <v>112</v>
      </c>
      <c r="BM37" s="53" t="s">
        <v>112</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5745A0-D4F8-4EF0-BBF1-03B73B88FD27}">
  <dimension ref="A1:BM37"/>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165</v>
      </c>
      <c r="B1" s="62"/>
      <c r="C1" s="61" t="s">
        <v>164</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163</v>
      </c>
      <c r="B2" s="62"/>
      <c r="C2" s="61" t="s">
        <v>162</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135</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161</v>
      </c>
      <c r="B4" s="62"/>
      <c r="C4" s="61" t="s">
        <v>112</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160</v>
      </c>
      <c r="B5" s="62"/>
      <c r="C5" s="61" t="s">
        <v>112</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112</v>
      </c>
      <c r="B6" s="62"/>
      <c r="C6" s="61" t="s">
        <v>112</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112</v>
      </c>
      <c r="B7" s="62"/>
      <c r="C7" s="61" t="s">
        <v>112</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112</v>
      </c>
      <c r="B8" s="62"/>
      <c r="C8" s="61" t="s">
        <v>112</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112</v>
      </c>
      <c r="B9" s="62"/>
      <c r="C9" s="61" t="s">
        <v>112</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159</v>
      </c>
      <c r="B10" s="62"/>
      <c r="C10" s="61" t="s">
        <v>158</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157</v>
      </c>
      <c r="B11" s="62"/>
      <c r="C11" s="61" t="s">
        <v>88</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112</v>
      </c>
      <c r="B12" s="60" t="s">
        <v>152</v>
      </c>
      <c r="C12" s="59"/>
      <c r="D12" s="59"/>
      <c r="E12" s="59"/>
      <c r="F12" s="59"/>
      <c r="G12" s="59"/>
      <c r="H12" s="59"/>
      <c r="I12" s="58"/>
      <c r="J12" s="60" t="s">
        <v>152</v>
      </c>
      <c r="K12" s="59"/>
      <c r="L12" s="59"/>
      <c r="M12" s="59"/>
      <c r="N12" s="59"/>
      <c r="O12" s="59"/>
      <c r="P12" s="59"/>
      <c r="Q12" s="58"/>
      <c r="R12" s="60" t="s">
        <v>155</v>
      </c>
      <c r="S12" s="59"/>
      <c r="T12" s="59"/>
      <c r="U12" s="59"/>
      <c r="V12" s="59"/>
      <c r="W12" s="59"/>
      <c r="X12" s="59"/>
      <c r="Y12" s="58"/>
      <c r="Z12" s="60" t="s">
        <v>152</v>
      </c>
      <c r="AA12" s="59"/>
      <c r="AB12" s="59"/>
      <c r="AC12" s="59"/>
      <c r="AD12" s="59"/>
      <c r="AE12" s="59"/>
      <c r="AF12" s="59"/>
      <c r="AG12" s="58"/>
      <c r="AH12" s="60" t="s">
        <v>154</v>
      </c>
      <c r="AI12" s="59"/>
      <c r="AJ12" s="59"/>
      <c r="AK12" s="59"/>
      <c r="AL12" s="59"/>
      <c r="AM12" s="59"/>
      <c r="AN12" s="59"/>
      <c r="AO12" s="58"/>
      <c r="AP12" s="60" t="s">
        <v>152</v>
      </c>
      <c r="AQ12" s="59"/>
      <c r="AR12" s="59"/>
      <c r="AS12" s="59"/>
      <c r="AT12" s="59"/>
      <c r="AU12" s="59"/>
      <c r="AV12" s="59"/>
      <c r="AW12" s="58"/>
      <c r="AX12" s="60" t="s">
        <v>153</v>
      </c>
      <c r="AY12" s="59"/>
      <c r="AZ12" s="59"/>
      <c r="BA12" s="59"/>
      <c r="BB12" s="59"/>
      <c r="BC12" s="59"/>
      <c r="BD12" s="59"/>
      <c r="BE12" s="58"/>
      <c r="BF12" s="60" t="s">
        <v>152</v>
      </c>
      <c r="BG12" s="59"/>
      <c r="BH12" s="59"/>
      <c r="BI12" s="59"/>
      <c r="BJ12" s="59"/>
      <c r="BK12" s="59"/>
      <c r="BL12" s="59"/>
      <c r="BM12" s="58"/>
    </row>
    <row r="13" spans="1:65" ht="15" customHeight="1" x14ac:dyDescent="0.25">
      <c r="A13" s="53" t="s">
        <v>112</v>
      </c>
      <c r="B13" s="57" t="s">
        <v>151</v>
      </c>
      <c r="C13" s="56"/>
      <c r="D13" s="56"/>
      <c r="E13" s="56"/>
      <c r="F13" s="56"/>
      <c r="G13" s="56"/>
      <c r="H13" s="56"/>
      <c r="I13" s="55"/>
      <c r="J13" s="57" t="s">
        <v>150</v>
      </c>
      <c r="K13" s="56"/>
      <c r="L13" s="56"/>
      <c r="M13" s="56"/>
      <c r="N13" s="56"/>
      <c r="O13" s="56"/>
      <c r="P13" s="56"/>
      <c r="Q13" s="55"/>
      <c r="R13" s="57" t="s">
        <v>149</v>
      </c>
      <c r="S13" s="56"/>
      <c r="T13" s="56"/>
      <c r="U13" s="56"/>
      <c r="V13" s="56"/>
      <c r="W13" s="56"/>
      <c r="X13" s="56"/>
      <c r="Y13" s="55"/>
      <c r="Z13" s="57" t="s">
        <v>148</v>
      </c>
      <c r="AA13" s="56"/>
      <c r="AB13" s="56"/>
      <c r="AC13" s="56"/>
      <c r="AD13" s="56"/>
      <c r="AE13" s="56"/>
      <c r="AF13" s="56"/>
      <c r="AG13" s="55"/>
      <c r="AH13" s="57" t="s">
        <v>147</v>
      </c>
      <c r="AI13" s="56"/>
      <c r="AJ13" s="56"/>
      <c r="AK13" s="56"/>
      <c r="AL13" s="56"/>
      <c r="AM13" s="56"/>
      <c r="AN13" s="56"/>
      <c r="AO13" s="55"/>
      <c r="AP13" s="57" t="s">
        <v>146</v>
      </c>
      <c r="AQ13" s="56"/>
      <c r="AR13" s="56"/>
      <c r="AS13" s="56"/>
      <c r="AT13" s="56"/>
      <c r="AU13" s="56"/>
      <c r="AV13" s="56"/>
      <c r="AW13" s="55"/>
      <c r="AX13" s="57" t="s">
        <v>145</v>
      </c>
      <c r="AY13" s="56"/>
      <c r="AZ13" s="56"/>
      <c r="BA13" s="56"/>
      <c r="BB13" s="56"/>
      <c r="BC13" s="56"/>
      <c r="BD13" s="56"/>
      <c r="BE13" s="55"/>
      <c r="BF13" s="57" t="s">
        <v>144</v>
      </c>
      <c r="BG13" s="56"/>
      <c r="BH13" s="56"/>
      <c r="BI13" s="56"/>
      <c r="BJ13" s="56"/>
      <c r="BK13" s="56"/>
      <c r="BL13" s="56"/>
      <c r="BM13" s="55"/>
    </row>
    <row r="14" spans="1:65" ht="15" customHeight="1" x14ac:dyDescent="0.25">
      <c r="A14" s="54" t="s">
        <v>9</v>
      </c>
      <c r="B14" s="54" t="s">
        <v>143</v>
      </c>
      <c r="C14" s="54" t="s">
        <v>142</v>
      </c>
      <c r="D14" s="54" t="s">
        <v>141</v>
      </c>
      <c r="E14" s="54" t="s">
        <v>140</v>
      </c>
      <c r="F14" s="54" t="s">
        <v>139</v>
      </c>
      <c r="G14" s="54" t="s">
        <v>138</v>
      </c>
      <c r="H14" s="54" t="s">
        <v>137</v>
      </c>
      <c r="I14" s="54" t="s">
        <v>136</v>
      </c>
      <c r="J14" s="54" t="s">
        <v>143</v>
      </c>
      <c r="K14" s="54" t="s">
        <v>142</v>
      </c>
      <c r="L14" s="54" t="s">
        <v>141</v>
      </c>
      <c r="M14" s="54" t="s">
        <v>140</v>
      </c>
      <c r="N14" s="54" t="s">
        <v>139</v>
      </c>
      <c r="O14" s="54" t="s">
        <v>138</v>
      </c>
      <c r="P14" s="54" t="s">
        <v>137</v>
      </c>
      <c r="Q14" s="54" t="s">
        <v>136</v>
      </c>
      <c r="R14" s="54" t="s">
        <v>143</v>
      </c>
      <c r="S14" s="54" t="s">
        <v>142</v>
      </c>
      <c r="T14" s="54" t="s">
        <v>141</v>
      </c>
      <c r="U14" s="54" t="s">
        <v>140</v>
      </c>
      <c r="V14" s="54" t="s">
        <v>139</v>
      </c>
      <c r="W14" s="54" t="s">
        <v>138</v>
      </c>
      <c r="X14" s="54" t="s">
        <v>137</v>
      </c>
      <c r="Y14" s="54" t="s">
        <v>136</v>
      </c>
      <c r="Z14" s="54" t="s">
        <v>143</v>
      </c>
      <c r="AA14" s="54" t="s">
        <v>142</v>
      </c>
      <c r="AB14" s="54" t="s">
        <v>141</v>
      </c>
      <c r="AC14" s="54" t="s">
        <v>140</v>
      </c>
      <c r="AD14" s="54" t="s">
        <v>139</v>
      </c>
      <c r="AE14" s="54" t="s">
        <v>138</v>
      </c>
      <c r="AF14" s="54" t="s">
        <v>137</v>
      </c>
      <c r="AG14" s="54" t="s">
        <v>136</v>
      </c>
      <c r="AH14" s="54" t="s">
        <v>143</v>
      </c>
      <c r="AI14" s="54" t="s">
        <v>142</v>
      </c>
      <c r="AJ14" s="54" t="s">
        <v>141</v>
      </c>
      <c r="AK14" s="54" t="s">
        <v>140</v>
      </c>
      <c r="AL14" s="54" t="s">
        <v>139</v>
      </c>
      <c r="AM14" s="54" t="s">
        <v>138</v>
      </c>
      <c r="AN14" s="54" t="s">
        <v>137</v>
      </c>
      <c r="AO14" s="54" t="s">
        <v>136</v>
      </c>
      <c r="AP14" s="54" t="s">
        <v>143</v>
      </c>
      <c r="AQ14" s="54" t="s">
        <v>142</v>
      </c>
      <c r="AR14" s="54" t="s">
        <v>141</v>
      </c>
      <c r="AS14" s="54" t="s">
        <v>140</v>
      </c>
      <c r="AT14" s="54" t="s">
        <v>139</v>
      </c>
      <c r="AU14" s="54" t="s">
        <v>138</v>
      </c>
      <c r="AV14" s="54" t="s">
        <v>137</v>
      </c>
      <c r="AW14" s="54" t="s">
        <v>136</v>
      </c>
      <c r="AX14" s="54" t="s">
        <v>143</v>
      </c>
      <c r="AY14" s="54" t="s">
        <v>142</v>
      </c>
      <c r="AZ14" s="54" t="s">
        <v>141</v>
      </c>
      <c r="BA14" s="54" t="s">
        <v>140</v>
      </c>
      <c r="BB14" s="54" t="s">
        <v>139</v>
      </c>
      <c r="BC14" s="54" t="s">
        <v>138</v>
      </c>
      <c r="BD14" s="54" t="s">
        <v>137</v>
      </c>
      <c r="BE14" s="54" t="s">
        <v>136</v>
      </c>
      <c r="BF14" s="54" t="s">
        <v>143</v>
      </c>
      <c r="BG14" s="54" t="s">
        <v>142</v>
      </c>
      <c r="BH14" s="54" t="s">
        <v>141</v>
      </c>
      <c r="BI14" s="54" t="s">
        <v>140</v>
      </c>
      <c r="BJ14" s="54" t="s">
        <v>139</v>
      </c>
      <c r="BK14" s="54" t="s">
        <v>138</v>
      </c>
      <c r="BL14" s="54" t="s">
        <v>137</v>
      </c>
      <c r="BM14" s="54" t="s">
        <v>136</v>
      </c>
    </row>
    <row r="15" spans="1:65" ht="15" customHeight="1" x14ac:dyDescent="0.25">
      <c r="A15" s="53" t="s">
        <v>135</v>
      </c>
      <c r="B15" s="53" t="s">
        <v>112</v>
      </c>
      <c r="C15" s="53" t="s">
        <v>112</v>
      </c>
      <c r="D15" s="53" t="s">
        <v>112</v>
      </c>
      <c r="E15" s="53" t="s">
        <v>112</v>
      </c>
      <c r="F15" s="53" t="s">
        <v>112</v>
      </c>
      <c r="G15" s="53" t="s">
        <v>112</v>
      </c>
      <c r="H15" s="53" t="s">
        <v>112</v>
      </c>
      <c r="I15" s="53" t="s">
        <v>112</v>
      </c>
      <c r="J15" s="53" t="s">
        <v>112</v>
      </c>
      <c r="K15" s="53" t="s">
        <v>112</v>
      </c>
      <c r="L15" s="53" t="s">
        <v>112</v>
      </c>
      <c r="M15" s="53" t="s">
        <v>112</v>
      </c>
      <c r="N15" s="53" t="s">
        <v>112</v>
      </c>
      <c r="O15" s="53" t="s">
        <v>112</v>
      </c>
      <c r="P15" s="53" t="s">
        <v>112</v>
      </c>
      <c r="Q15" s="53" t="s">
        <v>112</v>
      </c>
      <c r="R15" s="53" t="s">
        <v>112</v>
      </c>
      <c r="S15" s="53">
        <v>0</v>
      </c>
      <c r="T15" s="53" t="s">
        <v>112</v>
      </c>
      <c r="U15" s="53">
        <v>4</v>
      </c>
      <c r="V15" s="53" t="s">
        <v>112</v>
      </c>
      <c r="W15" s="53" t="s">
        <v>112</v>
      </c>
      <c r="X15" s="53" t="s">
        <v>112</v>
      </c>
      <c r="Y15" s="53">
        <v>0</v>
      </c>
      <c r="Z15" s="53" t="s">
        <v>112</v>
      </c>
      <c r="AA15" s="53" t="s">
        <v>112</v>
      </c>
      <c r="AB15" s="53" t="s">
        <v>112</v>
      </c>
      <c r="AC15" s="53" t="s">
        <v>112</v>
      </c>
      <c r="AD15" s="53" t="s">
        <v>112</v>
      </c>
      <c r="AE15" s="53" t="s">
        <v>112</v>
      </c>
      <c r="AF15" s="53" t="s">
        <v>112</v>
      </c>
      <c r="AG15" s="53" t="s">
        <v>112</v>
      </c>
      <c r="AH15" s="53" t="s">
        <v>112</v>
      </c>
      <c r="AI15" s="53">
        <v>0</v>
      </c>
      <c r="AJ15" s="53" t="s">
        <v>112</v>
      </c>
      <c r="AK15" s="53" t="s">
        <v>112</v>
      </c>
      <c r="AL15" s="53" t="s">
        <v>112</v>
      </c>
      <c r="AM15" s="53">
        <v>0</v>
      </c>
      <c r="AN15" s="53" t="s">
        <v>112</v>
      </c>
      <c r="AO15" s="53">
        <v>0</v>
      </c>
      <c r="AP15" s="53" t="s">
        <v>112</v>
      </c>
      <c r="AQ15" s="53" t="s">
        <v>112</v>
      </c>
      <c r="AR15" s="53" t="s">
        <v>112</v>
      </c>
      <c r="AS15" s="53" t="s">
        <v>112</v>
      </c>
      <c r="AT15" s="53" t="s">
        <v>112</v>
      </c>
      <c r="AU15" s="53" t="s">
        <v>112</v>
      </c>
      <c r="AV15" s="53" t="s">
        <v>112</v>
      </c>
      <c r="AW15" s="53" t="s">
        <v>112</v>
      </c>
      <c r="AX15" s="53" t="s">
        <v>112</v>
      </c>
      <c r="AY15" s="53" t="s">
        <v>112</v>
      </c>
      <c r="AZ15" s="53" t="s">
        <v>112</v>
      </c>
      <c r="BA15" s="53">
        <v>9</v>
      </c>
      <c r="BB15" s="53" t="s">
        <v>112</v>
      </c>
      <c r="BC15" s="53">
        <v>0</v>
      </c>
      <c r="BD15" s="53" t="s">
        <v>112</v>
      </c>
      <c r="BE15" s="53">
        <v>0</v>
      </c>
      <c r="BF15" s="53" t="s">
        <v>112</v>
      </c>
      <c r="BG15" s="53" t="s">
        <v>112</v>
      </c>
      <c r="BH15" s="53" t="s">
        <v>112</v>
      </c>
      <c r="BI15" s="53" t="s">
        <v>112</v>
      </c>
      <c r="BJ15" s="53" t="s">
        <v>112</v>
      </c>
      <c r="BK15" s="53" t="s">
        <v>112</v>
      </c>
      <c r="BL15" s="53" t="s">
        <v>112</v>
      </c>
      <c r="BM15" s="53" t="s">
        <v>112</v>
      </c>
    </row>
    <row r="16" spans="1:65" ht="15" customHeight="1" x14ac:dyDescent="0.25">
      <c r="A16" s="53" t="s">
        <v>134</v>
      </c>
      <c r="B16" s="53" t="s">
        <v>112</v>
      </c>
      <c r="C16" s="53" t="s">
        <v>112</v>
      </c>
      <c r="D16" s="53" t="s">
        <v>112</v>
      </c>
      <c r="E16" s="53" t="s">
        <v>112</v>
      </c>
      <c r="F16" s="53" t="s">
        <v>112</v>
      </c>
      <c r="G16" s="53" t="s">
        <v>112</v>
      </c>
      <c r="H16" s="53" t="s">
        <v>112</v>
      </c>
      <c r="I16" s="53" t="s">
        <v>112</v>
      </c>
      <c r="J16" s="53" t="s">
        <v>112</v>
      </c>
      <c r="K16" s="53" t="s">
        <v>112</v>
      </c>
      <c r="L16" s="53" t="s">
        <v>112</v>
      </c>
      <c r="M16" s="53" t="s">
        <v>112</v>
      </c>
      <c r="N16" s="53" t="s">
        <v>112</v>
      </c>
      <c r="O16" s="53" t="s">
        <v>112</v>
      </c>
      <c r="P16" s="53" t="s">
        <v>112</v>
      </c>
      <c r="Q16" s="53" t="s">
        <v>112</v>
      </c>
      <c r="R16" s="53" t="s">
        <v>112</v>
      </c>
      <c r="S16" s="53">
        <v>0</v>
      </c>
      <c r="T16" s="53" t="s">
        <v>112</v>
      </c>
      <c r="U16" s="53">
        <v>1</v>
      </c>
      <c r="V16" s="53" t="s">
        <v>112</v>
      </c>
      <c r="W16" s="53" t="s">
        <v>112</v>
      </c>
      <c r="X16" s="53" t="s">
        <v>112</v>
      </c>
      <c r="Y16" s="53">
        <v>0</v>
      </c>
      <c r="Z16" s="53" t="s">
        <v>112</v>
      </c>
      <c r="AA16" s="53" t="s">
        <v>112</v>
      </c>
      <c r="AB16" s="53" t="s">
        <v>112</v>
      </c>
      <c r="AC16" s="53" t="s">
        <v>112</v>
      </c>
      <c r="AD16" s="53" t="s">
        <v>112</v>
      </c>
      <c r="AE16" s="53" t="s">
        <v>112</v>
      </c>
      <c r="AF16" s="53" t="s">
        <v>112</v>
      </c>
      <c r="AG16" s="53" t="s">
        <v>112</v>
      </c>
      <c r="AH16" s="53" t="s">
        <v>112</v>
      </c>
      <c r="AI16" s="53">
        <v>0</v>
      </c>
      <c r="AJ16" s="53" t="s">
        <v>112</v>
      </c>
      <c r="AK16" s="53" t="s">
        <v>112</v>
      </c>
      <c r="AL16" s="53" t="s">
        <v>112</v>
      </c>
      <c r="AM16" s="53">
        <v>0</v>
      </c>
      <c r="AN16" s="53" t="s">
        <v>112</v>
      </c>
      <c r="AO16" s="53">
        <v>0</v>
      </c>
      <c r="AP16" s="53" t="s">
        <v>112</v>
      </c>
      <c r="AQ16" s="53" t="s">
        <v>112</v>
      </c>
      <c r="AR16" s="53" t="s">
        <v>112</v>
      </c>
      <c r="AS16" s="53" t="s">
        <v>112</v>
      </c>
      <c r="AT16" s="53" t="s">
        <v>112</v>
      </c>
      <c r="AU16" s="53" t="s">
        <v>112</v>
      </c>
      <c r="AV16" s="53" t="s">
        <v>112</v>
      </c>
      <c r="AW16" s="53" t="s">
        <v>112</v>
      </c>
      <c r="AX16" s="53" t="s">
        <v>112</v>
      </c>
      <c r="AY16" s="53" t="s">
        <v>112</v>
      </c>
      <c r="AZ16" s="53" t="s">
        <v>112</v>
      </c>
      <c r="BA16" s="53">
        <v>8</v>
      </c>
      <c r="BB16" s="53" t="s">
        <v>112</v>
      </c>
      <c r="BC16" s="53">
        <v>0</v>
      </c>
      <c r="BD16" s="53" t="s">
        <v>112</v>
      </c>
      <c r="BE16" s="53">
        <v>0</v>
      </c>
      <c r="BF16" s="53" t="s">
        <v>112</v>
      </c>
      <c r="BG16" s="53" t="s">
        <v>112</v>
      </c>
      <c r="BH16" s="53" t="s">
        <v>112</v>
      </c>
      <c r="BI16" s="53" t="s">
        <v>112</v>
      </c>
      <c r="BJ16" s="53" t="s">
        <v>112</v>
      </c>
      <c r="BK16" s="53" t="s">
        <v>112</v>
      </c>
      <c r="BL16" s="53" t="s">
        <v>112</v>
      </c>
      <c r="BM16" s="53" t="s">
        <v>112</v>
      </c>
    </row>
    <row r="17" spans="1:65" ht="15" customHeight="1" x14ac:dyDescent="0.25">
      <c r="A17" s="53" t="s">
        <v>133</v>
      </c>
      <c r="B17" s="53" t="s">
        <v>112</v>
      </c>
      <c r="C17" s="53" t="s">
        <v>112</v>
      </c>
      <c r="D17" s="53" t="s">
        <v>112</v>
      </c>
      <c r="E17" s="53" t="s">
        <v>112</v>
      </c>
      <c r="F17" s="53" t="s">
        <v>112</v>
      </c>
      <c r="G17" s="53" t="s">
        <v>112</v>
      </c>
      <c r="H17" s="53" t="s">
        <v>112</v>
      </c>
      <c r="I17" s="53" t="s">
        <v>112</v>
      </c>
      <c r="J17" s="53" t="s">
        <v>112</v>
      </c>
      <c r="K17" s="53" t="s">
        <v>112</v>
      </c>
      <c r="L17" s="53" t="s">
        <v>112</v>
      </c>
      <c r="M17" s="53" t="s">
        <v>112</v>
      </c>
      <c r="N17" s="53" t="s">
        <v>112</v>
      </c>
      <c r="O17" s="53" t="s">
        <v>112</v>
      </c>
      <c r="P17" s="53" t="s">
        <v>112</v>
      </c>
      <c r="Q17" s="53" t="s">
        <v>112</v>
      </c>
      <c r="R17" s="53" t="s">
        <v>112</v>
      </c>
      <c r="S17" s="53">
        <v>0</v>
      </c>
      <c r="T17" s="53" t="s">
        <v>112</v>
      </c>
      <c r="U17" s="53">
        <v>8</v>
      </c>
      <c r="V17" s="53" t="s">
        <v>112</v>
      </c>
      <c r="W17" s="53" t="s">
        <v>112</v>
      </c>
      <c r="X17" s="53" t="s">
        <v>112</v>
      </c>
      <c r="Y17" s="53">
        <v>0</v>
      </c>
      <c r="Z17" s="53" t="s">
        <v>112</v>
      </c>
      <c r="AA17" s="53" t="s">
        <v>112</v>
      </c>
      <c r="AB17" s="53" t="s">
        <v>112</v>
      </c>
      <c r="AC17" s="53" t="s">
        <v>112</v>
      </c>
      <c r="AD17" s="53" t="s">
        <v>112</v>
      </c>
      <c r="AE17" s="53" t="s">
        <v>112</v>
      </c>
      <c r="AF17" s="53" t="s">
        <v>112</v>
      </c>
      <c r="AG17" s="53" t="s">
        <v>112</v>
      </c>
      <c r="AH17" s="53" t="s">
        <v>112</v>
      </c>
      <c r="AI17" s="53">
        <v>0</v>
      </c>
      <c r="AJ17" s="53" t="s">
        <v>112</v>
      </c>
      <c r="AK17" s="53" t="s">
        <v>112</v>
      </c>
      <c r="AL17" s="53" t="s">
        <v>112</v>
      </c>
      <c r="AM17" s="53">
        <v>0</v>
      </c>
      <c r="AN17" s="53" t="s">
        <v>112</v>
      </c>
      <c r="AO17" s="53">
        <v>0</v>
      </c>
      <c r="AP17" s="53" t="s">
        <v>112</v>
      </c>
      <c r="AQ17" s="53" t="s">
        <v>112</v>
      </c>
      <c r="AR17" s="53" t="s">
        <v>112</v>
      </c>
      <c r="AS17" s="53" t="s">
        <v>112</v>
      </c>
      <c r="AT17" s="53" t="s">
        <v>112</v>
      </c>
      <c r="AU17" s="53" t="s">
        <v>112</v>
      </c>
      <c r="AV17" s="53" t="s">
        <v>112</v>
      </c>
      <c r="AW17" s="53" t="s">
        <v>112</v>
      </c>
      <c r="AX17" s="53" t="s">
        <v>112</v>
      </c>
      <c r="AY17" s="53" t="s">
        <v>112</v>
      </c>
      <c r="AZ17" s="53" t="s">
        <v>112</v>
      </c>
      <c r="BA17" s="53">
        <v>11</v>
      </c>
      <c r="BB17" s="53" t="s">
        <v>112</v>
      </c>
      <c r="BC17" s="53">
        <v>2</v>
      </c>
      <c r="BD17" s="53" t="s">
        <v>112</v>
      </c>
      <c r="BE17" s="53">
        <v>0</v>
      </c>
      <c r="BF17" s="53" t="s">
        <v>112</v>
      </c>
      <c r="BG17" s="53" t="s">
        <v>112</v>
      </c>
      <c r="BH17" s="53" t="s">
        <v>112</v>
      </c>
      <c r="BI17" s="53" t="s">
        <v>112</v>
      </c>
      <c r="BJ17" s="53" t="s">
        <v>112</v>
      </c>
      <c r="BK17" s="53" t="s">
        <v>112</v>
      </c>
      <c r="BL17" s="53" t="s">
        <v>112</v>
      </c>
      <c r="BM17" s="53" t="s">
        <v>112</v>
      </c>
    </row>
    <row r="18" spans="1:65" ht="15" customHeight="1" x14ac:dyDescent="0.25">
      <c r="A18" s="53" t="s">
        <v>132</v>
      </c>
      <c r="B18" s="53" t="s">
        <v>112</v>
      </c>
      <c r="C18" s="53" t="s">
        <v>112</v>
      </c>
      <c r="D18" s="53" t="s">
        <v>112</v>
      </c>
      <c r="E18" s="53" t="s">
        <v>112</v>
      </c>
      <c r="F18" s="53" t="s">
        <v>112</v>
      </c>
      <c r="G18" s="53" t="s">
        <v>112</v>
      </c>
      <c r="H18" s="53" t="s">
        <v>112</v>
      </c>
      <c r="I18" s="53" t="s">
        <v>112</v>
      </c>
      <c r="J18" s="53" t="s">
        <v>112</v>
      </c>
      <c r="K18" s="53" t="s">
        <v>112</v>
      </c>
      <c r="L18" s="53" t="s">
        <v>112</v>
      </c>
      <c r="M18" s="53" t="s">
        <v>112</v>
      </c>
      <c r="N18" s="53" t="s">
        <v>112</v>
      </c>
      <c r="O18" s="53" t="s">
        <v>112</v>
      </c>
      <c r="P18" s="53" t="s">
        <v>112</v>
      </c>
      <c r="Q18" s="53" t="s">
        <v>112</v>
      </c>
      <c r="R18" s="53" t="s">
        <v>112</v>
      </c>
      <c r="S18" s="53">
        <v>0</v>
      </c>
      <c r="T18" s="53" t="s">
        <v>112</v>
      </c>
      <c r="U18" s="53">
        <v>7</v>
      </c>
      <c r="V18" s="53" t="s">
        <v>112</v>
      </c>
      <c r="W18" s="53" t="s">
        <v>112</v>
      </c>
      <c r="X18" s="53" t="s">
        <v>112</v>
      </c>
      <c r="Y18" s="53">
        <v>0</v>
      </c>
      <c r="Z18" s="53" t="s">
        <v>112</v>
      </c>
      <c r="AA18" s="53" t="s">
        <v>112</v>
      </c>
      <c r="AB18" s="53" t="s">
        <v>112</v>
      </c>
      <c r="AC18" s="53" t="s">
        <v>112</v>
      </c>
      <c r="AD18" s="53" t="s">
        <v>112</v>
      </c>
      <c r="AE18" s="53" t="s">
        <v>112</v>
      </c>
      <c r="AF18" s="53" t="s">
        <v>112</v>
      </c>
      <c r="AG18" s="53" t="s">
        <v>112</v>
      </c>
      <c r="AH18" s="53" t="s">
        <v>112</v>
      </c>
      <c r="AI18" s="53">
        <v>0</v>
      </c>
      <c r="AJ18" s="53" t="s">
        <v>112</v>
      </c>
      <c r="AK18" s="53" t="s">
        <v>112</v>
      </c>
      <c r="AL18" s="53" t="s">
        <v>112</v>
      </c>
      <c r="AM18" s="53">
        <v>0</v>
      </c>
      <c r="AN18" s="53" t="s">
        <v>112</v>
      </c>
      <c r="AO18" s="53">
        <v>0</v>
      </c>
      <c r="AP18" s="53" t="s">
        <v>112</v>
      </c>
      <c r="AQ18" s="53" t="s">
        <v>112</v>
      </c>
      <c r="AR18" s="53" t="s">
        <v>112</v>
      </c>
      <c r="AS18" s="53" t="s">
        <v>112</v>
      </c>
      <c r="AT18" s="53" t="s">
        <v>112</v>
      </c>
      <c r="AU18" s="53" t="s">
        <v>112</v>
      </c>
      <c r="AV18" s="53" t="s">
        <v>112</v>
      </c>
      <c r="AW18" s="53" t="s">
        <v>112</v>
      </c>
      <c r="AX18" s="53" t="s">
        <v>112</v>
      </c>
      <c r="AY18" s="53" t="s">
        <v>112</v>
      </c>
      <c r="AZ18" s="53" t="s">
        <v>112</v>
      </c>
      <c r="BA18" s="53">
        <v>7</v>
      </c>
      <c r="BB18" s="53" t="s">
        <v>112</v>
      </c>
      <c r="BC18" s="53">
        <v>0</v>
      </c>
      <c r="BD18" s="53" t="s">
        <v>112</v>
      </c>
      <c r="BE18" s="53">
        <v>0</v>
      </c>
      <c r="BF18" s="53" t="s">
        <v>112</v>
      </c>
      <c r="BG18" s="53" t="s">
        <v>112</v>
      </c>
      <c r="BH18" s="53" t="s">
        <v>112</v>
      </c>
      <c r="BI18" s="53" t="s">
        <v>112</v>
      </c>
      <c r="BJ18" s="53" t="s">
        <v>112</v>
      </c>
      <c r="BK18" s="53" t="s">
        <v>112</v>
      </c>
      <c r="BL18" s="53" t="s">
        <v>112</v>
      </c>
      <c r="BM18" s="53" t="s">
        <v>112</v>
      </c>
    </row>
    <row r="19" spans="1:65" ht="15" customHeight="1" x14ac:dyDescent="0.25">
      <c r="A19" s="53" t="s">
        <v>131</v>
      </c>
      <c r="B19" s="53" t="s">
        <v>112</v>
      </c>
      <c r="C19" s="53" t="s">
        <v>112</v>
      </c>
      <c r="D19" s="53" t="s">
        <v>112</v>
      </c>
      <c r="E19" s="53" t="s">
        <v>112</v>
      </c>
      <c r="F19" s="53" t="s">
        <v>112</v>
      </c>
      <c r="G19" s="53" t="s">
        <v>112</v>
      </c>
      <c r="H19" s="53" t="s">
        <v>112</v>
      </c>
      <c r="I19" s="53" t="s">
        <v>112</v>
      </c>
      <c r="J19" s="53" t="s">
        <v>112</v>
      </c>
      <c r="K19" s="53" t="s">
        <v>112</v>
      </c>
      <c r="L19" s="53" t="s">
        <v>112</v>
      </c>
      <c r="M19" s="53" t="s">
        <v>112</v>
      </c>
      <c r="N19" s="53" t="s">
        <v>112</v>
      </c>
      <c r="O19" s="53" t="s">
        <v>112</v>
      </c>
      <c r="P19" s="53" t="s">
        <v>112</v>
      </c>
      <c r="Q19" s="53" t="s">
        <v>112</v>
      </c>
      <c r="R19" s="53" t="s">
        <v>112</v>
      </c>
      <c r="S19" s="53">
        <v>0</v>
      </c>
      <c r="T19" s="53" t="s">
        <v>112</v>
      </c>
      <c r="U19" s="53">
        <v>16</v>
      </c>
      <c r="V19" s="53" t="s">
        <v>112</v>
      </c>
      <c r="W19" s="53" t="s">
        <v>112</v>
      </c>
      <c r="X19" s="53" t="s">
        <v>112</v>
      </c>
      <c r="Y19" s="53">
        <v>0</v>
      </c>
      <c r="Z19" s="53" t="s">
        <v>112</v>
      </c>
      <c r="AA19" s="53" t="s">
        <v>112</v>
      </c>
      <c r="AB19" s="53" t="s">
        <v>112</v>
      </c>
      <c r="AC19" s="53" t="s">
        <v>112</v>
      </c>
      <c r="AD19" s="53" t="s">
        <v>112</v>
      </c>
      <c r="AE19" s="53" t="s">
        <v>112</v>
      </c>
      <c r="AF19" s="53" t="s">
        <v>112</v>
      </c>
      <c r="AG19" s="53" t="s">
        <v>112</v>
      </c>
      <c r="AH19" s="53" t="s">
        <v>112</v>
      </c>
      <c r="AI19" s="53">
        <v>0</v>
      </c>
      <c r="AJ19" s="53" t="s">
        <v>112</v>
      </c>
      <c r="AK19" s="53" t="s">
        <v>112</v>
      </c>
      <c r="AL19" s="53" t="s">
        <v>112</v>
      </c>
      <c r="AM19" s="53">
        <v>0</v>
      </c>
      <c r="AN19" s="53" t="s">
        <v>112</v>
      </c>
      <c r="AO19" s="53">
        <v>0</v>
      </c>
      <c r="AP19" s="53" t="s">
        <v>112</v>
      </c>
      <c r="AQ19" s="53" t="s">
        <v>112</v>
      </c>
      <c r="AR19" s="53" t="s">
        <v>112</v>
      </c>
      <c r="AS19" s="53" t="s">
        <v>112</v>
      </c>
      <c r="AT19" s="53" t="s">
        <v>112</v>
      </c>
      <c r="AU19" s="53" t="s">
        <v>112</v>
      </c>
      <c r="AV19" s="53" t="s">
        <v>112</v>
      </c>
      <c r="AW19" s="53" t="s">
        <v>112</v>
      </c>
      <c r="AX19" s="53" t="s">
        <v>112</v>
      </c>
      <c r="AY19" s="53" t="s">
        <v>112</v>
      </c>
      <c r="AZ19" s="53" t="s">
        <v>112</v>
      </c>
      <c r="BA19" s="53">
        <v>19</v>
      </c>
      <c r="BB19" s="53" t="s">
        <v>112</v>
      </c>
      <c r="BC19" s="53">
        <v>1</v>
      </c>
      <c r="BD19" s="53" t="s">
        <v>112</v>
      </c>
      <c r="BE19" s="53">
        <v>0</v>
      </c>
      <c r="BF19" s="53" t="s">
        <v>112</v>
      </c>
      <c r="BG19" s="53" t="s">
        <v>112</v>
      </c>
      <c r="BH19" s="53" t="s">
        <v>112</v>
      </c>
      <c r="BI19" s="53" t="s">
        <v>112</v>
      </c>
      <c r="BJ19" s="53" t="s">
        <v>112</v>
      </c>
      <c r="BK19" s="53" t="s">
        <v>112</v>
      </c>
      <c r="BL19" s="53" t="s">
        <v>112</v>
      </c>
      <c r="BM19" s="53" t="s">
        <v>112</v>
      </c>
    </row>
    <row r="20" spans="1:65" ht="15" customHeight="1" x14ac:dyDescent="0.25">
      <c r="A20" s="53" t="s">
        <v>130</v>
      </c>
      <c r="B20" s="53" t="s">
        <v>112</v>
      </c>
      <c r="C20" s="53" t="s">
        <v>112</v>
      </c>
      <c r="D20" s="53" t="s">
        <v>112</v>
      </c>
      <c r="E20" s="53" t="s">
        <v>112</v>
      </c>
      <c r="F20" s="53" t="s">
        <v>112</v>
      </c>
      <c r="G20" s="53" t="s">
        <v>112</v>
      </c>
      <c r="H20" s="53" t="s">
        <v>112</v>
      </c>
      <c r="I20" s="53" t="s">
        <v>112</v>
      </c>
      <c r="J20" s="53" t="s">
        <v>112</v>
      </c>
      <c r="K20" s="53" t="s">
        <v>112</v>
      </c>
      <c r="L20" s="53" t="s">
        <v>112</v>
      </c>
      <c r="M20" s="53" t="s">
        <v>112</v>
      </c>
      <c r="N20" s="53" t="s">
        <v>112</v>
      </c>
      <c r="O20" s="53" t="s">
        <v>112</v>
      </c>
      <c r="P20" s="53" t="s">
        <v>112</v>
      </c>
      <c r="Q20" s="53" t="s">
        <v>112</v>
      </c>
      <c r="R20" s="53" t="s">
        <v>112</v>
      </c>
      <c r="S20" s="53">
        <v>0</v>
      </c>
      <c r="T20" s="53" t="s">
        <v>112</v>
      </c>
      <c r="U20" s="53">
        <v>7</v>
      </c>
      <c r="V20" s="53" t="s">
        <v>112</v>
      </c>
      <c r="W20" s="53" t="s">
        <v>112</v>
      </c>
      <c r="X20" s="53" t="s">
        <v>112</v>
      </c>
      <c r="Y20" s="53">
        <v>0</v>
      </c>
      <c r="Z20" s="53" t="s">
        <v>112</v>
      </c>
      <c r="AA20" s="53" t="s">
        <v>112</v>
      </c>
      <c r="AB20" s="53" t="s">
        <v>112</v>
      </c>
      <c r="AC20" s="53" t="s">
        <v>112</v>
      </c>
      <c r="AD20" s="53" t="s">
        <v>112</v>
      </c>
      <c r="AE20" s="53" t="s">
        <v>112</v>
      </c>
      <c r="AF20" s="53" t="s">
        <v>112</v>
      </c>
      <c r="AG20" s="53" t="s">
        <v>112</v>
      </c>
      <c r="AH20" s="53" t="s">
        <v>112</v>
      </c>
      <c r="AI20" s="53">
        <v>0</v>
      </c>
      <c r="AJ20" s="53" t="s">
        <v>112</v>
      </c>
      <c r="AK20" s="53" t="s">
        <v>112</v>
      </c>
      <c r="AL20" s="53" t="s">
        <v>112</v>
      </c>
      <c r="AM20" s="53">
        <v>0</v>
      </c>
      <c r="AN20" s="53" t="s">
        <v>112</v>
      </c>
      <c r="AO20" s="53">
        <v>0</v>
      </c>
      <c r="AP20" s="53" t="s">
        <v>112</v>
      </c>
      <c r="AQ20" s="53" t="s">
        <v>112</v>
      </c>
      <c r="AR20" s="53" t="s">
        <v>112</v>
      </c>
      <c r="AS20" s="53" t="s">
        <v>112</v>
      </c>
      <c r="AT20" s="53" t="s">
        <v>112</v>
      </c>
      <c r="AU20" s="53" t="s">
        <v>112</v>
      </c>
      <c r="AV20" s="53" t="s">
        <v>112</v>
      </c>
      <c r="AW20" s="53" t="s">
        <v>112</v>
      </c>
      <c r="AX20" s="53" t="s">
        <v>112</v>
      </c>
      <c r="AY20" s="53" t="s">
        <v>112</v>
      </c>
      <c r="AZ20" s="53" t="s">
        <v>112</v>
      </c>
      <c r="BA20" s="53">
        <v>9</v>
      </c>
      <c r="BB20" s="53" t="s">
        <v>112</v>
      </c>
      <c r="BC20" s="53">
        <v>1</v>
      </c>
      <c r="BD20" s="53" t="s">
        <v>112</v>
      </c>
      <c r="BE20" s="53">
        <v>0</v>
      </c>
      <c r="BF20" s="53" t="s">
        <v>112</v>
      </c>
      <c r="BG20" s="53" t="s">
        <v>112</v>
      </c>
      <c r="BH20" s="53" t="s">
        <v>112</v>
      </c>
      <c r="BI20" s="53" t="s">
        <v>112</v>
      </c>
      <c r="BJ20" s="53" t="s">
        <v>112</v>
      </c>
      <c r="BK20" s="53" t="s">
        <v>112</v>
      </c>
      <c r="BL20" s="53" t="s">
        <v>112</v>
      </c>
      <c r="BM20" s="53" t="s">
        <v>112</v>
      </c>
    </row>
    <row r="21" spans="1:65" ht="15" customHeight="1" x14ac:dyDescent="0.25">
      <c r="A21" s="53" t="s">
        <v>129</v>
      </c>
      <c r="B21" s="53" t="s">
        <v>112</v>
      </c>
      <c r="C21" s="53" t="s">
        <v>112</v>
      </c>
      <c r="D21" s="53" t="s">
        <v>112</v>
      </c>
      <c r="E21" s="53" t="s">
        <v>112</v>
      </c>
      <c r="F21" s="53" t="s">
        <v>112</v>
      </c>
      <c r="G21" s="53" t="s">
        <v>112</v>
      </c>
      <c r="H21" s="53" t="s">
        <v>112</v>
      </c>
      <c r="I21" s="53" t="s">
        <v>112</v>
      </c>
      <c r="J21" s="53" t="s">
        <v>112</v>
      </c>
      <c r="K21" s="53" t="s">
        <v>112</v>
      </c>
      <c r="L21" s="53" t="s">
        <v>112</v>
      </c>
      <c r="M21" s="53" t="s">
        <v>112</v>
      </c>
      <c r="N21" s="53" t="s">
        <v>112</v>
      </c>
      <c r="O21" s="53" t="s">
        <v>112</v>
      </c>
      <c r="P21" s="53" t="s">
        <v>112</v>
      </c>
      <c r="Q21" s="53" t="s">
        <v>112</v>
      </c>
      <c r="R21" s="53" t="s">
        <v>112</v>
      </c>
      <c r="S21" s="53">
        <v>1</v>
      </c>
      <c r="T21" s="53" t="s">
        <v>112</v>
      </c>
      <c r="U21" s="53">
        <v>12</v>
      </c>
      <c r="V21" s="53" t="s">
        <v>112</v>
      </c>
      <c r="W21" s="53" t="s">
        <v>112</v>
      </c>
      <c r="X21" s="53" t="s">
        <v>112</v>
      </c>
      <c r="Y21" s="53">
        <v>0</v>
      </c>
      <c r="Z21" s="53" t="s">
        <v>112</v>
      </c>
      <c r="AA21" s="53" t="s">
        <v>112</v>
      </c>
      <c r="AB21" s="53" t="s">
        <v>112</v>
      </c>
      <c r="AC21" s="53" t="s">
        <v>112</v>
      </c>
      <c r="AD21" s="53" t="s">
        <v>112</v>
      </c>
      <c r="AE21" s="53" t="s">
        <v>112</v>
      </c>
      <c r="AF21" s="53" t="s">
        <v>112</v>
      </c>
      <c r="AG21" s="53" t="s">
        <v>112</v>
      </c>
      <c r="AH21" s="53" t="s">
        <v>112</v>
      </c>
      <c r="AI21" s="53">
        <v>0</v>
      </c>
      <c r="AJ21" s="53" t="s">
        <v>112</v>
      </c>
      <c r="AK21" s="53" t="s">
        <v>112</v>
      </c>
      <c r="AL21" s="53" t="s">
        <v>112</v>
      </c>
      <c r="AM21" s="53">
        <v>0</v>
      </c>
      <c r="AN21" s="53" t="s">
        <v>112</v>
      </c>
      <c r="AO21" s="53">
        <v>0</v>
      </c>
      <c r="AP21" s="53" t="s">
        <v>112</v>
      </c>
      <c r="AQ21" s="53" t="s">
        <v>112</v>
      </c>
      <c r="AR21" s="53" t="s">
        <v>112</v>
      </c>
      <c r="AS21" s="53" t="s">
        <v>112</v>
      </c>
      <c r="AT21" s="53" t="s">
        <v>112</v>
      </c>
      <c r="AU21" s="53" t="s">
        <v>112</v>
      </c>
      <c r="AV21" s="53" t="s">
        <v>112</v>
      </c>
      <c r="AW21" s="53" t="s">
        <v>112</v>
      </c>
      <c r="AX21" s="53" t="s">
        <v>112</v>
      </c>
      <c r="AY21" s="53" t="s">
        <v>112</v>
      </c>
      <c r="AZ21" s="53" t="s">
        <v>112</v>
      </c>
      <c r="BA21" s="53">
        <v>11</v>
      </c>
      <c r="BB21" s="53" t="s">
        <v>112</v>
      </c>
      <c r="BC21" s="53">
        <v>0</v>
      </c>
      <c r="BD21" s="53" t="s">
        <v>112</v>
      </c>
      <c r="BE21" s="53">
        <v>0</v>
      </c>
      <c r="BF21" s="53" t="s">
        <v>112</v>
      </c>
      <c r="BG21" s="53" t="s">
        <v>112</v>
      </c>
      <c r="BH21" s="53" t="s">
        <v>112</v>
      </c>
      <c r="BI21" s="53" t="s">
        <v>112</v>
      </c>
      <c r="BJ21" s="53" t="s">
        <v>112</v>
      </c>
      <c r="BK21" s="53" t="s">
        <v>112</v>
      </c>
      <c r="BL21" s="53" t="s">
        <v>112</v>
      </c>
      <c r="BM21" s="53" t="s">
        <v>112</v>
      </c>
    </row>
    <row r="22" spans="1:65" ht="15" customHeight="1" x14ac:dyDescent="0.25">
      <c r="A22" s="53" t="s">
        <v>128</v>
      </c>
      <c r="B22" s="53" t="s">
        <v>112</v>
      </c>
      <c r="C22" s="53" t="s">
        <v>112</v>
      </c>
      <c r="D22" s="53" t="s">
        <v>112</v>
      </c>
      <c r="E22" s="53" t="s">
        <v>112</v>
      </c>
      <c r="F22" s="53" t="s">
        <v>112</v>
      </c>
      <c r="G22" s="53" t="s">
        <v>112</v>
      </c>
      <c r="H22" s="53" t="s">
        <v>112</v>
      </c>
      <c r="I22" s="53" t="s">
        <v>112</v>
      </c>
      <c r="J22" s="53" t="s">
        <v>112</v>
      </c>
      <c r="K22" s="53" t="s">
        <v>112</v>
      </c>
      <c r="L22" s="53" t="s">
        <v>112</v>
      </c>
      <c r="M22" s="53" t="s">
        <v>112</v>
      </c>
      <c r="N22" s="53" t="s">
        <v>112</v>
      </c>
      <c r="O22" s="53" t="s">
        <v>112</v>
      </c>
      <c r="P22" s="53" t="s">
        <v>112</v>
      </c>
      <c r="Q22" s="53" t="s">
        <v>112</v>
      </c>
      <c r="R22" s="53" t="s">
        <v>112</v>
      </c>
      <c r="S22" s="53">
        <v>0</v>
      </c>
      <c r="T22" s="53" t="s">
        <v>112</v>
      </c>
      <c r="U22" s="53">
        <v>4</v>
      </c>
      <c r="V22" s="53" t="s">
        <v>112</v>
      </c>
      <c r="W22" s="53" t="s">
        <v>112</v>
      </c>
      <c r="X22" s="53" t="s">
        <v>112</v>
      </c>
      <c r="Y22" s="53">
        <v>0</v>
      </c>
      <c r="Z22" s="53" t="s">
        <v>112</v>
      </c>
      <c r="AA22" s="53" t="s">
        <v>112</v>
      </c>
      <c r="AB22" s="53" t="s">
        <v>112</v>
      </c>
      <c r="AC22" s="53" t="s">
        <v>112</v>
      </c>
      <c r="AD22" s="53" t="s">
        <v>112</v>
      </c>
      <c r="AE22" s="53" t="s">
        <v>112</v>
      </c>
      <c r="AF22" s="53" t="s">
        <v>112</v>
      </c>
      <c r="AG22" s="53" t="s">
        <v>112</v>
      </c>
      <c r="AH22" s="53" t="s">
        <v>112</v>
      </c>
      <c r="AI22" s="53">
        <v>1</v>
      </c>
      <c r="AJ22" s="53" t="s">
        <v>112</v>
      </c>
      <c r="AK22" s="53" t="s">
        <v>112</v>
      </c>
      <c r="AL22" s="53" t="s">
        <v>112</v>
      </c>
      <c r="AM22" s="53">
        <v>0</v>
      </c>
      <c r="AN22" s="53" t="s">
        <v>112</v>
      </c>
      <c r="AO22" s="53">
        <v>0</v>
      </c>
      <c r="AP22" s="53" t="s">
        <v>112</v>
      </c>
      <c r="AQ22" s="53" t="s">
        <v>112</v>
      </c>
      <c r="AR22" s="53" t="s">
        <v>112</v>
      </c>
      <c r="AS22" s="53" t="s">
        <v>112</v>
      </c>
      <c r="AT22" s="53" t="s">
        <v>112</v>
      </c>
      <c r="AU22" s="53" t="s">
        <v>112</v>
      </c>
      <c r="AV22" s="53" t="s">
        <v>112</v>
      </c>
      <c r="AW22" s="53" t="s">
        <v>112</v>
      </c>
      <c r="AX22" s="53" t="s">
        <v>112</v>
      </c>
      <c r="AY22" s="53" t="s">
        <v>112</v>
      </c>
      <c r="AZ22" s="53" t="s">
        <v>112</v>
      </c>
      <c r="BA22" s="53">
        <v>9</v>
      </c>
      <c r="BB22" s="53" t="s">
        <v>112</v>
      </c>
      <c r="BC22" s="53">
        <v>1</v>
      </c>
      <c r="BD22" s="53" t="s">
        <v>112</v>
      </c>
      <c r="BE22" s="53">
        <v>0</v>
      </c>
      <c r="BF22" s="53" t="s">
        <v>112</v>
      </c>
      <c r="BG22" s="53" t="s">
        <v>112</v>
      </c>
      <c r="BH22" s="53" t="s">
        <v>112</v>
      </c>
      <c r="BI22" s="53" t="s">
        <v>112</v>
      </c>
      <c r="BJ22" s="53" t="s">
        <v>112</v>
      </c>
      <c r="BK22" s="53" t="s">
        <v>112</v>
      </c>
      <c r="BL22" s="53" t="s">
        <v>112</v>
      </c>
      <c r="BM22" s="53" t="s">
        <v>112</v>
      </c>
    </row>
    <row r="23" spans="1:65" ht="15" customHeight="1" x14ac:dyDescent="0.25">
      <c r="A23" s="53" t="s">
        <v>127</v>
      </c>
      <c r="B23" s="53" t="s">
        <v>112</v>
      </c>
      <c r="C23" s="53" t="s">
        <v>112</v>
      </c>
      <c r="D23" s="53" t="s">
        <v>112</v>
      </c>
      <c r="E23" s="53" t="s">
        <v>112</v>
      </c>
      <c r="F23" s="53" t="s">
        <v>112</v>
      </c>
      <c r="G23" s="53" t="s">
        <v>112</v>
      </c>
      <c r="H23" s="53" t="s">
        <v>112</v>
      </c>
      <c r="I23" s="53" t="s">
        <v>112</v>
      </c>
      <c r="J23" s="53" t="s">
        <v>112</v>
      </c>
      <c r="K23" s="53" t="s">
        <v>112</v>
      </c>
      <c r="L23" s="53" t="s">
        <v>112</v>
      </c>
      <c r="M23" s="53" t="s">
        <v>112</v>
      </c>
      <c r="N23" s="53" t="s">
        <v>112</v>
      </c>
      <c r="O23" s="53" t="s">
        <v>112</v>
      </c>
      <c r="P23" s="53" t="s">
        <v>112</v>
      </c>
      <c r="Q23" s="53" t="s">
        <v>112</v>
      </c>
      <c r="R23" s="53" t="s">
        <v>112</v>
      </c>
      <c r="S23" s="53">
        <v>0</v>
      </c>
      <c r="T23" s="53" t="s">
        <v>112</v>
      </c>
      <c r="U23" s="53">
        <v>0</v>
      </c>
      <c r="V23" s="53" t="s">
        <v>112</v>
      </c>
      <c r="W23" s="53" t="s">
        <v>112</v>
      </c>
      <c r="X23" s="53" t="s">
        <v>112</v>
      </c>
      <c r="Y23" s="53">
        <v>0</v>
      </c>
      <c r="Z23" s="53" t="s">
        <v>112</v>
      </c>
      <c r="AA23" s="53" t="s">
        <v>112</v>
      </c>
      <c r="AB23" s="53" t="s">
        <v>112</v>
      </c>
      <c r="AC23" s="53" t="s">
        <v>112</v>
      </c>
      <c r="AD23" s="53" t="s">
        <v>112</v>
      </c>
      <c r="AE23" s="53" t="s">
        <v>112</v>
      </c>
      <c r="AF23" s="53" t="s">
        <v>112</v>
      </c>
      <c r="AG23" s="53" t="s">
        <v>112</v>
      </c>
      <c r="AH23" s="53" t="s">
        <v>112</v>
      </c>
      <c r="AI23" s="53">
        <v>0</v>
      </c>
      <c r="AJ23" s="53" t="s">
        <v>112</v>
      </c>
      <c r="AK23" s="53" t="s">
        <v>112</v>
      </c>
      <c r="AL23" s="53" t="s">
        <v>112</v>
      </c>
      <c r="AM23" s="53">
        <v>0</v>
      </c>
      <c r="AN23" s="53" t="s">
        <v>112</v>
      </c>
      <c r="AO23" s="53">
        <v>0</v>
      </c>
      <c r="AP23" s="53" t="s">
        <v>112</v>
      </c>
      <c r="AQ23" s="53" t="s">
        <v>112</v>
      </c>
      <c r="AR23" s="53" t="s">
        <v>112</v>
      </c>
      <c r="AS23" s="53" t="s">
        <v>112</v>
      </c>
      <c r="AT23" s="53" t="s">
        <v>112</v>
      </c>
      <c r="AU23" s="53" t="s">
        <v>112</v>
      </c>
      <c r="AV23" s="53" t="s">
        <v>112</v>
      </c>
      <c r="AW23" s="53" t="s">
        <v>112</v>
      </c>
      <c r="AX23" s="53" t="s">
        <v>112</v>
      </c>
      <c r="AY23" s="53" t="s">
        <v>112</v>
      </c>
      <c r="AZ23" s="53" t="s">
        <v>112</v>
      </c>
      <c r="BA23" s="53">
        <v>0</v>
      </c>
      <c r="BB23" s="53" t="s">
        <v>112</v>
      </c>
      <c r="BC23" s="53">
        <v>0</v>
      </c>
      <c r="BD23" s="53" t="s">
        <v>112</v>
      </c>
      <c r="BE23" s="53">
        <v>0</v>
      </c>
      <c r="BF23" s="53" t="s">
        <v>112</v>
      </c>
      <c r="BG23" s="53" t="s">
        <v>112</v>
      </c>
      <c r="BH23" s="53" t="s">
        <v>112</v>
      </c>
      <c r="BI23" s="53" t="s">
        <v>112</v>
      </c>
      <c r="BJ23" s="53" t="s">
        <v>112</v>
      </c>
      <c r="BK23" s="53" t="s">
        <v>112</v>
      </c>
      <c r="BL23" s="53" t="s">
        <v>112</v>
      </c>
      <c r="BM23" s="53" t="s">
        <v>112</v>
      </c>
    </row>
    <row r="24" spans="1:65" ht="15" customHeight="1" x14ac:dyDescent="0.25">
      <c r="A24" s="53" t="s">
        <v>126</v>
      </c>
      <c r="B24" s="53" t="s">
        <v>112</v>
      </c>
      <c r="C24" s="53" t="s">
        <v>112</v>
      </c>
      <c r="D24" s="53" t="s">
        <v>112</v>
      </c>
      <c r="E24" s="53" t="s">
        <v>112</v>
      </c>
      <c r="F24" s="53" t="s">
        <v>112</v>
      </c>
      <c r="G24" s="53" t="s">
        <v>112</v>
      </c>
      <c r="H24" s="53" t="s">
        <v>112</v>
      </c>
      <c r="I24" s="53" t="s">
        <v>112</v>
      </c>
      <c r="J24" s="53" t="s">
        <v>112</v>
      </c>
      <c r="K24" s="53" t="s">
        <v>112</v>
      </c>
      <c r="L24" s="53" t="s">
        <v>112</v>
      </c>
      <c r="M24" s="53" t="s">
        <v>112</v>
      </c>
      <c r="N24" s="53" t="s">
        <v>112</v>
      </c>
      <c r="O24" s="53" t="s">
        <v>112</v>
      </c>
      <c r="P24" s="53" t="s">
        <v>112</v>
      </c>
      <c r="Q24" s="53" t="s">
        <v>112</v>
      </c>
      <c r="R24" s="53" t="s">
        <v>112</v>
      </c>
      <c r="S24" s="53">
        <v>0</v>
      </c>
      <c r="T24" s="53" t="s">
        <v>112</v>
      </c>
      <c r="U24" s="53">
        <v>4</v>
      </c>
      <c r="V24" s="53" t="s">
        <v>112</v>
      </c>
      <c r="W24" s="53" t="s">
        <v>112</v>
      </c>
      <c r="X24" s="53" t="s">
        <v>112</v>
      </c>
      <c r="Y24" s="53">
        <v>0</v>
      </c>
      <c r="Z24" s="53" t="s">
        <v>112</v>
      </c>
      <c r="AA24" s="53" t="s">
        <v>112</v>
      </c>
      <c r="AB24" s="53" t="s">
        <v>112</v>
      </c>
      <c r="AC24" s="53" t="s">
        <v>112</v>
      </c>
      <c r="AD24" s="53" t="s">
        <v>112</v>
      </c>
      <c r="AE24" s="53" t="s">
        <v>112</v>
      </c>
      <c r="AF24" s="53" t="s">
        <v>112</v>
      </c>
      <c r="AG24" s="53" t="s">
        <v>112</v>
      </c>
      <c r="AH24" s="53" t="s">
        <v>112</v>
      </c>
      <c r="AI24" s="53">
        <v>0</v>
      </c>
      <c r="AJ24" s="53" t="s">
        <v>112</v>
      </c>
      <c r="AK24" s="53" t="s">
        <v>112</v>
      </c>
      <c r="AL24" s="53" t="s">
        <v>112</v>
      </c>
      <c r="AM24" s="53">
        <v>0</v>
      </c>
      <c r="AN24" s="53" t="s">
        <v>112</v>
      </c>
      <c r="AO24" s="53">
        <v>0</v>
      </c>
      <c r="AP24" s="53" t="s">
        <v>112</v>
      </c>
      <c r="AQ24" s="53" t="s">
        <v>112</v>
      </c>
      <c r="AR24" s="53" t="s">
        <v>112</v>
      </c>
      <c r="AS24" s="53" t="s">
        <v>112</v>
      </c>
      <c r="AT24" s="53" t="s">
        <v>112</v>
      </c>
      <c r="AU24" s="53" t="s">
        <v>112</v>
      </c>
      <c r="AV24" s="53" t="s">
        <v>112</v>
      </c>
      <c r="AW24" s="53" t="s">
        <v>112</v>
      </c>
      <c r="AX24" s="53" t="s">
        <v>112</v>
      </c>
      <c r="AY24" s="53" t="s">
        <v>112</v>
      </c>
      <c r="AZ24" s="53" t="s">
        <v>112</v>
      </c>
      <c r="BA24" s="53">
        <v>5</v>
      </c>
      <c r="BB24" s="53" t="s">
        <v>112</v>
      </c>
      <c r="BC24" s="53">
        <v>2</v>
      </c>
      <c r="BD24" s="53" t="s">
        <v>112</v>
      </c>
      <c r="BE24" s="53">
        <v>0</v>
      </c>
      <c r="BF24" s="53" t="s">
        <v>112</v>
      </c>
      <c r="BG24" s="53" t="s">
        <v>112</v>
      </c>
      <c r="BH24" s="53" t="s">
        <v>112</v>
      </c>
      <c r="BI24" s="53" t="s">
        <v>112</v>
      </c>
      <c r="BJ24" s="53" t="s">
        <v>112</v>
      </c>
      <c r="BK24" s="53" t="s">
        <v>112</v>
      </c>
      <c r="BL24" s="53" t="s">
        <v>112</v>
      </c>
      <c r="BM24" s="53" t="s">
        <v>112</v>
      </c>
    </row>
    <row r="25" spans="1:65" ht="15" customHeight="1" x14ac:dyDescent="0.25">
      <c r="A25" s="53" t="s">
        <v>125</v>
      </c>
      <c r="B25" s="53" t="s">
        <v>112</v>
      </c>
      <c r="C25" s="53" t="s">
        <v>112</v>
      </c>
      <c r="D25" s="53" t="s">
        <v>112</v>
      </c>
      <c r="E25" s="53" t="s">
        <v>112</v>
      </c>
      <c r="F25" s="53" t="s">
        <v>112</v>
      </c>
      <c r="G25" s="53" t="s">
        <v>112</v>
      </c>
      <c r="H25" s="53" t="s">
        <v>112</v>
      </c>
      <c r="I25" s="53" t="s">
        <v>112</v>
      </c>
      <c r="J25" s="53" t="s">
        <v>112</v>
      </c>
      <c r="K25" s="53" t="s">
        <v>112</v>
      </c>
      <c r="L25" s="53" t="s">
        <v>112</v>
      </c>
      <c r="M25" s="53" t="s">
        <v>112</v>
      </c>
      <c r="N25" s="53" t="s">
        <v>112</v>
      </c>
      <c r="O25" s="53" t="s">
        <v>112</v>
      </c>
      <c r="P25" s="53" t="s">
        <v>112</v>
      </c>
      <c r="Q25" s="53" t="s">
        <v>112</v>
      </c>
      <c r="R25" s="53" t="s">
        <v>112</v>
      </c>
      <c r="S25" s="53">
        <v>0</v>
      </c>
      <c r="T25" s="53" t="s">
        <v>112</v>
      </c>
      <c r="U25" s="53">
        <v>4</v>
      </c>
      <c r="V25" s="53" t="s">
        <v>112</v>
      </c>
      <c r="W25" s="53" t="s">
        <v>112</v>
      </c>
      <c r="X25" s="53" t="s">
        <v>112</v>
      </c>
      <c r="Y25" s="53">
        <v>0</v>
      </c>
      <c r="Z25" s="53" t="s">
        <v>112</v>
      </c>
      <c r="AA25" s="53" t="s">
        <v>112</v>
      </c>
      <c r="AB25" s="53" t="s">
        <v>112</v>
      </c>
      <c r="AC25" s="53" t="s">
        <v>112</v>
      </c>
      <c r="AD25" s="53" t="s">
        <v>112</v>
      </c>
      <c r="AE25" s="53" t="s">
        <v>112</v>
      </c>
      <c r="AF25" s="53" t="s">
        <v>112</v>
      </c>
      <c r="AG25" s="53" t="s">
        <v>112</v>
      </c>
      <c r="AH25" s="53" t="s">
        <v>112</v>
      </c>
      <c r="AI25" s="53">
        <v>0</v>
      </c>
      <c r="AJ25" s="53" t="s">
        <v>112</v>
      </c>
      <c r="AK25" s="53" t="s">
        <v>112</v>
      </c>
      <c r="AL25" s="53" t="s">
        <v>112</v>
      </c>
      <c r="AM25" s="53">
        <v>0</v>
      </c>
      <c r="AN25" s="53" t="s">
        <v>112</v>
      </c>
      <c r="AO25" s="53">
        <v>0</v>
      </c>
      <c r="AP25" s="53" t="s">
        <v>112</v>
      </c>
      <c r="AQ25" s="53" t="s">
        <v>112</v>
      </c>
      <c r="AR25" s="53" t="s">
        <v>112</v>
      </c>
      <c r="AS25" s="53" t="s">
        <v>112</v>
      </c>
      <c r="AT25" s="53" t="s">
        <v>112</v>
      </c>
      <c r="AU25" s="53" t="s">
        <v>112</v>
      </c>
      <c r="AV25" s="53" t="s">
        <v>112</v>
      </c>
      <c r="AW25" s="53" t="s">
        <v>112</v>
      </c>
      <c r="AX25" s="53" t="s">
        <v>112</v>
      </c>
      <c r="AY25" s="53" t="s">
        <v>112</v>
      </c>
      <c r="AZ25" s="53" t="s">
        <v>112</v>
      </c>
      <c r="BA25" s="53">
        <v>9</v>
      </c>
      <c r="BB25" s="53" t="s">
        <v>112</v>
      </c>
      <c r="BC25" s="53">
        <v>0</v>
      </c>
      <c r="BD25" s="53" t="s">
        <v>112</v>
      </c>
      <c r="BE25" s="53">
        <v>0</v>
      </c>
      <c r="BF25" s="53" t="s">
        <v>112</v>
      </c>
      <c r="BG25" s="53" t="s">
        <v>112</v>
      </c>
      <c r="BH25" s="53" t="s">
        <v>112</v>
      </c>
      <c r="BI25" s="53" t="s">
        <v>112</v>
      </c>
      <c r="BJ25" s="53" t="s">
        <v>112</v>
      </c>
      <c r="BK25" s="53" t="s">
        <v>112</v>
      </c>
      <c r="BL25" s="53" t="s">
        <v>112</v>
      </c>
      <c r="BM25" s="53" t="s">
        <v>112</v>
      </c>
    </row>
    <row r="26" spans="1:65" ht="15" customHeight="1" x14ac:dyDescent="0.25">
      <c r="A26" s="53" t="s">
        <v>124</v>
      </c>
      <c r="B26" s="53" t="s">
        <v>112</v>
      </c>
      <c r="C26" s="53" t="s">
        <v>112</v>
      </c>
      <c r="D26" s="53" t="s">
        <v>112</v>
      </c>
      <c r="E26" s="53" t="s">
        <v>112</v>
      </c>
      <c r="F26" s="53" t="s">
        <v>112</v>
      </c>
      <c r="G26" s="53" t="s">
        <v>112</v>
      </c>
      <c r="H26" s="53" t="s">
        <v>112</v>
      </c>
      <c r="I26" s="53" t="s">
        <v>112</v>
      </c>
      <c r="J26" s="53" t="s">
        <v>112</v>
      </c>
      <c r="K26" s="53" t="s">
        <v>112</v>
      </c>
      <c r="L26" s="53" t="s">
        <v>112</v>
      </c>
      <c r="M26" s="53" t="s">
        <v>112</v>
      </c>
      <c r="N26" s="53" t="s">
        <v>112</v>
      </c>
      <c r="O26" s="53" t="s">
        <v>112</v>
      </c>
      <c r="P26" s="53" t="s">
        <v>112</v>
      </c>
      <c r="Q26" s="53" t="s">
        <v>112</v>
      </c>
      <c r="R26" s="53" t="s">
        <v>112</v>
      </c>
      <c r="S26" s="53">
        <v>0</v>
      </c>
      <c r="T26" s="53" t="s">
        <v>112</v>
      </c>
      <c r="U26" s="53">
        <v>10</v>
      </c>
      <c r="V26" s="53" t="s">
        <v>112</v>
      </c>
      <c r="W26" s="53" t="s">
        <v>112</v>
      </c>
      <c r="X26" s="53" t="s">
        <v>112</v>
      </c>
      <c r="Y26" s="53">
        <v>0</v>
      </c>
      <c r="Z26" s="53" t="s">
        <v>112</v>
      </c>
      <c r="AA26" s="53" t="s">
        <v>112</v>
      </c>
      <c r="AB26" s="53" t="s">
        <v>112</v>
      </c>
      <c r="AC26" s="53" t="s">
        <v>112</v>
      </c>
      <c r="AD26" s="53" t="s">
        <v>112</v>
      </c>
      <c r="AE26" s="53" t="s">
        <v>112</v>
      </c>
      <c r="AF26" s="53" t="s">
        <v>112</v>
      </c>
      <c r="AG26" s="53" t="s">
        <v>112</v>
      </c>
      <c r="AH26" s="53" t="s">
        <v>112</v>
      </c>
      <c r="AI26" s="53">
        <v>0</v>
      </c>
      <c r="AJ26" s="53" t="s">
        <v>112</v>
      </c>
      <c r="AK26" s="53" t="s">
        <v>112</v>
      </c>
      <c r="AL26" s="53" t="s">
        <v>112</v>
      </c>
      <c r="AM26" s="53">
        <v>0</v>
      </c>
      <c r="AN26" s="53" t="s">
        <v>112</v>
      </c>
      <c r="AO26" s="53">
        <v>0</v>
      </c>
      <c r="AP26" s="53" t="s">
        <v>112</v>
      </c>
      <c r="AQ26" s="53" t="s">
        <v>112</v>
      </c>
      <c r="AR26" s="53" t="s">
        <v>112</v>
      </c>
      <c r="AS26" s="53" t="s">
        <v>112</v>
      </c>
      <c r="AT26" s="53" t="s">
        <v>112</v>
      </c>
      <c r="AU26" s="53" t="s">
        <v>112</v>
      </c>
      <c r="AV26" s="53" t="s">
        <v>112</v>
      </c>
      <c r="AW26" s="53" t="s">
        <v>112</v>
      </c>
      <c r="AX26" s="53" t="s">
        <v>112</v>
      </c>
      <c r="AY26" s="53" t="s">
        <v>112</v>
      </c>
      <c r="AZ26" s="53" t="s">
        <v>112</v>
      </c>
      <c r="BA26" s="53">
        <v>4</v>
      </c>
      <c r="BB26" s="53" t="s">
        <v>112</v>
      </c>
      <c r="BC26" s="53">
        <v>0</v>
      </c>
      <c r="BD26" s="53" t="s">
        <v>112</v>
      </c>
      <c r="BE26" s="53">
        <v>0</v>
      </c>
      <c r="BF26" s="53" t="s">
        <v>112</v>
      </c>
      <c r="BG26" s="53" t="s">
        <v>112</v>
      </c>
      <c r="BH26" s="53" t="s">
        <v>112</v>
      </c>
      <c r="BI26" s="53" t="s">
        <v>112</v>
      </c>
      <c r="BJ26" s="53" t="s">
        <v>112</v>
      </c>
      <c r="BK26" s="53" t="s">
        <v>112</v>
      </c>
      <c r="BL26" s="53" t="s">
        <v>112</v>
      </c>
      <c r="BM26" s="53" t="s">
        <v>112</v>
      </c>
    </row>
    <row r="27" spans="1:65" ht="15" customHeight="1" x14ac:dyDescent="0.25">
      <c r="A27" s="53" t="s">
        <v>123</v>
      </c>
      <c r="B27" s="53" t="s">
        <v>112</v>
      </c>
      <c r="C27" s="53" t="s">
        <v>112</v>
      </c>
      <c r="D27" s="53" t="s">
        <v>112</v>
      </c>
      <c r="E27" s="53" t="s">
        <v>112</v>
      </c>
      <c r="F27" s="53" t="s">
        <v>112</v>
      </c>
      <c r="G27" s="53" t="s">
        <v>112</v>
      </c>
      <c r="H27" s="53" t="s">
        <v>112</v>
      </c>
      <c r="I27" s="53" t="s">
        <v>112</v>
      </c>
      <c r="J27" s="53" t="s">
        <v>112</v>
      </c>
      <c r="K27" s="53" t="s">
        <v>112</v>
      </c>
      <c r="L27" s="53" t="s">
        <v>112</v>
      </c>
      <c r="M27" s="53" t="s">
        <v>112</v>
      </c>
      <c r="N27" s="53" t="s">
        <v>112</v>
      </c>
      <c r="O27" s="53" t="s">
        <v>112</v>
      </c>
      <c r="P27" s="53" t="s">
        <v>112</v>
      </c>
      <c r="Q27" s="53" t="s">
        <v>112</v>
      </c>
      <c r="R27" s="53" t="s">
        <v>112</v>
      </c>
      <c r="S27" s="53">
        <v>0</v>
      </c>
      <c r="T27" s="53" t="s">
        <v>112</v>
      </c>
      <c r="U27" s="53">
        <v>6</v>
      </c>
      <c r="V27" s="53" t="s">
        <v>112</v>
      </c>
      <c r="W27" s="53" t="s">
        <v>112</v>
      </c>
      <c r="X27" s="53" t="s">
        <v>112</v>
      </c>
      <c r="Y27" s="53">
        <v>0</v>
      </c>
      <c r="Z27" s="53" t="s">
        <v>112</v>
      </c>
      <c r="AA27" s="53" t="s">
        <v>112</v>
      </c>
      <c r="AB27" s="53" t="s">
        <v>112</v>
      </c>
      <c r="AC27" s="53" t="s">
        <v>112</v>
      </c>
      <c r="AD27" s="53" t="s">
        <v>112</v>
      </c>
      <c r="AE27" s="53" t="s">
        <v>112</v>
      </c>
      <c r="AF27" s="53" t="s">
        <v>112</v>
      </c>
      <c r="AG27" s="53" t="s">
        <v>112</v>
      </c>
      <c r="AH27" s="53" t="s">
        <v>112</v>
      </c>
      <c r="AI27" s="53">
        <v>0</v>
      </c>
      <c r="AJ27" s="53" t="s">
        <v>112</v>
      </c>
      <c r="AK27" s="53" t="s">
        <v>112</v>
      </c>
      <c r="AL27" s="53" t="s">
        <v>112</v>
      </c>
      <c r="AM27" s="53">
        <v>0</v>
      </c>
      <c r="AN27" s="53" t="s">
        <v>112</v>
      </c>
      <c r="AO27" s="53">
        <v>0</v>
      </c>
      <c r="AP27" s="53" t="s">
        <v>112</v>
      </c>
      <c r="AQ27" s="53" t="s">
        <v>112</v>
      </c>
      <c r="AR27" s="53" t="s">
        <v>112</v>
      </c>
      <c r="AS27" s="53" t="s">
        <v>112</v>
      </c>
      <c r="AT27" s="53" t="s">
        <v>112</v>
      </c>
      <c r="AU27" s="53" t="s">
        <v>112</v>
      </c>
      <c r="AV27" s="53" t="s">
        <v>112</v>
      </c>
      <c r="AW27" s="53" t="s">
        <v>112</v>
      </c>
      <c r="AX27" s="53" t="s">
        <v>112</v>
      </c>
      <c r="AY27" s="53" t="s">
        <v>112</v>
      </c>
      <c r="AZ27" s="53" t="s">
        <v>112</v>
      </c>
      <c r="BA27" s="53">
        <v>8</v>
      </c>
      <c r="BB27" s="53" t="s">
        <v>112</v>
      </c>
      <c r="BC27" s="53">
        <v>1</v>
      </c>
      <c r="BD27" s="53" t="s">
        <v>112</v>
      </c>
      <c r="BE27" s="53">
        <v>0</v>
      </c>
      <c r="BF27" s="53" t="s">
        <v>112</v>
      </c>
      <c r="BG27" s="53" t="s">
        <v>112</v>
      </c>
      <c r="BH27" s="53" t="s">
        <v>112</v>
      </c>
      <c r="BI27" s="53" t="s">
        <v>112</v>
      </c>
      <c r="BJ27" s="53" t="s">
        <v>112</v>
      </c>
      <c r="BK27" s="53" t="s">
        <v>112</v>
      </c>
      <c r="BL27" s="53" t="s">
        <v>112</v>
      </c>
      <c r="BM27" s="53" t="s">
        <v>112</v>
      </c>
    </row>
    <row r="28" spans="1:65" ht="15" customHeight="1" x14ac:dyDescent="0.25">
      <c r="A28" s="53" t="s">
        <v>122</v>
      </c>
      <c r="B28" s="53" t="s">
        <v>112</v>
      </c>
      <c r="C28" s="53" t="s">
        <v>112</v>
      </c>
      <c r="D28" s="53" t="s">
        <v>112</v>
      </c>
      <c r="E28" s="53" t="s">
        <v>112</v>
      </c>
      <c r="F28" s="53" t="s">
        <v>112</v>
      </c>
      <c r="G28" s="53" t="s">
        <v>112</v>
      </c>
      <c r="H28" s="53" t="s">
        <v>112</v>
      </c>
      <c r="I28" s="53" t="s">
        <v>112</v>
      </c>
      <c r="J28" s="53" t="s">
        <v>112</v>
      </c>
      <c r="K28" s="53" t="s">
        <v>112</v>
      </c>
      <c r="L28" s="53" t="s">
        <v>112</v>
      </c>
      <c r="M28" s="53" t="s">
        <v>112</v>
      </c>
      <c r="N28" s="53" t="s">
        <v>112</v>
      </c>
      <c r="O28" s="53" t="s">
        <v>112</v>
      </c>
      <c r="P28" s="53" t="s">
        <v>112</v>
      </c>
      <c r="Q28" s="53" t="s">
        <v>112</v>
      </c>
      <c r="R28" s="53" t="s">
        <v>112</v>
      </c>
      <c r="S28" s="53">
        <v>0</v>
      </c>
      <c r="T28" s="53" t="s">
        <v>112</v>
      </c>
      <c r="U28" s="53">
        <v>0</v>
      </c>
      <c r="V28" s="53" t="s">
        <v>112</v>
      </c>
      <c r="W28" s="53" t="s">
        <v>112</v>
      </c>
      <c r="X28" s="53" t="s">
        <v>112</v>
      </c>
      <c r="Y28" s="53">
        <v>0</v>
      </c>
      <c r="Z28" s="53" t="s">
        <v>112</v>
      </c>
      <c r="AA28" s="53" t="s">
        <v>112</v>
      </c>
      <c r="AB28" s="53" t="s">
        <v>112</v>
      </c>
      <c r="AC28" s="53" t="s">
        <v>112</v>
      </c>
      <c r="AD28" s="53" t="s">
        <v>112</v>
      </c>
      <c r="AE28" s="53" t="s">
        <v>112</v>
      </c>
      <c r="AF28" s="53" t="s">
        <v>112</v>
      </c>
      <c r="AG28" s="53" t="s">
        <v>112</v>
      </c>
      <c r="AH28" s="53" t="s">
        <v>112</v>
      </c>
      <c r="AI28" s="53">
        <v>0</v>
      </c>
      <c r="AJ28" s="53" t="s">
        <v>112</v>
      </c>
      <c r="AK28" s="53" t="s">
        <v>112</v>
      </c>
      <c r="AL28" s="53" t="s">
        <v>112</v>
      </c>
      <c r="AM28" s="53">
        <v>0</v>
      </c>
      <c r="AN28" s="53" t="s">
        <v>112</v>
      </c>
      <c r="AO28" s="53">
        <v>0</v>
      </c>
      <c r="AP28" s="53" t="s">
        <v>112</v>
      </c>
      <c r="AQ28" s="53" t="s">
        <v>112</v>
      </c>
      <c r="AR28" s="53" t="s">
        <v>112</v>
      </c>
      <c r="AS28" s="53" t="s">
        <v>112</v>
      </c>
      <c r="AT28" s="53" t="s">
        <v>112</v>
      </c>
      <c r="AU28" s="53" t="s">
        <v>112</v>
      </c>
      <c r="AV28" s="53" t="s">
        <v>112</v>
      </c>
      <c r="AW28" s="53" t="s">
        <v>112</v>
      </c>
      <c r="AX28" s="53" t="s">
        <v>112</v>
      </c>
      <c r="AY28" s="53" t="s">
        <v>112</v>
      </c>
      <c r="AZ28" s="53" t="s">
        <v>112</v>
      </c>
      <c r="BA28" s="53">
        <v>0</v>
      </c>
      <c r="BB28" s="53" t="s">
        <v>112</v>
      </c>
      <c r="BC28" s="53">
        <v>0</v>
      </c>
      <c r="BD28" s="53" t="s">
        <v>112</v>
      </c>
      <c r="BE28" s="53">
        <v>0</v>
      </c>
      <c r="BF28" s="53" t="s">
        <v>112</v>
      </c>
      <c r="BG28" s="53" t="s">
        <v>112</v>
      </c>
      <c r="BH28" s="53" t="s">
        <v>112</v>
      </c>
      <c r="BI28" s="53" t="s">
        <v>112</v>
      </c>
      <c r="BJ28" s="53" t="s">
        <v>112</v>
      </c>
      <c r="BK28" s="53" t="s">
        <v>112</v>
      </c>
      <c r="BL28" s="53" t="s">
        <v>112</v>
      </c>
      <c r="BM28" s="53" t="s">
        <v>112</v>
      </c>
    </row>
    <row r="29" spans="1:65" ht="15" customHeight="1" x14ac:dyDescent="0.25">
      <c r="A29" s="53" t="s">
        <v>121</v>
      </c>
      <c r="B29" s="53" t="s">
        <v>112</v>
      </c>
      <c r="C29" s="53" t="s">
        <v>112</v>
      </c>
      <c r="D29" s="53" t="s">
        <v>112</v>
      </c>
      <c r="E29" s="53" t="s">
        <v>112</v>
      </c>
      <c r="F29" s="53" t="s">
        <v>112</v>
      </c>
      <c r="G29" s="53" t="s">
        <v>112</v>
      </c>
      <c r="H29" s="53" t="s">
        <v>112</v>
      </c>
      <c r="I29" s="53" t="s">
        <v>112</v>
      </c>
      <c r="J29" s="53" t="s">
        <v>112</v>
      </c>
      <c r="K29" s="53" t="s">
        <v>112</v>
      </c>
      <c r="L29" s="53" t="s">
        <v>112</v>
      </c>
      <c r="M29" s="53" t="s">
        <v>112</v>
      </c>
      <c r="N29" s="53" t="s">
        <v>112</v>
      </c>
      <c r="O29" s="53" t="s">
        <v>112</v>
      </c>
      <c r="P29" s="53" t="s">
        <v>112</v>
      </c>
      <c r="Q29" s="53" t="s">
        <v>112</v>
      </c>
      <c r="R29" s="53" t="s">
        <v>112</v>
      </c>
      <c r="S29" s="53">
        <v>0</v>
      </c>
      <c r="T29" s="53" t="s">
        <v>112</v>
      </c>
      <c r="U29" s="53">
        <v>5</v>
      </c>
      <c r="V29" s="53" t="s">
        <v>112</v>
      </c>
      <c r="W29" s="53" t="s">
        <v>112</v>
      </c>
      <c r="X29" s="53" t="s">
        <v>112</v>
      </c>
      <c r="Y29" s="53">
        <v>0</v>
      </c>
      <c r="Z29" s="53" t="s">
        <v>112</v>
      </c>
      <c r="AA29" s="53" t="s">
        <v>112</v>
      </c>
      <c r="AB29" s="53" t="s">
        <v>112</v>
      </c>
      <c r="AC29" s="53" t="s">
        <v>112</v>
      </c>
      <c r="AD29" s="53" t="s">
        <v>112</v>
      </c>
      <c r="AE29" s="53" t="s">
        <v>112</v>
      </c>
      <c r="AF29" s="53" t="s">
        <v>112</v>
      </c>
      <c r="AG29" s="53" t="s">
        <v>112</v>
      </c>
      <c r="AH29" s="53" t="s">
        <v>112</v>
      </c>
      <c r="AI29" s="53">
        <v>0</v>
      </c>
      <c r="AJ29" s="53" t="s">
        <v>112</v>
      </c>
      <c r="AK29" s="53" t="s">
        <v>112</v>
      </c>
      <c r="AL29" s="53" t="s">
        <v>112</v>
      </c>
      <c r="AM29" s="53">
        <v>0</v>
      </c>
      <c r="AN29" s="53" t="s">
        <v>112</v>
      </c>
      <c r="AO29" s="53">
        <v>0</v>
      </c>
      <c r="AP29" s="53" t="s">
        <v>112</v>
      </c>
      <c r="AQ29" s="53" t="s">
        <v>112</v>
      </c>
      <c r="AR29" s="53" t="s">
        <v>112</v>
      </c>
      <c r="AS29" s="53" t="s">
        <v>112</v>
      </c>
      <c r="AT29" s="53" t="s">
        <v>112</v>
      </c>
      <c r="AU29" s="53" t="s">
        <v>112</v>
      </c>
      <c r="AV29" s="53" t="s">
        <v>112</v>
      </c>
      <c r="AW29" s="53" t="s">
        <v>112</v>
      </c>
      <c r="AX29" s="53" t="s">
        <v>112</v>
      </c>
      <c r="AY29" s="53" t="s">
        <v>112</v>
      </c>
      <c r="AZ29" s="53" t="s">
        <v>112</v>
      </c>
      <c r="BA29" s="53">
        <v>10</v>
      </c>
      <c r="BB29" s="53" t="s">
        <v>112</v>
      </c>
      <c r="BC29" s="53">
        <v>0</v>
      </c>
      <c r="BD29" s="53" t="s">
        <v>112</v>
      </c>
      <c r="BE29" s="53">
        <v>0</v>
      </c>
      <c r="BF29" s="53" t="s">
        <v>112</v>
      </c>
      <c r="BG29" s="53" t="s">
        <v>112</v>
      </c>
      <c r="BH29" s="53" t="s">
        <v>112</v>
      </c>
      <c r="BI29" s="53" t="s">
        <v>112</v>
      </c>
      <c r="BJ29" s="53" t="s">
        <v>112</v>
      </c>
      <c r="BK29" s="53" t="s">
        <v>112</v>
      </c>
      <c r="BL29" s="53" t="s">
        <v>112</v>
      </c>
      <c r="BM29" s="53" t="s">
        <v>112</v>
      </c>
    </row>
    <row r="30" spans="1:65" ht="15" customHeight="1" x14ac:dyDescent="0.25">
      <c r="A30" s="53" t="s">
        <v>120</v>
      </c>
      <c r="B30" s="53" t="s">
        <v>112</v>
      </c>
      <c r="C30" s="53" t="s">
        <v>112</v>
      </c>
      <c r="D30" s="53" t="s">
        <v>112</v>
      </c>
      <c r="E30" s="53" t="s">
        <v>112</v>
      </c>
      <c r="F30" s="53" t="s">
        <v>112</v>
      </c>
      <c r="G30" s="53" t="s">
        <v>112</v>
      </c>
      <c r="H30" s="53" t="s">
        <v>112</v>
      </c>
      <c r="I30" s="53" t="s">
        <v>112</v>
      </c>
      <c r="J30" s="53" t="s">
        <v>112</v>
      </c>
      <c r="K30" s="53" t="s">
        <v>112</v>
      </c>
      <c r="L30" s="53" t="s">
        <v>112</v>
      </c>
      <c r="M30" s="53" t="s">
        <v>112</v>
      </c>
      <c r="N30" s="53" t="s">
        <v>112</v>
      </c>
      <c r="O30" s="53" t="s">
        <v>112</v>
      </c>
      <c r="P30" s="53" t="s">
        <v>112</v>
      </c>
      <c r="Q30" s="53" t="s">
        <v>112</v>
      </c>
      <c r="R30" s="53" t="s">
        <v>112</v>
      </c>
      <c r="S30" s="53">
        <v>0</v>
      </c>
      <c r="T30" s="53" t="s">
        <v>112</v>
      </c>
      <c r="U30" s="53">
        <v>6</v>
      </c>
      <c r="V30" s="53" t="s">
        <v>112</v>
      </c>
      <c r="W30" s="53" t="s">
        <v>112</v>
      </c>
      <c r="X30" s="53" t="s">
        <v>112</v>
      </c>
      <c r="Y30" s="53">
        <v>0</v>
      </c>
      <c r="Z30" s="53" t="s">
        <v>112</v>
      </c>
      <c r="AA30" s="53" t="s">
        <v>112</v>
      </c>
      <c r="AB30" s="53" t="s">
        <v>112</v>
      </c>
      <c r="AC30" s="53" t="s">
        <v>112</v>
      </c>
      <c r="AD30" s="53" t="s">
        <v>112</v>
      </c>
      <c r="AE30" s="53" t="s">
        <v>112</v>
      </c>
      <c r="AF30" s="53" t="s">
        <v>112</v>
      </c>
      <c r="AG30" s="53" t="s">
        <v>112</v>
      </c>
      <c r="AH30" s="53" t="s">
        <v>112</v>
      </c>
      <c r="AI30" s="53">
        <v>0</v>
      </c>
      <c r="AJ30" s="53" t="s">
        <v>112</v>
      </c>
      <c r="AK30" s="53" t="s">
        <v>112</v>
      </c>
      <c r="AL30" s="53" t="s">
        <v>112</v>
      </c>
      <c r="AM30" s="53">
        <v>0</v>
      </c>
      <c r="AN30" s="53" t="s">
        <v>112</v>
      </c>
      <c r="AO30" s="53">
        <v>0</v>
      </c>
      <c r="AP30" s="53" t="s">
        <v>112</v>
      </c>
      <c r="AQ30" s="53" t="s">
        <v>112</v>
      </c>
      <c r="AR30" s="53" t="s">
        <v>112</v>
      </c>
      <c r="AS30" s="53" t="s">
        <v>112</v>
      </c>
      <c r="AT30" s="53" t="s">
        <v>112</v>
      </c>
      <c r="AU30" s="53" t="s">
        <v>112</v>
      </c>
      <c r="AV30" s="53" t="s">
        <v>112</v>
      </c>
      <c r="AW30" s="53" t="s">
        <v>112</v>
      </c>
      <c r="AX30" s="53" t="s">
        <v>112</v>
      </c>
      <c r="AY30" s="53" t="s">
        <v>112</v>
      </c>
      <c r="AZ30" s="53" t="s">
        <v>112</v>
      </c>
      <c r="BA30" s="53">
        <v>2</v>
      </c>
      <c r="BB30" s="53" t="s">
        <v>112</v>
      </c>
      <c r="BC30" s="53">
        <v>0</v>
      </c>
      <c r="BD30" s="53" t="s">
        <v>112</v>
      </c>
      <c r="BE30" s="53">
        <v>0</v>
      </c>
      <c r="BF30" s="53" t="s">
        <v>112</v>
      </c>
      <c r="BG30" s="53" t="s">
        <v>112</v>
      </c>
      <c r="BH30" s="53" t="s">
        <v>112</v>
      </c>
      <c r="BI30" s="53" t="s">
        <v>112</v>
      </c>
      <c r="BJ30" s="53" t="s">
        <v>112</v>
      </c>
      <c r="BK30" s="53" t="s">
        <v>112</v>
      </c>
      <c r="BL30" s="53" t="s">
        <v>112</v>
      </c>
      <c r="BM30" s="53" t="s">
        <v>112</v>
      </c>
    </row>
    <row r="31" spans="1:65" ht="15" customHeight="1" x14ac:dyDescent="0.25">
      <c r="A31" s="53" t="s">
        <v>119</v>
      </c>
      <c r="B31" s="53" t="s">
        <v>112</v>
      </c>
      <c r="C31" s="53" t="s">
        <v>112</v>
      </c>
      <c r="D31" s="53" t="s">
        <v>112</v>
      </c>
      <c r="E31" s="53" t="s">
        <v>112</v>
      </c>
      <c r="F31" s="53" t="s">
        <v>112</v>
      </c>
      <c r="G31" s="53" t="s">
        <v>112</v>
      </c>
      <c r="H31" s="53" t="s">
        <v>112</v>
      </c>
      <c r="I31" s="53" t="s">
        <v>112</v>
      </c>
      <c r="J31" s="53" t="s">
        <v>112</v>
      </c>
      <c r="K31" s="53" t="s">
        <v>112</v>
      </c>
      <c r="L31" s="53" t="s">
        <v>112</v>
      </c>
      <c r="M31" s="53" t="s">
        <v>112</v>
      </c>
      <c r="N31" s="53" t="s">
        <v>112</v>
      </c>
      <c r="O31" s="53" t="s">
        <v>112</v>
      </c>
      <c r="P31" s="53" t="s">
        <v>112</v>
      </c>
      <c r="Q31" s="53" t="s">
        <v>112</v>
      </c>
      <c r="R31" s="53" t="s">
        <v>112</v>
      </c>
      <c r="S31" s="53">
        <v>0</v>
      </c>
      <c r="T31" s="53" t="s">
        <v>112</v>
      </c>
      <c r="U31" s="53">
        <v>8</v>
      </c>
      <c r="V31" s="53" t="s">
        <v>112</v>
      </c>
      <c r="W31" s="53" t="s">
        <v>112</v>
      </c>
      <c r="X31" s="53" t="s">
        <v>112</v>
      </c>
      <c r="Y31" s="53">
        <v>0</v>
      </c>
      <c r="Z31" s="53" t="s">
        <v>112</v>
      </c>
      <c r="AA31" s="53" t="s">
        <v>112</v>
      </c>
      <c r="AB31" s="53" t="s">
        <v>112</v>
      </c>
      <c r="AC31" s="53" t="s">
        <v>112</v>
      </c>
      <c r="AD31" s="53" t="s">
        <v>112</v>
      </c>
      <c r="AE31" s="53" t="s">
        <v>112</v>
      </c>
      <c r="AF31" s="53" t="s">
        <v>112</v>
      </c>
      <c r="AG31" s="53" t="s">
        <v>112</v>
      </c>
      <c r="AH31" s="53" t="s">
        <v>112</v>
      </c>
      <c r="AI31" s="53">
        <v>0</v>
      </c>
      <c r="AJ31" s="53" t="s">
        <v>112</v>
      </c>
      <c r="AK31" s="53" t="s">
        <v>112</v>
      </c>
      <c r="AL31" s="53" t="s">
        <v>112</v>
      </c>
      <c r="AM31" s="53">
        <v>0</v>
      </c>
      <c r="AN31" s="53" t="s">
        <v>112</v>
      </c>
      <c r="AO31" s="53">
        <v>0</v>
      </c>
      <c r="AP31" s="53" t="s">
        <v>112</v>
      </c>
      <c r="AQ31" s="53" t="s">
        <v>112</v>
      </c>
      <c r="AR31" s="53" t="s">
        <v>112</v>
      </c>
      <c r="AS31" s="53" t="s">
        <v>112</v>
      </c>
      <c r="AT31" s="53" t="s">
        <v>112</v>
      </c>
      <c r="AU31" s="53" t="s">
        <v>112</v>
      </c>
      <c r="AV31" s="53" t="s">
        <v>112</v>
      </c>
      <c r="AW31" s="53" t="s">
        <v>112</v>
      </c>
      <c r="AX31" s="53" t="s">
        <v>112</v>
      </c>
      <c r="AY31" s="53" t="s">
        <v>112</v>
      </c>
      <c r="AZ31" s="53" t="s">
        <v>112</v>
      </c>
      <c r="BA31" s="53">
        <v>5</v>
      </c>
      <c r="BB31" s="53" t="s">
        <v>112</v>
      </c>
      <c r="BC31" s="53">
        <v>0</v>
      </c>
      <c r="BD31" s="53" t="s">
        <v>112</v>
      </c>
      <c r="BE31" s="53">
        <v>0</v>
      </c>
      <c r="BF31" s="53" t="s">
        <v>112</v>
      </c>
      <c r="BG31" s="53" t="s">
        <v>112</v>
      </c>
      <c r="BH31" s="53" t="s">
        <v>112</v>
      </c>
      <c r="BI31" s="53" t="s">
        <v>112</v>
      </c>
      <c r="BJ31" s="53" t="s">
        <v>112</v>
      </c>
      <c r="BK31" s="53" t="s">
        <v>112</v>
      </c>
      <c r="BL31" s="53" t="s">
        <v>112</v>
      </c>
      <c r="BM31" s="53" t="s">
        <v>112</v>
      </c>
    </row>
    <row r="32" spans="1:65" ht="15" customHeight="1" x14ac:dyDescent="0.25">
      <c r="A32" s="53" t="s">
        <v>118</v>
      </c>
      <c r="B32" s="53" t="s">
        <v>112</v>
      </c>
      <c r="C32" s="53" t="s">
        <v>112</v>
      </c>
      <c r="D32" s="53" t="s">
        <v>112</v>
      </c>
      <c r="E32" s="53" t="s">
        <v>112</v>
      </c>
      <c r="F32" s="53" t="s">
        <v>112</v>
      </c>
      <c r="G32" s="53" t="s">
        <v>112</v>
      </c>
      <c r="H32" s="53" t="s">
        <v>112</v>
      </c>
      <c r="I32" s="53" t="s">
        <v>112</v>
      </c>
      <c r="J32" s="53" t="s">
        <v>112</v>
      </c>
      <c r="K32" s="53" t="s">
        <v>112</v>
      </c>
      <c r="L32" s="53" t="s">
        <v>112</v>
      </c>
      <c r="M32" s="53" t="s">
        <v>112</v>
      </c>
      <c r="N32" s="53" t="s">
        <v>112</v>
      </c>
      <c r="O32" s="53" t="s">
        <v>112</v>
      </c>
      <c r="P32" s="53" t="s">
        <v>112</v>
      </c>
      <c r="Q32" s="53" t="s">
        <v>112</v>
      </c>
      <c r="R32" s="53" t="s">
        <v>112</v>
      </c>
      <c r="S32" s="53">
        <v>0</v>
      </c>
      <c r="T32" s="53" t="s">
        <v>112</v>
      </c>
      <c r="U32" s="53">
        <v>4</v>
      </c>
      <c r="V32" s="53" t="s">
        <v>112</v>
      </c>
      <c r="W32" s="53" t="s">
        <v>112</v>
      </c>
      <c r="X32" s="53" t="s">
        <v>112</v>
      </c>
      <c r="Y32" s="53">
        <v>0</v>
      </c>
      <c r="Z32" s="53" t="s">
        <v>112</v>
      </c>
      <c r="AA32" s="53" t="s">
        <v>112</v>
      </c>
      <c r="AB32" s="53" t="s">
        <v>112</v>
      </c>
      <c r="AC32" s="53" t="s">
        <v>112</v>
      </c>
      <c r="AD32" s="53" t="s">
        <v>112</v>
      </c>
      <c r="AE32" s="53" t="s">
        <v>112</v>
      </c>
      <c r="AF32" s="53" t="s">
        <v>112</v>
      </c>
      <c r="AG32" s="53" t="s">
        <v>112</v>
      </c>
      <c r="AH32" s="53" t="s">
        <v>112</v>
      </c>
      <c r="AI32" s="53">
        <v>0</v>
      </c>
      <c r="AJ32" s="53" t="s">
        <v>112</v>
      </c>
      <c r="AK32" s="53" t="s">
        <v>112</v>
      </c>
      <c r="AL32" s="53" t="s">
        <v>112</v>
      </c>
      <c r="AM32" s="53">
        <v>0</v>
      </c>
      <c r="AN32" s="53" t="s">
        <v>112</v>
      </c>
      <c r="AO32" s="53">
        <v>0</v>
      </c>
      <c r="AP32" s="53" t="s">
        <v>112</v>
      </c>
      <c r="AQ32" s="53" t="s">
        <v>112</v>
      </c>
      <c r="AR32" s="53" t="s">
        <v>112</v>
      </c>
      <c r="AS32" s="53" t="s">
        <v>112</v>
      </c>
      <c r="AT32" s="53" t="s">
        <v>112</v>
      </c>
      <c r="AU32" s="53" t="s">
        <v>112</v>
      </c>
      <c r="AV32" s="53" t="s">
        <v>112</v>
      </c>
      <c r="AW32" s="53" t="s">
        <v>112</v>
      </c>
      <c r="AX32" s="53" t="s">
        <v>112</v>
      </c>
      <c r="AY32" s="53" t="s">
        <v>112</v>
      </c>
      <c r="AZ32" s="53" t="s">
        <v>112</v>
      </c>
      <c r="BA32" s="53">
        <v>4</v>
      </c>
      <c r="BB32" s="53" t="s">
        <v>112</v>
      </c>
      <c r="BC32" s="53">
        <v>0</v>
      </c>
      <c r="BD32" s="53" t="s">
        <v>112</v>
      </c>
      <c r="BE32" s="53">
        <v>0</v>
      </c>
      <c r="BF32" s="53" t="s">
        <v>112</v>
      </c>
      <c r="BG32" s="53" t="s">
        <v>112</v>
      </c>
      <c r="BH32" s="53" t="s">
        <v>112</v>
      </c>
      <c r="BI32" s="53" t="s">
        <v>112</v>
      </c>
      <c r="BJ32" s="53" t="s">
        <v>112</v>
      </c>
      <c r="BK32" s="53" t="s">
        <v>112</v>
      </c>
      <c r="BL32" s="53" t="s">
        <v>112</v>
      </c>
      <c r="BM32" s="53" t="s">
        <v>112</v>
      </c>
    </row>
    <row r="33" spans="1:65" ht="15" customHeight="1" x14ac:dyDescent="0.25">
      <c r="A33" s="53" t="s">
        <v>117</v>
      </c>
      <c r="B33" s="53" t="s">
        <v>112</v>
      </c>
      <c r="C33" s="53" t="s">
        <v>112</v>
      </c>
      <c r="D33" s="53" t="s">
        <v>112</v>
      </c>
      <c r="E33" s="53" t="s">
        <v>112</v>
      </c>
      <c r="F33" s="53" t="s">
        <v>112</v>
      </c>
      <c r="G33" s="53" t="s">
        <v>112</v>
      </c>
      <c r="H33" s="53" t="s">
        <v>112</v>
      </c>
      <c r="I33" s="53" t="s">
        <v>112</v>
      </c>
      <c r="J33" s="53" t="s">
        <v>112</v>
      </c>
      <c r="K33" s="53" t="s">
        <v>112</v>
      </c>
      <c r="L33" s="53" t="s">
        <v>112</v>
      </c>
      <c r="M33" s="53" t="s">
        <v>112</v>
      </c>
      <c r="N33" s="53" t="s">
        <v>112</v>
      </c>
      <c r="O33" s="53" t="s">
        <v>112</v>
      </c>
      <c r="P33" s="53" t="s">
        <v>112</v>
      </c>
      <c r="Q33" s="53" t="s">
        <v>112</v>
      </c>
      <c r="R33" s="53" t="s">
        <v>112</v>
      </c>
      <c r="S33" s="53">
        <v>0</v>
      </c>
      <c r="T33" s="53" t="s">
        <v>112</v>
      </c>
      <c r="U33" s="53">
        <v>2</v>
      </c>
      <c r="V33" s="53" t="s">
        <v>112</v>
      </c>
      <c r="W33" s="53" t="s">
        <v>112</v>
      </c>
      <c r="X33" s="53" t="s">
        <v>112</v>
      </c>
      <c r="Y33" s="53">
        <v>0</v>
      </c>
      <c r="Z33" s="53" t="s">
        <v>112</v>
      </c>
      <c r="AA33" s="53" t="s">
        <v>112</v>
      </c>
      <c r="AB33" s="53" t="s">
        <v>112</v>
      </c>
      <c r="AC33" s="53" t="s">
        <v>112</v>
      </c>
      <c r="AD33" s="53" t="s">
        <v>112</v>
      </c>
      <c r="AE33" s="53" t="s">
        <v>112</v>
      </c>
      <c r="AF33" s="53" t="s">
        <v>112</v>
      </c>
      <c r="AG33" s="53" t="s">
        <v>112</v>
      </c>
      <c r="AH33" s="53" t="s">
        <v>112</v>
      </c>
      <c r="AI33" s="53">
        <v>0</v>
      </c>
      <c r="AJ33" s="53" t="s">
        <v>112</v>
      </c>
      <c r="AK33" s="53" t="s">
        <v>112</v>
      </c>
      <c r="AL33" s="53" t="s">
        <v>112</v>
      </c>
      <c r="AM33" s="53">
        <v>0</v>
      </c>
      <c r="AN33" s="53" t="s">
        <v>112</v>
      </c>
      <c r="AO33" s="53">
        <v>0</v>
      </c>
      <c r="AP33" s="53" t="s">
        <v>112</v>
      </c>
      <c r="AQ33" s="53" t="s">
        <v>112</v>
      </c>
      <c r="AR33" s="53" t="s">
        <v>112</v>
      </c>
      <c r="AS33" s="53" t="s">
        <v>112</v>
      </c>
      <c r="AT33" s="53" t="s">
        <v>112</v>
      </c>
      <c r="AU33" s="53" t="s">
        <v>112</v>
      </c>
      <c r="AV33" s="53" t="s">
        <v>112</v>
      </c>
      <c r="AW33" s="53" t="s">
        <v>112</v>
      </c>
      <c r="AX33" s="53" t="s">
        <v>112</v>
      </c>
      <c r="AY33" s="53" t="s">
        <v>112</v>
      </c>
      <c r="AZ33" s="53" t="s">
        <v>112</v>
      </c>
      <c r="BA33" s="53">
        <v>5</v>
      </c>
      <c r="BB33" s="53" t="s">
        <v>112</v>
      </c>
      <c r="BC33" s="53">
        <v>0</v>
      </c>
      <c r="BD33" s="53" t="s">
        <v>112</v>
      </c>
      <c r="BE33" s="53">
        <v>0</v>
      </c>
      <c r="BF33" s="53" t="s">
        <v>112</v>
      </c>
      <c r="BG33" s="53" t="s">
        <v>112</v>
      </c>
      <c r="BH33" s="53" t="s">
        <v>112</v>
      </c>
      <c r="BI33" s="53" t="s">
        <v>112</v>
      </c>
      <c r="BJ33" s="53" t="s">
        <v>112</v>
      </c>
      <c r="BK33" s="53" t="s">
        <v>112</v>
      </c>
      <c r="BL33" s="53" t="s">
        <v>112</v>
      </c>
      <c r="BM33" s="53" t="s">
        <v>112</v>
      </c>
    </row>
    <row r="34" spans="1:65" ht="15" customHeight="1" x14ac:dyDescent="0.25">
      <c r="A34" s="53" t="s">
        <v>116</v>
      </c>
      <c r="B34" s="53" t="s">
        <v>112</v>
      </c>
      <c r="C34" s="53" t="s">
        <v>112</v>
      </c>
      <c r="D34" s="53" t="s">
        <v>112</v>
      </c>
      <c r="E34" s="53" t="s">
        <v>112</v>
      </c>
      <c r="F34" s="53" t="s">
        <v>112</v>
      </c>
      <c r="G34" s="53" t="s">
        <v>112</v>
      </c>
      <c r="H34" s="53" t="s">
        <v>112</v>
      </c>
      <c r="I34" s="53" t="s">
        <v>112</v>
      </c>
      <c r="J34" s="53" t="s">
        <v>112</v>
      </c>
      <c r="K34" s="53" t="s">
        <v>112</v>
      </c>
      <c r="L34" s="53" t="s">
        <v>112</v>
      </c>
      <c r="M34" s="53" t="s">
        <v>112</v>
      </c>
      <c r="N34" s="53" t="s">
        <v>112</v>
      </c>
      <c r="O34" s="53" t="s">
        <v>112</v>
      </c>
      <c r="P34" s="53" t="s">
        <v>112</v>
      </c>
      <c r="Q34" s="53" t="s">
        <v>112</v>
      </c>
      <c r="R34" s="53" t="s">
        <v>112</v>
      </c>
      <c r="S34" s="53">
        <v>0</v>
      </c>
      <c r="T34" s="53" t="s">
        <v>112</v>
      </c>
      <c r="U34" s="53">
        <v>4</v>
      </c>
      <c r="V34" s="53" t="s">
        <v>112</v>
      </c>
      <c r="W34" s="53" t="s">
        <v>112</v>
      </c>
      <c r="X34" s="53" t="s">
        <v>112</v>
      </c>
      <c r="Y34" s="53">
        <v>0</v>
      </c>
      <c r="Z34" s="53" t="s">
        <v>112</v>
      </c>
      <c r="AA34" s="53" t="s">
        <v>112</v>
      </c>
      <c r="AB34" s="53" t="s">
        <v>112</v>
      </c>
      <c r="AC34" s="53" t="s">
        <v>112</v>
      </c>
      <c r="AD34" s="53" t="s">
        <v>112</v>
      </c>
      <c r="AE34" s="53" t="s">
        <v>112</v>
      </c>
      <c r="AF34" s="53" t="s">
        <v>112</v>
      </c>
      <c r="AG34" s="53" t="s">
        <v>112</v>
      </c>
      <c r="AH34" s="53" t="s">
        <v>112</v>
      </c>
      <c r="AI34" s="53">
        <v>0</v>
      </c>
      <c r="AJ34" s="53" t="s">
        <v>112</v>
      </c>
      <c r="AK34" s="53" t="s">
        <v>112</v>
      </c>
      <c r="AL34" s="53" t="s">
        <v>112</v>
      </c>
      <c r="AM34" s="53">
        <v>0</v>
      </c>
      <c r="AN34" s="53" t="s">
        <v>112</v>
      </c>
      <c r="AO34" s="53">
        <v>0</v>
      </c>
      <c r="AP34" s="53" t="s">
        <v>112</v>
      </c>
      <c r="AQ34" s="53" t="s">
        <v>112</v>
      </c>
      <c r="AR34" s="53" t="s">
        <v>112</v>
      </c>
      <c r="AS34" s="53" t="s">
        <v>112</v>
      </c>
      <c r="AT34" s="53" t="s">
        <v>112</v>
      </c>
      <c r="AU34" s="53" t="s">
        <v>112</v>
      </c>
      <c r="AV34" s="53" t="s">
        <v>112</v>
      </c>
      <c r="AW34" s="53" t="s">
        <v>112</v>
      </c>
      <c r="AX34" s="53" t="s">
        <v>112</v>
      </c>
      <c r="AY34" s="53" t="s">
        <v>112</v>
      </c>
      <c r="AZ34" s="53" t="s">
        <v>112</v>
      </c>
      <c r="BA34" s="53">
        <v>1</v>
      </c>
      <c r="BB34" s="53" t="s">
        <v>112</v>
      </c>
      <c r="BC34" s="53">
        <v>0</v>
      </c>
      <c r="BD34" s="53" t="s">
        <v>112</v>
      </c>
      <c r="BE34" s="53">
        <v>0</v>
      </c>
      <c r="BF34" s="53" t="s">
        <v>112</v>
      </c>
      <c r="BG34" s="53" t="s">
        <v>112</v>
      </c>
      <c r="BH34" s="53" t="s">
        <v>112</v>
      </c>
      <c r="BI34" s="53" t="s">
        <v>112</v>
      </c>
      <c r="BJ34" s="53" t="s">
        <v>112</v>
      </c>
      <c r="BK34" s="53" t="s">
        <v>112</v>
      </c>
      <c r="BL34" s="53" t="s">
        <v>112</v>
      </c>
      <c r="BM34" s="53" t="s">
        <v>112</v>
      </c>
    </row>
    <row r="35" spans="1:65" ht="15" customHeight="1" x14ac:dyDescent="0.25">
      <c r="A35" s="53" t="s">
        <v>115</v>
      </c>
      <c r="B35" s="53" t="s">
        <v>112</v>
      </c>
      <c r="C35" s="53" t="s">
        <v>112</v>
      </c>
      <c r="D35" s="53" t="s">
        <v>112</v>
      </c>
      <c r="E35" s="53" t="s">
        <v>112</v>
      </c>
      <c r="F35" s="53" t="s">
        <v>112</v>
      </c>
      <c r="G35" s="53" t="s">
        <v>112</v>
      </c>
      <c r="H35" s="53" t="s">
        <v>112</v>
      </c>
      <c r="I35" s="53" t="s">
        <v>112</v>
      </c>
      <c r="J35" s="53" t="s">
        <v>112</v>
      </c>
      <c r="K35" s="53" t="s">
        <v>112</v>
      </c>
      <c r="L35" s="53" t="s">
        <v>112</v>
      </c>
      <c r="M35" s="53" t="s">
        <v>112</v>
      </c>
      <c r="N35" s="53" t="s">
        <v>112</v>
      </c>
      <c r="O35" s="53" t="s">
        <v>112</v>
      </c>
      <c r="P35" s="53" t="s">
        <v>112</v>
      </c>
      <c r="Q35" s="53" t="s">
        <v>112</v>
      </c>
      <c r="R35" s="53" t="s">
        <v>112</v>
      </c>
      <c r="S35" s="53">
        <v>0</v>
      </c>
      <c r="T35" s="53" t="s">
        <v>112</v>
      </c>
      <c r="U35" s="53">
        <v>5</v>
      </c>
      <c r="V35" s="53" t="s">
        <v>112</v>
      </c>
      <c r="W35" s="53" t="s">
        <v>112</v>
      </c>
      <c r="X35" s="53" t="s">
        <v>112</v>
      </c>
      <c r="Y35" s="53">
        <v>0</v>
      </c>
      <c r="Z35" s="53" t="s">
        <v>112</v>
      </c>
      <c r="AA35" s="53" t="s">
        <v>112</v>
      </c>
      <c r="AB35" s="53" t="s">
        <v>112</v>
      </c>
      <c r="AC35" s="53" t="s">
        <v>112</v>
      </c>
      <c r="AD35" s="53" t="s">
        <v>112</v>
      </c>
      <c r="AE35" s="53" t="s">
        <v>112</v>
      </c>
      <c r="AF35" s="53" t="s">
        <v>112</v>
      </c>
      <c r="AG35" s="53" t="s">
        <v>112</v>
      </c>
      <c r="AH35" s="53" t="s">
        <v>112</v>
      </c>
      <c r="AI35" s="53">
        <v>0</v>
      </c>
      <c r="AJ35" s="53" t="s">
        <v>112</v>
      </c>
      <c r="AK35" s="53" t="s">
        <v>112</v>
      </c>
      <c r="AL35" s="53" t="s">
        <v>112</v>
      </c>
      <c r="AM35" s="53">
        <v>0</v>
      </c>
      <c r="AN35" s="53" t="s">
        <v>112</v>
      </c>
      <c r="AO35" s="53">
        <v>0</v>
      </c>
      <c r="AP35" s="53" t="s">
        <v>112</v>
      </c>
      <c r="AQ35" s="53" t="s">
        <v>112</v>
      </c>
      <c r="AR35" s="53" t="s">
        <v>112</v>
      </c>
      <c r="AS35" s="53" t="s">
        <v>112</v>
      </c>
      <c r="AT35" s="53" t="s">
        <v>112</v>
      </c>
      <c r="AU35" s="53" t="s">
        <v>112</v>
      </c>
      <c r="AV35" s="53" t="s">
        <v>112</v>
      </c>
      <c r="AW35" s="53" t="s">
        <v>112</v>
      </c>
      <c r="AX35" s="53" t="s">
        <v>112</v>
      </c>
      <c r="AY35" s="53" t="s">
        <v>112</v>
      </c>
      <c r="AZ35" s="53" t="s">
        <v>112</v>
      </c>
      <c r="BA35" s="53">
        <v>3</v>
      </c>
      <c r="BB35" s="53" t="s">
        <v>112</v>
      </c>
      <c r="BC35" s="53">
        <v>0</v>
      </c>
      <c r="BD35" s="53" t="s">
        <v>112</v>
      </c>
      <c r="BE35" s="53">
        <v>0</v>
      </c>
      <c r="BF35" s="53" t="s">
        <v>112</v>
      </c>
      <c r="BG35" s="53" t="s">
        <v>112</v>
      </c>
      <c r="BH35" s="53" t="s">
        <v>112</v>
      </c>
      <c r="BI35" s="53" t="s">
        <v>112</v>
      </c>
      <c r="BJ35" s="53" t="s">
        <v>112</v>
      </c>
      <c r="BK35" s="53" t="s">
        <v>112</v>
      </c>
      <c r="BL35" s="53" t="s">
        <v>112</v>
      </c>
      <c r="BM35" s="53" t="s">
        <v>112</v>
      </c>
    </row>
    <row r="36" spans="1:65" ht="15" customHeight="1" x14ac:dyDescent="0.25">
      <c r="A36" s="53" t="s">
        <v>114</v>
      </c>
      <c r="B36" s="53" t="s">
        <v>112</v>
      </c>
      <c r="C36" s="53" t="s">
        <v>112</v>
      </c>
      <c r="D36" s="53" t="s">
        <v>112</v>
      </c>
      <c r="E36" s="53" t="s">
        <v>112</v>
      </c>
      <c r="F36" s="53" t="s">
        <v>112</v>
      </c>
      <c r="G36" s="53" t="s">
        <v>112</v>
      </c>
      <c r="H36" s="53" t="s">
        <v>112</v>
      </c>
      <c r="I36" s="53" t="s">
        <v>112</v>
      </c>
      <c r="J36" s="53" t="s">
        <v>112</v>
      </c>
      <c r="K36" s="53" t="s">
        <v>112</v>
      </c>
      <c r="L36" s="53" t="s">
        <v>112</v>
      </c>
      <c r="M36" s="53" t="s">
        <v>112</v>
      </c>
      <c r="N36" s="53" t="s">
        <v>112</v>
      </c>
      <c r="O36" s="53" t="s">
        <v>112</v>
      </c>
      <c r="P36" s="53" t="s">
        <v>112</v>
      </c>
      <c r="Q36" s="53" t="s">
        <v>112</v>
      </c>
      <c r="R36" s="53" t="s">
        <v>112</v>
      </c>
      <c r="S36" s="53">
        <v>0</v>
      </c>
      <c r="T36" s="53" t="s">
        <v>112</v>
      </c>
      <c r="U36" s="53">
        <v>4</v>
      </c>
      <c r="V36" s="53" t="s">
        <v>112</v>
      </c>
      <c r="W36" s="53" t="s">
        <v>112</v>
      </c>
      <c r="X36" s="53" t="s">
        <v>112</v>
      </c>
      <c r="Y36" s="53">
        <v>0</v>
      </c>
      <c r="Z36" s="53" t="s">
        <v>112</v>
      </c>
      <c r="AA36" s="53" t="s">
        <v>112</v>
      </c>
      <c r="AB36" s="53" t="s">
        <v>112</v>
      </c>
      <c r="AC36" s="53" t="s">
        <v>112</v>
      </c>
      <c r="AD36" s="53" t="s">
        <v>112</v>
      </c>
      <c r="AE36" s="53" t="s">
        <v>112</v>
      </c>
      <c r="AF36" s="53" t="s">
        <v>112</v>
      </c>
      <c r="AG36" s="53" t="s">
        <v>112</v>
      </c>
      <c r="AH36" s="53" t="s">
        <v>112</v>
      </c>
      <c r="AI36" s="53">
        <v>0</v>
      </c>
      <c r="AJ36" s="53" t="s">
        <v>112</v>
      </c>
      <c r="AK36" s="53" t="s">
        <v>112</v>
      </c>
      <c r="AL36" s="53" t="s">
        <v>112</v>
      </c>
      <c r="AM36" s="53">
        <v>0</v>
      </c>
      <c r="AN36" s="53" t="s">
        <v>112</v>
      </c>
      <c r="AO36" s="53">
        <v>0</v>
      </c>
      <c r="AP36" s="53" t="s">
        <v>112</v>
      </c>
      <c r="AQ36" s="53" t="s">
        <v>112</v>
      </c>
      <c r="AR36" s="53" t="s">
        <v>112</v>
      </c>
      <c r="AS36" s="53" t="s">
        <v>112</v>
      </c>
      <c r="AT36" s="53" t="s">
        <v>112</v>
      </c>
      <c r="AU36" s="53" t="s">
        <v>112</v>
      </c>
      <c r="AV36" s="53" t="s">
        <v>112</v>
      </c>
      <c r="AW36" s="53" t="s">
        <v>112</v>
      </c>
      <c r="AX36" s="53" t="s">
        <v>112</v>
      </c>
      <c r="AY36" s="53" t="s">
        <v>112</v>
      </c>
      <c r="AZ36" s="53" t="s">
        <v>112</v>
      </c>
      <c r="BA36" s="53">
        <v>3</v>
      </c>
      <c r="BB36" s="53" t="s">
        <v>112</v>
      </c>
      <c r="BC36" s="53">
        <v>0</v>
      </c>
      <c r="BD36" s="53" t="s">
        <v>112</v>
      </c>
      <c r="BE36" s="53">
        <v>0</v>
      </c>
      <c r="BF36" s="53" t="s">
        <v>112</v>
      </c>
      <c r="BG36" s="53" t="s">
        <v>112</v>
      </c>
      <c r="BH36" s="53" t="s">
        <v>112</v>
      </c>
      <c r="BI36" s="53" t="s">
        <v>112</v>
      </c>
      <c r="BJ36" s="53" t="s">
        <v>112</v>
      </c>
      <c r="BK36" s="53" t="s">
        <v>112</v>
      </c>
      <c r="BL36" s="53" t="s">
        <v>112</v>
      </c>
      <c r="BM36" s="53" t="s">
        <v>112</v>
      </c>
    </row>
    <row r="37" spans="1:65" ht="15" customHeight="1" x14ac:dyDescent="0.25">
      <c r="A37" s="53" t="s">
        <v>113</v>
      </c>
      <c r="B37" s="53" t="s">
        <v>112</v>
      </c>
      <c r="C37" s="53" t="s">
        <v>112</v>
      </c>
      <c r="D37" s="53" t="s">
        <v>112</v>
      </c>
      <c r="E37" s="53" t="s">
        <v>112</v>
      </c>
      <c r="F37" s="53" t="s">
        <v>112</v>
      </c>
      <c r="G37" s="53" t="s">
        <v>112</v>
      </c>
      <c r="H37" s="53" t="s">
        <v>112</v>
      </c>
      <c r="I37" s="53" t="s">
        <v>112</v>
      </c>
      <c r="J37" s="53" t="s">
        <v>112</v>
      </c>
      <c r="K37" s="53" t="s">
        <v>112</v>
      </c>
      <c r="L37" s="53" t="s">
        <v>112</v>
      </c>
      <c r="M37" s="53" t="s">
        <v>112</v>
      </c>
      <c r="N37" s="53" t="s">
        <v>112</v>
      </c>
      <c r="O37" s="53" t="s">
        <v>112</v>
      </c>
      <c r="P37" s="53" t="s">
        <v>112</v>
      </c>
      <c r="Q37" s="53" t="s">
        <v>112</v>
      </c>
      <c r="R37" s="53" t="s">
        <v>112</v>
      </c>
      <c r="S37" s="53">
        <v>0</v>
      </c>
      <c r="T37" s="53" t="s">
        <v>112</v>
      </c>
      <c r="U37" s="53">
        <v>0</v>
      </c>
      <c r="V37" s="53" t="s">
        <v>112</v>
      </c>
      <c r="W37" s="53" t="s">
        <v>112</v>
      </c>
      <c r="X37" s="53" t="s">
        <v>112</v>
      </c>
      <c r="Y37" s="53">
        <v>0</v>
      </c>
      <c r="Z37" s="53" t="s">
        <v>112</v>
      </c>
      <c r="AA37" s="53" t="s">
        <v>112</v>
      </c>
      <c r="AB37" s="53" t="s">
        <v>112</v>
      </c>
      <c r="AC37" s="53" t="s">
        <v>112</v>
      </c>
      <c r="AD37" s="53" t="s">
        <v>112</v>
      </c>
      <c r="AE37" s="53" t="s">
        <v>112</v>
      </c>
      <c r="AF37" s="53" t="s">
        <v>112</v>
      </c>
      <c r="AG37" s="53" t="s">
        <v>112</v>
      </c>
      <c r="AH37" s="53" t="s">
        <v>112</v>
      </c>
      <c r="AI37" s="53">
        <v>0</v>
      </c>
      <c r="AJ37" s="53" t="s">
        <v>112</v>
      </c>
      <c r="AK37" s="53" t="s">
        <v>112</v>
      </c>
      <c r="AL37" s="53" t="s">
        <v>112</v>
      </c>
      <c r="AM37" s="53">
        <v>0</v>
      </c>
      <c r="AN37" s="53" t="s">
        <v>112</v>
      </c>
      <c r="AO37" s="53">
        <v>0</v>
      </c>
      <c r="AP37" s="53" t="s">
        <v>112</v>
      </c>
      <c r="AQ37" s="53" t="s">
        <v>112</v>
      </c>
      <c r="AR37" s="53" t="s">
        <v>112</v>
      </c>
      <c r="AS37" s="53" t="s">
        <v>112</v>
      </c>
      <c r="AT37" s="53" t="s">
        <v>112</v>
      </c>
      <c r="AU37" s="53" t="s">
        <v>112</v>
      </c>
      <c r="AV37" s="53" t="s">
        <v>112</v>
      </c>
      <c r="AW37" s="53" t="s">
        <v>112</v>
      </c>
      <c r="AX37" s="53" t="s">
        <v>112</v>
      </c>
      <c r="AY37" s="53" t="s">
        <v>112</v>
      </c>
      <c r="AZ37" s="53" t="s">
        <v>112</v>
      </c>
      <c r="BA37" s="53">
        <v>0</v>
      </c>
      <c r="BB37" s="53" t="s">
        <v>112</v>
      </c>
      <c r="BC37" s="53">
        <v>0</v>
      </c>
      <c r="BD37" s="53" t="s">
        <v>112</v>
      </c>
      <c r="BE37" s="53">
        <v>0</v>
      </c>
      <c r="BF37" s="53" t="s">
        <v>112</v>
      </c>
      <c r="BG37" s="53" t="s">
        <v>112</v>
      </c>
      <c r="BH37" s="53" t="s">
        <v>112</v>
      </c>
      <c r="BI37" s="53" t="s">
        <v>112</v>
      </c>
      <c r="BJ37" s="53" t="s">
        <v>112</v>
      </c>
      <c r="BK37" s="53" t="s">
        <v>112</v>
      </c>
      <c r="BL37" s="53" t="s">
        <v>112</v>
      </c>
      <c r="BM37" s="53" t="s">
        <v>112</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4538F9-F97E-4A88-81C1-63B9399AEFC6}">
  <dimension ref="A1:BM37"/>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165</v>
      </c>
      <c r="B1" s="62"/>
      <c r="C1" s="61" t="s">
        <v>164</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163</v>
      </c>
      <c r="B2" s="62"/>
      <c r="C2" s="61" t="s">
        <v>162</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135</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161</v>
      </c>
      <c r="B4" s="62"/>
      <c r="C4" s="61" t="s">
        <v>112</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160</v>
      </c>
      <c r="B5" s="62"/>
      <c r="C5" s="61" t="s">
        <v>112</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112</v>
      </c>
      <c r="B6" s="62"/>
      <c r="C6" s="61" t="s">
        <v>112</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112</v>
      </c>
      <c r="B7" s="62"/>
      <c r="C7" s="61" t="s">
        <v>112</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112</v>
      </c>
      <c r="B8" s="62"/>
      <c r="C8" s="61" t="s">
        <v>112</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112</v>
      </c>
      <c r="B9" s="62"/>
      <c r="C9" s="61" t="s">
        <v>112</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159</v>
      </c>
      <c r="B10" s="62"/>
      <c r="C10" s="61" t="s">
        <v>158</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157</v>
      </c>
      <c r="B11" s="62"/>
      <c r="C11" s="61" t="s">
        <v>166</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112</v>
      </c>
      <c r="B12" s="60" t="s">
        <v>152</v>
      </c>
      <c r="C12" s="59"/>
      <c r="D12" s="59"/>
      <c r="E12" s="59"/>
      <c r="F12" s="59"/>
      <c r="G12" s="59"/>
      <c r="H12" s="59"/>
      <c r="I12" s="58"/>
      <c r="J12" s="60" t="s">
        <v>152</v>
      </c>
      <c r="K12" s="59"/>
      <c r="L12" s="59"/>
      <c r="M12" s="59"/>
      <c r="N12" s="59"/>
      <c r="O12" s="59"/>
      <c r="P12" s="59"/>
      <c r="Q12" s="58"/>
      <c r="R12" s="60" t="s">
        <v>155</v>
      </c>
      <c r="S12" s="59"/>
      <c r="T12" s="59"/>
      <c r="U12" s="59"/>
      <c r="V12" s="59"/>
      <c r="W12" s="59"/>
      <c r="X12" s="59"/>
      <c r="Y12" s="58"/>
      <c r="Z12" s="60" t="s">
        <v>152</v>
      </c>
      <c r="AA12" s="59"/>
      <c r="AB12" s="59"/>
      <c r="AC12" s="59"/>
      <c r="AD12" s="59"/>
      <c r="AE12" s="59"/>
      <c r="AF12" s="59"/>
      <c r="AG12" s="58"/>
      <c r="AH12" s="60" t="s">
        <v>154</v>
      </c>
      <c r="AI12" s="59"/>
      <c r="AJ12" s="59"/>
      <c r="AK12" s="59"/>
      <c r="AL12" s="59"/>
      <c r="AM12" s="59"/>
      <c r="AN12" s="59"/>
      <c r="AO12" s="58"/>
      <c r="AP12" s="60" t="s">
        <v>152</v>
      </c>
      <c r="AQ12" s="59"/>
      <c r="AR12" s="59"/>
      <c r="AS12" s="59"/>
      <c r="AT12" s="59"/>
      <c r="AU12" s="59"/>
      <c r="AV12" s="59"/>
      <c r="AW12" s="58"/>
      <c r="AX12" s="60" t="s">
        <v>153</v>
      </c>
      <c r="AY12" s="59"/>
      <c r="AZ12" s="59"/>
      <c r="BA12" s="59"/>
      <c r="BB12" s="59"/>
      <c r="BC12" s="59"/>
      <c r="BD12" s="59"/>
      <c r="BE12" s="58"/>
      <c r="BF12" s="60" t="s">
        <v>152</v>
      </c>
      <c r="BG12" s="59"/>
      <c r="BH12" s="59"/>
      <c r="BI12" s="59"/>
      <c r="BJ12" s="59"/>
      <c r="BK12" s="59"/>
      <c r="BL12" s="59"/>
      <c r="BM12" s="58"/>
    </row>
    <row r="13" spans="1:65" ht="15" customHeight="1" x14ac:dyDescent="0.25">
      <c r="A13" s="53" t="s">
        <v>112</v>
      </c>
      <c r="B13" s="57" t="s">
        <v>151</v>
      </c>
      <c r="C13" s="56"/>
      <c r="D13" s="56"/>
      <c r="E13" s="56"/>
      <c r="F13" s="56"/>
      <c r="G13" s="56"/>
      <c r="H13" s="56"/>
      <c r="I13" s="55"/>
      <c r="J13" s="57" t="s">
        <v>150</v>
      </c>
      <c r="K13" s="56"/>
      <c r="L13" s="56"/>
      <c r="M13" s="56"/>
      <c r="N13" s="56"/>
      <c r="O13" s="56"/>
      <c r="P13" s="56"/>
      <c r="Q13" s="55"/>
      <c r="R13" s="57" t="s">
        <v>149</v>
      </c>
      <c r="S13" s="56"/>
      <c r="T13" s="56"/>
      <c r="U13" s="56"/>
      <c r="V13" s="56"/>
      <c r="W13" s="56"/>
      <c r="X13" s="56"/>
      <c r="Y13" s="55"/>
      <c r="Z13" s="57" t="s">
        <v>148</v>
      </c>
      <c r="AA13" s="56"/>
      <c r="AB13" s="56"/>
      <c r="AC13" s="56"/>
      <c r="AD13" s="56"/>
      <c r="AE13" s="56"/>
      <c r="AF13" s="56"/>
      <c r="AG13" s="55"/>
      <c r="AH13" s="57" t="s">
        <v>147</v>
      </c>
      <c r="AI13" s="56"/>
      <c r="AJ13" s="56"/>
      <c r="AK13" s="56"/>
      <c r="AL13" s="56"/>
      <c r="AM13" s="56"/>
      <c r="AN13" s="56"/>
      <c r="AO13" s="55"/>
      <c r="AP13" s="57" t="s">
        <v>146</v>
      </c>
      <c r="AQ13" s="56"/>
      <c r="AR13" s="56"/>
      <c r="AS13" s="56"/>
      <c r="AT13" s="56"/>
      <c r="AU13" s="56"/>
      <c r="AV13" s="56"/>
      <c r="AW13" s="55"/>
      <c r="AX13" s="57" t="s">
        <v>145</v>
      </c>
      <c r="AY13" s="56"/>
      <c r="AZ13" s="56"/>
      <c r="BA13" s="56"/>
      <c r="BB13" s="56"/>
      <c r="BC13" s="56"/>
      <c r="BD13" s="56"/>
      <c r="BE13" s="55"/>
      <c r="BF13" s="57" t="s">
        <v>144</v>
      </c>
      <c r="BG13" s="56"/>
      <c r="BH13" s="56"/>
      <c r="BI13" s="56"/>
      <c r="BJ13" s="56"/>
      <c r="BK13" s="56"/>
      <c r="BL13" s="56"/>
      <c r="BM13" s="55"/>
    </row>
    <row r="14" spans="1:65" ht="15" customHeight="1" x14ac:dyDescent="0.25">
      <c r="A14" s="54" t="s">
        <v>9</v>
      </c>
      <c r="B14" s="54" t="s">
        <v>143</v>
      </c>
      <c r="C14" s="54" t="s">
        <v>142</v>
      </c>
      <c r="D14" s="54" t="s">
        <v>141</v>
      </c>
      <c r="E14" s="54" t="s">
        <v>140</v>
      </c>
      <c r="F14" s="54" t="s">
        <v>139</v>
      </c>
      <c r="G14" s="54" t="s">
        <v>138</v>
      </c>
      <c r="H14" s="54" t="s">
        <v>137</v>
      </c>
      <c r="I14" s="54" t="s">
        <v>136</v>
      </c>
      <c r="J14" s="54" t="s">
        <v>143</v>
      </c>
      <c r="K14" s="54" t="s">
        <v>142</v>
      </c>
      <c r="L14" s="54" t="s">
        <v>141</v>
      </c>
      <c r="M14" s="54" t="s">
        <v>140</v>
      </c>
      <c r="N14" s="54" t="s">
        <v>139</v>
      </c>
      <c r="O14" s="54" t="s">
        <v>138</v>
      </c>
      <c r="P14" s="54" t="s">
        <v>137</v>
      </c>
      <c r="Q14" s="54" t="s">
        <v>136</v>
      </c>
      <c r="R14" s="54" t="s">
        <v>143</v>
      </c>
      <c r="S14" s="54" t="s">
        <v>142</v>
      </c>
      <c r="T14" s="54" t="s">
        <v>141</v>
      </c>
      <c r="U14" s="54" t="s">
        <v>140</v>
      </c>
      <c r="V14" s="54" t="s">
        <v>139</v>
      </c>
      <c r="W14" s="54" t="s">
        <v>138</v>
      </c>
      <c r="X14" s="54" t="s">
        <v>137</v>
      </c>
      <c r="Y14" s="54" t="s">
        <v>136</v>
      </c>
      <c r="Z14" s="54" t="s">
        <v>143</v>
      </c>
      <c r="AA14" s="54" t="s">
        <v>142</v>
      </c>
      <c r="AB14" s="54" t="s">
        <v>141</v>
      </c>
      <c r="AC14" s="54" t="s">
        <v>140</v>
      </c>
      <c r="AD14" s="54" t="s">
        <v>139</v>
      </c>
      <c r="AE14" s="54" t="s">
        <v>138</v>
      </c>
      <c r="AF14" s="54" t="s">
        <v>137</v>
      </c>
      <c r="AG14" s="54" t="s">
        <v>136</v>
      </c>
      <c r="AH14" s="54" t="s">
        <v>143</v>
      </c>
      <c r="AI14" s="54" t="s">
        <v>142</v>
      </c>
      <c r="AJ14" s="54" t="s">
        <v>141</v>
      </c>
      <c r="AK14" s="54" t="s">
        <v>140</v>
      </c>
      <c r="AL14" s="54" t="s">
        <v>139</v>
      </c>
      <c r="AM14" s="54" t="s">
        <v>138</v>
      </c>
      <c r="AN14" s="54" t="s">
        <v>137</v>
      </c>
      <c r="AO14" s="54" t="s">
        <v>136</v>
      </c>
      <c r="AP14" s="54" t="s">
        <v>143</v>
      </c>
      <c r="AQ14" s="54" t="s">
        <v>142</v>
      </c>
      <c r="AR14" s="54" t="s">
        <v>141</v>
      </c>
      <c r="AS14" s="54" t="s">
        <v>140</v>
      </c>
      <c r="AT14" s="54" t="s">
        <v>139</v>
      </c>
      <c r="AU14" s="54" t="s">
        <v>138</v>
      </c>
      <c r="AV14" s="54" t="s">
        <v>137</v>
      </c>
      <c r="AW14" s="54" t="s">
        <v>136</v>
      </c>
      <c r="AX14" s="54" t="s">
        <v>143</v>
      </c>
      <c r="AY14" s="54" t="s">
        <v>142</v>
      </c>
      <c r="AZ14" s="54" t="s">
        <v>141</v>
      </c>
      <c r="BA14" s="54" t="s">
        <v>140</v>
      </c>
      <c r="BB14" s="54" t="s">
        <v>139</v>
      </c>
      <c r="BC14" s="54" t="s">
        <v>138</v>
      </c>
      <c r="BD14" s="54" t="s">
        <v>137</v>
      </c>
      <c r="BE14" s="54" t="s">
        <v>136</v>
      </c>
      <c r="BF14" s="54" t="s">
        <v>143</v>
      </c>
      <c r="BG14" s="54" t="s">
        <v>142</v>
      </c>
      <c r="BH14" s="54" t="s">
        <v>141</v>
      </c>
      <c r="BI14" s="54" t="s">
        <v>140</v>
      </c>
      <c r="BJ14" s="54" t="s">
        <v>139</v>
      </c>
      <c r="BK14" s="54" t="s">
        <v>138</v>
      </c>
      <c r="BL14" s="54" t="s">
        <v>137</v>
      </c>
      <c r="BM14" s="54" t="s">
        <v>136</v>
      </c>
    </row>
    <row r="15" spans="1:65" ht="15" customHeight="1" x14ac:dyDescent="0.25">
      <c r="A15" s="53" t="s">
        <v>135</v>
      </c>
      <c r="B15" s="53" t="s">
        <v>112</v>
      </c>
      <c r="C15" s="53" t="s">
        <v>112</v>
      </c>
      <c r="D15" s="53" t="s">
        <v>112</v>
      </c>
      <c r="E15" s="53" t="s">
        <v>112</v>
      </c>
      <c r="F15" s="53" t="s">
        <v>112</v>
      </c>
      <c r="G15" s="53" t="s">
        <v>112</v>
      </c>
      <c r="H15" s="53" t="s">
        <v>112</v>
      </c>
      <c r="I15" s="53" t="s">
        <v>112</v>
      </c>
      <c r="J15" s="53" t="s">
        <v>112</v>
      </c>
      <c r="K15" s="53" t="s">
        <v>112</v>
      </c>
      <c r="L15" s="53" t="s">
        <v>112</v>
      </c>
      <c r="M15" s="53" t="s">
        <v>112</v>
      </c>
      <c r="N15" s="53" t="s">
        <v>112</v>
      </c>
      <c r="O15" s="53" t="s">
        <v>112</v>
      </c>
      <c r="P15" s="53" t="s">
        <v>112</v>
      </c>
      <c r="Q15" s="53" t="s">
        <v>112</v>
      </c>
      <c r="R15" s="53" t="s">
        <v>112</v>
      </c>
      <c r="S15" s="53">
        <v>1</v>
      </c>
      <c r="T15" s="53" t="s">
        <v>112</v>
      </c>
      <c r="U15" s="53">
        <v>12</v>
      </c>
      <c r="V15" s="53" t="s">
        <v>112</v>
      </c>
      <c r="W15" s="53" t="s">
        <v>112</v>
      </c>
      <c r="X15" s="53" t="s">
        <v>112</v>
      </c>
      <c r="Y15" s="53">
        <v>0</v>
      </c>
      <c r="Z15" s="53" t="s">
        <v>112</v>
      </c>
      <c r="AA15" s="53" t="s">
        <v>112</v>
      </c>
      <c r="AB15" s="53" t="s">
        <v>112</v>
      </c>
      <c r="AC15" s="53" t="s">
        <v>112</v>
      </c>
      <c r="AD15" s="53" t="s">
        <v>112</v>
      </c>
      <c r="AE15" s="53" t="s">
        <v>112</v>
      </c>
      <c r="AF15" s="53" t="s">
        <v>112</v>
      </c>
      <c r="AG15" s="53" t="s">
        <v>112</v>
      </c>
      <c r="AH15" s="53" t="s">
        <v>112</v>
      </c>
      <c r="AI15" s="53">
        <v>2</v>
      </c>
      <c r="AJ15" s="53" t="s">
        <v>112</v>
      </c>
      <c r="AK15" s="53" t="s">
        <v>112</v>
      </c>
      <c r="AL15" s="53" t="s">
        <v>112</v>
      </c>
      <c r="AM15" s="53">
        <v>0</v>
      </c>
      <c r="AN15" s="53" t="s">
        <v>112</v>
      </c>
      <c r="AO15" s="53">
        <v>0</v>
      </c>
      <c r="AP15" s="53" t="s">
        <v>112</v>
      </c>
      <c r="AQ15" s="53" t="s">
        <v>112</v>
      </c>
      <c r="AR15" s="53" t="s">
        <v>112</v>
      </c>
      <c r="AS15" s="53" t="s">
        <v>112</v>
      </c>
      <c r="AT15" s="53" t="s">
        <v>112</v>
      </c>
      <c r="AU15" s="53" t="s">
        <v>112</v>
      </c>
      <c r="AV15" s="53" t="s">
        <v>112</v>
      </c>
      <c r="AW15" s="53" t="s">
        <v>112</v>
      </c>
      <c r="AX15" s="53" t="s">
        <v>112</v>
      </c>
      <c r="AY15" s="53" t="s">
        <v>112</v>
      </c>
      <c r="AZ15" s="53" t="s">
        <v>112</v>
      </c>
      <c r="BA15" s="53">
        <v>3</v>
      </c>
      <c r="BB15" s="53" t="s">
        <v>112</v>
      </c>
      <c r="BC15" s="53">
        <v>0</v>
      </c>
      <c r="BD15" s="53" t="s">
        <v>112</v>
      </c>
      <c r="BE15" s="53">
        <v>0</v>
      </c>
      <c r="BF15" s="53" t="s">
        <v>112</v>
      </c>
      <c r="BG15" s="53" t="s">
        <v>112</v>
      </c>
      <c r="BH15" s="53" t="s">
        <v>112</v>
      </c>
      <c r="BI15" s="53" t="s">
        <v>112</v>
      </c>
      <c r="BJ15" s="53" t="s">
        <v>112</v>
      </c>
      <c r="BK15" s="53" t="s">
        <v>112</v>
      </c>
      <c r="BL15" s="53" t="s">
        <v>112</v>
      </c>
      <c r="BM15" s="53" t="s">
        <v>112</v>
      </c>
    </row>
    <row r="16" spans="1:65" ht="15" customHeight="1" x14ac:dyDescent="0.25">
      <c r="A16" s="53" t="s">
        <v>134</v>
      </c>
      <c r="B16" s="53" t="s">
        <v>112</v>
      </c>
      <c r="C16" s="53" t="s">
        <v>112</v>
      </c>
      <c r="D16" s="53" t="s">
        <v>112</v>
      </c>
      <c r="E16" s="53" t="s">
        <v>112</v>
      </c>
      <c r="F16" s="53" t="s">
        <v>112</v>
      </c>
      <c r="G16" s="53" t="s">
        <v>112</v>
      </c>
      <c r="H16" s="53" t="s">
        <v>112</v>
      </c>
      <c r="I16" s="53" t="s">
        <v>112</v>
      </c>
      <c r="J16" s="53" t="s">
        <v>112</v>
      </c>
      <c r="K16" s="53" t="s">
        <v>112</v>
      </c>
      <c r="L16" s="53" t="s">
        <v>112</v>
      </c>
      <c r="M16" s="53" t="s">
        <v>112</v>
      </c>
      <c r="N16" s="53" t="s">
        <v>112</v>
      </c>
      <c r="O16" s="53" t="s">
        <v>112</v>
      </c>
      <c r="P16" s="53" t="s">
        <v>112</v>
      </c>
      <c r="Q16" s="53" t="s">
        <v>112</v>
      </c>
      <c r="R16" s="53" t="s">
        <v>112</v>
      </c>
      <c r="S16" s="53">
        <v>1</v>
      </c>
      <c r="T16" s="53" t="s">
        <v>112</v>
      </c>
      <c r="U16" s="53">
        <v>21</v>
      </c>
      <c r="V16" s="53" t="s">
        <v>112</v>
      </c>
      <c r="W16" s="53" t="s">
        <v>112</v>
      </c>
      <c r="X16" s="53" t="s">
        <v>112</v>
      </c>
      <c r="Y16" s="53">
        <v>0</v>
      </c>
      <c r="Z16" s="53" t="s">
        <v>112</v>
      </c>
      <c r="AA16" s="53" t="s">
        <v>112</v>
      </c>
      <c r="AB16" s="53" t="s">
        <v>112</v>
      </c>
      <c r="AC16" s="53" t="s">
        <v>112</v>
      </c>
      <c r="AD16" s="53" t="s">
        <v>112</v>
      </c>
      <c r="AE16" s="53" t="s">
        <v>112</v>
      </c>
      <c r="AF16" s="53" t="s">
        <v>112</v>
      </c>
      <c r="AG16" s="53" t="s">
        <v>112</v>
      </c>
      <c r="AH16" s="53" t="s">
        <v>112</v>
      </c>
      <c r="AI16" s="53">
        <v>1</v>
      </c>
      <c r="AJ16" s="53" t="s">
        <v>112</v>
      </c>
      <c r="AK16" s="53" t="s">
        <v>112</v>
      </c>
      <c r="AL16" s="53" t="s">
        <v>112</v>
      </c>
      <c r="AM16" s="53">
        <v>0</v>
      </c>
      <c r="AN16" s="53" t="s">
        <v>112</v>
      </c>
      <c r="AO16" s="53">
        <v>0</v>
      </c>
      <c r="AP16" s="53" t="s">
        <v>112</v>
      </c>
      <c r="AQ16" s="53" t="s">
        <v>112</v>
      </c>
      <c r="AR16" s="53" t="s">
        <v>112</v>
      </c>
      <c r="AS16" s="53" t="s">
        <v>112</v>
      </c>
      <c r="AT16" s="53" t="s">
        <v>112</v>
      </c>
      <c r="AU16" s="53" t="s">
        <v>112</v>
      </c>
      <c r="AV16" s="53" t="s">
        <v>112</v>
      </c>
      <c r="AW16" s="53" t="s">
        <v>112</v>
      </c>
      <c r="AX16" s="53" t="s">
        <v>112</v>
      </c>
      <c r="AY16" s="53" t="s">
        <v>112</v>
      </c>
      <c r="AZ16" s="53" t="s">
        <v>112</v>
      </c>
      <c r="BA16" s="53">
        <v>0</v>
      </c>
      <c r="BB16" s="53" t="s">
        <v>112</v>
      </c>
      <c r="BC16" s="53">
        <v>0</v>
      </c>
      <c r="BD16" s="53" t="s">
        <v>112</v>
      </c>
      <c r="BE16" s="53">
        <v>0</v>
      </c>
      <c r="BF16" s="53" t="s">
        <v>112</v>
      </c>
      <c r="BG16" s="53" t="s">
        <v>112</v>
      </c>
      <c r="BH16" s="53" t="s">
        <v>112</v>
      </c>
      <c r="BI16" s="53" t="s">
        <v>112</v>
      </c>
      <c r="BJ16" s="53" t="s">
        <v>112</v>
      </c>
      <c r="BK16" s="53" t="s">
        <v>112</v>
      </c>
      <c r="BL16" s="53" t="s">
        <v>112</v>
      </c>
      <c r="BM16" s="53" t="s">
        <v>112</v>
      </c>
    </row>
    <row r="17" spans="1:65" ht="15" customHeight="1" x14ac:dyDescent="0.25">
      <c r="A17" s="53" t="s">
        <v>133</v>
      </c>
      <c r="B17" s="53" t="s">
        <v>112</v>
      </c>
      <c r="C17" s="53" t="s">
        <v>112</v>
      </c>
      <c r="D17" s="53" t="s">
        <v>112</v>
      </c>
      <c r="E17" s="53" t="s">
        <v>112</v>
      </c>
      <c r="F17" s="53" t="s">
        <v>112</v>
      </c>
      <c r="G17" s="53" t="s">
        <v>112</v>
      </c>
      <c r="H17" s="53" t="s">
        <v>112</v>
      </c>
      <c r="I17" s="53" t="s">
        <v>112</v>
      </c>
      <c r="J17" s="53" t="s">
        <v>112</v>
      </c>
      <c r="K17" s="53" t="s">
        <v>112</v>
      </c>
      <c r="L17" s="53" t="s">
        <v>112</v>
      </c>
      <c r="M17" s="53" t="s">
        <v>112</v>
      </c>
      <c r="N17" s="53" t="s">
        <v>112</v>
      </c>
      <c r="O17" s="53" t="s">
        <v>112</v>
      </c>
      <c r="P17" s="53" t="s">
        <v>112</v>
      </c>
      <c r="Q17" s="53" t="s">
        <v>112</v>
      </c>
      <c r="R17" s="53" t="s">
        <v>112</v>
      </c>
      <c r="S17" s="53">
        <v>0</v>
      </c>
      <c r="T17" s="53" t="s">
        <v>112</v>
      </c>
      <c r="U17" s="53">
        <v>29</v>
      </c>
      <c r="V17" s="53" t="s">
        <v>112</v>
      </c>
      <c r="W17" s="53" t="s">
        <v>112</v>
      </c>
      <c r="X17" s="53" t="s">
        <v>112</v>
      </c>
      <c r="Y17" s="53">
        <v>0</v>
      </c>
      <c r="Z17" s="53" t="s">
        <v>112</v>
      </c>
      <c r="AA17" s="53" t="s">
        <v>112</v>
      </c>
      <c r="AB17" s="53" t="s">
        <v>112</v>
      </c>
      <c r="AC17" s="53" t="s">
        <v>112</v>
      </c>
      <c r="AD17" s="53" t="s">
        <v>112</v>
      </c>
      <c r="AE17" s="53" t="s">
        <v>112</v>
      </c>
      <c r="AF17" s="53" t="s">
        <v>112</v>
      </c>
      <c r="AG17" s="53" t="s">
        <v>112</v>
      </c>
      <c r="AH17" s="53" t="s">
        <v>112</v>
      </c>
      <c r="AI17" s="53">
        <v>3</v>
      </c>
      <c r="AJ17" s="53" t="s">
        <v>112</v>
      </c>
      <c r="AK17" s="53" t="s">
        <v>112</v>
      </c>
      <c r="AL17" s="53" t="s">
        <v>112</v>
      </c>
      <c r="AM17" s="53">
        <v>0</v>
      </c>
      <c r="AN17" s="53" t="s">
        <v>112</v>
      </c>
      <c r="AO17" s="53">
        <v>0</v>
      </c>
      <c r="AP17" s="53" t="s">
        <v>112</v>
      </c>
      <c r="AQ17" s="53" t="s">
        <v>112</v>
      </c>
      <c r="AR17" s="53" t="s">
        <v>112</v>
      </c>
      <c r="AS17" s="53" t="s">
        <v>112</v>
      </c>
      <c r="AT17" s="53" t="s">
        <v>112</v>
      </c>
      <c r="AU17" s="53" t="s">
        <v>112</v>
      </c>
      <c r="AV17" s="53" t="s">
        <v>112</v>
      </c>
      <c r="AW17" s="53" t="s">
        <v>112</v>
      </c>
      <c r="AX17" s="53" t="s">
        <v>112</v>
      </c>
      <c r="AY17" s="53" t="s">
        <v>112</v>
      </c>
      <c r="AZ17" s="53" t="s">
        <v>112</v>
      </c>
      <c r="BA17" s="53">
        <v>1</v>
      </c>
      <c r="BB17" s="53" t="s">
        <v>112</v>
      </c>
      <c r="BC17" s="53">
        <v>0</v>
      </c>
      <c r="BD17" s="53" t="s">
        <v>112</v>
      </c>
      <c r="BE17" s="53">
        <v>0</v>
      </c>
      <c r="BF17" s="53" t="s">
        <v>112</v>
      </c>
      <c r="BG17" s="53" t="s">
        <v>112</v>
      </c>
      <c r="BH17" s="53" t="s">
        <v>112</v>
      </c>
      <c r="BI17" s="53" t="s">
        <v>112</v>
      </c>
      <c r="BJ17" s="53" t="s">
        <v>112</v>
      </c>
      <c r="BK17" s="53" t="s">
        <v>112</v>
      </c>
      <c r="BL17" s="53" t="s">
        <v>112</v>
      </c>
      <c r="BM17" s="53" t="s">
        <v>112</v>
      </c>
    </row>
    <row r="18" spans="1:65" ht="15" customHeight="1" x14ac:dyDescent="0.25">
      <c r="A18" s="53" t="s">
        <v>132</v>
      </c>
      <c r="B18" s="53" t="s">
        <v>112</v>
      </c>
      <c r="C18" s="53" t="s">
        <v>112</v>
      </c>
      <c r="D18" s="53" t="s">
        <v>112</v>
      </c>
      <c r="E18" s="53" t="s">
        <v>112</v>
      </c>
      <c r="F18" s="53" t="s">
        <v>112</v>
      </c>
      <c r="G18" s="53" t="s">
        <v>112</v>
      </c>
      <c r="H18" s="53" t="s">
        <v>112</v>
      </c>
      <c r="I18" s="53" t="s">
        <v>112</v>
      </c>
      <c r="J18" s="53" t="s">
        <v>112</v>
      </c>
      <c r="K18" s="53" t="s">
        <v>112</v>
      </c>
      <c r="L18" s="53" t="s">
        <v>112</v>
      </c>
      <c r="M18" s="53" t="s">
        <v>112</v>
      </c>
      <c r="N18" s="53" t="s">
        <v>112</v>
      </c>
      <c r="O18" s="53" t="s">
        <v>112</v>
      </c>
      <c r="P18" s="53" t="s">
        <v>112</v>
      </c>
      <c r="Q18" s="53" t="s">
        <v>112</v>
      </c>
      <c r="R18" s="53" t="s">
        <v>112</v>
      </c>
      <c r="S18" s="53">
        <v>0</v>
      </c>
      <c r="T18" s="53" t="s">
        <v>112</v>
      </c>
      <c r="U18" s="53">
        <v>11</v>
      </c>
      <c r="V18" s="53" t="s">
        <v>112</v>
      </c>
      <c r="W18" s="53" t="s">
        <v>112</v>
      </c>
      <c r="X18" s="53" t="s">
        <v>112</v>
      </c>
      <c r="Y18" s="53">
        <v>0</v>
      </c>
      <c r="Z18" s="53" t="s">
        <v>112</v>
      </c>
      <c r="AA18" s="53" t="s">
        <v>112</v>
      </c>
      <c r="AB18" s="53" t="s">
        <v>112</v>
      </c>
      <c r="AC18" s="53" t="s">
        <v>112</v>
      </c>
      <c r="AD18" s="53" t="s">
        <v>112</v>
      </c>
      <c r="AE18" s="53" t="s">
        <v>112</v>
      </c>
      <c r="AF18" s="53" t="s">
        <v>112</v>
      </c>
      <c r="AG18" s="53" t="s">
        <v>112</v>
      </c>
      <c r="AH18" s="53" t="s">
        <v>112</v>
      </c>
      <c r="AI18" s="53">
        <v>2</v>
      </c>
      <c r="AJ18" s="53" t="s">
        <v>112</v>
      </c>
      <c r="AK18" s="53" t="s">
        <v>112</v>
      </c>
      <c r="AL18" s="53" t="s">
        <v>112</v>
      </c>
      <c r="AM18" s="53">
        <v>0</v>
      </c>
      <c r="AN18" s="53" t="s">
        <v>112</v>
      </c>
      <c r="AO18" s="53">
        <v>0</v>
      </c>
      <c r="AP18" s="53" t="s">
        <v>112</v>
      </c>
      <c r="AQ18" s="53" t="s">
        <v>112</v>
      </c>
      <c r="AR18" s="53" t="s">
        <v>112</v>
      </c>
      <c r="AS18" s="53" t="s">
        <v>112</v>
      </c>
      <c r="AT18" s="53" t="s">
        <v>112</v>
      </c>
      <c r="AU18" s="53" t="s">
        <v>112</v>
      </c>
      <c r="AV18" s="53" t="s">
        <v>112</v>
      </c>
      <c r="AW18" s="53" t="s">
        <v>112</v>
      </c>
      <c r="AX18" s="53" t="s">
        <v>112</v>
      </c>
      <c r="AY18" s="53" t="s">
        <v>112</v>
      </c>
      <c r="AZ18" s="53" t="s">
        <v>112</v>
      </c>
      <c r="BA18" s="53">
        <v>1</v>
      </c>
      <c r="BB18" s="53" t="s">
        <v>112</v>
      </c>
      <c r="BC18" s="53">
        <v>1</v>
      </c>
      <c r="BD18" s="53" t="s">
        <v>112</v>
      </c>
      <c r="BE18" s="53">
        <v>0</v>
      </c>
      <c r="BF18" s="53" t="s">
        <v>112</v>
      </c>
      <c r="BG18" s="53" t="s">
        <v>112</v>
      </c>
      <c r="BH18" s="53" t="s">
        <v>112</v>
      </c>
      <c r="BI18" s="53" t="s">
        <v>112</v>
      </c>
      <c r="BJ18" s="53" t="s">
        <v>112</v>
      </c>
      <c r="BK18" s="53" t="s">
        <v>112</v>
      </c>
      <c r="BL18" s="53" t="s">
        <v>112</v>
      </c>
      <c r="BM18" s="53" t="s">
        <v>112</v>
      </c>
    </row>
    <row r="19" spans="1:65" ht="15" customHeight="1" x14ac:dyDescent="0.25">
      <c r="A19" s="53" t="s">
        <v>131</v>
      </c>
      <c r="B19" s="53" t="s">
        <v>112</v>
      </c>
      <c r="C19" s="53" t="s">
        <v>112</v>
      </c>
      <c r="D19" s="53" t="s">
        <v>112</v>
      </c>
      <c r="E19" s="53" t="s">
        <v>112</v>
      </c>
      <c r="F19" s="53" t="s">
        <v>112</v>
      </c>
      <c r="G19" s="53" t="s">
        <v>112</v>
      </c>
      <c r="H19" s="53" t="s">
        <v>112</v>
      </c>
      <c r="I19" s="53" t="s">
        <v>112</v>
      </c>
      <c r="J19" s="53" t="s">
        <v>112</v>
      </c>
      <c r="K19" s="53" t="s">
        <v>112</v>
      </c>
      <c r="L19" s="53" t="s">
        <v>112</v>
      </c>
      <c r="M19" s="53" t="s">
        <v>112</v>
      </c>
      <c r="N19" s="53" t="s">
        <v>112</v>
      </c>
      <c r="O19" s="53" t="s">
        <v>112</v>
      </c>
      <c r="P19" s="53" t="s">
        <v>112</v>
      </c>
      <c r="Q19" s="53" t="s">
        <v>112</v>
      </c>
      <c r="R19" s="53" t="s">
        <v>112</v>
      </c>
      <c r="S19" s="53">
        <v>0</v>
      </c>
      <c r="T19" s="53" t="s">
        <v>112</v>
      </c>
      <c r="U19" s="53">
        <v>12</v>
      </c>
      <c r="V19" s="53" t="s">
        <v>112</v>
      </c>
      <c r="W19" s="53" t="s">
        <v>112</v>
      </c>
      <c r="X19" s="53" t="s">
        <v>112</v>
      </c>
      <c r="Y19" s="53">
        <v>0</v>
      </c>
      <c r="Z19" s="53" t="s">
        <v>112</v>
      </c>
      <c r="AA19" s="53" t="s">
        <v>112</v>
      </c>
      <c r="AB19" s="53" t="s">
        <v>112</v>
      </c>
      <c r="AC19" s="53" t="s">
        <v>112</v>
      </c>
      <c r="AD19" s="53" t="s">
        <v>112</v>
      </c>
      <c r="AE19" s="53" t="s">
        <v>112</v>
      </c>
      <c r="AF19" s="53" t="s">
        <v>112</v>
      </c>
      <c r="AG19" s="53" t="s">
        <v>112</v>
      </c>
      <c r="AH19" s="53" t="s">
        <v>112</v>
      </c>
      <c r="AI19" s="53">
        <v>1</v>
      </c>
      <c r="AJ19" s="53" t="s">
        <v>112</v>
      </c>
      <c r="AK19" s="53" t="s">
        <v>112</v>
      </c>
      <c r="AL19" s="53" t="s">
        <v>112</v>
      </c>
      <c r="AM19" s="53">
        <v>0</v>
      </c>
      <c r="AN19" s="53" t="s">
        <v>112</v>
      </c>
      <c r="AO19" s="53">
        <v>0</v>
      </c>
      <c r="AP19" s="53" t="s">
        <v>112</v>
      </c>
      <c r="AQ19" s="53" t="s">
        <v>112</v>
      </c>
      <c r="AR19" s="53" t="s">
        <v>112</v>
      </c>
      <c r="AS19" s="53" t="s">
        <v>112</v>
      </c>
      <c r="AT19" s="53" t="s">
        <v>112</v>
      </c>
      <c r="AU19" s="53" t="s">
        <v>112</v>
      </c>
      <c r="AV19" s="53" t="s">
        <v>112</v>
      </c>
      <c r="AW19" s="53" t="s">
        <v>112</v>
      </c>
      <c r="AX19" s="53" t="s">
        <v>112</v>
      </c>
      <c r="AY19" s="53" t="s">
        <v>112</v>
      </c>
      <c r="AZ19" s="53" t="s">
        <v>112</v>
      </c>
      <c r="BA19" s="53">
        <v>0</v>
      </c>
      <c r="BB19" s="53" t="s">
        <v>112</v>
      </c>
      <c r="BC19" s="53">
        <v>0</v>
      </c>
      <c r="BD19" s="53" t="s">
        <v>112</v>
      </c>
      <c r="BE19" s="53">
        <v>0</v>
      </c>
      <c r="BF19" s="53" t="s">
        <v>112</v>
      </c>
      <c r="BG19" s="53" t="s">
        <v>112</v>
      </c>
      <c r="BH19" s="53" t="s">
        <v>112</v>
      </c>
      <c r="BI19" s="53" t="s">
        <v>112</v>
      </c>
      <c r="BJ19" s="53" t="s">
        <v>112</v>
      </c>
      <c r="BK19" s="53" t="s">
        <v>112</v>
      </c>
      <c r="BL19" s="53" t="s">
        <v>112</v>
      </c>
      <c r="BM19" s="53" t="s">
        <v>112</v>
      </c>
    </row>
    <row r="20" spans="1:65" ht="15" customHeight="1" x14ac:dyDescent="0.25">
      <c r="A20" s="53" t="s">
        <v>130</v>
      </c>
      <c r="B20" s="53" t="s">
        <v>112</v>
      </c>
      <c r="C20" s="53" t="s">
        <v>112</v>
      </c>
      <c r="D20" s="53" t="s">
        <v>112</v>
      </c>
      <c r="E20" s="53" t="s">
        <v>112</v>
      </c>
      <c r="F20" s="53" t="s">
        <v>112</v>
      </c>
      <c r="G20" s="53" t="s">
        <v>112</v>
      </c>
      <c r="H20" s="53" t="s">
        <v>112</v>
      </c>
      <c r="I20" s="53" t="s">
        <v>112</v>
      </c>
      <c r="J20" s="53" t="s">
        <v>112</v>
      </c>
      <c r="K20" s="53" t="s">
        <v>112</v>
      </c>
      <c r="L20" s="53" t="s">
        <v>112</v>
      </c>
      <c r="M20" s="53" t="s">
        <v>112</v>
      </c>
      <c r="N20" s="53" t="s">
        <v>112</v>
      </c>
      <c r="O20" s="53" t="s">
        <v>112</v>
      </c>
      <c r="P20" s="53" t="s">
        <v>112</v>
      </c>
      <c r="Q20" s="53" t="s">
        <v>112</v>
      </c>
      <c r="R20" s="53" t="s">
        <v>112</v>
      </c>
      <c r="S20" s="53">
        <v>0</v>
      </c>
      <c r="T20" s="53" t="s">
        <v>112</v>
      </c>
      <c r="U20" s="53">
        <v>12</v>
      </c>
      <c r="V20" s="53" t="s">
        <v>112</v>
      </c>
      <c r="W20" s="53" t="s">
        <v>112</v>
      </c>
      <c r="X20" s="53" t="s">
        <v>112</v>
      </c>
      <c r="Y20" s="53">
        <v>0</v>
      </c>
      <c r="Z20" s="53" t="s">
        <v>112</v>
      </c>
      <c r="AA20" s="53" t="s">
        <v>112</v>
      </c>
      <c r="AB20" s="53" t="s">
        <v>112</v>
      </c>
      <c r="AC20" s="53" t="s">
        <v>112</v>
      </c>
      <c r="AD20" s="53" t="s">
        <v>112</v>
      </c>
      <c r="AE20" s="53" t="s">
        <v>112</v>
      </c>
      <c r="AF20" s="53" t="s">
        <v>112</v>
      </c>
      <c r="AG20" s="53" t="s">
        <v>112</v>
      </c>
      <c r="AH20" s="53" t="s">
        <v>112</v>
      </c>
      <c r="AI20" s="53">
        <v>3</v>
      </c>
      <c r="AJ20" s="53" t="s">
        <v>112</v>
      </c>
      <c r="AK20" s="53" t="s">
        <v>112</v>
      </c>
      <c r="AL20" s="53" t="s">
        <v>112</v>
      </c>
      <c r="AM20" s="53">
        <v>0</v>
      </c>
      <c r="AN20" s="53" t="s">
        <v>112</v>
      </c>
      <c r="AO20" s="53">
        <v>0</v>
      </c>
      <c r="AP20" s="53" t="s">
        <v>112</v>
      </c>
      <c r="AQ20" s="53" t="s">
        <v>112</v>
      </c>
      <c r="AR20" s="53" t="s">
        <v>112</v>
      </c>
      <c r="AS20" s="53" t="s">
        <v>112</v>
      </c>
      <c r="AT20" s="53" t="s">
        <v>112</v>
      </c>
      <c r="AU20" s="53" t="s">
        <v>112</v>
      </c>
      <c r="AV20" s="53" t="s">
        <v>112</v>
      </c>
      <c r="AW20" s="53" t="s">
        <v>112</v>
      </c>
      <c r="AX20" s="53" t="s">
        <v>112</v>
      </c>
      <c r="AY20" s="53" t="s">
        <v>112</v>
      </c>
      <c r="AZ20" s="53" t="s">
        <v>112</v>
      </c>
      <c r="BA20" s="53">
        <v>1</v>
      </c>
      <c r="BB20" s="53" t="s">
        <v>112</v>
      </c>
      <c r="BC20" s="53">
        <v>0</v>
      </c>
      <c r="BD20" s="53" t="s">
        <v>112</v>
      </c>
      <c r="BE20" s="53">
        <v>0</v>
      </c>
      <c r="BF20" s="53" t="s">
        <v>112</v>
      </c>
      <c r="BG20" s="53" t="s">
        <v>112</v>
      </c>
      <c r="BH20" s="53" t="s">
        <v>112</v>
      </c>
      <c r="BI20" s="53" t="s">
        <v>112</v>
      </c>
      <c r="BJ20" s="53" t="s">
        <v>112</v>
      </c>
      <c r="BK20" s="53" t="s">
        <v>112</v>
      </c>
      <c r="BL20" s="53" t="s">
        <v>112</v>
      </c>
      <c r="BM20" s="53" t="s">
        <v>112</v>
      </c>
    </row>
    <row r="21" spans="1:65" ht="15" customHeight="1" x14ac:dyDescent="0.25">
      <c r="A21" s="53" t="s">
        <v>129</v>
      </c>
      <c r="B21" s="53" t="s">
        <v>112</v>
      </c>
      <c r="C21" s="53" t="s">
        <v>112</v>
      </c>
      <c r="D21" s="53" t="s">
        <v>112</v>
      </c>
      <c r="E21" s="53" t="s">
        <v>112</v>
      </c>
      <c r="F21" s="53" t="s">
        <v>112</v>
      </c>
      <c r="G21" s="53" t="s">
        <v>112</v>
      </c>
      <c r="H21" s="53" t="s">
        <v>112</v>
      </c>
      <c r="I21" s="53" t="s">
        <v>112</v>
      </c>
      <c r="J21" s="53" t="s">
        <v>112</v>
      </c>
      <c r="K21" s="53" t="s">
        <v>112</v>
      </c>
      <c r="L21" s="53" t="s">
        <v>112</v>
      </c>
      <c r="M21" s="53" t="s">
        <v>112</v>
      </c>
      <c r="N21" s="53" t="s">
        <v>112</v>
      </c>
      <c r="O21" s="53" t="s">
        <v>112</v>
      </c>
      <c r="P21" s="53" t="s">
        <v>112</v>
      </c>
      <c r="Q21" s="53" t="s">
        <v>112</v>
      </c>
      <c r="R21" s="53" t="s">
        <v>112</v>
      </c>
      <c r="S21" s="53">
        <v>0</v>
      </c>
      <c r="T21" s="53" t="s">
        <v>112</v>
      </c>
      <c r="U21" s="53">
        <v>5</v>
      </c>
      <c r="V21" s="53" t="s">
        <v>112</v>
      </c>
      <c r="W21" s="53" t="s">
        <v>112</v>
      </c>
      <c r="X21" s="53" t="s">
        <v>112</v>
      </c>
      <c r="Y21" s="53">
        <v>0</v>
      </c>
      <c r="Z21" s="53" t="s">
        <v>112</v>
      </c>
      <c r="AA21" s="53" t="s">
        <v>112</v>
      </c>
      <c r="AB21" s="53" t="s">
        <v>112</v>
      </c>
      <c r="AC21" s="53" t="s">
        <v>112</v>
      </c>
      <c r="AD21" s="53" t="s">
        <v>112</v>
      </c>
      <c r="AE21" s="53" t="s">
        <v>112</v>
      </c>
      <c r="AF21" s="53" t="s">
        <v>112</v>
      </c>
      <c r="AG21" s="53" t="s">
        <v>112</v>
      </c>
      <c r="AH21" s="53" t="s">
        <v>112</v>
      </c>
      <c r="AI21" s="53">
        <v>2</v>
      </c>
      <c r="AJ21" s="53" t="s">
        <v>112</v>
      </c>
      <c r="AK21" s="53" t="s">
        <v>112</v>
      </c>
      <c r="AL21" s="53" t="s">
        <v>112</v>
      </c>
      <c r="AM21" s="53">
        <v>0</v>
      </c>
      <c r="AN21" s="53" t="s">
        <v>112</v>
      </c>
      <c r="AO21" s="53">
        <v>0</v>
      </c>
      <c r="AP21" s="53" t="s">
        <v>112</v>
      </c>
      <c r="AQ21" s="53" t="s">
        <v>112</v>
      </c>
      <c r="AR21" s="53" t="s">
        <v>112</v>
      </c>
      <c r="AS21" s="53" t="s">
        <v>112</v>
      </c>
      <c r="AT21" s="53" t="s">
        <v>112</v>
      </c>
      <c r="AU21" s="53" t="s">
        <v>112</v>
      </c>
      <c r="AV21" s="53" t="s">
        <v>112</v>
      </c>
      <c r="AW21" s="53" t="s">
        <v>112</v>
      </c>
      <c r="AX21" s="53" t="s">
        <v>112</v>
      </c>
      <c r="AY21" s="53" t="s">
        <v>112</v>
      </c>
      <c r="AZ21" s="53" t="s">
        <v>112</v>
      </c>
      <c r="BA21" s="53">
        <v>1</v>
      </c>
      <c r="BB21" s="53" t="s">
        <v>112</v>
      </c>
      <c r="BC21" s="53">
        <v>0</v>
      </c>
      <c r="BD21" s="53" t="s">
        <v>112</v>
      </c>
      <c r="BE21" s="53">
        <v>0</v>
      </c>
      <c r="BF21" s="53" t="s">
        <v>112</v>
      </c>
      <c r="BG21" s="53" t="s">
        <v>112</v>
      </c>
      <c r="BH21" s="53" t="s">
        <v>112</v>
      </c>
      <c r="BI21" s="53" t="s">
        <v>112</v>
      </c>
      <c r="BJ21" s="53" t="s">
        <v>112</v>
      </c>
      <c r="BK21" s="53" t="s">
        <v>112</v>
      </c>
      <c r="BL21" s="53" t="s">
        <v>112</v>
      </c>
      <c r="BM21" s="53" t="s">
        <v>112</v>
      </c>
    </row>
    <row r="22" spans="1:65" ht="15" customHeight="1" x14ac:dyDescent="0.25">
      <c r="A22" s="53" t="s">
        <v>128</v>
      </c>
      <c r="B22" s="53" t="s">
        <v>112</v>
      </c>
      <c r="C22" s="53" t="s">
        <v>112</v>
      </c>
      <c r="D22" s="53" t="s">
        <v>112</v>
      </c>
      <c r="E22" s="53" t="s">
        <v>112</v>
      </c>
      <c r="F22" s="53" t="s">
        <v>112</v>
      </c>
      <c r="G22" s="53" t="s">
        <v>112</v>
      </c>
      <c r="H22" s="53" t="s">
        <v>112</v>
      </c>
      <c r="I22" s="53" t="s">
        <v>112</v>
      </c>
      <c r="J22" s="53" t="s">
        <v>112</v>
      </c>
      <c r="K22" s="53" t="s">
        <v>112</v>
      </c>
      <c r="L22" s="53" t="s">
        <v>112</v>
      </c>
      <c r="M22" s="53" t="s">
        <v>112</v>
      </c>
      <c r="N22" s="53" t="s">
        <v>112</v>
      </c>
      <c r="O22" s="53" t="s">
        <v>112</v>
      </c>
      <c r="P22" s="53" t="s">
        <v>112</v>
      </c>
      <c r="Q22" s="53" t="s">
        <v>112</v>
      </c>
      <c r="R22" s="53" t="s">
        <v>112</v>
      </c>
      <c r="S22" s="53">
        <v>0</v>
      </c>
      <c r="T22" s="53" t="s">
        <v>112</v>
      </c>
      <c r="U22" s="53">
        <v>7</v>
      </c>
      <c r="V22" s="53" t="s">
        <v>112</v>
      </c>
      <c r="W22" s="53" t="s">
        <v>112</v>
      </c>
      <c r="X22" s="53" t="s">
        <v>112</v>
      </c>
      <c r="Y22" s="53">
        <v>0</v>
      </c>
      <c r="Z22" s="53" t="s">
        <v>112</v>
      </c>
      <c r="AA22" s="53" t="s">
        <v>112</v>
      </c>
      <c r="AB22" s="53" t="s">
        <v>112</v>
      </c>
      <c r="AC22" s="53" t="s">
        <v>112</v>
      </c>
      <c r="AD22" s="53" t="s">
        <v>112</v>
      </c>
      <c r="AE22" s="53" t="s">
        <v>112</v>
      </c>
      <c r="AF22" s="53" t="s">
        <v>112</v>
      </c>
      <c r="AG22" s="53" t="s">
        <v>112</v>
      </c>
      <c r="AH22" s="53" t="s">
        <v>112</v>
      </c>
      <c r="AI22" s="53">
        <v>0</v>
      </c>
      <c r="AJ22" s="53" t="s">
        <v>112</v>
      </c>
      <c r="AK22" s="53" t="s">
        <v>112</v>
      </c>
      <c r="AL22" s="53" t="s">
        <v>112</v>
      </c>
      <c r="AM22" s="53">
        <v>0</v>
      </c>
      <c r="AN22" s="53" t="s">
        <v>112</v>
      </c>
      <c r="AO22" s="53">
        <v>0</v>
      </c>
      <c r="AP22" s="53" t="s">
        <v>112</v>
      </c>
      <c r="AQ22" s="53" t="s">
        <v>112</v>
      </c>
      <c r="AR22" s="53" t="s">
        <v>112</v>
      </c>
      <c r="AS22" s="53" t="s">
        <v>112</v>
      </c>
      <c r="AT22" s="53" t="s">
        <v>112</v>
      </c>
      <c r="AU22" s="53" t="s">
        <v>112</v>
      </c>
      <c r="AV22" s="53" t="s">
        <v>112</v>
      </c>
      <c r="AW22" s="53" t="s">
        <v>112</v>
      </c>
      <c r="AX22" s="53" t="s">
        <v>112</v>
      </c>
      <c r="AY22" s="53" t="s">
        <v>112</v>
      </c>
      <c r="AZ22" s="53" t="s">
        <v>112</v>
      </c>
      <c r="BA22" s="53">
        <v>1</v>
      </c>
      <c r="BB22" s="53" t="s">
        <v>112</v>
      </c>
      <c r="BC22" s="53">
        <v>0</v>
      </c>
      <c r="BD22" s="53" t="s">
        <v>112</v>
      </c>
      <c r="BE22" s="53">
        <v>0</v>
      </c>
      <c r="BF22" s="53" t="s">
        <v>112</v>
      </c>
      <c r="BG22" s="53" t="s">
        <v>112</v>
      </c>
      <c r="BH22" s="53" t="s">
        <v>112</v>
      </c>
      <c r="BI22" s="53" t="s">
        <v>112</v>
      </c>
      <c r="BJ22" s="53" t="s">
        <v>112</v>
      </c>
      <c r="BK22" s="53" t="s">
        <v>112</v>
      </c>
      <c r="BL22" s="53" t="s">
        <v>112</v>
      </c>
      <c r="BM22" s="53" t="s">
        <v>112</v>
      </c>
    </row>
    <row r="23" spans="1:65" ht="15" customHeight="1" x14ac:dyDescent="0.25">
      <c r="A23" s="53" t="s">
        <v>127</v>
      </c>
      <c r="B23" s="53" t="s">
        <v>112</v>
      </c>
      <c r="C23" s="53" t="s">
        <v>112</v>
      </c>
      <c r="D23" s="53" t="s">
        <v>112</v>
      </c>
      <c r="E23" s="53" t="s">
        <v>112</v>
      </c>
      <c r="F23" s="53" t="s">
        <v>112</v>
      </c>
      <c r="G23" s="53" t="s">
        <v>112</v>
      </c>
      <c r="H23" s="53" t="s">
        <v>112</v>
      </c>
      <c r="I23" s="53" t="s">
        <v>112</v>
      </c>
      <c r="J23" s="53" t="s">
        <v>112</v>
      </c>
      <c r="K23" s="53" t="s">
        <v>112</v>
      </c>
      <c r="L23" s="53" t="s">
        <v>112</v>
      </c>
      <c r="M23" s="53" t="s">
        <v>112</v>
      </c>
      <c r="N23" s="53" t="s">
        <v>112</v>
      </c>
      <c r="O23" s="53" t="s">
        <v>112</v>
      </c>
      <c r="P23" s="53" t="s">
        <v>112</v>
      </c>
      <c r="Q23" s="53" t="s">
        <v>112</v>
      </c>
      <c r="R23" s="53" t="s">
        <v>112</v>
      </c>
      <c r="S23" s="53">
        <v>0</v>
      </c>
      <c r="T23" s="53" t="s">
        <v>112</v>
      </c>
      <c r="U23" s="53">
        <v>0</v>
      </c>
      <c r="V23" s="53" t="s">
        <v>112</v>
      </c>
      <c r="W23" s="53" t="s">
        <v>112</v>
      </c>
      <c r="X23" s="53" t="s">
        <v>112</v>
      </c>
      <c r="Y23" s="53">
        <v>0</v>
      </c>
      <c r="Z23" s="53" t="s">
        <v>112</v>
      </c>
      <c r="AA23" s="53" t="s">
        <v>112</v>
      </c>
      <c r="AB23" s="53" t="s">
        <v>112</v>
      </c>
      <c r="AC23" s="53" t="s">
        <v>112</v>
      </c>
      <c r="AD23" s="53" t="s">
        <v>112</v>
      </c>
      <c r="AE23" s="53" t="s">
        <v>112</v>
      </c>
      <c r="AF23" s="53" t="s">
        <v>112</v>
      </c>
      <c r="AG23" s="53" t="s">
        <v>112</v>
      </c>
      <c r="AH23" s="53" t="s">
        <v>112</v>
      </c>
      <c r="AI23" s="53">
        <v>0</v>
      </c>
      <c r="AJ23" s="53" t="s">
        <v>112</v>
      </c>
      <c r="AK23" s="53" t="s">
        <v>112</v>
      </c>
      <c r="AL23" s="53" t="s">
        <v>112</v>
      </c>
      <c r="AM23" s="53">
        <v>0</v>
      </c>
      <c r="AN23" s="53" t="s">
        <v>112</v>
      </c>
      <c r="AO23" s="53">
        <v>0</v>
      </c>
      <c r="AP23" s="53" t="s">
        <v>112</v>
      </c>
      <c r="AQ23" s="53" t="s">
        <v>112</v>
      </c>
      <c r="AR23" s="53" t="s">
        <v>112</v>
      </c>
      <c r="AS23" s="53" t="s">
        <v>112</v>
      </c>
      <c r="AT23" s="53" t="s">
        <v>112</v>
      </c>
      <c r="AU23" s="53" t="s">
        <v>112</v>
      </c>
      <c r="AV23" s="53" t="s">
        <v>112</v>
      </c>
      <c r="AW23" s="53" t="s">
        <v>112</v>
      </c>
      <c r="AX23" s="53" t="s">
        <v>112</v>
      </c>
      <c r="AY23" s="53" t="s">
        <v>112</v>
      </c>
      <c r="AZ23" s="53" t="s">
        <v>112</v>
      </c>
      <c r="BA23" s="53">
        <v>0</v>
      </c>
      <c r="BB23" s="53" t="s">
        <v>112</v>
      </c>
      <c r="BC23" s="53">
        <v>0</v>
      </c>
      <c r="BD23" s="53" t="s">
        <v>112</v>
      </c>
      <c r="BE23" s="53">
        <v>0</v>
      </c>
      <c r="BF23" s="53" t="s">
        <v>112</v>
      </c>
      <c r="BG23" s="53" t="s">
        <v>112</v>
      </c>
      <c r="BH23" s="53" t="s">
        <v>112</v>
      </c>
      <c r="BI23" s="53" t="s">
        <v>112</v>
      </c>
      <c r="BJ23" s="53" t="s">
        <v>112</v>
      </c>
      <c r="BK23" s="53" t="s">
        <v>112</v>
      </c>
      <c r="BL23" s="53" t="s">
        <v>112</v>
      </c>
      <c r="BM23" s="53" t="s">
        <v>112</v>
      </c>
    </row>
    <row r="24" spans="1:65" ht="15" customHeight="1" x14ac:dyDescent="0.25">
      <c r="A24" s="53" t="s">
        <v>126</v>
      </c>
      <c r="B24" s="53" t="s">
        <v>112</v>
      </c>
      <c r="C24" s="53" t="s">
        <v>112</v>
      </c>
      <c r="D24" s="53" t="s">
        <v>112</v>
      </c>
      <c r="E24" s="53" t="s">
        <v>112</v>
      </c>
      <c r="F24" s="53" t="s">
        <v>112</v>
      </c>
      <c r="G24" s="53" t="s">
        <v>112</v>
      </c>
      <c r="H24" s="53" t="s">
        <v>112</v>
      </c>
      <c r="I24" s="53" t="s">
        <v>112</v>
      </c>
      <c r="J24" s="53" t="s">
        <v>112</v>
      </c>
      <c r="K24" s="53" t="s">
        <v>112</v>
      </c>
      <c r="L24" s="53" t="s">
        <v>112</v>
      </c>
      <c r="M24" s="53" t="s">
        <v>112</v>
      </c>
      <c r="N24" s="53" t="s">
        <v>112</v>
      </c>
      <c r="O24" s="53" t="s">
        <v>112</v>
      </c>
      <c r="P24" s="53" t="s">
        <v>112</v>
      </c>
      <c r="Q24" s="53" t="s">
        <v>112</v>
      </c>
      <c r="R24" s="53" t="s">
        <v>112</v>
      </c>
      <c r="S24" s="53">
        <v>0</v>
      </c>
      <c r="T24" s="53" t="s">
        <v>112</v>
      </c>
      <c r="U24" s="53">
        <v>3</v>
      </c>
      <c r="V24" s="53" t="s">
        <v>112</v>
      </c>
      <c r="W24" s="53" t="s">
        <v>112</v>
      </c>
      <c r="X24" s="53" t="s">
        <v>112</v>
      </c>
      <c r="Y24" s="53">
        <v>0</v>
      </c>
      <c r="Z24" s="53" t="s">
        <v>112</v>
      </c>
      <c r="AA24" s="53" t="s">
        <v>112</v>
      </c>
      <c r="AB24" s="53" t="s">
        <v>112</v>
      </c>
      <c r="AC24" s="53" t="s">
        <v>112</v>
      </c>
      <c r="AD24" s="53" t="s">
        <v>112</v>
      </c>
      <c r="AE24" s="53" t="s">
        <v>112</v>
      </c>
      <c r="AF24" s="53" t="s">
        <v>112</v>
      </c>
      <c r="AG24" s="53" t="s">
        <v>112</v>
      </c>
      <c r="AH24" s="53" t="s">
        <v>112</v>
      </c>
      <c r="AI24" s="53">
        <v>0</v>
      </c>
      <c r="AJ24" s="53" t="s">
        <v>112</v>
      </c>
      <c r="AK24" s="53" t="s">
        <v>112</v>
      </c>
      <c r="AL24" s="53" t="s">
        <v>112</v>
      </c>
      <c r="AM24" s="53">
        <v>0</v>
      </c>
      <c r="AN24" s="53" t="s">
        <v>112</v>
      </c>
      <c r="AO24" s="53">
        <v>0</v>
      </c>
      <c r="AP24" s="53" t="s">
        <v>112</v>
      </c>
      <c r="AQ24" s="53" t="s">
        <v>112</v>
      </c>
      <c r="AR24" s="53" t="s">
        <v>112</v>
      </c>
      <c r="AS24" s="53" t="s">
        <v>112</v>
      </c>
      <c r="AT24" s="53" t="s">
        <v>112</v>
      </c>
      <c r="AU24" s="53" t="s">
        <v>112</v>
      </c>
      <c r="AV24" s="53" t="s">
        <v>112</v>
      </c>
      <c r="AW24" s="53" t="s">
        <v>112</v>
      </c>
      <c r="AX24" s="53" t="s">
        <v>112</v>
      </c>
      <c r="AY24" s="53" t="s">
        <v>112</v>
      </c>
      <c r="AZ24" s="53" t="s">
        <v>112</v>
      </c>
      <c r="BA24" s="53">
        <v>0</v>
      </c>
      <c r="BB24" s="53" t="s">
        <v>112</v>
      </c>
      <c r="BC24" s="53">
        <v>1</v>
      </c>
      <c r="BD24" s="53" t="s">
        <v>112</v>
      </c>
      <c r="BE24" s="53">
        <v>0</v>
      </c>
      <c r="BF24" s="53" t="s">
        <v>112</v>
      </c>
      <c r="BG24" s="53" t="s">
        <v>112</v>
      </c>
      <c r="BH24" s="53" t="s">
        <v>112</v>
      </c>
      <c r="BI24" s="53" t="s">
        <v>112</v>
      </c>
      <c r="BJ24" s="53" t="s">
        <v>112</v>
      </c>
      <c r="BK24" s="53" t="s">
        <v>112</v>
      </c>
      <c r="BL24" s="53" t="s">
        <v>112</v>
      </c>
      <c r="BM24" s="53" t="s">
        <v>112</v>
      </c>
    </row>
    <row r="25" spans="1:65" ht="15" customHeight="1" x14ac:dyDescent="0.25">
      <c r="A25" s="53" t="s">
        <v>125</v>
      </c>
      <c r="B25" s="53" t="s">
        <v>112</v>
      </c>
      <c r="C25" s="53" t="s">
        <v>112</v>
      </c>
      <c r="D25" s="53" t="s">
        <v>112</v>
      </c>
      <c r="E25" s="53" t="s">
        <v>112</v>
      </c>
      <c r="F25" s="53" t="s">
        <v>112</v>
      </c>
      <c r="G25" s="53" t="s">
        <v>112</v>
      </c>
      <c r="H25" s="53" t="s">
        <v>112</v>
      </c>
      <c r="I25" s="53" t="s">
        <v>112</v>
      </c>
      <c r="J25" s="53" t="s">
        <v>112</v>
      </c>
      <c r="K25" s="53" t="s">
        <v>112</v>
      </c>
      <c r="L25" s="53" t="s">
        <v>112</v>
      </c>
      <c r="M25" s="53" t="s">
        <v>112</v>
      </c>
      <c r="N25" s="53" t="s">
        <v>112</v>
      </c>
      <c r="O25" s="53" t="s">
        <v>112</v>
      </c>
      <c r="P25" s="53" t="s">
        <v>112</v>
      </c>
      <c r="Q25" s="53" t="s">
        <v>112</v>
      </c>
      <c r="R25" s="53" t="s">
        <v>112</v>
      </c>
      <c r="S25" s="53">
        <v>1</v>
      </c>
      <c r="T25" s="53" t="s">
        <v>112</v>
      </c>
      <c r="U25" s="53">
        <v>3</v>
      </c>
      <c r="V25" s="53" t="s">
        <v>112</v>
      </c>
      <c r="W25" s="53" t="s">
        <v>112</v>
      </c>
      <c r="X25" s="53" t="s">
        <v>112</v>
      </c>
      <c r="Y25" s="53">
        <v>0</v>
      </c>
      <c r="Z25" s="53" t="s">
        <v>112</v>
      </c>
      <c r="AA25" s="53" t="s">
        <v>112</v>
      </c>
      <c r="AB25" s="53" t="s">
        <v>112</v>
      </c>
      <c r="AC25" s="53" t="s">
        <v>112</v>
      </c>
      <c r="AD25" s="53" t="s">
        <v>112</v>
      </c>
      <c r="AE25" s="53" t="s">
        <v>112</v>
      </c>
      <c r="AF25" s="53" t="s">
        <v>112</v>
      </c>
      <c r="AG25" s="53" t="s">
        <v>112</v>
      </c>
      <c r="AH25" s="53" t="s">
        <v>112</v>
      </c>
      <c r="AI25" s="53">
        <v>0</v>
      </c>
      <c r="AJ25" s="53" t="s">
        <v>112</v>
      </c>
      <c r="AK25" s="53" t="s">
        <v>112</v>
      </c>
      <c r="AL25" s="53" t="s">
        <v>112</v>
      </c>
      <c r="AM25" s="53">
        <v>0</v>
      </c>
      <c r="AN25" s="53" t="s">
        <v>112</v>
      </c>
      <c r="AO25" s="53">
        <v>0</v>
      </c>
      <c r="AP25" s="53" t="s">
        <v>112</v>
      </c>
      <c r="AQ25" s="53" t="s">
        <v>112</v>
      </c>
      <c r="AR25" s="53" t="s">
        <v>112</v>
      </c>
      <c r="AS25" s="53" t="s">
        <v>112</v>
      </c>
      <c r="AT25" s="53" t="s">
        <v>112</v>
      </c>
      <c r="AU25" s="53" t="s">
        <v>112</v>
      </c>
      <c r="AV25" s="53" t="s">
        <v>112</v>
      </c>
      <c r="AW25" s="53" t="s">
        <v>112</v>
      </c>
      <c r="AX25" s="53" t="s">
        <v>112</v>
      </c>
      <c r="AY25" s="53" t="s">
        <v>112</v>
      </c>
      <c r="AZ25" s="53" t="s">
        <v>112</v>
      </c>
      <c r="BA25" s="53">
        <v>1</v>
      </c>
      <c r="BB25" s="53" t="s">
        <v>112</v>
      </c>
      <c r="BC25" s="53">
        <v>0</v>
      </c>
      <c r="BD25" s="53" t="s">
        <v>112</v>
      </c>
      <c r="BE25" s="53">
        <v>0</v>
      </c>
      <c r="BF25" s="53" t="s">
        <v>112</v>
      </c>
      <c r="BG25" s="53" t="s">
        <v>112</v>
      </c>
      <c r="BH25" s="53" t="s">
        <v>112</v>
      </c>
      <c r="BI25" s="53" t="s">
        <v>112</v>
      </c>
      <c r="BJ25" s="53" t="s">
        <v>112</v>
      </c>
      <c r="BK25" s="53" t="s">
        <v>112</v>
      </c>
      <c r="BL25" s="53" t="s">
        <v>112</v>
      </c>
      <c r="BM25" s="53" t="s">
        <v>112</v>
      </c>
    </row>
    <row r="26" spans="1:65" ht="15" customHeight="1" x14ac:dyDescent="0.25">
      <c r="A26" s="53" t="s">
        <v>124</v>
      </c>
      <c r="B26" s="53" t="s">
        <v>112</v>
      </c>
      <c r="C26" s="53" t="s">
        <v>112</v>
      </c>
      <c r="D26" s="53" t="s">
        <v>112</v>
      </c>
      <c r="E26" s="53" t="s">
        <v>112</v>
      </c>
      <c r="F26" s="53" t="s">
        <v>112</v>
      </c>
      <c r="G26" s="53" t="s">
        <v>112</v>
      </c>
      <c r="H26" s="53" t="s">
        <v>112</v>
      </c>
      <c r="I26" s="53" t="s">
        <v>112</v>
      </c>
      <c r="J26" s="53" t="s">
        <v>112</v>
      </c>
      <c r="K26" s="53" t="s">
        <v>112</v>
      </c>
      <c r="L26" s="53" t="s">
        <v>112</v>
      </c>
      <c r="M26" s="53" t="s">
        <v>112</v>
      </c>
      <c r="N26" s="53" t="s">
        <v>112</v>
      </c>
      <c r="O26" s="53" t="s">
        <v>112</v>
      </c>
      <c r="P26" s="53" t="s">
        <v>112</v>
      </c>
      <c r="Q26" s="53" t="s">
        <v>112</v>
      </c>
      <c r="R26" s="53" t="s">
        <v>112</v>
      </c>
      <c r="S26" s="53">
        <v>1</v>
      </c>
      <c r="T26" s="53" t="s">
        <v>112</v>
      </c>
      <c r="U26" s="53">
        <v>4</v>
      </c>
      <c r="V26" s="53" t="s">
        <v>112</v>
      </c>
      <c r="W26" s="53" t="s">
        <v>112</v>
      </c>
      <c r="X26" s="53" t="s">
        <v>112</v>
      </c>
      <c r="Y26" s="53">
        <v>0</v>
      </c>
      <c r="Z26" s="53" t="s">
        <v>112</v>
      </c>
      <c r="AA26" s="53" t="s">
        <v>112</v>
      </c>
      <c r="AB26" s="53" t="s">
        <v>112</v>
      </c>
      <c r="AC26" s="53" t="s">
        <v>112</v>
      </c>
      <c r="AD26" s="53" t="s">
        <v>112</v>
      </c>
      <c r="AE26" s="53" t="s">
        <v>112</v>
      </c>
      <c r="AF26" s="53" t="s">
        <v>112</v>
      </c>
      <c r="AG26" s="53" t="s">
        <v>112</v>
      </c>
      <c r="AH26" s="53" t="s">
        <v>112</v>
      </c>
      <c r="AI26" s="53">
        <v>1</v>
      </c>
      <c r="AJ26" s="53" t="s">
        <v>112</v>
      </c>
      <c r="AK26" s="53" t="s">
        <v>112</v>
      </c>
      <c r="AL26" s="53" t="s">
        <v>112</v>
      </c>
      <c r="AM26" s="53">
        <v>0</v>
      </c>
      <c r="AN26" s="53" t="s">
        <v>112</v>
      </c>
      <c r="AO26" s="53">
        <v>0</v>
      </c>
      <c r="AP26" s="53" t="s">
        <v>112</v>
      </c>
      <c r="AQ26" s="53" t="s">
        <v>112</v>
      </c>
      <c r="AR26" s="53" t="s">
        <v>112</v>
      </c>
      <c r="AS26" s="53" t="s">
        <v>112</v>
      </c>
      <c r="AT26" s="53" t="s">
        <v>112</v>
      </c>
      <c r="AU26" s="53" t="s">
        <v>112</v>
      </c>
      <c r="AV26" s="53" t="s">
        <v>112</v>
      </c>
      <c r="AW26" s="53" t="s">
        <v>112</v>
      </c>
      <c r="AX26" s="53" t="s">
        <v>112</v>
      </c>
      <c r="AY26" s="53" t="s">
        <v>112</v>
      </c>
      <c r="AZ26" s="53" t="s">
        <v>112</v>
      </c>
      <c r="BA26" s="53">
        <v>1</v>
      </c>
      <c r="BB26" s="53" t="s">
        <v>112</v>
      </c>
      <c r="BC26" s="53">
        <v>1</v>
      </c>
      <c r="BD26" s="53" t="s">
        <v>112</v>
      </c>
      <c r="BE26" s="53">
        <v>0</v>
      </c>
      <c r="BF26" s="53" t="s">
        <v>112</v>
      </c>
      <c r="BG26" s="53" t="s">
        <v>112</v>
      </c>
      <c r="BH26" s="53" t="s">
        <v>112</v>
      </c>
      <c r="BI26" s="53" t="s">
        <v>112</v>
      </c>
      <c r="BJ26" s="53" t="s">
        <v>112</v>
      </c>
      <c r="BK26" s="53" t="s">
        <v>112</v>
      </c>
      <c r="BL26" s="53" t="s">
        <v>112</v>
      </c>
      <c r="BM26" s="53" t="s">
        <v>112</v>
      </c>
    </row>
    <row r="27" spans="1:65" ht="15" customHeight="1" x14ac:dyDescent="0.25">
      <c r="A27" s="53" t="s">
        <v>123</v>
      </c>
      <c r="B27" s="53" t="s">
        <v>112</v>
      </c>
      <c r="C27" s="53" t="s">
        <v>112</v>
      </c>
      <c r="D27" s="53" t="s">
        <v>112</v>
      </c>
      <c r="E27" s="53" t="s">
        <v>112</v>
      </c>
      <c r="F27" s="53" t="s">
        <v>112</v>
      </c>
      <c r="G27" s="53" t="s">
        <v>112</v>
      </c>
      <c r="H27" s="53" t="s">
        <v>112</v>
      </c>
      <c r="I27" s="53" t="s">
        <v>112</v>
      </c>
      <c r="J27" s="53" t="s">
        <v>112</v>
      </c>
      <c r="K27" s="53" t="s">
        <v>112</v>
      </c>
      <c r="L27" s="53" t="s">
        <v>112</v>
      </c>
      <c r="M27" s="53" t="s">
        <v>112</v>
      </c>
      <c r="N27" s="53" t="s">
        <v>112</v>
      </c>
      <c r="O27" s="53" t="s">
        <v>112</v>
      </c>
      <c r="P27" s="53" t="s">
        <v>112</v>
      </c>
      <c r="Q27" s="53" t="s">
        <v>112</v>
      </c>
      <c r="R27" s="53" t="s">
        <v>112</v>
      </c>
      <c r="S27" s="53">
        <v>0</v>
      </c>
      <c r="T27" s="53" t="s">
        <v>112</v>
      </c>
      <c r="U27" s="53">
        <v>5</v>
      </c>
      <c r="V27" s="53" t="s">
        <v>112</v>
      </c>
      <c r="W27" s="53" t="s">
        <v>112</v>
      </c>
      <c r="X27" s="53" t="s">
        <v>112</v>
      </c>
      <c r="Y27" s="53">
        <v>0</v>
      </c>
      <c r="Z27" s="53" t="s">
        <v>112</v>
      </c>
      <c r="AA27" s="53" t="s">
        <v>112</v>
      </c>
      <c r="AB27" s="53" t="s">
        <v>112</v>
      </c>
      <c r="AC27" s="53" t="s">
        <v>112</v>
      </c>
      <c r="AD27" s="53" t="s">
        <v>112</v>
      </c>
      <c r="AE27" s="53" t="s">
        <v>112</v>
      </c>
      <c r="AF27" s="53" t="s">
        <v>112</v>
      </c>
      <c r="AG27" s="53" t="s">
        <v>112</v>
      </c>
      <c r="AH27" s="53" t="s">
        <v>112</v>
      </c>
      <c r="AI27" s="53">
        <v>0</v>
      </c>
      <c r="AJ27" s="53" t="s">
        <v>112</v>
      </c>
      <c r="AK27" s="53" t="s">
        <v>112</v>
      </c>
      <c r="AL27" s="53" t="s">
        <v>112</v>
      </c>
      <c r="AM27" s="53">
        <v>0</v>
      </c>
      <c r="AN27" s="53" t="s">
        <v>112</v>
      </c>
      <c r="AO27" s="53">
        <v>0</v>
      </c>
      <c r="AP27" s="53" t="s">
        <v>112</v>
      </c>
      <c r="AQ27" s="53" t="s">
        <v>112</v>
      </c>
      <c r="AR27" s="53" t="s">
        <v>112</v>
      </c>
      <c r="AS27" s="53" t="s">
        <v>112</v>
      </c>
      <c r="AT27" s="53" t="s">
        <v>112</v>
      </c>
      <c r="AU27" s="53" t="s">
        <v>112</v>
      </c>
      <c r="AV27" s="53" t="s">
        <v>112</v>
      </c>
      <c r="AW27" s="53" t="s">
        <v>112</v>
      </c>
      <c r="AX27" s="53" t="s">
        <v>112</v>
      </c>
      <c r="AY27" s="53" t="s">
        <v>112</v>
      </c>
      <c r="AZ27" s="53" t="s">
        <v>112</v>
      </c>
      <c r="BA27" s="53">
        <v>0</v>
      </c>
      <c r="BB27" s="53" t="s">
        <v>112</v>
      </c>
      <c r="BC27" s="53">
        <v>0</v>
      </c>
      <c r="BD27" s="53" t="s">
        <v>112</v>
      </c>
      <c r="BE27" s="53">
        <v>0</v>
      </c>
      <c r="BF27" s="53" t="s">
        <v>112</v>
      </c>
      <c r="BG27" s="53" t="s">
        <v>112</v>
      </c>
      <c r="BH27" s="53" t="s">
        <v>112</v>
      </c>
      <c r="BI27" s="53" t="s">
        <v>112</v>
      </c>
      <c r="BJ27" s="53" t="s">
        <v>112</v>
      </c>
      <c r="BK27" s="53" t="s">
        <v>112</v>
      </c>
      <c r="BL27" s="53" t="s">
        <v>112</v>
      </c>
      <c r="BM27" s="53" t="s">
        <v>112</v>
      </c>
    </row>
    <row r="28" spans="1:65" ht="15" customHeight="1" x14ac:dyDescent="0.25">
      <c r="A28" s="53" t="s">
        <v>122</v>
      </c>
      <c r="B28" s="53" t="s">
        <v>112</v>
      </c>
      <c r="C28" s="53" t="s">
        <v>112</v>
      </c>
      <c r="D28" s="53" t="s">
        <v>112</v>
      </c>
      <c r="E28" s="53" t="s">
        <v>112</v>
      </c>
      <c r="F28" s="53" t="s">
        <v>112</v>
      </c>
      <c r="G28" s="53" t="s">
        <v>112</v>
      </c>
      <c r="H28" s="53" t="s">
        <v>112</v>
      </c>
      <c r="I28" s="53" t="s">
        <v>112</v>
      </c>
      <c r="J28" s="53" t="s">
        <v>112</v>
      </c>
      <c r="K28" s="53" t="s">
        <v>112</v>
      </c>
      <c r="L28" s="53" t="s">
        <v>112</v>
      </c>
      <c r="M28" s="53" t="s">
        <v>112</v>
      </c>
      <c r="N28" s="53" t="s">
        <v>112</v>
      </c>
      <c r="O28" s="53" t="s">
        <v>112</v>
      </c>
      <c r="P28" s="53" t="s">
        <v>112</v>
      </c>
      <c r="Q28" s="53" t="s">
        <v>112</v>
      </c>
      <c r="R28" s="53" t="s">
        <v>112</v>
      </c>
      <c r="S28" s="53">
        <v>0</v>
      </c>
      <c r="T28" s="53" t="s">
        <v>112</v>
      </c>
      <c r="U28" s="53">
        <v>0</v>
      </c>
      <c r="V28" s="53" t="s">
        <v>112</v>
      </c>
      <c r="W28" s="53" t="s">
        <v>112</v>
      </c>
      <c r="X28" s="53" t="s">
        <v>112</v>
      </c>
      <c r="Y28" s="53">
        <v>0</v>
      </c>
      <c r="Z28" s="53" t="s">
        <v>112</v>
      </c>
      <c r="AA28" s="53" t="s">
        <v>112</v>
      </c>
      <c r="AB28" s="53" t="s">
        <v>112</v>
      </c>
      <c r="AC28" s="53" t="s">
        <v>112</v>
      </c>
      <c r="AD28" s="53" t="s">
        <v>112</v>
      </c>
      <c r="AE28" s="53" t="s">
        <v>112</v>
      </c>
      <c r="AF28" s="53" t="s">
        <v>112</v>
      </c>
      <c r="AG28" s="53" t="s">
        <v>112</v>
      </c>
      <c r="AH28" s="53" t="s">
        <v>112</v>
      </c>
      <c r="AI28" s="53">
        <v>0</v>
      </c>
      <c r="AJ28" s="53" t="s">
        <v>112</v>
      </c>
      <c r="AK28" s="53" t="s">
        <v>112</v>
      </c>
      <c r="AL28" s="53" t="s">
        <v>112</v>
      </c>
      <c r="AM28" s="53">
        <v>0</v>
      </c>
      <c r="AN28" s="53" t="s">
        <v>112</v>
      </c>
      <c r="AO28" s="53">
        <v>0</v>
      </c>
      <c r="AP28" s="53" t="s">
        <v>112</v>
      </c>
      <c r="AQ28" s="53" t="s">
        <v>112</v>
      </c>
      <c r="AR28" s="53" t="s">
        <v>112</v>
      </c>
      <c r="AS28" s="53" t="s">
        <v>112</v>
      </c>
      <c r="AT28" s="53" t="s">
        <v>112</v>
      </c>
      <c r="AU28" s="53" t="s">
        <v>112</v>
      </c>
      <c r="AV28" s="53" t="s">
        <v>112</v>
      </c>
      <c r="AW28" s="53" t="s">
        <v>112</v>
      </c>
      <c r="AX28" s="53" t="s">
        <v>112</v>
      </c>
      <c r="AY28" s="53" t="s">
        <v>112</v>
      </c>
      <c r="AZ28" s="53" t="s">
        <v>112</v>
      </c>
      <c r="BA28" s="53">
        <v>0</v>
      </c>
      <c r="BB28" s="53" t="s">
        <v>112</v>
      </c>
      <c r="BC28" s="53">
        <v>0</v>
      </c>
      <c r="BD28" s="53" t="s">
        <v>112</v>
      </c>
      <c r="BE28" s="53">
        <v>0</v>
      </c>
      <c r="BF28" s="53" t="s">
        <v>112</v>
      </c>
      <c r="BG28" s="53" t="s">
        <v>112</v>
      </c>
      <c r="BH28" s="53" t="s">
        <v>112</v>
      </c>
      <c r="BI28" s="53" t="s">
        <v>112</v>
      </c>
      <c r="BJ28" s="53" t="s">
        <v>112</v>
      </c>
      <c r="BK28" s="53" t="s">
        <v>112</v>
      </c>
      <c r="BL28" s="53" t="s">
        <v>112</v>
      </c>
      <c r="BM28" s="53" t="s">
        <v>112</v>
      </c>
    </row>
    <row r="29" spans="1:65" ht="15" customHeight="1" x14ac:dyDescent="0.25">
      <c r="A29" s="53" t="s">
        <v>121</v>
      </c>
      <c r="B29" s="53" t="s">
        <v>112</v>
      </c>
      <c r="C29" s="53" t="s">
        <v>112</v>
      </c>
      <c r="D29" s="53" t="s">
        <v>112</v>
      </c>
      <c r="E29" s="53" t="s">
        <v>112</v>
      </c>
      <c r="F29" s="53" t="s">
        <v>112</v>
      </c>
      <c r="G29" s="53" t="s">
        <v>112</v>
      </c>
      <c r="H29" s="53" t="s">
        <v>112</v>
      </c>
      <c r="I29" s="53" t="s">
        <v>112</v>
      </c>
      <c r="J29" s="53" t="s">
        <v>112</v>
      </c>
      <c r="K29" s="53" t="s">
        <v>112</v>
      </c>
      <c r="L29" s="53" t="s">
        <v>112</v>
      </c>
      <c r="M29" s="53" t="s">
        <v>112</v>
      </c>
      <c r="N29" s="53" t="s">
        <v>112</v>
      </c>
      <c r="O29" s="53" t="s">
        <v>112</v>
      </c>
      <c r="P29" s="53" t="s">
        <v>112</v>
      </c>
      <c r="Q29" s="53" t="s">
        <v>112</v>
      </c>
      <c r="R29" s="53" t="s">
        <v>112</v>
      </c>
      <c r="S29" s="53">
        <v>0</v>
      </c>
      <c r="T29" s="53" t="s">
        <v>112</v>
      </c>
      <c r="U29" s="53">
        <v>0</v>
      </c>
      <c r="V29" s="53" t="s">
        <v>112</v>
      </c>
      <c r="W29" s="53" t="s">
        <v>112</v>
      </c>
      <c r="X29" s="53" t="s">
        <v>112</v>
      </c>
      <c r="Y29" s="53">
        <v>0</v>
      </c>
      <c r="Z29" s="53" t="s">
        <v>112</v>
      </c>
      <c r="AA29" s="53" t="s">
        <v>112</v>
      </c>
      <c r="AB29" s="53" t="s">
        <v>112</v>
      </c>
      <c r="AC29" s="53" t="s">
        <v>112</v>
      </c>
      <c r="AD29" s="53" t="s">
        <v>112</v>
      </c>
      <c r="AE29" s="53" t="s">
        <v>112</v>
      </c>
      <c r="AF29" s="53" t="s">
        <v>112</v>
      </c>
      <c r="AG29" s="53" t="s">
        <v>112</v>
      </c>
      <c r="AH29" s="53" t="s">
        <v>112</v>
      </c>
      <c r="AI29" s="53">
        <v>0</v>
      </c>
      <c r="AJ29" s="53" t="s">
        <v>112</v>
      </c>
      <c r="AK29" s="53" t="s">
        <v>112</v>
      </c>
      <c r="AL29" s="53" t="s">
        <v>112</v>
      </c>
      <c r="AM29" s="53">
        <v>0</v>
      </c>
      <c r="AN29" s="53" t="s">
        <v>112</v>
      </c>
      <c r="AO29" s="53">
        <v>0</v>
      </c>
      <c r="AP29" s="53" t="s">
        <v>112</v>
      </c>
      <c r="AQ29" s="53" t="s">
        <v>112</v>
      </c>
      <c r="AR29" s="53" t="s">
        <v>112</v>
      </c>
      <c r="AS29" s="53" t="s">
        <v>112</v>
      </c>
      <c r="AT29" s="53" t="s">
        <v>112</v>
      </c>
      <c r="AU29" s="53" t="s">
        <v>112</v>
      </c>
      <c r="AV29" s="53" t="s">
        <v>112</v>
      </c>
      <c r="AW29" s="53" t="s">
        <v>112</v>
      </c>
      <c r="AX29" s="53" t="s">
        <v>112</v>
      </c>
      <c r="AY29" s="53" t="s">
        <v>112</v>
      </c>
      <c r="AZ29" s="53" t="s">
        <v>112</v>
      </c>
      <c r="BA29" s="53">
        <v>2</v>
      </c>
      <c r="BB29" s="53" t="s">
        <v>112</v>
      </c>
      <c r="BC29" s="53">
        <v>0</v>
      </c>
      <c r="BD29" s="53" t="s">
        <v>112</v>
      </c>
      <c r="BE29" s="53">
        <v>0</v>
      </c>
      <c r="BF29" s="53" t="s">
        <v>112</v>
      </c>
      <c r="BG29" s="53" t="s">
        <v>112</v>
      </c>
      <c r="BH29" s="53" t="s">
        <v>112</v>
      </c>
      <c r="BI29" s="53" t="s">
        <v>112</v>
      </c>
      <c r="BJ29" s="53" t="s">
        <v>112</v>
      </c>
      <c r="BK29" s="53" t="s">
        <v>112</v>
      </c>
      <c r="BL29" s="53" t="s">
        <v>112</v>
      </c>
      <c r="BM29" s="53" t="s">
        <v>112</v>
      </c>
    </row>
    <row r="30" spans="1:65" ht="15" customHeight="1" x14ac:dyDescent="0.25">
      <c r="A30" s="53" t="s">
        <v>120</v>
      </c>
      <c r="B30" s="53" t="s">
        <v>112</v>
      </c>
      <c r="C30" s="53" t="s">
        <v>112</v>
      </c>
      <c r="D30" s="53" t="s">
        <v>112</v>
      </c>
      <c r="E30" s="53" t="s">
        <v>112</v>
      </c>
      <c r="F30" s="53" t="s">
        <v>112</v>
      </c>
      <c r="G30" s="53" t="s">
        <v>112</v>
      </c>
      <c r="H30" s="53" t="s">
        <v>112</v>
      </c>
      <c r="I30" s="53" t="s">
        <v>112</v>
      </c>
      <c r="J30" s="53" t="s">
        <v>112</v>
      </c>
      <c r="K30" s="53" t="s">
        <v>112</v>
      </c>
      <c r="L30" s="53" t="s">
        <v>112</v>
      </c>
      <c r="M30" s="53" t="s">
        <v>112</v>
      </c>
      <c r="N30" s="53" t="s">
        <v>112</v>
      </c>
      <c r="O30" s="53" t="s">
        <v>112</v>
      </c>
      <c r="P30" s="53" t="s">
        <v>112</v>
      </c>
      <c r="Q30" s="53" t="s">
        <v>112</v>
      </c>
      <c r="R30" s="53" t="s">
        <v>112</v>
      </c>
      <c r="S30" s="53">
        <v>0</v>
      </c>
      <c r="T30" s="53" t="s">
        <v>112</v>
      </c>
      <c r="U30" s="53">
        <v>4</v>
      </c>
      <c r="V30" s="53" t="s">
        <v>112</v>
      </c>
      <c r="W30" s="53" t="s">
        <v>112</v>
      </c>
      <c r="X30" s="53" t="s">
        <v>112</v>
      </c>
      <c r="Y30" s="53">
        <v>0</v>
      </c>
      <c r="Z30" s="53" t="s">
        <v>112</v>
      </c>
      <c r="AA30" s="53" t="s">
        <v>112</v>
      </c>
      <c r="AB30" s="53" t="s">
        <v>112</v>
      </c>
      <c r="AC30" s="53" t="s">
        <v>112</v>
      </c>
      <c r="AD30" s="53" t="s">
        <v>112</v>
      </c>
      <c r="AE30" s="53" t="s">
        <v>112</v>
      </c>
      <c r="AF30" s="53" t="s">
        <v>112</v>
      </c>
      <c r="AG30" s="53" t="s">
        <v>112</v>
      </c>
      <c r="AH30" s="53" t="s">
        <v>112</v>
      </c>
      <c r="AI30" s="53">
        <v>0</v>
      </c>
      <c r="AJ30" s="53" t="s">
        <v>112</v>
      </c>
      <c r="AK30" s="53" t="s">
        <v>112</v>
      </c>
      <c r="AL30" s="53" t="s">
        <v>112</v>
      </c>
      <c r="AM30" s="53">
        <v>0</v>
      </c>
      <c r="AN30" s="53" t="s">
        <v>112</v>
      </c>
      <c r="AO30" s="53">
        <v>0</v>
      </c>
      <c r="AP30" s="53" t="s">
        <v>112</v>
      </c>
      <c r="AQ30" s="53" t="s">
        <v>112</v>
      </c>
      <c r="AR30" s="53" t="s">
        <v>112</v>
      </c>
      <c r="AS30" s="53" t="s">
        <v>112</v>
      </c>
      <c r="AT30" s="53" t="s">
        <v>112</v>
      </c>
      <c r="AU30" s="53" t="s">
        <v>112</v>
      </c>
      <c r="AV30" s="53" t="s">
        <v>112</v>
      </c>
      <c r="AW30" s="53" t="s">
        <v>112</v>
      </c>
      <c r="AX30" s="53" t="s">
        <v>112</v>
      </c>
      <c r="AY30" s="53" t="s">
        <v>112</v>
      </c>
      <c r="AZ30" s="53" t="s">
        <v>112</v>
      </c>
      <c r="BA30" s="53">
        <v>0</v>
      </c>
      <c r="BB30" s="53" t="s">
        <v>112</v>
      </c>
      <c r="BC30" s="53">
        <v>0</v>
      </c>
      <c r="BD30" s="53" t="s">
        <v>112</v>
      </c>
      <c r="BE30" s="53">
        <v>0</v>
      </c>
      <c r="BF30" s="53" t="s">
        <v>112</v>
      </c>
      <c r="BG30" s="53" t="s">
        <v>112</v>
      </c>
      <c r="BH30" s="53" t="s">
        <v>112</v>
      </c>
      <c r="BI30" s="53" t="s">
        <v>112</v>
      </c>
      <c r="BJ30" s="53" t="s">
        <v>112</v>
      </c>
      <c r="BK30" s="53" t="s">
        <v>112</v>
      </c>
      <c r="BL30" s="53" t="s">
        <v>112</v>
      </c>
      <c r="BM30" s="53" t="s">
        <v>112</v>
      </c>
    </row>
    <row r="31" spans="1:65" ht="15" customHeight="1" x14ac:dyDescent="0.25">
      <c r="A31" s="53" t="s">
        <v>119</v>
      </c>
      <c r="B31" s="53" t="s">
        <v>112</v>
      </c>
      <c r="C31" s="53" t="s">
        <v>112</v>
      </c>
      <c r="D31" s="53" t="s">
        <v>112</v>
      </c>
      <c r="E31" s="53" t="s">
        <v>112</v>
      </c>
      <c r="F31" s="53" t="s">
        <v>112</v>
      </c>
      <c r="G31" s="53" t="s">
        <v>112</v>
      </c>
      <c r="H31" s="53" t="s">
        <v>112</v>
      </c>
      <c r="I31" s="53" t="s">
        <v>112</v>
      </c>
      <c r="J31" s="53" t="s">
        <v>112</v>
      </c>
      <c r="K31" s="53" t="s">
        <v>112</v>
      </c>
      <c r="L31" s="53" t="s">
        <v>112</v>
      </c>
      <c r="M31" s="53" t="s">
        <v>112</v>
      </c>
      <c r="N31" s="53" t="s">
        <v>112</v>
      </c>
      <c r="O31" s="53" t="s">
        <v>112</v>
      </c>
      <c r="P31" s="53" t="s">
        <v>112</v>
      </c>
      <c r="Q31" s="53" t="s">
        <v>112</v>
      </c>
      <c r="R31" s="53" t="s">
        <v>112</v>
      </c>
      <c r="S31" s="53">
        <v>2</v>
      </c>
      <c r="T31" s="53" t="s">
        <v>112</v>
      </c>
      <c r="U31" s="53">
        <v>2</v>
      </c>
      <c r="V31" s="53" t="s">
        <v>112</v>
      </c>
      <c r="W31" s="53" t="s">
        <v>112</v>
      </c>
      <c r="X31" s="53" t="s">
        <v>112</v>
      </c>
      <c r="Y31" s="53">
        <v>0</v>
      </c>
      <c r="Z31" s="53" t="s">
        <v>112</v>
      </c>
      <c r="AA31" s="53" t="s">
        <v>112</v>
      </c>
      <c r="AB31" s="53" t="s">
        <v>112</v>
      </c>
      <c r="AC31" s="53" t="s">
        <v>112</v>
      </c>
      <c r="AD31" s="53" t="s">
        <v>112</v>
      </c>
      <c r="AE31" s="53" t="s">
        <v>112</v>
      </c>
      <c r="AF31" s="53" t="s">
        <v>112</v>
      </c>
      <c r="AG31" s="53" t="s">
        <v>112</v>
      </c>
      <c r="AH31" s="53" t="s">
        <v>112</v>
      </c>
      <c r="AI31" s="53">
        <v>1</v>
      </c>
      <c r="AJ31" s="53" t="s">
        <v>112</v>
      </c>
      <c r="AK31" s="53" t="s">
        <v>112</v>
      </c>
      <c r="AL31" s="53" t="s">
        <v>112</v>
      </c>
      <c r="AM31" s="53">
        <v>0</v>
      </c>
      <c r="AN31" s="53" t="s">
        <v>112</v>
      </c>
      <c r="AO31" s="53">
        <v>0</v>
      </c>
      <c r="AP31" s="53" t="s">
        <v>112</v>
      </c>
      <c r="AQ31" s="53" t="s">
        <v>112</v>
      </c>
      <c r="AR31" s="53" t="s">
        <v>112</v>
      </c>
      <c r="AS31" s="53" t="s">
        <v>112</v>
      </c>
      <c r="AT31" s="53" t="s">
        <v>112</v>
      </c>
      <c r="AU31" s="53" t="s">
        <v>112</v>
      </c>
      <c r="AV31" s="53" t="s">
        <v>112</v>
      </c>
      <c r="AW31" s="53" t="s">
        <v>112</v>
      </c>
      <c r="AX31" s="53" t="s">
        <v>112</v>
      </c>
      <c r="AY31" s="53" t="s">
        <v>112</v>
      </c>
      <c r="AZ31" s="53" t="s">
        <v>112</v>
      </c>
      <c r="BA31" s="53">
        <v>4</v>
      </c>
      <c r="BB31" s="53" t="s">
        <v>112</v>
      </c>
      <c r="BC31" s="53">
        <v>0</v>
      </c>
      <c r="BD31" s="53" t="s">
        <v>112</v>
      </c>
      <c r="BE31" s="53">
        <v>0</v>
      </c>
      <c r="BF31" s="53" t="s">
        <v>112</v>
      </c>
      <c r="BG31" s="53" t="s">
        <v>112</v>
      </c>
      <c r="BH31" s="53" t="s">
        <v>112</v>
      </c>
      <c r="BI31" s="53" t="s">
        <v>112</v>
      </c>
      <c r="BJ31" s="53" t="s">
        <v>112</v>
      </c>
      <c r="BK31" s="53" t="s">
        <v>112</v>
      </c>
      <c r="BL31" s="53" t="s">
        <v>112</v>
      </c>
      <c r="BM31" s="53" t="s">
        <v>112</v>
      </c>
    </row>
    <row r="32" spans="1:65" ht="15" customHeight="1" x14ac:dyDescent="0.25">
      <c r="A32" s="53" t="s">
        <v>118</v>
      </c>
      <c r="B32" s="53" t="s">
        <v>112</v>
      </c>
      <c r="C32" s="53" t="s">
        <v>112</v>
      </c>
      <c r="D32" s="53" t="s">
        <v>112</v>
      </c>
      <c r="E32" s="53" t="s">
        <v>112</v>
      </c>
      <c r="F32" s="53" t="s">
        <v>112</v>
      </c>
      <c r="G32" s="53" t="s">
        <v>112</v>
      </c>
      <c r="H32" s="53" t="s">
        <v>112</v>
      </c>
      <c r="I32" s="53" t="s">
        <v>112</v>
      </c>
      <c r="J32" s="53" t="s">
        <v>112</v>
      </c>
      <c r="K32" s="53" t="s">
        <v>112</v>
      </c>
      <c r="L32" s="53" t="s">
        <v>112</v>
      </c>
      <c r="M32" s="53" t="s">
        <v>112</v>
      </c>
      <c r="N32" s="53" t="s">
        <v>112</v>
      </c>
      <c r="O32" s="53" t="s">
        <v>112</v>
      </c>
      <c r="P32" s="53" t="s">
        <v>112</v>
      </c>
      <c r="Q32" s="53" t="s">
        <v>112</v>
      </c>
      <c r="R32" s="53" t="s">
        <v>112</v>
      </c>
      <c r="S32" s="53">
        <v>1</v>
      </c>
      <c r="T32" s="53" t="s">
        <v>112</v>
      </c>
      <c r="U32" s="53">
        <v>4</v>
      </c>
      <c r="V32" s="53" t="s">
        <v>112</v>
      </c>
      <c r="W32" s="53" t="s">
        <v>112</v>
      </c>
      <c r="X32" s="53" t="s">
        <v>112</v>
      </c>
      <c r="Y32" s="53">
        <v>0</v>
      </c>
      <c r="Z32" s="53" t="s">
        <v>112</v>
      </c>
      <c r="AA32" s="53" t="s">
        <v>112</v>
      </c>
      <c r="AB32" s="53" t="s">
        <v>112</v>
      </c>
      <c r="AC32" s="53" t="s">
        <v>112</v>
      </c>
      <c r="AD32" s="53" t="s">
        <v>112</v>
      </c>
      <c r="AE32" s="53" t="s">
        <v>112</v>
      </c>
      <c r="AF32" s="53" t="s">
        <v>112</v>
      </c>
      <c r="AG32" s="53" t="s">
        <v>112</v>
      </c>
      <c r="AH32" s="53" t="s">
        <v>112</v>
      </c>
      <c r="AI32" s="53">
        <v>1</v>
      </c>
      <c r="AJ32" s="53" t="s">
        <v>112</v>
      </c>
      <c r="AK32" s="53" t="s">
        <v>112</v>
      </c>
      <c r="AL32" s="53" t="s">
        <v>112</v>
      </c>
      <c r="AM32" s="53">
        <v>0</v>
      </c>
      <c r="AN32" s="53" t="s">
        <v>112</v>
      </c>
      <c r="AO32" s="53">
        <v>0</v>
      </c>
      <c r="AP32" s="53" t="s">
        <v>112</v>
      </c>
      <c r="AQ32" s="53" t="s">
        <v>112</v>
      </c>
      <c r="AR32" s="53" t="s">
        <v>112</v>
      </c>
      <c r="AS32" s="53" t="s">
        <v>112</v>
      </c>
      <c r="AT32" s="53" t="s">
        <v>112</v>
      </c>
      <c r="AU32" s="53" t="s">
        <v>112</v>
      </c>
      <c r="AV32" s="53" t="s">
        <v>112</v>
      </c>
      <c r="AW32" s="53" t="s">
        <v>112</v>
      </c>
      <c r="AX32" s="53" t="s">
        <v>112</v>
      </c>
      <c r="AY32" s="53" t="s">
        <v>112</v>
      </c>
      <c r="AZ32" s="53" t="s">
        <v>112</v>
      </c>
      <c r="BA32" s="53">
        <v>0</v>
      </c>
      <c r="BB32" s="53" t="s">
        <v>112</v>
      </c>
      <c r="BC32" s="53">
        <v>0</v>
      </c>
      <c r="BD32" s="53" t="s">
        <v>112</v>
      </c>
      <c r="BE32" s="53">
        <v>0</v>
      </c>
      <c r="BF32" s="53" t="s">
        <v>112</v>
      </c>
      <c r="BG32" s="53" t="s">
        <v>112</v>
      </c>
      <c r="BH32" s="53" t="s">
        <v>112</v>
      </c>
      <c r="BI32" s="53" t="s">
        <v>112</v>
      </c>
      <c r="BJ32" s="53" t="s">
        <v>112</v>
      </c>
      <c r="BK32" s="53" t="s">
        <v>112</v>
      </c>
      <c r="BL32" s="53" t="s">
        <v>112</v>
      </c>
      <c r="BM32" s="53" t="s">
        <v>112</v>
      </c>
    </row>
    <row r="33" spans="1:65" ht="15" customHeight="1" x14ac:dyDescent="0.25">
      <c r="A33" s="53" t="s">
        <v>117</v>
      </c>
      <c r="B33" s="53" t="s">
        <v>112</v>
      </c>
      <c r="C33" s="53" t="s">
        <v>112</v>
      </c>
      <c r="D33" s="53" t="s">
        <v>112</v>
      </c>
      <c r="E33" s="53" t="s">
        <v>112</v>
      </c>
      <c r="F33" s="53" t="s">
        <v>112</v>
      </c>
      <c r="G33" s="53" t="s">
        <v>112</v>
      </c>
      <c r="H33" s="53" t="s">
        <v>112</v>
      </c>
      <c r="I33" s="53" t="s">
        <v>112</v>
      </c>
      <c r="J33" s="53" t="s">
        <v>112</v>
      </c>
      <c r="K33" s="53" t="s">
        <v>112</v>
      </c>
      <c r="L33" s="53" t="s">
        <v>112</v>
      </c>
      <c r="M33" s="53" t="s">
        <v>112</v>
      </c>
      <c r="N33" s="53" t="s">
        <v>112</v>
      </c>
      <c r="O33" s="53" t="s">
        <v>112</v>
      </c>
      <c r="P33" s="53" t="s">
        <v>112</v>
      </c>
      <c r="Q33" s="53" t="s">
        <v>112</v>
      </c>
      <c r="R33" s="53" t="s">
        <v>112</v>
      </c>
      <c r="S33" s="53">
        <v>0</v>
      </c>
      <c r="T33" s="53" t="s">
        <v>112</v>
      </c>
      <c r="U33" s="53">
        <v>2</v>
      </c>
      <c r="V33" s="53" t="s">
        <v>112</v>
      </c>
      <c r="W33" s="53" t="s">
        <v>112</v>
      </c>
      <c r="X33" s="53" t="s">
        <v>112</v>
      </c>
      <c r="Y33" s="53">
        <v>0</v>
      </c>
      <c r="Z33" s="53" t="s">
        <v>112</v>
      </c>
      <c r="AA33" s="53" t="s">
        <v>112</v>
      </c>
      <c r="AB33" s="53" t="s">
        <v>112</v>
      </c>
      <c r="AC33" s="53" t="s">
        <v>112</v>
      </c>
      <c r="AD33" s="53" t="s">
        <v>112</v>
      </c>
      <c r="AE33" s="53" t="s">
        <v>112</v>
      </c>
      <c r="AF33" s="53" t="s">
        <v>112</v>
      </c>
      <c r="AG33" s="53" t="s">
        <v>112</v>
      </c>
      <c r="AH33" s="53" t="s">
        <v>112</v>
      </c>
      <c r="AI33" s="53">
        <v>0</v>
      </c>
      <c r="AJ33" s="53" t="s">
        <v>112</v>
      </c>
      <c r="AK33" s="53" t="s">
        <v>112</v>
      </c>
      <c r="AL33" s="53" t="s">
        <v>112</v>
      </c>
      <c r="AM33" s="53">
        <v>0</v>
      </c>
      <c r="AN33" s="53" t="s">
        <v>112</v>
      </c>
      <c r="AO33" s="53">
        <v>0</v>
      </c>
      <c r="AP33" s="53" t="s">
        <v>112</v>
      </c>
      <c r="AQ33" s="53" t="s">
        <v>112</v>
      </c>
      <c r="AR33" s="53" t="s">
        <v>112</v>
      </c>
      <c r="AS33" s="53" t="s">
        <v>112</v>
      </c>
      <c r="AT33" s="53" t="s">
        <v>112</v>
      </c>
      <c r="AU33" s="53" t="s">
        <v>112</v>
      </c>
      <c r="AV33" s="53" t="s">
        <v>112</v>
      </c>
      <c r="AW33" s="53" t="s">
        <v>112</v>
      </c>
      <c r="AX33" s="53" t="s">
        <v>112</v>
      </c>
      <c r="AY33" s="53" t="s">
        <v>112</v>
      </c>
      <c r="AZ33" s="53" t="s">
        <v>112</v>
      </c>
      <c r="BA33" s="53">
        <v>2</v>
      </c>
      <c r="BB33" s="53" t="s">
        <v>112</v>
      </c>
      <c r="BC33" s="53">
        <v>2</v>
      </c>
      <c r="BD33" s="53" t="s">
        <v>112</v>
      </c>
      <c r="BE33" s="53">
        <v>0</v>
      </c>
      <c r="BF33" s="53" t="s">
        <v>112</v>
      </c>
      <c r="BG33" s="53" t="s">
        <v>112</v>
      </c>
      <c r="BH33" s="53" t="s">
        <v>112</v>
      </c>
      <c r="BI33" s="53" t="s">
        <v>112</v>
      </c>
      <c r="BJ33" s="53" t="s">
        <v>112</v>
      </c>
      <c r="BK33" s="53" t="s">
        <v>112</v>
      </c>
      <c r="BL33" s="53" t="s">
        <v>112</v>
      </c>
      <c r="BM33" s="53" t="s">
        <v>112</v>
      </c>
    </row>
    <row r="34" spans="1:65" ht="15" customHeight="1" x14ac:dyDescent="0.25">
      <c r="A34" s="53" t="s">
        <v>116</v>
      </c>
      <c r="B34" s="53" t="s">
        <v>112</v>
      </c>
      <c r="C34" s="53" t="s">
        <v>112</v>
      </c>
      <c r="D34" s="53" t="s">
        <v>112</v>
      </c>
      <c r="E34" s="53" t="s">
        <v>112</v>
      </c>
      <c r="F34" s="53" t="s">
        <v>112</v>
      </c>
      <c r="G34" s="53" t="s">
        <v>112</v>
      </c>
      <c r="H34" s="53" t="s">
        <v>112</v>
      </c>
      <c r="I34" s="53" t="s">
        <v>112</v>
      </c>
      <c r="J34" s="53" t="s">
        <v>112</v>
      </c>
      <c r="K34" s="53" t="s">
        <v>112</v>
      </c>
      <c r="L34" s="53" t="s">
        <v>112</v>
      </c>
      <c r="M34" s="53" t="s">
        <v>112</v>
      </c>
      <c r="N34" s="53" t="s">
        <v>112</v>
      </c>
      <c r="O34" s="53" t="s">
        <v>112</v>
      </c>
      <c r="P34" s="53" t="s">
        <v>112</v>
      </c>
      <c r="Q34" s="53" t="s">
        <v>112</v>
      </c>
      <c r="R34" s="53" t="s">
        <v>112</v>
      </c>
      <c r="S34" s="53">
        <v>2</v>
      </c>
      <c r="T34" s="53" t="s">
        <v>112</v>
      </c>
      <c r="U34" s="53">
        <v>6</v>
      </c>
      <c r="V34" s="53" t="s">
        <v>112</v>
      </c>
      <c r="W34" s="53" t="s">
        <v>112</v>
      </c>
      <c r="X34" s="53" t="s">
        <v>112</v>
      </c>
      <c r="Y34" s="53">
        <v>0</v>
      </c>
      <c r="Z34" s="53" t="s">
        <v>112</v>
      </c>
      <c r="AA34" s="53" t="s">
        <v>112</v>
      </c>
      <c r="AB34" s="53" t="s">
        <v>112</v>
      </c>
      <c r="AC34" s="53" t="s">
        <v>112</v>
      </c>
      <c r="AD34" s="53" t="s">
        <v>112</v>
      </c>
      <c r="AE34" s="53" t="s">
        <v>112</v>
      </c>
      <c r="AF34" s="53" t="s">
        <v>112</v>
      </c>
      <c r="AG34" s="53" t="s">
        <v>112</v>
      </c>
      <c r="AH34" s="53" t="s">
        <v>112</v>
      </c>
      <c r="AI34" s="53">
        <v>0</v>
      </c>
      <c r="AJ34" s="53" t="s">
        <v>112</v>
      </c>
      <c r="AK34" s="53" t="s">
        <v>112</v>
      </c>
      <c r="AL34" s="53" t="s">
        <v>112</v>
      </c>
      <c r="AM34" s="53">
        <v>0</v>
      </c>
      <c r="AN34" s="53" t="s">
        <v>112</v>
      </c>
      <c r="AO34" s="53">
        <v>0</v>
      </c>
      <c r="AP34" s="53" t="s">
        <v>112</v>
      </c>
      <c r="AQ34" s="53" t="s">
        <v>112</v>
      </c>
      <c r="AR34" s="53" t="s">
        <v>112</v>
      </c>
      <c r="AS34" s="53" t="s">
        <v>112</v>
      </c>
      <c r="AT34" s="53" t="s">
        <v>112</v>
      </c>
      <c r="AU34" s="53" t="s">
        <v>112</v>
      </c>
      <c r="AV34" s="53" t="s">
        <v>112</v>
      </c>
      <c r="AW34" s="53" t="s">
        <v>112</v>
      </c>
      <c r="AX34" s="53" t="s">
        <v>112</v>
      </c>
      <c r="AY34" s="53" t="s">
        <v>112</v>
      </c>
      <c r="AZ34" s="53" t="s">
        <v>112</v>
      </c>
      <c r="BA34" s="53">
        <v>2</v>
      </c>
      <c r="BB34" s="53" t="s">
        <v>112</v>
      </c>
      <c r="BC34" s="53">
        <v>0</v>
      </c>
      <c r="BD34" s="53" t="s">
        <v>112</v>
      </c>
      <c r="BE34" s="53">
        <v>0</v>
      </c>
      <c r="BF34" s="53" t="s">
        <v>112</v>
      </c>
      <c r="BG34" s="53" t="s">
        <v>112</v>
      </c>
      <c r="BH34" s="53" t="s">
        <v>112</v>
      </c>
      <c r="BI34" s="53" t="s">
        <v>112</v>
      </c>
      <c r="BJ34" s="53" t="s">
        <v>112</v>
      </c>
      <c r="BK34" s="53" t="s">
        <v>112</v>
      </c>
      <c r="BL34" s="53" t="s">
        <v>112</v>
      </c>
      <c r="BM34" s="53" t="s">
        <v>112</v>
      </c>
    </row>
    <row r="35" spans="1:65" ht="15" customHeight="1" x14ac:dyDescent="0.25">
      <c r="A35" s="53" t="s">
        <v>115</v>
      </c>
      <c r="B35" s="53" t="s">
        <v>112</v>
      </c>
      <c r="C35" s="53" t="s">
        <v>112</v>
      </c>
      <c r="D35" s="53" t="s">
        <v>112</v>
      </c>
      <c r="E35" s="53" t="s">
        <v>112</v>
      </c>
      <c r="F35" s="53" t="s">
        <v>112</v>
      </c>
      <c r="G35" s="53" t="s">
        <v>112</v>
      </c>
      <c r="H35" s="53" t="s">
        <v>112</v>
      </c>
      <c r="I35" s="53" t="s">
        <v>112</v>
      </c>
      <c r="J35" s="53" t="s">
        <v>112</v>
      </c>
      <c r="K35" s="53" t="s">
        <v>112</v>
      </c>
      <c r="L35" s="53" t="s">
        <v>112</v>
      </c>
      <c r="M35" s="53" t="s">
        <v>112</v>
      </c>
      <c r="N35" s="53" t="s">
        <v>112</v>
      </c>
      <c r="O35" s="53" t="s">
        <v>112</v>
      </c>
      <c r="P35" s="53" t="s">
        <v>112</v>
      </c>
      <c r="Q35" s="53" t="s">
        <v>112</v>
      </c>
      <c r="R35" s="53" t="s">
        <v>112</v>
      </c>
      <c r="S35" s="53">
        <v>0</v>
      </c>
      <c r="T35" s="53" t="s">
        <v>112</v>
      </c>
      <c r="U35" s="53">
        <v>5</v>
      </c>
      <c r="V35" s="53" t="s">
        <v>112</v>
      </c>
      <c r="W35" s="53" t="s">
        <v>112</v>
      </c>
      <c r="X35" s="53" t="s">
        <v>112</v>
      </c>
      <c r="Y35" s="53">
        <v>0</v>
      </c>
      <c r="Z35" s="53" t="s">
        <v>112</v>
      </c>
      <c r="AA35" s="53" t="s">
        <v>112</v>
      </c>
      <c r="AB35" s="53" t="s">
        <v>112</v>
      </c>
      <c r="AC35" s="53" t="s">
        <v>112</v>
      </c>
      <c r="AD35" s="53" t="s">
        <v>112</v>
      </c>
      <c r="AE35" s="53" t="s">
        <v>112</v>
      </c>
      <c r="AF35" s="53" t="s">
        <v>112</v>
      </c>
      <c r="AG35" s="53" t="s">
        <v>112</v>
      </c>
      <c r="AH35" s="53" t="s">
        <v>112</v>
      </c>
      <c r="AI35" s="53">
        <v>0</v>
      </c>
      <c r="AJ35" s="53" t="s">
        <v>112</v>
      </c>
      <c r="AK35" s="53" t="s">
        <v>112</v>
      </c>
      <c r="AL35" s="53" t="s">
        <v>112</v>
      </c>
      <c r="AM35" s="53">
        <v>0</v>
      </c>
      <c r="AN35" s="53" t="s">
        <v>112</v>
      </c>
      <c r="AO35" s="53">
        <v>0</v>
      </c>
      <c r="AP35" s="53" t="s">
        <v>112</v>
      </c>
      <c r="AQ35" s="53" t="s">
        <v>112</v>
      </c>
      <c r="AR35" s="53" t="s">
        <v>112</v>
      </c>
      <c r="AS35" s="53" t="s">
        <v>112</v>
      </c>
      <c r="AT35" s="53" t="s">
        <v>112</v>
      </c>
      <c r="AU35" s="53" t="s">
        <v>112</v>
      </c>
      <c r="AV35" s="53" t="s">
        <v>112</v>
      </c>
      <c r="AW35" s="53" t="s">
        <v>112</v>
      </c>
      <c r="AX35" s="53" t="s">
        <v>112</v>
      </c>
      <c r="AY35" s="53" t="s">
        <v>112</v>
      </c>
      <c r="AZ35" s="53" t="s">
        <v>112</v>
      </c>
      <c r="BA35" s="53">
        <v>3</v>
      </c>
      <c r="BB35" s="53" t="s">
        <v>112</v>
      </c>
      <c r="BC35" s="53">
        <v>2</v>
      </c>
      <c r="BD35" s="53" t="s">
        <v>112</v>
      </c>
      <c r="BE35" s="53">
        <v>0</v>
      </c>
      <c r="BF35" s="53" t="s">
        <v>112</v>
      </c>
      <c r="BG35" s="53" t="s">
        <v>112</v>
      </c>
      <c r="BH35" s="53" t="s">
        <v>112</v>
      </c>
      <c r="BI35" s="53" t="s">
        <v>112</v>
      </c>
      <c r="BJ35" s="53" t="s">
        <v>112</v>
      </c>
      <c r="BK35" s="53" t="s">
        <v>112</v>
      </c>
      <c r="BL35" s="53" t="s">
        <v>112</v>
      </c>
      <c r="BM35" s="53" t="s">
        <v>112</v>
      </c>
    </row>
    <row r="36" spans="1:65" ht="15" customHeight="1" x14ac:dyDescent="0.25">
      <c r="A36" s="53" t="s">
        <v>114</v>
      </c>
      <c r="B36" s="53" t="s">
        <v>112</v>
      </c>
      <c r="C36" s="53" t="s">
        <v>112</v>
      </c>
      <c r="D36" s="53" t="s">
        <v>112</v>
      </c>
      <c r="E36" s="53" t="s">
        <v>112</v>
      </c>
      <c r="F36" s="53" t="s">
        <v>112</v>
      </c>
      <c r="G36" s="53" t="s">
        <v>112</v>
      </c>
      <c r="H36" s="53" t="s">
        <v>112</v>
      </c>
      <c r="I36" s="53" t="s">
        <v>112</v>
      </c>
      <c r="J36" s="53" t="s">
        <v>112</v>
      </c>
      <c r="K36" s="53" t="s">
        <v>112</v>
      </c>
      <c r="L36" s="53" t="s">
        <v>112</v>
      </c>
      <c r="M36" s="53" t="s">
        <v>112</v>
      </c>
      <c r="N36" s="53" t="s">
        <v>112</v>
      </c>
      <c r="O36" s="53" t="s">
        <v>112</v>
      </c>
      <c r="P36" s="53" t="s">
        <v>112</v>
      </c>
      <c r="Q36" s="53" t="s">
        <v>112</v>
      </c>
      <c r="R36" s="53" t="s">
        <v>112</v>
      </c>
      <c r="S36" s="53">
        <v>1</v>
      </c>
      <c r="T36" s="53" t="s">
        <v>112</v>
      </c>
      <c r="U36" s="53">
        <v>2</v>
      </c>
      <c r="V36" s="53" t="s">
        <v>112</v>
      </c>
      <c r="W36" s="53" t="s">
        <v>112</v>
      </c>
      <c r="X36" s="53" t="s">
        <v>112</v>
      </c>
      <c r="Y36" s="53">
        <v>0</v>
      </c>
      <c r="Z36" s="53" t="s">
        <v>112</v>
      </c>
      <c r="AA36" s="53" t="s">
        <v>112</v>
      </c>
      <c r="AB36" s="53" t="s">
        <v>112</v>
      </c>
      <c r="AC36" s="53" t="s">
        <v>112</v>
      </c>
      <c r="AD36" s="53" t="s">
        <v>112</v>
      </c>
      <c r="AE36" s="53" t="s">
        <v>112</v>
      </c>
      <c r="AF36" s="53" t="s">
        <v>112</v>
      </c>
      <c r="AG36" s="53" t="s">
        <v>112</v>
      </c>
      <c r="AH36" s="53" t="s">
        <v>112</v>
      </c>
      <c r="AI36" s="53">
        <v>1</v>
      </c>
      <c r="AJ36" s="53" t="s">
        <v>112</v>
      </c>
      <c r="AK36" s="53" t="s">
        <v>112</v>
      </c>
      <c r="AL36" s="53" t="s">
        <v>112</v>
      </c>
      <c r="AM36" s="53">
        <v>0</v>
      </c>
      <c r="AN36" s="53" t="s">
        <v>112</v>
      </c>
      <c r="AO36" s="53">
        <v>0</v>
      </c>
      <c r="AP36" s="53" t="s">
        <v>112</v>
      </c>
      <c r="AQ36" s="53" t="s">
        <v>112</v>
      </c>
      <c r="AR36" s="53" t="s">
        <v>112</v>
      </c>
      <c r="AS36" s="53" t="s">
        <v>112</v>
      </c>
      <c r="AT36" s="53" t="s">
        <v>112</v>
      </c>
      <c r="AU36" s="53" t="s">
        <v>112</v>
      </c>
      <c r="AV36" s="53" t="s">
        <v>112</v>
      </c>
      <c r="AW36" s="53" t="s">
        <v>112</v>
      </c>
      <c r="AX36" s="53" t="s">
        <v>112</v>
      </c>
      <c r="AY36" s="53" t="s">
        <v>112</v>
      </c>
      <c r="AZ36" s="53" t="s">
        <v>112</v>
      </c>
      <c r="BA36" s="53">
        <v>2</v>
      </c>
      <c r="BB36" s="53" t="s">
        <v>112</v>
      </c>
      <c r="BC36" s="53">
        <v>2</v>
      </c>
      <c r="BD36" s="53" t="s">
        <v>112</v>
      </c>
      <c r="BE36" s="53">
        <v>0</v>
      </c>
      <c r="BF36" s="53" t="s">
        <v>112</v>
      </c>
      <c r="BG36" s="53" t="s">
        <v>112</v>
      </c>
      <c r="BH36" s="53" t="s">
        <v>112</v>
      </c>
      <c r="BI36" s="53" t="s">
        <v>112</v>
      </c>
      <c r="BJ36" s="53" t="s">
        <v>112</v>
      </c>
      <c r="BK36" s="53" t="s">
        <v>112</v>
      </c>
      <c r="BL36" s="53" t="s">
        <v>112</v>
      </c>
      <c r="BM36" s="53" t="s">
        <v>112</v>
      </c>
    </row>
    <row r="37" spans="1:65" ht="15" customHeight="1" x14ac:dyDescent="0.25">
      <c r="A37" s="53" t="s">
        <v>113</v>
      </c>
      <c r="B37" s="53" t="s">
        <v>112</v>
      </c>
      <c r="C37" s="53" t="s">
        <v>112</v>
      </c>
      <c r="D37" s="53" t="s">
        <v>112</v>
      </c>
      <c r="E37" s="53" t="s">
        <v>112</v>
      </c>
      <c r="F37" s="53" t="s">
        <v>112</v>
      </c>
      <c r="G37" s="53" t="s">
        <v>112</v>
      </c>
      <c r="H37" s="53" t="s">
        <v>112</v>
      </c>
      <c r="I37" s="53" t="s">
        <v>112</v>
      </c>
      <c r="J37" s="53" t="s">
        <v>112</v>
      </c>
      <c r="K37" s="53" t="s">
        <v>112</v>
      </c>
      <c r="L37" s="53" t="s">
        <v>112</v>
      </c>
      <c r="M37" s="53" t="s">
        <v>112</v>
      </c>
      <c r="N37" s="53" t="s">
        <v>112</v>
      </c>
      <c r="O37" s="53" t="s">
        <v>112</v>
      </c>
      <c r="P37" s="53" t="s">
        <v>112</v>
      </c>
      <c r="Q37" s="53" t="s">
        <v>112</v>
      </c>
      <c r="R37" s="53" t="s">
        <v>112</v>
      </c>
      <c r="S37" s="53">
        <v>0</v>
      </c>
      <c r="T37" s="53" t="s">
        <v>112</v>
      </c>
      <c r="U37" s="53">
        <v>0</v>
      </c>
      <c r="V37" s="53" t="s">
        <v>112</v>
      </c>
      <c r="W37" s="53" t="s">
        <v>112</v>
      </c>
      <c r="X37" s="53" t="s">
        <v>112</v>
      </c>
      <c r="Y37" s="53">
        <v>0</v>
      </c>
      <c r="Z37" s="53" t="s">
        <v>112</v>
      </c>
      <c r="AA37" s="53" t="s">
        <v>112</v>
      </c>
      <c r="AB37" s="53" t="s">
        <v>112</v>
      </c>
      <c r="AC37" s="53" t="s">
        <v>112</v>
      </c>
      <c r="AD37" s="53" t="s">
        <v>112</v>
      </c>
      <c r="AE37" s="53" t="s">
        <v>112</v>
      </c>
      <c r="AF37" s="53" t="s">
        <v>112</v>
      </c>
      <c r="AG37" s="53" t="s">
        <v>112</v>
      </c>
      <c r="AH37" s="53" t="s">
        <v>112</v>
      </c>
      <c r="AI37" s="53">
        <v>0</v>
      </c>
      <c r="AJ37" s="53" t="s">
        <v>112</v>
      </c>
      <c r="AK37" s="53" t="s">
        <v>112</v>
      </c>
      <c r="AL37" s="53" t="s">
        <v>112</v>
      </c>
      <c r="AM37" s="53">
        <v>0</v>
      </c>
      <c r="AN37" s="53" t="s">
        <v>112</v>
      </c>
      <c r="AO37" s="53">
        <v>0</v>
      </c>
      <c r="AP37" s="53" t="s">
        <v>112</v>
      </c>
      <c r="AQ37" s="53" t="s">
        <v>112</v>
      </c>
      <c r="AR37" s="53" t="s">
        <v>112</v>
      </c>
      <c r="AS37" s="53" t="s">
        <v>112</v>
      </c>
      <c r="AT37" s="53" t="s">
        <v>112</v>
      </c>
      <c r="AU37" s="53" t="s">
        <v>112</v>
      </c>
      <c r="AV37" s="53" t="s">
        <v>112</v>
      </c>
      <c r="AW37" s="53" t="s">
        <v>112</v>
      </c>
      <c r="AX37" s="53" t="s">
        <v>112</v>
      </c>
      <c r="AY37" s="53" t="s">
        <v>112</v>
      </c>
      <c r="AZ37" s="53" t="s">
        <v>112</v>
      </c>
      <c r="BA37" s="53">
        <v>0</v>
      </c>
      <c r="BB37" s="53" t="s">
        <v>112</v>
      </c>
      <c r="BC37" s="53">
        <v>0</v>
      </c>
      <c r="BD37" s="53" t="s">
        <v>112</v>
      </c>
      <c r="BE37" s="53">
        <v>0</v>
      </c>
      <c r="BF37" s="53" t="s">
        <v>112</v>
      </c>
      <c r="BG37" s="53" t="s">
        <v>112</v>
      </c>
      <c r="BH37" s="53" t="s">
        <v>112</v>
      </c>
      <c r="BI37" s="53" t="s">
        <v>112</v>
      </c>
      <c r="BJ37" s="53" t="s">
        <v>112</v>
      </c>
      <c r="BK37" s="53" t="s">
        <v>112</v>
      </c>
      <c r="BL37" s="53" t="s">
        <v>112</v>
      </c>
      <c r="BM37" s="53" t="s">
        <v>112</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29382E-6FA9-4F09-8B83-379FBF350CB3}">
  <dimension ref="A1:BM37"/>
  <sheetViews>
    <sheetView workbookViewId="0">
      <selection sqref="A1:B1"/>
    </sheetView>
  </sheetViews>
  <sheetFormatPr defaultColWidth="12.109375" defaultRowHeight="15" customHeight="1" x14ac:dyDescent="0.25"/>
  <cols>
    <col min="1" max="1" width="12.109375" style="53" bestFit="1" customWidth="1"/>
    <col min="2" max="65" width="9.109375" style="53" bestFit="1" customWidth="1"/>
    <col min="66" max="16384" width="12.109375" style="53"/>
  </cols>
  <sheetData>
    <row r="1" spans="1:65" ht="15" customHeight="1" x14ac:dyDescent="0.4">
      <c r="A1" s="62" t="s">
        <v>165</v>
      </c>
      <c r="B1" s="62"/>
      <c r="C1" s="61" t="s">
        <v>164</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4">
      <c r="A2" s="62" t="s">
        <v>163</v>
      </c>
      <c r="B2" s="62"/>
      <c r="C2" s="61" t="s">
        <v>162</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4">
      <c r="A3" s="62" t="s">
        <v>9</v>
      </c>
      <c r="B3" s="62"/>
      <c r="C3" s="61" t="s">
        <v>135</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4">
      <c r="A4" s="62" t="s">
        <v>161</v>
      </c>
      <c r="B4" s="62"/>
      <c r="C4" s="61" t="s">
        <v>112</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4">
      <c r="A5" s="62" t="s">
        <v>160</v>
      </c>
      <c r="B5" s="62"/>
      <c r="C5" s="61" t="s">
        <v>112</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4">
      <c r="A6" s="62" t="s">
        <v>112</v>
      </c>
      <c r="B6" s="62"/>
      <c r="C6" s="61" t="s">
        <v>112</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4">
      <c r="A7" s="62" t="s">
        <v>112</v>
      </c>
      <c r="B7" s="62"/>
      <c r="C7" s="61" t="s">
        <v>112</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4">
      <c r="A8" s="62" t="s">
        <v>112</v>
      </c>
      <c r="B8" s="62"/>
      <c r="C8" s="61" t="s">
        <v>112</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4">
      <c r="A9" s="62" t="s">
        <v>112</v>
      </c>
      <c r="B9" s="62"/>
      <c r="C9" s="61" t="s">
        <v>112</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4">
      <c r="A10" s="62" t="s">
        <v>159</v>
      </c>
      <c r="B10" s="62"/>
      <c r="C10" s="61" t="s">
        <v>158</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4">
      <c r="A11" s="62" t="s">
        <v>157</v>
      </c>
      <c r="B11" s="62"/>
      <c r="C11" s="61" t="s">
        <v>167</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5">
      <c r="A12" s="53" t="s">
        <v>112</v>
      </c>
      <c r="B12" s="60" t="s">
        <v>152</v>
      </c>
      <c r="C12" s="59"/>
      <c r="D12" s="59"/>
      <c r="E12" s="59"/>
      <c r="F12" s="59"/>
      <c r="G12" s="59"/>
      <c r="H12" s="59"/>
      <c r="I12" s="58"/>
      <c r="J12" s="60" t="s">
        <v>152</v>
      </c>
      <c r="K12" s="59"/>
      <c r="L12" s="59"/>
      <c r="M12" s="59"/>
      <c r="N12" s="59"/>
      <c r="O12" s="59"/>
      <c r="P12" s="59"/>
      <c r="Q12" s="58"/>
      <c r="R12" s="60" t="s">
        <v>155</v>
      </c>
      <c r="S12" s="59"/>
      <c r="T12" s="59"/>
      <c r="U12" s="59"/>
      <c r="V12" s="59"/>
      <c r="W12" s="59"/>
      <c r="X12" s="59"/>
      <c r="Y12" s="58"/>
      <c r="Z12" s="60" t="s">
        <v>152</v>
      </c>
      <c r="AA12" s="59"/>
      <c r="AB12" s="59"/>
      <c r="AC12" s="59"/>
      <c r="AD12" s="59"/>
      <c r="AE12" s="59"/>
      <c r="AF12" s="59"/>
      <c r="AG12" s="58"/>
      <c r="AH12" s="60" t="s">
        <v>154</v>
      </c>
      <c r="AI12" s="59"/>
      <c r="AJ12" s="59"/>
      <c r="AK12" s="59"/>
      <c r="AL12" s="59"/>
      <c r="AM12" s="59"/>
      <c r="AN12" s="59"/>
      <c r="AO12" s="58"/>
      <c r="AP12" s="60" t="s">
        <v>152</v>
      </c>
      <c r="AQ12" s="59"/>
      <c r="AR12" s="59"/>
      <c r="AS12" s="59"/>
      <c r="AT12" s="59"/>
      <c r="AU12" s="59"/>
      <c r="AV12" s="59"/>
      <c r="AW12" s="58"/>
      <c r="AX12" s="60" t="s">
        <v>153</v>
      </c>
      <c r="AY12" s="59"/>
      <c r="AZ12" s="59"/>
      <c r="BA12" s="59"/>
      <c r="BB12" s="59"/>
      <c r="BC12" s="59"/>
      <c r="BD12" s="59"/>
      <c r="BE12" s="58"/>
      <c r="BF12" s="60" t="s">
        <v>152</v>
      </c>
      <c r="BG12" s="59"/>
      <c r="BH12" s="59"/>
      <c r="BI12" s="59"/>
      <c r="BJ12" s="59"/>
      <c r="BK12" s="59"/>
      <c r="BL12" s="59"/>
      <c r="BM12" s="58"/>
    </row>
    <row r="13" spans="1:65" ht="15" customHeight="1" x14ac:dyDescent="0.25">
      <c r="A13" s="53" t="s">
        <v>112</v>
      </c>
      <c r="B13" s="57" t="s">
        <v>151</v>
      </c>
      <c r="C13" s="56"/>
      <c r="D13" s="56"/>
      <c r="E13" s="56"/>
      <c r="F13" s="56"/>
      <c r="G13" s="56"/>
      <c r="H13" s="56"/>
      <c r="I13" s="55"/>
      <c r="J13" s="57" t="s">
        <v>150</v>
      </c>
      <c r="K13" s="56"/>
      <c r="L13" s="56"/>
      <c r="M13" s="56"/>
      <c r="N13" s="56"/>
      <c r="O13" s="56"/>
      <c r="P13" s="56"/>
      <c r="Q13" s="55"/>
      <c r="R13" s="57" t="s">
        <v>149</v>
      </c>
      <c r="S13" s="56"/>
      <c r="T13" s="56"/>
      <c r="U13" s="56"/>
      <c r="V13" s="56"/>
      <c r="W13" s="56"/>
      <c r="X13" s="56"/>
      <c r="Y13" s="55"/>
      <c r="Z13" s="57" t="s">
        <v>148</v>
      </c>
      <c r="AA13" s="56"/>
      <c r="AB13" s="56"/>
      <c r="AC13" s="56"/>
      <c r="AD13" s="56"/>
      <c r="AE13" s="56"/>
      <c r="AF13" s="56"/>
      <c r="AG13" s="55"/>
      <c r="AH13" s="57" t="s">
        <v>147</v>
      </c>
      <c r="AI13" s="56"/>
      <c r="AJ13" s="56"/>
      <c r="AK13" s="56"/>
      <c r="AL13" s="56"/>
      <c r="AM13" s="56"/>
      <c r="AN13" s="56"/>
      <c r="AO13" s="55"/>
      <c r="AP13" s="57" t="s">
        <v>146</v>
      </c>
      <c r="AQ13" s="56"/>
      <c r="AR13" s="56"/>
      <c r="AS13" s="56"/>
      <c r="AT13" s="56"/>
      <c r="AU13" s="56"/>
      <c r="AV13" s="56"/>
      <c r="AW13" s="55"/>
      <c r="AX13" s="57" t="s">
        <v>145</v>
      </c>
      <c r="AY13" s="56"/>
      <c r="AZ13" s="56"/>
      <c r="BA13" s="56"/>
      <c r="BB13" s="56"/>
      <c r="BC13" s="56"/>
      <c r="BD13" s="56"/>
      <c r="BE13" s="55"/>
      <c r="BF13" s="57" t="s">
        <v>144</v>
      </c>
      <c r="BG13" s="56"/>
      <c r="BH13" s="56"/>
      <c r="BI13" s="56"/>
      <c r="BJ13" s="56"/>
      <c r="BK13" s="56"/>
      <c r="BL13" s="56"/>
      <c r="BM13" s="55"/>
    </row>
    <row r="14" spans="1:65" ht="15" customHeight="1" x14ac:dyDescent="0.25">
      <c r="A14" s="54" t="s">
        <v>9</v>
      </c>
      <c r="B14" s="54" t="s">
        <v>143</v>
      </c>
      <c r="C14" s="54" t="s">
        <v>142</v>
      </c>
      <c r="D14" s="54" t="s">
        <v>141</v>
      </c>
      <c r="E14" s="54" t="s">
        <v>140</v>
      </c>
      <c r="F14" s="54" t="s">
        <v>139</v>
      </c>
      <c r="G14" s="54" t="s">
        <v>138</v>
      </c>
      <c r="H14" s="54" t="s">
        <v>137</v>
      </c>
      <c r="I14" s="54" t="s">
        <v>136</v>
      </c>
      <c r="J14" s="54" t="s">
        <v>143</v>
      </c>
      <c r="K14" s="54" t="s">
        <v>142</v>
      </c>
      <c r="L14" s="54" t="s">
        <v>141</v>
      </c>
      <c r="M14" s="54" t="s">
        <v>140</v>
      </c>
      <c r="N14" s="54" t="s">
        <v>139</v>
      </c>
      <c r="O14" s="54" t="s">
        <v>138</v>
      </c>
      <c r="P14" s="54" t="s">
        <v>137</v>
      </c>
      <c r="Q14" s="54" t="s">
        <v>136</v>
      </c>
      <c r="R14" s="54" t="s">
        <v>143</v>
      </c>
      <c r="S14" s="54" t="s">
        <v>142</v>
      </c>
      <c r="T14" s="54" t="s">
        <v>141</v>
      </c>
      <c r="U14" s="54" t="s">
        <v>140</v>
      </c>
      <c r="V14" s="54" t="s">
        <v>139</v>
      </c>
      <c r="W14" s="54" t="s">
        <v>138</v>
      </c>
      <c r="X14" s="54" t="s">
        <v>137</v>
      </c>
      <c r="Y14" s="54" t="s">
        <v>136</v>
      </c>
      <c r="Z14" s="54" t="s">
        <v>143</v>
      </c>
      <c r="AA14" s="54" t="s">
        <v>142</v>
      </c>
      <c r="AB14" s="54" t="s">
        <v>141</v>
      </c>
      <c r="AC14" s="54" t="s">
        <v>140</v>
      </c>
      <c r="AD14" s="54" t="s">
        <v>139</v>
      </c>
      <c r="AE14" s="54" t="s">
        <v>138</v>
      </c>
      <c r="AF14" s="54" t="s">
        <v>137</v>
      </c>
      <c r="AG14" s="54" t="s">
        <v>136</v>
      </c>
      <c r="AH14" s="54" t="s">
        <v>143</v>
      </c>
      <c r="AI14" s="54" t="s">
        <v>142</v>
      </c>
      <c r="AJ14" s="54" t="s">
        <v>141</v>
      </c>
      <c r="AK14" s="54" t="s">
        <v>140</v>
      </c>
      <c r="AL14" s="54" t="s">
        <v>139</v>
      </c>
      <c r="AM14" s="54" t="s">
        <v>138</v>
      </c>
      <c r="AN14" s="54" t="s">
        <v>137</v>
      </c>
      <c r="AO14" s="54" t="s">
        <v>136</v>
      </c>
      <c r="AP14" s="54" t="s">
        <v>143</v>
      </c>
      <c r="AQ14" s="54" t="s">
        <v>142</v>
      </c>
      <c r="AR14" s="54" t="s">
        <v>141</v>
      </c>
      <c r="AS14" s="54" t="s">
        <v>140</v>
      </c>
      <c r="AT14" s="54" t="s">
        <v>139</v>
      </c>
      <c r="AU14" s="54" t="s">
        <v>138</v>
      </c>
      <c r="AV14" s="54" t="s">
        <v>137</v>
      </c>
      <c r="AW14" s="54" t="s">
        <v>136</v>
      </c>
      <c r="AX14" s="54" t="s">
        <v>143</v>
      </c>
      <c r="AY14" s="54" t="s">
        <v>142</v>
      </c>
      <c r="AZ14" s="54" t="s">
        <v>141</v>
      </c>
      <c r="BA14" s="54" t="s">
        <v>140</v>
      </c>
      <c r="BB14" s="54" t="s">
        <v>139</v>
      </c>
      <c r="BC14" s="54" t="s">
        <v>138</v>
      </c>
      <c r="BD14" s="54" t="s">
        <v>137</v>
      </c>
      <c r="BE14" s="54" t="s">
        <v>136</v>
      </c>
      <c r="BF14" s="54" t="s">
        <v>143</v>
      </c>
      <c r="BG14" s="54" t="s">
        <v>142</v>
      </c>
      <c r="BH14" s="54" t="s">
        <v>141</v>
      </c>
      <c r="BI14" s="54" t="s">
        <v>140</v>
      </c>
      <c r="BJ14" s="54" t="s">
        <v>139</v>
      </c>
      <c r="BK14" s="54" t="s">
        <v>138</v>
      </c>
      <c r="BL14" s="54" t="s">
        <v>137</v>
      </c>
      <c r="BM14" s="54" t="s">
        <v>136</v>
      </c>
    </row>
    <row r="15" spans="1:65" ht="15" customHeight="1" x14ac:dyDescent="0.25">
      <c r="A15" s="53" t="s">
        <v>135</v>
      </c>
      <c r="B15" s="53" t="s">
        <v>112</v>
      </c>
      <c r="C15" s="53" t="s">
        <v>112</v>
      </c>
      <c r="D15" s="53" t="s">
        <v>112</v>
      </c>
      <c r="E15" s="53" t="s">
        <v>112</v>
      </c>
      <c r="F15" s="53" t="s">
        <v>112</v>
      </c>
      <c r="G15" s="53" t="s">
        <v>112</v>
      </c>
      <c r="H15" s="53" t="s">
        <v>112</v>
      </c>
      <c r="I15" s="53" t="s">
        <v>112</v>
      </c>
      <c r="J15" s="53" t="s">
        <v>112</v>
      </c>
      <c r="K15" s="53" t="s">
        <v>112</v>
      </c>
      <c r="L15" s="53" t="s">
        <v>112</v>
      </c>
      <c r="M15" s="53" t="s">
        <v>112</v>
      </c>
      <c r="N15" s="53" t="s">
        <v>112</v>
      </c>
      <c r="O15" s="53" t="s">
        <v>112</v>
      </c>
      <c r="P15" s="53" t="s">
        <v>112</v>
      </c>
      <c r="Q15" s="53" t="s">
        <v>112</v>
      </c>
      <c r="R15" s="53" t="s">
        <v>112</v>
      </c>
      <c r="S15" s="53">
        <v>1</v>
      </c>
      <c r="T15" s="53" t="s">
        <v>112</v>
      </c>
      <c r="U15" s="53">
        <v>201</v>
      </c>
      <c r="V15" s="53" t="s">
        <v>112</v>
      </c>
      <c r="W15" s="53" t="s">
        <v>112</v>
      </c>
      <c r="X15" s="53" t="s">
        <v>112</v>
      </c>
      <c r="Y15" s="53">
        <v>0</v>
      </c>
      <c r="Z15" s="53" t="s">
        <v>112</v>
      </c>
      <c r="AA15" s="53" t="s">
        <v>112</v>
      </c>
      <c r="AB15" s="53" t="s">
        <v>112</v>
      </c>
      <c r="AC15" s="53" t="s">
        <v>112</v>
      </c>
      <c r="AD15" s="53" t="s">
        <v>112</v>
      </c>
      <c r="AE15" s="53" t="s">
        <v>112</v>
      </c>
      <c r="AF15" s="53" t="s">
        <v>112</v>
      </c>
      <c r="AG15" s="53" t="s">
        <v>112</v>
      </c>
      <c r="AH15" s="53" t="s">
        <v>112</v>
      </c>
      <c r="AI15" s="53">
        <v>20</v>
      </c>
      <c r="AJ15" s="53" t="s">
        <v>112</v>
      </c>
      <c r="AK15" s="53" t="s">
        <v>112</v>
      </c>
      <c r="AL15" s="53" t="s">
        <v>112</v>
      </c>
      <c r="AM15" s="53">
        <v>1</v>
      </c>
      <c r="AN15" s="53" t="s">
        <v>112</v>
      </c>
      <c r="AO15" s="53">
        <v>0</v>
      </c>
      <c r="AP15" s="53" t="s">
        <v>112</v>
      </c>
      <c r="AQ15" s="53" t="s">
        <v>112</v>
      </c>
      <c r="AR15" s="53" t="s">
        <v>112</v>
      </c>
      <c r="AS15" s="53" t="s">
        <v>112</v>
      </c>
      <c r="AT15" s="53" t="s">
        <v>112</v>
      </c>
      <c r="AU15" s="53" t="s">
        <v>112</v>
      </c>
      <c r="AV15" s="53" t="s">
        <v>112</v>
      </c>
      <c r="AW15" s="53" t="s">
        <v>112</v>
      </c>
      <c r="AX15" s="53" t="s">
        <v>112</v>
      </c>
      <c r="AY15" s="53" t="s">
        <v>112</v>
      </c>
      <c r="AZ15" s="53" t="s">
        <v>112</v>
      </c>
      <c r="BA15" s="53">
        <v>91</v>
      </c>
      <c r="BB15" s="53" t="s">
        <v>112</v>
      </c>
      <c r="BC15" s="53">
        <v>3</v>
      </c>
      <c r="BD15" s="53" t="s">
        <v>112</v>
      </c>
      <c r="BE15" s="53">
        <v>0</v>
      </c>
      <c r="BF15" s="53" t="s">
        <v>112</v>
      </c>
      <c r="BG15" s="53" t="s">
        <v>112</v>
      </c>
      <c r="BH15" s="53" t="s">
        <v>112</v>
      </c>
      <c r="BI15" s="53" t="s">
        <v>112</v>
      </c>
      <c r="BJ15" s="53" t="s">
        <v>112</v>
      </c>
      <c r="BK15" s="53" t="s">
        <v>112</v>
      </c>
      <c r="BL15" s="53" t="s">
        <v>112</v>
      </c>
      <c r="BM15" s="53" t="s">
        <v>112</v>
      </c>
    </row>
    <row r="16" spans="1:65" ht="15" customHeight="1" x14ac:dyDescent="0.25">
      <c r="A16" s="53" t="s">
        <v>134</v>
      </c>
      <c r="B16" s="53" t="s">
        <v>112</v>
      </c>
      <c r="C16" s="53" t="s">
        <v>112</v>
      </c>
      <c r="D16" s="53" t="s">
        <v>112</v>
      </c>
      <c r="E16" s="53" t="s">
        <v>112</v>
      </c>
      <c r="F16" s="53" t="s">
        <v>112</v>
      </c>
      <c r="G16" s="53" t="s">
        <v>112</v>
      </c>
      <c r="H16" s="53" t="s">
        <v>112</v>
      </c>
      <c r="I16" s="53" t="s">
        <v>112</v>
      </c>
      <c r="J16" s="53" t="s">
        <v>112</v>
      </c>
      <c r="K16" s="53" t="s">
        <v>112</v>
      </c>
      <c r="L16" s="53" t="s">
        <v>112</v>
      </c>
      <c r="M16" s="53" t="s">
        <v>112</v>
      </c>
      <c r="N16" s="53" t="s">
        <v>112</v>
      </c>
      <c r="O16" s="53" t="s">
        <v>112</v>
      </c>
      <c r="P16" s="53" t="s">
        <v>112</v>
      </c>
      <c r="Q16" s="53" t="s">
        <v>112</v>
      </c>
      <c r="R16" s="53" t="s">
        <v>112</v>
      </c>
      <c r="S16" s="53">
        <v>2</v>
      </c>
      <c r="T16" s="53" t="s">
        <v>112</v>
      </c>
      <c r="U16" s="53">
        <v>291</v>
      </c>
      <c r="V16" s="53" t="s">
        <v>112</v>
      </c>
      <c r="W16" s="53" t="s">
        <v>112</v>
      </c>
      <c r="X16" s="53" t="s">
        <v>112</v>
      </c>
      <c r="Y16" s="53">
        <v>0</v>
      </c>
      <c r="Z16" s="53" t="s">
        <v>112</v>
      </c>
      <c r="AA16" s="53" t="s">
        <v>112</v>
      </c>
      <c r="AB16" s="53" t="s">
        <v>112</v>
      </c>
      <c r="AC16" s="53" t="s">
        <v>112</v>
      </c>
      <c r="AD16" s="53" t="s">
        <v>112</v>
      </c>
      <c r="AE16" s="53" t="s">
        <v>112</v>
      </c>
      <c r="AF16" s="53" t="s">
        <v>112</v>
      </c>
      <c r="AG16" s="53" t="s">
        <v>112</v>
      </c>
      <c r="AH16" s="53" t="s">
        <v>112</v>
      </c>
      <c r="AI16" s="53">
        <v>19</v>
      </c>
      <c r="AJ16" s="53" t="s">
        <v>112</v>
      </c>
      <c r="AK16" s="53" t="s">
        <v>112</v>
      </c>
      <c r="AL16" s="53" t="s">
        <v>112</v>
      </c>
      <c r="AM16" s="53">
        <v>2</v>
      </c>
      <c r="AN16" s="53" t="s">
        <v>112</v>
      </c>
      <c r="AO16" s="53">
        <v>0</v>
      </c>
      <c r="AP16" s="53" t="s">
        <v>112</v>
      </c>
      <c r="AQ16" s="53" t="s">
        <v>112</v>
      </c>
      <c r="AR16" s="53" t="s">
        <v>112</v>
      </c>
      <c r="AS16" s="53" t="s">
        <v>112</v>
      </c>
      <c r="AT16" s="53" t="s">
        <v>112</v>
      </c>
      <c r="AU16" s="53" t="s">
        <v>112</v>
      </c>
      <c r="AV16" s="53" t="s">
        <v>112</v>
      </c>
      <c r="AW16" s="53" t="s">
        <v>112</v>
      </c>
      <c r="AX16" s="53" t="s">
        <v>112</v>
      </c>
      <c r="AY16" s="53" t="s">
        <v>112</v>
      </c>
      <c r="AZ16" s="53" t="s">
        <v>112</v>
      </c>
      <c r="BA16" s="53">
        <v>138</v>
      </c>
      <c r="BB16" s="53" t="s">
        <v>112</v>
      </c>
      <c r="BC16" s="53">
        <v>4</v>
      </c>
      <c r="BD16" s="53" t="s">
        <v>112</v>
      </c>
      <c r="BE16" s="53">
        <v>0</v>
      </c>
      <c r="BF16" s="53" t="s">
        <v>112</v>
      </c>
      <c r="BG16" s="53" t="s">
        <v>112</v>
      </c>
      <c r="BH16" s="53" t="s">
        <v>112</v>
      </c>
      <c r="BI16" s="53" t="s">
        <v>112</v>
      </c>
      <c r="BJ16" s="53" t="s">
        <v>112</v>
      </c>
      <c r="BK16" s="53" t="s">
        <v>112</v>
      </c>
      <c r="BL16" s="53" t="s">
        <v>112</v>
      </c>
      <c r="BM16" s="53" t="s">
        <v>112</v>
      </c>
    </row>
    <row r="17" spans="1:65" ht="15" customHeight="1" x14ac:dyDescent="0.25">
      <c r="A17" s="53" t="s">
        <v>133</v>
      </c>
      <c r="B17" s="53" t="s">
        <v>112</v>
      </c>
      <c r="C17" s="53" t="s">
        <v>112</v>
      </c>
      <c r="D17" s="53" t="s">
        <v>112</v>
      </c>
      <c r="E17" s="53" t="s">
        <v>112</v>
      </c>
      <c r="F17" s="53" t="s">
        <v>112</v>
      </c>
      <c r="G17" s="53" t="s">
        <v>112</v>
      </c>
      <c r="H17" s="53" t="s">
        <v>112</v>
      </c>
      <c r="I17" s="53" t="s">
        <v>112</v>
      </c>
      <c r="J17" s="53" t="s">
        <v>112</v>
      </c>
      <c r="K17" s="53" t="s">
        <v>112</v>
      </c>
      <c r="L17" s="53" t="s">
        <v>112</v>
      </c>
      <c r="M17" s="53" t="s">
        <v>112</v>
      </c>
      <c r="N17" s="53" t="s">
        <v>112</v>
      </c>
      <c r="O17" s="53" t="s">
        <v>112</v>
      </c>
      <c r="P17" s="53" t="s">
        <v>112</v>
      </c>
      <c r="Q17" s="53" t="s">
        <v>112</v>
      </c>
      <c r="R17" s="53" t="s">
        <v>112</v>
      </c>
      <c r="S17" s="53">
        <v>0</v>
      </c>
      <c r="T17" s="53" t="s">
        <v>112</v>
      </c>
      <c r="U17" s="53">
        <v>330</v>
      </c>
      <c r="V17" s="53" t="s">
        <v>112</v>
      </c>
      <c r="W17" s="53" t="s">
        <v>112</v>
      </c>
      <c r="X17" s="53" t="s">
        <v>112</v>
      </c>
      <c r="Y17" s="53">
        <v>0</v>
      </c>
      <c r="Z17" s="53" t="s">
        <v>112</v>
      </c>
      <c r="AA17" s="53" t="s">
        <v>112</v>
      </c>
      <c r="AB17" s="53" t="s">
        <v>112</v>
      </c>
      <c r="AC17" s="53" t="s">
        <v>112</v>
      </c>
      <c r="AD17" s="53" t="s">
        <v>112</v>
      </c>
      <c r="AE17" s="53" t="s">
        <v>112</v>
      </c>
      <c r="AF17" s="53" t="s">
        <v>112</v>
      </c>
      <c r="AG17" s="53" t="s">
        <v>112</v>
      </c>
      <c r="AH17" s="53" t="s">
        <v>112</v>
      </c>
      <c r="AI17" s="53">
        <v>30</v>
      </c>
      <c r="AJ17" s="53" t="s">
        <v>112</v>
      </c>
      <c r="AK17" s="53" t="s">
        <v>112</v>
      </c>
      <c r="AL17" s="53" t="s">
        <v>112</v>
      </c>
      <c r="AM17" s="53">
        <v>2</v>
      </c>
      <c r="AN17" s="53" t="s">
        <v>112</v>
      </c>
      <c r="AO17" s="53">
        <v>0</v>
      </c>
      <c r="AP17" s="53" t="s">
        <v>112</v>
      </c>
      <c r="AQ17" s="53" t="s">
        <v>112</v>
      </c>
      <c r="AR17" s="53" t="s">
        <v>112</v>
      </c>
      <c r="AS17" s="53" t="s">
        <v>112</v>
      </c>
      <c r="AT17" s="53" t="s">
        <v>112</v>
      </c>
      <c r="AU17" s="53" t="s">
        <v>112</v>
      </c>
      <c r="AV17" s="53" t="s">
        <v>112</v>
      </c>
      <c r="AW17" s="53" t="s">
        <v>112</v>
      </c>
      <c r="AX17" s="53" t="s">
        <v>112</v>
      </c>
      <c r="AY17" s="53" t="s">
        <v>112</v>
      </c>
      <c r="AZ17" s="53" t="s">
        <v>112</v>
      </c>
      <c r="BA17" s="53">
        <v>130</v>
      </c>
      <c r="BB17" s="53" t="s">
        <v>112</v>
      </c>
      <c r="BC17" s="53">
        <v>6</v>
      </c>
      <c r="BD17" s="53" t="s">
        <v>112</v>
      </c>
      <c r="BE17" s="53">
        <v>0</v>
      </c>
      <c r="BF17" s="53" t="s">
        <v>112</v>
      </c>
      <c r="BG17" s="53" t="s">
        <v>112</v>
      </c>
      <c r="BH17" s="53" t="s">
        <v>112</v>
      </c>
      <c r="BI17" s="53" t="s">
        <v>112</v>
      </c>
      <c r="BJ17" s="53" t="s">
        <v>112</v>
      </c>
      <c r="BK17" s="53" t="s">
        <v>112</v>
      </c>
      <c r="BL17" s="53" t="s">
        <v>112</v>
      </c>
      <c r="BM17" s="53" t="s">
        <v>112</v>
      </c>
    </row>
    <row r="18" spans="1:65" ht="15" customHeight="1" x14ac:dyDescent="0.25">
      <c r="A18" s="53" t="s">
        <v>132</v>
      </c>
      <c r="B18" s="53" t="s">
        <v>112</v>
      </c>
      <c r="C18" s="53" t="s">
        <v>112</v>
      </c>
      <c r="D18" s="53" t="s">
        <v>112</v>
      </c>
      <c r="E18" s="53" t="s">
        <v>112</v>
      </c>
      <c r="F18" s="53" t="s">
        <v>112</v>
      </c>
      <c r="G18" s="53" t="s">
        <v>112</v>
      </c>
      <c r="H18" s="53" t="s">
        <v>112</v>
      </c>
      <c r="I18" s="53" t="s">
        <v>112</v>
      </c>
      <c r="J18" s="53" t="s">
        <v>112</v>
      </c>
      <c r="K18" s="53" t="s">
        <v>112</v>
      </c>
      <c r="L18" s="53" t="s">
        <v>112</v>
      </c>
      <c r="M18" s="53" t="s">
        <v>112</v>
      </c>
      <c r="N18" s="53" t="s">
        <v>112</v>
      </c>
      <c r="O18" s="53" t="s">
        <v>112</v>
      </c>
      <c r="P18" s="53" t="s">
        <v>112</v>
      </c>
      <c r="Q18" s="53" t="s">
        <v>112</v>
      </c>
      <c r="R18" s="53" t="s">
        <v>112</v>
      </c>
      <c r="S18" s="53">
        <v>4</v>
      </c>
      <c r="T18" s="53" t="s">
        <v>112</v>
      </c>
      <c r="U18" s="53">
        <v>312</v>
      </c>
      <c r="V18" s="53" t="s">
        <v>112</v>
      </c>
      <c r="W18" s="53" t="s">
        <v>112</v>
      </c>
      <c r="X18" s="53" t="s">
        <v>112</v>
      </c>
      <c r="Y18" s="53">
        <v>0</v>
      </c>
      <c r="Z18" s="53" t="s">
        <v>112</v>
      </c>
      <c r="AA18" s="53" t="s">
        <v>112</v>
      </c>
      <c r="AB18" s="53" t="s">
        <v>112</v>
      </c>
      <c r="AC18" s="53" t="s">
        <v>112</v>
      </c>
      <c r="AD18" s="53" t="s">
        <v>112</v>
      </c>
      <c r="AE18" s="53" t="s">
        <v>112</v>
      </c>
      <c r="AF18" s="53" t="s">
        <v>112</v>
      </c>
      <c r="AG18" s="53" t="s">
        <v>112</v>
      </c>
      <c r="AH18" s="53" t="s">
        <v>112</v>
      </c>
      <c r="AI18" s="53">
        <v>31</v>
      </c>
      <c r="AJ18" s="53" t="s">
        <v>112</v>
      </c>
      <c r="AK18" s="53" t="s">
        <v>112</v>
      </c>
      <c r="AL18" s="53" t="s">
        <v>112</v>
      </c>
      <c r="AM18" s="53">
        <v>1</v>
      </c>
      <c r="AN18" s="53" t="s">
        <v>112</v>
      </c>
      <c r="AO18" s="53">
        <v>0</v>
      </c>
      <c r="AP18" s="53" t="s">
        <v>112</v>
      </c>
      <c r="AQ18" s="53" t="s">
        <v>112</v>
      </c>
      <c r="AR18" s="53" t="s">
        <v>112</v>
      </c>
      <c r="AS18" s="53" t="s">
        <v>112</v>
      </c>
      <c r="AT18" s="53" t="s">
        <v>112</v>
      </c>
      <c r="AU18" s="53" t="s">
        <v>112</v>
      </c>
      <c r="AV18" s="53" t="s">
        <v>112</v>
      </c>
      <c r="AW18" s="53" t="s">
        <v>112</v>
      </c>
      <c r="AX18" s="53" t="s">
        <v>112</v>
      </c>
      <c r="AY18" s="53" t="s">
        <v>112</v>
      </c>
      <c r="AZ18" s="53" t="s">
        <v>112</v>
      </c>
      <c r="BA18" s="53">
        <v>138</v>
      </c>
      <c r="BB18" s="53" t="s">
        <v>112</v>
      </c>
      <c r="BC18" s="53">
        <v>7</v>
      </c>
      <c r="BD18" s="53" t="s">
        <v>112</v>
      </c>
      <c r="BE18" s="53">
        <v>0</v>
      </c>
      <c r="BF18" s="53" t="s">
        <v>112</v>
      </c>
      <c r="BG18" s="53" t="s">
        <v>112</v>
      </c>
      <c r="BH18" s="53" t="s">
        <v>112</v>
      </c>
      <c r="BI18" s="53" t="s">
        <v>112</v>
      </c>
      <c r="BJ18" s="53" t="s">
        <v>112</v>
      </c>
      <c r="BK18" s="53" t="s">
        <v>112</v>
      </c>
      <c r="BL18" s="53" t="s">
        <v>112</v>
      </c>
      <c r="BM18" s="53" t="s">
        <v>112</v>
      </c>
    </row>
    <row r="19" spans="1:65" ht="15" customHeight="1" x14ac:dyDescent="0.25">
      <c r="A19" s="53" t="s">
        <v>131</v>
      </c>
      <c r="B19" s="53" t="s">
        <v>112</v>
      </c>
      <c r="C19" s="53" t="s">
        <v>112</v>
      </c>
      <c r="D19" s="53" t="s">
        <v>112</v>
      </c>
      <c r="E19" s="53" t="s">
        <v>112</v>
      </c>
      <c r="F19" s="53" t="s">
        <v>112</v>
      </c>
      <c r="G19" s="53" t="s">
        <v>112</v>
      </c>
      <c r="H19" s="53" t="s">
        <v>112</v>
      </c>
      <c r="I19" s="53" t="s">
        <v>112</v>
      </c>
      <c r="J19" s="53" t="s">
        <v>112</v>
      </c>
      <c r="K19" s="53" t="s">
        <v>112</v>
      </c>
      <c r="L19" s="53" t="s">
        <v>112</v>
      </c>
      <c r="M19" s="53" t="s">
        <v>112</v>
      </c>
      <c r="N19" s="53" t="s">
        <v>112</v>
      </c>
      <c r="O19" s="53" t="s">
        <v>112</v>
      </c>
      <c r="P19" s="53" t="s">
        <v>112</v>
      </c>
      <c r="Q19" s="53" t="s">
        <v>112</v>
      </c>
      <c r="R19" s="53" t="s">
        <v>112</v>
      </c>
      <c r="S19" s="53">
        <v>3</v>
      </c>
      <c r="T19" s="53" t="s">
        <v>112</v>
      </c>
      <c r="U19" s="53">
        <v>286</v>
      </c>
      <c r="V19" s="53" t="s">
        <v>112</v>
      </c>
      <c r="W19" s="53" t="s">
        <v>112</v>
      </c>
      <c r="X19" s="53" t="s">
        <v>112</v>
      </c>
      <c r="Y19" s="53">
        <v>0</v>
      </c>
      <c r="Z19" s="53" t="s">
        <v>112</v>
      </c>
      <c r="AA19" s="53" t="s">
        <v>112</v>
      </c>
      <c r="AB19" s="53" t="s">
        <v>112</v>
      </c>
      <c r="AC19" s="53" t="s">
        <v>112</v>
      </c>
      <c r="AD19" s="53" t="s">
        <v>112</v>
      </c>
      <c r="AE19" s="53" t="s">
        <v>112</v>
      </c>
      <c r="AF19" s="53" t="s">
        <v>112</v>
      </c>
      <c r="AG19" s="53" t="s">
        <v>112</v>
      </c>
      <c r="AH19" s="53" t="s">
        <v>112</v>
      </c>
      <c r="AI19" s="53">
        <v>18</v>
      </c>
      <c r="AJ19" s="53" t="s">
        <v>112</v>
      </c>
      <c r="AK19" s="53" t="s">
        <v>112</v>
      </c>
      <c r="AL19" s="53" t="s">
        <v>112</v>
      </c>
      <c r="AM19" s="53">
        <v>0</v>
      </c>
      <c r="AN19" s="53" t="s">
        <v>112</v>
      </c>
      <c r="AO19" s="53">
        <v>0</v>
      </c>
      <c r="AP19" s="53" t="s">
        <v>112</v>
      </c>
      <c r="AQ19" s="53" t="s">
        <v>112</v>
      </c>
      <c r="AR19" s="53" t="s">
        <v>112</v>
      </c>
      <c r="AS19" s="53" t="s">
        <v>112</v>
      </c>
      <c r="AT19" s="53" t="s">
        <v>112</v>
      </c>
      <c r="AU19" s="53" t="s">
        <v>112</v>
      </c>
      <c r="AV19" s="53" t="s">
        <v>112</v>
      </c>
      <c r="AW19" s="53" t="s">
        <v>112</v>
      </c>
      <c r="AX19" s="53" t="s">
        <v>112</v>
      </c>
      <c r="AY19" s="53" t="s">
        <v>112</v>
      </c>
      <c r="AZ19" s="53" t="s">
        <v>112</v>
      </c>
      <c r="BA19" s="53">
        <v>155</v>
      </c>
      <c r="BB19" s="53" t="s">
        <v>112</v>
      </c>
      <c r="BC19" s="53">
        <v>6</v>
      </c>
      <c r="BD19" s="53" t="s">
        <v>112</v>
      </c>
      <c r="BE19" s="53">
        <v>0</v>
      </c>
      <c r="BF19" s="53" t="s">
        <v>112</v>
      </c>
      <c r="BG19" s="53" t="s">
        <v>112</v>
      </c>
      <c r="BH19" s="53" t="s">
        <v>112</v>
      </c>
      <c r="BI19" s="53" t="s">
        <v>112</v>
      </c>
      <c r="BJ19" s="53" t="s">
        <v>112</v>
      </c>
      <c r="BK19" s="53" t="s">
        <v>112</v>
      </c>
      <c r="BL19" s="53" t="s">
        <v>112</v>
      </c>
      <c r="BM19" s="53" t="s">
        <v>112</v>
      </c>
    </row>
    <row r="20" spans="1:65" ht="15" customHeight="1" x14ac:dyDescent="0.25">
      <c r="A20" s="53" t="s">
        <v>130</v>
      </c>
      <c r="B20" s="53" t="s">
        <v>112</v>
      </c>
      <c r="C20" s="53" t="s">
        <v>112</v>
      </c>
      <c r="D20" s="53" t="s">
        <v>112</v>
      </c>
      <c r="E20" s="53" t="s">
        <v>112</v>
      </c>
      <c r="F20" s="53" t="s">
        <v>112</v>
      </c>
      <c r="G20" s="53" t="s">
        <v>112</v>
      </c>
      <c r="H20" s="53" t="s">
        <v>112</v>
      </c>
      <c r="I20" s="53" t="s">
        <v>112</v>
      </c>
      <c r="J20" s="53" t="s">
        <v>112</v>
      </c>
      <c r="K20" s="53" t="s">
        <v>112</v>
      </c>
      <c r="L20" s="53" t="s">
        <v>112</v>
      </c>
      <c r="M20" s="53" t="s">
        <v>112</v>
      </c>
      <c r="N20" s="53" t="s">
        <v>112</v>
      </c>
      <c r="O20" s="53" t="s">
        <v>112</v>
      </c>
      <c r="P20" s="53" t="s">
        <v>112</v>
      </c>
      <c r="Q20" s="53" t="s">
        <v>112</v>
      </c>
      <c r="R20" s="53" t="s">
        <v>112</v>
      </c>
      <c r="S20" s="53">
        <v>3</v>
      </c>
      <c r="T20" s="53" t="s">
        <v>112</v>
      </c>
      <c r="U20" s="53">
        <v>312</v>
      </c>
      <c r="V20" s="53" t="s">
        <v>112</v>
      </c>
      <c r="W20" s="53" t="s">
        <v>112</v>
      </c>
      <c r="X20" s="53" t="s">
        <v>112</v>
      </c>
      <c r="Y20" s="53">
        <v>0</v>
      </c>
      <c r="Z20" s="53" t="s">
        <v>112</v>
      </c>
      <c r="AA20" s="53" t="s">
        <v>112</v>
      </c>
      <c r="AB20" s="53" t="s">
        <v>112</v>
      </c>
      <c r="AC20" s="53" t="s">
        <v>112</v>
      </c>
      <c r="AD20" s="53" t="s">
        <v>112</v>
      </c>
      <c r="AE20" s="53" t="s">
        <v>112</v>
      </c>
      <c r="AF20" s="53" t="s">
        <v>112</v>
      </c>
      <c r="AG20" s="53" t="s">
        <v>112</v>
      </c>
      <c r="AH20" s="53" t="s">
        <v>112</v>
      </c>
      <c r="AI20" s="53">
        <v>29</v>
      </c>
      <c r="AJ20" s="53" t="s">
        <v>112</v>
      </c>
      <c r="AK20" s="53" t="s">
        <v>112</v>
      </c>
      <c r="AL20" s="53" t="s">
        <v>112</v>
      </c>
      <c r="AM20" s="53">
        <v>3</v>
      </c>
      <c r="AN20" s="53" t="s">
        <v>112</v>
      </c>
      <c r="AO20" s="53">
        <v>0</v>
      </c>
      <c r="AP20" s="53" t="s">
        <v>112</v>
      </c>
      <c r="AQ20" s="53" t="s">
        <v>112</v>
      </c>
      <c r="AR20" s="53" t="s">
        <v>112</v>
      </c>
      <c r="AS20" s="53" t="s">
        <v>112</v>
      </c>
      <c r="AT20" s="53" t="s">
        <v>112</v>
      </c>
      <c r="AU20" s="53" t="s">
        <v>112</v>
      </c>
      <c r="AV20" s="53" t="s">
        <v>112</v>
      </c>
      <c r="AW20" s="53" t="s">
        <v>112</v>
      </c>
      <c r="AX20" s="53" t="s">
        <v>112</v>
      </c>
      <c r="AY20" s="53" t="s">
        <v>112</v>
      </c>
      <c r="AZ20" s="53" t="s">
        <v>112</v>
      </c>
      <c r="BA20" s="53">
        <v>155</v>
      </c>
      <c r="BB20" s="53" t="s">
        <v>112</v>
      </c>
      <c r="BC20" s="53">
        <v>5</v>
      </c>
      <c r="BD20" s="53" t="s">
        <v>112</v>
      </c>
      <c r="BE20" s="53">
        <v>1</v>
      </c>
      <c r="BF20" s="53" t="s">
        <v>112</v>
      </c>
      <c r="BG20" s="53" t="s">
        <v>112</v>
      </c>
      <c r="BH20" s="53" t="s">
        <v>112</v>
      </c>
      <c r="BI20" s="53" t="s">
        <v>112</v>
      </c>
      <c r="BJ20" s="53" t="s">
        <v>112</v>
      </c>
      <c r="BK20" s="53" t="s">
        <v>112</v>
      </c>
      <c r="BL20" s="53" t="s">
        <v>112</v>
      </c>
      <c r="BM20" s="53" t="s">
        <v>112</v>
      </c>
    </row>
    <row r="21" spans="1:65" ht="15" customHeight="1" x14ac:dyDescent="0.25">
      <c r="A21" s="53" t="s">
        <v>129</v>
      </c>
      <c r="B21" s="53" t="s">
        <v>112</v>
      </c>
      <c r="C21" s="53" t="s">
        <v>112</v>
      </c>
      <c r="D21" s="53" t="s">
        <v>112</v>
      </c>
      <c r="E21" s="53" t="s">
        <v>112</v>
      </c>
      <c r="F21" s="53" t="s">
        <v>112</v>
      </c>
      <c r="G21" s="53" t="s">
        <v>112</v>
      </c>
      <c r="H21" s="53" t="s">
        <v>112</v>
      </c>
      <c r="I21" s="53" t="s">
        <v>112</v>
      </c>
      <c r="J21" s="53" t="s">
        <v>112</v>
      </c>
      <c r="K21" s="53" t="s">
        <v>112</v>
      </c>
      <c r="L21" s="53" t="s">
        <v>112</v>
      </c>
      <c r="M21" s="53" t="s">
        <v>112</v>
      </c>
      <c r="N21" s="53" t="s">
        <v>112</v>
      </c>
      <c r="O21" s="53" t="s">
        <v>112</v>
      </c>
      <c r="P21" s="53" t="s">
        <v>112</v>
      </c>
      <c r="Q21" s="53" t="s">
        <v>112</v>
      </c>
      <c r="R21" s="53" t="s">
        <v>112</v>
      </c>
      <c r="S21" s="53">
        <v>11</v>
      </c>
      <c r="T21" s="53" t="s">
        <v>112</v>
      </c>
      <c r="U21" s="53">
        <v>297</v>
      </c>
      <c r="V21" s="53" t="s">
        <v>112</v>
      </c>
      <c r="W21" s="53" t="s">
        <v>112</v>
      </c>
      <c r="X21" s="53" t="s">
        <v>112</v>
      </c>
      <c r="Y21" s="53">
        <v>0</v>
      </c>
      <c r="Z21" s="53" t="s">
        <v>112</v>
      </c>
      <c r="AA21" s="53" t="s">
        <v>112</v>
      </c>
      <c r="AB21" s="53" t="s">
        <v>112</v>
      </c>
      <c r="AC21" s="53" t="s">
        <v>112</v>
      </c>
      <c r="AD21" s="53" t="s">
        <v>112</v>
      </c>
      <c r="AE21" s="53" t="s">
        <v>112</v>
      </c>
      <c r="AF21" s="53" t="s">
        <v>112</v>
      </c>
      <c r="AG21" s="53" t="s">
        <v>112</v>
      </c>
      <c r="AH21" s="53" t="s">
        <v>112</v>
      </c>
      <c r="AI21" s="53">
        <v>26</v>
      </c>
      <c r="AJ21" s="53" t="s">
        <v>112</v>
      </c>
      <c r="AK21" s="53" t="s">
        <v>112</v>
      </c>
      <c r="AL21" s="53" t="s">
        <v>112</v>
      </c>
      <c r="AM21" s="53">
        <v>10</v>
      </c>
      <c r="AN21" s="53" t="s">
        <v>112</v>
      </c>
      <c r="AO21" s="53">
        <v>0</v>
      </c>
      <c r="AP21" s="53" t="s">
        <v>112</v>
      </c>
      <c r="AQ21" s="53" t="s">
        <v>112</v>
      </c>
      <c r="AR21" s="53" t="s">
        <v>112</v>
      </c>
      <c r="AS21" s="53" t="s">
        <v>112</v>
      </c>
      <c r="AT21" s="53" t="s">
        <v>112</v>
      </c>
      <c r="AU21" s="53" t="s">
        <v>112</v>
      </c>
      <c r="AV21" s="53" t="s">
        <v>112</v>
      </c>
      <c r="AW21" s="53" t="s">
        <v>112</v>
      </c>
      <c r="AX21" s="53" t="s">
        <v>112</v>
      </c>
      <c r="AY21" s="53" t="s">
        <v>112</v>
      </c>
      <c r="AZ21" s="53" t="s">
        <v>112</v>
      </c>
      <c r="BA21" s="53">
        <v>158</v>
      </c>
      <c r="BB21" s="53" t="s">
        <v>112</v>
      </c>
      <c r="BC21" s="53">
        <v>4</v>
      </c>
      <c r="BD21" s="53" t="s">
        <v>112</v>
      </c>
      <c r="BE21" s="53">
        <v>0</v>
      </c>
      <c r="BF21" s="53" t="s">
        <v>112</v>
      </c>
      <c r="BG21" s="53" t="s">
        <v>112</v>
      </c>
      <c r="BH21" s="53" t="s">
        <v>112</v>
      </c>
      <c r="BI21" s="53" t="s">
        <v>112</v>
      </c>
      <c r="BJ21" s="53" t="s">
        <v>112</v>
      </c>
      <c r="BK21" s="53" t="s">
        <v>112</v>
      </c>
      <c r="BL21" s="53" t="s">
        <v>112</v>
      </c>
      <c r="BM21" s="53" t="s">
        <v>112</v>
      </c>
    </row>
    <row r="22" spans="1:65" ht="15" customHeight="1" x14ac:dyDescent="0.25">
      <c r="A22" s="53" t="s">
        <v>128</v>
      </c>
      <c r="B22" s="53" t="s">
        <v>112</v>
      </c>
      <c r="C22" s="53" t="s">
        <v>112</v>
      </c>
      <c r="D22" s="53" t="s">
        <v>112</v>
      </c>
      <c r="E22" s="53" t="s">
        <v>112</v>
      </c>
      <c r="F22" s="53" t="s">
        <v>112</v>
      </c>
      <c r="G22" s="53" t="s">
        <v>112</v>
      </c>
      <c r="H22" s="53" t="s">
        <v>112</v>
      </c>
      <c r="I22" s="53" t="s">
        <v>112</v>
      </c>
      <c r="J22" s="53" t="s">
        <v>112</v>
      </c>
      <c r="K22" s="53" t="s">
        <v>112</v>
      </c>
      <c r="L22" s="53" t="s">
        <v>112</v>
      </c>
      <c r="M22" s="53" t="s">
        <v>112</v>
      </c>
      <c r="N22" s="53" t="s">
        <v>112</v>
      </c>
      <c r="O22" s="53" t="s">
        <v>112</v>
      </c>
      <c r="P22" s="53" t="s">
        <v>112</v>
      </c>
      <c r="Q22" s="53" t="s">
        <v>112</v>
      </c>
      <c r="R22" s="53" t="s">
        <v>112</v>
      </c>
      <c r="S22" s="53">
        <v>5</v>
      </c>
      <c r="T22" s="53" t="s">
        <v>112</v>
      </c>
      <c r="U22" s="53">
        <v>297</v>
      </c>
      <c r="V22" s="53" t="s">
        <v>112</v>
      </c>
      <c r="W22" s="53" t="s">
        <v>112</v>
      </c>
      <c r="X22" s="53" t="s">
        <v>112</v>
      </c>
      <c r="Y22" s="53">
        <v>0</v>
      </c>
      <c r="Z22" s="53" t="s">
        <v>112</v>
      </c>
      <c r="AA22" s="53" t="s">
        <v>112</v>
      </c>
      <c r="AB22" s="53" t="s">
        <v>112</v>
      </c>
      <c r="AC22" s="53" t="s">
        <v>112</v>
      </c>
      <c r="AD22" s="53" t="s">
        <v>112</v>
      </c>
      <c r="AE22" s="53" t="s">
        <v>112</v>
      </c>
      <c r="AF22" s="53" t="s">
        <v>112</v>
      </c>
      <c r="AG22" s="53" t="s">
        <v>112</v>
      </c>
      <c r="AH22" s="53" t="s">
        <v>112</v>
      </c>
      <c r="AI22" s="53">
        <v>27</v>
      </c>
      <c r="AJ22" s="53" t="s">
        <v>112</v>
      </c>
      <c r="AK22" s="53" t="s">
        <v>112</v>
      </c>
      <c r="AL22" s="53" t="s">
        <v>112</v>
      </c>
      <c r="AM22" s="53">
        <v>2</v>
      </c>
      <c r="AN22" s="53" t="s">
        <v>112</v>
      </c>
      <c r="AO22" s="53">
        <v>0</v>
      </c>
      <c r="AP22" s="53" t="s">
        <v>112</v>
      </c>
      <c r="AQ22" s="53" t="s">
        <v>112</v>
      </c>
      <c r="AR22" s="53" t="s">
        <v>112</v>
      </c>
      <c r="AS22" s="53" t="s">
        <v>112</v>
      </c>
      <c r="AT22" s="53" t="s">
        <v>112</v>
      </c>
      <c r="AU22" s="53" t="s">
        <v>112</v>
      </c>
      <c r="AV22" s="53" t="s">
        <v>112</v>
      </c>
      <c r="AW22" s="53" t="s">
        <v>112</v>
      </c>
      <c r="AX22" s="53" t="s">
        <v>112</v>
      </c>
      <c r="AY22" s="53" t="s">
        <v>112</v>
      </c>
      <c r="AZ22" s="53" t="s">
        <v>112</v>
      </c>
      <c r="BA22" s="53">
        <v>176</v>
      </c>
      <c r="BB22" s="53" t="s">
        <v>112</v>
      </c>
      <c r="BC22" s="53">
        <v>7</v>
      </c>
      <c r="BD22" s="53" t="s">
        <v>112</v>
      </c>
      <c r="BE22" s="53">
        <v>0</v>
      </c>
      <c r="BF22" s="53" t="s">
        <v>112</v>
      </c>
      <c r="BG22" s="53" t="s">
        <v>112</v>
      </c>
      <c r="BH22" s="53" t="s">
        <v>112</v>
      </c>
      <c r="BI22" s="53" t="s">
        <v>112</v>
      </c>
      <c r="BJ22" s="53" t="s">
        <v>112</v>
      </c>
      <c r="BK22" s="53" t="s">
        <v>112</v>
      </c>
      <c r="BL22" s="53" t="s">
        <v>112</v>
      </c>
      <c r="BM22" s="53" t="s">
        <v>112</v>
      </c>
    </row>
    <row r="23" spans="1:65" ht="15" customHeight="1" x14ac:dyDescent="0.25">
      <c r="A23" s="53" t="s">
        <v>127</v>
      </c>
      <c r="B23" s="53" t="s">
        <v>112</v>
      </c>
      <c r="C23" s="53" t="s">
        <v>112</v>
      </c>
      <c r="D23" s="53" t="s">
        <v>112</v>
      </c>
      <c r="E23" s="53" t="s">
        <v>112</v>
      </c>
      <c r="F23" s="53" t="s">
        <v>112</v>
      </c>
      <c r="G23" s="53" t="s">
        <v>112</v>
      </c>
      <c r="H23" s="53" t="s">
        <v>112</v>
      </c>
      <c r="I23" s="53" t="s">
        <v>112</v>
      </c>
      <c r="J23" s="53" t="s">
        <v>112</v>
      </c>
      <c r="K23" s="53" t="s">
        <v>112</v>
      </c>
      <c r="L23" s="53" t="s">
        <v>112</v>
      </c>
      <c r="M23" s="53" t="s">
        <v>112</v>
      </c>
      <c r="N23" s="53" t="s">
        <v>112</v>
      </c>
      <c r="O23" s="53" t="s">
        <v>112</v>
      </c>
      <c r="P23" s="53" t="s">
        <v>112</v>
      </c>
      <c r="Q23" s="53" t="s">
        <v>112</v>
      </c>
      <c r="R23" s="53" t="s">
        <v>112</v>
      </c>
      <c r="S23" s="53">
        <v>0</v>
      </c>
      <c r="T23" s="53" t="s">
        <v>112</v>
      </c>
      <c r="U23" s="53">
        <v>0</v>
      </c>
      <c r="V23" s="53" t="s">
        <v>112</v>
      </c>
      <c r="W23" s="53" t="s">
        <v>112</v>
      </c>
      <c r="X23" s="53" t="s">
        <v>112</v>
      </c>
      <c r="Y23" s="53">
        <v>0</v>
      </c>
      <c r="Z23" s="53" t="s">
        <v>112</v>
      </c>
      <c r="AA23" s="53" t="s">
        <v>112</v>
      </c>
      <c r="AB23" s="53" t="s">
        <v>112</v>
      </c>
      <c r="AC23" s="53" t="s">
        <v>112</v>
      </c>
      <c r="AD23" s="53" t="s">
        <v>112</v>
      </c>
      <c r="AE23" s="53" t="s">
        <v>112</v>
      </c>
      <c r="AF23" s="53" t="s">
        <v>112</v>
      </c>
      <c r="AG23" s="53" t="s">
        <v>112</v>
      </c>
      <c r="AH23" s="53" t="s">
        <v>112</v>
      </c>
      <c r="AI23" s="53">
        <v>0</v>
      </c>
      <c r="AJ23" s="53" t="s">
        <v>112</v>
      </c>
      <c r="AK23" s="53" t="s">
        <v>112</v>
      </c>
      <c r="AL23" s="53" t="s">
        <v>112</v>
      </c>
      <c r="AM23" s="53">
        <v>0</v>
      </c>
      <c r="AN23" s="53" t="s">
        <v>112</v>
      </c>
      <c r="AO23" s="53">
        <v>0</v>
      </c>
      <c r="AP23" s="53" t="s">
        <v>112</v>
      </c>
      <c r="AQ23" s="53" t="s">
        <v>112</v>
      </c>
      <c r="AR23" s="53" t="s">
        <v>112</v>
      </c>
      <c r="AS23" s="53" t="s">
        <v>112</v>
      </c>
      <c r="AT23" s="53" t="s">
        <v>112</v>
      </c>
      <c r="AU23" s="53" t="s">
        <v>112</v>
      </c>
      <c r="AV23" s="53" t="s">
        <v>112</v>
      </c>
      <c r="AW23" s="53" t="s">
        <v>112</v>
      </c>
      <c r="AX23" s="53" t="s">
        <v>112</v>
      </c>
      <c r="AY23" s="53" t="s">
        <v>112</v>
      </c>
      <c r="AZ23" s="53" t="s">
        <v>112</v>
      </c>
      <c r="BA23" s="53">
        <v>0</v>
      </c>
      <c r="BB23" s="53" t="s">
        <v>112</v>
      </c>
      <c r="BC23" s="53">
        <v>0</v>
      </c>
      <c r="BD23" s="53" t="s">
        <v>112</v>
      </c>
      <c r="BE23" s="53">
        <v>0</v>
      </c>
      <c r="BF23" s="53" t="s">
        <v>112</v>
      </c>
      <c r="BG23" s="53" t="s">
        <v>112</v>
      </c>
      <c r="BH23" s="53" t="s">
        <v>112</v>
      </c>
      <c r="BI23" s="53" t="s">
        <v>112</v>
      </c>
      <c r="BJ23" s="53" t="s">
        <v>112</v>
      </c>
      <c r="BK23" s="53" t="s">
        <v>112</v>
      </c>
      <c r="BL23" s="53" t="s">
        <v>112</v>
      </c>
      <c r="BM23" s="53" t="s">
        <v>112</v>
      </c>
    </row>
    <row r="24" spans="1:65" ht="15" customHeight="1" x14ac:dyDescent="0.25">
      <c r="A24" s="53" t="s">
        <v>126</v>
      </c>
      <c r="B24" s="53" t="s">
        <v>112</v>
      </c>
      <c r="C24" s="53" t="s">
        <v>112</v>
      </c>
      <c r="D24" s="53" t="s">
        <v>112</v>
      </c>
      <c r="E24" s="53" t="s">
        <v>112</v>
      </c>
      <c r="F24" s="53" t="s">
        <v>112</v>
      </c>
      <c r="G24" s="53" t="s">
        <v>112</v>
      </c>
      <c r="H24" s="53" t="s">
        <v>112</v>
      </c>
      <c r="I24" s="53" t="s">
        <v>112</v>
      </c>
      <c r="J24" s="53" t="s">
        <v>112</v>
      </c>
      <c r="K24" s="53" t="s">
        <v>112</v>
      </c>
      <c r="L24" s="53" t="s">
        <v>112</v>
      </c>
      <c r="M24" s="53" t="s">
        <v>112</v>
      </c>
      <c r="N24" s="53" t="s">
        <v>112</v>
      </c>
      <c r="O24" s="53" t="s">
        <v>112</v>
      </c>
      <c r="P24" s="53" t="s">
        <v>112</v>
      </c>
      <c r="Q24" s="53" t="s">
        <v>112</v>
      </c>
      <c r="R24" s="53" t="s">
        <v>112</v>
      </c>
      <c r="S24" s="53">
        <v>5</v>
      </c>
      <c r="T24" s="53" t="s">
        <v>112</v>
      </c>
      <c r="U24" s="53">
        <v>183</v>
      </c>
      <c r="V24" s="53" t="s">
        <v>112</v>
      </c>
      <c r="W24" s="53" t="s">
        <v>112</v>
      </c>
      <c r="X24" s="53" t="s">
        <v>112</v>
      </c>
      <c r="Y24" s="53">
        <v>0</v>
      </c>
      <c r="Z24" s="53" t="s">
        <v>112</v>
      </c>
      <c r="AA24" s="53" t="s">
        <v>112</v>
      </c>
      <c r="AB24" s="53" t="s">
        <v>112</v>
      </c>
      <c r="AC24" s="53" t="s">
        <v>112</v>
      </c>
      <c r="AD24" s="53" t="s">
        <v>112</v>
      </c>
      <c r="AE24" s="53" t="s">
        <v>112</v>
      </c>
      <c r="AF24" s="53" t="s">
        <v>112</v>
      </c>
      <c r="AG24" s="53" t="s">
        <v>112</v>
      </c>
      <c r="AH24" s="53" t="s">
        <v>112</v>
      </c>
      <c r="AI24" s="53">
        <v>10</v>
      </c>
      <c r="AJ24" s="53" t="s">
        <v>112</v>
      </c>
      <c r="AK24" s="53" t="s">
        <v>112</v>
      </c>
      <c r="AL24" s="53" t="s">
        <v>112</v>
      </c>
      <c r="AM24" s="53">
        <v>3</v>
      </c>
      <c r="AN24" s="53" t="s">
        <v>112</v>
      </c>
      <c r="AO24" s="53">
        <v>0</v>
      </c>
      <c r="AP24" s="53" t="s">
        <v>112</v>
      </c>
      <c r="AQ24" s="53" t="s">
        <v>112</v>
      </c>
      <c r="AR24" s="53" t="s">
        <v>112</v>
      </c>
      <c r="AS24" s="53" t="s">
        <v>112</v>
      </c>
      <c r="AT24" s="53" t="s">
        <v>112</v>
      </c>
      <c r="AU24" s="53" t="s">
        <v>112</v>
      </c>
      <c r="AV24" s="53" t="s">
        <v>112</v>
      </c>
      <c r="AW24" s="53" t="s">
        <v>112</v>
      </c>
      <c r="AX24" s="53" t="s">
        <v>112</v>
      </c>
      <c r="AY24" s="53" t="s">
        <v>112</v>
      </c>
      <c r="AZ24" s="53" t="s">
        <v>112</v>
      </c>
      <c r="BA24" s="53">
        <v>245</v>
      </c>
      <c r="BB24" s="53" t="s">
        <v>112</v>
      </c>
      <c r="BC24" s="53">
        <v>12</v>
      </c>
      <c r="BD24" s="53" t="s">
        <v>112</v>
      </c>
      <c r="BE24" s="53">
        <v>0</v>
      </c>
      <c r="BF24" s="53" t="s">
        <v>112</v>
      </c>
      <c r="BG24" s="53" t="s">
        <v>112</v>
      </c>
      <c r="BH24" s="53" t="s">
        <v>112</v>
      </c>
      <c r="BI24" s="53" t="s">
        <v>112</v>
      </c>
      <c r="BJ24" s="53" t="s">
        <v>112</v>
      </c>
      <c r="BK24" s="53" t="s">
        <v>112</v>
      </c>
      <c r="BL24" s="53" t="s">
        <v>112</v>
      </c>
      <c r="BM24" s="53" t="s">
        <v>112</v>
      </c>
    </row>
    <row r="25" spans="1:65" ht="15" customHeight="1" x14ac:dyDescent="0.25">
      <c r="A25" s="53" t="s">
        <v>125</v>
      </c>
      <c r="B25" s="53" t="s">
        <v>112</v>
      </c>
      <c r="C25" s="53" t="s">
        <v>112</v>
      </c>
      <c r="D25" s="53" t="s">
        <v>112</v>
      </c>
      <c r="E25" s="53" t="s">
        <v>112</v>
      </c>
      <c r="F25" s="53" t="s">
        <v>112</v>
      </c>
      <c r="G25" s="53" t="s">
        <v>112</v>
      </c>
      <c r="H25" s="53" t="s">
        <v>112</v>
      </c>
      <c r="I25" s="53" t="s">
        <v>112</v>
      </c>
      <c r="J25" s="53" t="s">
        <v>112</v>
      </c>
      <c r="K25" s="53" t="s">
        <v>112</v>
      </c>
      <c r="L25" s="53" t="s">
        <v>112</v>
      </c>
      <c r="M25" s="53" t="s">
        <v>112</v>
      </c>
      <c r="N25" s="53" t="s">
        <v>112</v>
      </c>
      <c r="O25" s="53" t="s">
        <v>112</v>
      </c>
      <c r="P25" s="53" t="s">
        <v>112</v>
      </c>
      <c r="Q25" s="53" t="s">
        <v>112</v>
      </c>
      <c r="R25" s="53" t="s">
        <v>112</v>
      </c>
      <c r="S25" s="53">
        <v>3</v>
      </c>
      <c r="T25" s="53" t="s">
        <v>112</v>
      </c>
      <c r="U25" s="53">
        <v>211</v>
      </c>
      <c r="V25" s="53" t="s">
        <v>112</v>
      </c>
      <c r="W25" s="53" t="s">
        <v>112</v>
      </c>
      <c r="X25" s="53" t="s">
        <v>112</v>
      </c>
      <c r="Y25" s="53">
        <v>0</v>
      </c>
      <c r="Z25" s="53" t="s">
        <v>112</v>
      </c>
      <c r="AA25" s="53" t="s">
        <v>112</v>
      </c>
      <c r="AB25" s="53" t="s">
        <v>112</v>
      </c>
      <c r="AC25" s="53" t="s">
        <v>112</v>
      </c>
      <c r="AD25" s="53" t="s">
        <v>112</v>
      </c>
      <c r="AE25" s="53" t="s">
        <v>112</v>
      </c>
      <c r="AF25" s="53" t="s">
        <v>112</v>
      </c>
      <c r="AG25" s="53" t="s">
        <v>112</v>
      </c>
      <c r="AH25" s="53" t="s">
        <v>112</v>
      </c>
      <c r="AI25" s="53">
        <v>11</v>
      </c>
      <c r="AJ25" s="53" t="s">
        <v>112</v>
      </c>
      <c r="AK25" s="53" t="s">
        <v>112</v>
      </c>
      <c r="AL25" s="53" t="s">
        <v>112</v>
      </c>
      <c r="AM25" s="53">
        <v>2</v>
      </c>
      <c r="AN25" s="53" t="s">
        <v>112</v>
      </c>
      <c r="AO25" s="53">
        <v>0</v>
      </c>
      <c r="AP25" s="53" t="s">
        <v>112</v>
      </c>
      <c r="AQ25" s="53" t="s">
        <v>112</v>
      </c>
      <c r="AR25" s="53" t="s">
        <v>112</v>
      </c>
      <c r="AS25" s="53" t="s">
        <v>112</v>
      </c>
      <c r="AT25" s="53" t="s">
        <v>112</v>
      </c>
      <c r="AU25" s="53" t="s">
        <v>112</v>
      </c>
      <c r="AV25" s="53" t="s">
        <v>112</v>
      </c>
      <c r="AW25" s="53" t="s">
        <v>112</v>
      </c>
      <c r="AX25" s="53" t="s">
        <v>112</v>
      </c>
      <c r="AY25" s="53" t="s">
        <v>112</v>
      </c>
      <c r="AZ25" s="53" t="s">
        <v>112</v>
      </c>
      <c r="BA25" s="53">
        <v>258</v>
      </c>
      <c r="BB25" s="53" t="s">
        <v>112</v>
      </c>
      <c r="BC25" s="53">
        <v>16</v>
      </c>
      <c r="BD25" s="53" t="s">
        <v>112</v>
      </c>
      <c r="BE25" s="53">
        <v>0</v>
      </c>
      <c r="BF25" s="53" t="s">
        <v>112</v>
      </c>
      <c r="BG25" s="53" t="s">
        <v>112</v>
      </c>
      <c r="BH25" s="53" t="s">
        <v>112</v>
      </c>
      <c r="BI25" s="53" t="s">
        <v>112</v>
      </c>
      <c r="BJ25" s="53" t="s">
        <v>112</v>
      </c>
      <c r="BK25" s="53" t="s">
        <v>112</v>
      </c>
      <c r="BL25" s="53" t="s">
        <v>112</v>
      </c>
      <c r="BM25" s="53" t="s">
        <v>112</v>
      </c>
    </row>
    <row r="26" spans="1:65" ht="15" customHeight="1" x14ac:dyDescent="0.25">
      <c r="A26" s="53" t="s">
        <v>124</v>
      </c>
      <c r="B26" s="53" t="s">
        <v>112</v>
      </c>
      <c r="C26" s="53" t="s">
        <v>112</v>
      </c>
      <c r="D26" s="53" t="s">
        <v>112</v>
      </c>
      <c r="E26" s="53" t="s">
        <v>112</v>
      </c>
      <c r="F26" s="53" t="s">
        <v>112</v>
      </c>
      <c r="G26" s="53" t="s">
        <v>112</v>
      </c>
      <c r="H26" s="53" t="s">
        <v>112</v>
      </c>
      <c r="I26" s="53" t="s">
        <v>112</v>
      </c>
      <c r="J26" s="53" t="s">
        <v>112</v>
      </c>
      <c r="K26" s="53" t="s">
        <v>112</v>
      </c>
      <c r="L26" s="53" t="s">
        <v>112</v>
      </c>
      <c r="M26" s="53" t="s">
        <v>112</v>
      </c>
      <c r="N26" s="53" t="s">
        <v>112</v>
      </c>
      <c r="O26" s="53" t="s">
        <v>112</v>
      </c>
      <c r="P26" s="53" t="s">
        <v>112</v>
      </c>
      <c r="Q26" s="53" t="s">
        <v>112</v>
      </c>
      <c r="R26" s="53" t="s">
        <v>112</v>
      </c>
      <c r="S26" s="53">
        <v>2</v>
      </c>
      <c r="T26" s="53" t="s">
        <v>112</v>
      </c>
      <c r="U26" s="53">
        <v>221</v>
      </c>
      <c r="V26" s="53" t="s">
        <v>112</v>
      </c>
      <c r="W26" s="53" t="s">
        <v>112</v>
      </c>
      <c r="X26" s="53" t="s">
        <v>112</v>
      </c>
      <c r="Y26" s="53">
        <v>0</v>
      </c>
      <c r="Z26" s="53" t="s">
        <v>112</v>
      </c>
      <c r="AA26" s="53" t="s">
        <v>112</v>
      </c>
      <c r="AB26" s="53" t="s">
        <v>112</v>
      </c>
      <c r="AC26" s="53" t="s">
        <v>112</v>
      </c>
      <c r="AD26" s="53" t="s">
        <v>112</v>
      </c>
      <c r="AE26" s="53" t="s">
        <v>112</v>
      </c>
      <c r="AF26" s="53" t="s">
        <v>112</v>
      </c>
      <c r="AG26" s="53" t="s">
        <v>112</v>
      </c>
      <c r="AH26" s="53" t="s">
        <v>112</v>
      </c>
      <c r="AI26" s="53">
        <v>13</v>
      </c>
      <c r="AJ26" s="53" t="s">
        <v>112</v>
      </c>
      <c r="AK26" s="53" t="s">
        <v>112</v>
      </c>
      <c r="AL26" s="53" t="s">
        <v>112</v>
      </c>
      <c r="AM26" s="53">
        <v>1</v>
      </c>
      <c r="AN26" s="53" t="s">
        <v>112</v>
      </c>
      <c r="AO26" s="53">
        <v>0</v>
      </c>
      <c r="AP26" s="53" t="s">
        <v>112</v>
      </c>
      <c r="AQ26" s="53" t="s">
        <v>112</v>
      </c>
      <c r="AR26" s="53" t="s">
        <v>112</v>
      </c>
      <c r="AS26" s="53" t="s">
        <v>112</v>
      </c>
      <c r="AT26" s="53" t="s">
        <v>112</v>
      </c>
      <c r="AU26" s="53" t="s">
        <v>112</v>
      </c>
      <c r="AV26" s="53" t="s">
        <v>112</v>
      </c>
      <c r="AW26" s="53" t="s">
        <v>112</v>
      </c>
      <c r="AX26" s="53" t="s">
        <v>112</v>
      </c>
      <c r="AY26" s="53" t="s">
        <v>112</v>
      </c>
      <c r="AZ26" s="53" t="s">
        <v>112</v>
      </c>
      <c r="BA26" s="53">
        <v>236</v>
      </c>
      <c r="BB26" s="53" t="s">
        <v>112</v>
      </c>
      <c r="BC26" s="53">
        <v>21</v>
      </c>
      <c r="BD26" s="53" t="s">
        <v>112</v>
      </c>
      <c r="BE26" s="53">
        <v>0</v>
      </c>
      <c r="BF26" s="53" t="s">
        <v>112</v>
      </c>
      <c r="BG26" s="53" t="s">
        <v>112</v>
      </c>
      <c r="BH26" s="53" t="s">
        <v>112</v>
      </c>
      <c r="BI26" s="53" t="s">
        <v>112</v>
      </c>
      <c r="BJ26" s="53" t="s">
        <v>112</v>
      </c>
      <c r="BK26" s="53" t="s">
        <v>112</v>
      </c>
      <c r="BL26" s="53" t="s">
        <v>112</v>
      </c>
      <c r="BM26" s="53" t="s">
        <v>112</v>
      </c>
    </row>
    <row r="27" spans="1:65" ht="15" customHeight="1" x14ac:dyDescent="0.25">
      <c r="A27" s="53" t="s">
        <v>123</v>
      </c>
      <c r="B27" s="53" t="s">
        <v>112</v>
      </c>
      <c r="C27" s="53" t="s">
        <v>112</v>
      </c>
      <c r="D27" s="53" t="s">
        <v>112</v>
      </c>
      <c r="E27" s="53" t="s">
        <v>112</v>
      </c>
      <c r="F27" s="53" t="s">
        <v>112</v>
      </c>
      <c r="G27" s="53" t="s">
        <v>112</v>
      </c>
      <c r="H27" s="53" t="s">
        <v>112</v>
      </c>
      <c r="I27" s="53" t="s">
        <v>112</v>
      </c>
      <c r="J27" s="53" t="s">
        <v>112</v>
      </c>
      <c r="K27" s="53" t="s">
        <v>112</v>
      </c>
      <c r="L27" s="53" t="s">
        <v>112</v>
      </c>
      <c r="M27" s="53" t="s">
        <v>112</v>
      </c>
      <c r="N27" s="53" t="s">
        <v>112</v>
      </c>
      <c r="O27" s="53" t="s">
        <v>112</v>
      </c>
      <c r="P27" s="53" t="s">
        <v>112</v>
      </c>
      <c r="Q27" s="53" t="s">
        <v>112</v>
      </c>
      <c r="R27" s="53" t="s">
        <v>112</v>
      </c>
      <c r="S27" s="53">
        <v>3</v>
      </c>
      <c r="T27" s="53" t="s">
        <v>112</v>
      </c>
      <c r="U27" s="53">
        <v>198</v>
      </c>
      <c r="V27" s="53" t="s">
        <v>112</v>
      </c>
      <c r="W27" s="53" t="s">
        <v>112</v>
      </c>
      <c r="X27" s="53" t="s">
        <v>112</v>
      </c>
      <c r="Y27" s="53">
        <v>0</v>
      </c>
      <c r="Z27" s="53" t="s">
        <v>112</v>
      </c>
      <c r="AA27" s="53" t="s">
        <v>112</v>
      </c>
      <c r="AB27" s="53" t="s">
        <v>112</v>
      </c>
      <c r="AC27" s="53" t="s">
        <v>112</v>
      </c>
      <c r="AD27" s="53" t="s">
        <v>112</v>
      </c>
      <c r="AE27" s="53" t="s">
        <v>112</v>
      </c>
      <c r="AF27" s="53" t="s">
        <v>112</v>
      </c>
      <c r="AG27" s="53" t="s">
        <v>112</v>
      </c>
      <c r="AH27" s="53" t="s">
        <v>112</v>
      </c>
      <c r="AI27" s="53">
        <v>14</v>
      </c>
      <c r="AJ27" s="53" t="s">
        <v>112</v>
      </c>
      <c r="AK27" s="53" t="s">
        <v>112</v>
      </c>
      <c r="AL27" s="53" t="s">
        <v>112</v>
      </c>
      <c r="AM27" s="53">
        <v>3</v>
      </c>
      <c r="AN27" s="53" t="s">
        <v>112</v>
      </c>
      <c r="AO27" s="53">
        <v>0</v>
      </c>
      <c r="AP27" s="53" t="s">
        <v>112</v>
      </c>
      <c r="AQ27" s="53" t="s">
        <v>112</v>
      </c>
      <c r="AR27" s="53" t="s">
        <v>112</v>
      </c>
      <c r="AS27" s="53" t="s">
        <v>112</v>
      </c>
      <c r="AT27" s="53" t="s">
        <v>112</v>
      </c>
      <c r="AU27" s="53" t="s">
        <v>112</v>
      </c>
      <c r="AV27" s="53" t="s">
        <v>112</v>
      </c>
      <c r="AW27" s="53" t="s">
        <v>112</v>
      </c>
      <c r="AX27" s="53" t="s">
        <v>112</v>
      </c>
      <c r="AY27" s="53" t="s">
        <v>112</v>
      </c>
      <c r="AZ27" s="53" t="s">
        <v>112</v>
      </c>
      <c r="BA27" s="53">
        <v>217</v>
      </c>
      <c r="BB27" s="53" t="s">
        <v>112</v>
      </c>
      <c r="BC27" s="53">
        <v>16</v>
      </c>
      <c r="BD27" s="53" t="s">
        <v>112</v>
      </c>
      <c r="BE27" s="53">
        <v>0</v>
      </c>
      <c r="BF27" s="53" t="s">
        <v>112</v>
      </c>
      <c r="BG27" s="53" t="s">
        <v>112</v>
      </c>
      <c r="BH27" s="53" t="s">
        <v>112</v>
      </c>
      <c r="BI27" s="53" t="s">
        <v>112</v>
      </c>
      <c r="BJ27" s="53" t="s">
        <v>112</v>
      </c>
      <c r="BK27" s="53" t="s">
        <v>112</v>
      </c>
      <c r="BL27" s="53" t="s">
        <v>112</v>
      </c>
      <c r="BM27" s="53" t="s">
        <v>112</v>
      </c>
    </row>
    <row r="28" spans="1:65" ht="15" customHeight="1" x14ac:dyDescent="0.25">
      <c r="A28" s="53" t="s">
        <v>122</v>
      </c>
      <c r="B28" s="53" t="s">
        <v>112</v>
      </c>
      <c r="C28" s="53" t="s">
        <v>112</v>
      </c>
      <c r="D28" s="53" t="s">
        <v>112</v>
      </c>
      <c r="E28" s="53" t="s">
        <v>112</v>
      </c>
      <c r="F28" s="53" t="s">
        <v>112</v>
      </c>
      <c r="G28" s="53" t="s">
        <v>112</v>
      </c>
      <c r="H28" s="53" t="s">
        <v>112</v>
      </c>
      <c r="I28" s="53" t="s">
        <v>112</v>
      </c>
      <c r="J28" s="53" t="s">
        <v>112</v>
      </c>
      <c r="K28" s="53" t="s">
        <v>112</v>
      </c>
      <c r="L28" s="53" t="s">
        <v>112</v>
      </c>
      <c r="M28" s="53" t="s">
        <v>112</v>
      </c>
      <c r="N28" s="53" t="s">
        <v>112</v>
      </c>
      <c r="O28" s="53" t="s">
        <v>112</v>
      </c>
      <c r="P28" s="53" t="s">
        <v>112</v>
      </c>
      <c r="Q28" s="53" t="s">
        <v>112</v>
      </c>
      <c r="R28" s="53" t="s">
        <v>112</v>
      </c>
      <c r="S28" s="53">
        <v>0</v>
      </c>
      <c r="T28" s="53" t="s">
        <v>112</v>
      </c>
      <c r="U28" s="53">
        <v>0</v>
      </c>
      <c r="V28" s="53" t="s">
        <v>112</v>
      </c>
      <c r="W28" s="53" t="s">
        <v>112</v>
      </c>
      <c r="X28" s="53" t="s">
        <v>112</v>
      </c>
      <c r="Y28" s="53">
        <v>0</v>
      </c>
      <c r="Z28" s="53" t="s">
        <v>112</v>
      </c>
      <c r="AA28" s="53" t="s">
        <v>112</v>
      </c>
      <c r="AB28" s="53" t="s">
        <v>112</v>
      </c>
      <c r="AC28" s="53" t="s">
        <v>112</v>
      </c>
      <c r="AD28" s="53" t="s">
        <v>112</v>
      </c>
      <c r="AE28" s="53" t="s">
        <v>112</v>
      </c>
      <c r="AF28" s="53" t="s">
        <v>112</v>
      </c>
      <c r="AG28" s="53" t="s">
        <v>112</v>
      </c>
      <c r="AH28" s="53" t="s">
        <v>112</v>
      </c>
      <c r="AI28" s="53">
        <v>0</v>
      </c>
      <c r="AJ28" s="53" t="s">
        <v>112</v>
      </c>
      <c r="AK28" s="53" t="s">
        <v>112</v>
      </c>
      <c r="AL28" s="53" t="s">
        <v>112</v>
      </c>
      <c r="AM28" s="53">
        <v>0</v>
      </c>
      <c r="AN28" s="53" t="s">
        <v>112</v>
      </c>
      <c r="AO28" s="53">
        <v>0</v>
      </c>
      <c r="AP28" s="53" t="s">
        <v>112</v>
      </c>
      <c r="AQ28" s="53" t="s">
        <v>112</v>
      </c>
      <c r="AR28" s="53" t="s">
        <v>112</v>
      </c>
      <c r="AS28" s="53" t="s">
        <v>112</v>
      </c>
      <c r="AT28" s="53" t="s">
        <v>112</v>
      </c>
      <c r="AU28" s="53" t="s">
        <v>112</v>
      </c>
      <c r="AV28" s="53" t="s">
        <v>112</v>
      </c>
      <c r="AW28" s="53" t="s">
        <v>112</v>
      </c>
      <c r="AX28" s="53" t="s">
        <v>112</v>
      </c>
      <c r="AY28" s="53" t="s">
        <v>112</v>
      </c>
      <c r="AZ28" s="53" t="s">
        <v>112</v>
      </c>
      <c r="BA28" s="53">
        <v>0</v>
      </c>
      <c r="BB28" s="53" t="s">
        <v>112</v>
      </c>
      <c r="BC28" s="53">
        <v>0</v>
      </c>
      <c r="BD28" s="53" t="s">
        <v>112</v>
      </c>
      <c r="BE28" s="53">
        <v>0</v>
      </c>
      <c r="BF28" s="53" t="s">
        <v>112</v>
      </c>
      <c r="BG28" s="53" t="s">
        <v>112</v>
      </c>
      <c r="BH28" s="53" t="s">
        <v>112</v>
      </c>
      <c r="BI28" s="53" t="s">
        <v>112</v>
      </c>
      <c r="BJ28" s="53" t="s">
        <v>112</v>
      </c>
      <c r="BK28" s="53" t="s">
        <v>112</v>
      </c>
      <c r="BL28" s="53" t="s">
        <v>112</v>
      </c>
      <c r="BM28" s="53" t="s">
        <v>112</v>
      </c>
    </row>
    <row r="29" spans="1:65" ht="15" customHeight="1" x14ac:dyDescent="0.25">
      <c r="A29" s="53" t="s">
        <v>121</v>
      </c>
      <c r="B29" s="53" t="s">
        <v>112</v>
      </c>
      <c r="C29" s="53" t="s">
        <v>112</v>
      </c>
      <c r="D29" s="53" t="s">
        <v>112</v>
      </c>
      <c r="E29" s="53" t="s">
        <v>112</v>
      </c>
      <c r="F29" s="53" t="s">
        <v>112</v>
      </c>
      <c r="G29" s="53" t="s">
        <v>112</v>
      </c>
      <c r="H29" s="53" t="s">
        <v>112</v>
      </c>
      <c r="I29" s="53" t="s">
        <v>112</v>
      </c>
      <c r="J29" s="53" t="s">
        <v>112</v>
      </c>
      <c r="K29" s="53" t="s">
        <v>112</v>
      </c>
      <c r="L29" s="53" t="s">
        <v>112</v>
      </c>
      <c r="M29" s="53" t="s">
        <v>112</v>
      </c>
      <c r="N29" s="53" t="s">
        <v>112</v>
      </c>
      <c r="O29" s="53" t="s">
        <v>112</v>
      </c>
      <c r="P29" s="53" t="s">
        <v>112</v>
      </c>
      <c r="Q29" s="53" t="s">
        <v>112</v>
      </c>
      <c r="R29" s="53" t="s">
        <v>112</v>
      </c>
      <c r="S29" s="53">
        <v>4</v>
      </c>
      <c r="T29" s="53" t="s">
        <v>112</v>
      </c>
      <c r="U29" s="53">
        <v>264</v>
      </c>
      <c r="V29" s="53" t="s">
        <v>112</v>
      </c>
      <c r="W29" s="53" t="s">
        <v>112</v>
      </c>
      <c r="X29" s="53" t="s">
        <v>112</v>
      </c>
      <c r="Y29" s="53">
        <v>0</v>
      </c>
      <c r="Z29" s="53" t="s">
        <v>112</v>
      </c>
      <c r="AA29" s="53" t="s">
        <v>112</v>
      </c>
      <c r="AB29" s="53" t="s">
        <v>112</v>
      </c>
      <c r="AC29" s="53" t="s">
        <v>112</v>
      </c>
      <c r="AD29" s="53" t="s">
        <v>112</v>
      </c>
      <c r="AE29" s="53" t="s">
        <v>112</v>
      </c>
      <c r="AF29" s="53" t="s">
        <v>112</v>
      </c>
      <c r="AG29" s="53" t="s">
        <v>112</v>
      </c>
      <c r="AH29" s="53" t="s">
        <v>112</v>
      </c>
      <c r="AI29" s="53">
        <v>10</v>
      </c>
      <c r="AJ29" s="53" t="s">
        <v>112</v>
      </c>
      <c r="AK29" s="53" t="s">
        <v>112</v>
      </c>
      <c r="AL29" s="53" t="s">
        <v>112</v>
      </c>
      <c r="AM29" s="53">
        <v>1</v>
      </c>
      <c r="AN29" s="53" t="s">
        <v>112</v>
      </c>
      <c r="AO29" s="53">
        <v>0</v>
      </c>
      <c r="AP29" s="53" t="s">
        <v>112</v>
      </c>
      <c r="AQ29" s="53" t="s">
        <v>112</v>
      </c>
      <c r="AR29" s="53" t="s">
        <v>112</v>
      </c>
      <c r="AS29" s="53" t="s">
        <v>112</v>
      </c>
      <c r="AT29" s="53" t="s">
        <v>112</v>
      </c>
      <c r="AU29" s="53" t="s">
        <v>112</v>
      </c>
      <c r="AV29" s="53" t="s">
        <v>112</v>
      </c>
      <c r="AW29" s="53" t="s">
        <v>112</v>
      </c>
      <c r="AX29" s="53" t="s">
        <v>112</v>
      </c>
      <c r="AY29" s="53" t="s">
        <v>112</v>
      </c>
      <c r="AZ29" s="53" t="s">
        <v>112</v>
      </c>
      <c r="BA29" s="53">
        <v>286</v>
      </c>
      <c r="BB29" s="53" t="s">
        <v>112</v>
      </c>
      <c r="BC29" s="53">
        <v>16</v>
      </c>
      <c r="BD29" s="53" t="s">
        <v>112</v>
      </c>
      <c r="BE29" s="53">
        <v>0</v>
      </c>
      <c r="BF29" s="53" t="s">
        <v>112</v>
      </c>
      <c r="BG29" s="53" t="s">
        <v>112</v>
      </c>
      <c r="BH29" s="53" t="s">
        <v>112</v>
      </c>
      <c r="BI29" s="53" t="s">
        <v>112</v>
      </c>
      <c r="BJ29" s="53" t="s">
        <v>112</v>
      </c>
      <c r="BK29" s="53" t="s">
        <v>112</v>
      </c>
      <c r="BL29" s="53" t="s">
        <v>112</v>
      </c>
      <c r="BM29" s="53" t="s">
        <v>112</v>
      </c>
    </row>
    <row r="30" spans="1:65" ht="15" customHeight="1" x14ac:dyDescent="0.25">
      <c r="A30" s="53" t="s">
        <v>120</v>
      </c>
      <c r="B30" s="53" t="s">
        <v>112</v>
      </c>
      <c r="C30" s="53" t="s">
        <v>112</v>
      </c>
      <c r="D30" s="53" t="s">
        <v>112</v>
      </c>
      <c r="E30" s="53" t="s">
        <v>112</v>
      </c>
      <c r="F30" s="53" t="s">
        <v>112</v>
      </c>
      <c r="G30" s="53" t="s">
        <v>112</v>
      </c>
      <c r="H30" s="53" t="s">
        <v>112</v>
      </c>
      <c r="I30" s="53" t="s">
        <v>112</v>
      </c>
      <c r="J30" s="53" t="s">
        <v>112</v>
      </c>
      <c r="K30" s="53" t="s">
        <v>112</v>
      </c>
      <c r="L30" s="53" t="s">
        <v>112</v>
      </c>
      <c r="M30" s="53" t="s">
        <v>112</v>
      </c>
      <c r="N30" s="53" t="s">
        <v>112</v>
      </c>
      <c r="O30" s="53" t="s">
        <v>112</v>
      </c>
      <c r="P30" s="53" t="s">
        <v>112</v>
      </c>
      <c r="Q30" s="53" t="s">
        <v>112</v>
      </c>
      <c r="R30" s="53" t="s">
        <v>112</v>
      </c>
      <c r="S30" s="53">
        <v>6</v>
      </c>
      <c r="T30" s="53" t="s">
        <v>112</v>
      </c>
      <c r="U30" s="53">
        <v>254</v>
      </c>
      <c r="V30" s="53" t="s">
        <v>112</v>
      </c>
      <c r="W30" s="53" t="s">
        <v>112</v>
      </c>
      <c r="X30" s="53" t="s">
        <v>112</v>
      </c>
      <c r="Y30" s="53">
        <v>0</v>
      </c>
      <c r="Z30" s="53" t="s">
        <v>112</v>
      </c>
      <c r="AA30" s="53" t="s">
        <v>112</v>
      </c>
      <c r="AB30" s="53" t="s">
        <v>112</v>
      </c>
      <c r="AC30" s="53" t="s">
        <v>112</v>
      </c>
      <c r="AD30" s="53" t="s">
        <v>112</v>
      </c>
      <c r="AE30" s="53" t="s">
        <v>112</v>
      </c>
      <c r="AF30" s="53" t="s">
        <v>112</v>
      </c>
      <c r="AG30" s="53" t="s">
        <v>112</v>
      </c>
      <c r="AH30" s="53" t="s">
        <v>112</v>
      </c>
      <c r="AI30" s="53">
        <v>12</v>
      </c>
      <c r="AJ30" s="53" t="s">
        <v>112</v>
      </c>
      <c r="AK30" s="53" t="s">
        <v>112</v>
      </c>
      <c r="AL30" s="53" t="s">
        <v>112</v>
      </c>
      <c r="AM30" s="53">
        <v>1</v>
      </c>
      <c r="AN30" s="53" t="s">
        <v>112</v>
      </c>
      <c r="AO30" s="53">
        <v>0</v>
      </c>
      <c r="AP30" s="53" t="s">
        <v>112</v>
      </c>
      <c r="AQ30" s="53" t="s">
        <v>112</v>
      </c>
      <c r="AR30" s="53" t="s">
        <v>112</v>
      </c>
      <c r="AS30" s="53" t="s">
        <v>112</v>
      </c>
      <c r="AT30" s="53" t="s">
        <v>112</v>
      </c>
      <c r="AU30" s="53" t="s">
        <v>112</v>
      </c>
      <c r="AV30" s="53" t="s">
        <v>112</v>
      </c>
      <c r="AW30" s="53" t="s">
        <v>112</v>
      </c>
      <c r="AX30" s="53" t="s">
        <v>112</v>
      </c>
      <c r="AY30" s="53" t="s">
        <v>112</v>
      </c>
      <c r="AZ30" s="53" t="s">
        <v>112</v>
      </c>
      <c r="BA30" s="53">
        <v>292</v>
      </c>
      <c r="BB30" s="53" t="s">
        <v>112</v>
      </c>
      <c r="BC30" s="53">
        <v>19</v>
      </c>
      <c r="BD30" s="53" t="s">
        <v>112</v>
      </c>
      <c r="BE30" s="53">
        <v>0</v>
      </c>
      <c r="BF30" s="53" t="s">
        <v>112</v>
      </c>
      <c r="BG30" s="53" t="s">
        <v>112</v>
      </c>
      <c r="BH30" s="53" t="s">
        <v>112</v>
      </c>
      <c r="BI30" s="53" t="s">
        <v>112</v>
      </c>
      <c r="BJ30" s="53" t="s">
        <v>112</v>
      </c>
      <c r="BK30" s="53" t="s">
        <v>112</v>
      </c>
      <c r="BL30" s="53" t="s">
        <v>112</v>
      </c>
      <c r="BM30" s="53" t="s">
        <v>112</v>
      </c>
    </row>
    <row r="31" spans="1:65" ht="15" customHeight="1" x14ac:dyDescent="0.25">
      <c r="A31" s="53" t="s">
        <v>119</v>
      </c>
      <c r="B31" s="53" t="s">
        <v>112</v>
      </c>
      <c r="C31" s="53" t="s">
        <v>112</v>
      </c>
      <c r="D31" s="53" t="s">
        <v>112</v>
      </c>
      <c r="E31" s="53" t="s">
        <v>112</v>
      </c>
      <c r="F31" s="53" t="s">
        <v>112</v>
      </c>
      <c r="G31" s="53" t="s">
        <v>112</v>
      </c>
      <c r="H31" s="53" t="s">
        <v>112</v>
      </c>
      <c r="I31" s="53" t="s">
        <v>112</v>
      </c>
      <c r="J31" s="53" t="s">
        <v>112</v>
      </c>
      <c r="K31" s="53" t="s">
        <v>112</v>
      </c>
      <c r="L31" s="53" t="s">
        <v>112</v>
      </c>
      <c r="M31" s="53" t="s">
        <v>112</v>
      </c>
      <c r="N31" s="53" t="s">
        <v>112</v>
      </c>
      <c r="O31" s="53" t="s">
        <v>112</v>
      </c>
      <c r="P31" s="53" t="s">
        <v>112</v>
      </c>
      <c r="Q31" s="53" t="s">
        <v>112</v>
      </c>
      <c r="R31" s="53" t="s">
        <v>112</v>
      </c>
      <c r="S31" s="53">
        <v>5</v>
      </c>
      <c r="T31" s="53" t="s">
        <v>112</v>
      </c>
      <c r="U31" s="53">
        <v>267</v>
      </c>
      <c r="V31" s="53" t="s">
        <v>112</v>
      </c>
      <c r="W31" s="53" t="s">
        <v>112</v>
      </c>
      <c r="X31" s="53" t="s">
        <v>112</v>
      </c>
      <c r="Y31" s="53">
        <v>0</v>
      </c>
      <c r="Z31" s="53" t="s">
        <v>112</v>
      </c>
      <c r="AA31" s="53" t="s">
        <v>112</v>
      </c>
      <c r="AB31" s="53" t="s">
        <v>112</v>
      </c>
      <c r="AC31" s="53" t="s">
        <v>112</v>
      </c>
      <c r="AD31" s="53" t="s">
        <v>112</v>
      </c>
      <c r="AE31" s="53" t="s">
        <v>112</v>
      </c>
      <c r="AF31" s="53" t="s">
        <v>112</v>
      </c>
      <c r="AG31" s="53" t="s">
        <v>112</v>
      </c>
      <c r="AH31" s="53" t="s">
        <v>112</v>
      </c>
      <c r="AI31" s="53">
        <v>12</v>
      </c>
      <c r="AJ31" s="53" t="s">
        <v>112</v>
      </c>
      <c r="AK31" s="53" t="s">
        <v>112</v>
      </c>
      <c r="AL31" s="53" t="s">
        <v>112</v>
      </c>
      <c r="AM31" s="53">
        <v>0</v>
      </c>
      <c r="AN31" s="53" t="s">
        <v>112</v>
      </c>
      <c r="AO31" s="53">
        <v>0</v>
      </c>
      <c r="AP31" s="53" t="s">
        <v>112</v>
      </c>
      <c r="AQ31" s="53" t="s">
        <v>112</v>
      </c>
      <c r="AR31" s="53" t="s">
        <v>112</v>
      </c>
      <c r="AS31" s="53" t="s">
        <v>112</v>
      </c>
      <c r="AT31" s="53" t="s">
        <v>112</v>
      </c>
      <c r="AU31" s="53" t="s">
        <v>112</v>
      </c>
      <c r="AV31" s="53" t="s">
        <v>112</v>
      </c>
      <c r="AW31" s="53" t="s">
        <v>112</v>
      </c>
      <c r="AX31" s="53" t="s">
        <v>112</v>
      </c>
      <c r="AY31" s="53" t="s">
        <v>112</v>
      </c>
      <c r="AZ31" s="53" t="s">
        <v>112</v>
      </c>
      <c r="BA31" s="53">
        <v>296</v>
      </c>
      <c r="BB31" s="53" t="s">
        <v>112</v>
      </c>
      <c r="BC31" s="53">
        <v>19</v>
      </c>
      <c r="BD31" s="53" t="s">
        <v>112</v>
      </c>
      <c r="BE31" s="53">
        <v>0</v>
      </c>
      <c r="BF31" s="53" t="s">
        <v>112</v>
      </c>
      <c r="BG31" s="53" t="s">
        <v>112</v>
      </c>
      <c r="BH31" s="53" t="s">
        <v>112</v>
      </c>
      <c r="BI31" s="53" t="s">
        <v>112</v>
      </c>
      <c r="BJ31" s="53" t="s">
        <v>112</v>
      </c>
      <c r="BK31" s="53" t="s">
        <v>112</v>
      </c>
      <c r="BL31" s="53" t="s">
        <v>112</v>
      </c>
      <c r="BM31" s="53" t="s">
        <v>112</v>
      </c>
    </row>
    <row r="32" spans="1:65" ht="15" customHeight="1" x14ac:dyDescent="0.25">
      <c r="A32" s="53" t="s">
        <v>118</v>
      </c>
      <c r="B32" s="53" t="s">
        <v>112</v>
      </c>
      <c r="C32" s="53" t="s">
        <v>112</v>
      </c>
      <c r="D32" s="53" t="s">
        <v>112</v>
      </c>
      <c r="E32" s="53" t="s">
        <v>112</v>
      </c>
      <c r="F32" s="53" t="s">
        <v>112</v>
      </c>
      <c r="G32" s="53" t="s">
        <v>112</v>
      </c>
      <c r="H32" s="53" t="s">
        <v>112</v>
      </c>
      <c r="I32" s="53" t="s">
        <v>112</v>
      </c>
      <c r="J32" s="53" t="s">
        <v>112</v>
      </c>
      <c r="K32" s="53" t="s">
        <v>112</v>
      </c>
      <c r="L32" s="53" t="s">
        <v>112</v>
      </c>
      <c r="M32" s="53" t="s">
        <v>112</v>
      </c>
      <c r="N32" s="53" t="s">
        <v>112</v>
      </c>
      <c r="O32" s="53" t="s">
        <v>112</v>
      </c>
      <c r="P32" s="53" t="s">
        <v>112</v>
      </c>
      <c r="Q32" s="53" t="s">
        <v>112</v>
      </c>
      <c r="R32" s="53" t="s">
        <v>112</v>
      </c>
      <c r="S32" s="53">
        <v>11</v>
      </c>
      <c r="T32" s="53" t="s">
        <v>112</v>
      </c>
      <c r="U32" s="53">
        <v>245</v>
      </c>
      <c r="V32" s="53" t="s">
        <v>112</v>
      </c>
      <c r="W32" s="53" t="s">
        <v>112</v>
      </c>
      <c r="X32" s="53" t="s">
        <v>112</v>
      </c>
      <c r="Y32" s="53">
        <v>0</v>
      </c>
      <c r="Z32" s="53" t="s">
        <v>112</v>
      </c>
      <c r="AA32" s="53" t="s">
        <v>112</v>
      </c>
      <c r="AB32" s="53" t="s">
        <v>112</v>
      </c>
      <c r="AC32" s="53" t="s">
        <v>112</v>
      </c>
      <c r="AD32" s="53" t="s">
        <v>112</v>
      </c>
      <c r="AE32" s="53" t="s">
        <v>112</v>
      </c>
      <c r="AF32" s="53" t="s">
        <v>112</v>
      </c>
      <c r="AG32" s="53" t="s">
        <v>112</v>
      </c>
      <c r="AH32" s="53" t="s">
        <v>112</v>
      </c>
      <c r="AI32" s="53">
        <v>15</v>
      </c>
      <c r="AJ32" s="53" t="s">
        <v>112</v>
      </c>
      <c r="AK32" s="53" t="s">
        <v>112</v>
      </c>
      <c r="AL32" s="53" t="s">
        <v>112</v>
      </c>
      <c r="AM32" s="53">
        <v>2</v>
      </c>
      <c r="AN32" s="53" t="s">
        <v>112</v>
      </c>
      <c r="AO32" s="53">
        <v>0</v>
      </c>
      <c r="AP32" s="53" t="s">
        <v>112</v>
      </c>
      <c r="AQ32" s="53" t="s">
        <v>112</v>
      </c>
      <c r="AR32" s="53" t="s">
        <v>112</v>
      </c>
      <c r="AS32" s="53" t="s">
        <v>112</v>
      </c>
      <c r="AT32" s="53" t="s">
        <v>112</v>
      </c>
      <c r="AU32" s="53" t="s">
        <v>112</v>
      </c>
      <c r="AV32" s="53" t="s">
        <v>112</v>
      </c>
      <c r="AW32" s="53" t="s">
        <v>112</v>
      </c>
      <c r="AX32" s="53" t="s">
        <v>112</v>
      </c>
      <c r="AY32" s="53" t="s">
        <v>112</v>
      </c>
      <c r="AZ32" s="53" t="s">
        <v>112</v>
      </c>
      <c r="BA32" s="53">
        <v>274</v>
      </c>
      <c r="BB32" s="53" t="s">
        <v>112</v>
      </c>
      <c r="BC32" s="53">
        <v>13</v>
      </c>
      <c r="BD32" s="53" t="s">
        <v>112</v>
      </c>
      <c r="BE32" s="53">
        <v>0</v>
      </c>
      <c r="BF32" s="53" t="s">
        <v>112</v>
      </c>
      <c r="BG32" s="53" t="s">
        <v>112</v>
      </c>
      <c r="BH32" s="53" t="s">
        <v>112</v>
      </c>
      <c r="BI32" s="53" t="s">
        <v>112</v>
      </c>
      <c r="BJ32" s="53" t="s">
        <v>112</v>
      </c>
      <c r="BK32" s="53" t="s">
        <v>112</v>
      </c>
      <c r="BL32" s="53" t="s">
        <v>112</v>
      </c>
      <c r="BM32" s="53" t="s">
        <v>112</v>
      </c>
    </row>
    <row r="33" spans="1:65" ht="15" customHeight="1" x14ac:dyDescent="0.25">
      <c r="A33" s="53" t="s">
        <v>117</v>
      </c>
      <c r="B33" s="53" t="s">
        <v>112</v>
      </c>
      <c r="C33" s="53" t="s">
        <v>112</v>
      </c>
      <c r="D33" s="53" t="s">
        <v>112</v>
      </c>
      <c r="E33" s="53" t="s">
        <v>112</v>
      </c>
      <c r="F33" s="53" t="s">
        <v>112</v>
      </c>
      <c r="G33" s="53" t="s">
        <v>112</v>
      </c>
      <c r="H33" s="53" t="s">
        <v>112</v>
      </c>
      <c r="I33" s="53" t="s">
        <v>112</v>
      </c>
      <c r="J33" s="53" t="s">
        <v>112</v>
      </c>
      <c r="K33" s="53" t="s">
        <v>112</v>
      </c>
      <c r="L33" s="53" t="s">
        <v>112</v>
      </c>
      <c r="M33" s="53" t="s">
        <v>112</v>
      </c>
      <c r="N33" s="53" t="s">
        <v>112</v>
      </c>
      <c r="O33" s="53" t="s">
        <v>112</v>
      </c>
      <c r="P33" s="53" t="s">
        <v>112</v>
      </c>
      <c r="Q33" s="53" t="s">
        <v>112</v>
      </c>
      <c r="R33" s="53" t="s">
        <v>112</v>
      </c>
      <c r="S33" s="53">
        <v>5</v>
      </c>
      <c r="T33" s="53" t="s">
        <v>112</v>
      </c>
      <c r="U33" s="53">
        <v>235</v>
      </c>
      <c r="V33" s="53" t="s">
        <v>112</v>
      </c>
      <c r="W33" s="53" t="s">
        <v>112</v>
      </c>
      <c r="X33" s="53" t="s">
        <v>112</v>
      </c>
      <c r="Y33" s="53">
        <v>0</v>
      </c>
      <c r="Z33" s="53" t="s">
        <v>112</v>
      </c>
      <c r="AA33" s="53" t="s">
        <v>112</v>
      </c>
      <c r="AB33" s="53" t="s">
        <v>112</v>
      </c>
      <c r="AC33" s="53" t="s">
        <v>112</v>
      </c>
      <c r="AD33" s="53" t="s">
        <v>112</v>
      </c>
      <c r="AE33" s="53" t="s">
        <v>112</v>
      </c>
      <c r="AF33" s="53" t="s">
        <v>112</v>
      </c>
      <c r="AG33" s="53" t="s">
        <v>112</v>
      </c>
      <c r="AH33" s="53" t="s">
        <v>112</v>
      </c>
      <c r="AI33" s="53">
        <v>16</v>
      </c>
      <c r="AJ33" s="53" t="s">
        <v>112</v>
      </c>
      <c r="AK33" s="53" t="s">
        <v>112</v>
      </c>
      <c r="AL33" s="53" t="s">
        <v>112</v>
      </c>
      <c r="AM33" s="53">
        <v>2</v>
      </c>
      <c r="AN33" s="53" t="s">
        <v>112</v>
      </c>
      <c r="AO33" s="53">
        <v>0</v>
      </c>
      <c r="AP33" s="53" t="s">
        <v>112</v>
      </c>
      <c r="AQ33" s="53" t="s">
        <v>112</v>
      </c>
      <c r="AR33" s="53" t="s">
        <v>112</v>
      </c>
      <c r="AS33" s="53" t="s">
        <v>112</v>
      </c>
      <c r="AT33" s="53" t="s">
        <v>112</v>
      </c>
      <c r="AU33" s="53" t="s">
        <v>112</v>
      </c>
      <c r="AV33" s="53" t="s">
        <v>112</v>
      </c>
      <c r="AW33" s="53" t="s">
        <v>112</v>
      </c>
      <c r="AX33" s="53" t="s">
        <v>112</v>
      </c>
      <c r="AY33" s="53" t="s">
        <v>112</v>
      </c>
      <c r="AZ33" s="53" t="s">
        <v>112</v>
      </c>
      <c r="BA33" s="53">
        <v>290</v>
      </c>
      <c r="BB33" s="53" t="s">
        <v>112</v>
      </c>
      <c r="BC33" s="53">
        <v>31</v>
      </c>
      <c r="BD33" s="53" t="s">
        <v>112</v>
      </c>
      <c r="BE33" s="53">
        <v>0</v>
      </c>
      <c r="BF33" s="53" t="s">
        <v>112</v>
      </c>
      <c r="BG33" s="53" t="s">
        <v>112</v>
      </c>
      <c r="BH33" s="53" t="s">
        <v>112</v>
      </c>
      <c r="BI33" s="53" t="s">
        <v>112</v>
      </c>
      <c r="BJ33" s="53" t="s">
        <v>112</v>
      </c>
      <c r="BK33" s="53" t="s">
        <v>112</v>
      </c>
      <c r="BL33" s="53" t="s">
        <v>112</v>
      </c>
      <c r="BM33" s="53" t="s">
        <v>112</v>
      </c>
    </row>
    <row r="34" spans="1:65" ht="15" customHeight="1" x14ac:dyDescent="0.25">
      <c r="A34" s="53" t="s">
        <v>116</v>
      </c>
      <c r="B34" s="53" t="s">
        <v>112</v>
      </c>
      <c r="C34" s="53" t="s">
        <v>112</v>
      </c>
      <c r="D34" s="53" t="s">
        <v>112</v>
      </c>
      <c r="E34" s="53" t="s">
        <v>112</v>
      </c>
      <c r="F34" s="53" t="s">
        <v>112</v>
      </c>
      <c r="G34" s="53" t="s">
        <v>112</v>
      </c>
      <c r="H34" s="53" t="s">
        <v>112</v>
      </c>
      <c r="I34" s="53" t="s">
        <v>112</v>
      </c>
      <c r="J34" s="53" t="s">
        <v>112</v>
      </c>
      <c r="K34" s="53" t="s">
        <v>112</v>
      </c>
      <c r="L34" s="53" t="s">
        <v>112</v>
      </c>
      <c r="M34" s="53" t="s">
        <v>112</v>
      </c>
      <c r="N34" s="53" t="s">
        <v>112</v>
      </c>
      <c r="O34" s="53" t="s">
        <v>112</v>
      </c>
      <c r="P34" s="53" t="s">
        <v>112</v>
      </c>
      <c r="Q34" s="53" t="s">
        <v>112</v>
      </c>
      <c r="R34" s="53" t="s">
        <v>112</v>
      </c>
      <c r="S34" s="53">
        <v>13</v>
      </c>
      <c r="T34" s="53" t="s">
        <v>112</v>
      </c>
      <c r="U34" s="53">
        <v>262</v>
      </c>
      <c r="V34" s="53" t="s">
        <v>112</v>
      </c>
      <c r="W34" s="53" t="s">
        <v>112</v>
      </c>
      <c r="X34" s="53" t="s">
        <v>112</v>
      </c>
      <c r="Y34" s="53">
        <v>0</v>
      </c>
      <c r="Z34" s="53" t="s">
        <v>112</v>
      </c>
      <c r="AA34" s="53" t="s">
        <v>112</v>
      </c>
      <c r="AB34" s="53" t="s">
        <v>112</v>
      </c>
      <c r="AC34" s="53" t="s">
        <v>112</v>
      </c>
      <c r="AD34" s="53" t="s">
        <v>112</v>
      </c>
      <c r="AE34" s="53" t="s">
        <v>112</v>
      </c>
      <c r="AF34" s="53" t="s">
        <v>112</v>
      </c>
      <c r="AG34" s="53" t="s">
        <v>112</v>
      </c>
      <c r="AH34" s="53" t="s">
        <v>112</v>
      </c>
      <c r="AI34" s="53">
        <v>16</v>
      </c>
      <c r="AJ34" s="53" t="s">
        <v>112</v>
      </c>
      <c r="AK34" s="53" t="s">
        <v>112</v>
      </c>
      <c r="AL34" s="53" t="s">
        <v>112</v>
      </c>
      <c r="AM34" s="53">
        <v>0</v>
      </c>
      <c r="AN34" s="53" t="s">
        <v>112</v>
      </c>
      <c r="AO34" s="53">
        <v>0</v>
      </c>
      <c r="AP34" s="53" t="s">
        <v>112</v>
      </c>
      <c r="AQ34" s="53" t="s">
        <v>112</v>
      </c>
      <c r="AR34" s="53" t="s">
        <v>112</v>
      </c>
      <c r="AS34" s="53" t="s">
        <v>112</v>
      </c>
      <c r="AT34" s="53" t="s">
        <v>112</v>
      </c>
      <c r="AU34" s="53" t="s">
        <v>112</v>
      </c>
      <c r="AV34" s="53" t="s">
        <v>112</v>
      </c>
      <c r="AW34" s="53" t="s">
        <v>112</v>
      </c>
      <c r="AX34" s="53" t="s">
        <v>112</v>
      </c>
      <c r="AY34" s="53" t="s">
        <v>112</v>
      </c>
      <c r="AZ34" s="53" t="s">
        <v>112</v>
      </c>
      <c r="BA34" s="53">
        <v>312</v>
      </c>
      <c r="BB34" s="53" t="s">
        <v>112</v>
      </c>
      <c r="BC34" s="53">
        <v>32</v>
      </c>
      <c r="BD34" s="53" t="s">
        <v>112</v>
      </c>
      <c r="BE34" s="53">
        <v>0</v>
      </c>
      <c r="BF34" s="53" t="s">
        <v>112</v>
      </c>
      <c r="BG34" s="53" t="s">
        <v>112</v>
      </c>
      <c r="BH34" s="53" t="s">
        <v>112</v>
      </c>
      <c r="BI34" s="53" t="s">
        <v>112</v>
      </c>
      <c r="BJ34" s="53" t="s">
        <v>112</v>
      </c>
      <c r="BK34" s="53" t="s">
        <v>112</v>
      </c>
      <c r="BL34" s="53" t="s">
        <v>112</v>
      </c>
      <c r="BM34" s="53" t="s">
        <v>112</v>
      </c>
    </row>
    <row r="35" spans="1:65" ht="15" customHeight="1" x14ac:dyDescent="0.25">
      <c r="A35" s="53" t="s">
        <v>115</v>
      </c>
      <c r="B35" s="53" t="s">
        <v>112</v>
      </c>
      <c r="C35" s="53" t="s">
        <v>112</v>
      </c>
      <c r="D35" s="53" t="s">
        <v>112</v>
      </c>
      <c r="E35" s="53" t="s">
        <v>112</v>
      </c>
      <c r="F35" s="53" t="s">
        <v>112</v>
      </c>
      <c r="G35" s="53" t="s">
        <v>112</v>
      </c>
      <c r="H35" s="53" t="s">
        <v>112</v>
      </c>
      <c r="I35" s="53" t="s">
        <v>112</v>
      </c>
      <c r="J35" s="53" t="s">
        <v>112</v>
      </c>
      <c r="K35" s="53" t="s">
        <v>112</v>
      </c>
      <c r="L35" s="53" t="s">
        <v>112</v>
      </c>
      <c r="M35" s="53" t="s">
        <v>112</v>
      </c>
      <c r="N35" s="53" t="s">
        <v>112</v>
      </c>
      <c r="O35" s="53" t="s">
        <v>112</v>
      </c>
      <c r="P35" s="53" t="s">
        <v>112</v>
      </c>
      <c r="Q35" s="53" t="s">
        <v>112</v>
      </c>
      <c r="R35" s="53" t="s">
        <v>112</v>
      </c>
      <c r="S35" s="53">
        <v>5</v>
      </c>
      <c r="T35" s="53" t="s">
        <v>112</v>
      </c>
      <c r="U35" s="53">
        <v>203</v>
      </c>
      <c r="V35" s="53" t="s">
        <v>112</v>
      </c>
      <c r="W35" s="53" t="s">
        <v>112</v>
      </c>
      <c r="X35" s="53" t="s">
        <v>112</v>
      </c>
      <c r="Y35" s="53">
        <v>0</v>
      </c>
      <c r="Z35" s="53" t="s">
        <v>112</v>
      </c>
      <c r="AA35" s="53" t="s">
        <v>112</v>
      </c>
      <c r="AB35" s="53" t="s">
        <v>112</v>
      </c>
      <c r="AC35" s="53" t="s">
        <v>112</v>
      </c>
      <c r="AD35" s="53" t="s">
        <v>112</v>
      </c>
      <c r="AE35" s="53" t="s">
        <v>112</v>
      </c>
      <c r="AF35" s="53" t="s">
        <v>112</v>
      </c>
      <c r="AG35" s="53" t="s">
        <v>112</v>
      </c>
      <c r="AH35" s="53" t="s">
        <v>112</v>
      </c>
      <c r="AI35" s="53">
        <v>8</v>
      </c>
      <c r="AJ35" s="53" t="s">
        <v>112</v>
      </c>
      <c r="AK35" s="53" t="s">
        <v>112</v>
      </c>
      <c r="AL35" s="53" t="s">
        <v>112</v>
      </c>
      <c r="AM35" s="53">
        <v>0</v>
      </c>
      <c r="AN35" s="53" t="s">
        <v>112</v>
      </c>
      <c r="AO35" s="53">
        <v>0</v>
      </c>
      <c r="AP35" s="53" t="s">
        <v>112</v>
      </c>
      <c r="AQ35" s="53" t="s">
        <v>112</v>
      </c>
      <c r="AR35" s="53" t="s">
        <v>112</v>
      </c>
      <c r="AS35" s="53" t="s">
        <v>112</v>
      </c>
      <c r="AT35" s="53" t="s">
        <v>112</v>
      </c>
      <c r="AU35" s="53" t="s">
        <v>112</v>
      </c>
      <c r="AV35" s="53" t="s">
        <v>112</v>
      </c>
      <c r="AW35" s="53" t="s">
        <v>112</v>
      </c>
      <c r="AX35" s="53" t="s">
        <v>112</v>
      </c>
      <c r="AY35" s="53" t="s">
        <v>112</v>
      </c>
      <c r="AZ35" s="53" t="s">
        <v>112</v>
      </c>
      <c r="BA35" s="53">
        <v>323</v>
      </c>
      <c r="BB35" s="53" t="s">
        <v>112</v>
      </c>
      <c r="BC35" s="53">
        <v>19</v>
      </c>
      <c r="BD35" s="53" t="s">
        <v>112</v>
      </c>
      <c r="BE35" s="53">
        <v>0</v>
      </c>
      <c r="BF35" s="53" t="s">
        <v>112</v>
      </c>
      <c r="BG35" s="53" t="s">
        <v>112</v>
      </c>
      <c r="BH35" s="53" t="s">
        <v>112</v>
      </c>
      <c r="BI35" s="53" t="s">
        <v>112</v>
      </c>
      <c r="BJ35" s="53" t="s">
        <v>112</v>
      </c>
      <c r="BK35" s="53" t="s">
        <v>112</v>
      </c>
      <c r="BL35" s="53" t="s">
        <v>112</v>
      </c>
      <c r="BM35" s="53" t="s">
        <v>112</v>
      </c>
    </row>
    <row r="36" spans="1:65" ht="15" customHeight="1" x14ac:dyDescent="0.25">
      <c r="A36" s="53" t="s">
        <v>114</v>
      </c>
      <c r="B36" s="53" t="s">
        <v>112</v>
      </c>
      <c r="C36" s="53" t="s">
        <v>112</v>
      </c>
      <c r="D36" s="53" t="s">
        <v>112</v>
      </c>
      <c r="E36" s="53" t="s">
        <v>112</v>
      </c>
      <c r="F36" s="53" t="s">
        <v>112</v>
      </c>
      <c r="G36" s="53" t="s">
        <v>112</v>
      </c>
      <c r="H36" s="53" t="s">
        <v>112</v>
      </c>
      <c r="I36" s="53" t="s">
        <v>112</v>
      </c>
      <c r="J36" s="53" t="s">
        <v>112</v>
      </c>
      <c r="K36" s="53" t="s">
        <v>112</v>
      </c>
      <c r="L36" s="53" t="s">
        <v>112</v>
      </c>
      <c r="M36" s="53" t="s">
        <v>112</v>
      </c>
      <c r="N36" s="53" t="s">
        <v>112</v>
      </c>
      <c r="O36" s="53" t="s">
        <v>112</v>
      </c>
      <c r="P36" s="53" t="s">
        <v>112</v>
      </c>
      <c r="Q36" s="53" t="s">
        <v>112</v>
      </c>
      <c r="R36" s="53" t="s">
        <v>112</v>
      </c>
      <c r="S36" s="53">
        <v>13</v>
      </c>
      <c r="T36" s="53" t="s">
        <v>112</v>
      </c>
      <c r="U36" s="53">
        <v>194</v>
      </c>
      <c r="V36" s="53" t="s">
        <v>112</v>
      </c>
      <c r="W36" s="53" t="s">
        <v>112</v>
      </c>
      <c r="X36" s="53" t="s">
        <v>112</v>
      </c>
      <c r="Y36" s="53">
        <v>0</v>
      </c>
      <c r="Z36" s="53" t="s">
        <v>112</v>
      </c>
      <c r="AA36" s="53" t="s">
        <v>112</v>
      </c>
      <c r="AB36" s="53" t="s">
        <v>112</v>
      </c>
      <c r="AC36" s="53" t="s">
        <v>112</v>
      </c>
      <c r="AD36" s="53" t="s">
        <v>112</v>
      </c>
      <c r="AE36" s="53" t="s">
        <v>112</v>
      </c>
      <c r="AF36" s="53" t="s">
        <v>112</v>
      </c>
      <c r="AG36" s="53" t="s">
        <v>112</v>
      </c>
      <c r="AH36" s="53" t="s">
        <v>112</v>
      </c>
      <c r="AI36" s="53">
        <v>10</v>
      </c>
      <c r="AJ36" s="53" t="s">
        <v>112</v>
      </c>
      <c r="AK36" s="53" t="s">
        <v>112</v>
      </c>
      <c r="AL36" s="53" t="s">
        <v>112</v>
      </c>
      <c r="AM36" s="53">
        <v>2</v>
      </c>
      <c r="AN36" s="53" t="s">
        <v>112</v>
      </c>
      <c r="AO36" s="53">
        <v>0</v>
      </c>
      <c r="AP36" s="53" t="s">
        <v>112</v>
      </c>
      <c r="AQ36" s="53" t="s">
        <v>112</v>
      </c>
      <c r="AR36" s="53" t="s">
        <v>112</v>
      </c>
      <c r="AS36" s="53" t="s">
        <v>112</v>
      </c>
      <c r="AT36" s="53" t="s">
        <v>112</v>
      </c>
      <c r="AU36" s="53" t="s">
        <v>112</v>
      </c>
      <c r="AV36" s="53" t="s">
        <v>112</v>
      </c>
      <c r="AW36" s="53" t="s">
        <v>112</v>
      </c>
      <c r="AX36" s="53" t="s">
        <v>112</v>
      </c>
      <c r="AY36" s="53" t="s">
        <v>112</v>
      </c>
      <c r="AZ36" s="53" t="s">
        <v>112</v>
      </c>
      <c r="BA36" s="53">
        <v>319</v>
      </c>
      <c r="BB36" s="53" t="s">
        <v>112</v>
      </c>
      <c r="BC36" s="53">
        <v>25</v>
      </c>
      <c r="BD36" s="53" t="s">
        <v>112</v>
      </c>
      <c r="BE36" s="53">
        <v>0</v>
      </c>
      <c r="BF36" s="53" t="s">
        <v>112</v>
      </c>
      <c r="BG36" s="53" t="s">
        <v>112</v>
      </c>
      <c r="BH36" s="53" t="s">
        <v>112</v>
      </c>
      <c r="BI36" s="53" t="s">
        <v>112</v>
      </c>
      <c r="BJ36" s="53" t="s">
        <v>112</v>
      </c>
      <c r="BK36" s="53" t="s">
        <v>112</v>
      </c>
      <c r="BL36" s="53" t="s">
        <v>112</v>
      </c>
      <c r="BM36" s="53" t="s">
        <v>112</v>
      </c>
    </row>
    <row r="37" spans="1:65" ht="15" customHeight="1" x14ac:dyDescent="0.25">
      <c r="A37" s="53" t="s">
        <v>113</v>
      </c>
      <c r="B37" s="53" t="s">
        <v>112</v>
      </c>
      <c r="C37" s="53" t="s">
        <v>112</v>
      </c>
      <c r="D37" s="53" t="s">
        <v>112</v>
      </c>
      <c r="E37" s="53" t="s">
        <v>112</v>
      </c>
      <c r="F37" s="53" t="s">
        <v>112</v>
      </c>
      <c r="G37" s="53" t="s">
        <v>112</v>
      </c>
      <c r="H37" s="53" t="s">
        <v>112</v>
      </c>
      <c r="I37" s="53" t="s">
        <v>112</v>
      </c>
      <c r="J37" s="53" t="s">
        <v>112</v>
      </c>
      <c r="K37" s="53" t="s">
        <v>112</v>
      </c>
      <c r="L37" s="53" t="s">
        <v>112</v>
      </c>
      <c r="M37" s="53" t="s">
        <v>112</v>
      </c>
      <c r="N37" s="53" t="s">
        <v>112</v>
      </c>
      <c r="O37" s="53" t="s">
        <v>112</v>
      </c>
      <c r="P37" s="53" t="s">
        <v>112</v>
      </c>
      <c r="Q37" s="53" t="s">
        <v>112</v>
      </c>
      <c r="R37" s="53" t="s">
        <v>112</v>
      </c>
      <c r="S37" s="53">
        <v>0</v>
      </c>
      <c r="T37" s="53" t="s">
        <v>112</v>
      </c>
      <c r="U37" s="53">
        <v>1</v>
      </c>
      <c r="V37" s="53" t="s">
        <v>112</v>
      </c>
      <c r="W37" s="53" t="s">
        <v>112</v>
      </c>
      <c r="X37" s="53" t="s">
        <v>112</v>
      </c>
      <c r="Y37" s="53">
        <v>0</v>
      </c>
      <c r="Z37" s="53" t="s">
        <v>112</v>
      </c>
      <c r="AA37" s="53" t="s">
        <v>112</v>
      </c>
      <c r="AB37" s="53" t="s">
        <v>112</v>
      </c>
      <c r="AC37" s="53" t="s">
        <v>112</v>
      </c>
      <c r="AD37" s="53" t="s">
        <v>112</v>
      </c>
      <c r="AE37" s="53" t="s">
        <v>112</v>
      </c>
      <c r="AF37" s="53" t="s">
        <v>112</v>
      </c>
      <c r="AG37" s="53" t="s">
        <v>112</v>
      </c>
      <c r="AH37" s="53" t="s">
        <v>112</v>
      </c>
      <c r="AI37" s="53">
        <v>0</v>
      </c>
      <c r="AJ37" s="53" t="s">
        <v>112</v>
      </c>
      <c r="AK37" s="53" t="s">
        <v>112</v>
      </c>
      <c r="AL37" s="53" t="s">
        <v>112</v>
      </c>
      <c r="AM37" s="53">
        <v>0</v>
      </c>
      <c r="AN37" s="53" t="s">
        <v>112</v>
      </c>
      <c r="AO37" s="53">
        <v>0</v>
      </c>
      <c r="AP37" s="53" t="s">
        <v>112</v>
      </c>
      <c r="AQ37" s="53" t="s">
        <v>112</v>
      </c>
      <c r="AR37" s="53" t="s">
        <v>112</v>
      </c>
      <c r="AS37" s="53" t="s">
        <v>112</v>
      </c>
      <c r="AT37" s="53" t="s">
        <v>112</v>
      </c>
      <c r="AU37" s="53" t="s">
        <v>112</v>
      </c>
      <c r="AV37" s="53" t="s">
        <v>112</v>
      </c>
      <c r="AW37" s="53" t="s">
        <v>112</v>
      </c>
      <c r="AX37" s="53" t="s">
        <v>112</v>
      </c>
      <c r="AY37" s="53" t="s">
        <v>112</v>
      </c>
      <c r="AZ37" s="53" t="s">
        <v>112</v>
      </c>
      <c r="BA37" s="53">
        <v>0</v>
      </c>
      <c r="BB37" s="53" t="s">
        <v>112</v>
      </c>
      <c r="BC37" s="53">
        <v>0</v>
      </c>
      <c r="BD37" s="53" t="s">
        <v>112</v>
      </c>
      <c r="BE37" s="53">
        <v>0</v>
      </c>
      <c r="BF37" s="53" t="s">
        <v>112</v>
      </c>
      <c r="BG37" s="53" t="s">
        <v>112</v>
      </c>
      <c r="BH37" s="53" t="s">
        <v>112</v>
      </c>
      <c r="BI37" s="53" t="s">
        <v>112</v>
      </c>
      <c r="BJ37" s="53" t="s">
        <v>112</v>
      </c>
      <c r="BK37" s="53" t="s">
        <v>112</v>
      </c>
      <c r="BL37" s="53" t="s">
        <v>112</v>
      </c>
      <c r="BM37" s="53" t="s">
        <v>112</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Alicia La Rosa</cp:lastModifiedBy>
  <dcterms:created xsi:type="dcterms:W3CDTF">2015-09-25T23:40:30Z</dcterms:created>
  <dcterms:modified xsi:type="dcterms:W3CDTF">2024-12-13T02:52:50Z</dcterms:modified>
</cp:coreProperties>
</file>