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29668B2-DB5B-4C78-A207-0A8F9C664E36}"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L113" i="6"/>
  <c r="Q113" i="6" s="1"/>
  <c r="L49" i="6"/>
  <c r="Q49" i="6" s="1"/>
  <c r="L248" i="6"/>
  <c r="Q248" i="6" s="1"/>
  <c r="L32" i="6"/>
  <c r="L238" i="6"/>
  <c r="L118" i="6"/>
  <c r="L272" i="6"/>
  <c r="L200" i="6"/>
  <c r="Q200" i="6" s="1"/>
  <c r="L303" i="6"/>
  <c r="L271" i="6"/>
  <c r="Q271" i="6" s="1"/>
  <c r="L239" i="6"/>
  <c r="Q239" i="6" s="1"/>
  <c r="L207" i="6"/>
  <c r="Q207" i="6" s="1"/>
  <c r="L175" i="6"/>
  <c r="L143" i="6"/>
  <c r="Q143" i="6" s="1"/>
  <c r="L111" i="6"/>
  <c r="L79" i="6"/>
  <c r="Q79" i="6" s="1"/>
  <c r="L47" i="6"/>
  <c r="Q47" i="6" s="1"/>
  <c r="L213" i="6"/>
  <c r="Q213" i="6" s="1"/>
  <c r="L117" i="6"/>
  <c r="Q117" i="6" s="1"/>
  <c r="L53" i="6"/>
  <c r="Q53" i="6" s="1"/>
  <c r="L261" i="6"/>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Q140" i="6" s="1"/>
  <c r="L115" i="6"/>
  <c r="Q115" i="6" s="1"/>
  <c r="L155" i="6"/>
  <c r="L98" i="6"/>
  <c r="Q98" i="6" s="1"/>
  <c r="L185" i="6"/>
  <c r="Q185" i="6" s="1"/>
  <c r="L102" i="6"/>
  <c r="Q102" i="6" s="1"/>
  <c r="L104" i="6"/>
  <c r="Q104" i="6" s="1"/>
  <c r="L269" i="6"/>
  <c r="Q269" i="6" s="1"/>
  <c r="L132" i="6"/>
  <c r="Q132" i="6" s="1"/>
  <c r="L35" i="6"/>
  <c r="L282" i="6"/>
  <c r="L230" i="6"/>
  <c r="Q230" i="6" s="1"/>
  <c r="L94" i="6"/>
  <c r="Q94" i="6" s="1"/>
  <c r="L297" i="6"/>
  <c r="Q297" i="6" s="1"/>
  <c r="L233" i="6"/>
  <c r="Q233" i="6" s="1"/>
  <c r="L169" i="6"/>
  <c r="Q169" i="6" s="1"/>
  <c r="L105" i="6"/>
  <c r="Q105" i="6" s="1"/>
  <c r="L41" i="6"/>
  <c r="Q41" i="6" s="1"/>
  <c r="L222" i="6"/>
  <c r="Q222" i="6" s="1"/>
  <c r="L62" i="6"/>
  <c r="Q62" i="6" s="1"/>
  <c r="L168" i="6"/>
  <c r="Q168" i="6" s="1"/>
  <c r="L136" i="6"/>
  <c r="Q136" i="6" s="1"/>
  <c r="L96" i="6"/>
  <c r="Q96" i="6" s="1"/>
  <c r="L64" i="6"/>
  <c r="Q64" i="6" s="1"/>
  <c r="L256" i="6"/>
  <c r="Q256" i="6" s="1"/>
  <c r="L197" i="6"/>
  <c r="Q197" i="6" s="1"/>
  <c r="L109" i="6"/>
  <c r="L45" i="6"/>
  <c r="Q45" i="6" s="1"/>
  <c r="L245" i="6"/>
  <c r="Q245" i="6" s="1"/>
  <c r="L14" i="6"/>
  <c r="L244" i="6"/>
  <c r="Q244" i="6" s="1"/>
  <c r="L180" i="6"/>
  <c r="Q180" i="6" s="1"/>
  <c r="L116" i="6"/>
  <c r="Q116" i="6" s="1"/>
  <c r="L52" i="6"/>
  <c r="Q52" i="6" s="1"/>
  <c r="L219" i="6"/>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Q97" i="6" s="1"/>
  <c r="L33" i="6"/>
  <c r="L224" i="6"/>
  <c r="Q224" i="6" s="1"/>
  <c r="L206" i="6"/>
  <c r="Q206" i="6" s="1"/>
  <c r="L78" i="6"/>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1" i="6"/>
  <c r="Q237" i="6"/>
  <c r="Q173" i="6"/>
  <c r="Q109" i="6"/>
  <c r="Q227" i="6"/>
  <c r="Q219" i="6"/>
  <c r="Q155" i="6"/>
  <c r="Q282" i="6"/>
  <c r="Q106" i="6"/>
  <c r="Q90" i="6"/>
  <c r="Q268" i="6"/>
  <c r="Q177" i="6"/>
  <c r="Q88" i="6"/>
  <c r="Q110" i="6"/>
  <c r="Q71" i="6"/>
  <c r="Q300" i="6"/>
  <c r="Q254" i="6"/>
  <c r="Q73" i="6"/>
  <c r="Q238" i="6"/>
  <c r="Q303" i="6"/>
  <c r="Q278" i="6"/>
  <c r="Q225" i="6"/>
  <c r="Q175" i="6"/>
  <c r="Q111" i="6"/>
  <c r="Q86" i="6"/>
  <c r="Q288" i="6"/>
  <c r="Q46" i="6"/>
  <c r="Q272" i="6"/>
  <c r="Q118" i="6"/>
  <c r="Q246" i="6"/>
  <c r="Q192" i="6"/>
  <c r="Q78" i="6"/>
  <c r="Q54" i="6"/>
  <c r="H8" i="6"/>
  <c r="B4" i="7" s="1"/>
  <c r="O6" i="6"/>
  <c r="I194" i="4" l="1"/>
  <c r="I134" i="4"/>
  <c r="I74" i="4"/>
  <c r="I14" i="4"/>
  <c r="I214" i="4"/>
  <c r="I154" i="4"/>
  <c r="I94" i="4"/>
  <c r="I34" i="4"/>
  <c r="I234" i="4"/>
  <c r="I174" i="4"/>
  <c r="I114" i="4"/>
  <c r="I54" i="4"/>
  <c r="I66" i="4"/>
  <c r="I6" i="4"/>
  <c r="I206" i="4"/>
  <c r="I146" i="4"/>
  <c r="I86" i="4"/>
  <c r="I26" i="4"/>
  <c r="I226" i="4"/>
  <c r="I166" i="4"/>
  <c r="I106" i="4"/>
  <c r="I46" i="4"/>
  <c r="I186" i="4"/>
  <c r="I126" i="4"/>
  <c r="I83" i="4"/>
  <c r="I23" i="4"/>
  <c r="I223" i="4"/>
  <c r="I163" i="4"/>
  <c r="I103" i="4"/>
  <c r="I43" i="4"/>
  <c r="I183" i="4"/>
  <c r="I123" i="4"/>
  <c r="I63" i="4"/>
  <c r="I3" i="4"/>
  <c r="I203" i="4"/>
  <c r="I143" i="4"/>
  <c r="I125" i="4"/>
  <c r="I185" i="4"/>
  <c r="I5" i="4"/>
  <c r="I65" i="4"/>
  <c r="I205" i="4"/>
  <c r="I85" i="4"/>
  <c r="I145" i="4"/>
  <c r="I25" i="4"/>
  <c r="I165" i="4"/>
  <c r="I225" i="4"/>
  <c r="I45" i="4"/>
  <c r="I105" i="4"/>
  <c r="I44" i="4"/>
  <c r="I224" i="4"/>
  <c r="I104" i="4"/>
  <c r="I124" i="4"/>
  <c r="I4" i="4"/>
  <c r="I184" i="4"/>
  <c r="I204" i="4"/>
  <c r="I64" i="4"/>
  <c r="I84" i="4"/>
  <c r="I144" i="4"/>
  <c r="I164" i="4"/>
  <c r="I24" i="4"/>
  <c r="I172" i="4"/>
  <c r="I32" i="4"/>
  <c r="I52" i="4"/>
  <c r="I232" i="4"/>
  <c r="I112" i="4"/>
  <c r="I132" i="4"/>
  <c r="I12" i="4"/>
  <c r="I192" i="4"/>
  <c r="I212" i="4"/>
  <c r="I72" i="4"/>
  <c r="I92" i="4"/>
  <c r="I152" i="4"/>
  <c r="I189" i="4"/>
  <c r="I69" i="4"/>
  <c r="I129" i="4"/>
  <c r="I9" i="4"/>
  <c r="I149" i="4"/>
  <c r="I209" i="4"/>
  <c r="I29" i="4"/>
  <c r="I89" i="4"/>
  <c r="I229" i="4"/>
  <c r="I109" i="4"/>
  <c r="I169" i="4"/>
  <c r="I49" i="4"/>
  <c r="I57" i="4"/>
  <c r="I197" i="4"/>
  <c r="I77" i="4"/>
  <c r="I137" i="4"/>
  <c r="I17" i="4"/>
  <c r="I157" i="4"/>
  <c r="I217" i="4"/>
  <c r="I37" i="4"/>
  <c r="I97" i="4"/>
  <c r="I237" i="4"/>
  <c r="I117" i="4"/>
  <c r="I177" i="4"/>
  <c r="I2" i="4"/>
  <c r="I202" i="4"/>
  <c r="I142" i="4"/>
  <c r="I82" i="4"/>
  <c r="I22" i="4"/>
  <c r="I222" i="4"/>
  <c r="I162" i="4"/>
  <c r="I102" i="4"/>
  <c r="I42" i="4"/>
  <c r="I182" i="4"/>
  <c r="I122" i="4"/>
  <c r="I62" i="4"/>
  <c r="I236" i="4"/>
  <c r="I96" i="4"/>
  <c r="I116" i="4"/>
  <c r="I176" i="4"/>
  <c r="I196" i="4"/>
  <c r="I56" i="4"/>
  <c r="I76" i="4"/>
  <c r="I136" i="4"/>
  <c r="I156" i="4"/>
  <c r="I16" i="4"/>
  <c r="I36" i="4"/>
  <c r="I216" i="4"/>
  <c r="I19" i="4"/>
  <c r="I219" i="4"/>
  <c r="I159" i="4"/>
  <c r="I99" i="4"/>
  <c r="I39" i="4"/>
  <c r="I239" i="4"/>
  <c r="I179" i="4"/>
  <c r="I119" i="4"/>
  <c r="I59" i="4"/>
  <c r="I199" i="4"/>
  <c r="I139" i="4"/>
  <c r="I79" i="4"/>
  <c r="I198" i="4"/>
  <c r="I138" i="4"/>
  <c r="I78" i="4"/>
  <c r="I18" i="4"/>
  <c r="I218" i="4"/>
  <c r="I158" i="4"/>
  <c r="I98" i="4"/>
  <c r="I38" i="4"/>
  <c r="I238" i="4"/>
  <c r="I178" i="4"/>
  <c r="I118" i="4"/>
  <c r="I58" i="4"/>
  <c r="I133" i="4"/>
  <c r="I193" i="4"/>
  <c r="I13" i="4"/>
  <c r="I73" i="4"/>
  <c r="I213" i="4"/>
  <c r="I93" i="4"/>
  <c r="I153" i="4"/>
  <c r="I33" i="4"/>
  <c r="I173" i="4"/>
  <c r="I233" i="4"/>
  <c r="I53" i="4"/>
  <c r="I113" i="4"/>
  <c r="I130" i="4"/>
  <c r="I70" i="4"/>
  <c r="I10" i="4"/>
  <c r="I210" i="4"/>
  <c r="I150" i="4"/>
  <c r="I90" i="4"/>
  <c r="I30" i="4"/>
  <c r="I230" i="4"/>
  <c r="I170" i="4"/>
  <c r="I110" i="4"/>
  <c r="I50" i="4"/>
  <c r="I190" i="4"/>
  <c r="I147" i="4"/>
  <c r="I87" i="4"/>
  <c r="I27" i="4"/>
  <c r="I227" i="4"/>
  <c r="I167" i="4"/>
  <c r="I107" i="4"/>
  <c r="I47" i="4"/>
  <c r="I187" i="4"/>
  <c r="I127" i="4"/>
  <c r="I67" i="4"/>
  <c r="I7" i="4"/>
  <c r="I207" i="4"/>
  <c r="I211" i="4"/>
  <c r="I151" i="4"/>
  <c r="I91" i="4"/>
  <c r="I31" i="4"/>
  <c r="I231" i="4"/>
  <c r="I171" i="4"/>
  <c r="I111" i="4"/>
  <c r="I51" i="4"/>
  <c r="I191" i="4"/>
  <c r="I131" i="4"/>
  <c r="I71" i="4"/>
  <c r="I11" i="4"/>
  <c r="I215" i="4"/>
  <c r="I155" i="4"/>
  <c r="I95" i="4"/>
  <c r="I35" i="4"/>
  <c r="I175" i="4"/>
  <c r="I115" i="4"/>
  <c r="I55" i="4"/>
  <c r="I195" i="4"/>
  <c r="I135" i="4"/>
  <c r="I75" i="4"/>
  <c r="I235" i="4"/>
  <c r="I15" i="4"/>
  <c r="I160" i="4"/>
  <c r="I180" i="4"/>
  <c r="I40" i="4"/>
  <c r="I60" i="4"/>
  <c r="I120" i="4"/>
  <c r="I140" i="4"/>
  <c r="I240" i="4"/>
  <c r="I20" i="4"/>
  <c r="I200" i="4"/>
  <c r="I220" i="4"/>
  <c r="I80" i="4"/>
  <c r="I100" i="4"/>
  <c r="I108" i="4"/>
  <c r="I168" i="4"/>
  <c r="I188" i="4"/>
  <c r="I48" i="4"/>
  <c r="I68" i="4"/>
  <c r="I128" i="4"/>
  <c r="I148" i="4"/>
  <c r="I8" i="4"/>
  <c r="I28" i="4"/>
  <c r="I208" i="4"/>
  <c r="I228" i="4"/>
  <c r="I88" i="4"/>
  <c r="I61" i="4"/>
  <c r="I121" i="4"/>
  <c r="I141" i="4"/>
  <c r="I201" i="4"/>
  <c r="I21" i="4"/>
  <c r="I81" i="4"/>
  <c r="I221" i="4"/>
  <c r="I101" i="4"/>
  <c r="I161" i="4"/>
  <c r="I41" i="4"/>
  <c r="I181" i="4"/>
  <c r="I2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<sst xmlns="http://schemas.openxmlformats.org/spreadsheetml/2006/main" count="7303" uniqueCount="162">
  <si>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</si>
  <si>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</si>
  <si>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</si>
  <si>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</si>
  <si>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</si>
  <si>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</si>
  <si>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</si>
  <si>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</si>
  <si>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</si>
  <si>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</si>
  <si>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</si>
  <si>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</si>
  <si>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</si>
  <si>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</si>
  <si>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</si>
  <si>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</si>
  <si>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</si>
  <si>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</si>
  <si>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</si>
  <si>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</si>
  <si>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</si>
  <si>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</si>
  <si>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</si>
  <si>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</si>
  <si>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</si>
  <si>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</si>
  <si>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</si>
  <si>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</si>
  <si>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</si>
  <si>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</si>
  <si>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</si>
  <si>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</si>
  <si>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</si>
  <si>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</si>
  <si>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</si>
  <si>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</si>
  <si>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</si>
  <si>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</si>
  <si>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</si>
  <si>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</si>
  <si>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</si>
  <si>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</si>
  <si>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</si>
  <si>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</si>
  <si>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</si>
  <si>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</si>
  <si>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</si>
  <si>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</si>
  <si>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</si>
  <si>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</si>
  <si>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</si>
  <si>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</si>
  <si>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</si>
  <si>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</si>
  <si>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</si>
  <si>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</si>
  <si>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</si>
  <si>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</si>
  <si>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</si>
  <si>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</si>
  <si>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</si>
  <si>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</si>
  <si>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</si>
  <si>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</si>
  <si>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</si>
  <si>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</si>
  <si>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</si>
  <si>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</si>
  <si>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</si>
  <si>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</si>
  <si>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</si>
  <si>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</si>
  <si>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</si>
  <si>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</si>
  <si>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</si>
  <si>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</si>
  <si>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</si>
  <si>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</si>
  <si>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</si>
  <si>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</si>
  <si>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</si>
  <si>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</si>
  <si>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</si>
  <si>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</si>
  <si>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</si>
  <si>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</si>
  <si>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</si>
  <si>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</si>
  <si>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</si>
  <si>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</si>
  <si>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</si>
  <si>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Madras Street_Tuam Street_Intersection</t>
  </si>
  <si>
    <t>Madras Street South</t>
  </si>
  <si>
    <t>Tuam Street West</t>
  </si>
  <si>
    <t>Thru to Madras Street North</t>
  </si>
  <si>
    <t>Right into Tuam Street East</t>
  </si>
  <si>
    <t>Left into Madras Street North</t>
  </si>
  <si>
    <t>Thru to Tuam Street East</t>
  </si>
  <si>
    <t>Tuam Street East</t>
  </si>
  <si>
    <t>Madras Street North</t>
  </si>
  <si>
    <t>Madras Street_Tuam Street_Intersection      Fine      14/02/2024</t>
  </si>
  <si>
    <t>Madras Street South Total</t>
  </si>
  <si>
    <t>Tuam Street West Total</t>
  </si>
  <si>
    <t>Thru to Madras Street North Total</t>
  </si>
  <si>
    <t>Right into Tuam Street East Total</t>
  </si>
  <si>
    <t>Left into Madras Street North Total</t>
  </si>
  <si>
    <t>Thru to Tuam Street 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</si>
  <si>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</si>
  <si>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</si>
  <si>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</si>
  <si>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</si>
  <si>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</si>
  <si>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</si>
  <si>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</si>
  <si>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</si>
  <si>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</si>
  <si>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</si>
  <si>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</si>
  <si>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</si>
  <si>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</si>
  <si>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</si>
  <si>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</si>
  <si>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</si>
  <si>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</si>
  <si>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</si>
  <si>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</si>
  <si>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</si>
  <si>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</si>
  <si>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</si>
  <si>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</si>
  <si>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</si>
  <si>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</si>
  <si>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</si>
  <si>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</si>
  <si>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</si>
  <si>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</si>
  <si>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</si>
  <si>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</si>
  <si>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</si>
  <si>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</si>
  <si>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</si>
  <si>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</si>
  <si>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</si>
  <si>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</si>
  <si>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</si>
  <si>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</si>
  <si>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</si>
  <si>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</si>
  <si>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</si>
  <si>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Madras St Northbound</t>
  </si>
  <si>
    <t>Lights</t>
  </si>
  <si>
    <t>Classification</t>
  </si>
  <si>
    <t>Road</t>
  </si>
  <si>
    <t>Type</t>
  </si>
  <si>
    <t>Project</t>
  </si>
  <si>
    <t>Site Code</t>
  </si>
  <si>
    <t>02/14/2024</t>
  </si>
  <si>
    <t>Start Date</t>
  </si>
  <si>
    <t>CCC I3212 Madras St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</si>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</sst>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9C6CAC8-98D9-475D-8AF8-A1B808BF0ED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[I3212_Madras Street_Tuam Street_Intersection_14-02-2024.xlsx]Graphs!pvtGraphApproach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Madras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182</c:v>
                </c:pt>
                <c:pt idx="1">
                  <c:v>227</c:v>
                </c:pt>
                <c:pt idx="2">
                  <c:v>257</c:v>
                </c:pt>
                <c:pt idx="3">
                  <c:v>309</c:v>
                </c:pt>
                <c:pt idx="4">
                  <c:v>251</c:v>
                </c:pt>
                <c:pt idx="5">
                  <c:v>315</c:v>
                </c:pt>
                <c:pt idx="6">
                  <c:v>325</c:v>
                </c:pt>
                <c:pt idx="7">
                  <c:v>301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Tuam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68</c:v>
                </c:pt>
                <c:pt idx="2">
                  <c:v>114</c:v>
                </c:pt>
                <c:pt idx="3">
                  <c:v>100</c:v>
                </c:pt>
                <c:pt idx="4">
                  <c:v>125</c:v>
                </c:pt>
                <c:pt idx="5">
                  <c:v>114</c:v>
                </c:pt>
                <c:pt idx="6">
                  <c:v>141</c:v>
                </c:pt>
                <c:pt idx="7">
                  <c:v>99</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[I3212_Madras Street_Tuam Street_Intersection_14-02-2024.xlsx]Graphs!pvtGraphExit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Madras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193</c:v>
                </c:pt>
                <c:pt idx="1">
                  <c:v>215</c:v>
                </c:pt>
                <c:pt idx="2">
                  <c:v>247</c:v>
                </c:pt>
                <c:pt idx="3">
                  <c:v>288</c:v>
                </c:pt>
                <c:pt idx="4">
                  <c:v>250</c:v>
                </c:pt>
                <c:pt idx="5">
                  <c:v>295</c:v>
                </c:pt>
                <c:pt idx="6">
                  <c:v>324</c:v>
                </c:pt>
                <c:pt idx="7">
                  <c:v>274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Tuam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80</c:v>
                </c:pt>
                <c:pt idx="2">
                  <c:v>124</c:v>
                </c:pt>
                <c:pt idx="3">
                  <c:v>121</c:v>
                </c:pt>
                <c:pt idx="4">
                  <c:v>126</c:v>
                </c:pt>
                <c:pt idx="5">
                  <c:v>134</c:v>
                </c:pt>
                <c:pt idx="6">
                  <c:v>142</c:v>
                </c:pt>
                <c:pt idx="7">
                  <c:v>126</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[I3212_Madras Street_Tuam Street_Intersection_14-02-2024.xlsx]GraphData!PivotTable2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260</c:v>
                </c:pt>
                <c:pt idx="1">
                  <c:v>295</c:v>
                </c:pt>
                <c:pt idx="2">
                  <c:v>371</c:v>
                </c:pt>
                <c:pt idx="3">
                  <c:v>409</c:v>
                </c:pt>
                <c:pt idx="4">
                  <c:v>376</c:v>
                </c:pt>
                <c:pt idx="5">
                  <c:v>429</c:v>
                </c:pt>
                <c:pt idx="6">
                  <c:v>466</c:v>
                </c:pt>
                <c:pt idx="7">
                  <c:v>400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[I3212_Madras Street_Tuam Street_Intersection_14-02-2024.xlsx]PeakCalc!pvtPeak2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260</c:v>
                </c:pt>
                <c:pt idx="1">
                  <c:v>295</c:v>
                </c:pt>
                <c:pt idx="2">
                  <c:v>371</c:v>
                </c:pt>
                <c:pt idx="3">
                  <c:v>409</c:v>
                </c:pt>
                <c:pt idx="4">
                  <c:v>376</c:v>
                </c:pt>
                <c:pt idx="5">
                  <c:v>429</c:v>
                </c:pt>
                <c:pt idx="6">
                  <c:v>466</c:v>
                </c:pt>
                <c:pt idx="7">
                  <c:v>400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409</c:v>
                </c:pt>
                <c:pt idx="4">
                  <c:v>376</c:v>
                </c:pt>
                <c:pt idx="5">
                  <c:v>429</c:v>
                </c:pt>
                <c:pt idx="6">
                  <c:v>466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1426684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103717</xdr:colOff>
      <xdr:row>5</xdr:row>
      <xdr:rowOff>3175</xdr:rowOff>
    </xdr:from>
    <xdr:to>
      <xdr:col>21</xdr:col>
      <xdr:colOff>106942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209549</xdr:colOff>
      <xdr:row>9</xdr:row>
      <xdr:rowOff>66673</xdr:rowOff>
    </xdr:from>
    <xdr:to>
      <xdr:col>20</xdr:col>
      <xdr:colOff>608249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48.64305995370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43"/>
    </cacheField>
    <cacheField name="Peak" numFmtId="0">
      <sharedItems containsSemiMixedTypes="0" containsString="0" containsNumber="1" containsInteger="1" minValue="0" maxValue="64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48.643139814812" createdVersion="5" refreshedVersion="8" minRefreshableVersion="3" recordCount="240" xr:uid="{00000000-000A-0000-FFFF-FFFF01000000}">
  <cacheSource type="worksheet">
    <worksheetSource name="tblPivotData"/>
  </cacheSource>
  <cacheFields count="9">
    <cacheField name="Approach" numFmtId="0">
      <sharedItems count="5">
        <s v="Madras Street South"/>
        <s v="Tuam Street West"/>
        <s v="Great south Rd (North)" u="1"/>
        <s v="Great south Rd (South)" u="1"/>
        <s v="Grange Rd" u="1"/>
      </sharedItems>
    </cacheField>
    <cacheField name="Movement" numFmtId="0">
      <sharedItems count="12">
        <s v="Thru to Madras Street North"/>
        <s v="Right into Tuam Street East"/>
        <s v="Left into Madras Street North"/>
        <s v="Thru to Tuam Street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6">
        <s v="Madras Street North"/>
        <s v="Tuam Street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3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0"/>
    <n v="0"/>
  </r>
  <r>
    <x v="0"/>
    <x v="1"/>
    <n v="295"/>
    <n v="0"/>
  </r>
  <r>
    <x v="0"/>
    <x v="2"/>
    <n v="371"/>
    <n v="0"/>
  </r>
  <r>
    <x v="0"/>
    <x v="3"/>
    <n v="409"/>
    <n v="409"/>
  </r>
  <r>
    <x v="0"/>
    <x v="4"/>
    <n v="376"/>
    <n v="376"/>
  </r>
  <r>
    <x v="0"/>
    <x v="5"/>
    <n v="429"/>
    <n v="429"/>
  </r>
  <r>
    <x v="0"/>
    <x v="6"/>
    <n v="466"/>
    <n v="466"/>
  </r>
  <r>
    <x v="0"/>
    <x v="7"/>
    <n v="400"/>
    <n v="0"/>
  </r>
  <r>
    <x v="1"/>
    <x v="8"/>
    <n v="374"/>
    <n v="374"/>
  </r>
  <r>
    <x v="1"/>
    <x v="9"/>
    <n v="410"/>
    <n v="410"/>
  </r>
  <r>
    <x v="1"/>
    <x v="10"/>
    <n v="383"/>
    <n v="383"/>
  </r>
  <r>
    <x v="1"/>
    <x v="11"/>
    <n v="390"/>
    <n v="390"/>
  </r>
  <r>
    <x v="2"/>
    <x v="12"/>
    <n v="573"/>
    <n v="0"/>
  </r>
  <r>
    <x v="2"/>
    <x v="13"/>
    <n v="588"/>
    <n v="0"/>
  </r>
  <r>
    <x v="2"/>
    <x v="14"/>
    <n v="626"/>
    <n v="626"/>
  </r>
  <r>
    <x v="2"/>
    <x v="15"/>
    <n v="629"/>
    <n v="629"/>
  </r>
  <r>
    <x v="2"/>
    <x v="16"/>
    <n v="643"/>
    <n v="643"/>
  </r>
  <r>
    <x v="2"/>
    <x v="17"/>
    <n v="594"/>
    <n v="594"/>
  </r>
  <r>
    <x v="2"/>
    <x v="18"/>
    <n v="593"/>
    <n v="0"/>
  </r>
  <r>
    <x v="2"/>
    <x v="19"/>
    <n v="53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157"/>
    <x v="0"/>
    <x v="0"/>
  </r>
  <r>
    <x v="0"/>
    <x v="0"/>
    <x v="0"/>
    <x v="0"/>
    <x v="0"/>
    <x v="1"/>
    <n v="193"/>
    <x v="1"/>
    <x v="0"/>
  </r>
  <r>
    <x v="0"/>
    <x v="0"/>
    <x v="0"/>
    <x v="0"/>
    <x v="0"/>
    <x v="2"/>
    <n v="202"/>
    <x v="2"/>
    <x v="0"/>
  </r>
  <r>
    <x v="0"/>
    <x v="0"/>
    <x v="0"/>
    <x v="0"/>
    <x v="0"/>
    <x v="3"/>
    <n v="251"/>
    <x v="3"/>
    <x v="1"/>
  </r>
  <r>
    <x v="0"/>
    <x v="0"/>
    <x v="0"/>
    <x v="0"/>
    <x v="0"/>
    <x v="4"/>
    <n v="213"/>
    <x v="4"/>
    <x v="1"/>
  </r>
  <r>
    <x v="0"/>
    <x v="0"/>
    <x v="0"/>
    <x v="0"/>
    <x v="0"/>
    <x v="5"/>
    <n v="262"/>
    <x v="5"/>
    <x v="1"/>
  </r>
  <r>
    <x v="0"/>
    <x v="0"/>
    <x v="0"/>
    <x v="0"/>
    <x v="0"/>
    <x v="6"/>
    <n v="275"/>
    <x v="6"/>
    <x v="1"/>
  </r>
  <r>
    <x v="0"/>
    <x v="0"/>
    <x v="0"/>
    <x v="0"/>
    <x v="0"/>
    <x v="7"/>
    <n v="239"/>
    <x v="7"/>
    <x v="0"/>
  </r>
  <r>
    <x v="0"/>
    <x v="0"/>
    <x v="0"/>
    <x v="0"/>
    <x v="1"/>
    <x v="8"/>
    <n v="188"/>
    <x v="8"/>
    <x v="1"/>
  </r>
  <r>
    <x v="0"/>
    <x v="0"/>
    <x v="0"/>
    <x v="0"/>
    <x v="1"/>
    <x v="9"/>
    <n v="206"/>
    <x v="9"/>
    <x v="1"/>
  </r>
  <r>
    <x v="0"/>
    <x v="0"/>
    <x v="0"/>
    <x v="0"/>
    <x v="1"/>
    <x v="10"/>
    <n v="186"/>
    <x v="10"/>
    <x v="1"/>
  </r>
  <r>
    <x v="0"/>
    <x v="0"/>
    <x v="0"/>
    <x v="0"/>
    <x v="1"/>
    <x v="11"/>
    <n v="197"/>
    <x v="11"/>
    <x v="1"/>
  </r>
  <r>
    <x v="0"/>
    <x v="0"/>
    <x v="0"/>
    <x v="0"/>
    <x v="2"/>
    <x v="12"/>
    <n v="317"/>
    <x v="12"/>
    <x v="0"/>
  </r>
  <r>
    <x v="0"/>
    <x v="0"/>
    <x v="0"/>
    <x v="0"/>
    <x v="2"/>
    <x v="13"/>
    <n v="310"/>
    <x v="13"/>
    <x v="0"/>
  </r>
  <r>
    <x v="0"/>
    <x v="0"/>
    <x v="0"/>
    <x v="0"/>
    <x v="2"/>
    <x v="14"/>
    <n v="334"/>
    <x v="14"/>
    <x v="1"/>
  </r>
  <r>
    <x v="0"/>
    <x v="0"/>
    <x v="0"/>
    <x v="0"/>
    <x v="2"/>
    <x v="15"/>
    <n v="323"/>
    <x v="15"/>
    <x v="1"/>
  </r>
  <r>
    <x v="0"/>
    <x v="0"/>
    <x v="0"/>
    <x v="0"/>
    <x v="2"/>
    <x v="16"/>
    <n v="335"/>
    <x v="16"/>
    <x v="1"/>
  </r>
  <r>
    <x v="0"/>
    <x v="0"/>
    <x v="0"/>
    <x v="0"/>
    <x v="2"/>
    <x v="17"/>
    <n v="298"/>
    <x v="17"/>
    <x v="1"/>
  </r>
  <r>
    <x v="0"/>
    <x v="0"/>
    <x v="0"/>
    <x v="0"/>
    <x v="2"/>
    <x v="18"/>
    <n v="333"/>
    <x v="18"/>
    <x v="0"/>
  </r>
  <r>
    <x v="0"/>
    <x v="0"/>
    <x v="0"/>
    <x v="0"/>
    <x v="2"/>
    <x v="19"/>
    <n v="248"/>
    <x v="19"/>
    <x v="0"/>
  </r>
  <r>
    <x v="0"/>
    <x v="0"/>
    <x v="0"/>
    <x v="1"/>
    <x v="0"/>
    <x v="0"/>
    <n v="7"/>
    <x v="0"/>
    <x v="0"/>
  </r>
  <r>
    <x v="0"/>
    <x v="0"/>
    <x v="0"/>
    <x v="1"/>
    <x v="0"/>
    <x v="1"/>
    <n v="9"/>
    <x v="1"/>
    <x v="0"/>
  </r>
  <r>
    <x v="0"/>
    <x v="0"/>
    <x v="0"/>
    <x v="1"/>
    <x v="0"/>
    <x v="2"/>
    <n v="19"/>
    <x v="2"/>
    <x v="0"/>
  </r>
  <r>
    <x v="0"/>
    <x v="0"/>
    <x v="0"/>
    <x v="1"/>
    <x v="0"/>
    <x v="3"/>
    <n v="9"/>
    <x v="3"/>
    <x v="1"/>
  </r>
  <r>
    <x v="0"/>
    <x v="0"/>
    <x v="0"/>
    <x v="1"/>
    <x v="0"/>
    <x v="4"/>
    <n v="12"/>
    <x v="4"/>
    <x v="1"/>
  </r>
  <r>
    <x v="0"/>
    <x v="0"/>
    <x v="0"/>
    <x v="1"/>
    <x v="0"/>
    <x v="5"/>
    <n v="5"/>
    <x v="5"/>
    <x v="1"/>
  </r>
  <r>
    <x v="0"/>
    <x v="0"/>
    <x v="0"/>
    <x v="1"/>
    <x v="0"/>
    <x v="6"/>
    <n v="7"/>
    <x v="6"/>
    <x v="1"/>
  </r>
  <r>
    <x v="0"/>
    <x v="0"/>
    <x v="0"/>
    <x v="1"/>
    <x v="0"/>
    <x v="7"/>
    <n v="9"/>
    <x v="7"/>
    <x v="0"/>
  </r>
  <r>
    <x v="0"/>
    <x v="0"/>
    <x v="0"/>
    <x v="1"/>
    <x v="1"/>
    <x v="8"/>
    <n v="3"/>
    <x v="8"/>
    <x v="1"/>
  </r>
  <r>
    <x v="0"/>
    <x v="0"/>
    <x v="0"/>
    <x v="1"/>
    <x v="1"/>
    <x v="9"/>
    <n v="5"/>
    <x v="9"/>
    <x v="1"/>
  </r>
  <r>
    <x v="0"/>
    <x v="0"/>
    <x v="0"/>
    <x v="1"/>
    <x v="1"/>
    <x v="10"/>
    <n v="7"/>
    <x v="10"/>
    <x v="1"/>
  </r>
  <r>
    <x v="0"/>
    <x v="0"/>
    <x v="0"/>
    <x v="1"/>
    <x v="1"/>
    <x v="11"/>
    <n v="6"/>
    <x v="11"/>
    <x v="1"/>
  </r>
  <r>
    <x v="0"/>
    <x v="0"/>
    <x v="0"/>
    <x v="1"/>
    <x v="2"/>
    <x v="12"/>
    <n v="5"/>
    <x v="12"/>
    <x v="0"/>
  </r>
  <r>
    <x v="0"/>
    <x v="0"/>
    <x v="0"/>
    <x v="1"/>
    <x v="2"/>
    <x v="13"/>
    <n v="4"/>
    <x v="13"/>
    <x v="0"/>
  </r>
  <r>
    <x v="0"/>
    <x v="0"/>
    <x v="0"/>
    <x v="1"/>
    <x v="2"/>
    <x v="14"/>
    <n v="6"/>
    <x v="14"/>
    <x v="1"/>
  </r>
  <r>
    <x v="0"/>
    <x v="0"/>
    <x v="0"/>
    <x v="1"/>
    <x v="2"/>
    <x v="15"/>
    <n v="3"/>
    <x v="15"/>
    <x v="1"/>
  </r>
  <r>
    <x v="0"/>
    <x v="0"/>
    <x v="0"/>
    <x v="1"/>
    <x v="2"/>
    <x v="16"/>
    <n v="4"/>
    <x v="16"/>
    <x v="1"/>
  </r>
  <r>
    <x v="0"/>
    <x v="0"/>
    <x v="0"/>
    <x v="1"/>
    <x v="2"/>
    <x v="17"/>
    <n v="1"/>
    <x v="17"/>
    <x v="1"/>
  </r>
  <r>
    <x v="0"/>
    <x v="0"/>
    <x v="0"/>
    <x v="1"/>
    <x v="2"/>
    <x v="18"/>
    <n v="0"/>
    <x v="18"/>
    <x v="0"/>
  </r>
  <r>
    <x v="0"/>
    <x v="0"/>
    <x v="0"/>
    <x v="1"/>
    <x v="2"/>
    <x v="19"/>
    <n v="2"/>
    <x v="19"/>
    <x v="0"/>
  </r>
  <r>
    <x v="0"/>
    <x v="0"/>
    <x v="0"/>
    <x v="2"/>
    <x v="0"/>
    <x v="0"/>
    <n v="4"/>
    <x v="0"/>
    <x v="0"/>
  </r>
  <r>
    <x v="0"/>
    <x v="0"/>
    <x v="0"/>
    <x v="2"/>
    <x v="0"/>
    <x v="1"/>
    <n v="2"/>
    <x v="1"/>
    <x v="0"/>
  </r>
  <r>
    <x v="0"/>
    <x v="0"/>
    <x v="0"/>
    <x v="2"/>
    <x v="0"/>
    <x v="2"/>
    <n v="0"/>
    <x v="2"/>
    <x v="0"/>
  </r>
  <r>
    <x v="0"/>
    <x v="0"/>
    <x v="0"/>
    <x v="2"/>
    <x v="0"/>
    <x v="3"/>
    <n v="3"/>
    <x v="3"/>
    <x v="1"/>
  </r>
  <r>
    <x v="0"/>
    <x v="0"/>
    <x v="0"/>
    <x v="2"/>
    <x v="0"/>
    <x v="4"/>
    <n v="3"/>
    <x v="4"/>
    <x v="1"/>
  </r>
  <r>
    <x v="0"/>
    <x v="0"/>
    <x v="0"/>
    <x v="2"/>
    <x v="0"/>
    <x v="5"/>
    <n v="1"/>
    <x v="5"/>
    <x v="1"/>
  </r>
  <r>
    <x v="0"/>
    <x v="0"/>
    <x v="0"/>
    <x v="2"/>
    <x v="0"/>
    <x v="6"/>
    <n v="1"/>
    <x v="6"/>
    <x v="1"/>
  </r>
  <r>
    <x v="0"/>
    <x v="0"/>
    <x v="0"/>
    <x v="2"/>
    <x v="0"/>
    <x v="7"/>
    <n v="1"/>
    <x v="7"/>
    <x v="0"/>
  </r>
  <r>
    <x v="0"/>
    <x v="0"/>
    <x v="0"/>
    <x v="2"/>
    <x v="1"/>
    <x v="8"/>
    <n v="1"/>
    <x v="8"/>
    <x v="1"/>
  </r>
  <r>
    <x v="0"/>
    <x v="0"/>
    <x v="0"/>
    <x v="2"/>
    <x v="1"/>
    <x v="9"/>
    <n v="1"/>
    <x v="9"/>
    <x v="1"/>
  </r>
  <r>
    <x v="0"/>
    <x v="0"/>
    <x v="0"/>
    <x v="2"/>
    <x v="1"/>
    <x v="10"/>
    <n v="2"/>
    <x v="10"/>
    <x v="1"/>
  </r>
  <r>
    <x v="0"/>
    <x v="0"/>
    <x v="0"/>
    <x v="2"/>
    <x v="1"/>
    <x v="11"/>
    <n v="2"/>
    <x v="11"/>
    <x v="1"/>
  </r>
  <r>
    <x v="0"/>
    <x v="0"/>
    <x v="0"/>
    <x v="2"/>
    <x v="2"/>
    <x v="12"/>
    <n v="5"/>
    <x v="12"/>
    <x v="0"/>
  </r>
  <r>
    <x v="0"/>
    <x v="0"/>
    <x v="0"/>
    <x v="2"/>
    <x v="2"/>
    <x v="13"/>
    <n v="8"/>
    <x v="13"/>
    <x v="0"/>
  </r>
  <r>
    <x v="0"/>
    <x v="0"/>
    <x v="0"/>
    <x v="2"/>
    <x v="2"/>
    <x v="14"/>
    <n v="11"/>
    <x v="14"/>
    <x v="1"/>
  </r>
  <r>
    <x v="0"/>
    <x v="0"/>
    <x v="0"/>
    <x v="2"/>
    <x v="2"/>
    <x v="15"/>
    <n v="8"/>
    <x v="15"/>
    <x v="1"/>
  </r>
  <r>
    <x v="0"/>
    <x v="0"/>
    <x v="0"/>
    <x v="2"/>
    <x v="2"/>
    <x v="16"/>
    <n v="6"/>
    <x v="16"/>
    <x v="1"/>
  </r>
  <r>
    <x v="0"/>
    <x v="0"/>
    <x v="0"/>
    <x v="2"/>
    <x v="2"/>
    <x v="17"/>
    <n v="5"/>
    <x v="17"/>
    <x v="1"/>
  </r>
  <r>
    <x v="0"/>
    <x v="0"/>
    <x v="0"/>
    <x v="2"/>
    <x v="2"/>
    <x v="18"/>
    <n v="5"/>
    <x v="18"/>
    <x v="0"/>
  </r>
  <r>
    <x v="0"/>
    <x v="0"/>
    <x v="0"/>
    <x v="2"/>
    <x v="2"/>
    <x v="19"/>
    <n v="5"/>
    <x v="19"/>
    <x v="0"/>
  </r>
  <r>
    <x v="0"/>
    <x v="1"/>
    <x v="1"/>
    <x v="0"/>
    <x v="0"/>
    <x v="0"/>
    <n v="14"/>
    <x v="0"/>
    <x v="0"/>
  </r>
  <r>
    <x v="0"/>
    <x v="1"/>
    <x v="1"/>
    <x v="0"/>
    <x v="0"/>
    <x v="1"/>
    <n v="22"/>
    <x v="1"/>
    <x v="0"/>
  </r>
  <r>
    <x v="0"/>
    <x v="1"/>
    <x v="1"/>
    <x v="0"/>
    <x v="0"/>
    <x v="2"/>
    <n v="35"/>
    <x v="2"/>
    <x v="0"/>
  </r>
  <r>
    <x v="0"/>
    <x v="1"/>
    <x v="1"/>
    <x v="0"/>
    <x v="0"/>
    <x v="3"/>
    <n v="45"/>
    <x v="3"/>
    <x v="1"/>
  </r>
  <r>
    <x v="0"/>
    <x v="1"/>
    <x v="1"/>
    <x v="0"/>
    <x v="0"/>
    <x v="4"/>
    <n v="23"/>
    <x v="4"/>
    <x v="1"/>
  </r>
  <r>
    <x v="0"/>
    <x v="1"/>
    <x v="1"/>
    <x v="0"/>
    <x v="0"/>
    <x v="5"/>
    <n v="45"/>
    <x v="5"/>
    <x v="1"/>
  </r>
  <r>
    <x v="0"/>
    <x v="1"/>
    <x v="1"/>
    <x v="0"/>
    <x v="0"/>
    <x v="6"/>
    <n v="41"/>
    <x v="6"/>
    <x v="1"/>
  </r>
  <r>
    <x v="0"/>
    <x v="1"/>
    <x v="1"/>
    <x v="0"/>
    <x v="0"/>
    <x v="7"/>
    <n v="46"/>
    <x v="7"/>
    <x v="0"/>
  </r>
  <r>
    <x v="0"/>
    <x v="1"/>
    <x v="1"/>
    <x v="0"/>
    <x v="1"/>
    <x v="8"/>
    <n v="34"/>
    <x v="8"/>
    <x v="1"/>
  </r>
  <r>
    <x v="0"/>
    <x v="1"/>
    <x v="1"/>
    <x v="0"/>
    <x v="1"/>
    <x v="9"/>
    <n v="43"/>
    <x v="9"/>
    <x v="1"/>
  </r>
  <r>
    <x v="0"/>
    <x v="1"/>
    <x v="1"/>
    <x v="0"/>
    <x v="1"/>
    <x v="10"/>
    <n v="47"/>
    <x v="10"/>
    <x v="1"/>
  </r>
  <r>
    <x v="0"/>
    <x v="1"/>
    <x v="1"/>
    <x v="0"/>
    <x v="1"/>
    <x v="11"/>
    <n v="36"/>
    <x v="11"/>
    <x v="1"/>
  </r>
  <r>
    <x v="0"/>
    <x v="1"/>
    <x v="1"/>
    <x v="0"/>
    <x v="2"/>
    <x v="12"/>
    <n v="48"/>
    <x v="12"/>
    <x v="0"/>
  </r>
  <r>
    <x v="0"/>
    <x v="1"/>
    <x v="1"/>
    <x v="0"/>
    <x v="2"/>
    <x v="13"/>
    <n v="46"/>
    <x v="13"/>
    <x v="0"/>
  </r>
  <r>
    <x v="0"/>
    <x v="1"/>
    <x v="1"/>
    <x v="0"/>
    <x v="2"/>
    <x v="14"/>
    <n v="42"/>
    <x v="14"/>
    <x v="1"/>
  </r>
  <r>
    <x v="0"/>
    <x v="1"/>
    <x v="1"/>
    <x v="0"/>
    <x v="2"/>
    <x v="15"/>
    <n v="56"/>
    <x v="15"/>
    <x v="1"/>
  </r>
  <r>
    <x v="0"/>
    <x v="1"/>
    <x v="1"/>
    <x v="0"/>
    <x v="2"/>
    <x v="16"/>
    <n v="50"/>
    <x v="16"/>
    <x v="1"/>
  </r>
  <r>
    <x v="0"/>
    <x v="1"/>
    <x v="1"/>
    <x v="0"/>
    <x v="2"/>
    <x v="17"/>
    <n v="36"/>
    <x v="17"/>
    <x v="1"/>
  </r>
  <r>
    <x v="0"/>
    <x v="1"/>
    <x v="1"/>
    <x v="0"/>
    <x v="2"/>
    <x v="18"/>
    <n v="41"/>
    <x v="18"/>
    <x v="0"/>
  </r>
  <r>
    <x v="0"/>
    <x v="1"/>
    <x v="1"/>
    <x v="0"/>
    <x v="2"/>
    <x v="19"/>
    <n v="37"/>
    <x v="19"/>
    <x v="0"/>
  </r>
  <r>
    <x v="0"/>
    <x v="1"/>
    <x v="1"/>
    <x v="1"/>
    <x v="0"/>
    <x v="0"/>
    <n v="0"/>
    <x v="0"/>
    <x v="0"/>
  </r>
  <r>
    <x v="0"/>
    <x v="1"/>
    <x v="1"/>
    <x v="1"/>
    <x v="0"/>
    <x v="1"/>
    <n v="0"/>
    <x v="1"/>
    <x v="0"/>
  </r>
  <r>
    <x v="0"/>
    <x v="1"/>
    <x v="1"/>
    <x v="1"/>
    <x v="0"/>
    <x v="2"/>
    <n v="1"/>
    <x v="2"/>
    <x v="0"/>
  </r>
  <r>
    <x v="0"/>
    <x v="1"/>
    <x v="1"/>
    <x v="1"/>
    <x v="0"/>
    <x v="3"/>
    <n v="1"/>
    <x v="3"/>
    <x v="1"/>
  </r>
  <r>
    <x v="0"/>
    <x v="1"/>
    <x v="1"/>
    <x v="1"/>
    <x v="0"/>
    <x v="4"/>
    <n v="0"/>
    <x v="4"/>
    <x v="1"/>
  </r>
  <r>
    <x v="0"/>
    <x v="1"/>
    <x v="1"/>
    <x v="1"/>
    <x v="0"/>
    <x v="5"/>
    <n v="2"/>
    <x v="5"/>
    <x v="1"/>
  </r>
  <r>
    <x v="0"/>
    <x v="1"/>
    <x v="1"/>
    <x v="1"/>
    <x v="0"/>
    <x v="6"/>
    <n v="1"/>
    <x v="6"/>
    <x v="1"/>
  </r>
  <r>
    <x v="0"/>
    <x v="1"/>
    <x v="1"/>
    <x v="1"/>
    <x v="0"/>
    <x v="7"/>
    <n v="6"/>
    <x v="7"/>
    <x v="0"/>
  </r>
  <r>
    <x v="0"/>
    <x v="1"/>
    <x v="1"/>
    <x v="1"/>
    <x v="1"/>
    <x v="8"/>
    <n v="5"/>
    <x v="8"/>
    <x v="1"/>
  </r>
  <r>
    <x v="0"/>
    <x v="1"/>
    <x v="1"/>
    <x v="1"/>
    <x v="1"/>
    <x v="9"/>
    <n v="1"/>
    <x v="9"/>
    <x v="1"/>
  </r>
  <r>
    <x v="0"/>
    <x v="1"/>
    <x v="1"/>
    <x v="1"/>
    <x v="1"/>
    <x v="10"/>
    <n v="5"/>
    <x v="10"/>
    <x v="1"/>
  </r>
  <r>
    <x v="0"/>
    <x v="1"/>
    <x v="1"/>
    <x v="1"/>
    <x v="1"/>
    <x v="11"/>
    <n v="1"/>
    <x v="11"/>
    <x v="1"/>
  </r>
  <r>
    <x v="0"/>
    <x v="1"/>
    <x v="1"/>
    <x v="1"/>
    <x v="2"/>
    <x v="12"/>
    <n v="1"/>
    <x v="12"/>
    <x v="0"/>
  </r>
  <r>
    <x v="0"/>
    <x v="1"/>
    <x v="1"/>
    <x v="1"/>
    <x v="2"/>
    <x v="13"/>
    <n v="1"/>
    <x v="13"/>
    <x v="0"/>
  </r>
  <r>
    <x v="0"/>
    <x v="1"/>
    <x v="1"/>
    <x v="1"/>
    <x v="2"/>
    <x v="14"/>
    <n v="2"/>
    <x v="14"/>
    <x v="1"/>
  </r>
  <r>
    <x v="0"/>
    <x v="1"/>
    <x v="1"/>
    <x v="1"/>
    <x v="2"/>
    <x v="15"/>
    <n v="1"/>
    <x v="15"/>
    <x v="1"/>
  </r>
  <r>
    <x v="0"/>
    <x v="1"/>
    <x v="1"/>
    <x v="1"/>
    <x v="2"/>
    <x v="16"/>
    <n v="1"/>
    <x v="16"/>
    <x v="1"/>
  </r>
  <r>
    <x v="0"/>
    <x v="1"/>
    <x v="1"/>
    <x v="1"/>
    <x v="2"/>
    <x v="17"/>
    <n v="1"/>
    <x v="17"/>
    <x v="1"/>
  </r>
  <r>
    <x v="0"/>
    <x v="1"/>
    <x v="1"/>
    <x v="1"/>
    <x v="2"/>
    <x v="18"/>
    <n v="0"/>
    <x v="18"/>
    <x v="0"/>
  </r>
  <r>
    <x v="0"/>
    <x v="1"/>
    <x v="1"/>
    <x v="1"/>
    <x v="2"/>
    <x v="19"/>
    <n v="0"/>
    <x v="19"/>
    <x v="0"/>
  </r>
  <r>
    <x v="0"/>
    <x v="1"/>
    <x v="1"/>
    <x v="2"/>
    <x v="0"/>
    <x v="0"/>
    <n v="0"/>
    <x v="0"/>
    <x v="0"/>
  </r>
  <r>
    <x v="0"/>
    <x v="1"/>
    <x v="1"/>
    <x v="2"/>
    <x v="0"/>
    <x v="1"/>
    <n v="1"/>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2"/>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0"/>
    <x v="0"/>
    <x v="0"/>
    <x v="0"/>
    <n v="25"/>
    <x v="0"/>
    <x v="0"/>
  </r>
  <r>
    <x v="1"/>
    <x v="2"/>
    <x v="0"/>
    <x v="0"/>
    <x v="0"/>
    <x v="1"/>
    <n v="11"/>
    <x v="1"/>
    <x v="0"/>
  </r>
  <r>
    <x v="1"/>
    <x v="2"/>
    <x v="0"/>
    <x v="0"/>
    <x v="0"/>
    <x v="2"/>
    <n v="24"/>
    <x v="2"/>
    <x v="0"/>
  </r>
  <r>
    <x v="1"/>
    <x v="2"/>
    <x v="0"/>
    <x v="0"/>
    <x v="0"/>
    <x v="3"/>
    <n v="24"/>
    <x v="3"/>
    <x v="1"/>
  </r>
  <r>
    <x v="1"/>
    <x v="2"/>
    <x v="0"/>
    <x v="0"/>
    <x v="0"/>
    <x v="4"/>
    <n v="21"/>
    <x v="4"/>
    <x v="1"/>
  </r>
  <r>
    <x v="1"/>
    <x v="2"/>
    <x v="0"/>
    <x v="0"/>
    <x v="0"/>
    <x v="5"/>
    <n v="26"/>
    <x v="5"/>
    <x v="1"/>
  </r>
  <r>
    <x v="1"/>
    <x v="2"/>
    <x v="0"/>
    <x v="0"/>
    <x v="0"/>
    <x v="6"/>
    <n v="38"/>
    <x v="6"/>
    <x v="1"/>
  </r>
  <r>
    <x v="1"/>
    <x v="2"/>
    <x v="0"/>
    <x v="0"/>
    <x v="0"/>
    <x v="7"/>
    <n v="25"/>
    <x v="7"/>
    <x v="0"/>
  </r>
  <r>
    <x v="1"/>
    <x v="2"/>
    <x v="0"/>
    <x v="0"/>
    <x v="1"/>
    <x v="8"/>
    <n v="33"/>
    <x v="8"/>
    <x v="1"/>
  </r>
  <r>
    <x v="1"/>
    <x v="2"/>
    <x v="0"/>
    <x v="0"/>
    <x v="1"/>
    <x v="9"/>
    <n v="35"/>
    <x v="9"/>
    <x v="1"/>
  </r>
  <r>
    <x v="1"/>
    <x v="2"/>
    <x v="0"/>
    <x v="0"/>
    <x v="1"/>
    <x v="10"/>
    <n v="24"/>
    <x v="10"/>
    <x v="1"/>
  </r>
  <r>
    <x v="1"/>
    <x v="2"/>
    <x v="0"/>
    <x v="0"/>
    <x v="1"/>
    <x v="11"/>
    <n v="40"/>
    <x v="11"/>
    <x v="1"/>
  </r>
  <r>
    <x v="1"/>
    <x v="2"/>
    <x v="0"/>
    <x v="0"/>
    <x v="2"/>
    <x v="12"/>
    <n v="43"/>
    <x v="12"/>
    <x v="0"/>
  </r>
  <r>
    <x v="1"/>
    <x v="2"/>
    <x v="0"/>
    <x v="0"/>
    <x v="2"/>
    <x v="13"/>
    <n v="60"/>
    <x v="13"/>
    <x v="0"/>
  </r>
  <r>
    <x v="1"/>
    <x v="2"/>
    <x v="0"/>
    <x v="0"/>
    <x v="2"/>
    <x v="14"/>
    <n v="64"/>
    <x v="14"/>
    <x v="1"/>
  </r>
  <r>
    <x v="1"/>
    <x v="2"/>
    <x v="0"/>
    <x v="0"/>
    <x v="2"/>
    <x v="15"/>
    <n v="73"/>
    <x v="15"/>
    <x v="1"/>
  </r>
  <r>
    <x v="1"/>
    <x v="2"/>
    <x v="0"/>
    <x v="0"/>
    <x v="2"/>
    <x v="16"/>
    <n v="68"/>
    <x v="16"/>
    <x v="1"/>
  </r>
  <r>
    <x v="1"/>
    <x v="2"/>
    <x v="0"/>
    <x v="0"/>
    <x v="2"/>
    <x v="17"/>
    <n v="76"/>
    <x v="17"/>
    <x v="1"/>
  </r>
  <r>
    <x v="1"/>
    <x v="2"/>
    <x v="0"/>
    <x v="0"/>
    <x v="2"/>
    <x v="18"/>
    <n v="49"/>
    <x v="18"/>
    <x v="0"/>
  </r>
  <r>
    <x v="1"/>
    <x v="2"/>
    <x v="0"/>
    <x v="0"/>
    <x v="2"/>
    <x v="19"/>
    <n v="73"/>
    <x v="19"/>
    <x v="0"/>
  </r>
  <r>
    <x v="1"/>
    <x v="2"/>
    <x v="0"/>
    <x v="1"/>
    <x v="0"/>
    <x v="0"/>
    <n v="0"/>
    <x v="0"/>
    <x v="0"/>
  </r>
  <r>
    <x v="1"/>
    <x v="2"/>
    <x v="0"/>
    <x v="1"/>
    <x v="0"/>
    <x v="1"/>
    <n v="0"/>
    <x v="1"/>
    <x v="0"/>
  </r>
  <r>
    <x v="1"/>
    <x v="2"/>
    <x v="0"/>
    <x v="1"/>
    <x v="0"/>
    <x v="2"/>
    <n v="2"/>
    <x v="2"/>
    <x v="0"/>
  </r>
  <r>
    <x v="1"/>
    <x v="2"/>
    <x v="0"/>
    <x v="1"/>
    <x v="0"/>
    <x v="3"/>
    <n v="1"/>
    <x v="3"/>
    <x v="1"/>
  </r>
  <r>
    <x v="1"/>
    <x v="2"/>
    <x v="0"/>
    <x v="1"/>
    <x v="0"/>
    <x v="4"/>
    <n v="0"/>
    <x v="4"/>
    <x v="1"/>
  </r>
  <r>
    <x v="1"/>
    <x v="2"/>
    <x v="0"/>
    <x v="1"/>
    <x v="0"/>
    <x v="5"/>
    <n v="1"/>
    <x v="5"/>
    <x v="1"/>
  </r>
  <r>
    <x v="1"/>
    <x v="2"/>
    <x v="0"/>
    <x v="1"/>
    <x v="0"/>
    <x v="6"/>
    <n v="3"/>
    <x v="6"/>
    <x v="1"/>
  </r>
  <r>
    <x v="1"/>
    <x v="2"/>
    <x v="0"/>
    <x v="1"/>
    <x v="0"/>
    <x v="7"/>
    <n v="0"/>
    <x v="7"/>
    <x v="0"/>
  </r>
  <r>
    <x v="1"/>
    <x v="2"/>
    <x v="0"/>
    <x v="1"/>
    <x v="1"/>
    <x v="8"/>
    <n v="0"/>
    <x v="8"/>
    <x v="1"/>
  </r>
  <r>
    <x v="1"/>
    <x v="2"/>
    <x v="0"/>
    <x v="1"/>
    <x v="1"/>
    <x v="9"/>
    <n v="0"/>
    <x v="9"/>
    <x v="1"/>
  </r>
  <r>
    <x v="1"/>
    <x v="2"/>
    <x v="0"/>
    <x v="1"/>
    <x v="1"/>
    <x v="10"/>
    <n v="1"/>
    <x v="10"/>
    <x v="1"/>
  </r>
  <r>
    <x v="1"/>
    <x v="2"/>
    <x v="0"/>
    <x v="1"/>
    <x v="1"/>
    <x v="11"/>
    <n v="0"/>
    <x v="11"/>
    <x v="1"/>
  </r>
  <r>
    <x v="1"/>
    <x v="2"/>
    <x v="0"/>
    <x v="1"/>
    <x v="2"/>
    <x v="12"/>
    <n v="1"/>
    <x v="12"/>
    <x v="0"/>
  </r>
  <r>
    <x v="1"/>
    <x v="2"/>
    <x v="0"/>
    <x v="1"/>
    <x v="2"/>
    <x v="13"/>
    <n v="0"/>
    <x v="13"/>
    <x v="0"/>
  </r>
  <r>
    <x v="1"/>
    <x v="2"/>
    <x v="0"/>
    <x v="1"/>
    <x v="2"/>
    <x v="14"/>
    <n v="1"/>
    <x v="14"/>
    <x v="1"/>
  </r>
  <r>
    <x v="1"/>
    <x v="2"/>
    <x v="0"/>
    <x v="1"/>
    <x v="2"/>
    <x v="15"/>
    <n v="1"/>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1"/>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1"/>
    <x v="16"/>
    <x v="1"/>
  </r>
  <r>
    <x v="1"/>
    <x v="2"/>
    <x v="0"/>
    <x v="2"/>
    <x v="2"/>
    <x v="17"/>
    <n v="0"/>
    <x v="17"/>
    <x v="1"/>
  </r>
  <r>
    <x v="1"/>
    <x v="2"/>
    <x v="0"/>
    <x v="2"/>
    <x v="2"/>
    <x v="18"/>
    <n v="1"/>
    <x v="18"/>
    <x v="0"/>
  </r>
  <r>
    <x v="1"/>
    <x v="2"/>
    <x v="0"/>
    <x v="2"/>
    <x v="2"/>
    <x v="19"/>
    <n v="0"/>
    <x v="19"/>
    <x v="0"/>
  </r>
  <r>
    <x v="1"/>
    <x v="3"/>
    <x v="1"/>
    <x v="0"/>
    <x v="0"/>
    <x v="0"/>
    <n v="44"/>
    <x v="0"/>
    <x v="0"/>
  </r>
  <r>
    <x v="1"/>
    <x v="3"/>
    <x v="1"/>
    <x v="0"/>
    <x v="0"/>
    <x v="1"/>
    <n v="49"/>
    <x v="1"/>
    <x v="0"/>
  </r>
  <r>
    <x v="1"/>
    <x v="3"/>
    <x v="1"/>
    <x v="0"/>
    <x v="0"/>
    <x v="2"/>
    <n v="76"/>
    <x v="2"/>
    <x v="0"/>
  </r>
  <r>
    <x v="1"/>
    <x v="3"/>
    <x v="1"/>
    <x v="0"/>
    <x v="0"/>
    <x v="3"/>
    <n v="64"/>
    <x v="3"/>
    <x v="1"/>
  </r>
  <r>
    <x v="1"/>
    <x v="3"/>
    <x v="1"/>
    <x v="0"/>
    <x v="0"/>
    <x v="4"/>
    <n v="82"/>
    <x v="4"/>
    <x v="1"/>
  </r>
  <r>
    <x v="1"/>
    <x v="3"/>
    <x v="1"/>
    <x v="0"/>
    <x v="0"/>
    <x v="5"/>
    <n v="79"/>
    <x v="5"/>
    <x v="1"/>
  </r>
  <r>
    <x v="1"/>
    <x v="3"/>
    <x v="1"/>
    <x v="0"/>
    <x v="0"/>
    <x v="6"/>
    <n v="89"/>
    <x v="6"/>
    <x v="1"/>
  </r>
  <r>
    <x v="1"/>
    <x v="3"/>
    <x v="1"/>
    <x v="0"/>
    <x v="0"/>
    <x v="7"/>
    <n v="66"/>
    <x v="7"/>
    <x v="0"/>
  </r>
  <r>
    <x v="1"/>
    <x v="3"/>
    <x v="1"/>
    <x v="0"/>
    <x v="1"/>
    <x v="8"/>
    <n v="100"/>
    <x v="8"/>
    <x v="1"/>
  </r>
  <r>
    <x v="1"/>
    <x v="3"/>
    <x v="1"/>
    <x v="0"/>
    <x v="1"/>
    <x v="9"/>
    <n v="108"/>
    <x v="9"/>
    <x v="1"/>
  </r>
  <r>
    <x v="1"/>
    <x v="3"/>
    <x v="1"/>
    <x v="0"/>
    <x v="1"/>
    <x v="10"/>
    <n v="104"/>
    <x v="10"/>
    <x v="1"/>
  </r>
  <r>
    <x v="1"/>
    <x v="3"/>
    <x v="1"/>
    <x v="0"/>
    <x v="1"/>
    <x v="11"/>
    <n v="103"/>
    <x v="11"/>
    <x v="1"/>
  </r>
  <r>
    <x v="1"/>
    <x v="3"/>
    <x v="1"/>
    <x v="0"/>
    <x v="2"/>
    <x v="12"/>
    <n v="135"/>
    <x v="12"/>
    <x v="0"/>
  </r>
  <r>
    <x v="1"/>
    <x v="3"/>
    <x v="1"/>
    <x v="0"/>
    <x v="2"/>
    <x v="13"/>
    <n v="143"/>
    <x v="13"/>
    <x v="0"/>
  </r>
  <r>
    <x v="1"/>
    <x v="3"/>
    <x v="1"/>
    <x v="0"/>
    <x v="2"/>
    <x v="14"/>
    <n v="148"/>
    <x v="14"/>
    <x v="1"/>
  </r>
  <r>
    <x v="1"/>
    <x v="3"/>
    <x v="1"/>
    <x v="0"/>
    <x v="2"/>
    <x v="15"/>
    <n v="151"/>
    <x v="15"/>
    <x v="1"/>
  </r>
  <r>
    <x v="1"/>
    <x v="3"/>
    <x v="1"/>
    <x v="0"/>
    <x v="2"/>
    <x v="16"/>
    <n v="159"/>
    <x v="16"/>
    <x v="1"/>
  </r>
  <r>
    <x v="1"/>
    <x v="3"/>
    <x v="1"/>
    <x v="0"/>
    <x v="2"/>
    <x v="17"/>
    <n v="153"/>
    <x v="17"/>
    <x v="1"/>
  </r>
  <r>
    <x v="1"/>
    <x v="3"/>
    <x v="1"/>
    <x v="0"/>
    <x v="2"/>
    <x v="18"/>
    <n v="151"/>
    <x v="18"/>
    <x v="0"/>
  </r>
  <r>
    <x v="1"/>
    <x v="3"/>
    <x v="1"/>
    <x v="0"/>
    <x v="2"/>
    <x v="19"/>
    <n v="157"/>
    <x v="19"/>
    <x v="0"/>
  </r>
  <r>
    <x v="1"/>
    <x v="3"/>
    <x v="1"/>
    <x v="1"/>
    <x v="0"/>
    <x v="0"/>
    <n v="3"/>
    <x v="0"/>
    <x v="0"/>
  </r>
  <r>
    <x v="1"/>
    <x v="3"/>
    <x v="1"/>
    <x v="1"/>
    <x v="0"/>
    <x v="1"/>
    <n v="5"/>
    <x v="1"/>
    <x v="0"/>
  </r>
  <r>
    <x v="1"/>
    <x v="3"/>
    <x v="1"/>
    <x v="1"/>
    <x v="0"/>
    <x v="2"/>
    <n v="5"/>
    <x v="2"/>
    <x v="0"/>
  </r>
  <r>
    <x v="1"/>
    <x v="3"/>
    <x v="1"/>
    <x v="1"/>
    <x v="0"/>
    <x v="3"/>
    <n v="4"/>
    <x v="3"/>
    <x v="1"/>
  </r>
  <r>
    <x v="1"/>
    <x v="3"/>
    <x v="1"/>
    <x v="1"/>
    <x v="0"/>
    <x v="4"/>
    <n v="13"/>
    <x v="4"/>
    <x v="1"/>
  </r>
  <r>
    <x v="1"/>
    <x v="3"/>
    <x v="1"/>
    <x v="1"/>
    <x v="0"/>
    <x v="5"/>
    <n v="7"/>
    <x v="5"/>
    <x v="1"/>
  </r>
  <r>
    <x v="1"/>
    <x v="3"/>
    <x v="1"/>
    <x v="1"/>
    <x v="0"/>
    <x v="6"/>
    <n v="9"/>
    <x v="6"/>
    <x v="1"/>
  </r>
  <r>
    <x v="1"/>
    <x v="3"/>
    <x v="1"/>
    <x v="1"/>
    <x v="0"/>
    <x v="7"/>
    <n v="6"/>
    <x v="7"/>
    <x v="0"/>
  </r>
  <r>
    <x v="1"/>
    <x v="3"/>
    <x v="1"/>
    <x v="1"/>
    <x v="1"/>
    <x v="8"/>
    <n v="7"/>
    <x v="8"/>
    <x v="1"/>
  </r>
  <r>
    <x v="1"/>
    <x v="3"/>
    <x v="1"/>
    <x v="1"/>
    <x v="1"/>
    <x v="9"/>
    <n v="6"/>
    <x v="9"/>
    <x v="1"/>
  </r>
  <r>
    <x v="1"/>
    <x v="3"/>
    <x v="1"/>
    <x v="1"/>
    <x v="1"/>
    <x v="10"/>
    <n v="4"/>
    <x v="10"/>
    <x v="1"/>
  </r>
  <r>
    <x v="1"/>
    <x v="3"/>
    <x v="1"/>
    <x v="1"/>
    <x v="1"/>
    <x v="11"/>
    <n v="2"/>
    <x v="11"/>
    <x v="1"/>
  </r>
  <r>
    <x v="1"/>
    <x v="3"/>
    <x v="1"/>
    <x v="1"/>
    <x v="2"/>
    <x v="12"/>
    <n v="6"/>
    <x v="12"/>
    <x v="0"/>
  </r>
  <r>
    <x v="1"/>
    <x v="3"/>
    <x v="1"/>
    <x v="1"/>
    <x v="2"/>
    <x v="13"/>
    <n v="5"/>
    <x v="13"/>
    <x v="0"/>
  </r>
  <r>
    <x v="1"/>
    <x v="3"/>
    <x v="1"/>
    <x v="1"/>
    <x v="2"/>
    <x v="14"/>
    <n v="3"/>
    <x v="14"/>
    <x v="1"/>
  </r>
  <r>
    <x v="1"/>
    <x v="3"/>
    <x v="1"/>
    <x v="1"/>
    <x v="2"/>
    <x v="15"/>
    <n v="5"/>
    <x v="15"/>
    <x v="1"/>
  </r>
  <r>
    <x v="1"/>
    <x v="3"/>
    <x v="1"/>
    <x v="1"/>
    <x v="2"/>
    <x v="16"/>
    <n v="2"/>
    <x v="16"/>
    <x v="1"/>
  </r>
  <r>
    <x v="1"/>
    <x v="3"/>
    <x v="1"/>
    <x v="1"/>
    <x v="2"/>
    <x v="17"/>
    <n v="3"/>
    <x v="17"/>
    <x v="1"/>
  </r>
  <r>
    <x v="1"/>
    <x v="3"/>
    <x v="1"/>
    <x v="1"/>
    <x v="2"/>
    <x v="18"/>
    <n v="2"/>
    <x v="18"/>
    <x v="0"/>
  </r>
  <r>
    <x v="1"/>
    <x v="3"/>
    <x v="1"/>
    <x v="1"/>
    <x v="2"/>
    <x v="19"/>
    <n v="3"/>
    <x v="19"/>
    <x v="0"/>
  </r>
  <r>
    <x v="1"/>
    <x v="3"/>
    <x v="1"/>
    <x v="2"/>
    <x v="0"/>
    <x v="0"/>
    <n v="6"/>
    <x v="0"/>
    <x v="0"/>
  </r>
  <r>
    <x v="1"/>
    <x v="3"/>
    <x v="1"/>
    <x v="2"/>
    <x v="0"/>
    <x v="1"/>
    <n v="3"/>
    <x v="1"/>
    <x v="0"/>
  </r>
  <r>
    <x v="1"/>
    <x v="3"/>
    <x v="1"/>
    <x v="2"/>
    <x v="0"/>
    <x v="2"/>
    <n v="7"/>
    <x v="2"/>
    <x v="0"/>
  </r>
  <r>
    <x v="1"/>
    <x v="3"/>
    <x v="1"/>
    <x v="2"/>
    <x v="0"/>
    <x v="3"/>
    <n v="7"/>
    <x v="3"/>
    <x v="1"/>
  </r>
  <r>
    <x v="1"/>
    <x v="3"/>
    <x v="1"/>
    <x v="2"/>
    <x v="0"/>
    <x v="4"/>
    <n v="8"/>
    <x v="4"/>
    <x v="1"/>
  </r>
  <r>
    <x v="1"/>
    <x v="3"/>
    <x v="1"/>
    <x v="2"/>
    <x v="0"/>
    <x v="5"/>
    <n v="1"/>
    <x v="5"/>
    <x v="1"/>
  </r>
  <r>
    <x v="1"/>
    <x v="3"/>
    <x v="1"/>
    <x v="2"/>
    <x v="0"/>
    <x v="6"/>
    <n v="2"/>
    <x v="6"/>
    <x v="1"/>
  </r>
  <r>
    <x v="1"/>
    <x v="3"/>
    <x v="1"/>
    <x v="2"/>
    <x v="0"/>
    <x v="7"/>
    <n v="2"/>
    <x v="7"/>
    <x v="0"/>
  </r>
  <r>
    <x v="1"/>
    <x v="3"/>
    <x v="1"/>
    <x v="2"/>
    <x v="1"/>
    <x v="8"/>
    <n v="3"/>
    <x v="8"/>
    <x v="1"/>
  </r>
  <r>
    <x v="1"/>
    <x v="3"/>
    <x v="1"/>
    <x v="2"/>
    <x v="1"/>
    <x v="9"/>
    <n v="5"/>
    <x v="9"/>
    <x v="1"/>
  </r>
  <r>
    <x v="1"/>
    <x v="3"/>
    <x v="1"/>
    <x v="2"/>
    <x v="1"/>
    <x v="10"/>
    <n v="3"/>
    <x v="10"/>
    <x v="1"/>
  </r>
  <r>
    <x v="1"/>
    <x v="3"/>
    <x v="1"/>
    <x v="2"/>
    <x v="1"/>
    <x v="11"/>
    <n v="3"/>
    <x v="11"/>
    <x v="1"/>
  </r>
  <r>
    <x v="1"/>
    <x v="3"/>
    <x v="1"/>
    <x v="2"/>
    <x v="2"/>
    <x v="12"/>
    <n v="10"/>
    <x v="12"/>
    <x v="0"/>
  </r>
  <r>
    <x v="1"/>
    <x v="3"/>
    <x v="1"/>
    <x v="2"/>
    <x v="2"/>
    <x v="13"/>
    <n v="11"/>
    <x v="13"/>
    <x v="0"/>
  </r>
  <r>
    <x v="1"/>
    <x v="3"/>
    <x v="1"/>
    <x v="2"/>
    <x v="2"/>
    <x v="14"/>
    <n v="15"/>
    <x v="14"/>
    <x v="1"/>
  </r>
  <r>
    <x v="1"/>
    <x v="3"/>
    <x v="1"/>
    <x v="2"/>
    <x v="2"/>
    <x v="15"/>
    <n v="8"/>
    <x v="15"/>
    <x v="1"/>
  </r>
  <r>
    <x v="1"/>
    <x v="3"/>
    <x v="1"/>
    <x v="2"/>
    <x v="2"/>
    <x v="16"/>
    <n v="17"/>
    <x v="16"/>
    <x v="1"/>
  </r>
  <r>
    <x v="1"/>
    <x v="3"/>
    <x v="1"/>
    <x v="2"/>
    <x v="2"/>
    <x v="17"/>
    <n v="21"/>
    <x v="17"/>
    <x v="1"/>
  </r>
  <r>
    <x v="1"/>
    <x v="3"/>
    <x v="1"/>
    <x v="2"/>
    <x v="2"/>
    <x v="18"/>
    <n v="11"/>
    <x v="18"/>
    <x v="0"/>
  </r>
  <r>
    <x v="1"/>
    <x v="3"/>
    <x v="1"/>
    <x v="2"/>
    <x v="2"/>
    <x v="19"/>
    <n v="1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m="1" x="3"/>
        <item m="1" x="4"/>
        <item m="1" x="2"/>
        <item x="0"/>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v="3"/>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m="1" x="4"/>
        <item m="1" x="2"/>
        <item m="1" x="3"/>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v="3"/>
    </i>
    <i>
      <x v="4"/>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20" sqref="E2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45336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94</v>
      </c>
      <c r="D22" t="s">
        <v>27</v>
      </c>
      <c r="E22" s="1" t="s">
        <v>99</v>
      </c>
    </row>
    <row r="23" spans="2:10" x14ac:dyDescent="0.25">
      <c r="B23" t="s">
        <v>21</v>
      </c>
      <c r="C23" s="1" t="s">
        <v>95</v>
      </c>
      <c r="D23" t="s">
        <v>27</v>
      </c>
      <c r="E23" s="1" t="s">
        <v>98</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96</v>
      </c>
      <c r="D33" t="s">
        <v>27</v>
      </c>
      <c r="E33" s="1" t="s">
        <v>99</v>
      </c>
    </row>
    <row r="34" spans="2:5" x14ac:dyDescent="0.25">
      <c r="B34" t="s">
        <v>21</v>
      </c>
      <c r="C34" s="1" t="s">
        <v>97</v>
      </c>
      <c r="D34" t="s">
        <v>27</v>
      </c>
      <c r="E34" s="1" t="s">
        <v>98</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Madras Street South</v>
      </c>
      <c r="C4" s="1" t="str">
        <f>Input!C31</f>
        <v>Tuam Street West</v>
      </c>
      <c r="D4" s="1">
        <f>Input!C42</f>
        <v>0</v>
      </c>
      <c r="E4" s="1">
        <f>Input!C53</f>
        <v>0</v>
      </c>
      <c r="F4" s="1">
        <f>Input!C64</f>
        <v>0</v>
      </c>
      <c r="G4" s="1">
        <f>Input!C75</f>
        <v>0</v>
      </c>
      <c r="H4" s="1">
        <f>Input!C86</f>
        <v>0</v>
      </c>
    </row>
    <row r="6" spans="2:8" x14ac:dyDescent="0.25">
      <c r="B6" t="s">
        <v>18</v>
      </c>
    </row>
    <row r="8" spans="2:8" x14ac:dyDescent="0.25">
      <c r="B8" s="1" t="str">
        <f>Input!C22</f>
        <v>Thru to Madras Street North</v>
      </c>
      <c r="C8" s="1" t="str">
        <f>Input!C33</f>
        <v>Left into Madras Street North</v>
      </c>
      <c r="D8" s="1">
        <f>Input!C44</f>
        <v>0</v>
      </c>
      <c r="E8" s="1">
        <f>Input!C55</f>
        <v>0</v>
      </c>
      <c r="F8" s="1">
        <f>Input!C66</f>
        <v>0</v>
      </c>
      <c r="G8" s="1">
        <f>Input!C77</f>
        <v>0</v>
      </c>
      <c r="H8" s="1">
        <f>Input!C88</f>
        <v>0</v>
      </c>
    </row>
    <row r="9" spans="2:8" x14ac:dyDescent="0.25">
      <c r="B9" s="1" t="str">
        <f>Input!C23</f>
        <v>Right into Tuam Street East</v>
      </c>
      <c r="C9" s="1" t="str">
        <f>Input!C34</f>
        <v>Thru to Tuam Street East</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Madras Street North</v>
      </c>
      <c r="C18" s="1" t="str">
        <f>Input!E33</f>
        <v>Madras Street North</v>
      </c>
      <c r="D18" s="1">
        <f>Input!E44</f>
        <v>0</v>
      </c>
      <c r="E18" s="1">
        <f>Input!E55</f>
        <v>0</v>
      </c>
      <c r="F18" s="1">
        <f>Input!E66</f>
        <v>0</v>
      </c>
      <c r="G18" s="1">
        <f>Input!E77</f>
        <v>0</v>
      </c>
      <c r="H18" s="1">
        <f>Input!E88</f>
        <v>0</v>
      </c>
    </row>
    <row r="19" spans="2:8" x14ac:dyDescent="0.25">
      <c r="B19" s="1" t="str">
        <f>Input!E23</f>
        <v>Tuam Street East</v>
      </c>
      <c r="C19" s="1" t="str">
        <f>Input!E34</f>
        <v>Tuam Street East</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100</v>
      </c>
    </row>
    <row r="4" spans="1:14" ht="15.75" thickBot="1" x14ac:dyDescent="0.3"/>
    <row r="5" spans="1:14" x14ac:dyDescent="0.25">
      <c r="C5" s="29" t="s">
        <v>92</v>
      </c>
      <c r="D5" s="18"/>
      <c r="E5" s="20"/>
      <c r="F5" s="26"/>
      <c r="G5" s="18"/>
      <c r="H5" s="20"/>
      <c r="I5" s="29" t="s">
        <v>93</v>
      </c>
      <c r="J5" s="18"/>
      <c r="K5" s="20"/>
      <c r="L5" s="26"/>
      <c r="M5" s="18"/>
      <c r="N5" s="32"/>
    </row>
    <row r="6" spans="1:14" x14ac:dyDescent="0.25">
      <c r="C6" s="30" t="s">
        <v>94</v>
      </c>
      <c r="D6" s="19"/>
      <c r="E6" s="21"/>
      <c r="F6" s="27" t="s">
        <v>95</v>
      </c>
      <c r="G6" s="19"/>
      <c r="H6" s="21"/>
      <c r="I6" s="30" t="s">
        <v>96</v>
      </c>
      <c r="J6" s="19"/>
      <c r="K6" s="21"/>
      <c r="L6" s="27" t="s">
        <v>97</v>
      </c>
      <c r="M6" s="19"/>
      <c r="N6" s="33"/>
    </row>
    <row r="7" spans="1:14"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6" t="s">
        <v>89</v>
      </c>
    </row>
    <row r="8" spans="1:14" x14ac:dyDescent="0.25">
      <c r="A8" s="2" t="s">
        <v>43</v>
      </c>
      <c r="B8" s="7">
        <v>0.29166666666666669</v>
      </c>
      <c r="C8" s="31">
        <v>157</v>
      </c>
      <c r="D8">
        <v>7</v>
      </c>
      <c r="E8">
        <v>4</v>
      </c>
      <c r="F8" s="28">
        <v>14</v>
      </c>
      <c r="G8">
        <v>0</v>
      </c>
      <c r="H8">
        <v>0</v>
      </c>
      <c r="I8" s="31">
        <v>25</v>
      </c>
      <c r="J8">
        <v>0</v>
      </c>
      <c r="K8">
        <v>0</v>
      </c>
      <c r="L8" s="28">
        <v>44</v>
      </c>
      <c r="M8">
        <v>3</v>
      </c>
      <c r="N8" s="34">
        <v>6</v>
      </c>
    </row>
    <row r="9" spans="1:14" x14ac:dyDescent="0.25">
      <c r="A9" s="2" t="s">
        <v>43</v>
      </c>
      <c r="B9" s="7">
        <v>0.30208333333333331</v>
      </c>
      <c r="C9" s="31">
        <v>193</v>
      </c>
      <c r="D9">
        <v>9</v>
      </c>
      <c r="E9">
        <v>2</v>
      </c>
      <c r="F9" s="28">
        <v>22</v>
      </c>
      <c r="G9">
        <v>0</v>
      </c>
      <c r="H9">
        <v>1</v>
      </c>
      <c r="I9" s="31">
        <v>11</v>
      </c>
      <c r="J9">
        <v>0</v>
      </c>
      <c r="K9">
        <v>0</v>
      </c>
      <c r="L9" s="28">
        <v>49</v>
      </c>
      <c r="M9">
        <v>5</v>
      </c>
      <c r="N9" s="34">
        <v>3</v>
      </c>
    </row>
    <row r="10" spans="1:14" x14ac:dyDescent="0.25">
      <c r="A10" s="2" t="s">
        <v>43</v>
      </c>
      <c r="B10" s="7">
        <v>0.3125</v>
      </c>
      <c r="C10" s="31">
        <v>202</v>
      </c>
      <c r="D10">
        <v>19</v>
      </c>
      <c r="E10">
        <v>0</v>
      </c>
      <c r="F10" s="28">
        <v>35</v>
      </c>
      <c r="G10">
        <v>1</v>
      </c>
      <c r="H10">
        <v>0</v>
      </c>
      <c r="I10" s="31">
        <v>24</v>
      </c>
      <c r="J10">
        <v>2</v>
      </c>
      <c r="K10">
        <v>0</v>
      </c>
      <c r="L10" s="28">
        <v>76</v>
      </c>
      <c r="M10">
        <v>5</v>
      </c>
      <c r="N10" s="34">
        <v>7</v>
      </c>
    </row>
    <row r="11" spans="1:14" x14ac:dyDescent="0.25">
      <c r="A11" s="2" t="s">
        <v>43</v>
      </c>
      <c r="B11" s="7">
        <v>0.32291666666666669</v>
      </c>
      <c r="C11" s="31">
        <v>251</v>
      </c>
      <c r="D11">
        <v>9</v>
      </c>
      <c r="E11">
        <v>3</v>
      </c>
      <c r="F11" s="28">
        <v>45</v>
      </c>
      <c r="G11">
        <v>1</v>
      </c>
      <c r="H11">
        <v>0</v>
      </c>
      <c r="I11" s="31">
        <v>24</v>
      </c>
      <c r="J11">
        <v>1</v>
      </c>
      <c r="K11">
        <v>0</v>
      </c>
      <c r="L11" s="28">
        <v>64</v>
      </c>
      <c r="M11">
        <v>4</v>
      </c>
      <c r="N11" s="34">
        <v>7</v>
      </c>
    </row>
    <row r="12" spans="1:14" x14ac:dyDescent="0.25">
      <c r="A12" s="2" t="s">
        <v>43</v>
      </c>
      <c r="B12" s="7">
        <v>0.33333333333333331</v>
      </c>
      <c r="C12" s="31">
        <v>213</v>
      </c>
      <c r="D12">
        <v>12</v>
      </c>
      <c r="E12">
        <v>3</v>
      </c>
      <c r="F12" s="28">
        <v>23</v>
      </c>
      <c r="G12">
        <v>0</v>
      </c>
      <c r="H12">
        <v>0</v>
      </c>
      <c r="I12" s="31">
        <v>21</v>
      </c>
      <c r="J12">
        <v>0</v>
      </c>
      <c r="K12">
        <v>1</v>
      </c>
      <c r="L12" s="28">
        <v>82</v>
      </c>
      <c r="M12">
        <v>13</v>
      </c>
      <c r="N12" s="34">
        <v>8</v>
      </c>
    </row>
    <row r="13" spans="1:14" x14ac:dyDescent="0.25">
      <c r="A13" s="2" t="s">
        <v>43</v>
      </c>
      <c r="B13" s="7">
        <v>0.34375</v>
      </c>
      <c r="C13" s="31">
        <v>262</v>
      </c>
      <c r="D13">
        <v>5</v>
      </c>
      <c r="E13">
        <v>1</v>
      </c>
      <c r="F13" s="28">
        <v>45</v>
      </c>
      <c r="G13">
        <v>2</v>
      </c>
      <c r="H13">
        <v>0</v>
      </c>
      <c r="I13" s="31">
        <v>26</v>
      </c>
      <c r="J13">
        <v>1</v>
      </c>
      <c r="K13">
        <v>0</v>
      </c>
      <c r="L13" s="28">
        <v>79</v>
      </c>
      <c r="M13">
        <v>7</v>
      </c>
      <c r="N13" s="34">
        <v>1</v>
      </c>
    </row>
    <row r="14" spans="1:14" x14ac:dyDescent="0.25">
      <c r="A14" s="2" t="s">
        <v>43</v>
      </c>
      <c r="B14" s="7">
        <v>0.35416666666666669</v>
      </c>
      <c r="C14" s="31">
        <v>275</v>
      </c>
      <c r="D14">
        <v>7</v>
      </c>
      <c r="E14">
        <v>1</v>
      </c>
      <c r="F14" s="28">
        <v>41</v>
      </c>
      <c r="G14">
        <v>1</v>
      </c>
      <c r="H14">
        <v>0</v>
      </c>
      <c r="I14" s="31">
        <v>38</v>
      </c>
      <c r="J14">
        <v>3</v>
      </c>
      <c r="K14">
        <v>0</v>
      </c>
      <c r="L14" s="28">
        <v>89</v>
      </c>
      <c r="M14">
        <v>9</v>
      </c>
      <c r="N14" s="34">
        <v>2</v>
      </c>
    </row>
    <row r="15" spans="1:14" ht="15.75" thickBot="1" x14ac:dyDescent="0.3">
      <c r="A15" s="2" t="s">
        <v>43</v>
      </c>
      <c r="B15" s="7">
        <v>0.36458333333333331</v>
      </c>
      <c r="C15" s="31">
        <v>239</v>
      </c>
      <c r="D15">
        <v>9</v>
      </c>
      <c r="E15">
        <v>1</v>
      </c>
      <c r="F15" s="28">
        <v>46</v>
      </c>
      <c r="G15">
        <v>6</v>
      </c>
      <c r="H15">
        <v>0</v>
      </c>
      <c r="I15" s="31">
        <v>25</v>
      </c>
      <c r="J15">
        <v>0</v>
      </c>
      <c r="K15">
        <v>0</v>
      </c>
      <c r="L15" s="28">
        <v>66</v>
      </c>
      <c r="M15">
        <v>6</v>
      </c>
      <c r="N15" s="34">
        <v>2</v>
      </c>
    </row>
    <row r="16" spans="1:14" ht="15.75" thickBot="1" x14ac:dyDescent="0.3">
      <c r="A16" s="24"/>
      <c r="B16" s="24"/>
      <c r="C16" s="35"/>
      <c r="D16" s="22"/>
      <c r="E16" s="22"/>
      <c r="F16" s="36"/>
      <c r="G16" s="22"/>
      <c r="H16" s="22"/>
      <c r="I16" s="35"/>
      <c r="J16" s="22"/>
      <c r="K16" s="22"/>
      <c r="L16" s="36"/>
      <c r="M16" s="22"/>
      <c r="N16" s="37"/>
    </row>
    <row r="17" spans="1:14" x14ac:dyDescent="0.25">
      <c r="A17" s="2" t="s">
        <v>90</v>
      </c>
      <c r="B17" s="7">
        <v>0.54166666666666663</v>
      </c>
      <c r="C17" s="31">
        <v>188</v>
      </c>
      <c r="D17">
        <v>3</v>
      </c>
      <c r="E17">
        <v>1</v>
      </c>
      <c r="F17" s="28">
        <v>34</v>
      </c>
      <c r="G17">
        <v>5</v>
      </c>
      <c r="H17">
        <v>0</v>
      </c>
      <c r="I17" s="31">
        <v>33</v>
      </c>
      <c r="J17">
        <v>0</v>
      </c>
      <c r="K17">
        <v>0</v>
      </c>
      <c r="L17" s="28">
        <v>100</v>
      </c>
      <c r="M17">
        <v>7</v>
      </c>
      <c r="N17" s="34">
        <v>3</v>
      </c>
    </row>
    <row r="18" spans="1:14" x14ac:dyDescent="0.25">
      <c r="A18" s="2" t="s">
        <v>90</v>
      </c>
      <c r="B18" s="7">
        <v>0.55208333333333337</v>
      </c>
      <c r="C18" s="31">
        <v>206</v>
      </c>
      <c r="D18">
        <v>5</v>
      </c>
      <c r="E18">
        <v>1</v>
      </c>
      <c r="F18" s="28">
        <v>43</v>
      </c>
      <c r="G18">
        <v>1</v>
      </c>
      <c r="H18">
        <v>0</v>
      </c>
      <c r="I18" s="31">
        <v>35</v>
      </c>
      <c r="J18">
        <v>0</v>
      </c>
      <c r="K18">
        <v>0</v>
      </c>
      <c r="L18" s="28">
        <v>108</v>
      </c>
      <c r="M18">
        <v>6</v>
      </c>
      <c r="N18" s="34">
        <v>5</v>
      </c>
    </row>
    <row r="19" spans="1:14" x14ac:dyDescent="0.25">
      <c r="A19" s="2" t="s">
        <v>90</v>
      </c>
      <c r="B19" s="7">
        <v>0.5625</v>
      </c>
      <c r="C19" s="31">
        <v>186</v>
      </c>
      <c r="D19">
        <v>7</v>
      </c>
      <c r="E19">
        <v>2</v>
      </c>
      <c r="F19" s="28">
        <v>47</v>
      </c>
      <c r="G19">
        <v>5</v>
      </c>
      <c r="H19">
        <v>0</v>
      </c>
      <c r="I19" s="31">
        <v>24</v>
      </c>
      <c r="J19">
        <v>1</v>
      </c>
      <c r="K19">
        <v>0</v>
      </c>
      <c r="L19" s="28">
        <v>104</v>
      </c>
      <c r="M19">
        <v>4</v>
      </c>
      <c r="N19" s="34">
        <v>3</v>
      </c>
    </row>
    <row r="20" spans="1:14" ht="15.75" thickBot="1" x14ac:dyDescent="0.3">
      <c r="A20" s="2" t="s">
        <v>90</v>
      </c>
      <c r="B20" s="7">
        <v>0.57291666666666663</v>
      </c>
      <c r="C20" s="31">
        <v>197</v>
      </c>
      <c r="D20">
        <v>6</v>
      </c>
      <c r="E20">
        <v>2</v>
      </c>
      <c r="F20" s="28">
        <v>36</v>
      </c>
      <c r="G20">
        <v>1</v>
      </c>
      <c r="H20">
        <v>0</v>
      </c>
      <c r="I20" s="31">
        <v>40</v>
      </c>
      <c r="J20">
        <v>0</v>
      </c>
      <c r="K20">
        <v>0</v>
      </c>
      <c r="L20" s="28">
        <v>103</v>
      </c>
      <c r="M20">
        <v>2</v>
      </c>
      <c r="N20" s="34">
        <v>3</v>
      </c>
    </row>
    <row r="21" spans="1:14" ht="15.75" thickBot="1" x14ac:dyDescent="0.3">
      <c r="A21" s="24"/>
      <c r="B21" s="24"/>
      <c r="C21" s="35"/>
      <c r="D21" s="22"/>
      <c r="E21" s="22"/>
      <c r="F21" s="36"/>
      <c r="G21" s="22"/>
      <c r="H21" s="22"/>
      <c r="I21" s="35"/>
      <c r="J21" s="22"/>
      <c r="K21" s="22"/>
      <c r="L21" s="36"/>
      <c r="M21" s="22"/>
      <c r="N21" s="37"/>
    </row>
    <row r="22" spans="1:14" x14ac:dyDescent="0.25">
      <c r="A22" s="2" t="s">
        <v>44</v>
      </c>
      <c r="B22" s="7">
        <v>0.66666666666666663</v>
      </c>
      <c r="C22" s="31">
        <v>317</v>
      </c>
      <c r="D22">
        <v>5</v>
      </c>
      <c r="E22">
        <v>5</v>
      </c>
      <c r="F22" s="28">
        <v>48</v>
      </c>
      <c r="G22">
        <v>1</v>
      </c>
      <c r="H22">
        <v>2</v>
      </c>
      <c r="I22" s="31">
        <v>43</v>
      </c>
      <c r="J22">
        <v>1</v>
      </c>
      <c r="K22">
        <v>0</v>
      </c>
      <c r="L22" s="28">
        <v>135</v>
      </c>
      <c r="M22">
        <v>6</v>
      </c>
      <c r="N22" s="34">
        <v>10</v>
      </c>
    </row>
    <row r="23" spans="1:14" x14ac:dyDescent="0.25">
      <c r="A23" s="2" t="s">
        <v>44</v>
      </c>
      <c r="B23" s="7">
        <v>0.67708333333333337</v>
      </c>
      <c r="C23" s="31">
        <v>310</v>
      </c>
      <c r="D23">
        <v>4</v>
      </c>
      <c r="E23">
        <v>8</v>
      </c>
      <c r="F23" s="28">
        <v>46</v>
      </c>
      <c r="G23">
        <v>1</v>
      </c>
      <c r="H23">
        <v>0</v>
      </c>
      <c r="I23" s="31">
        <v>60</v>
      </c>
      <c r="J23">
        <v>0</v>
      </c>
      <c r="K23">
        <v>0</v>
      </c>
      <c r="L23" s="28">
        <v>143</v>
      </c>
      <c r="M23">
        <v>5</v>
      </c>
      <c r="N23" s="34">
        <v>11</v>
      </c>
    </row>
    <row r="24" spans="1:14" x14ac:dyDescent="0.25">
      <c r="A24" s="2" t="s">
        <v>44</v>
      </c>
      <c r="B24" s="7">
        <v>0.6875</v>
      </c>
      <c r="C24" s="31">
        <v>334</v>
      </c>
      <c r="D24">
        <v>6</v>
      </c>
      <c r="E24">
        <v>11</v>
      </c>
      <c r="F24" s="28">
        <v>42</v>
      </c>
      <c r="G24">
        <v>2</v>
      </c>
      <c r="H24">
        <v>0</v>
      </c>
      <c r="I24" s="31">
        <v>64</v>
      </c>
      <c r="J24">
        <v>1</v>
      </c>
      <c r="K24">
        <v>0</v>
      </c>
      <c r="L24" s="28">
        <v>148</v>
      </c>
      <c r="M24">
        <v>3</v>
      </c>
      <c r="N24" s="34">
        <v>15</v>
      </c>
    </row>
    <row r="25" spans="1:14" x14ac:dyDescent="0.25">
      <c r="A25" s="2" t="s">
        <v>44</v>
      </c>
      <c r="B25" s="7">
        <v>0.69791666666666663</v>
      </c>
      <c r="C25" s="31">
        <v>323</v>
      </c>
      <c r="D25">
        <v>3</v>
      </c>
      <c r="E25">
        <v>8</v>
      </c>
      <c r="F25" s="28">
        <v>56</v>
      </c>
      <c r="G25">
        <v>1</v>
      </c>
      <c r="H25">
        <v>0</v>
      </c>
      <c r="I25" s="31">
        <v>73</v>
      </c>
      <c r="J25">
        <v>1</v>
      </c>
      <c r="K25">
        <v>0</v>
      </c>
      <c r="L25" s="28">
        <v>151</v>
      </c>
      <c r="M25">
        <v>5</v>
      </c>
      <c r="N25" s="34">
        <v>8</v>
      </c>
    </row>
    <row r="26" spans="1:14" x14ac:dyDescent="0.25">
      <c r="A26" s="2" t="s">
        <v>44</v>
      </c>
      <c r="B26" s="7">
        <v>0.70833333333333337</v>
      </c>
      <c r="C26" s="31">
        <v>335</v>
      </c>
      <c r="D26">
        <v>4</v>
      </c>
      <c r="E26">
        <v>6</v>
      </c>
      <c r="F26" s="28">
        <v>50</v>
      </c>
      <c r="G26">
        <v>1</v>
      </c>
      <c r="H26">
        <v>0</v>
      </c>
      <c r="I26" s="31">
        <v>68</v>
      </c>
      <c r="J26">
        <v>0</v>
      </c>
      <c r="K26">
        <v>1</v>
      </c>
      <c r="L26" s="28">
        <v>159</v>
      </c>
      <c r="M26">
        <v>2</v>
      </c>
      <c r="N26" s="34">
        <v>17</v>
      </c>
    </row>
    <row r="27" spans="1:14" x14ac:dyDescent="0.25">
      <c r="A27" s="2" t="s">
        <v>44</v>
      </c>
      <c r="B27" s="7">
        <v>0.71875</v>
      </c>
      <c r="C27" s="31">
        <v>298</v>
      </c>
      <c r="D27">
        <v>1</v>
      </c>
      <c r="E27">
        <v>5</v>
      </c>
      <c r="F27" s="28">
        <v>36</v>
      </c>
      <c r="G27">
        <v>1</v>
      </c>
      <c r="H27">
        <v>0</v>
      </c>
      <c r="I27" s="31">
        <v>76</v>
      </c>
      <c r="J27">
        <v>0</v>
      </c>
      <c r="K27">
        <v>0</v>
      </c>
      <c r="L27" s="28">
        <v>153</v>
      </c>
      <c r="M27">
        <v>3</v>
      </c>
      <c r="N27" s="34">
        <v>21</v>
      </c>
    </row>
    <row r="28" spans="1:14" x14ac:dyDescent="0.25">
      <c r="A28" s="2" t="s">
        <v>44</v>
      </c>
      <c r="B28" s="7">
        <v>0.72916666666666663</v>
      </c>
      <c r="C28" s="31">
        <v>333</v>
      </c>
      <c r="D28">
        <v>0</v>
      </c>
      <c r="E28">
        <v>5</v>
      </c>
      <c r="F28" s="28">
        <v>41</v>
      </c>
      <c r="G28">
        <v>0</v>
      </c>
      <c r="H28">
        <v>0</v>
      </c>
      <c r="I28" s="31">
        <v>49</v>
      </c>
      <c r="J28">
        <v>0</v>
      </c>
      <c r="K28">
        <v>1</v>
      </c>
      <c r="L28" s="28">
        <v>151</v>
      </c>
      <c r="M28">
        <v>2</v>
      </c>
      <c r="N28" s="34">
        <v>11</v>
      </c>
    </row>
    <row r="29" spans="1:14" ht="15.75" thickBot="1" x14ac:dyDescent="0.3">
      <c r="A29" s="23" t="s">
        <v>44</v>
      </c>
      <c r="B29" s="48">
        <v>0.73958333333333337</v>
      </c>
      <c r="C29" s="39">
        <v>248</v>
      </c>
      <c r="D29" s="38">
        <v>2</v>
      </c>
      <c r="E29" s="38">
        <v>5</v>
      </c>
      <c r="F29" s="40">
        <v>37</v>
      </c>
      <c r="G29" s="38">
        <v>0</v>
      </c>
      <c r="H29" s="38">
        <v>0</v>
      </c>
      <c r="I29" s="39">
        <v>73</v>
      </c>
      <c r="J29" s="38">
        <v>0</v>
      </c>
      <c r="K29" s="38">
        <v>0</v>
      </c>
      <c r="L29" s="40">
        <v>157</v>
      </c>
      <c r="M29" s="38">
        <v>3</v>
      </c>
      <c r="N29" s="41">
        <v>10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94</v>
      </c>
      <c r="C2" t="s">
        <v>99</v>
      </c>
      <c r="D2" t="s">
        <v>79</v>
      </c>
      <c r="E2" t="s">
        <v>43</v>
      </c>
      <c r="F2" s="6">
        <v>0.29166666666666669</v>
      </c>
      <c r="G2">
        <v>157</v>
      </c>
      <c r="H2" s="6">
        <f>FLOOR(tblPivotData[[#This Row],[Time]],Summary!$B$6/1440)</f>
        <v>0.29166666666666663</v>
      </c>
      <c r="I2">
        <f>INDEX(PeakCalc!$L$10:$L$303,MATCH(tblPivotData[[#This Row],[Time]],PeakCalc!$G$10:$G$303,0))</f>
        <v>0</v>
      </c>
    </row>
    <row r="3" spans="1:9" x14ac:dyDescent="0.25">
      <c r="A3" t="s">
        <v>92</v>
      </c>
      <c r="B3" t="s">
        <v>94</v>
      </c>
      <c r="C3" t="s">
        <v>99</v>
      </c>
      <c r="D3" t="s">
        <v>79</v>
      </c>
      <c r="E3" t="s">
        <v>43</v>
      </c>
      <c r="F3" s="6">
        <v>0.30208333333333331</v>
      </c>
      <c r="G3">
        <v>193</v>
      </c>
      <c r="H3" s="6">
        <f>FLOOR(tblPivotData[[#This Row],[Time]],Summary!$B$6/1440)</f>
        <v>0.30208333333333331</v>
      </c>
      <c r="I3">
        <f>INDEX(PeakCalc!$L$10:$L$303,MATCH(tblPivotData[[#This Row],[Time]],PeakCalc!$G$10:$G$303,0))</f>
        <v>0</v>
      </c>
    </row>
    <row r="4" spans="1:9" x14ac:dyDescent="0.25">
      <c r="A4" t="s">
        <v>92</v>
      </c>
      <c r="B4" t="s">
        <v>94</v>
      </c>
      <c r="C4" t="s">
        <v>99</v>
      </c>
      <c r="D4" t="s">
        <v>79</v>
      </c>
      <c r="E4" t="s">
        <v>43</v>
      </c>
      <c r="F4" s="6">
        <v>0.3125</v>
      </c>
      <c r="G4">
        <v>202</v>
      </c>
      <c r="H4" s="6">
        <f>FLOOR(tblPivotData[[#This Row],[Time]],Summary!$B$6/1440)</f>
        <v>0.3125</v>
      </c>
      <c r="I4">
        <f>INDEX(PeakCalc!$L$10:$L$303,MATCH(tblPivotData[[#This Row],[Time]],PeakCalc!$G$10:$G$303,0))</f>
        <v>0</v>
      </c>
    </row>
    <row r="5" spans="1:9" x14ac:dyDescent="0.25">
      <c r="A5" t="s">
        <v>92</v>
      </c>
      <c r="B5" t="s">
        <v>94</v>
      </c>
      <c r="C5" t="s">
        <v>99</v>
      </c>
      <c r="D5" t="s">
        <v>79</v>
      </c>
      <c r="E5" t="s">
        <v>43</v>
      </c>
      <c r="F5" s="6">
        <v>0.32291666666666669</v>
      </c>
      <c r="G5">
        <v>251</v>
      </c>
      <c r="H5" s="6">
        <f>FLOOR(tblPivotData[[#This Row],[Time]],Summary!$B$6/1440)</f>
        <v>0.32291666666666663</v>
      </c>
      <c r="I5">
        <f>INDEX(PeakCalc!$L$10:$L$303,MATCH(tblPivotData[[#This Row],[Time]],PeakCalc!$G$10:$G$303,0))</f>
        <v>1</v>
      </c>
    </row>
    <row r="6" spans="1:9" x14ac:dyDescent="0.25">
      <c r="A6" t="s">
        <v>92</v>
      </c>
      <c r="B6" t="s">
        <v>94</v>
      </c>
      <c r="C6" t="s">
        <v>99</v>
      </c>
      <c r="D6" t="s">
        <v>79</v>
      </c>
      <c r="E6" t="s">
        <v>43</v>
      </c>
      <c r="F6" s="6">
        <v>0.33333333333333331</v>
      </c>
      <c r="G6">
        <v>213</v>
      </c>
      <c r="H6" s="6">
        <f>FLOOR(tblPivotData[[#This Row],[Time]],Summary!$B$6/1440)</f>
        <v>0.33333333333333331</v>
      </c>
      <c r="I6">
        <f>INDEX(PeakCalc!$L$10:$L$303,MATCH(tblPivotData[[#This Row],[Time]],PeakCalc!$G$10:$G$303,0))</f>
        <v>1</v>
      </c>
    </row>
    <row r="7" spans="1:9" x14ac:dyDescent="0.25">
      <c r="A7" t="s">
        <v>92</v>
      </c>
      <c r="B7" t="s">
        <v>94</v>
      </c>
      <c r="C7" t="s">
        <v>99</v>
      </c>
      <c r="D7" t="s">
        <v>79</v>
      </c>
      <c r="E7" t="s">
        <v>43</v>
      </c>
      <c r="F7" s="6">
        <v>0.34375</v>
      </c>
      <c r="G7">
        <v>262</v>
      </c>
      <c r="H7" s="6">
        <f>FLOOR(tblPivotData[[#This Row],[Time]],Summary!$B$6/1440)</f>
        <v>0.34375</v>
      </c>
      <c r="I7">
        <f>INDEX(PeakCalc!$L$10:$L$303,MATCH(tblPivotData[[#This Row],[Time]],PeakCalc!$G$10:$G$303,0))</f>
        <v>1</v>
      </c>
    </row>
    <row r="8" spans="1:9" x14ac:dyDescent="0.25">
      <c r="A8" t="s">
        <v>92</v>
      </c>
      <c r="B8" t="s">
        <v>94</v>
      </c>
      <c r="C8" t="s">
        <v>99</v>
      </c>
      <c r="D8" t="s">
        <v>79</v>
      </c>
      <c r="E8" t="s">
        <v>43</v>
      </c>
      <c r="F8" s="6">
        <v>0.35416666666666669</v>
      </c>
      <c r="G8">
        <v>275</v>
      </c>
      <c r="H8" s="6">
        <f>FLOOR(tblPivotData[[#This Row],[Time]],Summary!$B$6/1440)</f>
        <v>0.35416666666666663</v>
      </c>
      <c r="I8">
        <f>INDEX(PeakCalc!$L$10:$L$303,MATCH(tblPivotData[[#This Row],[Time]],PeakCalc!$G$10:$G$303,0))</f>
        <v>1</v>
      </c>
    </row>
    <row r="9" spans="1:9" x14ac:dyDescent="0.25">
      <c r="A9" t="s">
        <v>92</v>
      </c>
      <c r="B9" t="s">
        <v>94</v>
      </c>
      <c r="C9" t="s">
        <v>99</v>
      </c>
      <c r="D9" t="s">
        <v>79</v>
      </c>
      <c r="E9" t="s">
        <v>43</v>
      </c>
      <c r="F9" s="6">
        <v>0.36458333333333331</v>
      </c>
      <c r="G9">
        <v>239</v>
      </c>
      <c r="H9" s="6">
        <f>FLOOR(tblPivotData[[#This Row],[Time]],Summary!$B$6/1440)</f>
        <v>0.36458333333333331</v>
      </c>
      <c r="I9">
        <f>INDEX(PeakCalc!$L$10:$L$303,MATCH(tblPivotData[[#This Row],[Time]],PeakCalc!$G$10:$G$303,0))</f>
        <v>0</v>
      </c>
    </row>
    <row r="10" spans="1:9" x14ac:dyDescent="0.25">
      <c r="A10" t="s">
        <v>92</v>
      </c>
      <c r="B10" t="s">
        <v>94</v>
      </c>
      <c r="C10" t="s">
        <v>99</v>
      </c>
      <c r="D10" t="s">
        <v>79</v>
      </c>
      <c r="E10" t="s">
        <v>90</v>
      </c>
      <c r="F10" s="6">
        <v>0.54166666666666663</v>
      </c>
      <c r="G10">
        <v>188</v>
      </c>
      <c r="H10" s="6">
        <f>FLOOR(tblPivotData[[#This Row],[Time]],Summary!$B$6/1440)</f>
        <v>0.54166666666666663</v>
      </c>
      <c r="I10">
        <f>INDEX(PeakCalc!$L$10:$L$303,MATCH(tblPivotData[[#This Row],[Time]],PeakCalc!$G$10:$G$303,0))</f>
        <v>1</v>
      </c>
    </row>
    <row r="11" spans="1:9" x14ac:dyDescent="0.25">
      <c r="A11" t="s">
        <v>92</v>
      </c>
      <c r="B11" t="s">
        <v>94</v>
      </c>
      <c r="C11" t="s">
        <v>99</v>
      </c>
      <c r="D11" t="s">
        <v>79</v>
      </c>
      <c r="E11" t="s">
        <v>90</v>
      </c>
      <c r="F11" s="6">
        <v>0.55208333333333337</v>
      </c>
      <c r="G11">
        <v>206</v>
      </c>
      <c r="H11" s="6">
        <f>FLOOR(tblPivotData[[#This Row],[Time]],Summary!$B$6/1440)</f>
        <v>0.55208333333333326</v>
      </c>
      <c r="I11">
        <f>INDEX(PeakCalc!$L$10:$L$303,MATCH(tblPivotData[[#This Row],[Time]],PeakCalc!$G$10:$G$303,0))</f>
        <v>1</v>
      </c>
    </row>
    <row r="12" spans="1:9" x14ac:dyDescent="0.25">
      <c r="A12" t="s">
        <v>92</v>
      </c>
      <c r="B12" t="s">
        <v>94</v>
      </c>
      <c r="C12" t="s">
        <v>99</v>
      </c>
      <c r="D12" t="s">
        <v>79</v>
      </c>
      <c r="E12" t="s">
        <v>90</v>
      </c>
      <c r="F12" s="6">
        <v>0.5625</v>
      </c>
      <c r="G12">
        <v>186</v>
      </c>
      <c r="H12" s="6">
        <f>FLOOR(tblPivotData[[#This Row],[Time]],Summary!$B$6/1440)</f>
        <v>0.5625</v>
      </c>
      <c r="I12">
        <f>INDEX(PeakCalc!$L$10:$L$303,MATCH(tblPivotData[[#This Row],[Time]],PeakCalc!$G$10:$G$303,0))</f>
        <v>1</v>
      </c>
    </row>
    <row r="13" spans="1:9" x14ac:dyDescent="0.25">
      <c r="A13" t="s">
        <v>92</v>
      </c>
      <c r="B13" t="s">
        <v>94</v>
      </c>
      <c r="C13" t="s">
        <v>99</v>
      </c>
      <c r="D13" t="s">
        <v>79</v>
      </c>
      <c r="E13" t="s">
        <v>90</v>
      </c>
      <c r="F13" s="6">
        <v>0.57291666666666663</v>
      </c>
      <c r="G13">
        <v>197</v>
      </c>
      <c r="H13" s="6">
        <f>FLOOR(tblPivotData[[#This Row],[Time]],Summary!$B$6/1440)</f>
        <v>0.57291666666666663</v>
      </c>
      <c r="I13">
        <f>INDEX(PeakCalc!$L$10:$L$303,MATCH(tblPivotData[[#This Row],[Time]],PeakCalc!$G$10:$G$303,0))</f>
        <v>1</v>
      </c>
    </row>
    <row r="14" spans="1:9" x14ac:dyDescent="0.25">
      <c r="A14" t="s">
        <v>92</v>
      </c>
      <c r="B14" t="s">
        <v>94</v>
      </c>
      <c r="C14" t="s">
        <v>99</v>
      </c>
      <c r="D14" t="s">
        <v>79</v>
      </c>
      <c r="E14" t="s">
        <v>44</v>
      </c>
      <c r="F14" s="6">
        <v>0.66666666666666663</v>
      </c>
      <c r="G14">
        <v>317</v>
      </c>
      <c r="H14" s="6">
        <f>FLOOR(tblPivotData[[#This Row],[Time]],Summary!$B$6/1440)</f>
        <v>0.66666666666666663</v>
      </c>
      <c r="I14">
        <f>INDEX(PeakCalc!$L$10:$L$303,MATCH(tblPivotData[[#This Row],[Time]],PeakCalc!$G$10:$G$303,0))</f>
        <v>0</v>
      </c>
    </row>
    <row r="15" spans="1:9" x14ac:dyDescent="0.25">
      <c r="A15" t="s">
        <v>92</v>
      </c>
      <c r="B15" t="s">
        <v>94</v>
      </c>
      <c r="C15" t="s">
        <v>99</v>
      </c>
      <c r="D15" t="s">
        <v>79</v>
      </c>
      <c r="E15" t="s">
        <v>44</v>
      </c>
      <c r="F15" s="6">
        <v>0.67708333333333337</v>
      </c>
      <c r="G15">
        <v>310</v>
      </c>
      <c r="H15" s="6">
        <f>FLOOR(tblPivotData[[#This Row],[Time]],Summary!$B$6/1440)</f>
        <v>0.67708333333333326</v>
      </c>
      <c r="I15">
        <f>INDEX(PeakCalc!$L$10:$L$303,MATCH(tblPivotData[[#This Row],[Time]],PeakCalc!$G$10:$G$303,0))</f>
        <v>0</v>
      </c>
    </row>
    <row r="16" spans="1:9" x14ac:dyDescent="0.25">
      <c r="A16" t="s">
        <v>92</v>
      </c>
      <c r="B16" t="s">
        <v>94</v>
      </c>
      <c r="C16" t="s">
        <v>99</v>
      </c>
      <c r="D16" t="s">
        <v>79</v>
      </c>
      <c r="E16" t="s">
        <v>44</v>
      </c>
      <c r="F16" s="6">
        <v>0.6875</v>
      </c>
      <c r="G16">
        <v>334</v>
      </c>
      <c r="H16" s="6">
        <f>FLOOR(tblPivotData[[#This Row],[Time]],Summary!$B$6/1440)</f>
        <v>0.6875</v>
      </c>
      <c r="I16">
        <f>INDEX(PeakCalc!$L$10:$L$303,MATCH(tblPivotData[[#This Row],[Time]],PeakCalc!$G$10:$G$303,0))</f>
        <v>1</v>
      </c>
    </row>
    <row r="17" spans="1:9" x14ac:dyDescent="0.25">
      <c r="A17" t="s">
        <v>92</v>
      </c>
      <c r="B17" t="s">
        <v>94</v>
      </c>
      <c r="C17" t="s">
        <v>99</v>
      </c>
      <c r="D17" t="s">
        <v>79</v>
      </c>
      <c r="E17" t="s">
        <v>44</v>
      </c>
      <c r="F17" s="6">
        <v>0.69791666666666663</v>
      </c>
      <c r="G17">
        <v>323</v>
      </c>
      <c r="H17" s="6">
        <f>FLOOR(tblPivotData[[#This Row],[Time]],Summary!$B$6/1440)</f>
        <v>0.69791666666666663</v>
      </c>
      <c r="I17">
        <f>INDEX(PeakCalc!$L$10:$L$303,MATCH(tblPivotData[[#This Row],[Time]],PeakCalc!$G$10:$G$303,0))</f>
        <v>1</v>
      </c>
    </row>
    <row r="18" spans="1:9" x14ac:dyDescent="0.25">
      <c r="A18" t="s">
        <v>92</v>
      </c>
      <c r="B18" t="s">
        <v>94</v>
      </c>
      <c r="C18" t="s">
        <v>99</v>
      </c>
      <c r="D18" t="s">
        <v>79</v>
      </c>
      <c r="E18" t="s">
        <v>44</v>
      </c>
      <c r="F18" s="6">
        <v>0.70833333333333337</v>
      </c>
      <c r="G18">
        <v>335</v>
      </c>
      <c r="H18" s="6">
        <f>FLOOR(tblPivotData[[#This Row],[Time]],Summary!$B$6/1440)</f>
        <v>0.70833333333333326</v>
      </c>
      <c r="I18">
        <f>INDEX(PeakCalc!$L$10:$L$303,MATCH(tblPivotData[[#This Row],[Time]],PeakCalc!$G$10:$G$303,0))</f>
        <v>1</v>
      </c>
    </row>
    <row r="19" spans="1:9" x14ac:dyDescent="0.25">
      <c r="A19" t="s">
        <v>92</v>
      </c>
      <c r="B19" t="s">
        <v>94</v>
      </c>
      <c r="C19" t="s">
        <v>99</v>
      </c>
      <c r="D19" t="s">
        <v>79</v>
      </c>
      <c r="E19" t="s">
        <v>44</v>
      </c>
      <c r="F19" s="6">
        <v>0.71875</v>
      </c>
      <c r="G19">
        <v>298</v>
      </c>
      <c r="H19" s="6">
        <f>FLOOR(tblPivotData[[#This Row],[Time]],Summary!$B$6/1440)</f>
        <v>0.71875</v>
      </c>
      <c r="I19">
        <f>INDEX(PeakCalc!$L$10:$L$303,MATCH(tblPivotData[[#This Row],[Time]],PeakCalc!$G$10:$G$303,0))</f>
        <v>1</v>
      </c>
    </row>
    <row r="20" spans="1:9" x14ac:dyDescent="0.25">
      <c r="A20" t="s">
        <v>92</v>
      </c>
      <c r="B20" t="s">
        <v>94</v>
      </c>
      <c r="C20" t="s">
        <v>99</v>
      </c>
      <c r="D20" t="s">
        <v>79</v>
      </c>
      <c r="E20" t="s">
        <v>44</v>
      </c>
      <c r="F20" s="6">
        <v>0.72916666666666663</v>
      </c>
      <c r="G20">
        <v>333</v>
      </c>
      <c r="H20" s="6">
        <f>FLOOR(tblPivotData[[#This Row],[Time]],Summary!$B$6/1440)</f>
        <v>0.72916666666666663</v>
      </c>
      <c r="I20">
        <f>INDEX(PeakCalc!$L$10:$L$303,MATCH(tblPivotData[[#This Row],[Time]],PeakCalc!$G$10:$G$303,0))</f>
        <v>0</v>
      </c>
    </row>
    <row r="21" spans="1:9" x14ac:dyDescent="0.25">
      <c r="A21" t="s">
        <v>92</v>
      </c>
      <c r="B21" t="s">
        <v>94</v>
      </c>
      <c r="C21" t="s">
        <v>99</v>
      </c>
      <c r="D21" t="s">
        <v>79</v>
      </c>
      <c r="E21" t="s">
        <v>44</v>
      </c>
      <c r="F21" s="6">
        <v>0.73958333333333337</v>
      </c>
      <c r="G21">
        <v>248</v>
      </c>
      <c r="H21" s="6">
        <f>FLOOR(tblPivotData[[#This Row],[Time]],Summary!$B$6/1440)</f>
        <v>0.73958333333333326</v>
      </c>
      <c r="I21">
        <f>INDEX(PeakCalc!$L$10:$L$303,MATCH(tblPivotData[[#This Row],[Time]],PeakCalc!$G$10:$G$303,0))</f>
        <v>0</v>
      </c>
    </row>
    <row r="22" spans="1:9" x14ac:dyDescent="0.25">
      <c r="A22" t="s">
        <v>92</v>
      </c>
      <c r="B22" t="s">
        <v>94</v>
      </c>
      <c r="C22" t="s">
        <v>99</v>
      </c>
      <c r="D22" t="s">
        <v>88</v>
      </c>
      <c r="E22" t="s">
        <v>43</v>
      </c>
      <c r="F22" s="6">
        <v>0.29166666666666669</v>
      </c>
      <c r="G22">
        <v>7</v>
      </c>
      <c r="H22" s="6">
        <f>FLOOR(tblPivotData[[#This Row],[Time]],Summary!$B$6/1440)</f>
        <v>0.29166666666666663</v>
      </c>
      <c r="I22">
        <f>INDEX(PeakCalc!$L$10:$L$303,MATCH(tblPivotData[[#This Row],[Time]],PeakCalc!$G$10:$G$303,0))</f>
        <v>0</v>
      </c>
    </row>
    <row r="23" spans="1:9" x14ac:dyDescent="0.25">
      <c r="A23" t="s">
        <v>92</v>
      </c>
      <c r="B23" t="s">
        <v>94</v>
      </c>
      <c r="C23" t="s">
        <v>99</v>
      </c>
      <c r="D23" t="s">
        <v>88</v>
      </c>
      <c r="E23" t="s">
        <v>43</v>
      </c>
      <c r="F23" s="6">
        <v>0.30208333333333331</v>
      </c>
      <c r="G23">
        <v>9</v>
      </c>
      <c r="H23" s="6">
        <f>FLOOR(tblPivotData[[#This Row],[Time]],Summary!$B$6/1440)</f>
        <v>0.30208333333333331</v>
      </c>
      <c r="I23">
        <f>INDEX(PeakCalc!$L$10:$L$303,MATCH(tblPivotData[[#This Row],[Time]],PeakCalc!$G$10:$G$303,0))</f>
        <v>0</v>
      </c>
    </row>
    <row r="24" spans="1:9" x14ac:dyDescent="0.25">
      <c r="A24" t="s">
        <v>92</v>
      </c>
      <c r="B24" t="s">
        <v>94</v>
      </c>
      <c r="C24" t="s">
        <v>99</v>
      </c>
      <c r="D24" t="s">
        <v>88</v>
      </c>
      <c r="E24" t="s">
        <v>43</v>
      </c>
      <c r="F24" s="6">
        <v>0.3125</v>
      </c>
      <c r="G24">
        <v>19</v>
      </c>
      <c r="H24" s="6">
        <f>FLOOR(tblPivotData[[#This Row],[Time]],Summary!$B$6/1440)</f>
        <v>0.3125</v>
      </c>
      <c r="I24">
        <f>INDEX(PeakCalc!$L$10:$L$303,MATCH(tblPivotData[[#This Row],[Time]],PeakCalc!$G$10:$G$303,0))</f>
        <v>0</v>
      </c>
    </row>
    <row r="25" spans="1:9" x14ac:dyDescent="0.25">
      <c r="A25" t="s">
        <v>92</v>
      </c>
      <c r="B25" t="s">
        <v>94</v>
      </c>
      <c r="C25" t="s">
        <v>99</v>
      </c>
      <c r="D25" t="s">
        <v>88</v>
      </c>
      <c r="E25" t="s">
        <v>43</v>
      </c>
      <c r="F25" s="6">
        <v>0.32291666666666669</v>
      </c>
      <c r="G25">
        <v>9</v>
      </c>
      <c r="H25" s="6">
        <f>FLOOR(tblPivotData[[#This Row],[Time]],Summary!$B$6/1440)</f>
        <v>0.32291666666666663</v>
      </c>
      <c r="I25">
        <f>INDEX(PeakCalc!$L$10:$L$303,MATCH(tblPivotData[[#This Row],[Time]],PeakCalc!$G$10:$G$303,0))</f>
        <v>1</v>
      </c>
    </row>
    <row r="26" spans="1:9" x14ac:dyDescent="0.25">
      <c r="A26" t="s">
        <v>92</v>
      </c>
      <c r="B26" t="s">
        <v>94</v>
      </c>
      <c r="C26" t="s">
        <v>99</v>
      </c>
      <c r="D26" t="s">
        <v>88</v>
      </c>
      <c r="E26" t="s">
        <v>43</v>
      </c>
      <c r="F26" s="6">
        <v>0.33333333333333331</v>
      </c>
      <c r="G26">
        <v>12</v>
      </c>
      <c r="H26" s="6">
        <f>FLOOR(tblPivotData[[#This Row],[Time]],Summary!$B$6/1440)</f>
        <v>0.33333333333333331</v>
      </c>
      <c r="I26">
        <f>INDEX(PeakCalc!$L$10:$L$303,MATCH(tblPivotData[[#This Row],[Time]],PeakCalc!$G$10:$G$303,0))</f>
        <v>1</v>
      </c>
    </row>
    <row r="27" spans="1:9" x14ac:dyDescent="0.25">
      <c r="A27" t="s">
        <v>92</v>
      </c>
      <c r="B27" t="s">
        <v>94</v>
      </c>
      <c r="C27" t="s">
        <v>99</v>
      </c>
      <c r="D27" t="s">
        <v>88</v>
      </c>
      <c r="E27" t="s">
        <v>43</v>
      </c>
      <c r="F27" s="6">
        <v>0.34375</v>
      </c>
      <c r="G27">
        <v>5</v>
      </c>
      <c r="H27" s="6">
        <f>FLOOR(tblPivotData[[#This Row],[Time]],Summary!$B$6/1440)</f>
        <v>0.34375</v>
      </c>
      <c r="I27">
        <f>INDEX(PeakCalc!$L$10:$L$303,MATCH(tblPivotData[[#This Row],[Time]],PeakCalc!$G$10:$G$303,0))</f>
        <v>1</v>
      </c>
    </row>
    <row r="28" spans="1:9" x14ac:dyDescent="0.25">
      <c r="A28" t="s">
        <v>92</v>
      </c>
      <c r="B28" t="s">
        <v>94</v>
      </c>
      <c r="C28" t="s">
        <v>99</v>
      </c>
      <c r="D28" t="s">
        <v>88</v>
      </c>
      <c r="E28" t="s">
        <v>43</v>
      </c>
      <c r="F28" s="6">
        <v>0.35416666666666669</v>
      </c>
      <c r="G28">
        <v>7</v>
      </c>
      <c r="H28" s="6">
        <f>FLOOR(tblPivotData[[#This Row],[Time]],Summary!$B$6/1440)</f>
        <v>0.35416666666666663</v>
      </c>
      <c r="I28">
        <f>INDEX(PeakCalc!$L$10:$L$303,MATCH(tblPivotData[[#This Row],[Time]],PeakCalc!$G$10:$G$303,0))</f>
        <v>1</v>
      </c>
    </row>
    <row r="29" spans="1:9" x14ac:dyDescent="0.25">
      <c r="A29" t="s">
        <v>92</v>
      </c>
      <c r="B29" t="s">
        <v>94</v>
      </c>
      <c r="C29" t="s">
        <v>99</v>
      </c>
      <c r="D29" t="s">
        <v>88</v>
      </c>
      <c r="E29" t="s">
        <v>43</v>
      </c>
      <c r="F29" s="6">
        <v>0.36458333333333331</v>
      </c>
      <c r="G29">
        <v>9</v>
      </c>
      <c r="H29" s="6">
        <f>FLOOR(tblPivotData[[#This Row],[Time]],Summary!$B$6/1440)</f>
        <v>0.36458333333333331</v>
      </c>
      <c r="I29">
        <f>INDEX(PeakCalc!$L$10:$L$303,MATCH(tblPivotData[[#This Row],[Time]],PeakCalc!$G$10:$G$303,0))</f>
        <v>0</v>
      </c>
    </row>
    <row r="30" spans="1:9" x14ac:dyDescent="0.25">
      <c r="A30" t="s">
        <v>92</v>
      </c>
      <c r="B30" t="s">
        <v>94</v>
      </c>
      <c r="C30" t="s">
        <v>99</v>
      </c>
      <c r="D30" t="s">
        <v>88</v>
      </c>
      <c r="E30" t="s">
        <v>90</v>
      </c>
      <c r="F30" s="6">
        <v>0.54166666666666663</v>
      </c>
      <c r="G30">
        <v>3</v>
      </c>
      <c r="H30" s="6">
        <f>FLOOR(tblPivotData[[#This Row],[Time]],Summary!$B$6/1440)</f>
        <v>0.54166666666666663</v>
      </c>
      <c r="I30">
        <f>INDEX(PeakCalc!$L$10:$L$303,MATCH(tblPivotData[[#This Row],[Time]],PeakCalc!$G$10:$G$303,0))</f>
        <v>1</v>
      </c>
    </row>
    <row r="31" spans="1:9" x14ac:dyDescent="0.25">
      <c r="A31" t="s">
        <v>92</v>
      </c>
      <c r="B31" t="s">
        <v>94</v>
      </c>
      <c r="C31" t="s">
        <v>99</v>
      </c>
      <c r="D31" t="s">
        <v>88</v>
      </c>
      <c r="E31" t="s">
        <v>90</v>
      </c>
      <c r="F31" s="6">
        <v>0.55208333333333337</v>
      </c>
      <c r="G31">
        <v>5</v>
      </c>
      <c r="H31" s="6">
        <f>FLOOR(tblPivotData[[#This Row],[Time]],Summary!$B$6/1440)</f>
        <v>0.55208333333333326</v>
      </c>
      <c r="I31">
        <f>INDEX(PeakCalc!$L$10:$L$303,MATCH(tblPivotData[[#This Row],[Time]],PeakCalc!$G$10:$G$303,0))</f>
        <v>1</v>
      </c>
    </row>
    <row r="32" spans="1:9" x14ac:dyDescent="0.25">
      <c r="A32" t="s">
        <v>92</v>
      </c>
      <c r="B32" t="s">
        <v>94</v>
      </c>
      <c r="C32" t="s">
        <v>99</v>
      </c>
      <c r="D32" t="s">
        <v>88</v>
      </c>
      <c r="E32" t="s">
        <v>90</v>
      </c>
      <c r="F32" s="6">
        <v>0.5625</v>
      </c>
      <c r="G32">
        <v>7</v>
      </c>
      <c r="H32" s="6">
        <f>FLOOR(tblPivotData[[#This Row],[Time]],Summary!$B$6/1440)</f>
        <v>0.5625</v>
      </c>
      <c r="I32">
        <f>INDEX(PeakCalc!$L$10:$L$303,MATCH(tblPivotData[[#This Row],[Time]],PeakCalc!$G$10:$G$303,0))</f>
        <v>1</v>
      </c>
    </row>
    <row r="33" spans="1:9" x14ac:dyDescent="0.25">
      <c r="A33" t="s">
        <v>92</v>
      </c>
      <c r="B33" t="s">
        <v>94</v>
      </c>
      <c r="C33" t="s">
        <v>99</v>
      </c>
      <c r="D33" t="s">
        <v>88</v>
      </c>
      <c r="E33" t="s">
        <v>90</v>
      </c>
      <c r="F33" s="6">
        <v>0.57291666666666663</v>
      </c>
      <c r="G33">
        <v>6</v>
      </c>
      <c r="H33" s="6">
        <f>FLOOR(tblPivotData[[#This Row],[Time]],Summary!$B$6/1440)</f>
        <v>0.57291666666666663</v>
      </c>
      <c r="I33">
        <f>INDEX(PeakCalc!$L$10:$L$303,MATCH(tblPivotData[[#This Row],[Time]],PeakCalc!$G$10:$G$303,0))</f>
        <v>1</v>
      </c>
    </row>
    <row r="34" spans="1:9" x14ac:dyDescent="0.25">
      <c r="A34" t="s">
        <v>92</v>
      </c>
      <c r="B34" t="s">
        <v>94</v>
      </c>
      <c r="C34" t="s">
        <v>99</v>
      </c>
      <c r="D34" t="s">
        <v>88</v>
      </c>
      <c r="E34" t="s">
        <v>44</v>
      </c>
      <c r="F34" s="6">
        <v>0.66666666666666663</v>
      </c>
      <c r="G34">
        <v>5</v>
      </c>
      <c r="H34" s="6">
        <f>FLOOR(tblPivotData[[#This Row],[Time]],Summary!$B$6/1440)</f>
        <v>0.66666666666666663</v>
      </c>
      <c r="I34">
        <f>INDEX(PeakCalc!$L$10:$L$303,MATCH(tblPivotData[[#This Row],[Time]],PeakCalc!$G$10:$G$303,0))</f>
        <v>0</v>
      </c>
    </row>
    <row r="35" spans="1:9" x14ac:dyDescent="0.25">
      <c r="A35" t="s">
        <v>92</v>
      </c>
      <c r="B35" t="s">
        <v>94</v>
      </c>
      <c r="C35" t="s">
        <v>99</v>
      </c>
      <c r="D35" t="s">
        <v>88</v>
      </c>
      <c r="E35" t="s">
        <v>44</v>
      </c>
      <c r="F35" s="6">
        <v>0.67708333333333337</v>
      </c>
      <c r="G35">
        <v>4</v>
      </c>
      <c r="H35" s="6">
        <f>FLOOR(tblPivotData[[#This Row],[Time]],Summary!$B$6/1440)</f>
        <v>0.67708333333333326</v>
      </c>
      <c r="I35">
        <f>INDEX(PeakCalc!$L$10:$L$303,MATCH(tblPivotData[[#This Row],[Time]],PeakCalc!$G$10:$G$303,0))</f>
        <v>0</v>
      </c>
    </row>
    <row r="36" spans="1:9" x14ac:dyDescent="0.25">
      <c r="A36" t="s">
        <v>92</v>
      </c>
      <c r="B36" t="s">
        <v>94</v>
      </c>
      <c r="C36" t="s">
        <v>99</v>
      </c>
      <c r="D36" t="s">
        <v>88</v>
      </c>
      <c r="E36" t="s">
        <v>44</v>
      </c>
      <c r="F36" s="6">
        <v>0.6875</v>
      </c>
      <c r="G36">
        <v>6</v>
      </c>
      <c r="H36" s="6">
        <f>FLOOR(tblPivotData[[#This Row],[Time]],Summary!$B$6/1440)</f>
        <v>0.6875</v>
      </c>
      <c r="I36">
        <f>INDEX(PeakCalc!$L$10:$L$303,MATCH(tblPivotData[[#This Row],[Time]],PeakCalc!$G$10:$G$303,0))</f>
        <v>1</v>
      </c>
    </row>
    <row r="37" spans="1:9" x14ac:dyDescent="0.25">
      <c r="A37" t="s">
        <v>92</v>
      </c>
      <c r="B37" t="s">
        <v>94</v>
      </c>
      <c r="C37" t="s">
        <v>99</v>
      </c>
      <c r="D37" t="s">
        <v>88</v>
      </c>
      <c r="E37" t="s">
        <v>44</v>
      </c>
      <c r="F37" s="6">
        <v>0.69791666666666663</v>
      </c>
      <c r="G37">
        <v>3</v>
      </c>
      <c r="H37" s="6">
        <f>FLOOR(tblPivotData[[#This Row],[Time]],Summary!$B$6/1440)</f>
        <v>0.69791666666666663</v>
      </c>
      <c r="I37">
        <f>INDEX(PeakCalc!$L$10:$L$303,MATCH(tblPivotData[[#This Row],[Time]],PeakCalc!$G$10:$G$303,0))</f>
        <v>1</v>
      </c>
    </row>
    <row r="38" spans="1:9" x14ac:dyDescent="0.25">
      <c r="A38" t="s">
        <v>92</v>
      </c>
      <c r="B38" t="s">
        <v>94</v>
      </c>
      <c r="C38" t="s">
        <v>99</v>
      </c>
      <c r="D38" t="s">
        <v>88</v>
      </c>
      <c r="E38" t="s">
        <v>44</v>
      </c>
      <c r="F38" s="6">
        <v>0.70833333333333337</v>
      </c>
      <c r="G38">
        <v>4</v>
      </c>
      <c r="H38" s="6">
        <f>FLOOR(tblPivotData[[#This Row],[Time]],Summary!$B$6/1440)</f>
        <v>0.70833333333333326</v>
      </c>
      <c r="I38">
        <f>INDEX(PeakCalc!$L$10:$L$303,MATCH(tblPivotData[[#This Row],[Time]],PeakCalc!$G$10:$G$303,0))</f>
        <v>1</v>
      </c>
    </row>
    <row r="39" spans="1:9" x14ac:dyDescent="0.25">
      <c r="A39" t="s">
        <v>92</v>
      </c>
      <c r="B39" t="s">
        <v>94</v>
      </c>
      <c r="C39" t="s">
        <v>99</v>
      </c>
      <c r="D39" t="s">
        <v>88</v>
      </c>
      <c r="E39" t="s">
        <v>44</v>
      </c>
      <c r="F39" s="6">
        <v>0.71875</v>
      </c>
      <c r="G39">
        <v>1</v>
      </c>
      <c r="H39" s="6">
        <f>FLOOR(tblPivotData[[#This Row],[Time]],Summary!$B$6/1440)</f>
        <v>0.71875</v>
      </c>
      <c r="I39">
        <f>INDEX(PeakCalc!$L$10:$L$303,MATCH(tblPivotData[[#This Row],[Time]],PeakCalc!$G$10:$G$303,0))</f>
        <v>1</v>
      </c>
    </row>
    <row r="40" spans="1:9" x14ac:dyDescent="0.25">
      <c r="A40" t="s">
        <v>92</v>
      </c>
      <c r="B40" t="s">
        <v>94</v>
      </c>
      <c r="C40" t="s">
        <v>99</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94</v>
      </c>
      <c r="C41" t="s">
        <v>99</v>
      </c>
      <c r="D41" t="s">
        <v>88</v>
      </c>
      <c r="E41" t="s">
        <v>44</v>
      </c>
      <c r="F41" s="6">
        <v>0.73958333333333337</v>
      </c>
      <c r="G41">
        <v>2</v>
      </c>
      <c r="H41" s="6">
        <f>FLOOR(tblPivotData[[#This Row],[Time]],Summary!$B$6/1440)</f>
        <v>0.73958333333333326</v>
      </c>
      <c r="I41">
        <f>INDEX(PeakCalc!$L$10:$L$303,MATCH(tblPivotData[[#This Row],[Time]],PeakCalc!$G$10:$G$303,0))</f>
        <v>0</v>
      </c>
    </row>
    <row r="42" spans="1:9" x14ac:dyDescent="0.25">
      <c r="A42" t="s">
        <v>92</v>
      </c>
      <c r="B42" t="s">
        <v>94</v>
      </c>
      <c r="C42" t="s">
        <v>99</v>
      </c>
      <c r="D42" t="s">
        <v>89</v>
      </c>
      <c r="E42" t="s">
        <v>43</v>
      </c>
      <c r="F42" s="6">
        <v>0.29166666666666669</v>
      </c>
      <c r="G42">
        <v>4</v>
      </c>
      <c r="H42" s="6">
        <f>FLOOR(tblPivotData[[#This Row],[Time]],Summary!$B$6/1440)</f>
        <v>0.29166666666666663</v>
      </c>
      <c r="I42">
        <f>INDEX(PeakCalc!$L$10:$L$303,MATCH(tblPivotData[[#This Row],[Time]],PeakCalc!$G$10:$G$303,0))</f>
        <v>0</v>
      </c>
    </row>
    <row r="43" spans="1:9" x14ac:dyDescent="0.25">
      <c r="A43" t="s">
        <v>92</v>
      </c>
      <c r="B43" t="s">
        <v>94</v>
      </c>
      <c r="C43" t="s">
        <v>99</v>
      </c>
      <c r="D43" t="s">
        <v>89</v>
      </c>
      <c r="E43" t="s">
        <v>43</v>
      </c>
      <c r="F43" s="6">
        <v>0.30208333333333331</v>
      </c>
      <c r="G43">
        <v>2</v>
      </c>
      <c r="H43" s="6">
        <f>FLOOR(tblPivotData[[#This Row],[Time]],Summary!$B$6/1440)</f>
        <v>0.30208333333333331</v>
      </c>
      <c r="I43">
        <f>INDEX(PeakCalc!$L$10:$L$303,MATCH(tblPivotData[[#This Row],[Time]],PeakCalc!$G$10:$G$303,0))</f>
        <v>0</v>
      </c>
    </row>
    <row r="44" spans="1:9" x14ac:dyDescent="0.25">
      <c r="A44" t="s">
        <v>92</v>
      </c>
      <c r="B44" t="s">
        <v>94</v>
      </c>
      <c r="C44" t="s">
        <v>99</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94</v>
      </c>
      <c r="C45" t="s">
        <v>99</v>
      </c>
      <c r="D45" t="s">
        <v>89</v>
      </c>
      <c r="E45" t="s">
        <v>43</v>
      </c>
      <c r="F45" s="6">
        <v>0.32291666666666669</v>
      </c>
      <c r="G45">
        <v>3</v>
      </c>
      <c r="H45" s="6">
        <f>FLOOR(tblPivotData[[#This Row],[Time]],Summary!$B$6/1440)</f>
        <v>0.32291666666666663</v>
      </c>
      <c r="I45">
        <f>INDEX(PeakCalc!$L$10:$L$303,MATCH(tblPivotData[[#This Row],[Time]],PeakCalc!$G$10:$G$303,0))</f>
        <v>1</v>
      </c>
    </row>
    <row r="46" spans="1:9" x14ac:dyDescent="0.25">
      <c r="A46" t="s">
        <v>92</v>
      </c>
      <c r="B46" t="s">
        <v>94</v>
      </c>
      <c r="C46" t="s">
        <v>99</v>
      </c>
      <c r="D46" t="s">
        <v>89</v>
      </c>
      <c r="E46" t="s">
        <v>43</v>
      </c>
      <c r="F46" s="6">
        <v>0.33333333333333331</v>
      </c>
      <c r="G46">
        <v>3</v>
      </c>
      <c r="H46" s="6">
        <f>FLOOR(tblPivotData[[#This Row],[Time]],Summary!$B$6/1440)</f>
        <v>0.33333333333333331</v>
      </c>
      <c r="I46">
        <f>INDEX(PeakCalc!$L$10:$L$303,MATCH(tblPivotData[[#This Row],[Time]],PeakCalc!$G$10:$G$303,0))</f>
        <v>1</v>
      </c>
    </row>
    <row r="47" spans="1:9" x14ac:dyDescent="0.25">
      <c r="A47" t="s">
        <v>92</v>
      </c>
      <c r="B47" t="s">
        <v>94</v>
      </c>
      <c r="C47" t="s">
        <v>99</v>
      </c>
      <c r="D47" t="s">
        <v>89</v>
      </c>
      <c r="E47" t="s">
        <v>43</v>
      </c>
      <c r="F47" s="6">
        <v>0.34375</v>
      </c>
      <c r="G47">
        <v>1</v>
      </c>
      <c r="H47" s="6">
        <f>FLOOR(tblPivotData[[#This Row],[Time]],Summary!$B$6/1440)</f>
        <v>0.34375</v>
      </c>
      <c r="I47">
        <f>INDEX(PeakCalc!$L$10:$L$303,MATCH(tblPivotData[[#This Row],[Time]],PeakCalc!$G$10:$G$303,0))</f>
        <v>1</v>
      </c>
    </row>
    <row r="48" spans="1:9" x14ac:dyDescent="0.25">
      <c r="A48" t="s">
        <v>92</v>
      </c>
      <c r="B48" t="s">
        <v>94</v>
      </c>
      <c r="C48" t="s">
        <v>99</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92</v>
      </c>
      <c r="B49" t="s">
        <v>94</v>
      </c>
      <c r="C49" t="s">
        <v>99</v>
      </c>
      <c r="D49" t="s">
        <v>89</v>
      </c>
      <c r="E49" t="s">
        <v>43</v>
      </c>
      <c r="F49" s="6">
        <v>0.36458333333333331</v>
      </c>
      <c r="G49">
        <v>1</v>
      </c>
      <c r="H49" s="6">
        <f>FLOOR(tblPivotData[[#This Row],[Time]],Summary!$B$6/1440)</f>
        <v>0.36458333333333331</v>
      </c>
      <c r="I49">
        <f>INDEX(PeakCalc!$L$10:$L$303,MATCH(tblPivotData[[#This Row],[Time]],PeakCalc!$G$10:$G$303,0))</f>
        <v>0</v>
      </c>
    </row>
    <row r="50" spans="1:9" x14ac:dyDescent="0.25">
      <c r="A50" t="s">
        <v>92</v>
      </c>
      <c r="B50" t="s">
        <v>94</v>
      </c>
      <c r="C50" t="s">
        <v>99</v>
      </c>
      <c r="D50" t="s">
        <v>89</v>
      </c>
      <c r="E50" t="s">
        <v>90</v>
      </c>
      <c r="F50" s="6">
        <v>0.54166666666666663</v>
      </c>
      <c r="G50">
        <v>1</v>
      </c>
      <c r="H50" s="6">
        <f>FLOOR(tblPivotData[[#This Row],[Time]],Summary!$B$6/1440)</f>
        <v>0.54166666666666663</v>
      </c>
      <c r="I50">
        <f>INDEX(PeakCalc!$L$10:$L$303,MATCH(tblPivotData[[#This Row],[Time]],PeakCalc!$G$10:$G$303,0))</f>
        <v>1</v>
      </c>
    </row>
    <row r="51" spans="1:9" x14ac:dyDescent="0.25">
      <c r="A51" t="s">
        <v>92</v>
      </c>
      <c r="B51" t="s">
        <v>94</v>
      </c>
      <c r="C51" t="s">
        <v>99</v>
      </c>
      <c r="D51" t="s">
        <v>89</v>
      </c>
      <c r="E51" t="s">
        <v>90</v>
      </c>
      <c r="F51" s="6">
        <v>0.55208333333333337</v>
      </c>
      <c r="G51">
        <v>1</v>
      </c>
      <c r="H51" s="6">
        <f>FLOOR(tblPivotData[[#This Row],[Time]],Summary!$B$6/1440)</f>
        <v>0.55208333333333326</v>
      </c>
      <c r="I51">
        <f>INDEX(PeakCalc!$L$10:$L$303,MATCH(tblPivotData[[#This Row],[Time]],PeakCalc!$G$10:$G$303,0))</f>
        <v>1</v>
      </c>
    </row>
    <row r="52" spans="1:9" x14ac:dyDescent="0.25">
      <c r="A52" t="s">
        <v>92</v>
      </c>
      <c r="B52" t="s">
        <v>94</v>
      </c>
      <c r="C52" t="s">
        <v>99</v>
      </c>
      <c r="D52" t="s">
        <v>89</v>
      </c>
      <c r="E52" t="s">
        <v>90</v>
      </c>
      <c r="F52" s="6">
        <v>0.5625</v>
      </c>
      <c r="G52">
        <v>2</v>
      </c>
      <c r="H52" s="6">
        <f>FLOOR(tblPivotData[[#This Row],[Time]],Summary!$B$6/1440)</f>
        <v>0.5625</v>
      </c>
      <c r="I52">
        <f>INDEX(PeakCalc!$L$10:$L$303,MATCH(tblPivotData[[#This Row],[Time]],PeakCalc!$G$10:$G$303,0))</f>
        <v>1</v>
      </c>
    </row>
    <row r="53" spans="1:9" x14ac:dyDescent="0.25">
      <c r="A53" t="s">
        <v>92</v>
      </c>
      <c r="B53" t="s">
        <v>94</v>
      </c>
      <c r="C53" t="s">
        <v>99</v>
      </c>
      <c r="D53" t="s">
        <v>89</v>
      </c>
      <c r="E53" t="s">
        <v>90</v>
      </c>
      <c r="F53" s="6">
        <v>0.57291666666666663</v>
      </c>
      <c r="G53">
        <v>2</v>
      </c>
      <c r="H53" s="6">
        <f>FLOOR(tblPivotData[[#This Row],[Time]],Summary!$B$6/1440)</f>
        <v>0.57291666666666663</v>
      </c>
      <c r="I53">
        <f>INDEX(PeakCalc!$L$10:$L$303,MATCH(tblPivotData[[#This Row],[Time]],PeakCalc!$G$10:$G$303,0))</f>
        <v>1</v>
      </c>
    </row>
    <row r="54" spans="1:9" x14ac:dyDescent="0.25">
      <c r="A54" t="s">
        <v>92</v>
      </c>
      <c r="B54" t="s">
        <v>94</v>
      </c>
      <c r="C54" t="s">
        <v>99</v>
      </c>
      <c r="D54" t="s">
        <v>89</v>
      </c>
      <c r="E54" t="s">
        <v>44</v>
      </c>
      <c r="F54" s="6">
        <v>0.66666666666666663</v>
      </c>
      <c r="G54">
        <v>5</v>
      </c>
      <c r="H54" s="6">
        <f>FLOOR(tblPivotData[[#This Row],[Time]],Summary!$B$6/1440)</f>
        <v>0.66666666666666663</v>
      </c>
      <c r="I54">
        <f>INDEX(PeakCalc!$L$10:$L$303,MATCH(tblPivotData[[#This Row],[Time]],PeakCalc!$G$10:$G$303,0))</f>
        <v>0</v>
      </c>
    </row>
    <row r="55" spans="1:9" x14ac:dyDescent="0.25">
      <c r="A55" t="s">
        <v>92</v>
      </c>
      <c r="B55" t="s">
        <v>94</v>
      </c>
      <c r="C55" t="s">
        <v>99</v>
      </c>
      <c r="D55" t="s">
        <v>89</v>
      </c>
      <c r="E55" t="s">
        <v>44</v>
      </c>
      <c r="F55" s="6">
        <v>0.67708333333333337</v>
      </c>
      <c r="G55">
        <v>8</v>
      </c>
      <c r="H55" s="6">
        <f>FLOOR(tblPivotData[[#This Row],[Time]],Summary!$B$6/1440)</f>
        <v>0.67708333333333326</v>
      </c>
      <c r="I55">
        <f>INDEX(PeakCalc!$L$10:$L$303,MATCH(tblPivotData[[#This Row],[Time]],PeakCalc!$G$10:$G$303,0))</f>
        <v>0</v>
      </c>
    </row>
    <row r="56" spans="1:9" x14ac:dyDescent="0.25">
      <c r="A56" t="s">
        <v>92</v>
      </c>
      <c r="B56" t="s">
        <v>94</v>
      </c>
      <c r="C56" t="s">
        <v>99</v>
      </c>
      <c r="D56" t="s">
        <v>89</v>
      </c>
      <c r="E56" t="s">
        <v>44</v>
      </c>
      <c r="F56" s="6">
        <v>0.6875</v>
      </c>
      <c r="G56">
        <v>11</v>
      </c>
      <c r="H56" s="6">
        <f>FLOOR(tblPivotData[[#This Row],[Time]],Summary!$B$6/1440)</f>
        <v>0.6875</v>
      </c>
      <c r="I56">
        <f>INDEX(PeakCalc!$L$10:$L$303,MATCH(tblPivotData[[#This Row],[Time]],PeakCalc!$G$10:$G$303,0))</f>
        <v>1</v>
      </c>
    </row>
    <row r="57" spans="1:9" x14ac:dyDescent="0.25">
      <c r="A57" t="s">
        <v>92</v>
      </c>
      <c r="B57" t="s">
        <v>94</v>
      </c>
      <c r="C57" t="s">
        <v>99</v>
      </c>
      <c r="D57" t="s">
        <v>89</v>
      </c>
      <c r="E57" t="s">
        <v>44</v>
      </c>
      <c r="F57" s="6">
        <v>0.69791666666666663</v>
      </c>
      <c r="G57">
        <v>8</v>
      </c>
      <c r="H57" s="6">
        <f>FLOOR(tblPivotData[[#This Row],[Time]],Summary!$B$6/1440)</f>
        <v>0.69791666666666663</v>
      </c>
      <c r="I57">
        <f>INDEX(PeakCalc!$L$10:$L$303,MATCH(tblPivotData[[#This Row],[Time]],PeakCalc!$G$10:$G$303,0))</f>
        <v>1</v>
      </c>
    </row>
    <row r="58" spans="1:9" x14ac:dyDescent="0.25">
      <c r="A58" t="s">
        <v>92</v>
      </c>
      <c r="B58" t="s">
        <v>94</v>
      </c>
      <c r="C58" t="s">
        <v>99</v>
      </c>
      <c r="D58" t="s">
        <v>89</v>
      </c>
      <c r="E58" t="s">
        <v>44</v>
      </c>
      <c r="F58" s="6">
        <v>0.70833333333333337</v>
      </c>
      <c r="G58">
        <v>6</v>
      </c>
      <c r="H58" s="6">
        <f>FLOOR(tblPivotData[[#This Row],[Time]],Summary!$B$6/1440)</f>
        <v>0.70833333333333326</v>
      </c>
      <c r="I58">
        <f>INDEX(PeakCalc!$L$10:$L$303,MATCH(tblPivotData[[#This Row],[Time]],PeakCalc!$G$10:$G$303,0))</f>
        <v>1</v>
      </c>
    </row>
    <row r="59" spans="1:9" x14ac:dyDescent="0.25">
      <c r="A59" t="s">
        <v>92</v>
      </c>
      <c r="B59" t="s">
        <v>94</v>
      </c>
      <c r="C59" t="s">
        <v>99</v>
      </c>
      <c r="D59" t="s">
        <v>89</v>
      </c>
      <c r="E59" t="s">
        <v>44</v>
      </c>
      <c r="F59" s="6">
        <v>0.71875</v>
      </c>
      <c r="G59">
        <v>5</v>
      </c>
      <c r="H59" s="6">
        <f>FLOOR(tblPivotData[[#This Row],[Time]],Summary!$B$6/1440)</f>
        <v>0.71875</v>
      </c>
      <c r="I59">
        <f>INDEX(PeakCalc!$L$10:$L$303,MATCH(tblPivotData[[#This Row],[Time]],PeakCalc!$G$10:$G$303,0))</f>
        <v>1</v>
      </c>
    </row>
    <row r="60" spans="1:9" x14ac:dyDescent="0.25">
      <c r="A60" t="s">
        <v>92</v>
      </c>
      <c r="B60" t="s">
        <v>94</v>
      </c>
      <c r="C60" t="s">
        <v>99</v>
      </c>
      <c r="D60" t="s">
        <v>89</v>
      </c>
      <c r="E60" t="s">
        <v>44</v>
      </c>
      <c r="F60" s="6">
        <v>0.72916666666666663</v>
      </c>
      <c r="G60">
        <v>5</v>
      </c>
      <c r="H60" s="6">
        <f>FLOOR(tblPivotData[[#This Row],[Time]],Summary!$B$6/1440)</f>
        <v>0.72916666666666663</v>
      </c>
      <c r="I60">
        <f>INDEX(PeakCalc!$L$10:$L$303,MATCH(tblPivotData[[#This Row],[Time]],PeakCalc!$G$10:$G$303,0))</f>
        <v>0</v>
      </c>
    </row>
    <row r="61" spans="1:9" x14ac:dyDescent="0.25">
      <c r="A61" t="s">
        <v>92</v>
      </c>
      <c r="B61" t="s">
        <v>94</v>
      </c>
      <c r="C61" t="s">
        <v>99</v>
      </c>
      <c r="D61" t="s">
        <v>89</v>
      </c>
      <c r="E61" t="s">
        <v>44</v>
      </c>
      <c r="F61" s="6">
        <v>0.73958333333333337</v>
      </c>
      <c r="G61">
        <v>5</v>
      </c>
      <c r="H61" s="6">
        <f>FLOOR(tblPivotData[[#This Row],[Time]],Summary!$B$6/1440)</f>
        <v>0.73958333333333326</v>
      </c>
      <c r="I61">
        <f>INDEX(PeakCalc!$L$10:$L$303,MATCH(tblPivotData[[#This Row],[Time]],PeakCalc!$G$10:$G$303,0))</f>
        <v>0</v>
      </c>
    </row>
    <row r="62" spans="1:9" x14ac:dyDescent="0.25">
      <c r="A62" t="s">
        <v>92</v>
      </c>
      <c r="B62" t="s">
        <v>95</v>
      </c>
      <c r="C62" t="s">
        <v>98</v>
      </c>
      <c r="D62" t="s">
        <v>79</v>
      </c>
      <c r="E62" t="s">
        <v>43</v>
      </c>
      <c r="F62" s="6">
        <v>0.29166666666666669</v>
      </c>
      <c r="G62">
        <v>14</v>
      </c>
      <c r="H62" s="6">
        <f>FLOOR(tblPivotData[[#This Row],[Time]],Summary!$B$6/1440)</f>
        <v>0.29166666666666663</v>
      </c>
      <c r="I62">
        <f>INDEX(PeakCalc!$L$10:$L$303,MATCH(tblPivotData[[#This Row],[Time]],PeakCalc!$G$10:$G$303,0))</f>
        <v>0</v>
      </c>
    </row>
    <row r="63" spans="1:9" x14ac:dyDescent="0.25">
      <c r="A63" t="s">
        <v>92</v>
      </c>
      <c r="B63" t="s">
        <v>95</v>
      </c>
      <c r="C63" t="s">
        <v>98</v>
      </c>
      <c r="D63" t="s">
        <v>79</v>
      </c>
      <c r="E63" t="s">
        <v>43</v>
      </c>
      <c r="F63" s="6">
        <v>0.30208333333333331</v>
      </c>
      <c r="G63">
        <v>22</v>
      </c>
      <c r="H63" s="6">
        <f>FLOOR(tblPivotData[[#This Row],[Time]],Summary!$B$6/1440)</f>
        <v>0.30208333333333331</v>
      </c>
      <c r="I63">
        <f>INDEX(PeakCalc!$L$10:$L$303,MATCH(tblPivotData[[#This Row],[Time]],PeakCalc!$G$10:$G$303,0))</f>
        <v>0</v>
      </c>
    </row>
    <row r="64" spans="1:9" x14ac:dyDescent="0.25">
      <c r="A64" t="s">
        <v>92</v>
      </c>
      <c r="B64" t="s">
        <v>95</v>
      </c>
      <c r="C64" t="s">
        <v>98</v>
      </c>
      <c r="D64" t="s">
        <v>79</v>
      </c>
      <c r="E64" t="s">
        <v>43</v>
      </c>
      <c r="F64" s="6">
        <v>0.3125</v>
      </c>
      <c r="G64">
        <v>35</v>
      </c>
      <c r="H64" s="6">
        <f>FLOOR(tblPivotData[[#This Row],[Time]],Summary!$B$6/1440)</f>
        <v>0.3125</v>
      </c>
      <c r="I64">
        <f>INDEX(PeakCalc!$L$10:$L$303,MATCH(tblPivotData[[#This Row],[Time]],PeakCalc!$G$10:$G$303,0))</f>
        <v>0</v>
      </c>
    </row>
    <row r="65" spans="1:9" x14ac:dyDescent="0.25">
      <c r="A65" t="s">
        <v>92</v>
      </c>
      <c r="B65" t="s">
        <v>95</v>
      </c>
      <c r="C65" t="s">
        <v>98</v>
      </c>
      <c r="D65" t="s">
        <v>79</v>
      </c>
      <c r="E65" t="s">
        <v>43</v>
      </c>
      <c r="F65" s="6">
        <v>0.32291666666666669</v>
      </c>
      <c r="G65">
        <v>45</v>
      </c>
      <c r="H65" s="6">
        <f>FLOOR(tblPivotData[[#This Row],[Time]],Summary!$B$6/1440)</f>
        <v>0.32291666666666663</v>
      </c>
      <c r="I65">
        <f>INDEX(PeakCalc!$L$10:$L$303,MATCH(tblPivotData[[#This Row],[Time]],PeakCalc!$G$10:$G$303,0))</f>
        <v>1</v>
      </c>
    </row>
    <row r="66" spans="1:9" x14ac:dyDescent="0.25">
      <c r="A66" t="s">
        <v>92</v>
      </c>
      <c r="B66" t="s">
        <v>95</v>
      </c>
      <c r="C66" t="s">
        <v>98</v>
      </c>
      <c r="D66" t="s">
        <v>79</v>
      </c>
      <c r="E66" t="s">
        <v>43</v>
      </c>
      <c r="F66" s="6">
        <v>0.33333333333333331</v>
      </c>
      <c r="G66">
        <v>23</v>
      </c>
      <c r="H66" s="6">
        <f>FLOOR(tblPivotData[[#This Row],[Time]],Summary!$B$6/1440)</f>
        <v>0.33333333333333331</v>
      </c>
      <c r="I66">
        <f>INDEX(PeakCalc!$L$10:$L$303,MATCH(tblPivotData[[#This Row],[Time]],PeakCalc!$G$10:$G$303,0))</f>
        <v>1</v>
      </c>
    </row>
    <row r="67" spans="1:9" x14ac:dyDescent="0.25">
      <c r="A67" t="s">
        <v>92</v>
      </c>
      <c r="B67" t="s">
        <v>95</v>
      </c>
      <c r="C67" t="s">
        <v>98</v>
      </c>
      <c r="D67" t="s">
        <v>79</v>
      </c>
      <c r="E67" t="s">
        <v>43</v>
      </c>
      <c r="F67" s="6">
        <v>0.34375</v>
      </c>
      <c r="G67">
        <v>45</v>
      </c>
      <c r="H67" s="6">
        <f>FLOOR(tblPivotData[[#This Row],[Time]],Summary!$B$6/1440)</f>
        <v>0.34375</v>
      </c>
      <c r="I67">
        <f>INDEX(PeakCalc!$L$10:$L$303,MATCH(tblPivotData[[#This Row],[Time]],PeakCalc!$G$10:$G$303,0))</f>
        <v>1</v>
      </c>
    </row>
    <row r="68" spans="1:9" x14ac:dyDescent="0.25">
      <c r="A68" t="s">
        <v>92</v>
      </c>
      <c r="B68" t="s">
        <v>95</v>
      </c>
      <c r="C68" t="s">
        <v>98</v>
      </c>
      <c r="D68" t="s">
        <v>79</v>
      </c>
      <c r="E68" t="s">
        <v>43</v>
      </c>
      <c r="F68" s="6">
        <v>0.35416666666666669</v>
      </c>
      <c r="G68">
        <v>41</v>
      </c>
      <c r="H68" s="6">
        <f>FLOOR(tblPivotData[[#This Row],[Time]],Summary!$B$6/1440)</f>
        <v>0.35416666666666663</v>
      </c>
      <c r="I68">
        <f>INDEX(PeakCalc!$L$10:$L$303,MATCH(tblPivotData[[#This Row],[Time]],PeakCalc!$G$10:$G$303,0))</f>
        <v>1</v>
      </c>
    </row>
    <row r="69" spans="1:9" x14ac:dyDescent="0.25">
      <c r="A69" t="s">
        <v>92</v>
      </c>
      <c r="B69" t="s">
        <v>95</v>
      </c>
      <c r="C69" t="s">
        <v>98</v>
      </c>
      <c r="D69" t="s">
        <v>79</v>
      </c>
      <c r="E69" t="s">
        <v>43</v>
      </c>
      <c r="F69" s="6">
        <v>0.36458333333333331</v>
      </c>
      <c r="G69">
        <v>46</v>
      </c>
      <c r="H69" s="6">
        <f>FLOOR(tblPivotData[[#This Row],[Time]],Summary!$B$6/1440)</f>
        <v>0.36458333333333331</v>
      </c>
      <c r="I69">
        <f>INDEX(PeakCalc!$L$10:$L$303,MATCH(tblPivotData[[#This Row],[Time]],PeakCalc!$G$10:$G$303,0))</f>
        <v>0</v>
      </c>
    </row>
    <row r="70" spans="1:9" x14ac:dyDescent="0.25">
      <c r="A70" t="s">
        <v>92</v>
      </c>
      <c r="B70" t="s">
        <v>95</v>
      </c>
      <c r="C70" t="s">
        <v>98</v>
      </c>
      <c r="D70" t="s">
        <v>79</v>
      </c>
      <c r="E70" t="s">
        <v>90</v>
      </c>
      <c r="F70" s="6">
        <v>0.54166666666666663</v>
      </c>
      <c r="G70">
        <v>34</v>
      </c>
      <c r="H70" s="6">
        <f>FLOOR(tblPivotData[[#This Row],[Time]],Summary!$B$6/1440)</f>
        <v>0.54166666666666663</v>
      </c>
      <c r="I70">
        <f>INDEX(PeakCalc!$L$10:$L$303,MATCH(tblPivotData[[#This Row],[Time]],PeakCalc!$G$10:$G$303,0))</f>
        <v>1</v>
      </c>
    </row>
    <row r="71" spans="1:9" x14ac:dyDescent="0.25">
      <c r="A71" t="s">
        <v>92</v>
      </c>
      <c r="B71" t="s">
        <v>95</v>
      </c>
      <c r="C71" t="s">
        <v>98</v>
      </c>
      <c r="D71" t="s">
        <v>79</v>
      </c>
      <c r="E71" t="s">
        <v>90</v>
      </c>
      <c r="F71" s="6">
        <v>0.55208333333333337</v>
      </c>
      <c r="G71">
        <v>43</v>
      </c>
      <c r="H71" s="6">
        <f>FLOOR(tblPivotData[[#This Row],[Time]],Summary!$B$6/1440)</f>
        <v>0.55208333333333326</v>
      </c>
      <c r="I71">
        <f>INDEX(PeakCalc!$L$10:$L$303,MATCH(tblPivotData[[#This Row],[Time]],PeakCalc!$G$10:$G$303,0))</f>
        <v>1</v>
      </c>
    </row>
    <row r="72" spans="1:9" x14ac:dyDescent="0.25">
      <c r="A72" t="s">
        <v>92</v>
      </c>
      <c r="B72" t="s">
        <v>95</v>
      </c>
      <c r="C72" t="s">
        <v>98</v>
      </c>
      <c r="D72" t="s">
        <v>79</v>
      </c>
      <c r="E72" t="s">
        <v>90</v>
      </c>
      <c r="F72" s="6">
        <v>0.5625</v>
      </c>
      <c r="G72">
        <v>47</v>
      </c>
      <c r="H72" s="6">
        <f>FLOOR(tblPivotData[[#This Row],[Time]],Summary!$B$6/1440)</f>
        <v>0.5625</v>
      </c>
      <c r="I72">
        <f>INDEX(PeakCalc!$L$10:$L$303,MATCH(tblPivotData[[#This Row],[Time]],PeakCalc!$G$10:$G$303,0))</f>
        <v>1</v>
      </c>
    </row>
    <row r="73" spans="1:9" x14ac:dyDescent="0.25">
      <c r="A73" t="s">
        <v>92</v>
      </c>
      <c r="B73" t="s">
        <v>95</v>
      </c>
      <c r="C73" t="s">
        <v>98</v>
      </c>
      <c r="D73" t="s">
        <v>79</v>
      </c>
      <c r="E73" t="s">
        <v>90</v>
      </c>
      <c r="F73" s="6">
        <v>0.57291666666666663</v>
      </c>
      <c r="G73">
        <v>36</v>
      </c>
      <c r="H73" s="6">
        <f>FLOOR(tblPivotData[[#This Row],[Time]],Summary!$B$6/1440)</f>
        <v>0.57291666666666663</v>
      </c>
      <c r="I73">
        <f>INDEX(PeakCalc!$L$10:$L$303,MATCH(tblPivotData[[#This Row],[Time]],PeakCalc!$G$10:$G$303,0))</f>
        <v>1</v>
      </c>
    </row>
    <row r="74" spans="1:9" x14ac:dyDescent="0.25">
      <c r="A74" t="s">
        <v>92</v>
      </c>
      <c r="B74" t="s">
        <v>95</v>
      </c>
      <c r="C74" t="s">
        <v>98</v>
      </c>
      <c r="D74" t="s">
        <v>79</v>
      </c>
      <c r="E74" t="s">
        <v>44</v>
      </c>
      <c r="F74" s="6">
        <v>0.66666666666666663</v>
      </c>
      <c r="G74">
        <v>48</v>
      </c>
      <c r="H74" s="6">
        <f>FLOOR(tblPivotData[[#This Row],[Time]],Summary!$B$6/1440)</f>
        <v>0.66666666666666663</v>
      </c>
      <c r="I74">
        <f>INDEX(PeakCalc!$L$10:$L$303,MATCH(tblPivotData[[#This Row],[Time]],PeakCalc!$G$10:$G$303,0))</f>
        <v>0</v>
      </c>
    </row>
    <row r="75" spans="1:9" x14ac:dyDescent="0.25">
      <c r="A75" t="s">
        <v>92</v>
      </c>
      <c r="B75" t="s">
        <v>95</v>
      </c>
      <c r="C75" t="s">
        <v>98</v>
      </c>
      <c r="D75" t="s">
        <v>79</v>
      </c>
      <c r="E75" t="s">
        <v>44</v>
      </c>
      <c r="F75" s="6">
        <v>0.67708333333333337</v>
      </c>
      <c r="G75">
        <v>46</v>
      </c>
      <c r="H75" s="6">
        <f>FLOOR(tblPivotData[[#This Row],[Time]],Summary!$B$6/1440)</f>
        <v>0.67708333333333326</v>
      </c>
      <c r="I75">
        <f>INDEX(PeakCalc!$L$10:$L$303,MATCH(tblPivotData[[#This Row],[Time]],PeakCalc!$G$10:$G$303,0))</f>
        <v>0</v>
      </c>
    </row>
    <row r="76" spans="1:9" x14ac:dyDescent="0.25">
      <c r="A76" t="s">
        <v>92</v>
      </c>
      <c r="B76" t="s">
        <v>95</v>
      </c>
      <c r="C76" t="s">
        <v>98</v>
      </c>
      <c r="D76" t="s">
        <v>79</v>
      </c>
      <c r="E76" t="s">
        <v>44</v>
      </c>
      <c r="F76" s="6">
        <v>0.6875</v>
      </c>
      <c r="G76">
        <v>42</v>
      </c>
      <c r="H76" s="6">
        <f>FLOOR(tblPivotData[[#This Row],[Time]],Summary!$B$6/1440)</f>
        <v>0.6875</v>
      </c>
      <c r="I76">
        <f>INDEX(PeakCalc!$L$10:$L$303,MATCH(tblPivotData[[#This Row],[Time]],PeakCalc!$G$10:$G$303,0))</f>
        <v>1</v>
      </c>
    </row>
    <row r="77" spans="1:9" x14ac:dyDescent="0.25">
      <c r="A77" t="s">
        <v>92</v>
      </c>
      <c r="B77" t="s">
        <v>95</v>
      </c>
      <c r="C77" t="s">
        <v>98</v>
      </c>
      <c r="D77" t="s">
        <v>79</v>
      </c>
      <c r="E77" t="s">
        <v>44</v>
      </c>
      <c r="F77" s="6">
        <v>0.69791666666666663</v>
      </c>
      <c r="G77">
        <v>56</v>
      </c>
      <c r="H77" s="6">
        <f>FLOOR(tblPivotData[[#This Row],[Time]],Summary!$B$6/1440)</f>
        <v>0.69791666666666663</v>
      </c>
      <c r="I77">
        <f>INDEX(PeakCalc!$L$10:$L$303,MATCH(tblPivotData[[#This Row],[Time]],PeakCalc!$G$10:$G$303,0))</f>
        <v>1</v>
      </c>
    </row>
    <row r="78" spans="1:9" x14ac:dyDescent="0.25">
      <c r="A78" t="s">
        <v>92</v>
      </c>
      <c r="B78" t="s">
        <v>95</v>
      </c>
      <c r="C78" t="s">
        <v>98</v>
      </c>
      <c r="D78" t="s">
        <v>79</v>
      </c>
      <c r="E78" t="s">
        <v>44</v>
      </c>
      <c r="F78" s="6">
        <v>0.70833333333333337</v>
      </c>
      <c r="G78">
        <v>50</v>
      </c>
      <c r="H78" s="6">
        <f>FLOOR(tblPivotData[[#This Row],[Time]],Summary!$B$6/1440)</f>
        <v>0.70833333333333326</v>
      </c>
      <c r="I78">
        <f>INDEX(PeakCalc!$L$10:$L$303,MATCH(tblPivotData[[#This Row],[Time]],PeakCalc!$G$10:$G$303,0))</f>
        <v>1</v>
      </c>
    </row>
    <row r="79" spans="1:9" x14ac:dyDescent="0.25">
      <c r="A79" t="s">
        <v>92</v>
      </c>
      <c r="B79" t="s">
        <v>95</v>
      </c>
      <c r="C79" t="s">
        <v>98</v>
      </c>
      <c r="D79" t="s">
        <v>79</v>
      </c>
      <c r="E79" t="s">
        <v>44</v>
      </c>
      <c r="F79" s="6">
        <v>0.71875</v>
      </c>
      <c r="G79">
        <v>36</v>
      </c>
      <c r="H79" s="6">
        <f>FLOOR(tblPivotData[[#This Row],[Time]],Summary!$B$6/1440)</f>
        <v>0.71875</v>
      </c>
      <c r="I79">
        <f>INDEX(PeakCalc!$L$10:$L$303,MATCH(tblPivotData[[#This Row],[Time]],PeakCalc!$G$10:$G$303,0))</f>
        <v>1</v>
      </c>
    </row>
    <row r="80" spans="1:9" x14ac:dyDescent="0.25">
      <c r="A80" t="s">
        <v>92</v>
      </c>
      <c r="B80" t="s">
        <v>95</v>
      </c>
      <c r="C80" t="s">
        <v>98</v>
      </c>
      <c r="D80" t="s">
        <v>79</v>
      </c>
      <c r="E80" t="s">
        <v>44</v>
      </c>
      <c r="F80" s="6">
        <v>0.72916666666666663</v>
      </c>
      <c r="G80">
        <v>41</v>
      </c>
      <c r="H80" s="6">
        <f>FLOOR(tblPivotData[[#This Row],[Time]],Summary!$B$6/1440)</f>
        <v>0.72916666666666663</v>
      </c>
      <c r="I80">
        <f>INDEX(PeakCalc!$L$10:$L$303,MATCH(tblPivotData[[#This Row],[Time]],PeakCalc!$G$10:$G$303,0))</f>
        <v>0</v>
      </c>
    </row>
    <row r="81" spans="1:9" x14ac:dyDescent="0.25">
      <c r="A81" t="s">
        <v>92</v>
      </c>
      <c r="B81" t="s">
        <v>95</v>
      </c>
      <c r="C81" t="s">
        <v>98</v>
      </c>
      <c r="D81" t="s">
        <v>79</v>
      </c>
      <c r="E81" t="s">
        <v>44</v>
      </c>
      <c r="F81" s="6">
        <v>0.73958333333333337</v>
      </c>
      <c r="G81">
        <v>37</v>
      </c>
      <c r="H81" s="6">
        <f>FLOOR(tblPivotData[[#This Row],[Time]],Summary!$B$6/1440)</f>
        <v>0.73958333333333326</v>
      </c>
      <c r="I81">
        <f>INDEX(PeakCalc!$L$10:$L$303,MATCH(tblPivotData[[#This Row],[Time]],PeakCalc!$G$10:$G$303,0))</f>
        <v>0</v>
      </c>
    </row>
    <row r="82" spans="1:9" x14ac:dyDescent="0.25">
      <c r="A82" t="s">
        <v>92</v>
      </c>
      <c r="B82" t="s">
        <v>95</v>
      </c>
      <c r="C82" t="s">
        <v>98</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95</v>
      </c>
      <c r="C83" t="s">
        <v>98</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92</v>
      </c>
      <c r="B84" t="s">
        <v>95</v>
      </c>
      <c r="C84" t="s">
        <v>98</v>
      </c>
      <c r="D84" t="s">
        <v>88</v>
      </c>
      <c r="E84" t="s">
        <v>43</v>
      </c>
      <c r="F84" s="6">
        <v>0.3125</v>
      </c>
      <c r="G84">
        <v>1</v>
      </c>
      <c r="H84" s="6">
        <f>FLOOR(tblPivotData[[#This Row],[Time]],Summary!$B$6/1440)</f>
        <v>0.3125</v>
      </c>
      <c r="I84">
        <f>INDEX(PeakCalc!$L$10:$L$303,MATCH(tblPivotData[[#This Row],[Time]],PeakCalc!$G$10:$G$303,0))</f>
        <v>0</v>
      </c>
    </row>
    <row r="85" spans="1:9" x14ac:dyDescent="0.25">
      <c r="A85" t="s">
        <v>92</v>
      </c>
      <c r="B85" t="s">
        <v>95</v>
      </c>
      <c r="C85" t="s">
        <v>98</v>
      </c>
      <c r="D85" t="s">
        <v>88</v>
      </c>
      <c r="E85" t="s">
        <v>43</v>
      </c>
      <c r="F85" s="6">
        <v>0.32291666666666669</v>
      </c>
      <c r="G85">
        <v>1</v>
      </c>
      <c r="H85" s="6">
        <f>FLOOR(tblPivotData[[#This Row],[Time]],Summary!$B$6/1440)</f>
        <v>0.32291666666666663</v>
      </c>
      <c r="I85">
        <f>INDEX(PeakCalc!$L$10:$L$303,MATCH(tblPivotData[[#This Row],[Time]],PeakCalc!$G$10:$G$303,0))</f>
        <v>1</v>
      </c>
    </row>
    <row r="86" spans="1:9" x14ac:dyDescent="0.25">
      <c r="A86" t="s">
        <v>92</v>
      </c>
      <c r="B86" t="s">
        <v>95</v>
      </c>
      <c r="C86" t="s">
        <v>98</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95</v>
      </c>
      <c r="C87" t="s">
        <v>98</v>
      </c>
      <c r="D87" t="s">
        <v>88</v>
      </c>
      <c r="E87" t="s">
        <v>43</v>
      </c>
      <c r="F87" s="6">
        <v>0.34375</v>
      </c>
      <c r="G87">
        <v>2</v>
      </c>
      <c r="H87" s="6">
        <f>FLOOR(tblPivotData[[#This Row],[Time]],Summary!$B$6/1440)</f>
        <v>0.34375</v>
      </c>
      <c r="I87">
        <f>INDEX(PeakCalc!$L$10:$L$303,MATCH(tblPivotData[[#This Row],[Time]],PeakCalc!$G$10:$G$303,0))</f>
        <v>1</v>
      </c>
    </row>
    <row r="88" spans="1:9" x14ac:dyDescent="0.25">
      <c r="A88" t="s">
        <v>92</v>
      </c>
      <c r="B88" t="s">
        <v>95</v>
      </c>
      <c r="C88" t="s">
        <v>98</v>
      </c>
      <c r="D88" t="s">
        <v>88</v>
      </c>
      <c r="E88" t="s">
        <v>43</v>
      </c>
      <c r="F88" s="6">
        <v>0.35416666666666669</v>
      </c>
      <c r="G88">
        <v>1</v>
      </c>
      <c r="H88" s="6">
        <f>FLOOR(tblPivotData[[#This Row],[Time]],Summary!$B$6/1440)</f>
        <v>0.35416666666666663</v>
      </c>
      <c r="I88">
        <f>INDEX(PeakCalc!$L$10:$L$303,MATCH(tblPivotData[[#This Row],[Time]],PeakCalc!$G$10:$G$303,0))</f>
        <v>1</v>
      </c>
    </row>
    <row r="89" spans="1:9" x14ac:dyDescent="0.25">
      <c r="A89" t="s">
        <v>92</v>
      </c>
      <c r="B89" t="s">
        <v>95</v>
      </c>
      <c r="C89" t="s">
        <v>98</v>
      </c>
      <c r="D89" t="s">
        <v>88</v>
      </c>
      <c r="E89" t="s">
        <v>43</v>
      </c>
      <c r="F89" s="6">
        <v>0.36458333333333331</v>
      </c>
      <c r="G89">
        <v>6</v>
      </c>
      <c r="H89" s="6">
        <f>FLOOR(tblPivotData[[#This Row],[Time]],Summary!$B$6/1440)</f>
        <v>0.36458333333333331</v>
      </c>
      <c r="I89">
        <f>INDEX(PeakCalc!$L$10:$L$303,MATCH(tblPivotData[[#This Row],[Time]],PeakCalc!$G$10:$G$303,0))</f>
        <v>0</v>
      </c>
    </row>
    <row r="90" spans="1:9" x14ac:dyDescent="0.25">
      <c r="A90" t="s">
        <v>92</v>
      </c>
      <c r="B90" t="s">
        <v>95</v>
      </c>
      <c r="C90" t="s">
        <v>98</v>
      </c>
      <c r="D90" t="s">
        <v>88</v>
      </c>
      <c r="E90" t="s">
        <v>90</v>
      </c>
      <c r="F90" s="6">
        <v>0.54166666666666663</v>
      </c>
      <c r="G90">
        <v>5</v>
      </c>
      <c r="H90" s="6">
        <f>FLOOR(tblPivotData[[#This Row],[Time]],Summary!$B$6/1440)</f>
        <v>0.54166666666666663</v>
      </c>
      <c r="I90">
        <f>INDEX(PeakCalc!$L$10:$L$303,MATCH(tblPivotData[[#This Row],[Time]],PeakCalc!$G$10:$G$303,0))</f>
        <v>1</v>
      </c>
    </row>
    <row r="91" spans="1:9" x14ac:dyDescent="0.25">
      <c r="A91" t="s">
        <v>92</v>
      </c>
      <c r="B91" t="s">
        <v>95</v>
      </c>
      <c r="C91" t="s">
        <v>98</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95</v>
      </c>
      <c r="C92" t="s">
        <v>98</v>
      </c>
      <c r="D92" t="s">
        <v>88</v>
      </c>
      <c r="E92" t="s">
        <v>90</v>
      </c>
      <c r="F92" s="6">
        <v>0.5625</v>
      </c>
      <c r="G92">
        <v>5</v>
      </c>
      <c r="H92" s="6">
        <f>FLOOR(tblPivotData[[#This Row],[Time]],Summary!$B$6/1440)</f>
        <v>0.5625</v>
      </c>
      <c r="I92">
        <f>INDEX(PeakCalc!$L$10:$L$303,MATCH(tblPivotData[[#This Row],[Time]],PeakCalc!$G$10:$G$303,0))</f>
        <v>1</v>
      </c>
    </row>
    <row r="93" spans="1:9" x14ac:dyDescent="0.25">
      <c r="A93" t="s">
        <v>92</v>
      </c>
      <c r="B93" t="s">
        <v>95</v>
      </c>
      <c r="C93" t="s">
        <v>98</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95</v>
      </c>
      <c r="C94" t="s">
        <v>98</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92</v>
      </c>
      <c r="B95" t="s">
        <v>95</v>
      </c>
      <c r="C95" t="s">
        <v>98</v>
      </c>
      <c r="D95" t="s">
        <v>88</v>
      </c>
      <c r="E95" t="s">
        <v>44</v>
      </c>
      <c r="F95" s="6">
        <v>0.67708333333333337</v>
      </c>
      <c r="G95">
        <v>1</v>
      </c>
      <c r="H95" s="6">
        <f>FLOOR(tblPivotData[[#This Row],[Time]],Summary!$B$6/1440)</f>
        <v>0.67708333333333326</v>
      </c>
      <c r="I95">
        <f>INDEX(PeakCalc!$L$10:$L$303,MATCH(tblPivotData[[#This Row],[Time]],PeakCalc!$G$10:$G$303,0))</f>
        <v>0</v>
      </c>
    </row>
    <row r="96" spans="1:9" x14ac:dyDescent="0.25">
      <c r="A96" t="s">
        <v>92</v>
      </c>
      <c r="B96" t="s">
        <v>95</v>
      </c>
      <c r="C96" t="s">
        <v>98</v>
      </c>
      <c r="D96" t="s">
        <v>88</v>
      </c>
      <c r="E96" t="s">
        <v>44</v>
      </c>
      <c r="F96" s="6">
        <v>0.6875</v>
      </c>
      <c r="G96">
        <v>2</v>
      </c>
      <c r="H96" s="6">
        <f>FLOOR(tblPivotData[[#This Row],[Time]],Summary!$B$6/1440)</f>
        <v>0.6875</v>
      </c>
      <c r="I96">
        <f>INDEX(PeakCalc!$L$10:$L$303,MATCH(tblPivotData[[#This Row],[Time]],PeakCalc!$G$10:$G$303,0))</f>
        <v>1</v>
      </c>
    </row>
    <row r="97" spans="1:9" x14ac:dyDescent="0.25">
      <c r="A97" t="s">
        <v>92</v>
      </c>
      <c r="B97" t="s">
        <v>95</v>
      </c>
      <c r="C97" t="s">
        <v>98</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95</v>
      </c>
      <c r="C98" t="s">
        <v>98</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95</v>
      </c>
      <c r="C99" t="s">
        <v>98</v>
      </c>
      <c r="D99" t="s">
        <v>88</v>
      </c>
      <c r="E99" t="s">
        <v>44</v>
      </c>
      <c r="F99" s="6">
        <v>0.71875</v>
      </c>
      <c r="G99">
        <v>1</v>
      </c>
      <c r="H99" s="6">
        <f>FLOOR(tblPivotData[[#This Row],[Time]],Summary!$B$6/1440)</f>
        <v>0.71875</v>
      </c>
      <c r="I99">
        <f>INDEX(PeakCalc!$L$10:$L$303,MATCH(tblPivotData[[#This Row],[Time]],PeakCalc!$G$10:$G$303,0))</f>
        <v>1</v>
      </c>
    </row>
    <row r="100" spans="1:9" x14ac:dyDescent="0.25">
      <c r="A100" t="s">
        <v>92</v>
      </c>
      <c r="B100" t="s">
        <v>95</v>
      </c>
      <c r="C100" t="s">
        <v>98</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95</v>
      </c>
      <c r="C101" t="s">
        <v>98</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95</v>
      </c>
      <c r="C102" t="s">
        <v>98</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95</v>
      </c>
      <c r="C103" t="s">
        <v>98</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92</v>
      </c>
      <c r="B104" t="s">
        <v>95</v>
      </c>
      <c r="C104" t="s">
        <v>98</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95</v>
      </c>
      <c r="C105" t="s">
        <v>98</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95</v>
      </c>
      <c r="C106" t="s">
        <v>98</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95</v>
      </c>
      <c r="C107" t="s">
        <v>98</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95</v>
      </c>
      <c r="C108" t="s">
        <v>98</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95</v>
      </c>
      <c r="C109" t="s">
        <v>98</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95</v>
      </c>
      <c r="C110" t="s">
        <v>98</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95</v>
      </c>
      <c r="C111" t="s">
        <v>98</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95</v>
      </c>
      <c r="C112" t="s">
        <v>98</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95</v>
      </c>
      <c r="C113" t="s">
        <v>98</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95</v>
      </c>
      <c r="C114" t="s">
        <v>98</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92</v>
      </c>
      <c r="B115" t="s">
        <v>95</v>
      </c>
      <c r="C115" t="s">
        <v>98</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95</v>
      </c>
      <c r="C116" t="s">
        <v>98</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95</v>
      </c>
      <c r="C117" t="s">
        <v>98</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95</v>
      </c>
      <c r="C118" t="s">
        <v>98</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95</v>
      </c>
      <c r="C119" t="s">
        <v>98</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95</v>
      </c>
      <c r="C120" t="s">
        <v>98</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95</v>
      </c>
      <c r="C121" t="s">
        <v>98</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96</v>
      </c>
      <c r="C122" t="s">
        <v>99</v>
      </c>
      <c r="D122" t="s">
        <v>79</v>
      </c>
      <c r="E122" t="s">
        <v>43</v>
      </c>
      <c r="F122" s="6">
        <v>0.29166666666666669</v>
      </c>
      <c r="G122">
        <v>25</v>
      </c>
      <c r="H122" s="6">
        <f>FLOOR(tblPivotData[[#This Row],[Time]],Summary!$B$6/1440)</f>
        <v>0.29166666666666663</v>
      </c>
      <c r="I122">
        <f>INDEX(PeakCalc!$L$10:$L$303,MATCH(tblPivotData[[#This Row],[Time]],PeakCalc!$G$10:$G$303,0))</f>
        <v>0</v>
      </c>
    </row>
    <row r="123" spans="1:9" x14ac:dyDescent="0.25">
      <c r="A123" t="s">
        <v>93</v>
      </c>
      <c r="B123" t="s">
        <v>96</v>
      </c>
      <c r="C123" t="s">
        <v>99</v>
      </c>
      <c r="D123" t="s">
        <v>79</v>
      </c>
      <c r="E123" t="s">
        <v>43</v>
      </c>
      <c r="F123" s="6">
        <v>0.30208333333333331</v>
      </c>
      <c r="G123">
        <v>11</v>
      </c>
      <c r="H123" s="6">
        <f>FLOOR(tblPivotData[[#This Row],[Time]],Summary!$B$6/1440)</f>
        <v>0.30208333333333331</v>
      </c>
      <c r="I123">
        <f>INDEX(PeakCalc!$L$10:$L$303,MATCH(tblPivotData[[#This Row],[Time]],PeakCalc!$G$10:$G$303,0))</f>
        <v>0</v>
      </c>
    </row>
    <row r="124" spans="1:9" x14ac:dyDescent="0.25">
      <c r="A124" t="s">
        <v>93</v>
      </c>
      <c r="B124" t="s">
        <v>96</v>
      </c>
      <c r="C124" t="s">
        <v>99</v>
      </c>
      <c r="D124" t="s">
        <v>79</v>
      </c>
      <c r="E124" t="s">
        <v>43</v>
      </c>
      <c r="F124" s="6">
        <v>0.3125</v>
      </c>
      <c r="G124">
        <v>24</v>
      </c>
      <c r="H124" s="6">
        <f>FLOOR(tblPivotData[[#This Row],[Time]],Summary!$B$6/1440)</f>
        <v>0.3125</v>
      </c>
      <c r="I124">
        <f>INDEX(PeakCalc!$L$10:$L$303,MATCH(tblPivotData[[#This Row],[Time]],PeakCalc!$G$10:$G$303,0))</f>
        <v>0</v>
      </c>
    </row>
    <row r="125" spans="1:9" x14ac:dyDescent="0.25">
      <c r="A125" t="s">
        <v>93</v>
      </c>
      <c r="B125" t="s">
        <v>96</v>
      </c>
      <c r="C125" t="s">
        <v>99</v>
      </c>
      <c r="D125" t="s">
        <v>79</v>
      </c>
      <c r="E125" t="s">
        <v>43</v>
      </c>
      <c r="F125" s="6">
        <v>0.32291666666666669</v>
      </c>
      <c r="G125">
        <v>24</v>
      </c>
      <c r="H125" s="6">
        <f>FLOOR(tblPivotData[[#This Row],[Time]],Summary!$B$6/1440)</f>
        <v>0.32291666666666663</v>
      </c>
      <c r="I125">
        <f>INDEX(PeakCalc!$L$10:$L$303,MATCH(tblPivotData[[#This Row],[Time]],PeakCalc!$G$10:$G$303,0))</f>
        <v>1</v>
      </c>
    </row>
    <row r="126" spans="1:9" x14ac:dyDescent="0.25">
      <c r="A126" t="s">
        <v>93</v>
      </c>
      <c r="B126" t="s">
        <v>96</v>
      </c>
      <c r="C126" t="s">
        <v>99</v>
      </c>
      <c r="D126" t="s">
        <v>79</v>
      </c>
      <c r="E126" t="s">
        <v>43</v>
      </c>
      <c r="F126" s="6">
        <v>0.33333333333333331</v>
      </c>
      <c r="G126">
        <v>21</v>
      </c>
      <c r="H126" s="6">
        <f>FLOOR(tblPivotData[[#This Row],[Time]],Summary!$B$6/1440)</f>
        <v>0.33333333333333331</v>
      </c>
      <c r="I126">
        <f>INDEX(PeakCalc!$L$10:$L$303,MATCH(tblPivotData[[#This Row],[Time]],PeakCalc!$G$10:$G$303,0))</f>
        <v>1</v>
      </c>
    </row>
    <row r="127" spans="1:9" x14ac:dyDescent="0.25">
      <c r="A127" t="s">
        <v>93</v>
      </c>
      <c r="B127" t="s">
        <v>96</v>
      </c>
      <c r="C127" t="s">
        <v>99</v>
      </c>
      <c r="D127" t="s">
        <v>79</v>
      </c>
      <c r="E127" t="s">
        <v>43</v>
      </c>
      <c r="F127" s="6">
        <v>0.34375</v>
      </c>
      <c r="G127">
        <v>26</v>
      </c>
      <c r="H127" s="6">
        <f>FLOOR(tblPivotData[[#This Row],[Time]],Summary!$B$6/1440)</f>
        <v>0.34375</v>
      </c>
      <c r="I127">
        <f>INDEX(PeakCalc!$L$10:$L$303,MATCH(tblPivotData[[#This Row],[Time]],PeakCalc!$G$10:$G$303,0))</f>
        <v>1</v>
      </c>
    </row>
    <row r="128" spans="1:9" x14ac:dyDescent="0.25">
      <c r="A128" t="s">
        <v>93</v>
      </c>
      <c r="B128" t="s">
        <v>96</v>
      </c>
      <c r="C128" t="s">
        <v>99</v>
      </c>
      <c r="D128" t="s">
        <v>79</v>
      </c>
      <c r="E128" t="s">
        <v>43</v>
      </c>
      <c r="F128" s="6">
        <v>0.35416666666666669</v>
      </c>
      <c r="G128">
        <v>38</v>
      </c>
      <c r="H128" s="6">
        <f>FLOOR(tblPivotData[[#This Row],[Time]],Summary!$B$6/1440)</f>
        <v>0.35416666666666663</v>
      </c>
      <c r="I128">
        <f>INDEX(PeakCalc!$L$10:$L$303,MATCH(tblPivotData[[#This Row],[Time]],PeakCalc!$G$10:$G$303,0))</f>
        <v>1</v>
      </c>
    </row>
    <row r="129" spans="1:9" x14ac:dyDescent="0.25">
      <c r="A129" t="s">
        <v>93</v>
      </c>
      <c r="B129" t="s">
        <v>96</v>
      </c>
      <c r="C129" t="s">
        <v>99</v>
      </c>
      <c r="D129" t="s">
        <v>79</v>
      </c>
      <c r="E129" t="s">
        <v>43</v>
      </c>
      <c r="F129" s="6">
        <v>0.36458333333333331</v>
      </c>
      <c r="G129">
        <v>25</v>
      </c>
      <c r="H129" s="6">
        <f>FLOOR(tblPivotData[[#This Row],[Time]],Summary!$B$6/1440)</f>
        <v>0.36458333333333331</v>
      </c>
      <c r="I129">
        <f>INDEX(PeakCalc!$L$10:$L$303,MATCH(tblPivotData[[#This Row],[Time]],PeakCalc!$G$10:$G$303,0))</f>
        <v>0</v>
      </c>
    </row>
    <row r="130" spans="1:9" x14ac:dyDescent="0.25">
      <c r="A130" t="s">
        <v>93</v>
      </c>
      <c r="B130" t="s">
        <v>96</v>
      </c>
      <c r="C130" t="s">
        <v>99</v>
      </c>
      <c r="D130" t="s">
        <v>79</v>
      </c>
      <c r="E130" t="s">
        <v>90</v>
      </c>
      <c r="F130" s="6">
        <v>0.54166666666666663</v>
      </c>
      <c r="G130">
        <v>33</v>
      </c>
      <c r="H130" s="6">
        <f>FLOOR(tblPivotData[[#This Row],[Time]],Summary!$B$6/1440)</f>
        <v>0.54166666666666663</v>
      </c>
      <c r="I130">
        <f>INDEX(PeakCalc!$L$10:$L$303,MATCH(tblPivotData[[#This Row],[Time]],PeakCalc!$G$10:$G$303,0))</f>
        <v>1</v>
      </c>
    </row>
    <row r="131" spans="1:9" x14ac:dyDescent="0.25">
      <c r="A131" t="s">
        <v>93</v>
      </c>
      <c r="B131" t="s">
        <v>96</v>
      </c>
      <c r="C131" t="s">
        <v>99</v>
      </c>
      <c r="D131" t="s">
        <v>79</v>
      </c>
      <c r="E131" t="s">
        <v>90</v>
      </c>
      <c r="F131" s="6">
        <v>0.55208333333333337</v>
      </c>
      <c r="G131">
        <v>35</v>
      </c>
      <c r="H131" s="6">
        <f>FLOOR(tblPivotData[[#This Row],[Time]],Summary!$B$6/1440)</f>
        <v>0.55208333333333326</v>
      </c>
      <c r="I131">
        <f>INDEX(PeakCalc!$L$10:$L$303,MATCH(tblPivotData[[#This Row],[Time]],PeakCalc!$G$10:$G$303,0))</f>
        <v>1</v>
      </c>
    </row>
    <row r="132" spans="1:9" x14ac:dyDescent="0.25">
      <c r="A132" t="s">
        <v>93</v>
      </c>
      <c r="B132" t="s">
        <v>96</v>
      </c>
      <c r="C132" t="s">
        <v>99</v>
      </c>
      <c r="D132" t="s">
        <v>79</v>
      </c>
      <c r="E132" t="s">
        <v>90</v>
      </c>
      <c r="F132" s="6">
        <v>0.5625</v>
      </c>
      <c r="G132">
        <v>24</v>
      </c>
      <c r="H132" s="6">
        <f>FLOOR(tblPivotData[[#This Row],[Time]],Summary!$B$6/1440)</f>
        <v>0.5625</v>
      </c>
      <c r="I132">
        <f>INDEX(PeakCalc!$L$10:$L$303,MATCH(tblPivotData[[#This Row],[Time]],PeakCalc!$G$10:$G$303,0))</f>
        <v>1</v>
      </c>
    </row>
    <row r="133" spans="1:9" x14ac:dyDescent="0.25">
      <c r="A133" t="s">
        <v>93</v>
      </c>
      <c r="B133" t="s">
        <v>96</v>
      </c>
      <c r="C133" t="s">
        <v>99</v>
      </c>
      <c r="D133" t="s">
        <v>79</v>
      </c>
      <c r="E133" t="s">
        <v>90</v>
      </c>
      <c r="F133" s="6">
        <v>0.57291666666666663</v>
      </c>
      <c r="G133">
        <v>40</v>
      </c>
      <c r="H133" s="6">
        <f>FLOOR(tblPivotData[[#This Row],[Time]],Summary!$B$6/1440)</f>
        <v>0.57291666666666663</v>
      </c>
      <c r="I133">
        <f>INDEX(PeakCalc!$L$10:$L$303,MATCH(tblPivotData[[#This Row],[Time]],PeakCalc!$G$10:$G$303,0))</f>
        <v>1</v>
      </c>
    </row>
    <row r="134" spans="1:9" x14ac:dyDescent="0.25">
      <c r="A134" t="s">
        <v>93</v>
      </c>
      <c r="B134" t="s">
        <v>96</v>
      </c>
      <c r="C134" t="s">
        <v>99</v>
      </c>
      <c r="D134" t="s">
        <v>79</v>
      </c>
      <c r="E134" t="s">
        <v>44</v>
      </c>
      <c r="F134" s="6">
        <v>0.66666666666666663</v>
      </c>
      <c r="G134">
        <v>43</v>
      </c>
      <c r="H134" s="6">
        <f>FLOOR(tblPivotData[[#This Row],[Time]],Summary!$B$6/1440)</f>
        <v>0.66666666666666663</v>
      </c>
      <c r="I134">
        <f>INDEX(PeakCalc!$L$10:$L$303,MATCH(tblPivotData[[#This Row],[Time]],PeakCalc!$G$10:$G$303,0))</f>
        <v>0</v>
      </c>
    </row>
    <row r="135" spans="1:9" x14ac:dyDescent="0.25">
      <c r="A135" t="s">
        <v>93</v>
      </c>
      <c r="B135" t="s">
        <v>96</v>
      </c>
      <c r="C135" t="s">
        <v>99</v>
      </c>
      <c r="D135" t="s">
        <v>79</v>
      </c>
      <c r="E135" t="s">
        <v>44</v>
      </c>
      <c r="F135" s="6">
        <v>0.67708333333333337</v>
      </c>
      <c r="G135">
        <v>60</v>
      </c>
      <c r="H135" s="6">
        <f>FLOOR(tblPivotData[[#This Row],[Time]],Summary!$B$6/1440)</f>
        <v>0.67708333333333326</v>
      </c>
      <c r="I135">
        <f>INDEX(PeakCalc!$L$10:$L$303,MATCH(tblPivotData[[#This Row],[Time]],PeakCalc!$G$10:$G$303,0))</f>
        <v>0</v>
      </c>
    </row>
    <row r="136" spans="1:9" x14ac:dyDescent="0.25">
      <c r="A136" t="s">
        <v>93</v>
      </c>
      <c r="B136" t="s">
        <v>96</v>
      </c>
      <c r="C136" t="s">
        <v>99</v>
      </c>
      <c r="D136" t="s">
        <v>79</v>
      </c>
      <c r="E136" t="s">
        <v>44</v>
      </c>
      <c r="F136" s="6">
        <v>0.6875</v>
      </c>
      <c r="G136">
        <v>64</v>
      </c>
      <c r="H136" s="6">
        <f>FLOOR(tblPivotData[[#This Row],[Time]],Summary!$B$6/1440)</f>
        <v>0.6875</v>
      </c>
      <c r="I136">
        <f>INDEX(PeakCalc!$L$10:$L$303,MATCH(tblPivotData[[#This Row],[Time]],PeakCalc!$G$10:$G$303,0))</f>
        <v>1</v>
      </c>
    </row>
    <row r="137" spans="1:9" x14ac:dyDescent="0.25">
      <c r="A137" t="s">
        <v>93</v>
      </c>
      <c r="B137" t="s">
        <v>96</v>
      </c>
      <c r="C137" t="s">
        <v>99</v>
      </c>
      <c r="D137" t="s">
        <v>79</v>
      </c>
      <c r="E137" t="s">
        <v>44</v>
      </c>
      <c r="F137" s="6">
        <v>0.69791666666666663</v>
      </c>
      <c r="G137">
        <v>73</v>
      </c>
      <c r="H137" s="6">
        <f>FLOOR(tblPivotData[[#This Row],[Time]],Summary!$B$6/1440)</f>
        <v>0.69791666666666663</v>
      </c>
      <c r="I137">
        <f>INDEX(PeakCalc!$L$10:$L$303,MATCH(tblPivotData[[#This Row],[Time]],PeakCalc!$G$10:$G$303,0))</f>
        <v>1</v>
      </c>
    </row>
    <row r="138" spans="1:9" x14ac:dyDescent="0.25">
      <c r="A138" t="s">
        <v>93</v>
      </c>
      <c r="B138" t="s">
        <v>96</v>
      </c>
      <c r="C138" t="s">
        <v>99</v>
      </c>
      <c r="D138" t="s">
        <v>79</v>
      </c>
      <c r="E138" t="s">
        <v>44</v>
      </c>
      <c r="F138" s="6">
        <v>0.70833333333333337</v>
      </c>
      <c r="G138">
        <v>68</v>
      </c>
      <c r="H138" s="6">
        <f>FLOOR(tblPivotData[[#This Row],[Time]],Summary!$B$6/1440)</f>
        <v>0.70833333333333326</v>
      </c>
      <c r="I138">
        <f>INDEX(PeakCalc!$L$10:$L$303,MATCH(tblPivotData[[#This Row],[Time]],PeakCalc!$G$10:$G$303,0))</f>
        <v>1</v>
      </c>
    </row>
    <row r="139" spans="1:9" x14ac:dyDescent="0.25">
      <c r="A139" t="s">
        <v>93</v>
      </c>
      <c r="B139" t="s">
        <v>96</v>
      </c>
      <c r="C139" t="s">
        <v>99</v>
      </c>
      <c r="D139" t="s">
        <v>79</v>
      </c>
      <c r="E139" t="s">
        <v>44</v>
      </c>
      <c r="F139" s="6">
        <v>0.71875</v>
      </c>
      <c r="G139">
        <v>76</v>
      </c>
      <c r="H139" s="6">
        <f>FLOOR(tblPivotData[[#This Row],[Time]],Summary!$B$6/1440)</f>
        <v>0.71875</v>
      </c>
      <c r="I139">
        <f>INDEX(PeakCalc!$L$10:$L$303,MATCH(tblPivotData[[#This Row],[Time]],PeakCalc!$G$10:$G$303,0))</f>
        <v>1</v>
      </c>
    </row>
    <row r="140" spans="1:9" x14ac:dyDescent="0.25">
      <c r="A140" t="s">
        <v>93</v>
      </c>
      <c r="B140" t="s">
        <v>96</v>
      </c>
      <c r="C140" t="s">
        <v>99</v>
      </c>
      <c r="D140" t="s">
        <v>79</v>
      </c>
      <c r="E140" t="s">
        <v>44</v>
      </c>
      <c r="F140" s="6">
        <v>0.72916666666666663</v>
      </c>
      <c r="G140">
        <v>49</v>
      </c>
      <c r="H140" s="6">
        <f>FLOOR(tblPivotData[[#This Row],[Time]],Summary!$B$6/1440)</f>
        <v>0.72916666666666663</v>
      </c>
      <c r="I140">
        <f>INDEX(PeakCalc!$L$10:$L$303,MATCH(tblPivotData[[#This Row],[Time]],PeakCalc!$G$10:$G$303,0))</f>
        <v>0</v>
      </c>
    </row>
    <row r="141" spans="1:9" x14ac:dyDescent="0.25">
      <c r="A141" t="s">
        <v>93</v>
      </c>
      <c r="B141" t="s">
        <v>96</v>
      </c>
      <c r="C141" t="s">
        <v>99</v>
      </c>
      <c r="D141" t="s">
        <v>79</v>
      </c>
      <c r="E141" t="s">
        <v>44</v>
      </c>
      <c r="F141" s="6">
        <v>0.73958333333333337</v>
      </c>
      <c r="G141">
        <v>73</v>
      </c>
      <c r="H141" s="6">
        <f>FLOOR(tblPivotData[[#This Row],[Time]],Summary!$B$6/1440)</f>
        <v>0.73958333333333326</v>
      </c>
      <c r="I141">
        <f>INDEX(PeakCalc!$L$10:$L$303,MATCH(tblPivotData[[#This Row],[Time]],PeakCalc!$G$10:$G$303,0))</f>
        <v>0</v>
      </c>
    </row>
    <row r="142" spans="1:9" x14ac:dyDescent="0.25">
      <c r="A142" t="s">
        <v>93</v>
      </c>
      <c r="B142" t="s">
        <v>96</v>
      </c>
      <c r="C142" t="s">
        <v>99</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96</v>
      </c>
      <c r="C143" t="s">
        <v>99</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96</v>
      </c>
      <c r="C144" t="s">
        <v>99</v>
      </c>
      <c r="D144" t="s">
        <v>88</v>
      </c>
      <c r="E144" t="s">
        <v>43</v>
      </c>
      <c r="F144" s="6">
        <v>0.3125</v>
      </c>
      <c r="G144">
        <v>2</v>
      </c>
      <c r="H144" s="6">
        <f>FLOOR(tblPivotData[[#This Row],[Time]],Summary!$B$6/1440)</f>
        <v>0.3125</v>
      </c>
      <c r="I144">
        <f>INDEX(PeakCalc!$L$10:$L$303,MATCH(tblPivotData[[#This Row],[Time]],PeakCalc!$G$10:$G$303,0))</f>
        <v>0</v>
      </c>
    </row>
    <row r="145" spans="1:9" x14ac:dyDescent="0.25">
      <c r="A145" t="s">
        <v>93</v>
      </c>
      <c r="B145" t="s">
        <v>96</v>
      </c>
      <c r="C145" t="s">
        <v>99</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93</v>
      </c>
      <c r="B146" t="s">
        <v>96</v>
      </c>
      <c r="C146" t="s">
        <v>99</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96</v>
      </c>
      <c r="C147" t="s">
        <v>99</v>
      </c>
      <c r="D147" t="s">
        <v>88</v>
      </c>
      <c r="E147" t="s">
        <v>43</v>
      </c>
      <c r="F147" s="6">
        <v>0.34375</v>
      </c>
      <c r="G147">
        <v>1</v>
      </c>
      <c r="H147" s="6">
        <f>FLOOR(tblPivotData[[#This Row],[Time]],Summary!$B$6/1440)</f>
        <v>0.34375</v>
      </c>
      <c r="I147">
        <f>INDEX(PeakCalc!$L$10:$L$303,MATCH(tblPivotData[[#This Row],[Time]],PeakCalc!$G$10:$G$303,0))</f>
        <v>1</v>
      </c>
    </row>
    <row r="148" spans="1:9" x14ac:dyDescent="0.25">
      <c r="A148" t="s">
        <v>93</v>
      </c>
      <c r="B148" t="s">
        <v>96</v>
      </c>
      <c r="C148" t="s">
        <v>99</v>
      </c>
      <c r="D148" t="s">
        <v>88</v>
      </c>
      <c r="E148" t="s">
        <v>43</v>
      </c>
      <c r="F148" s="6">
        <v>0.35416666666666669</v>
      </c>
      <c r="G148">
        <v>3</v>
      </c>
      <c r="H148" s="6">
        <f>FLOOR(tblPivotData[[#This Row],[Time]],Summary!$B$6/1440)</f>
        <v>0.35416666666666663</v>
      </c>
      <c r="I148">
        <f>INDEX(PeakCalc!$L$10:$L$303,MATCH(tblPivotData[[#This Row],[Time]],PeakCalc!$G$10:$G$303,0))</f>
        <v>1</v>
      </c>
    </row>
    <row r="149" spans="1:9" x14ac:dyDescent="0.25">
      <c r="A149" t="s">
        <v>93</v>
      </c>
      <c r="B149" t="s">
        <v>96</v>
      </c>
      <c r="C149" t="s">
        <v>99</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96</v>
      </c>
      <c r="C150" t="s">
        <v>99</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96</v>
      </c>
      <c r="C151" t="s">
        <v>99</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96</v>
      </c>
      <c r="C152" t="s">
        <v>99</v>
      </c>
      <c r="D152" t="s">
        <v>88</v>
      </c>
      <c r="E152" t="s">
        <v>90</v>
      </c>
      <c r="F152" s="6">
        <v>0.5625</v>
      </c>
      <c r="G152">
        <v>1</v>
      </c>
      <c r="H152" s="6">
        <f>FLOOR(tblPivotData[[#This Row],[Time]],Summary!$B$6/1440)</f>
        <v>0.5625</v>
      </c>
      <c r="I152">
        <f>INDEX(PeakCalc!$L$10:$L$303,MATCH(tblPivotData[[#This Row],[Time]],PeakCalc!$G$10:$G$303,0))</f>
        <v>1</v>
      </c>
    </row>
    <row r="153" spans="1:9" x14ac:dyDescent="0.25">
      <c r="A153" t="s">
        <v>93</v>
      </c>
      <c r="B153" t="s">
        <v>96</v>
      </c>
      <c r="C153" t="s">
        <v>99</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96</v>
      </c>
      <c r="C154" t="s">
        <v>99</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96</v>
      </c>
      <c r="C155" t="s">
        <v>99</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96</v>
      </c>
      <c r="C156" t="s">
        <v>99</v>
      </c>
      <c r="D156" t="s">
        <v>88</v>
      </c>
      <c r="E156" t="s">
        <v>44</v>
      </c>
      <c r="F156" s="6">
        <v>0.6875</v>
      </c>
      <c r="G156">
        <v>1</v>
      </c>
      <c r="H156" s="6">
        <f>FLOOR(tblPivotData[[#This Row],[Time]],Summary!$B$6/1440)</f>
        <v>0.6875</v>
      </c>
      <c r="I156">
        <f>INDEX(PeakCalc!$L$10:$L$303,MATCH(tblPivotData[[#This Row],[Time]],PeakCalc!$G$10:$G$303,0))</f>
        <v>1</v>
      </c>
    </row>
    <row r="157" spans="1:9" x14ac:dyDescent="0.25">
      <c r="A157" t="s">
        <v>93</v>
      </c>
      <c r="B157" t="s">
        <v>96</v>
      </c>
      <c r="C157" t="s">
        <v>99</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96</v>
      </c>
      <c r="C158" t="s">
        <v>99</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96</v>
      </c>
      <c r="C159" t="s">
        <v>99</v>
      </c>
      <c r="D159" t="s">
        <v>88</v>
      </c>
      <c r="E159" t="s">
        <v>44</v>
      </c>
      <c r="F159" s="6">
        <v>0.71875</v>
      </c>
      <c r="G159">
        <v>0</v>
      </c>
      <c r="H159" s="6">
        <f>FLOOR(tblPivotData[[#This Row],[Time]],Summary!$B$6/1440)</f>
        <v>0.71875</v>
      </c>
      <c r="I159">
        <f>INDEX(PeakCalc!$L$10:$L$303,MATCH(tblPivotData[[#This Row],[Time]],PeakCalc!$G$10:$G$303,0))</f>
        <v>1</v>
      </c>
    </row>
    <row r="160" spans="1:9" x14ac:dyDescent="0.25">
      <c r="A160" t="s">
        <v>93</v>
      </c>
      <c r="B160" t="s">
        <v>96</v>
      </c>
      <c r="C160" t="s">
        <v>99</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96</v>
      </c>
      <c r="C161" t="s">
        <v>99</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96</v>
      </c>
      <c r="C162" t="s">
        <v>99</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96</v>
      </c>
      <c r="C163" t="s">
        <v>99</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96</v>
      </c>
      <c r="C164" t="s">
        <v>99</v>
      </c>
      <c r="D164" t="s">
        <v>89</v>
      </c>
      <c r="E164" t="s">
        <v>43</v>
      </c>
      <c r="F164" s="6">
        <v>0.3125</v>
      </c>
      <c r="G164">
        <v>0</v>
      </c>
      <c r="H164" s="6">
        <f>FLOOR(tblPivotData[[#This Row],[Time]],Summary!$B$6/1440)</f>
        <v>0.3125</v>
      </c>
      <c r="I164">
        <f>INDEX(PeakCalc!$L$10:$L$303,MATCH(tblPivotData[[#This Row],[Time]],PeakCalc!$G$10:$G$303,0))</f>
        <v>0</v>
      </c>
    </row>
    <row r="165" spans="1:9" x14ac:dyDescent="0.25">
      <c r="A165" t="s">
        <v>93</v>
      </c>
      <c r="B165" t="s">
        <v>96</v>
      </c>
      <c r="C165" t="s">
        <v>99</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96</v>
      </c>
      <c r="C166" t="s">
        <v>99</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93</v>
      </c>
      <c r="B167" t="s">
        <v>96</v>
      </c>
      <c r="C167" t="s">
        <v>99</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96</v>
      </c>
      <c r="C168" t="s">
        <v>99</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96</v>
      </c>
      <c r="C169" t="s">
        <v>99</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96</v>
      </c>
      <c r="C170" t="s">
        <v>99</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96</v>
      </c>
      <c r="C171" t="s">
        <v>99</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96</v>
      </c>
      <c r="C172" t="s">
        <v>99</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96</v>
      </c>
      <c r="C173" t="s">
        <v>99</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96</v>
      </c>
      <c r="C174" t="s">
        <v>99</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96</v>
      </c>
      <c r="C175" t="s">
        <v>99</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96</v>
      </c>
      <c r="C176" t="s">
        <v>99</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96</v>
      </c>
      <c r="C177" t="s">
        <v>99</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96</v>
      </c>
      <c r="C178" t="s">
        <v>99</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93</v>
      </c>
      <c r="B179" t="s">
        <v>96</v>
      </c>
      <c r="C179" t="s">
        <v>99</v>
      </c>
      <c r="D179" t="s">
        <v>89</v>
      </c>
      <c r="E179" t="s">
        <v>44</v>
      </c>
      <c r="F179" s="6">
        <v>0.71875</v>
      </c>
      <c r="G179">
        <v>0</v>
      </c>
      <c r="H179" s="6">
        <f>FLOOR(tblPivotData[[#This Row],[Time]],Summary!$B$6/1440)</f>
        <v>0.71875</v>
      </c>
      <c r="I179">
        <f>INDEX(PeakCalc!$L$10:$L$303,MATCH(tblPivotData[[#This Row],[Time]],PeakCalc!$G$10:$G$303,0))</f>
        <v>1</v>
      </c>
    </row>
    <row r="180" spans="1:9" x14ac:dyDescent="0.25">
      <c r="A180" t="s">
        <v>93</v>
      </c>
      <c r="B180" t="s">
        <v>96</v>
      </c>
      <c r="C180" t="s">
        <v>99</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25">
      <c r="A181" t="s">
        <v>93</v>
      </c>
      <c r="B181" t="s">
        <v>96</v>
      </c>
      <c r="C181" t="s">
        <v>99</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97</v>
      </c>
      <c r="C182" t="s">
        <v>98</v>
      </c>
      <c r="D182" t="s">
        <v>79</v>
      </c>
      <c r="E182" t="s">
        <v>43</v>
      </c>
      <c r="F182" s="6">
        <v>0.29166666666666669</v>
      </c>
      <c r="G182">
        <v>44</v>
      </c>
      <c r="H182" s="6">
        <f>FLOOR(tblPivotData[[#This Row],[Time]],Summary!$B$6/1440)</f>
        <v>0.29166666666666663</v>
      </c>
      <c r="I182">
        <f>INDEX(PeakCalc!$L$10:$L$303,MATCH(tblPivotData[[#This Row],[Time]],PeakCalc!$G$10:$G$303,0))</f>
        <v>0</v>
      </c>
    </row>
    <row r="183" spans="1:9" x14ac:dyDescent="0.25">
      <c r="A183" t="s">
        <v>93</v>
      </c>
      <c r="B183" t="s">
        <v>97</v>
      </c>
      <c r="C183" t="s">
        <v>98</v>
      </c>
      <c r="D183" t="s">
        <v>79</v>
      </c>
      <c r="E183" t="s">
        <v>43</v>
      </c>
      <c r="F183" s="6">
        <v>0.30208333333333331</v>
      </c>
      <c r="G183">
        <v>49</v>
      </c>
      <c r="H183" s="6">
        <f>FLOOR(tblPivotData[[#This Row],[Time]],Summary!$B$6/1440)</f>
        <v>0.30208333333333331</v>
      </c>
      <c r="I183">
        <f>INDEX(PeakCalc!$L$10:$L$303,MATCH(tblPivotData[[#This Row],[Time]],PeakCalc!$G$10:$G$303,0))</f>
        <v>0</v>
      </c>
    </row>
    <row r="184" spans="1:9" x14ac:dyDescent="0.25">
      <c r="A184" t="s">
        <v>93</v>
      </c>
      <c r="B184" t="s">
        <v>97</v>
      </c>
      <c r="C184" t="s">
        <v>98</v>
      </c>
      <c r="D184" t="s">
        <v>79</v>
      </c>
      <c r="E184" t="s">
        <v>43</v>
      </c>
      <c r="F184" s="6">
        <v>0.3125</v>
      </c>
      <c r="G184">
        <v>76</v>
      </c>
      <c r="H184" s="6">
        <f>FLOOR(tblPivotData[[#This Row],[Time]],Summary!$B$6/1440)</f>
        <v>0.3125</v>
      </c>
      <c r="I184">
        <f>INDEX(PeakCalc!$L$10:$L$303,MATCH(tblPivotData[[#This Row],[Time]],PeakCalc!$G$10:$G$303,0))</f>
        <v>0</v>
      </c>
    </row>
    <row r="185" spans="1:9" x14ac:dyDescent="0.25">
      <c r="A185" t="s">
        <v>93</v>
      </c>
      <c r="B185" t="s">
        <v>97</v>
      </c>
      <c r="C185" t="s">
        <v>98</v>
      </c>
      <c r="D185" t="s">
        <v>79</v>
      </c>
      <c r="E185" t="s">
        <v>43</v>
      </c>
      <c r="F185" s="6">
        <v>0.32291666666666669</v>
      </c>
      <c r="G185">
        <v>64</v>
      </c>
      <c r="H185" s="6">
        <f>FLOOR(tblPivotData[[#This Row],[Time]],Summary!$B$6/1440)</f>
        <v>0.32291666666666663</v>
      </c>
      <c r="I185">
        <f>INDEX(PeakCalc!$L$10:$L$303,MATCH(tblPivotData[[#This Row],[Time]],PeakCalc!$G$10:$G$303,0))</f>
        <v>1</v>
      </c>
    </row>
    <row r="186" spans="1:9" x14ac:dyDescent="0.25">
      <c r="A186" t="s">
        <v>93</v>
      </c>
      <c r="B186" t="s">
        <v>97</v>
      </c>
      <c r="C186" t="s">
        <v>98</v>
      </c>
      <c r="D186" t="s">
        <v>79</v>
      </c>
      <c r="E186" t="s">
        <v>43</v>
      </c>
      <c r="F186" s="6">
        <v>0.33333333333333331</v>
      </c>
      <c r="G186">
        <v>82</v>
      </c>
      <c r="H186" s="6">
        <f>FLOOR(tblPivotData[[#This Row],[Time]],Summary!$B$6/1440)</f>
        <v>0.33333333333333331</v>
      </c>
      <c r="I186">
        <f>INDEX(PeakCalc!$L$10:$L$303,MATCH(tblPivotData[[#This Row],[Time]],PeakCalc!$G$10:$G$303,0))</f>
        <v>1</v>
      </c>
    </row>
    <row r="187" spans="1:9" x14ac:dyDescent="0.25">
      <c r="A187" t="s">
        <v>93</v>
      </c>
      <c r="B187" t="s">
        <v>97</v>
      </c>
      <c r="C187" t="s">
        <v>98</v>
      </c>
      <c r="D187" t="s">
        <v>79</v>
      </c>
      <c r="E187" t="s">
        <v>43</v>
      </c>
      <c r="F187" s="6">
        <v>0.34375</v>
      </c>
      <c r="G187">
        <v>79</v>
      </c>
      <c r="H187" s="6">
        <f>FLOOR(tblPivotData[[#This Row],[Time]],Summary!$B$6/1440)</f>
        <v>0.34375</v>
      </c>
      <c r="I187">
        <f>INDEX(PeakCalc!$L$10:$L$303,MATCH(tblPivotData[[#This Row],[Time]],PeakCalc!$G$10:$G$303,0))</f>
        <v>1</v>
      </c>
    </row>
    <row r="188" spans="1:9" x14ac:dyDescent="0.25">
      <c r="A188" t="s">
        <v>93</v>
      </c>
      <c r="B188" t="s">
        <v>97</v>
      </c>
      <c r="C188" t="s">
        <v>98</v>
      </c>
      <c r="D188" t="s">
        <v>79</v>
      </c>
      <c r="E188" t="s">
        <v>43</v>
      </c>
      <c r="F188" s="6">
        <v>0.35416666666666669</v>
      </c>
      <c r="G188">
        <v>89</v>
      </c>
      <c r="H188" s="6">
        <f>FLOOR(tblPivotData[[#This Row],[Time]],Summary!$B$6/1440)</f>
        <v>0.35416666666666663</v>
      </c>
      <c r="I188">
        <f>INDEX(PeakCalc!$L$10:$L$303,MATCH(tblPivotData[[#This Row],[Time]],PeakCalc!$G$10:$G$303,0))</f>
        <v>1</v>
      </c>
    </row>
    <row r="189" spans="1:9" x14ac:dyDescent="0.25">
      <c r="A189" t="s">
        <v>93</v>
      </c>
      <c r="B189" t="s">
        <v>97</v>
      </c>
      <c r="C189" t="s">
        <v>98</v>
      </c>
      <c r="D189" t="s">
        <v>79</v>
      </c>
      <c r="E189" t="s">
        <v>43</v>
      </c>
      <c r="F189" s="6">
        <v>0.36458333333333331</v>
      </c>
      <c r="G189">
        <v>66</v>
      </c>
      <c r="H189" s="6">
        <f>FLOOR(tblPivotData[[#This Row],[Time]],Summary!$B$6/1440)</f>
        <v>0.36458333333333331</v>
      </c>
      <c r="I189">
        <f>INDEX(PeakCalc!$L$10:$L$303,MATCH(tblPivotData[[#This Row],[Time]],PeakCalc!$G$10:$G$303,0))</f>
        <v>0</v>
      </c>
    </row>
    <row r="190" spans="1:9" x14ac:dyDescent="0.25">
      <c r="A190" t="s">
        <v>93</v>
      </c>
      <c r="B190" t="s">
        <v>97</v>
      </c>
      <c r="C190" t="s">
        <v>98</v>
      </c>
      <c r="D190" t="s">
        <v>79</v>
      </c>
      <c r="E190" t="s">
        <v>90</v>
      </c>
      <c r="F190" s="6">
        <v>0.54166666666666663</v>
      </c>
      <c r="G190">
        <v>100</v>
      </c>
      <c r="H190" s="6">
        <f>FLOOR(tblPivotData[[#This Row],[Time]],Summary!$B$6/1440)</f>
        <v>0.54166666666666663</v>
      </c>
      <c r="I190">
        <f>INDEX(PeakCalc!$L$10:$L$303,MATCH(tblPivotData[[#This Row],[Time]],PeakCalc!$G$10:$G$303,0))</f>
        <v>1</v>
      </c>
    </row>
    <row r="191" spans="1:9" x14ac:dyDescent="0.25">
      <c r="A191" t="s">
        <v>93</v>
      </c>
      <c r="B191" t="s">
        <v>97</v>
      </c>
      <c r="C191" t="s">
        <v>98</v>
      </c>
      <c r="D191" t="s">
        <v>79</v>
      </c>
      <c r="E191" t="s">
        <v>90</v>
      </c>
      <c r="F191" s="6">
        <v>0.55208333333333337</v>
      </c>
      <c r="G191">
        <v>108</v>
      </c>
      <c r="H191" s="6">
        <f>FLOOR(tblPivotData[[#This Row],[Time]],Summary!$B$6/1440)</f>
        <v>0.55208333333333326</v>
      </c>
      <c r="I191">
        <f>INDEX(PeakCalc!$L$10:$L$303,MATCH(tblPivotData[[#This Row],[Time]],PeakCalc!$G$10:$G$303,0))</f>
        <v>1</v>
      </c>
    </row>
    <row r="192" spans="1:9" x14ac:dyDescent="0.25">
      <c r="A192" t="s">
        <v>93</v>
      </c>
      <c r="B192" t="s">
        <v>97</v>
      </c>
      <c r="C192" t="s">
        <v>98</v>
      </c>
      <c r="D192" t="s">
        <v>79</v>
      </c>
      <c r="E192" t="s">
        <v>90</v>
      </c>
      <c r="F192" s="6">
        <v>0.5625</v>
      </c>
      <c r="G192">
        <v>104</v>
      </c>
      <c r="H192" s="6">
        <f>FLOOR(tblPivotData[[#This Row],[Time]],Summary!$B$6/1440)</f>
        <v>0.5625</v>
      </c>
      <c r="I192">
        <f>INDEX(PeakCalc!$L$10:$L$303,MATCH(tblPivotData[[#This Row],[Time]],PeakCalc!$G$10:$G$303,0))</f>
        <v>1</v>
      </c>
    </row>
    <row r="193" spans="1:9" x14ac:dyDescent="0.25">
      <c r="A193" t="s">
        <v>93</v>
      </c>
      <c r="B193" t="s">
        <v>97</v>
      </c>
      <c r="C193" t="s">
        <v>98</v>
      </c>
      <c r="D193" t="s">
        <v>79</v>
      </c>
      <c r="E193" t="s">
        <v>90</v>
      </c>
      <c r="F193" s="6">
        <v>0.57291666666666663</v>
      </c>
      <c r="G193">
        <v>103</v>
      </c>
      <c r="H193" s="6">
        <f>FLOOR(tblPivotData[[#This Row],[Time]],Summary!$B$6/1440)</f>
        <v>0.57291666666666663</v>
      </c>
      <c r="I193">
        <f>INDEX(PeakCalc!$L$10:$L$303,MATCH(tblPivotData[[#This Row],[Time]],PeakCalc!$G$10:$G$303,0))</f>
        <v>1</v>
      </c>
    </row>
    <row r="194" spans="1:9" x14ac:dyDescent="0.25">
      <c r="A194" t="s">
        <v>93</v>
      </c>
      <c r="B194" t="s">
        <v>97</v>
      </c>
      <c r="C194" t="s">
        <v>98</v>
      </c>
      <c r="D194" t="s">
        <v>79</v>
      </c>
      <c r="E194" t="s">
        <v>44</v>
      </c>
      <c r="F194" s="6">
        <v>0.66666666666666663</v>
      </c>
      <c r="G194">
        <v>135</v>
      </c>
      <c r="H194" s="6">
        <f>FLOOR(tblPivotData[[#This Row],[Time]],Summary!$B$6/1440)</f>
        <v>0.66666666666666663</v>
      </c>
      <c r="I194">
        <f>INDEX(PeakCalc!$L$10:$L$303,MATCH(tblPivotData[[#This Row],[Time]],PeakCalc!$G$10:$G$303,0))</f>
        <v>0</v>
      </c>
    </row>
    <row r="195" spans="1:9" x14ac:dyDescent="0.25">
      <c r="A195" t="s">
        <v>93</v>
      </c>
      <c r="B195" t="s">
        <v>97</v>
      </c>
      <c r="C195" t="s">
        <v>98</v>
      </c>
      <c r="D195" t="s">
        <v>79</v>
      </c>
      <c r="E195" t="s">
        <v>44</v>
      </c>
      <c r="F195" s="6">
        <v>0.67708333333333337</v>
      </c>
      <c r="G195">
        <v>143</v>
      </c>
      <c r="H195" s="6">
        <f>FLOOR(tblPivotData[[#This Row],[Time]],Summary!$B$6/1440)</f>
        <v>0.67708333333333326</v>
      </c>
      <c r="I195">
        <f>INDEX(PeakCalc!$L$10:$L$303,MATCH(tblPivotData[[#This Row],[Time]],PeakCalc!$G$10:$G$303,0))</f>
        <v>0</v>
      </c>
    </row>
    <row r="196" spans="1:9" x14ac:dyDescent="0.25">
      <c r="A196" t="s">
        <v>93</v>
      </c>
      <c r="B196" t="s">
        <v>97</v>
      </c>
      <c r="C196" t="s">
        <v>98</v>
      </c>
      <c r="D196" t="s">
        <v>79</v>
      </c>
      <c r="E196" t="s">
        <v>44</v>
      </c>
      <c r="F196" s="6">
        <v>0.6875</v>
      </c>
      <c r="G196">
        <v>148</v>
      </c>
      <c r="H196" s="6">
        <f>FLOOR(tblPivotData[[#This Row],[Time]],Summary!$B$6/1440)</f>
        <v>0.6875</v>
      </c>
      <c r="I196">
        <f>INDEX(PeakCalc!$L$10:$L$303,MATCH(tblPivotData[[#This Row],[Time]],PeakCalc!$G$10:$G$303,0))</f>
        <v>1</v>
      </c>
    </row>
    <row r="197" spans="1:9" x14ac:dyDescent="0.25">
      <c r="A197" t="s">
        <v>93</v>
      </c>
      <c r="B197" t="s">
        <v>97</v>
      </c>
      <c r="C197" t="s">
        <v>98</v>
      </c>
      <c r="D197" t="s">
        <v>79</v>
      </c>
      <c r="E197" t="s">
        <v>44</v>
      </c>
      <c r="F197" s="6">
        <v>0.69791666666666663</v>
      </c>
      <c r="G197">
        <v>151</v>
      </c>
      <c r="H197" s="6">
        <f>FLOOR(tblPivotData[[#This Row],[Time]],Summary!$B$6/1440)</f>
        <v>0.69791666666666663</v>
      </c>
      <c r="I197">
        <f>INDEX(PeakCalc!$L$10:$L$303,MATCH(tblPivotData[[#This Row],[Time]],PeakCalc!$G$10:$G$303,0))</f>
        <v>1</v>
      </c>
    </row>
    <row r="198" spans="1:9" x14ac:dyDescent="0.25">
      <c r="A198" t="s">
        <v>93</v>
      </c>
      <c r="B198" t="s">
        <v>97</v>
      </c>
      <c r="C198" t="s">
        <v>98</v>
      </c>
      <c r="D198" t="s">
        <v>79</v>
      </c>
      <c r="E198" t="s">
        <v>44</v>
      </c>
      <c r="F198" s="6">
        <v>0.70833333333333337</v>
      </c>
      <c r="G198">
        <v>159</v>
      </c>
      <c r="H198" s="6">
        <f>FLOOR(tblPivotData[[#This Row],[Time]],Summary!$B$6/1440)</f>
        <v>0.70833333333333326</v>
      </c>
      <c r="I198">
        <f>INDEX(PeakCalc!$L$10:$L$303,MATCH(tblPivotData[[#This Row],[Time]],PeakCalc!$G$10:$G$303,0))</f>
        <v>1</v>
      </c>
    </row>
    <row r="199" spans="1:9" x14ac:dyDescent="0.25">
      <c r="A199" t="s">
        <v>93</v>
      </c>
      <c r="B199" t="s">
        <v>97</v>
      </c>
      <c r="C199" t="s">
        <v>98</v>
      </c>
      <c r="D199" t="s">
        <v>79</v>
      </c>
      <c r="E199" t="s">
        <v>44</v>
      </c>
      <c r="F199" s="6">
        <v>0.71875</v>
      </c>
      <c r="G199">
        <v>153</v>
      </c>
      <c r="H199" s="6">
        <f>FLOOR(tblPivotData[[#This Row],[Time]],Summary!$B$6/1440)</f>
        <v>0.71875</v>
      </c>
      <c r="I199">
        <f>INDEX(PeakCalc!$L$10:$L$303,MATCH(tblPivotData[[#This Row],[Time]],PeakCalc!$G$10:$G$303,0))</f>
        <v>1</v>
      </c>
    </row>
    <row r="200" spans="1:9" x14ac:dyDescent="0.25">
      <c r="A200" t="s">
        <v>93</v>
      </c>
      <c r="B200" t="s">
        <v>97</v>
      </c>
      <c r="C200" t="s">
        <v>98</v>
      </c>
      <c r="D200" t="s">
        <v>79</v>
      </c>
      <c r="E200" t="s">
        <v>44</v>
      </c>
      <c r="F200" s="6">
        <v>0.72916666666666663</v>
      </c>
      <c r="G200">
        <v>151</v>
      </c>
      <c r="H200" s="6">
        <f>FLOOR(tblPivotData[[#This Row],[Time]],Summary!$B$6/1440)</f>
        <v>0.72916666666666663</v>
      </c>
      <c r="I200">
        <f>INDEX(PeakCalc!$L$10:$L$303,MATCH(tblPivotData[[#This Row],[Time]],PeakCalc!$G$10:$G$303,0))</f>
        <v>0</v>
      </c>
    </row>
    <row r="201" spans="1:9" x14ac:dyDescent="0.25">
      <c r="A201" t="s">
        <v>93</v>
      </c>
      <c r="B201" t="s">
        <v>97</v>
      </c>
      <c r="C201" t="s">
        <v>98</v>
      </c>
      <c r="D201" t="s">
        <v>79</v>
      </c>
      <c r="E201" t="s">
        <v>44</v>
      </c>
      <c r="F201" s="6">
        <v>0.73958333333333337</v>
      </c>
      <c r="G201">
        <v>157</v>
      </c>
      <c r="H201" s="6">
        <f>FLOOR(tblPivotData[[#This Row],[Time]],Summary!$B$6/1440)</f>
        <v>0.73958333333333326</v>
      </c>
      <c r="I201">
        <f>INDEX(PeakCalc!$L$10:$L$303,MATCH(tblPivotData[[#This Row],[Time]],PeakCalc!$G$10:$G$303,0))</f>
        <v>0</v>
      </c>
    </row>
    <row r="202" spans="1:9" x14ac:dyDescent="0.25">
      <c r="A202" t="s">
        <v>93</v>
      </c>
      <c r="B202" t="s">
        <v>97</v>
      </c>
      <c r="C202" t="s">
        <v>98</v>
      </c>
      <c r="D202" t="s">
        <v>88</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93</v>
      </c>
      <c r="B203" t="s">
        <v>97</v>
      </c>
      <c r="C203" t="s">
        <v>98</v>
      </c>
      <c r="D203" t="s">
        <v>88</v>
      </c>
      <c r="E203" t="s">
        <v>43</v>
      </c>
      <c r="F203" s="6">
        <v>0.30208333333333331</v>
      </c>
      <c r="G203">
        <v>5</v>
      </c>
      <c r="H203" s="6">
        <f>FLOOR(tblPivotData[[#This Row],[Time]],Summary!$B$6/1440)</f>
        <v>0.30208333333333331</v>
      </c>
      <c r="I203">
        <f>INDEX(PeakCalc!$L$10:$L$303,MATCH(tblPivotData[[#This Row],[Time]],PeakCalc!$G$10:$G$303,0))</f>
        <v>0</v>
      </c>
    </row>
    <row r="204" spans="1:9" x14ac:dyDescent="0.25">
      <c r="A204" t="s">
        <v>93</v>
      </c>
      <c r="B204" t="s">
        <v>97</v>
      </c>
      <c r="C204" t="s">
        <v>98</v>
      </c>
      <c r="D204" t="s">
        <v>88</v>
      </c>
      <c r="E204" t="s">
        <v>43</v>
      </c>
      <c r="F204" s="6">
        <v>0.3125</v>
      </c>
      <c r="G204">
        <v>5</v>
      </c>
      <c r="H204" s="6">
        <f>FLOOR(tblPivotData[[#This Row],[Time]],Summary!$B$6/1440)</f>
        <v>0.3125</v>
      </c>
      <c r="I204">
        <f>INDEX(PeakCalc!$L$10:$L$303,MATCH(tblPivotData[[#This Row],[Time]],PeakCalc!$G$10:$G$303,0))</f>
        <v>0</v>
      </c>
    </row>
    <row r="205" spans="1:9" x14ac:dyDescent="0.25">
      <c r="A205" t="s">
        <v>93</v>
      </c>
      <c r="B205" t="s">
        <v>97</v>
      </c>
      <c r="C205" t="s">
        <v>98</v>
      </c>
      <c r="D205" t="s">
        <v>88</v>
      </c>
      <c r="E205" t="s">
        <v>43</v>
      </c>
      <c r="F205" s="6">
        <v>0.32291666666666669</v>
      </c>
      <c r="G205">
        <v>4</v>
      </c>
      <c r="H205" s="6">
        <f>FLOOR(tblPivotData[[#This Row],[Time]],Summary!$B$6/1440)</f>
        <v>0.32291666666666663</v>
      </c>
      <c r="I205">
        <f>INDEX(PeakCalc!$L$10:$L$303,MATCH(tblPivotData[[#This Row],[Time]],PeakCalc!$G$10:$G$303,0))</f>
        <v>1</v>
      </c>
    </row>
    <row r="206" spans="1:9" x14ac:dyDescent="0.25">
      <c r="A206" t="s">
        <v>93</v>
      </c>
      <c r="B206" t="s">
        <v>97</v>
      </c>
      <c r="C206" t="s">
        <v>98</v>
      </c>
      <c r="D206" t="s">
        <v>88</v>
      </c>
      <c r="E206" t="s">
        <v>43</v>
      </c>
      <c r="F206" s="6">
        <v>0.33333333333333331</v>
      </c>
      <c r="G206">
        <v>13</v>
      </c>
      <c r="H206" s="6">
        <f>FLOOR(tblPivotData[[#This Row],[Time]],Summary!$B$6/1440)</f>
        <v>0.33333333333333331</v>
      </c>
      <c r="I206">
        <f>INDEX(PeakCalc!$L$10:$L$303,MATCH(tblPivotData[[#This Row],[Time]],PeakCalc!$G$10:$G$303,0))</f>
        <v>1</v>
      </c>
    </row>
    <row r="207" spans="1:9" x14ac:dyDescent="0.25">
      <c r="A207" t="s">
        <v>93</v>
      </c>
      <c r="B207" t="s">
        <v>97</v>
      </c>
      <c r="C207" t="s">
        <v>98</v>
      </c>
      <c r="D207" t="s">
        <v>88</v>
      </c>
      <c r="E207" t="s">
        <v>43</v>
      </c>
      <c r="F207" s="6">
        <v>0.34375</v>
      </c>
      <c r="G207">
        <v>7</v>
      </c>
      <c r="H207" s="6">
        <f>FLOOR(tblPivotData[[#This Row],[Time]],Summary!$B$6/1440)</f>
        <v>0.34375</v>
      </c>
      <c r="I207">
        <f>INDEX(PeakCalc!$L$10:$L$303,MATCH(tblPivotData[[#This Row],[Time]],PeakCalc!$G$10:$G$303,0))</f>
        <v>1</v>
      </c>
    </row>
    <row r="208" spans="1:9" x14ac:dyDescent="0.25">
      <c r="A208" t="s">
        <v>93</v>
      </c>
      <c r="B208" t="s">
        <v>97</v>
      </c>
      <c r="C208" t="s">
        <v>98</v>
      </c>
      <c r="D208" t="s">
        <v>88</v>
      </c>
      <c r="E208" t="s">
        <v>43</v>
      </c>
      <c r="F208" s="6">
        <v>0.35416666666666669</v>
      </c>
      <c r="G208">
        <v>9</v>
      </c>
      <c r="H208" s="6">
        <f>FLOOR(tblPivotData[[#This Row],[Time]],Summary!$B$6/1440)</f>
        <v>0.35416666666666663</v>
      </c>
      <c r="I208">
        <f>INDEX(PeakCalc!$L$10:$L$303,MATCH(tblPivotData[[#This Row],[Time]],PeakCalc!$G$10:$G$303,0))</f>
        <v>1</v>
      </c>
    </row>
    <row r="209" spans="1:9" x14ac:dyDescent="0.25">
      <c r="A209" t="s">
        <v>93</v>
      </c>
      <c r="B209" t="s">
        <v>97</v>
      </c>
      <c r="C209" t="s">
        <v>98</v>
      </c>
      <c r="D209" t="s">
        <v>88</v>
      </c>
      <c r="E209" t="s">
        <v>43</v>
      </c>
      <c r="F209" s="6">
        <v>0.36458333333333331</v>
      </c>
      <c r="G209">
        <v>6</v>
      </c>
      <c r="H209" s="6">
        <f>FLOOR(tblPivotData[[#This Row],[Time]],Summary!$B$6/1440)</f>
        <v>0.36458333333333331</v>
      </c>
      <c r="I209">
        <f>INDEX(PeakCalc!$L$10:$L$303,MATCH(tblPivotData[[#This Row],[Time]],PeakCalc!$G$10:$G$303,0))</f>
        <v>0</v>
      </c>
    </row>
    <row r="210" spans="1:9" x14ac:dyDescent="0.25">
      <c r="A210" t="s">
        <v>93</v>
      </c>
      <c r="B210" t="s">
        <v>97</v>
      </c>
      <c r="C210" t="s">
        <v>98</v>
      </c>
      <c r="D210" t="s">
        <v>88</v>
      </c>
      <c r="E210" t="s">
        <v>90</v>
      </c>
      <c r="F210" s="6">
        <v>0.54166666666666663</v>
      </c>
      <c r="G210">
        <v>7</v>
      </c>
      <c r="H210" s="6">
        <f>FLOOR(tblPivotData[[#This Row],[Time]],Summary!$B$6/1440)</f>
        <v>0.54166666666666663</v>
      </c>
      <c r="I210">
        <f>INDEX(PeakCalc!$L$10:$L$303,MATCH(tblPivotData[[#This Row],[Time]],PeakCalc!$G$10:$G$303,0))</f>
        <v>1</v>
      </c>
    </row>
    <row r="211" spans="1:9" x14ac:dyDescent="0.25">
      <c r="A211" t="s">
        <v>93</v>
      </c>
      <c r="B211" t="s">
        <v>97</v>
      </c>
      <c r="C211" t="s">
        <v>98</v>
      </c>
      <c r="D211" t="s">
        <v>88</v>
      </c>
      <c r="E211" t="s">
        <v>90</v>
      </c>
      <c r="F211" s="6">
        <v>0.55208333333333337</v>
      </c>
      <c r="G211">
        <v>6</v>
      </c>
      <c r="H211" s="6">
        <f>FLOOR(tblPivotData[[#This Row],[Time]],Summary!$B$6/1440)</f>
        <v>0.55208333333333326</v>
      </c>
      <c r="I211">
        <f>INDEX(PeakCalc!$L$10:$L$303,MATCH(tblPivotData[[#This Row],[Time]],PeakCalc!$G$10:$G$303,0))</f>
        <v>1</v>
      </c>
    </row>
    <row r="212" spans="1:9" x14ac:dyDescent="0.25">
      <c r="A212" t="s">
        <v>93</v>
      </c>
      <c r="B212" t="s">
        <v>97</v>
      </c>
      <c r="C212" t="s">
        <v>98</v>
      </c>
      <c r="D212" t="s">
        <v>88</v>
      </c>
      <c r="E212" t="s">
        <v>90</v>
      </c>
      <c r="F212" s="6">
        <v>0.5625</v>
      </c>
      <c r="G212">
        <v>4</v>
      </c>
      <c r="H212" s="6">
        <f>FLOOR(tblPivotData[[#This Row],[Time]],Summary!$B$6/1440)</f>
        <v>0.5625</v>
      </c>
      <c r="I212">
        <f>INDEX(PeakCalc!$L$10:$L$303,MATCH(tblPivotData[[#This Row],[Time]],PeakCalc!$G$10:$G$303,0))</f>
        <v>1</v>
      </c>
    </row>
    <row r="213" spans="1:9" x14ac:dyDescent="0.25">
      <c r="A213" t="s">
        <v>93</v>
      </c>
      <c r="B213" t="s">
        <v>97</v>
      </c>
      <c r="C213" t="s">
        <v>98</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25">
      <c r="A214" t="s">
        <v>93</v>
      </c>
      <c r="B214" t="s">
        <v>97</v>
      </c>
      <c r="C214" t="s">
        <v>98</v>
      </c>
      <c r="D214" t="s">
        <v>88</v>
      </c>
      <c r="E214" t="s">
        <v>44</v>
      </c>
      <c r="F214" s="6">
        <v>0.66666666666666663</v>
      </c>
      <c r="G214">
        <v>6</v>
      </c>
      <c r="H214" s="6">
        <f>FLOOR(tblPivotData[[#This Row],[Time]],Summary!$B$6/1440)</f>
        <v>0.66666666666666663</v>
      </c>
      <c r="I214">
        <f>INDEX(PeakCalc!$L$10:$L$303,MATCH(tblPivotData[[#This Row],[Time]],PeakCalc!$G$10:$G$303,0))</f>
        <v>0</v>
      </c>
    </row>
    <row r="215" spans="1:9" x14ac:dyDescent="0.25">
      <c r="A215" t="s">
        <v>93</v>
      </c>
      <c r="B215" t="s">
        <v>97</v>
      </c>
      <c r="C215" t="s">
        <v>98</v>
      </c>
      <c r="D215" t="s">
        <v>88</v>
      </c>
      <c r="E215" t="s">
        <v>44</v>
      </c>
      <c r="F215" s="6">
        <v>0.67708333333333337</v>
      </c>
      <c r="G215">
        <v>5</v>
      </c>
      <c r="H215" s="6">
        <f>FLOOR(tblPivotData[[#This Row],[Time]],Summary!$B$6/1440)</f>
        <v>0.67708333333333326</v>
      </c>
      <c r="I215">
        <f>INDEX(PeakCalc!$L$10:$L$303,MATCH(tblPivotData[[#This Row],[Time]],PeakCalc!$G$10:$G$303,0))</f>
        <v>0</v>
      </c>
    </row>
    <row r="216" spans="1:9" x14ac:dyDescent="0.25">
      <c r="A216" t="s">
        <v>93</v>
      </c>
      <c r="B216" t="s">
        <v>97</v>
      </c>
      <c r="C216" t="s">
        <v>98</v>
      </c>
      <c r="D216" t="s">
        <v>88</v>
      </c>
      <c r="E216" t="s">
        <v>44</v>
      </c>
      <c r="F216" s="6">
        <v>0.6875</v>
      </c>
      <c r="G216">
        <v>3</v>
      </c>
      <c r="H216" s="6">
        <f>FLOOR(tblPivotData[[#This Row],[Time]],Summary!$B$6/1440)</f>
        <v>0.6875</v>
      </c>
      <c r="I216">
        <f>INDEX(PeakCalc!$L$10:$L$303,MATCH(tblPivotData[[#This Row],[Time]],PeakCalc!$G$10:$G$303,0))</f>
        <v>1</v>
      </c>
    </row>
    <row r="217" spans="1:9" x14ac:dyDescent="0.25">
      <c r="A217" t="s">
        <v>93</v>
      </c>
      <c r="B217" t="s">
        <v>97</v>
      </c>
      <c r="C217" t="s">
        <v>98</v>
      </c>
      <c r="D217" t="s">
        <v>88</v>
      </c>
      <c r="E217" t="s">
        <v>44</v>
      </c>
      <c r="F217" s="6">
        <v>0.69791666666666663</v>
      </c>
      <c r="G217">
        <v>5</v>
      </c>
      <c r="H217" s="6">
        <f>FLOOR(tblPivotData[[#This Row],[Time]],Summary!$B$6/1440)</f>
        <v>0.69791666666666663</v>
      </c>
      <c r="I217">
        <f>INDEX(PeakCalc!$L$10:$L$303,MATCH(tblPivotData[[#This Row],[Time]],PeakCalc!$G$10:$G$303,0))</f>
        <v>1</v>
      </c>
    </row>
    <row r="218" spans="1:9" x14ac:dyDescent="0.25">
      <c r="A218" t="s">
        <v>93</v>
      </c>
      <c r="B218" t="s">
        <v>97</v>
      </c>
      <c r="C218" t="s">
        <v>98</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93</v>
      </c>
      <c r="B219" t="s">
        <v>97</v>
      </c>
      <c r="C219" t="s">
        <v>98</v>
      </c>
      <c r="D219" t="s">
        <v>88</v>
      </c>
      <c r="E219" t="s">
        <v>44</v>
      </c>
      <c r="F219" s="6">
        <v>0.71875</v>
      </c>
      <c r="G219">
        <v>3</v>
      </c>
      <c r="H219" s="6">
        <f>FLOOR(tblPivotData[[#This Row],[Time]],Summary!$B$6/1440)</f>
        <v>0.71875</v>
      </c>
      <c r="I219">
        <f>INDEX(PeakCalc!$L$10:$L$303,MATCH(tblPivotData[[#This Row],[Time]],PeakCalc!$G$10:$G$303,0))</f>
        <v>1</v>
      </c>
    </row>
    <row r="220" spans="1:9" x14ac:dyDescent="0.25">
      <c r="A220" t="s">
        <v>93</v>
      </c>
      <c r="B220" t="s">
        <v>97</v>
      </c>
      <c r="C220" t="s">
        <v>98</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25">
      <c r="A221" t="s">
        <v>93</v>
      </c>
      <c r="B221" t="s">
        <v>97</v>
      </c>
      <c r="C221" t="s">
        <v>98</v>
      </c>
      <c r="D221" t="s">
        <v>88</v>
      </c>
      <c r="E221" t="s">
        <v>44</v>
      </c>
      <c r="F221" s="6">
        <v>0.73958333333333337</v>
      </c>
      <c r="G221">
        <v>3</v>
      </c>
      <c r="H221" s="6">
        <f>FLOOR(tblPivotData[[#This Row],[Time]],Summary!$B$6/1440)</f>
        <v>0.73958333333333326</v>
      </c>
      <c r="I221">
        <f>INDEX(PeakCalc!$L$10:$L$303,MATCH(tblPivotData[[#This Row],[Time]],PeakCalc!$G$10:$G$303,0))</f>
        <v>0</v>
      </c>
    </row>
    <row r="222" spans="1:9" x14ac:dyDescent="0.25">
      <c r="A222" t="s">
        <v>93</v>
      </c>
      <c r="B222" t="s">
        <v>97</v>
      </c>
      <c r="C222" t="s">
        <v>98</v>
      </c>
      <c r="D222" t="s">
        <v>89</v>
      </c>
      <c r="E222" t="s">
        <v>43</v>
      </c>
      <c r="F222" s="6">
        <v>0.29166666666666669</v>
      </c>
      <c r="G222">
        <v>6</v>
      </c>
      <c r="H222" s="6">
        <f>FLOOR(tblPivotData[[#This Row],[Time]],Summary!$B$6/1440)</f>
        <v>0.29166666666666663</v>
      </c>
      <c r="I222">
        <f>INDEX(PeakCalc!$L$10:$L$303,MATCH(tblPivotData[[#This Row],[Time]],PeakCalc!$G$10:$G$303,0))</f>
        <v>0</v>
      </c>
    </row>
    <row r="223" spans="1:9" x14ac:dyDescent="0.25">
      <c r="A223" t="s">
        <v>93</v>
      </c>
      <c r="B223" t="s">
        <v>97</v>
      </c>
      <c r="C223" t="s">
        <v>98</v>
      </c>
      <c r="D223" t="s">
        <v>89</v>
      </c>
      <c r="E223" t="s">
        <v>43</v>
      </c>
      <c r="F223" s="6">
        <v>0.30208333333333331</v>
      </c>
      <c r="G223">
        <v>3</v>
      </c>
      <c r="H223" s="6">
        <f>FLOOR(tblPivotData[[#This Row],[Time]],Summary!$B$6/1440)</f>
        <v>0.30208333333333331</v>
      </c>
      <c r="I223">
        <f>INDEX(PeakCalc!$L$10:$L$303,MATCH(tblPivotData[[#This Row],[Time]],PeakCalc!$G$10:$G$303,0))</f>
        <v>0</v>
      </c>
    </row>
    <row r="224" spans="1:9" x14ac:dyDescent="0.25">
      <c r="A224" t="s">
        <v>93</v>
      </c>
      <c r="B224" t="s">
        <v>97</v>
      </c>
      <c r="C224" t="s">
        <v>98</v>
      </c>
      <c r="D224" t="s">
        <v>89</v>
      </c>
      <c r="E224" t="s">
        <v>43</v>
      </c>
      <c r="F224" s="6">
        <v>0.3125</v>
      </c>
      <c r="G224">
        <v>7</v>
      </c>
      <c r="H224" s="6">
        <f>FLOOR(tblPivotData[[#This Row],[Time]],Summary!$B$6/1440)</f>
        <v>0.3125</v>
      </c>
      <c r="I224">
        <f>INDEX(PeakCalc!$L$10:$L$303,MATCH(tblPivotData[[#This Row],[Time]],PeakCalc!$G$10:$G$303,0))</f>
        <v>0</v>
      </c>
    </row>
    <row r="225" spans="1:9" x14ac:dyDescent="0.25">
      <c r="A225" t="s">
        <v>93</v>
      </c>
      <c r="B225" t="s">
        <v>97</v>
      </c>
      <c r="C225" t="s">
        <v>98</v>
      </c>
      <c r="D225" t="s">
        <v>89</v>
      </c>
      <c r="E225" t="s">
        <v>43</v>
      </c>
      <c r="F225" s="6">
        <v>0.32291666666666669</v>
      </c>
      <c r="G225">
        <v>7</v>
      </c>
      <c r="H225" s="6">
        <f>FLOOR(tblPivotData[[#This Row],[Time]],Summary!$B$6/1440)</f>
        <v>0.32291666666666663</v>
      </c>
      <c r="I225">
        <f>INDEX(PeakCalc!$L$10:$L$303,MATCH(tblPivotData[[#This Row],[Time]],PeakCalc!$G$10:$G$303,0))</f>
        <v>1</v>
      </c>
    </row>
    <row r="226" spans="1:9" x14ac:dyDescent="0.25">
      <c r="A226" t="s">
        <v>93</v>
      </c>
      <c r="B226" t="s">
        <v>97</v>
      </c>
      <c r="C226" t="s">
        <v>98</v>
      </c>
      <c r="D226" t="s">
        <v>89</v>
      </c>
      <c r="E226" t="s">
        <v>43</v>
      </c>
      <c r="F226" s="6">
        <v>0.33333333333333331</v>
      </c>
      <c r="G226">
        <v>8</v>
      </c>
      <c r="H226" s="6">
        <f>FLOOR(tblPivotData[[#This Row],[Time]],Summary!$B$6/1440)</f>
        <v>0.33333333333333331</v>
      </c>
      <c r="I226">
        <f>INDEX(PeakCalc!$L$10:$L$303,MATCH(tblPivotData[[#This Row],[Time]],PeakCalc!$G$10:$G$303,0))</f>
        <v>1</v>
      </c>
    </row>
    <row r="227" spans="1:9" x14ac:dyDescent="0.25">
      <c r="A227" t="s">
        <v>93</v>
      </c>
      <c r="B227" t="s">
        <v>97</v>
      </c>
      <c r="C227" t="s">
        <v>98</v>
      </c>
      <c r="D227" t="s">
        <v>89</v>
      </c>
      <c r="E227" t="s">
        <v>43</v>
      </c>
      <c r="F227" s="6">
        <v>0.34375</v>
      </c>
      <c r="G227">
        <v>1</v>
      </c>
      <c r="H227" s="6">
        <f>FLOOR(tblPivotData[[#This Row],[Time]],Summary!$B$6/1440)</f>
        <v>0.34375</v>
      </c>
      <c r="I227">
        <f>INDEX(PeakCalc!$L$10:$L$303,MATCH(tblPivotData[[#This Row],[Time]],PeakCalc!$G$10:$G$303,0))</f>
        <v>1</v>
      </c>
    </row>
    <row r="228" spans="1:9" x14ac:dyDescent="0.25">
      <c r="A228" t="s">
        <v>93</v>
      </c>
      <c r="B228" t="s">
        <v>97</v>
      </c>
      <c r="C228" t="s">
        <v>98</v>
      </c>
      <c r="D228" t="s">
        <v>89</v>
      </c>
      <c r="E228" t="s">
        <v>43</v>
      </c>
      <c r="F228" s="6">
        <v>0.35416666666666669</v>
      </c>
      <c r="G228">
        <v>2</v>
      </c>
      <c r="H228" s="6">
        <f>FLOOR(tblPivotData[[#This Row],[Time]],Summary!$B$6/1440)</f>
        <v>0.35416666666666663</v>
      </c>
      <c r="I228">
        <f>INDEX(PeakCalc!$L$10:$L$303,MATCH(tblPivotData[[#This Row],[Time]],PeakCalc!$G$10:$G$303,0))</f>
        <v>1</v>
      </c>
    </row>
    <row r="229" spans="1:9" x14ac:dyDescent="0.25">
      <c r="A229" t="s">
        <v>93</v>
      </c>
      <c r="B229" t="s">
        <v>97</v>
      </c>
      <c r="C229" t="s">
        <v>98</v>
      </c>
      <c r="D229" t="s">
        <v>89</v>
      </c>
      <c r="E229" t="s">
        <v>43</v>
      </c>
      <c r="F229" s="6">
        <v>0.36458333333333331</v>
      </c>
      <c r="G229">
        <v>2</v>
      </c>
      <c r="H229" s="6">
        <f>FLOOR(tblPivotData[[#This Row],[Time]],Summary!$B$6/1440)</f>
        <v>0.36458333333333331</v>
      </c>
      <c r="I229">
        <f>INDEX(PeakCalc!$L$10:$L$303,MATCH(tblPivotData[[#This Row],[Time]],PeakCalc!$G$10:$G$303,0))</f>
        <v>0</v>
      </c>
    </row>
    <row r="230" spans="1:9" x14ac:dyDescent="0.25">
      <c r="A230" t="s">
        <v>93</v>
      </c>
      <c r="B230" t="s">
        <v>97</v>
      </c>
      <c r="C230" t="s">
        <v>98</v>
      </c>
      <c r="D230" t="s">
        <v>89</v>
      </c>
      <c r="E230" t="s">
        <v>90</v>
      </c>
      <c r="F230" s="6">
        <v>0.54166666666666663</v>
      </c>
      <c r="G230">
        <v>3</v>
      </c>
      <c r="H230" s="6">
        <f>FLOOR(tblPivotData[[#This Row],[Time]],Summary!$B$6/1440)</f>
        <v>0.54166666666666663</v>
      </c>
      <c r="I230">
        <f>INDEX(PeakCalc!$L$10:$L$303,MATCH(tblPivotData[[#This Row],[Time]],PeakCalc!$G$10:$G$303,0))</f>
        <v>1</v>
      </c>
    </row>
    <row r="231" spans="1:9" x14ac:dyDescent="0.25">
      <c r="A231" t="s">
        <v>93</v>
      </c>
      <c r="B231" t="s">
        <v>97</v>
      </c>
      <c r="C231" t="s">
        <v>98</v>
      </c>
      <c r="D231" t="s">
        <v>89</v>
      </c>
      <c r="E231" t="s">
        <v>90</v>
      </c>
      <c r="F231" s="6">
        <v>0.55208333333333337</v>
      </c>
      <c r="G231">
        <v>5</v>
      </c>
      <c r="H231" s="6">
        <f>FLOOR(tblPivotData[[#This Row],[Time]],Summary!$B$6/1440)</f>
        <v>0.55208333333333326</v>
      </c>
      <c r="I231">
        <f>INDEX(PeakCalc!$L$10:$L$303,MATCH(tblPivotData[[#This Row],[Time]],PeakCalc!$G$10:$G$303,0))</f>
        <v>1</v>
      </c>
    </row>
    <row r="232" spans="1:9" x14ac:dyDescent="0.25">
      <c r="A232" t="s">
        <v>93</v>
      </c>
      <c r="B232" t="s">
        <v>97</v>
      </c>
      <c r="C232" t="s">
        <v>98</v>
      </c>
      <c r="D232" t="s">
        <v>89</v>
      </c>
      <c r="E232" t="s">
        <v>90</v>
      </c>
      <c r="F232" s="6">
        <v>0.5625</v>
      </c>
      <c r="G232">
        <v>3</v>
      </c>
      <c r="H232" s="6">
        <f>FLOOR(tblPivotData[[#This Row],[Time]],Summary!$B$6/1440)</f>
        <v>0.5625</v>
      </c>
      <c r="I232">
        <f>INDEX(PeakCalc!$L$10:$L$303,MATCH(tblPivotData[[#This Row],[Time]],PeakCalc!$G$10:$G$303,0))</f>
        <v>1</v>
      </c>
    </row>
    <row r="233" spans="1:9" x14ac:dyDescent="0.25">
      <c r="A233" t="s">
        <v>93</v>
      </c>
      <c r="B233" t="s">
        <v>97</v>
      </c>
      <c r="C233" t="s">
        <v>98</v>
      </c>
      <c r="D233" t="s">
        <v>89</v>
      </c>
      <c r="E233" t="s">
        <v>90</v>
      </c>
      <c r="F233" s="6">
        <v>0.57291666666666663</v>
      </c>
      <c r="G233">
        <v>3</v>
      </c>
      <c r="H233" s="6">
        <f>FLOOR(tblPivotData[[#This Row],[Time]],Summary!$B$6/1440)</f>
        <v>0.57291666666666663</v>
      </c>
      <c r="I233">
        <f>INDEX(PeakCalc!$L$10:$L$303,MATCH(tblPivotData[[#This Row],[Time]],PeakCalc!$G$10:$G$303,0))</f>
        <v>1</v>
      </c>
    </row>
    <row r="234" spans="1:9" x14ac:dyDescent="0.25">
      <c r="A234" t="s">
        <v>93</v>
      </c>
      <c r="B234" t="s">
        <v>97</v>
      </c>
      <c r="C234" t="s">
        <v>98</v>
      </c>
      <c r="D234" t="s">
        <v>89</v>
      </c>
      <c r="E234" t="s">
        <v>44</v>
      </c>
      <c r="F234" s="6">
        <v>0.66666666666666663</v>
      </c>
      <c r="G234">
        <v>10</v>
      </c>
      <c r="H234" s="6">
        <f>FLOOR(tblPivotData[[#This Row],[Time]],Summary!$B$6/1440)</f>
        <v>0.66666666666666663</v>
      </c>
      <c r="I234">
        <f>INDEX(PeakCalc!$L$10:$L$303,MATCH(tblPivotData[[#This Row],[Time]],PeakCalc!$G$10:$G$303,0))</f>
        <v>0</v>
      </c>
    </row>
    <row r="235" spans="1:9" x14ac:dyDescent="0.25">
      <c r="A235" t="s">
        <v>93</v>
      </c>
      <c r="B235" t="s">
        <v>97</v>
      </c>
      <c r="C235" t="s">
        <v>98</v>
      </c>
      <c r="D235" t="s">
        <v>89</v>
      </c>
      <c r="E235" t="s">
        <v>44</v>
      </c>
      <c r="F235" s="6">
        <v>0.67708333333333337</v>
      </c>
      <c r="G235">
        <v>11</v>
      </c>
      <c r="H235" s="6">
        <f>FLOOR(tblPivotData[[#This Row],[Time]],Summary!$B$6/1440)</f>
        <v>0.67708333333333326</v>
      </c>
      <c r="I235">
        <f>INDEX(PeakCalc!$L$10:$L$303,MATCH(tblPivotData[[#This Row],[Time]],PeakCalc!$G$10:$G$303,0))</f>
        <v>0</v>
      </c>
    </row>
    <row r="236" spans="1:9" x14ac:dyDescent="0.25">
      <c r="A236" t="s">
        <v>93</v>
      </c>
      <c r="B236" t="s">
        <v>97</v>
      </c>
      <c r="C236" t="s">
        <v>98</v>
      </c>
      <c r="D236" t="s">
        <v>89</v>
      </c>
      <c r="E236" t="s">
        <v>44</v>
      </c>
      <c r="F236" s="6">
        <v>0.6875</v>
      </c>
      <c r="G236">
        <v>15</v>
      </c>
      <c r="H236" s="6">
        <f>FLOOR(tblPivotData[[#This Row],[Time]],Summary!$B$6/1440)</f>
        <v>0.6875</v>
      </c>
      <c r="I236">
        <f>INDEX(PeakCalc!$L$10:$L$303,MATCH(tblPivotData[[#This Row],[Time]],PeakCalc!$G$10:$G$303,0))</f>
        <v>1</v>
      </c>
    </row>
    <row r="237" spans="1:9" x14ac:dyDescent="0.25">
      <c r="A237" t="s">
        <v>93</v>
      </c>
      <c r="B237" t="s">
        <v>97</v>
      </c>
      <c r="C237" t="s">
        <v>98</v>
      </c>
      <c r="D237" t="s">
        <v>89</v>
      </c>
      <c r="E237" t="s">
        <v>44</v>
      </c>
      <c r="F237" s="6">
        <v>0.69791666666666663</v>
      </c>
      <c r="G237">
        <v>8</v>
      </c>
      <c r="H237" s="6">
        <f>FLOOR(tblPivotData[[#This Row],[Time]],Summary!$B$6/1440)</f>
        <v>0.69791666666666663</v>
      </c>
      <c r="I237">
        <f>INDEX(PeakCalc!$L$10:$L$303,MATCH(tblPivotData[[#This Row],[Time]],PeakCalc!$G$10:$G$303,0))</f>
        <v>1</v>
      </c>
    </row>
    <row r="238" spans="1:9" x14ac:dyDescent="0.25">
      <c r="A238" t="s">
        <v>93</v>
      </c>
      <c r="B238" t="s">
        <v>97</v>
      </c>
      <c r="C238" t="s">
        <v>98</v>
      </c>
      <c r="D238" t="s">
        <v>89</v>
      </c>
      <c r="E238" t="s">
        <v>44</v>
      </c>
      <c r="F238" s="6">
        <v>0.70833333333333337</v>
      </c>
      <c r="G238">
        <v>17</v>
      </c>
      <c r="H238" s="6">
        <f>FLOOR(tblPivotData[[#This Row],[Time]],Summary!$B$6/1440)</f>
        <v>0.70833333333333326</v>
      </c>
      <c r="I238">
        <f>INDEX(PeakCalc!$L$10:$L$303,MATCH(tblPivotData[[#This Row],[Time]],PeakCalc!$G$10:$G$303,0))</f>
        <v>1</v>
      </c>
    </row>
    <row r="239" spans="1:9" x14ac:dyDescent="0.25">
      <c r="A239" t="s">
        <v>93</v>
      </c>
      <c r="B239" t="s">
        <v>97</v>
      </c>
      <c r="C239" t="s">
        <v>98</v>
      </c>
      <c r="D239" t="s">
        <v>89</v>
      </c>
      <c r="E239" t="s">
        <v>44</v>
      </c>
      <c r="F239" s="6">
        <v>0.71875</v>
      </c>
      <c r="G239">
        <v>21</v>
      </c>
      <c r="H239" s="6">
        <f>FLOOR(tblPivotData[[#This Row],[Time]],Summary!$B$6/1440)</f>
        <v>0.71875</v>
      </c>
      <c r="I239">
        <f>INDEX(PeakCalc!$L$10:$L$303,MATCH(tblPivotData[[#This Row],[Time]],PeakCalc!$G$10:$G$303,0))</f>
        <v>1</v>
      </c>
    </row>
    <row r="240" spans="1:9" x14ac:dyDescent="0.25">
      <c r="A240" t="s">
        <v>93</v>
      </c>
      <c r="B240" t="s">
        <v>97</v>
      </c>
      <c r="C240" t="s">
        <v>98</v>
      </c>
      <c r="D240" t="s">
        <v>89</v>
      </c>
      <c r="E240" t="s">
        <v>44</v>
      </c>
      <c r="F240" s="6">
        <v>0.72916666666666663</v>
      </c>
      <c r="G240">
        <v>11</v>
      </c>
      <c r="H240" s="6">
        <f>FLOOR(tblPivotData[[#This Row],[Time]],Summary!$B$6/1440)</f>
        <v>0.72916666666666663</v>
      </c>
      <c r="I240">
        <f>INDEX(PeakCalc!$L$10:$L$303,MATCH(tblPivotData[[#This Row],[Time]],PeakCalc!$G$10:$G$303,0))</f>
        <v>0</v>
      </c>
    </row>
    <row r="241" spans="1:9" x14ac:dyDescent="0.25">
      <c r="A241" t="s">
        <v>93</v>
      </c>
      <c r="B241" t="s">
        <v>97</v>
      </c>
      <c r="C241" t="s">
        <v>98</v>
      </c>
      <c r="D241" t="s">
        <v>89</v>
      </c>
      <c r="E241" t="s">
        <v>44</v>
      </c>
      <c r="F241" s="6">
        <v>0.73958333333333337</v>
      </c>
      <c r="G241">
        <v>10</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1" ht="18.75" x14ac:dyDescent="0.3">
      <c r="B2" s="3" t="s">
        <v>78</v>
      </c>
    </row>
    <row r="4" spans="2:21" x14ac:dyDescent="0.25">
      <c r="B4" t="s">
        <v>76</v>
      </c>
    </row>
    <row r="6" spans="2:21" x14ac:dyDescent="0.25">
      <c r="B6" s="12">
        <v>15</v>
      </c>
      <c r="C6" t="s">
        <v>34</v>
      </c>
    </row>
    <row r="8" spans="2:21" x14ac:dyDescent="0.25">
      <c r="B8" t="s">
        <v>77</v>
      </c>
    </row>
    <row r="10" spans="2:21" x14ac:dyDescent="0.25">
      <c r="B10" s="15" t="s">
        <v>85</v>
      </c>
      <c r="C10" s="16"/>
      <c r="D10" s="16"/>
      <c r="E10" s="16"/>
      <c r="F10" s="16"/>
      <c r="G10" s="16"/>
      <c r="H10" s="16"/>
      <c r="I10" s="16"/>
      <c r="J10" s="16"/>
      <c r="K10" s="16"/>
      <c r="L10" s="16"/>
      <c r="M10" s="16"/>
      <c r="N10" s="16"/>
      <c r="O10" s="16"/>
      <c r="P10" s="16"/>
      <c r="Q10" s="16"/>
      <c r="R10" s="16"/>
      <c r="S10" s="16"/>
      <c r="T10" s="16"/>
      <c r="U10" s="16"/>
    </row>
    <row r="11" spans="2:21" x14ac:dyDescent="0.25">
      <c r="B11" s="16"/>
      <c r="C11" s="51" t="s">
        <v>92</v>
      </c>
      <c r="D11" s="52"/>
      <c r="E11" s="52"/>
      <c r="F11" s="52"/>
      <c r="G11" s="52"/>
      <c r="H11" s="52"/>
      <c r="I11" s="52"/>
      <c r="J11" s="52"/>
      <c r="K11" s="49" t="s">
        <v>101</v>
      </c>
      <c r="L11" s="51" t="s">
        <v>93</v>
      </c>
      <c r="M11" s="52"/>
      <c r="N11" s="52"/>
      <c r="O11" s="52"/>
      <c r="P11" s="52"/>
      <c r="Q11" s="52"/>
      <c r="R11" s="52"/>
      <c r="S11" s="52"/>
      <c r="T11" s="49" t="s">
        <v>102</v>
      </c>
      <c r="U11" s="49" t="s">
        <v>49</v>
      </c>
    </row>
    <row r="12" spans="2:21" x14ac:dyDescent="0.25">
      <c r="B12" s="16"/>
      <c r="C12" s="49" t="s">
        <v>94</v>
      </c>
      <c r="D12" s="50"/>
      <c r="E12" s="50"/>
      <c r="F12" s="49" t="s">
        <v>103</v>
      </c>
      <c r="G12" s="49" t="s">
        <v>95</v>
      </c>
      <c r="H12" s="50"/>
      <c r="I12" s="50"/>
      <c r="J12" s="49" t="s">
        <v>104</v>
      </c>
      <c r="K12" s="50"/>
      <c r="L12" s="49" t="s">
        <v>96</v>
      </c>
      <c r="M12" s="50"/>
      <c r="N12" s="50"/>
      <c r="O12" s="49" t="s">
        <v>105</v>
      </c>
      <c r="P12" s="49" t="s">
        <v>97</v>
      </c>
      <c r="Q12" s="50"/>
      <c r="R12" s="50"/>
      <c r="S12" s="49" t="s">
        <v>106</v>
      </c>
      <c r="T12" s="50"/>
      <c r="U12" s="50"/>
    </row>
    <row r="13" spans="2:21"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50"/>
    </row>
    <row r="14" spans="2:21" x14ac:dyDescent="0.25">
      <c r="B14" s="10" t="s">
        <v>43</v>
      </c>
      <c r="C14">
        <v>1792</v>
      </c>
      <c r="D14">
        <v>77</v>
      </c>
      <c r="E14">
        <v>15</v>
      </c>
      <c r="F14">
        <v>1884</v>
      </c>
      <c r="G14">
        <v>271</v>
      </c>
      <c r="H14">
        <v>11</v>
      </c>
      <c r="I14">
        <v>1</v>
      </c>
      <c r="J14">
        <v>283</v>
      </c>
      <c r="K14">
        <v>2167</v>
      </c>
      <c r="L14">
        <v>194</v>
      </c>
      <c r="M14">
        <v>7</v>
      </c>
      <c r="N14">
        <v>1</v>
      </c>
      <c r="O14">
        <v>202</v>
      </c>
      <c r="P14">
        <v>549</v>
      </c>
      <c r="Q14">
        <v>52</v>
      </c>
      <c r="R14">
        <v>36</v>
      </c>
      <c r="S14">
        <v>637</v>
      </c>
      <c r="T14">
        <v>839</v>
      </c>
      <c r="U14">
        <v>3006</v>
      </c>
    </row>
    <row r="15" spans="2:21" x14ac:dyDescent="0.25">
      <c r="B15" s="11">
        <v>0.29166666666666669</v>
      </c>
      <c r="C15">
        <v>157</v>
      </c>
      <c r="D15">
        <v>7</v>
      </c>
      <c r="E15">
        <v>4</v>
      </c>
      <c r="F15">
        <v>168</v>
      </c>
      <c r="G15">
        <v>14</v>
      </c>
      <c r="H15">
        <v>0</v>
      </c>
      <c r="I15">
        <v>0</v>
      </c>
      <c r="J15">
        <v>14</v>
      </c>
      <c r="K15">
        <v>182</v>
      </c>
      <c r="L15">
        <v>25</v>
      </c>
      <c r="M15">
        <v>0</v>
      </c>
      <c r="N15">
        <v>0</v>
      </c>
      <c r="O15">
        <v>25</v>
      </c>
      <c r="P15">
        <v>44</v>
      </c>
      <c r="Q15">
        <v>3</v>
      </c>
      <c r="R15">
        <v>6</v>
      </c>
      <c r="S15">
        <v>53</v>
      </c>
      <c r="T15">
        <v>78</v>
      </c>
      <c r="U15">
        <v>260</v>
      </c>
    </row>
    <row r="16" spans="2:21" x14ac:dyDescent="0.25">
      <c r="B16" s="11">
        <v>0.30208333333333331</v>
      </c>
      <c r="C16">
        <v>193</v>
      </c>
      <c r="D16">
        <v>9</v>
      </c>
      <c r="E16">
        <v>2</v>
      </c>
      <c r="F16">
        <v>204</v>
      </c>
      <c r="G16">
        <v>22</v>
      </c>
      <c r="H16">
        <v>0</v>
      </c>
      <c r="I16">
        <v>1</v>
      </c>
      <c r="J16">
        <v>23</v>
      </c>
      <c r="K16">
        <v>227</v>
      </c>
      <c r="L16">
        <v>11</v>
      </c>
      <c r="M16">
        <v>0</v>
      </c>
      <c r="N16">
        <v>0</v>
      </c>
      <c r="O16">
        <v>11</v>
      </c>
      <c r="P16">
        <v>49</v>
      </c>
      <c r="Q16">
        <v>5</v>
      </c>
      <c r="R16">
        <v>3</v>
      </c>
      <c r="S16">
        <v>57</v>
      </c>
      <c r="T16">
        <v>68</v>
      </c>
      <c r="U16">
        <v>295</v>
      </c>
    </row>
    <row r="17" spans="2:21" x14ac:dyDescent="0.25">
      <c r="B17" s="11">
        <v>0.3125</v>
      </c>
      <c r="C17">
        <v>202</v>
      </c>
      <c r="D17">
        <v>19</v>
      </c>
      <c r="E17">
        <v>0</v>
      </c>
      <c r="F17">
        <v>221</v>
      </c>
      <c r="G17">
        <v>35</v>
      </c>
      <c r="H17">
        <v>1</v>
      </c>
      <c r="I17">
        <v>0</v>
      </c>
      <c r="J17">
        <v>36</v>
      </c>
      <c r="K17">
        <v>257</v>
      </c>
      <c r="L17">
        <v>24</v>
      </c>
      <c r="M17">
        <v>2</v>
      </c>
      <c r="N17">
        <v>0</v>
      </c>
      <c r="O17">
        <v>26</v>
      </c>
      <c r="P17">
        <v>76</v>
      </c>
      <c r="Q17">
        <v>5</v>
      </c>
      <c r="R17">
        <v>7</v>
      </c>
      <c r="S17">
        <v>88</v>
      </c>
      <c r="T17">
        <v>114</v>
      </c>
      <c r="U17">
        <v>371</v>
      </c>
    </row>
    <row r="18" spans="2:21" x14ac:dyDescent="0.25">
      <c r="B18" s="11">
        <v>0.32291666666666669</v>
      </c>
      <c r="C18">
        <v>251</v>
      </c>
      <c r="D18">
        <v>9</v>
      </c>
      <c r="E18">
        <v>3</v>
      </c>
      <c r="F18">
        <v>263</v>
      </c>
      <c r="G18">
        <v>45</v>
      </c>
      <c r="H18">
        <v>1</v>
      </c>
      <c r="I18">
        <v>0</v>
      </c>
      <c r="J18">
        <v>46</v>
      </c>
      <c r="K18">
        <v>309</v>
      </c>
      <c r="L18">
        <v>24</v>
      </c>
      <c r="M18">
        <v>1</v>
      </c>
      <c r="N18">
        <v>0</v>
      </c>
      <c r="O18">
        <v>25</v>
      </c>
      <c r="P18">
        <v>64</v>
      </c>
      <c r="Q18">
        <v>4</v>
      </c>
      <c r="R18">
        <v>7</v>
      </c>
      <c r="S18">
        <v>75</v>
      </c>
      <c r="T18">
        <v>100</v>
      </c>
      <c r="U18">
        <v>409</v>
      </c>
    </row>
    <row r="19" spans="2:21" x14ac:dyDescent="0.25">
      <c r="B19" s="11">
        <v>0.33333333333333331</v>
      </c>
      <c r="C19">
        <v>213</v>
      </c>
      <c r="D19">
        <v>12</v>
      </c>
      <c r="E19">
        <v>3</v>
      </c>
      <c r="F19">
        <v>228</v>
      </c>
      <c r="G19">
        <v>23</v>
      </c>
      <c r="H19">
        <v>0</v>
      </c>
      <c r="I19">
        <v>0</v>
      </c>
      <c r="J19">
        <v>23</v>
      </c>
      <c r="K19">
        <v>251</v>
      </c>
      <c r="L19">
        <v>21</v>
      </c>
      <c r="M19">
        <v>0</v>
      </c>
      <c r="N19">
        <v>1</v>
      </c>
      <c r="O19">
        <v>22</v>
      </c>
      <c r="P19">
        <v>82</v>
      </c>
      <c r="Q19">
        <v>13</v>
      </c>
      <c r="R19">
        <v>8</v>
      </c>
      <c r="S19">
        <v>103</v>
      </c>
      <c r="T19">
        <v>125</v>
      </c>
      <c r="U19">
        <v>376</v>
      </c>
    </row>
    <row r="20" spans="2:21" x14ac:dyDescent="0.25">
      <c r="B20" s="11">
        <v>0.34375</v>
      </c>
      <c r="C20">
        <v>262</v>
      </c>
      <c r="D20">
        <v>5</v>
      </c>
      <c r="E20">
        <v>1</v>
      </c>
      <c r="F20">
        <v>268</v>
      </c>
      <c r="G20">
        <v>45</v>
      </c>
      <c r="H20">
        <v>2</v>
      </c>
      <c r="I20">
        <v>0</v>
      </c>
      <c r="J20">
        <v>47</v>
      </c>
      <c r="K20">
        <v>315</v>
      </c>
      <c r="L20">
        <v>26</v>
      </c>
      <c r="M20">
        <v>1</v>
      </c>
      <c r="N20">
        <v>0</v>
      </c>
      <c r="O20">
        <v>27</v>
      </c>
      <c r="P20">
        <v>79</v>
      </c>
      <c r="Q20">
        <v>7</v>
      </c>
      <c r="R20">
        <v>1</v>
      </c>
      <c r="S20">
        <v>87</v>
      </c>
      <c r="T20">
        <v>114</v>
      </c>
      <c r="U20">
        <v>429</v>
      </c>
    </row>
    <row r="21" spans="2:21" x14ac:dyDescent="0.25">
      <c r="B21" s="11">
        <v>0.35416666666666669</v>
      </c>
      <c r="C21">
        <v>275</v>
      </c>
      <c r="D21">
        <v>7</v>
      </c>
      <c r="E21">
        <v>1</v>
      </c>
      <c r="F21">
        <v>283</v>
      </c>
      <c r="G21">
        <v>41</v>
      </c>
      <c r="H21">
        <v>1</v>
      </c>
      <c r="I21">
        <v>0</v>
      </c>
      <c r="J21">
        <v>42</v>
      </c>
      <c r="K21">
        <v>325</v>
      </c>
      <c r="L21">
        <v>38</v>
      </c>
      <c r="M21">
        <v>3</v>
      </c>
      <c r="N21">
        <v>0</v>
      </c>
      <c r="O21">
        <v>41</v>
      </c>
      <c r="P21">
        <v>89</v>
      </c>
      <c r="Q21">
        <v>9</v>
      </c>
      <c r="R21">
        <v>2</v>
      </c>
      <c r="S21">
        <v>100</v>
      </c>
      <c r="T21">
        <v>141</v>
      </c>
      <c r="U21">
        <v>466</v>
      </c>
    </row>
    <row r="22" spans="2:21" x14ac:dyDescent="0.25">
      <c r="B22" s="11">
        <v>0.36458333333333331</v>
      </c>
      <c r="C22">
        <v>239</v>
      </c>
      <c r="D22">
        <v>9</v>
      </c>
      <c r="E22">
        <v>1</v>
      </c>
      <c r="F22">
        <v>249</v>
      </c>
      <c r="G22">
        <v>46</v>
      </c>
      <c r="H22">
        <v>6</v>
      </c>
      <c r="I22">
        <v>0</v>
      </c>
      <c r="J22">
        <v>52</v>
      </c>
      <c r="K22">
        <v>301</v>
      </c>
      <c r="L22">
        <v>25</v>
      </c>
      <c r="M22">
        <v>0</v>
      </c>
      <c r="N22">
        <v>0</v>
      </c>
      <c r="O22">
        <v>25</v>
      </c>
      <c r="P22">
        <v>66</v>
      </c>
      <c r="Q22">
        <v>6</v>
      </c>
      <c r="R22">
        <v>2</v>
      </c>
      <c r="S22">
        <v>74</v>
      </c>
      <c r="T22">
        <v>99</v>
      </c>
      <c r="U22">
        <v>400</v>
      </c>
    </row>
    <row r="23" spans="2:21" x14ac:dyDescent="0.25">
      <c r="B23" s="10" t="s">
        <v>44</v>
      </c>
      <c r="C23">
        <v>2498</v>
      </c>
      <c r="D23">
        <v>25</v>
      </c>
      <c r="E23">
        <v>53</v>
      </c>
      <c r="F23">
        <v>2576</v>
      </c>
      <c r="G23">
        <v>356</v>
      </c>
      <c r="H23">
        <v>7</v>
      </c>
      <c r="I23">
        <v>2</v>
      </c>
      <c r="J23">
        <v>365</v>
      </c>
      <c r="K23">
        <v>2941</v>
      </c>
      <c r="L23">
        <v>506</v>
      </c>
      <c r="M23">
        <v>3</v>
      </c>
      <c r="N23">
        <v>2</v>
      </c>
      <c r="O23">
        <v>511</v>
      </c>
      <c r="P23">
        <v>1197</v>
      </c>
      <c r="Q23">
        <v>29</v>
      </c>
      <c r="R23">
        <v>103</v>
      </c>
      <c r="S23">
        <v>1329</v>
      </c>
      <c r="T23">
        <v>1840</v>
      </c>
      <c r="U23">
        <v>4781</v>
      </c>
    </row>
    <row r="24" spans="2:21" x14ac:dyDescent="0.25">
      <c r="B24" s="11">
        <v>0.66666666666666663</v>
      </c>
      <c r="C24">
        <v>317</v>
      </c>
      <c r="D24">
        <v>5</v>
      </c>
      <c r="E24">
        <v>5</v>
      </c>
      <c r="F24">
        <v>327</v>
      </c>
      <c r="G24">
        <v>48</v>
      </c>
      <c r="H24">
        <v>1</v>
      </c>
      <c r="I24">
        <v>2</v>
      </c>
      <c r="J24">
        <v>51</v>
      </c>
      <c r="K24">
        <v>378</v>
      </c>
      <c r="L24">
        <v>43</v>
      </c>
      <c r="M24">
        <v>1</v>
      </c>
      <c r="N24">
        <v>0</v>
      </c>
      <c r="O24">
        <v>44</v>
      </c>
      <c r="P24">
        <v>135</v>
      </c>
      <c r="Q24">
        <v>6</v>
      </c>
      <c r="R24">
        <v>10</v>
      </c>
      <c r="S24">
        <v>151</v>
      </c>
      <c r="T24">
        <v>195</v>
      </c>
      <c r="U24">
        <v>573</v>
      </c>
    </row>
    <row r="25" spans="2:21" x14ac:dyDescent="0.25">
      <c r="B25" s="11">
        <v>0.67708333333333337</v>
      </c>
      <c r="C25">
        <v>310</v>
      </c>
      <c r="D25">
        <v>4</v>
      </c>
      <c r="E25">
        <v>8</v>
      </c>
      <c r="F25">
        <v>322</v>
      </c>
      <c r="G25">
        <v>46</v>
      </c>
      <c r="H25">
        <v>1</v>
      </c>
      <c r="I25">
        <v>0</v>
      </c>
      <c r="J25">
        <v>47</v>
      </c>
      <c r="K25">
        <v>369</v>
      </c>
      <c r="L25">
        <v>60</v>
      </c>
      <c r="M25">
        <v>0</v>
      </c>
      <c r="N25">
        <v>0</v>
      </c>
      <c r="O25">
        <v>60</v>
      </c>
      <c r="P25">
        <v>143</v>
      </c>
      <c r="Q25">
        <v>5</v>
      </c>
      <c r="R25">
        <v>11</v>
      </c>
      <c r="S25">
        <v>159</v>
      </c>
      <c r="T25">
        <v>219</v>
      </c>
      <c r="U25">
        <v>588</v>
      </c>
    </row>
    <row r="26" spans="2:21" x14ac:dyDescent="0.25">
      <c r="B26" s="11">
        <v>0.6875</v>
      </c>
      <c r="C26">
        <v>334</v>
      </c>
      <c r="D26">
        <v>6</v>
      </c>
      <c r="E26">
        <v>11</v>
      </c>
      <c r="F26">
        <v>351</v>
      </c>
      <c r="G26">
        <v>42</v>
      </c>
      <c r="H26">
        <v>2</v>
      </c>
      <c r="I26">
        <v>0</v>
      </c>
      <c r="J26">
        <v>44</v>
      </c>
      <c r="K26">
        <v>395</v>
      </c>
      <c r="L26">
        <v>64</v>
      </c>
      <c r="M26">
        <v>1</v>
      </c>
      <c r="N26">
        <v>0</v>
      </c>
      <c r="O26">
        <v>65</v>
      </c>
      <c r="P26">
        <v>148</v>
      </c>
      <c r="Q26">
        <v>3</v>
      </c>
      <c r="R26">
        <v>15</v>
      </c>
      <c r="S26">
        <v>166</v>
      </c>
      <c r="T26">
        <v>231</v>
      </c>
      <c r="U26">
        <v>626</v>
      </c>
    </row>
    <row r="27" spans="2:21" x14ac:dyDescent="0.25">
      <c r="B27" s="11">
        <v>0.69791666666666663</v>
      </c>
      <c r="C27">
        <v>323</v>
      </c>
      <c r="D27">
        <v>3</v>
      </c>
      <c r="E27">
        <v>8</v>
      </c>
      <c r="F27">
        <v>334</v>
      </c>
      <c r="G27">
        <v>56</v>
      </c>
      <c r="H27">
        <v>1</v>
      </c>
      <c r="I27">
        <v>0</v>
      </c>
      <c r="J27">
        <v>57</v>
      </c>
      <c r="K27">
        <v>391</v>
      </c>
      <c r="L27">
        <v>73</v>
      </c>
      <c r="M27">
        <v>1</v>
      </c>
      <c r="N27">
        <v>0</v>
      </c>
      <c r="O27">
        <v>74</v>
      </c>
      <c r="P27">
        <v>151</v>
      </c>
      <c r="Q27">
        <v>5</v>
      </c>
      <c r="R27">
        <v>8</v>
      </c>
      <c r="S27">
        <v>164</v>
      </c>
      <c r="T27">
        <v>238</v>
      </c>
      <c r="U27">
        <v>629</v>
      </c>
    </row>
    <row r="28" spans="2:21" x14ac:dyDescent="0.25">
      <c r="B28" s="11">
        <v>0.70833333333333337</v>
      </c>
      <c r="C28">
        <v>335</v>
      </c>
      <c r="D28">
        <v>4</v>
      </c>
      <c r="E28">
        <v>6</v>
      </c>
      <c r="F28">
        <v>345</v>
      </c>
      <c r="G28">
        <v>50</v>
      </c>
      <c r="H28">
        <v>1</v>
      </c>
      <c r="I28">
        <v>0</v>
      </c>
      <c r="J28">
        <v>51</v>
      </c>
      <c r="K28">
        <v>396</v>
      </c>
      <c r="L28">
        <v>68</v>
      </c>
      <c r="M28">
        <v>0</v>
      </c>
      <c r="N28">
        <v>1</v>
      </c>
      <c r="O28">
        <v>69</v>
      </c>
      <c r="P28">
        <v>159</v>
      </c>
      <c r="Q28">
        <v>2</v>
      </c>
      <c r="R28">
        <v>17</v>
      </c>
      <c r="S28">
        <v>178</v>
      </c>
      <c r="T28">
        <v>247</v>
      </c>
      <c r="U28">
        <v>643</v>
      </c>
    </row>
    <row r="29" spans="2:21" x14ac:dyDescent="0.25">
      <c r="B29" s="11">
        <v>0.71875</v>
      </c>
      <c r="C29">
        <v>298</v>
      </c>
      <c r="D29">
        <v>1</v>
      </c>
      <c r="E29">
        <v>5</v>
      </c>
      <c r="F29">
        <v>304</v>
      </c>
      <c r="G29">
        <v>36</v>
      </c>
      <c r="H29">
        <v>1</v>
      </c>
      <c r="I29">
        <v>0</v>
      </c>
      <c r="J29">
        <v>37</v>
      </c>
      <c r="K29">
        <v>341</v>
      </c>
      <c r="L29">
        <v>76</v>
      </c>
      <c r="M29">
        <v>0</v>
      </c>
      <c r="N29">
        <v>0</v>
      </c>
      <c r="O29">
        <v>76</v>
      </c>
      <c r="P29">
        <v>153</v>
      </c>
      <c r="Q29">
        <v>3</v>
      </c>
      <c r="R29">
        <v>21</v>
      </c>
      <c r="S29">
        <v>177</v>
      </c>
      <c r="T29">
        <v>253</v>
      </c>
      <c r="U29">
        <v>594</v>
      </c>
    </row>
    <row r="30" spans="2:21" x14ac:dyDescent="0.25">
      <c r="B30" s="11">
        <v>0.72916666666666663</v>
      </c>
      <c r="C30">
        <v>333</v>
      </c>
      <c r="D30">
        <v>0</v>
      </c>
      <c r="E30">
        <v>5</v>
      </c>
      <c r="F30">
        <v>338</v>
      </c>
      <c r="G30">
        <v>41</v>
      </c>
      <c r="H30">
        <v>0</v>
      </c>
      <c r="I30">
        <v>0</v>
      </c>
      <c r="J30">
        <v>41</v>
      </c>
      <c r="K30">
        <v>379</v>
      </c>
      <c r="L30">
        <v>49</v>
      </c>
      <c r="M30">
        <v>0</v>
      </c>
      <c r="N30">
        <v>1</v>
      </c>
      <c r="O30">
        <v>50</v>
      </c>
      <c r="P30">
        <v>151</v>
      </c>
      <c r="Q30">
        <v>2</v>
      </c>
      <c r="R30">
        <v>11</v>
      </c>
      <c r="S30">
        <v>164</v>
      </c>
      <c r="T30">
        <v>214</v>
      </c>
      <c r="U30">
        <v>593</v>
      </c>
    </row>
    <row r="31" spans="2:21" x14ac:dyDescent="0.25">
      <c r="B31" s="11">
        <v>0.73958333333333337</v>
      </c>
      <c r="C31">
        <v>248</v>
      </c>
      <c r="D31">
        <v>2</v>
      </c>
      <c r="E31">
        <v>5</v>
      </c>
      <c r="F31">
        <v>255</v>
      </c>
      <c r="G31">
        <v>37</v>
      </c>
      <c r="H31">
        <v>0</v>
      </c>
      <c r="I31">
        <v>0</v>
      </c>
      <c r="J31">
        <v>37</v>
      </c>
      <c r="K31">
        <v>292</v>
      </c>
      <c r="L31">
        <v>73</v>
      </c>
      <c r="M31">
        <v>0</v>
      </c>
      <c r="N31">
        <v>0</v>
      </c>
      <c r="O31">
        <v>73</v>
      </c>
      <c r="P31">
        <v>157</v>
      </c>
      <c r="Q31">
        <v>3</v>
      </c>
      <c r="R31">
        <v>10</v>
      </c>
      <c r="S31">
        <v>170</v>
      </c>
      <c r="T31">
        <v>243</v>
      </c>
      <c r="U31">
        <v>535</v>
      </c>
    </row>
    <row r="32" spans="2:21" x14ac:dyDescent="0.25">
      <c r="B32" s="10" t="s">
        <v>90</v>
      </c>
      <c r="C32">
        <v>777</v>
      </c>
      <c r="D32">
        <v>21</v>
      </c>
      <c r="E32">
        <v>6</v>
      </c>
      <c r="F32">
        <v>804</v>
      </c>
      <c r="G32">
        <v>160</v>
      </c>
      <c r="H32">
        <v>12</v>
      </c>
      <c r="I32">
        <v>0</v>
      </c>
      <c r="J32">
        <v>172</v>
      </c>
      <c r="K32">
        <v>976</v>
      </c>
      <c r="L32">
        <v>132</v>
      </c>
      <c r="M32">
        <v>1</v>
      </c>
      <c r="N32">
        <v>0</v>
      </c>
      <c r="O32">
        <v>133</v>
      </c>
      <c r="P32">
        <v>415</v>
      </c>
      <c r="Q32">
        <v>19</v>
      </c>
      <c r="R32">
        <v>14</v>
      </c>
      <c r="S32">
        <v>448</v>
      </c>
      <c r="T32">
        <v>581</v>
      </c>
      <c r="U32">
        <v>1557</v>
      </c>
    </row>
    <row r="33" spans="2:21" x14ac:dyDescent="0.25">
      <c r="B33" s="11">
        <v>0.54166666666666663</v>
      </c>
      <c r="C33">
        <v>188</v>
      </c>
      <c r="D33">
        <v>3</v>
      </c>
      <c r="E33">
        <v>1</v>
      </c>
      <c r="F33">
        <v>192</v>
      </c>
      <c r="G33">
        <v>34</v>
      </c>
      <c r="H33">
        <v>5</v>
      </c>
      <c r="I33">
        <v>0</v>
      </c>
      <c r="J33">
        <v>39</v>
      </c>
      <c r="K33">
        <v>231</v>
      </c>
      <c r="L33">
        <v>33</v>
      </c>
      <c r="M33">
        <v>0</v>
      </c>
      <c r="N33">
        <v>0</v>
      </c>
      <c r="O33">
        <v>33</v>
      </c>
      <c r="P33">
        <v>100</v>
      </c>
      <c r="Q33">
        <v>7</v>
      </c>
      <c r="R33">
        <v>3</v>
      </c>
      <c r="S33">
        <v>110</v>
      </c>
      <c r="T33">
        <v>143</v>
      </c>
      <c r="U33">
        <v>374</v>
      </c>
    </row>
    <row r="34" spans="2:21" x14ac:dyDescent="0.25">
      <c r="B34" s="11">
        <v>0.55208333333333337</v>
      </c>
      <c r="C34">
        <v>206</v>
      </c>
      <c r="D34">
        <v>5</v>
      </c>
      <c r="E34">
        <v>1</v>
      </c>
      <c r="F34">
        <v>212</v>
      </c>
      <c r="G34">
        <v>43</v>
      </c>
      <c r="H34">
        <v>1</v>
      </c>
      <c r="I34">
        <v>0</v>
      </c>
      <c r="J34">
        <v>44</v>
      </c>
      <c r="K34">
        <v>256</v>
      </c>
      <c r="L34">
        <v>35</v>
      </c>
      <c r="M34">
        <v>0</v>
      </c>
      <c r="N34">
        <v>0</v>
      </c>
      <c r="O34">
        <v>35</v>
      </c>
      <c r="P34">
        <v>108</v>
      </c>
      <c r="Q34">
        <v>6</v>
      </c>
      <c r="R34">
        <v>5</v>
      </c>
      <c r="S34">
        <v>119</v>
      </c>
      <c r="T34">
        <v>154</v>
      </c>
      <c r="U34">
        <v>410</v>
      </c>
    </row>
    <row r="35" spans="2:21" x14ac:dyDescent="0.25">
      <c r="B35" s="11">
        <v>0.5625</v>
      </c>
      <c r="C35">
        <v>186</v>
      </c>
      <c r="D35">
        <v>7</v>
      </c>
      <c r="E35">
        <v>2</v>
      </c>
      <c r="F35">
        <v>195</v>
      </c>
      <c r="G35">
        <v>47</v>
      </c>
      <c r="H35">
        <v>5</v>
      </c>
      <c r="I35">
        <v>0</v>
      </c>
      <c r="J35">
        <v>52</v>
      </c>
      <c r="K35">
        <v>247</v>
      </c>
      <c r="L35">
        <v>24</v>
      </c>
      <c r="M35">
        <v>1</v>
      </c>
      <c r="N35">
        <v>0</v>
      </c>
      <c r="O35">
        <v>25</v>
      </c>
      <c r="P35">
        <v>104</v>
      </c>
      <c r="Q35">
        <v>4</v>
      </c>
      <c r="R35">
        <v>3</v>
      </c>
      <c r="S35">
        <v>111</v>
      </c>
      <c r="T35">
        <v>136</v>
      </c>
      <c r="U35">
        <v>383</v>
      </c>
    </row>
    <row r="36" spans="2:21" x14ac:dyDescent="0.25">
      <c r="B36" s="11">
        <v>0.57291666666666663</v>
      </c>
      <c r="C36">
        <v>197</v>
      </c>
      <c r="D36">
        <v>6</v>
      </c>
      <c r="E36">
        <v>2</v>
      </c>
      <c r="F36">
        <v>205</v>
      </c>
      <c r="G36">
        <v>36</v>
      </c>
      <c r="H36">
        <v>1</v>
      </c>
      <c r="I36">
        <v>0</v>
      </c>
      <c r="J36">
        <v>37</v>
      </c>
      <c r="K36">
        <v>242</v>
      </c>
      <c r="L36">
        <v>40</v>
      </c>
      <c r="M36">
        <v>0</v>
      </c>
      <c r="N36">
        <v>0</v>
      </c>
      <c r="O36">
        <v>40</v>
      </c>
      <c r="P36">
        <v>103</v>
      </c>
      <c r="Q36">
        <v>2</v>
      </c>
      <c r="R36">
        <v>3</v>
      </c>
      <c r="S36">
        <v>108</v>
      </c>
      <c r="T36">
        <v>148</v>
      </c>
      <c r="U36">
        <v>390</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1680</v>
      </c>
      <c r="I5">
        <f>MAX(I11:I303)</f>
        <v>1557</v>
      </c>
      <c r="J5">
        <f>MAX(J11:J303)</f>
        <v>2492</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1680 vehicles between 07:45 and 08:45</v>
      </c>
      <c r="I8" s="6" t="str">
        <f>IF(I5=0,"","The peak hour for " &amp;I10&amp;" is "&amp;I5&amp;" vehicles between " &amp; TEXT(I6, "hh:mm")&amp; " and " &amp;TEXT(I7,"hh:mm"))</f>
        <v>The peak hour for INT is 1557 vehicles between 13:00 and 14:00</v>
      </c>
      <c r="J8" s="6" t="str">
        <f>IF(J5=0,"","The peak hour for " &amp;J10&amp;" is "&amp;J5&amp;" vehicles between " &amp; TEXT(J6, "hh:mm")&amp; " and " &amp;TEXT(J7,"hh:mm"))</f>
        <v>The peak hour for PM is 2492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260</v>
      </c>
      <c r="G11" s="7">
        <f>A11</f>
        <v>0.29166666666666669</v>
      </c>
      <c r="H11">
        <f>IF(B11&lt;&gt;0,SUMIF($G$11:$G11,"&gt;"&amp;$G11-1/24,B$11:B11),0)</f>
        <v>260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260</v>
      </c>
      <c r="Q11">
        <f>P11*L11</f>
        <v>0</v>
      </c>
      <c r="S11" s="9">
        <v>0.29166666666666669</v>
      </c>
      <c r="T11">
        <v>260</v>
      </c>
      <c r="U11">
        <v>0</v>
      </c>
    </row>
    <row r="12" spans="1:21" x14ac:dyDescent="0.25">
      <c r="A12" s="9">
        <v>0.30208333333333331</v>
      </c>
      <c r="B12">
        <v>295</v>
      </c>
      <c r="G12" s="7">
        <f t="shared" ref="G12:G26" si="3">A12</f>
        <v>0.30208333333333331</v>
      </c>
      <c r="H12">
        <f>IF(B12&lt;&gt;0,SUMIF($G$11:$G12,"&gt;"&amp;$G12-1/24,B$11:B12),0)</f>
        <v>555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295</v>
      </c>
      <c r="Q12">
        <f t="shared" ref="Q12:Q75" si="7">P12*L12</f>
        <v>0</v>
      </c>
      <c r="S12" s="9">
        <v>0.30208333333333331</v>
      </c>
      <c r="T12">
        <v>295</v>
      </c>
      <c r="U12">
        <v>0</v>
      </c>
    </row>
    <row r="13" spans="1:21" x14ac:dyDescent="0.25">
      <c r="A13" s="9">
        <v>0.3125</v>
      </c>
      <c r="B13">
        <v>371</v>
      </c>
      <c r="G13" s="7">
        <f t="shared" si="3"/>
        <v>0.3125</v>
      </c>
      <c r="H13">
        <f>IF(B13&lt;&gt;0,SUMIF($G$11:$G13,"&gt;"&amp;$G13-1/24,B$11:B13),0)</f>
        <v>926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371</v>
      </c>
      <c r="Q13">
        <f t="shared" si="7"/>
        <v>0</v>
      </c>
      <c r="S13" s="9">
        <v>0.3125</v>
      </c>
      <c r="T13">
        <v>371</v>
      </c>
      <c r="U13">
        <v>0</v>
      </c>
    </row>
    <row r="14" spans="1:21" x14ac:dyDescent="0.25">
      <c r="A14" s="9">
        <v>0.32291666666666669</v>
      </c>
      <c r="B14">
        <v>409</v>
      </c>
      <c r="G14" s="7">
        <f t="shared" si="3"/>
        <v>0.32291666666666669</v>
      </c>
      <c r="H14">
        <f>IF(B14&lt;&gt;0,SUMIF($G$11:$G14,"&gt;"&amp;$G14-1/24,B$11:B14),0)</f>
        <v>1335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409</v>
      </c>
      <c r="Q14">
        <f t="shared" si="7"/>
        <v>409</v>
      </c>
      <c r="S14" s="9">
        <v>0.32291666666666669</v>
      </c>
      <c r="T14">
        <v>409</v>
      </c>
      <c r="U14">
        <v>409</v>
      </c>
    </row>
    <row r="15" spans="1:21" x14ac:dyDescent="0.25">
      <c r="A15" s="9">
        <v>0.33333333333333331</v>
      </c>
      <c r="B15">
        <v>376</v>
      </c>
      <c r="G15" s="7">
        <f t="shared" si="3"/>
        <v>0.33333333333333331</v>
      </c>
      <c r="H15">
        <f>IF(B15&lt;&gt;0,SUMIF($G$11:$G15,"&gt;"&amp;$G15-1/24,B$11:B15),0)</f>
        <v>1451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376</v>
      </c>
      <c r="Q15">
        <f t="shared" si="7"/>
        <v>376</v>
      </c>
      <c r="S15" s="9">
        <v>0.33333333333333331</v>
      </c>
      <c r="T15">
        <v>376</v>
      </c>
      <c r="U15">
        <v>376</v>
      </c>
    </row>
    <row r="16" spans="1:21" x14ac:dyDescent="0.25">
      <c r="A16" s="9">
        <v>0.34375</v>
      </c>
      <c r="B16">
        <v>429</v>
      </c>
      <c r="G16" s="7">
        <f t="shared" si="3"/>
        <v>0.34375</v>
      </c>
      <c r="H16">
        <f>IF(B16&lt;&gt;0,SUMIF($G$11:$G16,"&gt;"&amp;$G16-1/24,B$11:B16),0)</f>
        <v>1585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429</v>
      </c>
      <c r="Q16">
        <f t="shared" si="7"/>
        <v>429</v>
      </c>
      <c r="S16" s="9">
        <v>0.34375</v>
      </c>
      <c r="T16">
        <v>429</v>
      </c>
      <c r="U16">
        <v>429</v>
      </c>
    </row>
    <row r="17" spans="1:21" x14ac:dyDescent="0.25">
      <c r="A17" s="9">
        <v>0.35416666666666669</v>
      </c>
      <c r="B17">
        <v>466</v>
      </c>
      <c r="G17" s="7">
        <f t="shared" si="3"/>
        <v>0.35416666666666669</v>
      </c>
      <c r="H17">
        <f>IF(B17&lt;&gt;0,SUMIF($G$11:$G17,"&gt;"&amp;$G17-1/24,B$11:B17),0)</f>
        <v>1680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466</v>
      </c>
      <c r="Q17">
        <f t="shared" si="7"/>
        <v>466</v>
      </c>
      <c r="S17" s="9">
        <v>0.35416666666666669</v>
      </c>
      <c r="T17">
        <v>466</v>
      </c>
      <c r="U17">
        <v>466</v>
      </c>
    </row>
    <row r="18" spans="1:21" x14ac:dyDescent="0.25">
      <c r="A18" s="9">
        <v>0.36458333333333331</v>
      </c>
      <c r="B18">
        <v>400</v>
      </c>
      <c r="G18" s="7">
        <f t="shared" si="3"/>
        <v>0.36458333333333331</v>
      </c>
      <c r="H18">
        <f>IF(B18&lt;&gt;0,SUMIF($G$11:$G18,"&gt;"&amp;$G18-1/24,B$11:B18),0)</f>
        <v>1671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400</v>
      </c>
      <c r="Q18">
        <f t="shared" si="7"/>
        <v>0</v>
      </c>
      <c r="S18" s="9">
        <v>0.36458333333333331</v>
      </c>
      <c r="T18">
        <v>400</v>
      </c>
      <c r="U18">
        <v>0</v>
      </c>
    </row>
    <row r="19" spans="1:21" x14ac:dyDescent="0.25">
      <c r="A19" s="9">
        <v>0.54166666666666663</v>
      </c>
      <c r="C19">
        <v>374</v>
      </c>
      <c r="G19" s="7">
        <f t="shared" si="3"/>
        <v>0.54166666666666663</v>
      </c>
      <c r="H19">
        <f>IF(B19&lt;&gt;0,SUMIF($G$11:$G19,"&gt;"&amp;$G19-1/24,B$11:B19),0)</f>
        <v>0</v>
      </c>
      <c r="I19">
        <f>IF(C19&lt;&gt;0,SUMIF($G$11:$G19,"&gt;"&amp;$G19-1/24,C$11:C19),0)</f>
        <v>374</v>
      </c>
      <c r="J19">
        <f>IF(D19&lt;&gt;0,SUMIF($G$11:$G19,"&gt;"&amp;$G19-1/24,D$11:D19),0)</f>
        <v>0</v>
      </c>
      <c r="K19">
        <f>IF(E19&lt;&gt;0,SUMIF($G$11:$G19,"&gt;"&amp;$G19-1/24,E$11:E19),0)</f>
        <v>0</v>
      </c>
      <c r="L19">
        <f t="shared" si="4"/>
        <v>1</v>
      </c>
      <c r="N19" t="str">
        <f t="shared" si="5"/>
        <v>INT</v>
      </c>
      <c r="O19" s="7">
        <f t="shared" si="2"/>
        <v>0.54166666666666663</v>
      </c>
      <c r="P19">
        <f t="shared" si="6"/>
        <v>374</v>
      </c>
      <c r="Q19">
        <f t="shared" si="7"/>
        <v>374</v>
      </c>
      <c r="S19" s="9" t="s">
        <v>49</v>
      </c>
      <c r="T19">
        <v>3006</v>
      </c>
      <c r="U19">
        <v>1680</v>
      </c>
    </row>
    <row r="20" spans="1:21" x14ac:dyDescent="0.25">
      <c r="A20" s="9">
        <v>0.55208333333333337</v>
      </c>
      <c r="C20">
        <v>410</v>
      </c>
      <c r="G20" s="7">
        <f t="shared" si="3"/>
        <v>0.55208333333333337</v>
      </c>
      <c r="H20">
        <f>IF(B20&lt;&gt;0,SUMIF($G$11:$G20,"&gt;"&amp;$G20-1/24,B$11:B20),0)</f>
        <v>0</v>
      </c>
      <c r="I20">
        <f>IF(C20&lt;&gt;0,SUMIF($G$11:$G20,"&gt;"&amp;$G20-1/24,C$11:C20),0)</f>
        <v>784</v>
      </c>
      <c r="J20">
        <f>IF(D20&lt;&gt;0,SUMIF($G$11:$G20,"&gt;"&amp;$G20-1/24,D$11:D20),0)</f>
        <v>0</v>
      </c>
      <c r="K20">
        <f>IF(E20&lt;&gt;0,SUMIF($G$11:$G20,"&gt;"&amp;$G20-1/24,E$11:E20),0)</f>
        <v>0</v>
      </c>
      <c r="L20">
        <f t="shared" si="4"/>
        <v>1</v>
      </c>
      <c r="N20" t="str">
        <f t="shared" si="5"/>
        <v>INT</v>
      </c>
      <c r="O20" s="7">
        <f t="shared" si="2"/>
        <v>0.55208333333333337</v>
      </c>
      <c r="P20">
        <f t="shared" si="6"/>
        <v>410</v>
      </c>
      <c r="Q20">
        <f t="shared" si="7"/>
        <v>410</v>
      </c>
    </row>
    <row r="21" spans="1:21" x14ac:dyDescent="0.25">
      <c r="A21" s="9">
        <v>0.5625</v>
      </c>
      <c r="C21">
        <v>383</v>
      </c>
      <c r="G21" s="7">
        <f t="shared" si="3"/>
        <v>0.5625</v>
      </c>
      <c r="H21">
        <f>IF(B21&lt;&gt;0,SUMIF($G$11:$G21,"&gt;"&amp;$G21-1/24,B$11:B21),0)</f>
        <v>0</v>
      </c>
      <c r="I21">
        <f>IF(C21&lt;&gt;0,SUMIF($G$11:$G21,"&gt;"&amp;$G21-1/24,C$11:C21),0)</f>
        <v>1167</v>
      </c>
      <c r="J21">
        <f>IF(D21&lt;&gt;0,SUMIF($G$11:$G21,"&gt;"&amp;$G21-1/24,D$11:D21),0)</f>
        <v>0</v>
      </c>
      <c r="K21">
        <f>IF(E21&lt;&gt;0,SUMIF($G$11:$G21,"&gt;"&amp;$G21-1/24,E$11:E21),0)</f>
        <v>0</v>
      </c>
      <c r="L21">
        <f t="shared" si="4"/>
        <v>1</v>
      </c>
      <c r="N21" t="str">
        <f t="shared" si="5"/>
        <v>INT</v>
      </c>
      <c r="O21" s="7">
        <f t="shared" si="2"/>
        <v>0.5625</v>
      </c>
      <c r="P21">
        <f t="shared" si="6"/>
        <v>383</v>
      </c>
      <c r="Q21">
        <f t="shared" si="7"/>
        <v>383</v>
      </c>
    </row>
    <row r="22" spans="1:21" x14ac:dyDescent="0.25">
      <c r="A22" s="9">
        <v>0.57291666666666663</v>
      </c>
      <c r="C22">
        <v>390</v>
      </c>
      <c r="G22" s="7">
        <f t="shared" si="3"/>
        <v>0.57291666666666663</v>
      </c>
      <c r="H22">
        <f>IF(B22&lt;&gt;0,SUMIF($G$11:$G22,"&gt;"&amp;$G22-1/24,B$11:B22),0)</f>
        <v>0</v>
      </c>
      <c r="I22">
        <f>IF(C22&lt;&gt;0,SUMIF($G$11:$G22,"&gt;"&amp;$G22-1/24,C$11:C22),0)</f>
        <v>1557</v>
      </c>
      <c r="J22">
        <f>IF(D22&lt;&gt;0,SUMIF($G$11:$G22,"&gt;"&amp;$G22-1/24,D$11:D22),0)</f>
        <v>0</v>
      </c>
      <c r="K22">
        <f>IF(E22&lt;&gt;0,SUMIF($G$11:$G22,"&gt;"&amp;$G22-1/24,E$11:E22),0)</f>
        <v>0</v>
      </c>
      <c r="L22">
        <f t="shared" si="4"/>
        <v>1</v>
      </c>
      <c r="N22" t="str">
        <f t="shared" si="5"/>
        <v>INT</v>
      </c>
      <c r="O22" s="7">
        <f t="shared" si="2"/>
        <v>0.57291666666666663</v>
      </c>
      <c r="P22">
        <f t="shared" si="6"/>
        <v>390</v>
      </c>
      <c r="Q22">
        <f t="shared" si="7"/>
        <v>390</v>
      </c>
    </row>
    <row r="23" spans="1:21" x14ac:dyDescent="0.25">
      <c r="A23" s="9">
        <v>0.66666666666666663</v>
      </c>
      <c r="D23">
        <v>573</v>
      </c>
      <c r="G23" s="7">
        <f t="shared" si="3"/>
        <v>0.66666666666666663</v>
      </c>
      <c r="H23">
        <f>IF(B23&lt;&gt;0,SUMIF($G$11:$G23,"&gt;"&amp;$G23-1/24,B$11:B23),0)</f>
        <v>0</v>
      </c>
      <c r="I23">
        <f>IF(C23&lt;&gt;0,SUMIF($G$11:$G23,"&gt;"&amp;$G23-1/24,C$11:C23),0)</f>
        <v>0</v>
      </c>
      <c r="J23">
        <f>IF(D23&lt;&gt;0,SUMIF($G$11:$G23,"&gt;"&amp;$G23-1/24,D$11:D23),0)</f>
        <v>573</v>
      </c>
      <c r="K23">
        <f>IF(E23&lt;&gt;0,SUMIF($G$11:$G23,"&gt;"&amp;$G23-1/24,E$11:E23),0)</f>
        <v>0</v>
      </c>
      <c r="L23">
        <f t="shared" si="4"/>
        <v>0</v>
      </c>
      <c r="N23" t="str">
        <f t="shared" si="5"/>
        <v>PM</v>
      </c>
      <c r="O23" s="7">
        <f t="shared" si="2"/>
        <v>0.66666666666666663</v>
      </c>
      <c r="P23">
        <f t="shared" si="6"/>
        <v>573</v>
      </c>
      <c r="Q23">
        <f t="shared" si="7"/>
        <v>0</v>
      </c>
    </row>
    <row r="24" spans="1:21" x14ac:dyDescent="0.25">
      <c r="A24" s="9">
        <v>0.67708333333333337</v>
      </c>
      <c r="D24">
        <v>588</v>
      </c>
      <c r="G24" s="7">
        <f t="shared" si="3"/>
        <v>0.67708333333333337</v>
      </c>
      <c r="H24">
        <f>IF(B24&lt;&gt;0,SUMIF($G$11:$G24,"&gt;"&amp;$G24-1/24,B$11:B24),0)</f>
        <v>0</v>
      </c>
      <c r="I24">
        <f>IF(C24&lt;&gt;0,SUMIF($G$11:$G24,"&gt;"&amp;$G24-1/24,C$11:C24),0)</f>
        <v>0</v>
      </c>
      <c r="J24">
        <f>IF(D24&lt;&gt;0,SUMIF($G$11:$G24,"&gt;"&amp;$G24-1/24,D$11:D24),0)</f>
        <v>1161</v>
      </c>
      <c r="K24">
        <f>IF(E24&lt;&gt;0,SUMIF($G$11:$G24,"&gt;"&amp;$G24-1/24,E$11:E24),0)</f>
        <v>0</v>
      </c>
      <c r="L24">
        <f t="shared" si="4"/>
        <v>0</v>
      </c>
      <c r="N24" t="str">
        <f t="shared" si="5"/>
        <v>PM</v>
      </c>
      <c r="O24" s="7">
        <f t="shared" si="2"/>
        <v>0.67708333333333337</v>
      </c>
      <c r="P24">
        <f t="shared" si="6"/>
        <v>588</v>
      </c>
      <c r="Q24">
        <f t="shared" si="7"/>
        <v>0</v>
      </c>
    </row>
    <row r="25" spans="1:21" x14ac:dyDescent="0.25">
      <c r="A25" s="9">
        <v>0.6875</v>
      </c>
      <c r="D25">
        <v>626</v>
      </c>
      <c r="G25" s="7">
        <f t="shared" si="3"/>
        <v>0.6875</v>
      </c>
      <c r="H25">
        <f>IF(B25&lt;&gt;0,SUMIF($G$11:$G25,"&gt;"&amp;$G25-1/24,B$11:B25),0)</f>
        <v>0</v>
      </c>
      <c r="I25">
        <f>IF(C25&lt;&gt;0,SUMIF($G$11:$G25,"&gt;"&amp;$G25-1/24,C$11:C25),0)</f>
        <v>0</v>
      </c>
      <c r="J25">
        <f>IF(D25&lt;&gt;0,SUMIF($G$11:$G25,"&gt;"&amp;$G25-1/24,D$11:D25),0)</f>
        <v>1787</v>
      </c>
      <c r="K25">
        <f>IF(E25&lt;&gt;0,SUMIF($G$11:$G25,"&gt;"&amp;$G25-1/24,E$11:E25),0)</f>
        <v>0</v>
      </c>
      <c r="L25">
        <f t="shared" si="4"/>
        <v>1</v>
      </c>
      <c r="N25" t="str">
        <f t="shared" si="5"/>
        <v>PM</v>
      </c>
      <c r="O25" s="7">
        <f t="shared" si="2"/>
        <v>0.6875</v>
      </c>
      <c r="P25">
        <f t="shared" si="6"/>
        <v>626</v>
      </c>
      <c r="Q25">
        <f t="shared" si="7"/>
        <v>626</v>
      </c>
    </row>
    <row r="26" spans="1:21" x14ac:dyDescent="0.25">
      <c r="A26" s="9">
        <v>0.69791666666666663</v>
      </c>
      <c r="D26">
        <v>629</v>
      </c>
      <c r="G26" s="7">
        <f t="shared" si="3"/>
        <v>0.69791666666666663</v>
      </c>
      <c r="H26">
        <f>IF(B26&lt;&gt;0,SUMIF($G$11:$G26,"&gt;"&amp;$G26-1/24,B$11:B26),0)</f>
        <v>0</v>
      </c>
      <c r="I26">
        <f>IF(C26&lt;&gt;0,SUMIF($G$11:$G26,"&gt;"&amp;$G26-1/24,C$11:C26),0)</f>
        <v>0</v>
      </c>
      <c r="J26">
        <f>IF(D26&lt;&gt;0,SUMIF($G$11:$G26,"&gt;"&amp;$G26-1/24,D$11:D26),0)</f>
        <v>2416</v>
      </c>
      <c r="K26">
        <f>IF(E26&lt;&gt;0,SUMIF($G$11:$G26,"&gt;"&amp;$G26-1/24,E$11:E26),0)</f>
        <v>0</v>
      </c>
      <c r="L26">
        <f t="shared" si="4"/>
        <v>1</v>
      </c>
      <c r="N26" t="str">
        <f t="shared" si="5"/>
        <v>PM</v>
      </c>
      <c r="O26" s="7">
        <f t="shared" si="2"/>
        <v>0.69791666666666663</v>
      </c>
      <c r="P26">
        <f t="shared" si="6"/>
        <v>629</v>
      </c>
      <c r="Q26">
        <f t="shared" si="7"/>
        <v>629</v>
      </c>
    </row>
    <row r="27" spans="1:21" x14ac:dyDescent="0.25">
      <c r="A27" s="9">
        <v>0.70833333333333337</v>
      </c>
      <c r="D27">
        <v>643</v>
      </c>
      <c r="G27" s="7">
        <f t="shared" ref="G27:G90" si="8">A27</f>
        <v>0.70833333333333337</v>
      </c>
      <c r="H27">
        <f>IF(B27&lt;&gt;0,SUMIF($G$11:$G27,"&gt;"&amp;$G27-1/24,B$11:B27),0)</f>
        <v>0</v>
      </c>
      <c r="I27">
        <f>IF(C27&lt;&gt;0,SUMIF($G$11:$G27,"&gt;"&amp;$G27-1/24,C$11:C27),0)</f>
        <v>0</v>
      </c>
      <c r="J27">
        <f>IF(D27&lt;&gt;0,SUMIF($G$11:$G27,"&gt;"&amp;$G27-1/24,D$11:D27),0)</f>
        <v>2486</v>
      </c>
      <c r="K27">
        <f>IF(E27&lt;&gt;0,SUMIF($G$11:$G27,"&gt;"&amp;$G27-1/24,E$11:E27),0)</f>
        <v>0</v>
      </c>
      <c r="L27">
        <f t="shared" si="4"/>
        <v>1</v>
      </c>
      <c r="N27" t="str">
        <f t="shared" si="5"/>
        <v>PM</v>
      </c>
      <c r="O27" s="7">
        <f t="shared" si="2"/>
        <v>0.70833333333333337</v>
      </c>
      <c r="P27">
        <f t="shared" si="6"/>
        <v>643</v>
      </c>
      <c r="Q27">
        <f t="shared" si="7"/>
        <v>643</v>
      </c>
    </row>
    <row r="28" spans="1:21" x14ac:dyDescent="0.25">
      <c r="A28" s="9">
        <v>0.71875</v>
      </c>
      <c r="D28">
        <v>594</v>
      </c>
      <c r="G28" s="7">
        <f t="shared" si="8"/>
        <v>0.71875</v>
      </c>
      <c r="H28">
        <f>IF(B28&lt;&gt;0,SUMIF($G$11:$G28,"&gt;"&amp;$G28-1/24,B$11:B28),0)</f>
        <v>0</v>
      </c>
      <c r="I28">
        <f>IF(C28&lt;&gt;0,SUMIF($G$11:$G28,"&gt;"&amp;$G28-1/24,C$11:C28),0)</f>
        <v>0</v>
      </c>
      <c r="J28">
        <f>IF(D28&lt;&gt;0,SUMIF($G$11:$G28,"&gt;"&amp;$G28-1/24,D$11:D28),0)</f>
        <v>2492</v>
      </c>
      <c r="K28">
        <f>IF(E28&lt;&gt;0,SUMIF($G$11:$G28,"&gt;"&amp;$G28-1/24,E$11:E28),0)</f>
        <v>0</v>
      </c>
      <c r="L28">
        <f t="shared" si="4"/>
        <v>1</v>
      </c>
      <c r="N28" t="str">
        <f t="shared" si="5"/>
        <v>PM</v>
      </c>
      <c r="O28" s="7">
        <f t="shared" si="2"/>
        <v>0.71875</v>
      </c>
      <c r="P28">
        <f t="shared" si="6"/>
        <v>594</v>
      </c>
      <c r="Q28">
        <f t="shared" si="7"/>
        <v>594</v>
      </c>
    </row>
    <row r="29" spans="1:21" x14ac:dyDescent="0.25">
      <c r="A29" s="9">
        <v>0.72916666666666663</v>
      </c>
      <c r="D29">
        <v>593</v>
      </c>
      <c r="G29" s="7">
        <f t="shared" si="8"/>
        <v>0.72916666666666663</v>
      </c>
      <c r="H29">
        <f>IF(B29&lt;&gt;0,SUMIF($G$11:$G29,"&gt;"&amp;$G29-1/24,B$11:B29),0)</f>
        <v>0</v>
      </c>
      <c r="I29">
        <f>IF(C29&lt;&gt;0,SUMIF($G$11:$G29,"&gt;"&amp;$G29-1/24,C$11:C29),0)</f>
        <v>0</v>
      </c>
      <c r="J29">
        <f>IF(D29&lt;&gt;0,SUMIF($G$11:$G29,"&gt;"&amp;$G29-1/24,D$11:D29),0)</f>
        <v>2459</v>
      </c>
      <c r="K29">
        <f>IF(E29&lt;&gt;0,SUMIF($G$11:$G29,"&gt;"&amp;$G29-1/24,E$11:E29),0)</f>
        <v>0</v>
      </c>
      <c r="L29">
        <f t="shared" si="4"/>
        <v>0</v>
      </c>
      <c r="N29" t="str">
        <f t="shared" si="5"/>
        <v>PM</v>
      </c>
      <c r="O29" s="7">
        <f t="shared" si="2"/>
        <v>0.72916666666666663</v>
      </c>
      <c r="P29">
        <f t="shared" si="6"/>
        <v>593</v>
      </c>
      <c r="Q29">
        <f t="shared" si="7"/>
        <v>0</v>
      </c>
    </row>
    <row r="30" spans="1:21" x14ac:dyDescent="0.25">
      <c r="A30" s="9">
        <v>0.73958333333333337</v>
      </c>
      <c r="D30">
        <v>535</v>
      </c>
      <c r="G30" s="7">
        <f t="shared" si="8"/>
        <v>0.73958333333333337</v>
      </c>
      <c r="H30">
        <f>IF(B30&lt;&gt;0,SUMIF($G$11:$G30,"&gt;"&amp;$G30-1/24,B$11:B30),0)</f>
        <v>0</v>
      </c>
      <c r="I30">
        <f>IF(C30&lt;&gt;0,SUMIF($G$11:$G30,"&gt;"&amp;$G30-1/24,C$11:C30),0)</f>
        <v>0</v>
      </c>
      <c r="J30">
        <f>IF(D30&lt;&gt;0,SUMIF($G$11:$G30,"&gt;"&amp;$G30-1/24,D$11:D30),0)</f>
        <v>2365</v>
      </c>
      <c r="K30">
        <f>IF(E30&lt;&gt;0,SUMIF($G$11:$G30,"&gt;"&amp;$G30-1/24,E$11:E30),0)</f>
        <v>0</v>
      </c>
      <c r="L30">
        <f t="shared" si="4"/>
        <v>0</v>
      </c>
      <c r="N30" t="str">
        <f t="shared" si="5"/>
        <v>PM</v>
      </c>
      <c r="O30" s="7">
        <f t="shared" si="2"/>
        <v>0.73958333333333337</v>
      </c>
      <c r="P30">
        <f t="shared" si="6"/>
        <v>535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260</v>
      </c>
      <c r="E5" t="str">
        <f>"Vehicle Count by Exit Leg for "&amp;C2&amp;" Period"</f>
        <v>Vehicle Count by Exit Leg for AM Period</v>
      </c>
    </row>
    <row r="6" spans="2:5" x14ac:dyDescent="0.25">
      <c r="B6" s="9">
        <v>0.30208333333333331</v>
      </c>
      <c r="C6">
        <v>295</v>
      </c>
    </row>
    <row r="7" spans="2:5" x14ac:dyDescent="0.25">
      <c r="B7" s="9">
        <v>0.3125</v>
      </c>
      <c r="C7">
        <v>371</v>
      </c>
    </row>
    <row r="8" spans="2:5" x14ac:dyDescent="0.25">
      <c r="B8" s="9">
        <v>0.32291666666666669</v>
      </c>
      <c r="C8">
        <v>409</v>
      </c>
    </row>
    <row r="9" spans="2:5" x14ac:dyDescent="0.25">
      <c r="B9" s="9">
        <v>0.33333333333333331</v>
      </c>
      <c r="C9">
        <v>376</v>
      </c>
    </row>
    <row r="10" spans="2:5" x14ac:dyDescent="0.25">
      <c r="B10" s="9">
        <v>0.34375</v>
      </c>
      <c r="C10">
        <v>429</v>
      </c>
    </row>
    <row r="11" spans="2:5" x14ac:dyDescent="0.25">
      <c r="B11" s="9">
        <v>0.35416666666666669</v>
      </c>
      <c r="C11">
        <v>466</v>
      </c>
    </row>
    <row r="12" spans="2:5" x14ac:dyDescent="0.25">
      <c r="B12" s="9">
        <v>0.36458333333333331</v>
      </c>
      <c r="C12">
        <v>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28515625" bestFit="1" customWidth="1"/>
    <col min="12" max="12" width="17" bestFit="1" customWidth="1"/>
    <col min="13" max="13" width="21.5703125" customWidth="1"/>
    <col min="14" max="14" width="8.28515625" customWidth="1"/>
    <col min="15" max="15" width="5.5703125" customWidth="1"/>
    <col min="16" max="18" width="3.28515625" customWidth="1"/>
    <col min="19" max="19" width="11.28515625" bestFit="1" customWidth="1"/>
    <col min="20" max="20" width="19.28515625" bestFit="1" customWidth="1"/>
    <col min="21" max="21" width="15.855468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T25" s="16" t="s">
        <v>99</v>
      </c>
      <c r="U25" s="16" t="s">
        <v>98</v>
      </c>
      <c r="X25" s="13"/>
    </row>
    <row r="26" spans="2:24" x14ac:dyDescent="0.25">
      <c r="B26" s="9">
        <v>0.29166666666666669</v>
      </c>
      <c r="C26" s="16">
        <v>260</v>
      </c>
      <c r="J26" s="9">
        <v>0.29166666666666669</v>
      </c>
      <c r="K26" s="16">
        <v>182</v>
      </c>
      <c r="L26" s="16">
        <v>78</v>
      </c>
      <c r="S26" s="9">
        <v>0.29166666666666669</v>
      </c>
      <c r="T26" s="16">
        <v>193</v>
      </c>
      <c r="U26" s="16">
        <v>67</v>
      </c>
    </row>
    <row r="27" spans="2:24" x14ac:dyDescent="0.25">
      <c r="B27" s="9">
        <v>0.30208333333333331</v>
      </c>
      <c r="C27" s="16">
        <v>295</v>
      </c>
      <c r="J27" s="9">
        <v>0.30208333333333331</v>
      </c>
      <c r="K27" s="16">
        <v>227</v>
      </c>
      <c r="L27" s="16">
        <v>68</v>
      </c>
      <c r="S27" s="9">
        <v>0.30208333333333331</v>
      </c>
      <c r="T27" s="16">
        <v>215</v>
      </c>
      <c r="U27" s="16">
        <v>80</v>
      </c>
    </row>
    <row r="28" spans="2:24" x14ac:dyDescent="0.25">
      <c r="B28" s="9">
        <v>0.3125</v>
      </c>
      <c r="C28" s="16">
        <v>371</v>
      </c>
      <c r="J28" s="9">
        <v>0.3125</v>
      </c>
      <c r="K28" s="16">
        <v>257</v>
      </c>
      <c r="L28" s="16">
        <v>114</v>
      </c>
      <c r="S28" s="9">
        <v>0.3125</v>
      </c>
      <c r="T28" s="16">
        <v>247</v>
      </c>
      <c r="U28" s="16">
        <v>124</v>
      </c>
    </row>
    <row r="29" spans="2:24" x14ac:dyDescent="0.25">
      <c r="B29" s="9">
        <v>0.32291666666666669</v>
      </c>
      <c r="C29" s="16">
        <v>409</v>
      </c>
      <c r="J29" s="9">
        <v>0.32291666666666669</v>
      </c>
      <c r="K29" s="16">
        <v>309</v>
      </c>
      <c r="L29" s="16">
        <v>100</v>
      </c>
      <c r="S29" s="9">
        <v>0.32291666666666669</v>
      </c>
      <c r="T29" s="16">
        <v>288</v>
      </c>
      <c r="U29" s="16">
        <v>121</v>
      </c>
    </row>
    <row r="30" spans="2:24" x14ac:dyDescent="0.25">
      <c r="B30" s="9">
        <v>0.33333333333333331</v>
      </c>
      <c r="C30" s="16">
        <v>376</v>
      </c>
      <c r="J30" s="9">
        <v>0.33333333333333331</v>
      </c>
      <c r="K30" s="16">
        <v>251</v>
      </c>
      <c r="L30" s="16">
        <v>125</v>
      </c>
      <c r="S30" s="9">
        <v>0.33333333333333331</v>
      </c>
      <c r="T30" s="16">
        <v>250</v>
      </c>
      <c r="U30" s="16">
        <v>126</v>
      </c>
    </row>
    <row r="31" spans="2:24" x14ac:dyDescent="0.25">
      <c r="B31" s="9">
        <v>0.34375</v>
      </c>
      <c r="C31" s="16">
        <v>429</v>
      </c>
      <c r="J31" s="9">
        <v>0.34375</v>
      </c>
      <c r="K31" s="16">
        <v>315</v>
      </c>
      <c r="L31" s="16">
        <v>114</v>
      </c>
      <c r="S31" s="9">
        <v>0.34375</v>
      </c>
      <c r="T31" s="16">
        <v>295</v>
      </c>
      <c r="U31" s="16">
        <v>134</v>
      </c>
    </row>
    <row r="32" spans="2:24" x14ac:dyDescent="0.25">
      <c r="B32" s="9">
        <v>0.35416666666666669</v>
      </c>
      <c r="C32" s="16">
        <v>466</v>
      </c>
      <c r="J32" s="9">
        <v>0.35416666666666669</v>
      </c>
      <c r="K32" s="16">
        <v>325</v>
      </c>
      <c r="L32" s="16">
        <v>141</v>
      </c>
      <c r="S32" s="9">
        <v>0.35416666666666669</v>
      </c>
      <c r="T32" s="16">
        <v>324</v>
      </c>
      <c r="U32" s="16">
        <v>142</v>
      </c>
    </row>
    <row r="33" spans="2:21" x14ac:dyDescent="0.25">
      <c r="B33" s="9">
        <v>0.36458333333333331</v>
      </c>
      <c r="C33" s="16">
        <v>400</v>
      </c>
      <c r="J33" s="9">
        <v>0.36458333333333331</v>
      </c>
      <c r="K33" s="16">
        <v>301</v>
      </c>
      <c r="L33" s="16">
        <v>99</v>
      </c>
      <c r="S33" s="9">
        <v>0.36458333333333331</v>
      </c>
      <c r="T33" s="16">
        <v>274</v>
      </c>
      <c r="U33" s="16">
        <v>126</v>
      </c>
    </row>
    <row r="34" spans="2:21" x14ac:dyDescent="0.25">
      <c r="B34" s="9" t="s">
        <v>49</v>
      </c>
      <c r="C34" s="16">
        <v>3006</v>
      </c>
      <c r="J34" s="9" t="s">
        <v>49</v>
      </c>
      <c r="K34" s="16">
        <v>2167</v>
      </c>
      <c r="L34" s="16">
        <v>839</v>
      </c>
      <c r="S34" s="9" t="s">
        <v>49</v>
      </c>
      <c r="T34" s="16">
        <v>2086</v>
      </c>
      <c r="U34" s="16">
        <v>920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5" x14ac:dyDescent="0.25"/>
  <cols>
    <col min="1" max="1" width="3.7109375" customWidth="1"/>
    <col min="2" max="2" width="28.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1680 vehicles between 07:45 and 08:45</v>
      </c>
    </row>
    <row r="5" spans="2:2" x14ac:dyDescent="0.25">
      <c r="B5" s="6" t="str">
        <f>PeakCalc!I8</f>
        <v>The peak hour for INT is 1557 vehicles between 13:00 and 14:00</v>
      </c>
    </row>
    <row r="6" spans="2:2" x14ac:dyDescent="0.25">
      <c r="B6" s="6" t="str">
        <f>PeakCalc!J8</f>
        <v>The peak hour for PM is 2492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107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1155</v>
      </c>
      <c r="D32">
        <v>37</v>
      </c>
      <c r="E32">
        <v>8</v>
      </c>
      <c r="F32">
        <v>1200</v>
      </c>
      <c r="G32">
        <v>1474</v>
      </c>
      <c r="H32">
        <v>19</v>
      </c>
      <c r="I32">
        <v>30</v>
      </c>
      <c r="J32">
        <v>1523</v>
      </c>
      <c r="K32">
        <v>937</v>
      </c>
      <c r="L32">
        <v>33</v>
      </c>
      <c r="M32">
        <v>6</v>
      </c>
      <c r="N32">
        <v>976</v>
      </c>
    </row>
    <row r="33" spans="2:14" x14ac:dyDescent="0.25">
      <c r="B33" s="14" t="s">
        <v>94</v>
      </c>
      <c r="C33">
        <v>1001</v>
      </c>
      <c r="D33">
        <v>33</v>
      </c>
      <c r="E33">
        <v>8</v>
      </c>
      <c r="F33">
        <v>1042</v>
      </c>
      <c r="G33">
        <v>1290</v>
      </c>
      <c r="H33">
        <v>14</v>
      </c>
      <c r="I33">
        <v>30</v>
      </c>
      <c r="J33">
        <v>1334</v>
      </c>
      <c r="K33">
        <v>777</v>
      </c>
      <c r="L33">
        <v>21</v>
      </c>
      <c r="M33">
        <v>6</v>
      </c>
      <c r="N33">
        <v>804</v>
      </c>
    </row>
    <row r="34" spans="2:14" x14ac:dyDescent="0.25">
      <c r="B34" s="14" t="s">
        <v>95</v>
      </c>
      <c r="C34">
        <v>154</v>
      </c>
      <c r="D34">
        <v>4</v>
      </c>
      <c r="E34">
        <v>0</v>
      </c>
      <c r="F34">
        <v>158</v>
      </c>
      <c r="G34">
        <v>184</v>
      </c>
      <c r="H34">
        <v>5</v>
      </c>
      <c r="I34">
        <v>0</v>
      </c>
      <c r="J34">
        <v>189</v>
      </c>
      <c r="K34">
        <v>160</v>
      </c>
      <c r="L34">
        <v>12</v>
      </c>
      <c r="M34">
        <v>0</v>
      </c>
      <c r="N34">
        <v>172</v>
      </c>
    </row>
    <row r="35" spans="2:14" x14ac:dyDescent="0.25">
      <c r="B35" s="10" t="s">
        <v>93</v>
      </c>
      <c r="C35">
        <v>423</v>
      </c>
      <c r="D35">
        <v>38</v>
      </c>
      <c r="E35">
        <v>19</v>
      </c>
      <c r="F35">
        <v>480</v>
      </c>
      <c r="G35">
        <v>892</v>
      </c>
      <c r="H35">
        <v>15</v>
      </c>
      <c r="I35">
        <v>62</v>
      </c>
      <c r="J35">
        <v>969</v>
      </c>
      <c r="K35">
        <v>547</v>
      </c>
      <c r="L35">
        <v>20</v>
      </c>
      <c r="M35">
        <v>14</v>
      </c>
      <c r="N35">
        <v>581</v>
      </c>
    </row>
    <row r="36" spans="2:14" x14ac:dyDescent="0.25">
      <c r="B36" s="14" t="s">
        <v>96</v>
      </c>
      <c r="C36">
        <v>109</v>
      </c>
      <c r="D36">
        <v>5</v>
      </c>
      <c r="E36">
        <v>1</v>
      </c>
      <c r="F36">
        <v>115</v>
      </c>
      <c r="G36">
        <v>281</v>
      </c>
      <c r="H36">
        <v>2</v>
      </c>
      <c r="I36">
        <v>1</v>
      </c>
      <c r="J36">
        <v>284</v>
      </c>
      <c r="K36">
        <v>132</v>
      </c>
      <c r="L36">
        <v>1</v>
      </c>
      <c r="M36">
        <v>0</v>
      </c>
      <c r="N36">
        <v>133</v>
      </c>
    </row>
    <row r="37" spans="2:14" x14ac:dyDescent="0.25">
      <c r="B37" s="14" t="s">
        <v>97</v>
      </c>
      <c r="C37">
        <v>314</v>
      </c>
      <c r="D37">
        <v>33</v>
      </c>
      <c r="E37">
        <v>18</v>
      </c>
      <c r="F37">
        <v>365</v>
      </c>
      <c r="G37">
        <v>611</v>
      </c>
      <c r="H37">
        <v>13</v>
      </c>
      <c r="I37">
        <v>61</v>
      </c>
      <c r="J37">
        <v>685</v>
      </c>
      <c r="K37">
        <v>415</v>
      </c>
      <c r="L37">
        <v>19</v>
      </c>
      <c r="M37">
        <v>14</v>
      </c>
      <c r="N37">
        <v>448</v>
      </c>
    </row>
    <row r="38" spans="2:14" x14ac:dyDescent="0.25">
      <c r="B38" s="10" t="s">
        <v>49</v>
      </c>
      <c r="C38">
        <v>1578</v>
      </c>
      <c r="D38">
        <v>75</v>
      </c>
      <c r="E38">
        <v>27</v>
      </c>
      <c r="F38">
        <v>1680</v>
      </c>
      <c r="G38">
        <v>2366</v>
      </c>
      <c r="H38">
        <v>34</v>
      </c>
      <c r="I38">
        <v>92</v>
      </c>
      <c r="J38">
        <v>2492</v>
      </c>
      <c r="K38">
        <v>1484</v>
      </c>
      <c r="L38">
        <v>53</v>
      </c>
      <c r="M38">
        <v>20</v>
      </c>
      <c r="N38">
        <v>1557</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461CE-079F-43E3-ADA4-4A004398D83D}">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150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v>157</v>
      </c>
      <c r="AL15" s="53" t="s">
        <v>108</v>
      </c>
      <c r="AM15" s="53">
        <v>14</v>
      </c>
      <c r="AN15" s="53" t="s">
        <v>108</v>
      </c>
      <c r="AO15" s="53" t="s">
        <v>108</v>
      </c>
      <c r="AP15" s="53" t="s">
        <v>108</v>
      </c>
      <c r="AQ15" s="53" t="s">
        <v>108</v>
      </c>
      <c r="AR15" s="53" t="s">
        <v>108</v>
      </c>
      <c r="AS15" s="53" t="s">
        <v>108</v>
      </c>
      <c r="AT15" s="53" t="s">
        <v>108</v>
      </c>
      <c r="AU15" s="53" t="s">
        <v>108</v>
      </c>
      <c r="AV15" s="53" t="s">
        <v>108</v>
      </c>
      <c r="AW15" s="53" t="s">
        <v>108</v>
      </c>
      <c r="AX15" s="53" t="s">
        <v>108</v>
      </c>
      <c r="AY15" s="53">
        <v>25</v>
      </c>
      <c r="AZ15" s="53" t="s">
        <v>108</v>
      </c>
      <c r="BA15" s="53">
        <v>44</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v>193</v>
      </c>
      <c r="AL16" s="53" t="s">
        <v>108</v>
      </c>
      <c r="AM16" s="53">
        <v>22</v>
      </c>
      <c r="AN16" s="53" t="s">
        <v>108</v>
      </c>
      <c r="AO16" s="53" t="s">
        <v>108</v>
      </c>
      <c r="AP16" s="53" t="s">
        <v>108</v>
      </c>
      <c r="AQ16" s="53" t="s">
        <v>108</v>
      </c>
      <c r="AR16" s="53" t="s">
        <v>108</v>
      </c>
      <c r="AS16" s="53" t="s">
        <v>108</v>
      </c>
      <c r="AT16" s="53" t="s">
        <v>108</v>
      </c>
      <c r="AU16" s="53" t="s">
        <v>108</v>
      </c>
      <c r="AV16" s="53" t="s">
        <v>108</v>
      </c>
      <c r="AW16" s="53" t="s">
        <v>108</v>
      </c>
      <c r="AX16" s="53" t="s">
        <v>108</v>
      </c>
      <c r="AY16" s="53">
        <v>11</v>
      </c>
      <c r="AZ16" s="53" t="s">
        <v>108</v>
      </c>
      <c r="BA16" s="53">
        <v>49</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v>202</v>
      </c>
      <c r="AL17" s="53" t="s">
        <v>108</v>
      </c>
      <c r="AM17" s="53">
        <v>35</v>
      </c>
      <c r="AN17" s="53" t="s">
        <v>108</v>
      </c>
      <c r="AO17" s="53" t="s">
        <v>108</v>
      </c>
      <c r="AP17" s="53" t="s">
        <v>108</v>
      </c>
      <c r="AQ17" s="53" t="s">
        <v>108</v>
      </c>
      <c r="AR17" s="53" t="s">
        <v>108</v>
      </c>
      <c r="AS17" s="53" t="s">
        <v>108</v>
      </c>
      <c r="AT17" s="53" t="s">
        <v>108</v>
      </c>
      <c r="AU17" s="53" t="s">
        <v>108</v>
      </c>
      <c r="AV17" s="53" t="s">
        <v>108</v>
      </c>
      <c r="AW17" s="53" t="s">
        <v>108</v>
      </c>
      <c r="AX17" s="53" t="s">
        <v>108</v>
      </c>
      <c r="AY17" s="53">
        <v>24</v>
      </c>
      <c r="AZ17" s="53" t="s">
        <v>108</v>
      </c>
      <c r="BA17" s="53">
        <v>76</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v>251</v>
      </c>
      <c r="AL18" s="53" t="s">
        <v>108</v>
      </c>
      <c r="AM18" s="53">
        <v>45</v>
      </c>
      <c r="AN18" s="53" t="s">
        <v>108</v>
      </c>
      <c r="AO18" s="53" t="s">
        <v>108</v>
      </c>
      <c r="AP18" s="53" t="s">
        <v>108</v>
      </c>
      <c r="AQ18" s="53" t="s">
        <v>108</v>
      </c>
      <c r="AR18" s="53" t="s">
        <v>108</v>
      </c>
      <c r="AS18" s="53" t="s">
        <v>108</v>
      </c>
      <c r="AT18" s="53" t="s">
        <v>108</v>
      </c>
      <c r="AU18" s="53" t="s">
        <v>108</v>
      </c>
      <c r="AV18" s="53" t="s">
        <v>108</v>
      </c>
      <c r="AW18" s="53" t="s">
        <v>108</v>
      </c>
      <c r="AX18" s="53" t="s">
        <v>108</v>
      </c>
      <c r="AY18" s="53">
        <v>24</v>
      </c>
      <c r="AZ18" s="53" t="s">
        <v>108</v>
      </c>
      <c r="BA18" s="53">
        <v>64</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v>213</v>
      </c>
      <c r="AL19" s="53" t="s">
        <v>108</v>
      </c>
      <c r="AM19" s="53">
        <v>23</v>
      </c>
      <c r="AN19" s="53" t="s">
        <v>108</v>
      </c>
      <c r="AO19" s="53" t="s">
        <v>108</v>
      </c>
      <c r="AP19" s="53" t="s">
        <v>108</v>
      </c>
      <c r="AQ19" s="53" t="s">
        <v>108</v>
      </c>
      <c r="AR19" s="53" t="s">
        <v>108</v>
      </c>
      <c r="AS19" s="53" t="s">
        <v>108</v>
      </c>
      <c r="AT19" s="53" t="s">
        <v>108</v>
      </c>
      <c r="AU19" s="53" t="s">
        <v>108</v>
      </c>
      <c r="AV19" s="53" t="s">
        <v>108</v>
      </c>
      <c r="AW19" s="53" t="s">
        <v>108</v>
      </c>
      <c r="AX19" s="53" t="s">
        <v>108</v>
      </c>
      <c r="AY19" s="53">
        <v>21</v>
      </c>
      <c r="AZ19" s="53" t="s">
        <v>108</v>
      </c>
      <c r="BA19" s="53">
        <v>82</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v>262</v>
      </c>
      <c r="AL20" s="53" t="s">
        <v>108</v>
      </c>
      <c r="AM20" s="53">
        <v>45</v>
      </c>
      <c r="AN20" s="53" t="s">
        <v>108</v>
      </c>
      <c r="AO20" s="53" t="s">
        <v>108</v>
      </c>
      <c r="AP20" s="53" t="s">
        <v>108</v>
      </c>
      <c r="AQ20" s="53" t="s">
        <v>108</v>
      </c>
      <c r="AR20" s="53" t="s">
        <v>108</v>
      </c>
      <c r="AS20" s="53" t="s">
        <v>108</v>
      </c>
      <c r="AT20" s="53" t="s">
        <v>108</v>
      </c>
      <c r="AU20" s="53" t="s">
        <v>108</v>
      </c>
      <c r="AV20" s="53" t="s">
        <v>108</v>
      </c>
      <c r="AW20" s="53" t="s">
        <v>108</v>
      </c>
      <c r="AX20" s="53" t="s">
        <v>108</v>
      </c>
      <c r="AY20" s="53">
        <v>26</v>
      </c>
      <c r="AZ20" s="53" t="s">
        <v>108</v>
      </c>
      <c r="BA20" s="53">
        <v>79</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v>275</v>
      </c>
      <c r="AL21" s="53" t="s">
        <v>108</v>
      </c>
      <c r="AM21" s="53">
        <v>41</v>
      </c>
      <c r="AN21" s="53" t="s">
        <v>108</v>
      </c>
      <c r="AO21" s="53" t="s">
        <v>108</v>
      </c>
      <c r="AP21" s="53" t="s">
        <v>108</v>
      </c>
      <c r="AQ21" s="53" t="s">
        <v>108</v>
      </c>
      <c r="AR21" s="53" t="s">
        <v>108</v>
      </c>
      <c r="AS21" s="53" t="s">
        <v>108</v>
      </c>
      <c r="AT21" s="53" t="s">
        <v>108</v>
      </c>
      <c r="AU21" s="53" t="s">
        <v>108</v>
      </c>
      <c r="AV21" s="53" t="s">
        <v>108</v>
      </c>
      <c r="AW21" s="53" t="s">
        <v>108</v>
      </c>
      <c r="AX21" s="53" t="s">
        <v>108</v>
      </c>
      <c r="AY21" s="53">
        <v>38</v>
      </c>
      <c r="AZ21" s="53" t="s">
        <v>108</v>
      </c>
      <c r="BA21" s="53">
        <v>89</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v>239</v>
      </c>
      <c r="AL22" s="53" t="s">
        <v>108</v>
      </c>
      <c r="AM22" s="53">
        <v>46</v>
      </c>
      <c r="AN22" s="53" t="s">
        <v>108</v>
      </c>
      <c r="AO22" s="53" t="s">
        <v>108</v>
      </c>
      <c r="AP22" s="53" t="s">
        <v>108</v>
      </c>
      <c r="AQ22" s="53" t="s">
        <v>108</v>
      </c>
      <c r="AR22" s="53" t="s">
        <v>108</v>
      </c>
      <c r="AS22" s="53" t="s">
        <v>108</v>
      </c>
      <c r="AT22" s="53" t="s">
        <v>108</v>
      </c>
      <c r="AU22" s="53" t="s">
        <v>108</v>
      </c>
      <c r="AV22" s="53" t="s">
        <v>108</v>
      </c>
      <c r="AW22" s="53" t="s">
        <v>108</v>
      </c>
      <c r="AX22" s="53" t="s">
        <v>108</v>
      </c>
      <c r="AY22" s="53">
        <v>25</v>
      </c>
      <c r="AZ22" s="53" t="s">
        <v>108</v>
      </c>
      <c r="BA22" s="53">
        <v>66</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v>188</v>
      </c>
      <c r="AL23" s="53" t="s">
        <v>108</v>
      </c>
      <c r="AM23" s="53">
        <v>34</v>
      </c>
      <c r="AN23" s="53" t="s">
        <v>108</v>
      </c>
      <c r="AO23" s="53" t="s">
        <v>108</v>
      </c>
      <c r="AP23" s="53" t="s">
        <v>108</v>
      </c>
      <c r="AQ23" s="53" t="s">
        <v>108</v>
      </c>
      <c r="AR23" s="53" t="s">
        <v>108</v>
      </c>
      <c r="AS23" s="53" t="s">
        <v>108</v>
      </c>
      <c r="AT23" s="53" t="s">
        <v>108</v>
      </c>
      <c r="AU23" s="53" t="s">
        <v>108</v>
      </c>
      <c r="AV23" s="53" t="s">
        <v>108</v>
      </c>
      <c r="AW23" s="53" t="s">
        <v>108</v>
      </c>
      <c r="AX23" s="53" t="s">
        <v>108</v>
      </c>
      <c r="AY23" s="53">
        <v>33</v>
      </c>
      <c r="AZ23" s="53" t="s">
        <v>108</v>
      </c>
      <c r="BA23" s="53">
        <v>100</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v>206</v>
      </c>
      <c r="AL24" s="53" t="s">
        <v>108</v>
      </c>
      <c r="AM24" s="53">
        <v>43</v>
      </c>
      <c r="AN24" s="53" t="s">
        <v>108</v>
      </c>
      <c r="AO24" s="53" t="s">
        <v>108</v>
      </c>
      <c r="AP24" s="53" t="s">
        <v>108</v>
      </c>
      <c r="AQ24" s="53" t="s">
        <v>108</v>
      </c>
      <c r="AR24" s="53" t="s">
        <v>108</v>
      </c>
      <c r="AS24" s="53" t="s">
        <v>108</v>
      </c>
      <c r="AT24" s="53" t="s">
        <v>108</v>
      </c>
      <c r="AU24" s="53" t="s">
        <v>108</v>
      </c>
      <c r="AV24" s="53" t="s">
        <v>108</v>
      </c>
      <c r="AW24" s="53" t="s">
        <v>108</v>
      </c>
      <c r="AX24" s="53" t="s">
        <v>108</v>
      </c>
      <c r="AY24" s="53">
        <v>35</v>
      </c>
      <c r="AZ24" s="53" t="s">
        <v>108</v>
      </c>
      <c r="BA24" s="53">
        <v>108</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v>186</v>
      </c>
      <c r="AL25" s="53" t="s">
        <v>108</v>
      </c>
      <c r="AM25" s="53">
        <v>47</v>
      </c>
      <c r="AN25" s="53" t="s">
        <v>108</v>
      </c>
      <c r="AO25" s="53" t="s">
        <v>108</v>
      </c>
      <c r="AP25" s="53" t="s">
        <v>108</v>
      </c>
      <c r="AQ25" s="53" t="s">
        <v>108</v>
      </c>
      <c r="AR25" s="53" t="s">
        <v>108</v>
      </c>
      <c r="AS25" s="53" t="s">
        <v>108</v>
      </c>
      <c r="AT25" s="53" t="s">
        <v>108</v>
      </c>
      <c r="AU25" s="53" t="s">
        <v>108</v>
      </c>
      <c r="AV25" s="53" t="s">
        <v>108</v>
      </c>
      <c r="AW25" s="53" t="s">
        <v>108</v>
      </c>
      <c r="AX25" s="53" t="s">
        <v>108</v>
      </c>
      <c r="AY25" s="53">
        <v>24</v>
      </c>
      <c r="AZ25" s="53" t="s">
        <v>108</v>
      </c>
      <c r="BA25" s="53">
        <v>104</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v>197</v>
      </c>
      <c r="AL26" s="53" t="s">
        <v>108</v>
      </c>
      <c r="AM26" s="53">
        <v>36</v>
      </c>
      <c r="AN26" s="53" t="s">
        <v>108</v>
      </c>
      <c r="AO26" s="53" t="s">
        <v>108</v>
      </c>
      <c r="AP26" s="53" t="s">
        <v>108</v>
      </c>
      <c r="AQ26" s="53" t="s">
        <v>108</v>
      </c>
      <c r="AR26" s="53" t="s">
        <v>108</v>
      </c>
      <c r="AS26" s="53" t="s">
        <v>108</v>
      </c>
      <c r="AT26" s="53" t="s">
        <v>108</v>
      </c>
      <c r="AU26" s="53" t="s">
        <v>108</v>
      </c>
      <c r="AV26" s="53" t="s">
        <v>108</v>
      </c>
      <c r="AW26" s="53" t="s">
        <v>108</v>
      </c>
      <c r="AX26" s="53" t="s">
        <v>108</v>
      </c>
      <c r="AY26" s="53">
        <v>40</v>
      </c>
      <c r="AZ26" s="53" t="s">
        <v>108</v>
      </c>
      <c r="BA26" s="53">
        <v>103</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v>0</v>
      </c>
      <c r="AL27" s="53" t="s">
        <v>108</v>
      </c>
      <c r="AM27" s="53">
        <v>0</v>
      </c>
      <c r="AN27" s="53" t="s">
        <v>108</v>
      </c>
      <c r="AO27" s="53" t="s">
        <v>108</v>
      </c>
      <c r="AP27" s="53" t="s">
        <v>108</v>
      </c>
      <c r="AQ27" s="53" t="s">
        <v>108</v>
      </c>
      <c r="AR27" s="53" t="s">
        <v>108</v>
      </c>
      <c r="AS27" s="53" t="s">
        <v>108</v>
      </c>
      <c r="AT27" s="53" t="s">
        <v>108</v>
      </c>
      <c r="AU27" s="53" t="s">
        <v>108</v>
      </c>
      <c r="AV27" s="53" t="s">
        <v>108</v>
      </c>
      <c r="AW27" s="53" t="s">
        <v>108</v>
      </c>
      <c r="AX27" s="53" t="s">
        <v>108</v>
      </c>
      <c r="AY27" s="53">
        <v>0</v>
      </c>
      <c r="AZ27" s="53" t="s">
        <v>108</v>
      </c>
      <c r="BA27" s="53">
        <v>0</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v>317</v>
      </c>
      <c r="AL28" s="53" t="s">
        <v>108</v>
      </c>
      <c r="AM28" s="53">
        <v>48</v>
      </c>
      <c r="AN28" s="53" t="s">
        <v>108</v>
      </c>
      <c r="AO28" s="53" t="s">
        <v>108</v>
      </c>
      <c r="AP28" s="53" t="s">
        <v>108</v>
      </c>
      <c r="AQ28" s="53" t="s">
        <v>108</v>
      </c>
      <c r="AR28" s="53" t="s">
        <v>108</v>
      </c>
      <c r="AS28" s="53" t="s">
        <v>108</v>
      </c>
      <c r="AT28" s="53" t="s">
        <v>108</v>
      </c>
      <c r="AU28" s="53" t="s">
        <v>108</v>
      </c>
      <c r="AV28" s="53" t="s">
        <v>108</v>
      </c>
      <c r="AW28" s="53" t="s">
        <v>108</v>
      </c>
      <c r="AX28" s="53" t="s">
        <v>108</v>
      </c>
      <c r="AY28" s="53">
        <v>43</v>
      </c>
      <c r="AZ28" s="53" t="s">
        <v>108</v>
      </c>
      <c r="BA28" s="53">
        <v>135</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v>310</v>
      </c>
      <c r="AL29" s="53" t="s">
        <v>108</v>
      </c>
      <c r="AM29" s="53">
        <v>46</v>
      </c>
      <c r="AN29" s="53" t="s">
        <v>108</v>
      </c>
      <c r="AO29" s="53" t="s">
        <v>108</v>
      </c>
      <c r="AP29" s="53" t="s">
        <v>108</v>
      </c>
      <c r="AQ29" s="53" t="s">
        <v>108</v>
      </c>
      <c r="AR29" s="53" t="s">
        <v>108</v>
      </c>
      <c r="AS29" s="53" t="s">
        <v>108</v>
      </c>
      <c r="AT29" s="53" t="s">
        <v>108</v>
      </c>
      <c r="AU29" s="53" t="s">
        <v>108</v>
      </c>
      <c r="AV29" s="53" t="s">
        <v>108</v>
      </c>
      <c r="AW29" s="53" t="s">
        <v>108</v>
      </c>
      <c r="AX29" s="53" t="s">
        <v>108</v>
      </c>
      <c r="AY29" s="53">
        <v>60</v>
      </c>
      <c r="AZ29" s="53" t="s">
        <v>108</v>
      </c>
      <c r="BA29" s="53">
        <v>143</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v>334</v>
      </c>
      <c r="AL30" s="53" t="s">
        <v>108</v>
      </c>
      <c r="AM30" s="53">
        <v>42</v>
      </c>
      <c r="AN30" s="53" t="s">
        <v>108</v>
      </c>
      <c r="AO30" s="53" t="s">
        <v>108</v>
      </c>
      <c r="AP30" s="53" t="s">
        <v>108</v>
      </c>
      <c r="AQ30" s="53" t="s">
        <v>108</v>
      </c>
      <c r="AR30" s="53" t="s">
        <v>108</v>
      </c>
      <c r="AS30" s="53" t="s">
        <v>108</v>
      </c>
      <c r="AT30" s="53" t="s">
        <v>108</v>
      </c>
      <c r="AU30" s="53" t="s">
        <v>108</v>
      </c>
      <c r="AV30" s="53" t="s">
        <v>108</v>
      </c>
      <c r="AW30" s="53" t="s">
        <v>108</v>
      </c>
      <c r="AX30" s="53" t="s">
        <v>108</v>
      </c>
      <c r="AY30" s="53">
        <v>64</v>
      </c>
      <c r="AZ30" s="53" t="s">
        <v>108</v>
      </c>
      <c r="BA30" s="53">
        <v>148</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v>323</v>
      </c>
      <c r="AL31" s="53" t="s">
        <v>108</v>
      </c>
      <c r="AM31" s="53">
        <v>56</v>
      </c>
      <c r="AN31" s="53" t="s">
        <v>108</v>
      </c>
      <c r="AO31" s="53" t="s">
        <v>108</v>
      </c>
      <c r="AP31" s="53" t="s">
        <v>108</v>
      </c>
      <c r="AQ31" s="53" t="s">
        <v>108</v>
      </c>
      <c r="AR31" s="53" t="s">
        <v>108</v>
      </c>
      <c r="AS31" s="53" t="s">
        <v>108</v>
      </c>
      <c r="AT31" s="53" t="s">
        <v>108</v>
      </c>
      <c r="AU31" s="53" t="s">
        <v>108</v>
      </c>
      <c r="AV31" s="53" t="s">
        <v>108</v>
      </c>
      <c r="AW31" s="53" t="s">
        <v>108</v>
      </c>
      <c r="AX31" s="53" t="s">
        <v>108</v>
      </c>
      <c r="AY31" s="53">
        <v>73</v>
      </c>
      <c r="AZ31" s="53" t="s">
        <v>108</v>
      </c>
      <c r="BA31" s="53">
        <v>151</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v>335</v>
      </c>
      <c r="AL32" s="53" t="s">
        <v>108</v>
      </c>
      <c r="AM32" s="53">
        <v>50</v>
      </c>
      <c r="AN32" s="53" t="s">
        <v>108</v>
      </c>
      <c r="AO32" s="53" t="s">
        <v>108</v>
      </c>
      <c r="AP32" s="53" t="s">
        <v>108</v>
      </c>
      <c r="AQ32" s="53" t="s">
        <v>108</v>
      </c>
      <c r="AR32" s="53" t="s">
        <v>108</v>
      </c>
      <c r="AS32" s="53" t="s">
        <v>108</v>
      </c>
      <c r="AT32" s="53" t="s">
        <v>108</v>
      </c>
      <c r="AU32" s="53" t="s">
        <v>108</v>
      </c>
      <c r="AV32" s="53" t="s">
        <v>108</v>
      </c>
      <c r="AW32" s="53" t="s">
        <v>108</v>
      </c>
      <c r="AX32" s="53" t="s">
        <v>108</v>
      </c>
      <c r="AY32" s="53">
        <v>68</v>
      </c>
      <c r="AZ32" s="53" t="s">
        <v>108</v>
      </c>
      <c r="BA32" s="53">
        <v>159</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v>298</v>
      </c>
      <c r="AL33" s="53" t="s">
        <v>108</v>
      </c>
      <c r="AM33" s="53">
        <v>36</v>
      </c>
      <c r="AN33" s="53" t="s">
        <v>108</v>
      </c>
      <c r="AO33" s="53" t="s">
        <v>108</v>
      </c>
      <c r="AP33" s="53" t="s">
        <v>108</v>
      </c>
      <c r="AQ33" s="53" t="s">
        <v>108</v>
      </c>
      <c r="AR33" s="53" t="s">
        <v>108</v>
      </c>
      <c r="AS33" s="53" t="s">
        <v>108</v>
      </c>
      <c r="AT33" s="53" t="s">
        <v>108</v>
      </c>
      <c r="AU33" s="53" t="s">
        <v>108</v>
      </c>
      <c r="AV33" s="53" t="s">
        <v>108</v>
      </c>
      <c r="AW33" s="53" t="s">
        <v>108</v>
      </c>
      <c r="AX33" s="53" t="s">
        <v>108</v>
      </c>
      <c r="AY33" s="53">
        <v>76</v>
      </c>
      <c r="AZ33" s="53" t="s">
        <v>108</v>
      </c>
      <c r="BA33" s="53">
        <v>153</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v>333</v>
      </c>
      <c r="AL34" s="53" t="s">
        <v>108</v>
      </c>
      <c r="AM34" s="53">
        <v>41</v>
      </c>
      <c r="AN34" s="53" t="s">
        <v>108</v>
      </c>
      <c r="AO34" s="53" t="s">
        <v>108</v>
      </c>
      <c r="AP34" s="53" t="s">
        <v>108</v>
      </c>
      <c r="AQ34" s="53" t="s">
        <v>108</v>
      </c>
      <c r="AR34" s="53" t="s">
        <v>108</v>
      </c>
      <c r="AS34" s="53" t="s">
        <v>108</v>
      </c>
      <c r="AT34" s="53" t="s">
        <v>108</v>
      </c>
      <c r="AU34" s="53" t="s">
        <v>108</v>
      </c>
      <c r="AV34" s="53" t="s">
        <v>108</v>
      </c>
      <c r="AW34" s="53" t="s">
        <v>108</v>
      </c>
      <c r="AX34" s="53" t="s">
        <v>108</v>
      </c>
      <c r="AY34" s="53">
        <v>49</v>
      </c>
      <c r="AZ34" s="53" t="s">
        <v>108</v>
      </c>
      <c r="BA34" s="53">
        <v>151</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v>248</v>
      </c>
      <c r="AL35" s="53" t="s">
        <v>108</v>
      </c>
      <c r="AM35" s="53">
        <v>37</v>
      </c>
      <c r="AN35" s="53" t="s">
        <v>108</v>
      </c>
      <c r="AO35" s="53" t="s">
        <v>108</v>
      </c>
      <c r="AP35" s="53" t="s">
        <v>108</v>
      </c>
      <c r="AQ35" s="53" t="s">
        <v>108</v>
      </c>
      <c r="AR35" s="53" t="s">
        <v>108</v>
      </c>
      <c r="AS35" s="53" t="s">
        <v>108</v>
      </c>
      <c r="AT35" s="53" t="s">
        <v>108</v>
      </c>
      <c r="AU35" s="53" t="s">
        <v>108</v>
      </c>
      <c r="AV35" s="53" t="s">
        <v>108</v>
      </c>
      <c r="AW35" s="53" t="s">
        <v>108</v>
      </c>
      <c r="AX35" s="53" t="s">
        <v>108</v>
      </c>
      <c r="AY35" s="53">
        <v>73</v>
      </c>
      <c r="AZ35" s="53" t="s">
        <v>108</v>
      </c>
      <c r="BA35" s="53">
        <v>157</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v>0</v>
      </c>
      <c r="AL36" s="53" t="s">
        <v>108</v>
      </c>
      <c r="AM36" s="53">
        <v>0</v>
      </c>
      <c r="AN36" s="53" t="s">
        <v>108</v>
      </c>
      <c r="AO36" s="53" t="s">
        <v>108</v>
      </c>
      <c r="AP36" s="53" t="s">
        <v>108</v>
      </c>
      <c r="AQ36" s="53" t="s">
        <v>108</v>
      </c>
      <c r="AR36" s="53" t="s">
        <v>108</v>
      </c>
      <c r="AS36" s="53" t="s">
        <v>108</v>
      </c>
      <c r="AT36" s="53" t="s">
        <v>108</v>
      </c>
      <c r="AU36" s="53" t="s">
        <v>108</v>
      </c>
      <c r="AV36" s="53" t="s">
        <v>108</v>
      </c>
      <c r="AW36" s="53" t="s">
        <v>108</v>
      </c>
      <c r="AX36" s="53" t="s">
        <v>108</v>
      </c>
      <c r="AY36" s="53">
        <v>0</v>
      </c>
      <c r="AZ36" s="53" t="s">
        <v>108</v>
      </c>
      <c r="BA36" s="53">
        <v>0</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5643C-A024-462B-A18C-50061AC5755A}">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v>7</v>
      </c>
      <c r="AL15" s="53" t="s">
        <v>108</v>
      </c>
      <c r="AM15" s="53">
        <v>0</v>
      </c>
      <c r="AN15" s="53" t="s">
        <v>108</v>
      </c>
      <c r="AO15" s="53" t="s">
        <v>108</v>
      </c>
      <c r="AP15" s="53" t="s">
        <v>108</v>
      </c>
      <c r="AQ15" s="53" t="s">
        <v>108</v>
      </c>
      <c r="AR15" s="53" t="s">
        <v>108</v>
      </c>
      <c r="AS15" s="53" t="s">
        <v>108</v>
      </c>
      <c r="AT15" s="53" t="s">
        <v>108</v>
      </c>
      <c r="AU15" s="53" t="s">
        <v>108</v>
      </c>
      <c r="AV15" s="53" t="s">
        <v>108</v>
      </c>
      <c r="AW15" s="53" t="s">
        <v>108</v>
      </c>
      <c r="AX15" s="53" t="s">
        <v>108</v>
      </c>
      <c r="AY15" s="53">
        <v>0</v>
      </c>
      <c r="AZ15" s="53" t="s">
        <v>108</v>
      </c>
      <c r="BA15" s="53">
        <v>3</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v>9</v>
      </c>
      <c r="AL16" s="53" t="s">
        <v>108</v>
      </c>
      <c r="AM16" s="53">
        <v>0</v>
      </c>
      <c r="AN16" s="53" t="s">
        <v>108</v>
      </c>
      <c r="AO16" s="53" t="s">
        <v>108</v>
      </c>
      <c r="AP16" s="53" t="s">
        <v>108</v>
      </c>
      <c r="AQ16" s="53" t="s">
        <v>108</v>
      </c>
      <c r="AR16" s="53" t="s">
        <v>108</v>
      </c>
      <c r="AS16" s="53" t="s">
        <v>108</v>
      </c>
      <c r="AT16" s="53" t="s">
        <v>108</v>
      </c>
      <c r="AU16" s="53" t="s">
        <v>108</v>
      </c>
      <c r="AV16" s="53" t="s">
        <v>108</v>
      </c>
      <c r="AW16" s="53" t="s">
        <v>108</v>
      </c>
      <c r="AX16" s="53" t="s">
        <v>108</v>
      </c>
      <c r="AY16" s="53">
        <v>0</v>
      </c>
      <c r="AZ16" s="53" t="s">
        <v>108</v>
      </c>
      <c r="BA16" s="53">
        <v>5</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v>19</v>
      </c>
      <c r="AL17" s="53" t="s">
        <v>108</v>
      </c>
      <c r="AM17" s="53">
        <v>1</v>
      </c>
      <c r="AN17" s="53" t="s">
        <v>108</v>
      </c>
      <c r="AO17" s="53" t="s">
        <v>108</v>
      </c>
      <c r="AP17" s="53" t="s">
        <v>108</v>
      </c>
      <c r="AQ17" s="53" t="s">
        <v>108</v>
      </c>
      <c r="AR17" s="53" t="s">
        <v>108</v>
      </c>
      <c r="AS17" s="53" t="s">
        <v>108</v>
      </c>
      <c r="AT17" s="53" t="s">
        <v>108</v>
      </c>
      <c r="AU17" s="53" t="s">
        <v>108</v>
      </c>
      <c r="AV17" s="53" t="s">
        <v>108</v>
      </c>
      <c r="AW17" s="53" t="s">
        <v>108</v>
      </c>
      <c r="AX17" s="53" t="s">
        <v>108</v>
      </c>
      <c r="AY17" s="53">
        <v>2</v>
      </c>
      <c r="AZ17" s="53" t="s">
        <v>108</v>
      </c>
      <c r="BA17" s="53">
        <v>5</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v>9</v>
      </c>
      <c r="AL18" s="53" t="s">
        <v>108</v>
      </c>
      <c r="AM18" s="53">
        <v>1</v>
      </c>
      <c r="AN18" s="53" t="s">
        <v>108</v>
      </c>
      <c r="AO18" s="53" t="s">
        <v>108</v>
      </c>
      <c r="AP18" s="53" t="s">
        <v>108</v>
      </c>
      <c r="AQ18" s="53" t="s">
        <v>108</v>
      </c>
      <c r="AR18" s="53" t="s">
        <v>108</v>
      </c>
      <c r="AS18" s="53" t="s">
        <v>108</v>
      </c>
      <c r="AT18" s="53" t="s">
        <v>108</v>
      </c>
      <c r="AU18" s="53" t="s">
        <v>108</v>
      </c>
      <c r="AV18" s="53" t="s">
        <v>108</v>
      </c>
      <c r="AW18" s="53" t="s">
        <v>108</v>
      </c>
      <c r="AX18" s="53" t="s">
        <v>108</v>
      </c>
      <c r="AY18" s="53">
        <v>1</v>
      </c>
      <c r="AZ18" s="53" t="s">
        <v>108</v>
      </c>
      <c r="BA18" s="53">
        <v>4</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v>12</v>
      </c>
      <c r="AL19" s="53" t="s">
        <v>108</v>
      </c>
      <c r="AM19" s="53">
        <v>0</v>
      </c>
      <c r="AN19" s="53" t="s">
        <v>108</v>
      </c>
      <c r="AO19" s="53" t="s">
        <v>108</v>
      </c>
      <c r="AP19" s="53" t="s">
        <v>108</v>
      </c>
      <c r="AQ19" s="53" t="s">
        <v>108</v>
      </c>
      <c r="AR19" s="53" t="s">
        <v>108</v>
      </c>
      <c r="AS19" s="53" t="s">
        <v>108</v>
      </c>
      <c r="AT19" s="53" t="s">
        <v>108</v>
      </c>
      <c r="AU19" s="53" t="s">
        <v>108</v>
      </c>
      <c r="AV19" s="53" t="s">
        <v>108</v>
      </c>
      <c r="AW19" s="53" t="s">
        <v>108</v>
      </c>
      <c r="AX19" s="53" t="s">
        <v>108</v>
      </c>
      <c r="AY19" s="53">
        <v>0</v>
      </c>
      <c r="AZ19" s="53" t="s">
        <v>108</v>
      </c>
      <c r="BA19" s="53">
        <v>13</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v>5</v>
      </c>
      <c r="AL20" s="53" t="s">
        <v>108</v>
      </c>
      <c r="AM20" s="53">
        <v>2</v>
      </c>
      <c r="AN20" s="53" t="s">
        <v>108</v>
      </c>
      <c r="AO20" s="53" t="s">
        <v>108</v>
      </c>
      <c r="AP20" s="53" t="s">
        <v>108</v>
      </c>
      <c r="AQ20" s="53" t="s">
        <v>108</v>
      </c>
      <c r="AR20" s="53" t="s">
        <v>108</v>
      </c>
      <c r="AS20" s="53" t="s">
        <v>108</v>
      </c>
      <c r="AT20" s="53" t="s">
        <v>108</v>
      </c>
      <c r="AU20" s="53" t="s">
        <v>108</v>
      </c>
      <c r="AV20" s="53" t="s">
        <v>108</v>
      </c>
      <c r="AW20" s="53" t="s">
        <v>108</v>
      </c>
      <c r="AX20" s="53" t="s">
        <v>108</v>
      </c>
      <c r="AY20" s="53">
        <v>1</v>
      </c>
      <c r="AZ20" s="53" t="s">
        <v>108</v>
      </c>
      <c r="BA20" s="53">
        <v>7</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v>7</v>
      </c>
      <c r="AL21" s="53" t="s">
        <v>108</v>
      </c>
      <c r="AM21" s="53">
        <v>1</v>
      </c>
      <c r="AN21" s="53" t="s">
        <v>108</v>
      </c>
      <c r="AO21" s="53" t="s">
        <v>108</v>
      </c>
      <c r="AP21" s="53" t="s">
        <v>108</v>
      </c>
      <c r="AQ21" s="53" t="s">
        <v>108</v>
      </c>
      <c r="AR21" s="53" t="s">
        <v>108</v>
      </c>
      <c r="AS21" s="53" t="s">
        <v>108</v>
      </c>
      <c r="AT21" s="53" t="s">
        <v>108</v>
      </c>
      <c r="AU21" s="53" t="s">
        <v>108</v>
      </c>
      <c r="AV21" s="53" t="s">
        <v>108</v>
      </c>
      <c r="AW21" s="53" t="s">
        <v>108</v>
      </c>
      <c r="AX21" s="53" t="s">
        <v>108</v>
      </c>
      <c r="AY21" s="53">
        <v>3</v>
      </c>
      <c r="AZ21" s="53" t="s">
        <v>108</v>
      </c>
      <c r="BA21" s="53">
        <v>9</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v>9</v>
      </c>
      <c r="AL22" s="53" t="s">
        <v>108</v>
      </c>
      <c r="AM22" s="53">
        <v>6</v>
      </c>
      <c r="AN22" s="53" t="s">
        <v>108</v>
      </c>
      <c r="AO22" s="53" t="s">
        <v>108</v>
      </c>
      <c r="AP22" s="53" t="s">
        <v>108</v>
      </c>
      <c r="AQ22" s="53" t="s">
        <v>108</v>
      </c>
      <c r="AR22" s="53" t="s">
        <v>108</v>
      </c>
      <c r="AS22" s="53" t="s">
        <v>108</v>
      </c>
      <c r="AT22" s="53" t="s">
        <v>108</v>
      </c>
      <c r="AU22" s="53" t="s">
        <v>108</v>
      </c>
      <c r="AV22" s="53" t="s">
        <v>108</v>
      </c>
      <c r="AW22" s="53" t="s">
        <v>108</v>
      </c>
      <c r="AX22" s="53" t="s">
        <v>108</v>
      </c>
      <c r="AY22" s="53">
        <v>0</v>
      </c>
      <c r="AZ22" s="53" t="s">
        <v>108</v>
      </c>
      <c r="BA22" s="53">
        <v>6</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v>3</v>
      </c>
      <c r="AL23" s="53" t="s">
        <v>108</v>
      </c>
      <c r="AM23" s="53">
        <v>5</v>
      </c>
      <c r="AN23" s="53" t="s">
        <v>108</v>
      </c>
      <c r="AO23" s="53" t="s">
        <v>108</v>
      </c>
      <c r="AP23" s="53" t="s">
        <v>108</v>
      </c>
      <c r="AQ23" s="53" t="s">
        <v>108</v>
      </c>
      <c r="AR23" s="53" t="s">
        <v>108</v>
      </c>
      <c r="AS23" s="53" t="s">
        <v>108</v>
      </c>
      <c r="AT23" s="53" t="s">
        <v>108</v>
      </c>
      <c r="AU23" s="53" t="s">
        <v>108</v>
      </c>
      <c r="AV23" s="53" t="s">
        <v>108</v>
      </c>
      <c r="AW23" s="53" t="s">
        <v>108</v>
      </c>
      <c r="AX23" s="53" t="s">
        <v>108</v>
      </c>
      <c r="AY23" s="53">
        <v>0</v>
      </c>
      <c r="AZ23" s="53" t="s">
        <v>108</v>
      </c>
      <c r="BA23" s="53">
        <v>7</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v>5</v>
      </c>
      <c r="AL24" s="53" t="s">
        <v>108</v>
      </c>
      <c r="AM24" s="53">
        <v>1</v>
      </c>
      <c r="AN24" s="53" t="s">
        <v>108</v>
      </c>
      <c r="AO24" s="53" t="s">
        <v>108</v>
      </c>
      <c r="AP24" s="53" t="s">
        <v>108</v>
      </c>
      <c r="AQ24" s="53" t="s">
        <v>108</v>
      </c>
      <c r="AR24" s="53" t="s">
        <v>108</v>
      </c>
      <c r="AS24" s="53" t="s">
        <v>108</v>
      </c>
      <c r="AT24" s="53" t="s">
        <v>108</v>
      </c>
      <c r="AU24" s="53" t="s">
        <v>108</v>
      </c>
      <c r="AV24" s="53" t="s">
        <v>108</v>
      </c>
      <c r="AW24" s="53" t="s">
        <v>108</v>
      </c>
      <c r="AX24" s="53" t="s">
        <v>108</v>
      </c>
      <c r="AY24" s="53">
        <v>0</v>
      </c>
      <c r="AZ24" s="53" t="s">
        <v>108</v>
      </c>
      <c r="BA24" s="53">
        <v>6</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v>7</v>
      </c>
      <c r="AL25" s="53" t="s">
        <v>108</v>
      </c>
      <c r="AM25" s="53">
        <v>5</v>
      </c>
      <c r="AN25" s="53" t="s">
        <v>108</v>
      </c>
      <c r="AO25" s="53" t="s">
        <v>108</v>
      </c>
      <c r="AP25" s="53" t="s">
        <v>108</v>
      </c>
      <c r="AQ25" s="53" t="s">
        <v>108</v>
      </c>
      <c r="AR25" s="53" t="s">
        <v>108</v>
      </c>
      <c r="AS25" s="53" t="s">
        <v>108</v>
      </c>
      <c r="AT25" s="53" t="s">
        <v>108</v>
      </c>
      <c r="AU25" s="53" t="s">
        <v>108</v>
      </c>
      <c r="AV25" s="53" t="s">
        <v>108</v>
      </c>
      <c r="AW25" s="53" t="s">
        <v>108</v>
      </c>
      <c r="AX25" s="53" t="s">
        <v>108</v>
      </c>
      <c r="AY25" s="53">
        <v>1</v>
      </c>
      <c r="AZ25" s="53" t="s">
        <v>108</v>
      </c>
      <c r="BA25" s="53">
        <v>4</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v>6</v>
      </c>
      <c r="AL26" s="53" t="s">
        <v>108</v>
      </c>
      <c r="AM26" s="53">
        <v>1</v>
      </c>
      <c r="AN26" s="53" t="s">
        <v>108</v>
      </c>
      <c r="AO26" s="53" t="s">
        <v>108</v>
      </c>
      <c r="AP26" s="53" t="s">
        <v>108</v>
      </c>
      <c r="AQ26" s="53" t="s">
        <v>108</v>
      </c>
      <c r="AR26" s="53" t="s">
        <v>108</v>
      </c>
      <c r="AS26" s="53" t="s">
        <v>108</v>
      </c>
      <c r="AT26" s="53" t="s">
        <v>108</v>
      </c>
      <c r="AU26" s="53" t="s">
        <v>108</v>
      </c>
      <c r="AV26" s="53" t="s">
        <v>108</v>
      </c>
      <c r="AW26" s="53" t="s">
        <v>108</v>
      </c>
      <c r="AX26" s="53" t="s">
        <v>108</v>
      </c>
      <c r="AY26" s="53">
        <v>0</v>
      </c>
      <c r="AZ26" s="53" t="s">
        <v>108</v>
      </c>
      <c r="BA26" s="53">
        <v>2</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v>0</v>
      </c>
      <c r="AL27" s="53" t="s">
        <v>108</v>
      </c>
      <c r="AM27" s="53">
        <v>0</v>
      </c>
      <c r="AN27" s="53" t="s">
        <v>108</v>
      </c>
      <c r="AO27" s="53" t="s">
        <v>108</v>
      </c>
      <c r="AP27" s="53" t="s">
        <v>108</v>
      </c>
      <c r="AQ27" s="53" t="s">
        <v>108</v>
      </c>
      <c r="AR27" s="53" t="s">
        <v>108</v>
      </c>
      <c r="AS27" s="53" t="s">
        <v>108</v>
      </c>
      <c r="AT27" s="53" t="s">
        <v>108</v>
      </c>
      <c r="AU27" s="53" t="s">
        <v>108</v>
      </c>
      <c r="AV27" s="53" t="s">
        <v>108</v>
      </c>
      <c r="AW27" s="53" t="s">
        <v>108</v>
      </c>
      <c r="AX27" s="53" t="s">
        <v>108</v>
      </c>
      <c r="AY27" s="53">
        <v>0</v>
      </c>
      <c r="AZ27" s="53" t="s">
        <v>108</v>
      </c>
      <c r="BA27" s="53">
        <v>0</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v>5</v>
      </c>
      <c r="AL28" s="53" t="s">
        <v>108</v>
      </c>
      <c r="AM28" s="53">
        <v>1</v>
      </c>
      <c r="AN28" s="53" t="s">
        <v>108</v>
      </c>
      <c r="AO28" s="53" t="s">
        <v>108</v>
      </c>
      <c r="AP28" s="53" t="s">
        <v>108</v>
      </c>
      <c r="AQ28" s="53" t="s">
        <v>108</v>
      </c>
      <c r="AR28" s="53" t="s">
        <v>108</v>
      </c>
      <c r="AS28" s="53" t="s">
        <v>108</v>
      </c>
      <c r="AT28" s="53" t="s">
        <v>108</v>
      </c>
      <c r="AU28" s="53" t="s">
        <v>108</v>
      </c>
      <c r="AV28" s="53" t="s">
        <v>108</v>
      </c>
      <c r="AW28" s="53" t="s">
        <v>108</v>
      </c>
      <c r="AX28" s="53" t="s">
        <v>108</v>
      </c>
      <c r="AY28" s="53">
        <v>1</v>
      </c>
      <c r="AZ28" s="53" t="s">
        <v>108</v>
      </c>
      <c r="BA28" s="53">
        <v>6</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v>4</v>
      </c>
      <c r="AL29" s="53" t="s">
        <v>108</v>
      </c>
      <c r="AM29" s="53">
        <v>1</v>
      </c>
      <c r="AN29" s="53" t="s">
        <v>108</v>
      </c>
      <c r="AO29" s="53" t="s">
        <v>108</v>
      </c>
      <c r="AP29" s="53" t="s">
        <v>108</v>
      </c>
      <c r="AQ29" s="53" t="s">
        <v>108</v>
      </c>
      <c r="AR29" s="53" t="s">
        <v>108</v>
      </c>
      <c r="AS29" s="53" t="s">
        <v>108</v>
      </c>
      <c r="AT29" s="53" t="s">
        <v>108</v>
      </c>
      <c r="AU29" s="53" t="s">
        <v>108</v>
      </c>
      <c r="AV29" s="53" t="s">
        <v>108</v>
      </c>
      <c r="AW29" s="53" t="s">
        <v>108</v>
      </c>
      <c r="AX29" s="53" t="s">
        <v>108</v>
      </c>
      <c r="AY29" s="53">
        <v>0</v>
      </c>
      <c r="AZ29" s="53" t="s">
        <v>108</v>
      </c>
      <c r="BA29" s="53">
        <v>5</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v>6</v>
      </c>
      <c r="AL30" s="53" t="s">
        <v>108</v>
      </c>
      <c r="AM30" s="53">
        <v>2</v>
      </c>
      <c r="AN30" s="53" t="s">
        <v>108</v>
      </c>
      <c r="AO30" s="53" t="s">
        <v>108</v>
      </c>
      <c r="AP30" s="53" t="s">
        <v>108</v>
      </c>
      <c r="AQ30" s="53" t="s">
        <v>108</v>
      </c>
      <c r="AR30" s="53" t="s">
        <v>108</v>
      </c>
      <c r="AS30" s="53" t="s">
        <v>108</v>
      </c>
      <c r="AT30" s="53" t="s">
        <v>108</v>
      </c>
      <c r="AU30" s="53" t="s">
        <v>108</v>
      </c>
      <c r="AV30" s="53" t="s">
        <v>108</v>
      </c>
      <c r="AW30" s="53" t="s">
        <v>108</v>
      </c>
      <c r="AX30" s="53" t="s">
        <v>108</v>
      </c>
      <c r="AY30" s="53">
        <v>1</v>
      </c>
      <c r="AZ30" s="53" t="s">
        <v>108</v>
      </c>
      <c r="BA30" s="53">
        <v>3</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v>3</v>
      </c>
      <c r="AL31" s="53" t="s">
        <v>108</v>
      </c>
      <c r="AM31" s="53">
        <v>1</v>
      </c>
      <c r="AN31" s="53" t="s">
        <v>108</v>
      </c>
      <c r="AO31" s="53" t="s">
        <v>108</v>
      </c>
      <c r="AP31" s="53" t="s">
        <v>108</v>
      </c>
      <c r="AQ31" s="53" t="s">
        <v>108</v>
      </c>
      <c r="AR31" s="53" t="s">
        <v>108</v>
      </c>
      <c r="AS31" s="53" t="s">
        <v>108</v>
      </c>
      <c r="AT31" s="53" t="s">
        <v>108</v>
      </c>
      <c r="AU31" s="53" t="s">
        <v>108</v>
      </c>
      <c r="AV31" s="53" t="s">
        <v>108</v>
      </c>
      <c r="AW31" s="53" t="s">
        <v>108</v>
      </c>
      <c r="AX31" s="53" t="s">
        <v>108</v>
      </c>
      <c r="AY31" s="53">
        <v>1</v>
      </c>
      <c r="AZ31" s="53" t="s">
        <v>108</v>
      </c>
      <c r="BA31" s="53">
        <v>5</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v>4</v>
      </c>
      <c r="AL32" s="53" t="s">
        <v>108</v>
      </c>
      <c r="AM32" s="53">
        <v>1</v>
      </c>
      <c r="AN32" s="53" t="s">
        <v>108</v>
      </c>
      <c r="AO32" s="53" t="s">
        <v>108</v>
      </c>
      <c r="AP32" s="53" t="s">
        <v>108</v>
      </c>
      <c r="AQ32" s="53" t="s">
        <v>108</v>
      </c>
      <c r="AR32" s="53" t="s">
        <v>108</v>
      </c>
      <c r="AS32" s="53" t="s">
        <v>108</v>
      </c>
      <c r="AT32" s="53" t="s">
        <v>108</v>
      </c>
      <c r="AU32" s="53" t="s">
        <v>108</v>
      </c>
      <c r="AV32" s="53" t="s">
        <v>108</v>
      </c>
      <c r="AW32" s="53" t="s">
        <v>108</v>
      </c>
      <c r="AX32" s="53" t="s">
        <v>108</v>
      </c>
      <c r="AY32" s="53">
        <v>0</v>
      </c>
      <c r="AZ32" s="53" t="s">
        <v>108</v>
      </c>
      <c r="BA32" s="53">
        <v>2</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v>1</v>
      </c>
      <c r="AL33" s="53" t="s">
        <v>108</v>
      </c>
      <c r="AM33" s="53">
        <v>1</v>
      </c>
      <c r="AN33" s="53" t="s">
        <v>108</v>
      </c>
      <c r="AO33" s="53" t="s">
        <v>108</v>
      </c>
      <c r="AP33" s="53" t="s">
        <v>108</v>
      </c>
      <c r="AQ33" s="53" t="s">
        <v>108</v>
      </c>
      <c r="AR33" s="53" t="s">
        <v>108</v>
      </c>
      <c r="AS33" s="53" t="s">
        <v>108</v>
      </c>
      <c r="AT33" s="53" t="s">
        <v>108</v>
      </c>
      <c r="AU33" s="53" t="s">
        <v>108</v>
      </c>
      <c r="AV33" s="53" t="s">
        <v>108</v>
      </c>
      <c r="AW33" s="53" t="s">
        <v>108</v>
      </c>
      <c r="AX33" s="53" t="s">
        <v>108</v>
      </c>
      <c r="AY33" s="53">
        <v>0</v>
      </c>
      <c r="AZ33" s="53" t="s">
        <v>108</v>
      </c>
      <c r="BA33" s="53">
        <v>3</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v>0</v>
      </c>
      <c r="AL34" s="53" t="s">
        <v>108</v>
      </c>
      <c r="AM34" s="53">
        <v>0</v>
      </c>
      <c r="AN34" s="53" t="s">
        <v>108</v>
      </c>
      <c r="AO34" s="53" t="s">
        <v>108</v>
      </c>
      <c r="AP34" s="53" t="s">
        <v>108</v>
      </c>
      <c r="AQ34" s="53" t="s">
        <v>108</v>
      </c>
      <c r="AR34" s="53" t="s">
        <v>108</v>
      </c>
      <c r="AS34" s="53" t="s">
        <v>108</v>
      </c>
      <c r="AT34" s="53" t="s">
        <v>108</v>
      </c>
      <c r="AU34" s="53" t="s">
        <v>108</v>
      </c>
      <c r="AV34" s="53" t="s">
        <v>108</v>
      </c>
      <c r="AW34" s="53" t="s">
        <v>108</v>
      </c>
      <c r="AX34" s="53" t="s">
        <v>108</v>
      </c>
      <c r="AY34" s="53">
        <v>0</v>
      </c>
      <c r="AZ34" s="53" t="s">
        <v>108</v>
      </c>
      <c r="BA34" s="53">
        <v>2</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v>2</v>
      </c>
      <c r="AL35" s="53" t="s">
        <v>108</v>
      </c>
      <c r="AM35" s="53">
        <v>0</v>
      </c>
      <c r="AN35" s="53" t="s">
        <v>108</v>
      </c>
      <c r="AO35" s="53" t="s">
        <v>108</v>
      </c>
      <c r="AP35" s="53" t="s">
        <v>108</v>
      </c>
      <c r="AQ35" s="53" t="s">
        <v>108</v>
      </c>
      <c r="AR35" s="53" t="s">
        <v>108</v>
      </c>
      <c r="AS35" s="53" t="s">
        <v>108</v>
      </c>
      <c r="AT35" s="53" t="s">
        <v>108</v>
      </c>
      <c r="AU35" s="53" t="s">
        <v>108</v>
      </c>
      <c r="AV35" s="53" t="s">
        <v>108</v>
      </c>
      <c r="AW35" s="53" t="s">
        <v>108</v>
      </c>
      <c r="AX35" s="53" t="s">
        <v>108</v>
      </c>
      <c r="AY35" s="53">
        <v>0</v>
      </c>
      <c r="AZ35" s="53" t="s">
        <v>108</v>
      </c>
      <c r="BA35" s="53">
        <v>3</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v>0</v>
      </c>
      <c r="AL36" s="53" t="s">
        <v>108</v>
      </c>
      <c r="AM36" s="53">
        <v>0</v>
      </c>
      <c r="AN36" s="53" t="s">
        <v>108</v>
      </c>
      <c r="AO36" s="53" t="s">
        <v>108</v>
      </c>
      <c r="AP36" s="53" t="s">
        <v>108</v>
      </c>
      <c r="AQ36" s="53" t="s">
        <v>108</v>
      </c>
      <c r="AR36" s="53" t="s">
        <v>108</v>
      </c>
      <c r="AS36" s="53" t="s">
        <v>108</v>
      </c>
      <c r="AT36" s="53" t="s">
        <v>108</v>
      </c>
      <c r="AU36" s="53" t="s">
        <v>108</v>
      </c>
      <c r="AV36" s="53" t="s">
        <v>108</v>
      </c>
      <c r="AW36" s="53" t="s">
        <v>108</v>
      </c>
      <c r="AX36" s="53" t="s">
        <v>108</v>
      </c>
      <c r="AY36" s="53">
        <v>0</v>
      </c>
      <c r="AZ36" s="53" t="s">
        <v>108</v>
      </c>
      <c r="BA36" s="53">
        <v>0</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74FAB-B69F-4A87-A780-D00471CB58A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v>4</v>
      </c>
      <c r="AL15" s="53" t="s">
        <v>108</v>
      </c>
      <c r="AM15" s="53">
        <v>0</v>
      </c>
      <c r="AN15" s="53" t="s">
        <v>108</v>
      </c>
      <c r="AO15" s="53" t="s">
        <v>108</v>
      </c>
      <c r="AP15" s="53" t="s">
        <v>108</v>
      </c>
      <c r="AQ15" s="53" t="s">
        <v>108</v>
      </c>
      <c r="AR15" s="53" t="s">
        <v>108</v>
      </c>
      <c r="AS15" s="53" t="s">
        <v>108</v>
      </c>
      <c r="AT15" s="53" t="s">
        <v>108</v>
      </c>
      <c r="AU15" s="53" t="s">
        <v>108</v>
      </c>
      <c r="AV15" s="53" t="s">
        <v>108</v>
      </c>
      <c r="AW15" s="53" t="s">
        <v>108</v>
      </c>
      <c r="AX15" s="53" t="s">
        <v>108</v>
      </c>
      <c r="AY15" s="53">
        <v>0</v>
      </c>
      <c r="AZ15" s="53" t="s">
        <v>108</v>
      </c>
      <c r="BA15" s="53">
        <v>6</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v>2</v>
      </c>
      <c r="AL16" s="53" t="s">
        <v>108</v>
      </c>
      <c r="AM16" s="53">
        <v>1</v>
      </c>
      <c r="AN16" s="53" t="s">
        <v>108</v>
      </c>
      <c r="AO16" s="53" t="s">
        <v>108</v>
      </c>
      <c r="AP16" s="53" t="s">
        <v>108</v>
      </c>
      <c r="AQ16" s="53" t="s">
        <v>108</v>
      </c>
      <c r="AR16" s="53" t="s">
        <v>108</v>
      </c>
      <c r="AS16" s="53" t="s">
        <v>108</v>
      </c>
      <c r="AT16" s="53" t="s">
        <v>108</v>
      </c>
      <c r="AU16" s="53" t="s">
        <v>108</v>
      </c>
      <c r="AV16" s="53" t="s">
        <v>108</v>
      </c>
      <c r="AW16" s="53" t="s">
        <v>108</v>
      </c>
      <c r="AX16" s="53" t="s">
        <v>108</v>
      </c>
      <c r="AY16" s="53">
        <v>0</v>
      </c>
      <c r="AZ16" s="53" t="s">
        <v>108</v>
      </c>
      <c r="BA16" s="53">
        <v>3</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v>0</v>
      </c>
      <c r="AL17" s="53" t="s">
        <v>108</v>
      </c>
      <c r="AM17" s="53">
        <v>0</v>
      </c>
      <c r="AN17" s="53" t="s">
        <v>108</v>
      </c>
      <c r="AO17" s="53" t="s">
        <v>108</v>
      </c>
      <c r="AP17" s="53" t="s">
        <v>108</v>
      </c>
      <c r="AQ17" s="53" t="s">
        <v>108</v>
      </c>
      <c r="AR17" s="53" t="s">
        <v>108</v>
      </c>
      <c r="AS17" s="53" t="s">
        <v>108</v>
      </c>
      <c r="AT17" s="53" t="s">
        <v>108</v>
      </c>
      <c r="AU17" s="53" t="s">
        <v>108</v>
      </c>
      <c r="AV17" s="53" t="s">
        <v>108</v>
      </c>
      <c r="AW17" s="53" t="s">
        <v>108</v>
      </c>
      <c r="AX17" s="53" t="s">
        <v>108</v>
      </c>
      <c r="AY17" s="53">
        <v>0</v>
      </c>
      <c r="AZ17" s="53" t="s">
        <v>108</v>
      </c>
      <c r="BA17" s="53">
        <v>7</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v>3</v>
      </c>
      <c r="AL18" s="53" t="s">
        <v>108</v>
      </c>
      <c r="AM18" s="53">
        <v>0</v>
      </c>
      <c r="AN18" s="53" t="s">
        <v>108</v>
      </c>
      <c r="AO18" s="53" t="s">
        <v>108</v>
      </c>
      <c r="AP18" s="53" t="s">
        <v>108</v>
      </c>
      <c r="AQ18" s="53" t="s">
        <v>108</v>
      </c>
      <c r="AR18" s="53" t="s">
        <v>108</v>
      </c>
      <c r="AS18" s="53" t="s">
        <v>108</v>
      </c>
      <c r="AT18" s="53" t="s">
        <v>108</v>
      </c>
      <c r="AU18" s="53" t="s">
        <v>108</v>
      </c>
      <c r="AV18" s="53" t="s">
        <v>108</v>
      </c>
      <c r="AW18" s="53" t="s">
        <v>108</v>
      </c>
      <c r="AX18" s="53" t="s">
        <v>108</v>
      </c>
      <c r="AY18" s="53">
        <v>0</v>
      </c>
      <c r="AZ18" s="53" t="s">
        <v>108</v>
      </c>
      <c r="BA18" s="53">
        <v>7</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v>3</v>
      </c>
      <c r="AL19" s="53" t="s">
        <v>108</v>
      </c>
      <c r="AM19" s="53">
        <v>0</v>
      </c>
      <c r="AN19" s="53" t="s">
        <v>108</v>
      </c>
      <c r="AO19" s="53" t="s">
        <v>108</v>
      </c>
      <c r="AP19" s="53" t="s">
        <v>108</v>
      </c>
      <c r="AQ19" s="53" t="s">
        <v>108</v>
      </c>
      <c r="AR19" s="53" t="s">
        <v>108</v>
      </c>
      <c r="AS19" s="53" t="s">
        <v>108</v>
      </c>
      <c r="AT19" s="53" t="s">
        <v>108</v>
      </c>
      <c r="AU19" s="53" t="s">
        <v>108</v>
      </c>
      <c r="AV19" s="53" t="s">
        <v>108</v>
      </c>
      <c r="AW19" s="53" t="s">
        <v>108</v>
      </c>
      <c r="AX19" s="53" t="s">
        <v>108</v>
      </c>
      <c r="AY19" s="53">
        <v>1</v>
      </c>
      <c r="AZ19" s="53" t="s">
        <v>108</v>
      </c>
      <c r="BA19" s="53">
        <v>8</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v>1</v>
      </c>
      <c r="AL20" s="53" t="s">
        <v>108</v>
      </c>
      <c r="AM20" s="53">
        <v>0</v>
      </c>
      <c r="AN20" s="53" t="s">
        <v>108</v>
      </c>
      <c r="AO20" s="53" t="s">
        <v>108</v>
      </c>
      <c r="AP20" s="53" t="s">
        <v>108</v>
      </c>
      <c r="AQ20" s="53" t="s">
        <v>108</v>
      </c>
      <c r="AR20" s="53" t="s">
        <v>108</v>
      </c>
      <c r="AS20" s="53" t="s">
        <v>108</v>
      </c>
      <c r="AT20" s="53" t="s">
        <v>108</v>
      </c>
      <c r="AU20" s="53" t="s">
        <v>108</v>
      </c>
      <c r="AV20" s="53" t="s">
        <v>108</v>
      </c>
      <c r="AW20" s="53" t="s">
        <v>108</v>
      </c>
      <c r="AX20" s="53" t="s">
        <v>108</v>
      </c>
      <c r="AY20" s="53">
        <v>0</v>
      </c>
      <c r="AZ20" s="53" t="s">
        <v>108</v>
      </c>
      <c r="BA20" s="53">
        <v>1</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v>1</v>
      </c>
      <c r="AL21" s="53" t="s">
        <v>108</v>
      </c>
      <c r="AM21" s="53">
        <v>0</v>
      </c>
      <c r="AN21" s="53" t="s">
        <v>108</v>
      </c>
      <c r="AO21" s="53" t="s">
        <v>108</v>
      </c>
      <c r="AP21" s="53" t="s">
        <v>108</v>
      </c>
      <c r="AQ21" s="53" t="s">
        <v>108</v>
      </c>
      <c r="AR21" s="53" t="s">
        <v>108</v>
      </c>
      <c r="AS21" s="53" t="s">
        <v>108</v>
      </c>
      <c r="AT21" s="53" t="s">
        <v>108</v>
      </c>
      <c r="AU21" s="53" t="s">
        <v>108</v>
      </c>
      <c r="AV21" s="53" t="s">
        <v>108</v>
      </c>
      <c r="AW21" s="53" t="s">
        <v>108</v>
      </c>
      <c r="AX21" s="53" t="s">
        <v>108</v>
      </c>
      <c r="AY21" s="53">
        <v>0</v>
      </c>
      <c r="AZ21" s="53" t="s">
        <v>108</v>
      </c>
      <c r="BA21" s="53">
        <v>2</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v>1</v>
      </c>
      <c r="AL22" s="53" t="s">
        <v>108</v>
      </c>
      <c r="AM22" s="53">
        <v>0</v>
      </c>
      <c r="AN22" s="53" t="s">
        <v>108</v>
      </c>
      <c r="AO22" s="53" t="s">
        <v>108</v>
      </c>
      <c r="AP22" s="53" t="s">
        <v>108</v>
      </c>
      <c r="AQ22" s="53" t="s">
        <v>108</v>
      </c>
      <c r="AR22" s="53" t="s">
        <v>108</v>
      </c>
      <c r="AS22" s="53" t="s">
        <v>108</v>
      </c>
      <c r="AT22" s="53" t="s">
        <v>108</v>
      </c>
      <c r="AU22" s="53" t="s">
        <v>108</v>
      </c>
      <c r="AV22" s="53" t="s">
        <v>108</v>
      </c>
      <c r="AW22" s="53" t="s">
        <v>108</v>
      </c>
      <c r="AX22" s="53" t="s">
        <v>108</v>
      </c>
      <c r="AY22" s="53">
        <v>0</v>
      </c>
      <c r="AZ22" s="53" t="s">
        <v>108</v>
      </c>
      <c r="BA22" s="53">
        <v>2</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v>1</v>
      </c>
      <c r="AL23" s="53" t="s">
        <v>108</v>
      </c>
      <c r="AM23" s="53">
        <v>0</v>
      </c>
      <c r="AN23" s="53" t="s">
        <v>108</v>
      </c>
      <c r="AO23" s="53" t="s">
        <v>108</v>
      </c>
      <c r="AP23" s="53" t="s">
        <v>108</v>
      </c>
      <c r="AQ23" s="53" t="s">
        <v>108</v>
      </c>
      <c r="AR23" s="53" t="s">
        <v>108</v>
      </c>
      <c r="AS23" s="53" t="s">
        <v>108</v>
      </c>
      <c r="AT23" s="53" t="s">
        <v>108</v>
      </c>
      <c r="AU23" s="53" t="s">
        <v>108</v>
      </c>
      <c r="AV23" s="53" t="s">
        <v>108</v>
      </c>
      <c r="AW23" s="53" t="s">
        <v>108</v>
      </c>
      <c r="AX23" s="53" t="s">
        <v>108</v>
      </c>
      <c r="AY23" s="53">
        <v>0</v>
      </c>
      <c r="AZ23" s="53" t="s">
        <v>108</v>
      </c>
      <c r="BA23" s="53">
        <v>3</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v>1</v>
      </c>
      <c r="AL24" s="53" t="s">
        <v>108</v>
      </c>
      <c r="AM24" s="53">
        <v>0</v>
      </c>
      <c r="AN24" s="53" t="s">
        <v>108</v>
      </c>
      <c r="AO24" s="53" t="s">
        <v>108</v>
      </c>
      <c r="AP24" s="53" t="s">
        <v>108</v>
      </c>
      <c r="AQ24" s="53" t="s">
        <v>108</v>
      </c>
      <c r="AR24" s="53" t="s">
        <v>108</v>
      </c>
      <c r="AS24" s="53" t="s">
        <v>108</v>
      </c>
      <c r="AT24" s="53" t="s">
        <v>108</v>
      </c>
      <c r="AU24" s="53" t="s">
        <v>108</v>
      </c>
      <c r="AV24" s="53" t="s">
        <v>108</v>
      </c>
      <c r="AW24" s="53" t="s">
        <v>108</v>
      </c>
      <c r="AX24" s="53" t="s">
        <v>108</v>
      </c>
      <c r="AY24" s="53">
        <v>0</v>
      </c>
      <c r="AZ24" s="53" t="s">
        <v>108</v>
      </c>
      <c r="BA24" s="53">
        <v>5</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v>2</v>
      </c>
      <c r="AL25" s="53" t="s">
        <v>108</v>
      </c>
      <c r="AM25" s="53">
        <v>0</v>
      </c>
      <c r="AN25" s="53" t="s">
        <v>108</v>
      </c>
      <c r="AO25" s="53" t="s">
        <v>108</v>
      </c>
      <c r="AP25" s="53" t="s">
        <v>108</v>
      </c>
      <c r="AQ25" s="53" t="s">
        <v>108</v>
      </c>
      <c r="AR25" s="53" t="s">
        <v>108</v>
      </c>
      <c r="AS25" s="53" t="s">
        <v>108</v>
      </c>
      <c r="AT25" s="53" t="s">
        <v>108</v>
      </c>
      <c r="AU25" s="53" t="s">
        <v>108</v>
      </c>
      <c r="AV25" s="53" t="s">
        <v>108</v>
      </c>
      <c r="AW25" s="53" t="s">
        <v>108</v>
      </c>
      <c r="AX25" s="53" t="s">
        <v>108</v>
      </c>
      <c r="AY25" s="53">
        <v>0</v>
      </c>
      <c r="AZ25" s="53" t="s">
        <v>108</v>
      </c>
      <c r="BA25" s="53">
        <v>3</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v>2</v>
      </c>
      <c r="AL26" s="53" t="s">
        <v>108</v>
      </c>
      <c r="AM26" s="53">
        <v>0</v>
      </c>
      <c r="AN26" s="53" t="s">
        <v>108</v>
      </c>
      <c r="AO26" s="53" t="s">
        <v>108</v>
      </c>
      <c r="AP26" s="53" t="s">
        <v>108</v>
      </c>
      <c r="AQ26" s="53" t="s">
        <v>108</v>
      </c>
      <c r="AR26" s="53" t="s">
        <v>108</v>
      </c>
      <c r="AS26" s="53" t="s">
        <v>108</v>
      </c>
      <c r="AT26" s="53" t="s">
        <v>108</v>
      </c>
      <c r="AU26" s="53" t="s">
        <v>108</v>
      </c>
      <c r="AV26" s="53" t="s">
        <v>108</v>
      </c>
      <c r="AW26" s="53" t="s">
        <v>108</v>
      </c>
      <c r="AX26" s="53" t="s">
        <v>108</v>
      </c>
      <c r="AY26" s="53">
        <v>0</v>
      </c>
      <c r="AZ26" s="53" t="s">
        <v>108</v>
      </c>
      <c r="BA26" s="53">
        <v>3</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v>0</v>
      </c>
      <c r="AL27" s="53" t="s">
        <v>108</v>
      </c>
      <c r="AM27" s="53">
        <v>0</v>
      </c>
      <c r="AN27" s="53" t="s">
        <v>108</v>
      </c>
      <c r="AO27" s="53" t="s">
        <v>108</v>
      </c>
      <c r="AP27" s="53" t="s">
        <v>108</v>
      </c>
      <c r="AQ27" s="53" t="s">
        <v>108</v>
      </c>
      <c r="AR27" s="53" t="s">
        <v>108</v>
      </c>
      <c r="AS27" s="53" t="s">
        <v>108</v>
      </c>
      <c r="AT27" s="53" t="s">
        <v>108</v>
      </c>
      <c r="AU27" s="53" t="s">
        <v>108</v>
      </c>
      <c r="AV27" s="53" t="s">
        <v>108</v>
      </c>
      <c r="AW27" s="53" t="s">
        <v>108</v>
      </c>
      <c r="AX27" s="53" t="s">
        <v>108</v>
      </c>
      <c r="AY27" s="53">
        <v>0</v>
      </c>
      <c r="AZ27" s="53" t="s">
        <v>108</v>
      </c>
      <c r="BA27" s="53">
        <v>0</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v>5</v>
      </c>
      <c r="AL28" s="53" t="s">
        <v>108</v>
      </c>
      <c r="AM28" s="53">
        <v>2</v>
      </c>
      <c r="AN28" s="53" t="s">
        <v>108</v>
      </c>
      <c r="AO28" s="53" t="s">
        <v>108</v>
      </c>
      <c r="AP28" s="53" t="s">
        <v>108</v>
      </c>
      <c r="AQ28" s="53" t="s">
        <v>108</v>
      </c>
      <c r="AR28" s="53" t="s">
        <v>108</v>
      </c>
      <c r="AS28" s="53" t="s">
        <v>108</v>
      </c>
      <c r="AT28" s="53" t="s">
        <v>108</v>
      </c>
      <c r="AU28" s="53" t="s">
        <v>108</v>
      </c>
      <c r="AV28" s="53" t="s">
        <v>108</v>
      </c>
      <c r="AW28" s="53" t="s">
        <v>108</v>
      </c>
      <c r="AX28" s="53" t="s">
        <v>108</v>
      </c>
      <c r="AY28" s="53">
        <v>0</v>
      </c>
      <c r="AZ28" s="53" t="s">
        <v>108</v>
      </c>
      <c r="BA28" s="53">
        <v>10</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v>8</v>
      </c>
      <c r="AL29" s="53" t="s">
        <v>108</v>
      </c>
      <c r="AM29" s="53">
        <v>0</v>
      </c>
      <c r="AN29" s="53" t="s">
        <v>108</v>
      </c>
      <c r="AO29" s="53" t="s">
        <v>108</v>
      </c>
      <c r="AP29" s="53" t="s">
        <v>108</v>
      </c>
      <c r="AQ29" s="53" t="s">
        <v>108</v>
      </c>
      <c r="AR29" s="53" t="s">
        <v>108</v>
      </c>
      <c r="AS29" s="53" t="s">
        <v>108</v>
      </c>
      <c r="AT29" s="53" t="s">
        <v>108</v>
      </c>
      <c r="AU29" s="53" t="s">
        <v>108</v>
      </c>
      <c r="AV29" s="53" t="s">
        <v>108</v>
      </c>
      <c r="AW29" s="53" t="s">
        <v>108</v>
      </c>
      <c r="AX29" s="53" t="s">
        <v>108</v>
      </c>
      <c r="AY29" s="53">
        <v>0</v>
      </c>
      <c r="AZ29" s="53" t="s">
        <v>108</v>
      </c>
      <c r="BA29" s="53">
        <v>11</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v>11</v>
      </c>
      <c r="AL30" s="53" t="s">
        <v>108</v>
      </c>
      <c r="AM30" s="53">
        <v>0</v>
      </c>
      <c r="AN30" s="53" t="s">
        <v>108</v>
      </c>
      <c r="AO30" s="53" t="s">
        <v>108</v>
      </c>
      <c r="AP30" s="53" t="s">
        <v>108</v>
      </c>
      <c r="AQ30" s="53" t="s">
        <v>108</v>
      </c>
      <c r="AR30" s="53" t="s">
        <v>108</v>
      </c>
      <c r="AS30" s="53" t="s">
        <v>108</v>
      </c>
      <c r="AT30" s="53" t="s">
        <v>108</v>
      </c>
      <c r="AU30" s="53" t="s">
        <v>108</v>
      </c>
      <c r="AV30" s="53" t="s">
        <v>108</v>
      </c>
      <c r="AW30" s="53" t="s">
        <v>108</v>
      </c>
      <c r="AX30" s="53" t="s">
        <v>108</v>
      </c>
      <c r="AY30" s="53">
        <v>0</v>
      </c>
      <c r="AZ30" s="53" t="s">
        <v>108</v>
      </c>
      <c r="BA30" s="53">
        <v>15</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v>8</v>
      </c>
      <c r="AL31" s="53" t="s">
        <v>108</v>
      </c>
      <c r="AM31" s="53">
        <v>0</v>
      </c>
      <c r="AN31" s="53" t="s">
        <v>108</v>
      </c>
      <c r="AO31" s="53" t="s">
        <v>108</v>
      </c>
      <c r="AP31" s="53" t="s">
        <v>108</v>
      </c>
      <c r="AQ31" s="53" t="s">
        <v>108</v>
      </c>
      <c r="AR31" s="53" t="s">
        <v>108</v>
      </c>
      <c r="AS31" s="53" t="s">
        <v>108</v>
      </c>
      <c r="AT31" s="53" t="s">
        <v>108</v>
      </c>
      <c r="AU31" s="53" t="s">
        <v>108</v>
      </c>
      <c r="AV31" s="53" t="s">
        <v>108</v>
      </c>
      <c r="AW31" s="53" t="s">
        <v>108</v>
      </c>
      <c r="AX31" s="53" t="s">
        <v>108</v>
      </c>
      <c r="AY31" s="53">
        <v>0</v>
      </c>
      <c r="AZ31" s="53" t="s">
        <v>108</v>
      </c>
      <c r="BA31" s="53">
        <v>8</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v>6</v>
      </c>
      <c r="AL32" s="53" t="s">
        <v>108</v>
      </c>
      <c r="AM32" s="53">
        <v>0</v>
      </c>
      <c r="AN32" s="53" t="s">
        <v>108</v>
      </c>
      <c r="AO32" s="53" t="s">
        <v>108</v>
      </c>
      <c r="AP32" s="53" t="s">
        <v>108</v>
      </c>
      <c r="AQ32" s="53" t="s">
        <v>108</v>
      </c>
      <c r="AR32" s="53" t="s">
        <v>108</v>
      </c>
      <c r="AS32" s="53" t="s">
        <v>108</v>
      </c>
      <c r="AT32" s="53" t="s">
        <v>108</v>
      </c>
      <c r="AU32" s="53" t="s">
        <v>108</v>
      </c>
      <c r="AV32" s="53" t="s">
        <v>108</v>
      </c>
      <c r="AW32" s="53" t="s">
        <v>108</v>
      </c>
      <c r="AX32" s="53" t="s">
        <v>108</v>
      </c>
      <c r="AY32" s="53">
        <v>1</v>
      </c>
      <c r="AZ32" s="53" t="s">
        <v>108</v>
      </c>
      <c r="BA32" s="53">
        <v>17</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v>5</v>
      </c>
      <c r="AL33" s="53" t="s">
        <v>108</v>
      </c>
      <c r="AM33" s="53">
        <v>0</v>
      </c>
      <c r="AN33" s="53" t="s">
        <v>108</v>
      </c>
      <c r="AO33" s="53" t="s">
        <v>108</v>
      </c>
      <c r="AP33" s="53" t="s">
        <v>108</v>
      </c>
      <c r="AQ33" s="53" t="s">
        <v>108</v>
      </c>
      <c r="AR33" s="53" t="s">
        <v>108</v>
      </c>
      <c r="AS33" s="53" t="s">
        <v>108</v>
      </c>
      <c r="AT33" s="53" t="s">
        <v>108</v>
      </c>
      <c r="AU33" s="53" t="s">
        <v>108</v>
      </c>
      <c r="AV33" s="53" t="s">
        <v>108</v>
      </c>
      <c r="AW33" s="53" t="s">
        <v>108</v>
      </c>
      <c r="AX33" s="53" t="s">
        <v>108</v>
      </c>
      <c r="AY33" s="53">
        <v>0</v>
      </c>
      <c r="AZ33" s="53" t="s">
        <v>108</v>
      </c>
      <c r="BA33" s="53">
        <v>21</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v>5</v>
      </c>
      <c r="AL34" s="53" t="s">
        <v>108</v>
      </c>
      <c r="AM34" s="53">
        <v>0</v>
      </c>
      <c r="AN34" s="53" t="s">
        <v>108</v>
      </c>
      <c r="AO34" s="53" t="s">
        <v>108</v>
      </c>
      <c r="AP34" s="53" t="s">
        <v>108</v>
      </c>
      <c r="AQ34" s="53" t="s">
        <v>108</v>
      </c>
      <c r="AR34" s="53" t="s">
        <v>108</v>
      </c>
      <c r="AS34" s="53" t="s">
        <v>108</v>
      </c>
      <c r="AT34" s="53" t="s">
        <v>108</v>
      </c>
      <c r="AU34" s="53" t="s">
        <v>108</v>
      </c>
      <c r="AV34" s="53" t="s">
        <v>108</v>
      </c>
      <c r="AW34" s="53" t="s">
        <v>108</v>
      </c>
      <c r="AX34" s="53" t="s">
        <v>108</v>
      </c>
      <c r="AY34" s="53">
        <v>1</v>
      </c>
      <c r="AZ34" s="53" t="s">
        <v>108</v>
      </c>
      <c r="BA34" s="53">
        <v>11</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v>5</v>
      </c>
      <c r="AL35" s="53" t="s">
        <v>108</v>
      </c>
      <c r="AM35" s="53">
        <v>0</v>
      </c>
      <c r="AN35" s="53" t="s">
        <v>108</v>
      </c>
      <c r="AO35" s="53" t="s">
        <v>108</v>
      </c>
      <c r="AP35" s="53" t="s">
        <v>108</v>
      </c>
      <c r="AQ35" s="53" t="s">
        <v>108</v>
      </c>
      <c r="AR35" s="53" t="s">
        <v>108</v>
      </c>
      <c r="AS35" s="53" t="s">
        <v>108</v>
      </c>
      <c r="AT35" s="53" t="s">
        <v>108</v>
      </c>
      <c r="AU35" s="53" t="s">
        <v>108</v>
      </c>
      <c r="AV35" s="53" t="s">
        <v>108</v>
      </c>
      <c r="AW35" s="53" t="s">
        <v>108</v>
      </c>
      <c r="AX35" s="53" t="s">
        <v>108</v>
      </c>
      <c r="AY35" s="53">
        <v>0</v>
      </c>
      <c r="AZ35" s="53" t="s">
        <v>108</v>
      </c>
      <c r="BA35" s="53">
        <v>10</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v>0</v>
      </c>
      <c r="AL36" s="53" t="s">
        <v>108</v>
      </c>
      <c r="AM36" s="53">
        <v>0</v>
      </c>
      <c r="AN36" s="53" t="s">
        <v>108</v>
      </c>
      <c r="AO36" s="53" t="s">
        <v>108</v>
      </c>
      <c r="AP36" s="53" t="s">
        <v>108</v>
      </c>
      <c r="AQ36" s="53" t="s">
        <v>108</v>
      </c>
      <c r="AR36" s="53" t="s">
        <v>108</v>
      </c>
      <c r="AS36" s="53" t="s">
        <v>108</v>
      </c>
      <c r="AT36" s="53" t="s">
        <v>108</v>
      </c>
      <c r="AU36" s="53" t="s">
        <v>108</v>
      </c>
      <c r="AV36" s="53" t="s">
        <v>108</v>
      </c>
      <c r="AW36" s="53" t="s">
        <v>108</v>
      </c>
      <c r="AX36" s="53" t="s">
        <v>108</v>
      </c>
      <c r="AY36" s="53">
        <v>0</v>
      </c>
      <c r="AZ36" s="53" t="s">
        <v>108</v>
      </c>
      <c r="BA36" s="53">
        <v>0</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1CF3-FE09-410F-8887-464937E45F49}">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161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t="s">
        <v>108</v>
      </c>
      <c r="D15" s="53" t="s">
        <v>108</v>
      </c>
      <c r="E15" s="53" t="s">
        <v>108</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v>168</v>
      </c>
      <c r="AL15" s="53" t="s">
        <v>108</v>
      </c>
      <c r="AM15" s="53">
        <v>14</v>
      </c>
      <c r="AN15" s="53" t="s">
        <v>108</v>
      </c>
      <c r="AO15" s="53" t="s">
        <v>108</v>
      </c>
      <c r="AP15" s="53" t="s">
        <v>108</v>
      </c>
      <c r="AQ15" s="53" t="s">
        <v>108</v>
      </c>
      <c r="AR15" s="53" t="s">
        <v>108</v>
      </c>
      <c r="AS15" s="53" t="s">
        <v>108</v>
      </c>
      <c r="AT15" s="53" t="s">
        <v>108</v>
      </c>
      <c r="AU15" s="53" t="s">
        <v>108</v>
      </c>
      <c r="AV15" s="53" t="s">
        <v>108</v>
      </c>
      <c r="AW15" s="53" t="s">
        <v>108</v>
      </c>
      <c r="AX15" s="53" t="s">
        <v>108</v>
      </c>
      <c r="AY15" s="53">
        <v>25</v>
      </c>
      <c r="AZ15" s="53" t="s">
        <v>108</v>
      </c>
      <c r="BA15" s="53">
        <v>53</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t="s">
        <v>108</v>
      </c>
      <c r="D16" s="53" t="s">
        <v>108</v>
      </c>
      <c r="E16" s="53" t="s">
        <v>108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v>204</v>
      </c>
      <c r="AL16" s="53" t="s">
        <v>108</v>
      </c>
      <c r="AM16" s="53">
        <v>23</v>
      </c>
      <c r="AN16" s="53" t="s">
        <v>108</v>
      </c>
      <c r="AO16" s="53" t="s">
        <v>108</v>
      </c>
      <c r="AP16" s="53" t="s">
        <v>108</v>
      </c>
      <c r="AQ16" s="53" t="s">
        <v>108</v>
      </c>
      <c r="AR16" s="53" t="s">
        <v>108</v>
      </c>
      <c r="AS16" s="53" t="s">
        <v>108</v>
      </c>
      <c r="AT16" s="53" t="s">
        <v>108</v>
      </c>
      <c r="AU16" s="53" t="s">
        <v>108</v>
      </c>
      <c r="AV16" s="53" t="s">
        <v>108</v>
      </c>
      <c r="AW16" s="53" t="s">
        <v>108</v>
      </c>
      <c r="AX16" s="53" t="s">
        <v>108</v>
      </c>
      <c r="AY16" s="53">
        <v>11</v>
      </c>
      <c r="AZ16" s="53" t="s">
        <v>108</v>
      </c>
      <c r="BA16" s="53">
        <v>57</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t="s">
        <v>108</v>
      </c>
      <c r="D17" s="53" t="s">
        <v>108</v>
      </c>
      <c r="E17" s="53" t="s">
        <v>108</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v>221</v>
      </c>
      <c r="AL17" s="53" t="s">
        <v>108</v>
      </c>
      <c r="AM17" s="53">
        <v>36</v>
      </c>
      <c r="AN17" s="53" t="s">
        <v>108</v>
      </c>
      <c r="AO17" s="53" t="s">
        <v>108</v>
      </c>
      <c r="AP17" s="53" t="s">
        <v>108</v>
      </c>
      <c r="AQ17" s="53" t="s">
        <v>108</v>
      </c>
      <c r="AR17" s="53" t="s">
        <v>108</v>
      </c>
      <c r="AS17" s="53" t="s">
        <v>108</v>
      </c>
      <c r="AT17" s="53" t="s">
        <v>108</v>
      </c>
      <c r="AU17" s="53" t="s">
        <v>108</v>
      </c>
      <c r="AV17" s="53" t="s">
        <v>108</v>
      </c>
      <c r="AW17" s="53" t="s">
        <v>108</v>
      </c>
      <c r="AX17" s="53" t="s">
        <v>108</v>
      </c>
      <c r="AY17" s="53">
        <v>26</v>
      </c>
      <c r="AZ17" s="53" t="s">
        <v>108</v>
      </c>
      <c r="BA17" s="53">
        <v>88</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t="s">
        <v>108</v>
      </c>
      <c r="D18" s="53" t="s">
        <v>108</v>
      </c>
      <c r="E18" s="53" t="s">
        <v>108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v>263</v>
      </c>
      <c r="AL18" s="53" t="s">
        <v>108</v>
      </c>
      <c r="AM18" s="53">
        <v>46</v>
      </c>
      <c r="AN18" s="53" t="s">
        <v>108</v>
      </c>
      <c r="AO18" s="53" t="s">
        <v>108</v>
      </c>
      <c r="AP18" s="53" t="s">
        <v>108</v>
      </c>
      <c r="AQ18" s="53" t="s">
        <v>108</v>
      </c>
      <c r="AR18" s="53" t="s">
        <v>108</v>
      </c>
      <c r="AS18" s="53" t="s">
        <v>108</v>
      </c>
      <c r="AT18" s="53" t="s">
        <v>108</v>
      </c>
      <c r="AU18" s="53" t="s">
        <v>108</v>
      </c>
      <c r="AV18" s="53" t="s">
        <v>108</v>
      </c>
      <c r="AW18" s="53" t="s">
        <v>108</v>
      </c>
      <c r="AX18" s="53" t="s">
        <v>108</v>
      </c>
      <c r="AY18" s="53">
        <v>25</v>
      </c>
      <c r="AZ18" s="53" t="s">
        <v>108</v>
      </c>
      <c r="BA18" s="53">
        <v>75</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t="s">
        <v>108</v>
      </c>
      <c r="D19" s="53" t="s">
        <v>108</v>
      </c>
      <c r="E19" s="53" t="s">
        <v>108</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v>228</v>
      </c>
      <c r="AL19" s="53" t="s">
        <v>108</v>
      </c>
      <c r="AM19" s="53">
        <v>23</v>
      </c>
      <c r="AN19" s="53" t="s">
        <v>108</v>
      </c>
      <c r="AO19" s="53" t="s">
        <v>108</v>
      </c>
      <c r="AP19" s="53" t="s">
        <v>108</v>
      </c>
      <c r="AQ19" s="53" t="s">
        <v>108</v>
      </c>
      <c r="AR19" s="53" t="s">
        <v>108</v>
      </c>
      <c r="AS19" s="53" t="s">
        <v>108</v>
      </c>
      <c r="AT19" s="53" t="s">
        <v>108</v>
      </c>
      <c r="AU19" s="53" t="s">
        <v>108</v>
      </c>
      <c r="AV19" s="53" t="s">
        <v>108</v>
      </c>
      <c r="AW19" s="53" t="s">
        <v>108</v>
      </c>
      <c r="AX19" s="53" t="s">
        <v>108</v>
      </c>
      <c r="AY19" s="53">
        <v>22</v>
      </c>
      <c r="AZ19" s="53" t="s">
        <v>108</v>
      </c>
      <c r="BA19" s="53">
        <v>103</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t="s">
        <v>108</v>
      </c>
      <c r="D20" s="53" t="s">
        <v>108</v>
      </c>
      <c r="E20" s="53" t="s">
        <v>108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v>268</v>
      </c>
      <c r="AL20" s="53" t="s">
        <v>108</v>
      </c>
      <c r="AM20" s="53">
        <v>47</v>
      </c>
      <c r="AN20" s="53" t="s">
        <v>108</v>
      </c>
      <c r="AO20" s="53" t="s">
        <v>108</v>
      </c>
      <c r="AP20" s="53" t="s">
        <v>108</v>
      </c>
      <c r="AQ20" s="53" t="s">
        <v>108</v>
      </c>
      <c r="AR20" s="53" t="s">
        <v>108</v>
      </c>
      <c r="AS20" s="53" t="s">
        <v>108</v>
      </c>
      <c r="AT20" s="53" t="s">
        <v>108</v>
      </c>
      <c r="AU20" s="53" t="s">
        <v>108</v>
      </c>
      <c r="AV20" s="53" t="s">
        <v>108</v>
      </c>
      <c r="AW20" s="53" t="s">
        <v>108</v>
      </c>
      <c r="AX20" s="53" t="s">
        <v>108</v>
      </c>
      <c r="AY20" s="53">
        <v>27</v>
      </c>
      <c r="AZ20" s="53" t="s">
        <v>108</v>
      </c>
      <c r="BA20" s="53">
        <v>87</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t="s">
        <v>108</v>
      </c>
      <c r="D21" s="53" t="s">
        <v>108</v>
      </c>
      <c r="E21" s="53" t="s">
        <v>108</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v>283</v>
      </c>
      <c r="AL21" s="53" t="s">
        <v>108</v>
      </c>
      <c r="AM21" s="53">
        <v>42</v>
      </c>
      <c r="AN21" s="53" t="s">
        <v>108</v>
      </c>
      <c r="AO21" s="53" t="s">
        <v>108</v>
      </c>
      <c r="AP21" s="53" t="s">
        <v>108</v>
      </c>
      <c r="AQ21" s="53" t="s">
        <v>108</v>
      </c>
      <c r="AR21" s="53" t="s">
        <v>108</v>
      </c>
      <c r="AS21" s="53" t="s">
        <v>108</v>
      </c>
      <c r="AT21" s="53" t="s">
        <v>108</v>
      </c>
      <c r="AU21" s="53" t="s">
        <v>108</v>
      </c>
      <c r="AV21" s="53" t="s">
        <v>108</v>
      </c>
      <c r="AW21" s="53" t="s">
        <v>108</v>
      </c>
      <c r="AX21" s="53" t="s">
        <v>108</v>
      </c>
      <c r="AY21" s="53">
        <v>41</v>
      </c>
      <c r="AZ21" s="53" t="s">
        <v>108</v>
      </c>
      <c r="BA21" s="53">
        <v>100</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t="s">
        <v>108</v>
      </c>
      <c r="D22" s="53" t="s">
        <v>108</v>
      </c>
      <c r="E22" s="53" t="s">
        <v>108</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v>249</v>
      </c>
      <c r="AL22" s="53" t="s">
        <v>108</v>
      </c>
      <c r="AM22" s="53">
        <v>52</v>
      </c>
      <c r="AN22" s="53" t="s">
        <v>108</v>
      </c>
      <c r="AO22" s="53" t="s">
        <v>108</v>
      </c>
      <c r="AP22" s="53" t="s">
        <v>108</v>
      </c>
      <c r="AQ22" s="53" t="s">
        <v>108</v>
      </c>
      <c r="AR22" s="53" t="s">
        <v>108</v>
      </c>
      <c r="AS22" s="53" t="s">
        <v>108</v>
      </c>
      <c r="AT22" s="53" t="s">
        <v>108</v>
      </c>
      <c r="AU22" s="53" t="s">
        <v>108</v>
      </c>
      <c r="AV22" s="53" t="s">
        <v>108</v>
      </c>
      <c r="AW22" s="53" t="s">
        <v>108</v>
      </c>
      <c r="AX22" s="53" t="s">
        <v>108</v>
      </c>
      <c r="AY22" s="53">
        <v>25</v>
      </c>
      <c r="AZ22" s="53" t="s">
        <v>108</v>
      </c>
      <c r="BA22" s="53">
        <v>74</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t="s">
        <v>108</v>
      </c>
      <c r="D23" s="53" t="s">
        <v>108</v>
      </c>
      <c r="E23" s="53" t="s">
        <v>108</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v>192</v>
      </c>
      <c r="AL23" s="53" t="s">
        <v>108</v>
      </c>
      <c r="AM23" s="53">
        <v>39</v>
      </c>
      <c r="AN23" s="53" t="s">
        <v>108</v>
      </c>
      <c r="AO23" s="53" t="s">
        <v>108</v>
      </c>
      <c r="AP23" s="53" t="s">
        <v>108</v>
      </c>
      <c r="AQ23" s="53" t="s">
        <v>108</v>
      </c>
      <c r="AR23" s="53" t="s">
        <v>108</v>
      </c>
      <c r="AS23" s="53" t="s">
        <v>108</v>
      </c>
      <c r="AT23" s="53" t="s">
        <v>108</v>
      </c>
      <c r="AU23" s="53" t="s">
        <v>108</v>
      </c>
      <c r="AV23" s="53" t="s">
        <v>108</v>
      </c>
      <c r="AW23" s="53" t="s">
        <v>108</v>
      </c>
      <c r="AX23" s="53" t="s">
        <v>108</v>
      </c>
      <c r="AY23" s="53">
        <v>33</v>
      </c>
      <c r="AZ23" s="53" t="s">
        <v>108</v>
      </c>
      <c r="BA23" s="53">
        <v>110</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t="s">
        <v>108</v>
      </c>
      <c r="D24" s="53" t="s">
        <v>108</v>
      </c>
      <c r="E24" s="53" t="s">
        <v>108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v>212</v>
      </c>
      <c r="AL24" s="53" t="s">
        <v>108</v>
      </c>
      <c r="AM24" s="53">
        <v>44</v>
      </c>
      <c r="AN24" s="53" t="s">
        <v>108</v>
      </c>
      <c r="AO24" s="53" t="s">
        <v>108</v>
      </c>
      <c r="AP24" s="53" t="s">
        <v>108</v>
      </c>
      <c r="AQ24" s="53" t="s">
        <v>108</v>
      </c>
      <c r="AR24" s="53" t="s">
        <v>108</v>
      </c>
      <c r="AS24" s="53" t="s">
        <v>108</v>
      </c>
      <c r="AT24" s="53" t="s">
        <v>108</v>
      </c>
      <c r="AU24" s="53" t="s">
        <v>108</v>
      </c>
      <c r="AV24" s="53" t="s">
        <v>108</v>
      </c>
      <c r="AW24" s="53" t="s">
        <v>108</v>
      </c>
      <c r="AX24" s="53" t="s">
        <v>108</v>
      </c>
      <c r="AY24" s="53">
        <v>35</v>
      </c>
      <c r="AZ24" s="53" t="s">
        <v>108</v>
      </c>
      <c r="BA24" s="53">
        <v>119</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t="s">
        <v>108</v>
      </c>
      <c r="D25" s="53" t="s">
        <v>108</v>
      </c>
      <c r="E25" s="53" t="s">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v>195</v>
      </c>
      <c r="AL25" s="53" t="s">
        <v>108</v>
      </c>
      <c r="AM25" s="53">
        <v>52</v>
      </c>
      <c r="AN25" s="53" t="s">
        <v>108</v>
      </c>
      <c r="AO25" s="53" t="s">
        <v>108</v>
      </c>
      <c r="AP25" s="53" t="s">
        <v>108</v>
      </c>
      <c r="AQ25" s="53" t="s">
        <v>108</v>
      </c>
      <c r="AR25" s="53" t="s">
        <v>108</v>
      </c>
      <c r="AS25" s="53" t="s">
        <v>108</v>
      </c>
      <c r="AT25" s="53" t="s">
        <v>108</v>
      </c>
      <c r="AU25" s="53" t="s">
        <v>108</v>
      </c>
      <c r="AV25" s="53" t="s">
        <v>108</v>
      </c>
      <c r="AW25" s="53" t="s">
        <v>108</v>
      </c>
      <c r="AX25" s="53" t="s">
        <v>108</v>
      </c>
      <c r="AY25" s="53">
        <v>25</v>
      </c>
      <c r="AZ25" s="53" t="s">
        <v>108</v>
      </c>
      <c r="BA25" s="53">
        <v>111</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t="s">
        <v>108</v>
      </c>
      <c r="D26" s="53" t="s">
        <v>108</v>
      </c>
      <c r="E26" s="53" t="s">
        <v>108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v>205</v>
      </c>
      <c r="AL26" s="53" t="s">
        <v>108</v>
      </c>
      <c r="AM26" s="53">
        <v>37</v>
      </c>
      <c r="AN26" s="53" t="s">
        <v>108</v>
      </c>
      <c r="AO26" s="53" t="s">
        <v>108</v>
      </c>
      <c r="AP26" s="53" t="s">
        <v>108</v>
      </c>
      <c r="AQ26" s="53" t="s">
        <v>108</v>
      </c>
      <c r="AR26" s="53" t="s">
        <v>108</v>
      </c>
      <c r="AS26" s="53" t="s">
        <v>108</v>
      </c>
      <c r="AT26" s="53" t="s">
        <v>108</v>
      </c>
      <c r="AU26" s="53" t="s">
        <v>108</v>
      </c>
      <c r="AV26" s="53" t="s">
        <v>108</v>
      </c>
      <c r="AW26" s="53" t="s">
        <v>108</v>
      </c>
      <c r="AX26" s="53" t="s">
        <v>108</v>
      </c>
      <c r="AY26" s="53">
        <v>40</v>
      </c>
      <c r="AZ26" s="53" t="s">
        <v>108</v>
      </c>
      <c r="BA26" s="53">
        <v>108</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t="s">
        <v>108</v>
      </c>
      <c r="D27" s="53" t="s">
        <v>108</v>
      </c>
      <c r="E27" s="53" t="s">
        <v>108</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v>0</v>
      </c>
      <c r="AL27" s="53" t="s">
        <v>108</v>
      </c>
      <c r="AM27" s="53">
        <v>0</v>
      </c>
      <c r="AN27" s="53" t="s">
        <v>108</v>
      </c>
      <c r="AO27" s="53" t="s">
        <v>108</v>
      </c>
      <c r="AP27" s="53" t="s">
        <v>108</v>
      </c>
      <c r="AQ27" s="53" t="s">
        <v>108</v>
      </c>
      <c r="AR27" s="53" t="s">
        <v>108</v>
      </c>
      <c r="AS27" s="53" t="s">
        <v>108</v>
      </c>
      <c r="AT27" s="53" t="s">
        <v>108</v>
      </c>
      <c r="AU27" s="53" t="s">
        <v>108</v>
      </c>
      <c r="AV27" s="53" t="s">
        <v>108</v>
      </c>
      <c r="AW27" s="53" t="s">
        <v>108</v>
      </c>
      <c r="AX27" s="53" t="s">
        <v>108</v>
      </c>
      <c r="AY27" s="53">
        <v>0</v>
      </c>
      <c r="AZ27" s="53" t="s">
        <v>108</v>
      </c>
      <c r="BA27" s="53">
        <v>0</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t="s">
        <v>108</v>
      </c>
      <c r="D28" s="53" t="s">
        <v>108</v>
      </c>
      <c r="E28" s="53" t="s">
        <v>108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v>327</v>
      </c>
      <c r="AL28" s="53" t="s">
        <v>108</v>
      </c>
      <c r="AM28" s="53">
        <v>51</v>
      </c>
      <c r="AN28" s="53" t="s">
        <v>108</v>
      </c>
      <c r="AO28" s="53" t="s">
        <v>108</v>
      </c>
      <c r="AP28" s="53" t="s">
        <v>108</v>
      </c>
      <c r="AQ28" s="53" t="s">
        <v>108</v>
      </c>
      <c r="AR28" s="53" t="s">
        <v>108</v>
      </c>
      <c r="AS28" s="53" t="s">
        <v>108</v>
      </c>
      <c r="AT28" s="53" t="s">
        <v>108</v>
      </c>
      <c r="AU28" s="53" t="s">
        <v>108</v>
      </c>
      <c r="AV28" s="53" t="s">
        <v>108</v>
      </c>
      <c r="AW28" s="53" t="s">
        <v>108</v>
      </c>
      <c r="AX28" s="53" t="s">
        <v>108</v>
      </c>
      <c r="AY28" s="53">
        <v>44</v>
      </c>
      <c r="AZ28" s="53" t="s">
        <v>108</v>
      </c>
      <c r="BA28" s="53">
        <v>151</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t="s">
        <v>108</v>
      </c>
      <c r="D29" s="53" t="s">
        <v>108</v>
      </c>
      <c r="E29" s="53" t="s">
        <v>108</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v>322</v>
      </c>
      <c r="AL29" s="53" t="s">
        <v>108</v>
      </c>
      <c r="AM29" s="53">
        <v>47</v>
      </c>
      <c r="AN29" s="53" t="s">
        <v>108</v>
      </c>
      <c r="AO29" s="53" t="s">
        <v>108</v>
      </c>
      <c r="AP29" s="53" t="s">
        <v>108</v>
      </c>
      <c r="AQ29" s="53" t="s">
        <v>108</v>
      </c>
      <c r="AR29" s="53" t="s">
        <v>108</v>
      </c>
      <c r="AS29" s="53" t="s">
        <v>108</v>
      </c>
      <c r="AT29" s="53" t="s">
        <v>108</v>
      </c>
      <c r="AU29" s="53" t="s">
        <v>108</v>
      </c>
      <c r="AV29" s="53" t="s">
        <v>108</v>
      </c>
      <c r="AW29" s="53" t="s">
        <v>108</v>
      </c>
      <c r="AX29" s="53" t="s">
        <v>108</v>
      </c>
      <c r="AY29" s="53">
        <v>60</v>
      </c>
      <c r="AZ29" s="53" t="s">
        <v>108</v>
      </c>
      <c r="BA29" s="53">
        <v>159</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t="s">
        <v>108</v>
      </c>
      <c r="D30" s="53" t="s">
        <v>108</v>
      </c>
      <c r="E30" s="53" t="s">
        <v>108</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v>351</v>
      </c>
      <c r="AL30" s="53" t="s">
        <v>108</v>
      </c>
      <c r="AM30" s="53">
        <v>44</v>
      </c>
      <c r="AN30" s="53" t="s">
        <v>108</v>
      </c>
      <c r="AO30" s="53" t="s">
        <v>108</v>
      </c>
      <c r="AP30" s="53" t="s">
        <v>108</v>
      </c>
      <c r="AQ30" s="53" t="s">
        <v>108</v>
      </c>
      <c r="AR30" s="53" t="s">
        <v>108</v>
      </c>
      <c r="AS30" s="53" t="s">
        <v>108</v>
      </c>
      <c r="AT30" s="53" t="s">
        <v>108</v>
      </c>
      <c r="AU30" s="53" t="s">
        <v>108</v>
      </c>
      <c r="AV30" s="53" t="s">
        <v>108</v>
      </c>
      <c r="AW30" s="53" t="s">
        <v>108</v>
      </c>
      <c r="AX30" s="53" t="s">
        <v>108</v>
      </c>
      <c r="AY30" s="53">
        <v>65</v>
      </c>
      <c r="AZ30" s="53" t="s">
        <v>108</v>
      </c>
      <c r="BA30" s="53">
        <v>166</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t="s">
        <v>108</v>
      </c>
      <c r="D31" s="53" t="s">
        <v>108</v>
      </c>
      <c r="E31" s="53" t="s">
        <v>108</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v>334</v>
      </c>
      <c r="AL31" s="53" t="s">
        <v>108</v>
      </c>
      <c r="AM31" s="53">
        <v>57</v>
      </c>
      <c r="AN31" s="53" t="s">
        <v>108</v>
      </c>
      <c r="AO31" s="53" t="s">
        <v>108</v>
      </c>
      <c r="AP31" s="53" t="s">
        <v>108</v>
      </c>
      <c r="AQ31" s="53" t="s">
        <v>108</v>
      </c>
      <c r="AR31" s="53" t="s">
        <v>108</v>
      </c>
      <c r="AS31" s="53" t="s">
        <v>108</v>
      </c>
      <c r="AT31" s="53" t="s">
        <v>108</v>
      </c>
      <c r="AU31" s="53" t="s">
        <v>108</v>
      </c>
      <c r="AV31" s="53" t="s">
        <v>108</v>
      </c>
      <c r="AW31" s="53" t="s">
        <v>108</v>
      </c>
      <c r="AX31" s="53" t="s">
        <v>108</v>
      </c>
      <c r="AY31" s="53">
        <v>74</v>
      </c>
      <c r="AZ31" s="53" t="s">
        <v>108</v>
      </c>
      <c r="BA31" s="53">
        <v>164</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t="s">
        <v>108</v>
      </c>
      <c r="D32" s="53" t="s">
        <v>108</v>
      </c>
      <c r="E32" s="53" t="s">
        <v>108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v>345</v>
      </c>
      <c r="AL32" s="53" t="s">
        <v>108</v>
      </c>
      <c r="AM32" s="53">
        <v>51</v>
      </c>
      <c r="AN32" s="53" t="s">
        <v>108</v>
      </c>
      <c r="AO32" s="53" t="s">
        <v>108</v>
      </c>
      <c r="AP32" s="53" t="s">
        <v>108</v>
      </c>
      <c r="AQ32" s="53" t="s">
        <v>108</v>
      </c>
      <c r="AR32" s="53" t="s">
        <v>108</v>
      </c>
      <c r="AS32" s="53" t="s">
        <v>108</v>
      </c>
      <c r="AT32" s="53" t="s">
        <v>108</v>
      </c>
      <c r="AU32" s="53" t="s">
        <v>108</v>
      </c>
      <c r="AV32" s="53" t="s">
        <v>108</v>
      </c>
      <c r="AW32" s="53" t="s">
        <v>108</v>
      </c>
      <c r="AX32" s="53" t="s">
        <v>108</v>
      </c>
      <c r="AY32" s="53">
        <v>69</v>
      </c>
      <c r="AZ32" s="53" t="s">
        <v>108</v>
      </c>
      <c r="BA32" s="53">
        <v>178</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t="s">
        <v>108</v>
      </c>
      <c r="D33" s="53" t="s">
        <v>108</v>
      </c>
      <c r="E33" s="53" t="s">
        <v>108</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v>304</v>
      </c>
      <c r="AL33" s="53" t="s">
        <v>108</v>
      </c>
      <c r="AM33" s="53">
        <v>37</v>
      </c>
      <c r="AN33" s="53" t="s">
        <v>108</v>
      </c>
      <c r="AO33" s="53" t="s">
        <v>108</v>
      </c>
      <c r="AP33" s="53" t="s">
        <v>108</v>
      </c>
      <c r="AQ33" s="53" t="s">
        <v>108</v>
      </c>
      <c r="AR33" s="53" t="s">
        <v>108</v>
      </c>
      <c r="AS33" s="53" t="s">
        <v>108</v>
      </c>
      <c r="AT33" s="53" t="s">
        <v>108</v>
      </c>
      <c r="AU33" s="53" t="s">
        <v>108</v>
      </c>
      <c r="AV33" s="53" t="s">
        <v>108</v>
      </c>
      <c r="AW33" s="53" t="s">
        <v>108</v>
      </c>
      <c r="AX33" s="53" t="s">
        <v>108</v>
      </c>
      <c r="AY33" s="53">
        <v>76</v>
      </c>
      <c r="AZ33" s="53" t="s">
        <v>108</v>
      </c>
      <c r="BA33" s="53">
        <v>177</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t="s">
        <v>108</v>
      </c>
      <c r="D34" s="53" t="s">
        <v>108</v>
      </c>
      <c r="E34" s="53" t="s">
        <v>108</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v>338</v>
      </c>
      <c r="AL34" s="53" t="s">
        <v>108</v>
      </c>
      <c r="AM34" s="53">
        <v>41</v>
      </c>
      <c r="AN34" s="53" t="s">
        <v>108</v>
      </c>
      <c r="AO34" s="53" t="s">
        <v>108</v>
      </c>
      <c r="AP34" s="53" t="s">
        <v>108</v>
      </c>
      <c r="AQ34" s="53" t="s">
        <v>108</v>
      </c>
      <c r="AR34" s="53" t="s">
        <v>108</v>
      </c>
      <c r="AS34" s="53" t="s">
        <v>108</v>
      </c>
      <c r="AT34" s="53" t="s">
        <v>108</v>
      </c>
      <c r="AU34" s="53" t="s">
        <v>108</v>
      </c>
      <c r="AV34" s="53" t="s">
        <v>108</v>
      </c>
      <c r="AW34" s="53" t="s">
        <v>108</v>
      </c>
      <c r="AX34" s="53" t="s">
        <v>108</v>
      </c>
      <c r="AY34" s="53">
        <v>50</v>
      </c>
      <c r="AZ34" s="53" t="s">
        <v>108</v>
      </c>
      <c r="BA34" s="53">
        <v>164</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t="s">
        <v>108</v>
      </c>
      <c r="D35" s="53" t="s">
        <v>108</v>
      </c>
      <c r="E35" s="53" t="s">
        <v>108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v>255</v>
      </c>
      <c r="AL35" s="53" t="s">
        <v>108</v>
      </c>
      <c r="AM35" s="53">
        <v>37</v>
      </c>
      <c r="AN35" s="53" t="s">
        <v>108</v>
      </c>
      <c r="AO35" s="53" t="s">
        <v>108</v>
      </c>
      <c r="AP35" s="53" t="s">
        <v>108</v>
      </c>
      <c r="AQ35" s="53" t="s">
        <v>108</v>
      </c>
      <c r="AR35" s="53" t="s">
        <v>108</v>
      </c>
      <c r="AS35" s="53" t="s">
        <v>108</v>
      </c>
      <c r="AT35" s="53" t="s">
        <v>108</v>
      </c>
      <c r="AU35" s="53" t="s">
        <v>108</v>
      </c>
      <c r="AV35" s="53" t="s">
        <v>108</v>
      </c>
      <c r="AW35" s="53" t="s">
        <v>108</v>
      </c>
      <c r="AX35" s="53" t="s">
        <v>108</v>
      </c>
      <c r="AY35" s="53">
        <v>73</v>
      </c>
      <c r="AZ35" s="53" t="s">
        <v>108</v>
      </c>
      <c r="BA35" s="53">
        <v>170</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t="s">
        <v>108</v>
      </c>
      <c r="D36" s="53" t="s">
        <v>108</v>
      </c>
      <c r="E36" s="53" t="s">
        <v>108</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v>0</v>
      </c>
      <c r="AL36" s="53" t="s">
        <v>108</v>
      </c>
      <c r="AM36" s="53">
        <v>0</v>
      </c>
      <c r="AN36" s="53" t="s">
        <v>108</v>
      </c>
      <c r="AO36" s="53" t="s">
        <v>108</v>
      </c>
      <c r="AP36" s="53" t="s">
        <v>108</v>
      </c>
      <c r="AQ36" s="53" t="s">
        <v>108</v>
      </c>
      <c r="AR36" s="53" t="s">
        <v>108</v>
      </c>
      <c r="AS36" s="53" t="s">
        <v>108</v>
      </c>
      <c r="AT36" s="53" t="s">
        <v>108</v>
      </c>
      <c r="AU36" s="53" t="s">
        <v>108</v>
      </c>
      <c r="AV36" s="53" t="s">
        <v>108</v>
      </c>
      <c r="AW36" s="53" t="s">
        <v>108</v>
      </c>
      <c r="AX36" s="53" t="s">
        <v>108</v>
      </c>
      <c r="AY36" s="53">
        <v>0</v>
      </c>
      <c r="AZ36" s="53" t="s">
        <v>108</v>
      </c>
      <c r="BA36" s="53">
        <v>0</v>
      </c>
      <c r="BB36" s="53" t="s">
        <v>108</v>
      </c>
      <c r="BC36" s="53" t="s">
        <v>108</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2024-03-19T22:56:16Z</dcterms:modified>
</cp:coreProperties>
</file>