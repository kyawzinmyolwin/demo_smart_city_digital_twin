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F66FC27-47D1-4E91-B287-2C15FAE5FFA9}"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88" i="6"/>
  <c r="Q276" i="6"/>
  <c r="Q110" i="6"/>
  <c r="Q71" i="6"/>
  <c r="Q300" i="6"/>
  <c r="Q254" i="6"/>
  <c r="Q190" i="6"/>
  <c r="Q137" i="6"/>
  <c r="Q73" i="6"/>
  <c r="Q48" i="6"/>
  <c r="Q302" i="6"/>
  <c r="Q263" i="6"/>
  <c r="Q238" i="6"/>
  <c r="Q199" i="6"/>
  <c r="Q135" i="6"/>
  <c r="Q96" i="6"/>
  <c r="Q57" i="6"/>
  <c r="Q287" i="6"/>
  <c r="Q248" i="6"/>
  <c r="Q303" i="6"/>
  <c r="Q278" i="6"/>
  <c r="Q239" i="6"/>
  <c r="Q225"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86" i="4"/>
  <c r="I26" i="4"/>
  <c r="I46" i="4"/>
  <c r="I106" i="4"/>
  <c r="I6" i="4"/>
  <c r="I63" i="4"/>
  <c r="I3" i="4"/>
  <c r="I23" i="4"/>
  <c r="I83" i="4"/>
  <c r="I103" i="4"/>
  <c r="I43" i="4"/>
  <c r="I85" i="4"/>
  <c r="I105" i="4"/>
  <c r="I65" i="4"/>
  <c r="I25" i="4"/>
  <c r="I45" i="4"/>
  <c r="I5" i="4"/>
  <c r="I2" i="4"/>
  <c r="I22" i="4"/>
  <c r="I82" i="4"/>
  <c r="I102" i="4"/>
  <c r="I42" i="4"/>
  <c r="I62" i="4"/>
  <c r="I84" i="4"/>
  <c r="I64" i="4"/>
  <c r="I24" i="4"/>
  <c r="I4" i="4"/>
  <c r="I44" i="4"/>
  <c r="I104" i="4"/>
  <c r="I52" i="4"/>
  <c r="I112" i="4"/>
  <c r="I92" i="4"/>
  <c r="I72" i="4"/>
  <c r="I12" i="4"/>
  <c r="I32" i="4"/>
  <c r="I9" i="4"/>
  <c r="I89" i="4"/>
  <c r="I29" i="4"/>
  <c r="I109" i="4"/>
  <c r="I49" i="4"/>
  <c r="I69" i="4"/>
  <c r="I77" i="4"/>
  <c r="I17" i="4"/>
  <c r="I37" i="4"/>
  <c r="I97" i="4"/>
  <c r="I117" i="4"/>
  <c r="I57" i="4"/>
  <c r="I56" i="4"/>
  <c r="I16" i="4"/>
  <c r="I36" i="4"/>
  <c r="I96" i="4"/>
  <c r="I76" i="4"/>
  <c r="I116" i="4"/>
  <c r="I59" i="4"/>
  <c r="I79" i="4"/>
  <c r="I19" i="4"/>
  <c r="I39" i="4"/>
  <c r="I99" i="4"/>
  <c r="I119" i="4"/>
  <c r="I18" i="4"/>
  <c r="I38" i="4"/>
  <c r="I98" i="4"/>
  <c r="I118" i="4"/>
  <c r="I58" i="4"/>
  <c r="I78" i="4"/>
  <c r="I13" i="4"/>
  <c r="I93" i="4"/>
  <c r="I33" i="4"/>
  <c r="I53" i="4"/>
  <c r="I113" i="4"/>
  <c r="I73" i="4"/>
  <c r="I10" i="4"/>
  <c r="I30" i="4"/>
  <c r="I90" i="4"/>
  <c r="I110" i="4"/>
  <c r="I50" i="4"/>
  <c r="I70" i="4"/>
  <c r="I7" i="4"/>
  <c r="I67" i="4"/>
  <c r="I87" i="4"/>
  <c r="I27" i="4"/>
  <c r="I107" i="4"/>
  <c r="I47" i="4"/>
  <c r="I60" i="4"/>
  <c r="I120" i="4"/>
  <c r="I80" i="4"/>
  <c r="I40" i="4"/>
  <c r="I20" i="4"/>
  <c r="I100" i="4"/>
  <c r="I74" i="4"/>
  <c r="I94" i="4"/>
  <c r="I34" i="4"/>
  <c r="I54" i="4"/>
  <c r="I114" i="4"/>
  <c r="I14" i="4"/>
  <c r="I51" i="4"/>
  <c r="I71" i="4"/>
  <c r="I11" i="4"/>
  <c r="I31" i="4"/>
  <c r="I91" i="4"/>
  <c r="I111" i="4"/>
  <c r="I108" i="4"/>
  <c r="I48" i="4"/>
  <c r="I8" i="4"/>
  <c r="I88" i="4"/>
  <c r="I68" i="4"/>
  <c r="I28" i="4"/>
  <c r="I15" i="4"/>
  <c r="I75" i="4"/>
  <c r="I115" i="4"/>
  <c r="I95" i="4"/>
  <c r="I35" i="4"/>
  <c r="I55" i="4"/>
  <c r="I21" i="4"/>
  <c r="I121" i="4"/>
  <c r="I101" i="4"/>
  <c r="I81" i="4"/>
  <c r="I41" i="4"/>
  <c r="I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<sst xmlns="http://schemas.openxmlformats.org/spreadsheetml/2006/main" count="7106" uniqueCount="158">
  <si>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</si>
  <si>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</si>
  <si>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</si>
  <si>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</si>
  <si>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</si>
  <si>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</si>
  <si>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</si>
  <si>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</si>
  <si>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</si>
  <si>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</si>
  <si>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</si>
  <si>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</si>
  <si>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</si>
  <si>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</si>
  <si>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</si>
  <si>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</si>
  <si>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</si>
  <si>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</si>
  <si>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</si>
  <si>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</si>
  <si>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</si>
  <si>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</si>
  <si>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</si>
  <si>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</si>
  <si>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</si>
  <si>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</si>
  <si>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</si>
  <si>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</si>
  <si>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</si>
  <si>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</si>
  <si>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</si>
  <si>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</si>
  <si>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</si>
  <si>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</si>
  <si>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</si>
  <si>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</si>
  <si>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</si>
  <si>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</si>
  <si>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</si>
  <si>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</si>
  <si>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</si>
  <si>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</si>
  <si>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</si>
  <si>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</si>
  <si>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</si>
  <si>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</si>
  <si>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</si>
  <si>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</si>
  <si>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</si>
  <si>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</si>
  <si>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</si>
  <si>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</si>
  <si>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</si>
  <si>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</si>
  <si>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</si>
  <si>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</si>
  <si>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</si>
  <si>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</si>
  <si>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</si>
  <si>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</si>
  <si>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</si>
  <si>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</si>
  <si>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</si>
  <si>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</si>
  <si>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</si>
  <si>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</si>
  <si>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</si>
  <si>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</si>
  <si>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</si>
  <si>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</si>
  <si>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</si>
  <si>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</si>
  <si>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</si>
  <si>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</si>
  <si>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</si>
  <si>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</si>
  <si>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</si>
  <si>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</si>
  <si>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</si>
  <si>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</si>
  <si>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</si>
  <si>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</si>
  <si>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</si>
  <si>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</si>
  <si>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</si>
  <si>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</si>
  <si>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</si>
  <si>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</si>
  <si>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</si>
  <si>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</si>
  <si>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</si>
  <si>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Ferry Road_St Asaph Street_Intersection</t>
  </si>
  <si>
    <t>St Asaph Street East</t>
  </si>
  <si>
    <t>Ferry Road South-East</t>
  </si>
  <si>
    <t>Thru to St Asaph Street West</t>
  </si>
  <si>
    <t>Left into St Asaph Street West</t>
  </si>
  <si>
    <t>St Asaph Street West</t>
  </si>
  <si>
    <t>Ferry Road_St Asaph Street_Intersection      Fine      23/05/2024</t>
  </si>
  <si>
    <t>St Asaph Street East Total</t>
  </si>
  <si>
    <t>Ferry Road South-East Total</t>
  </si>
  <si>
    <t>Thru to St Asaph Street West Total</t>
  </si>
  <si>
    <t>Left into St Asaph Street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</si>
  <si>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</si>
  <si>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</si>
  <si>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</si>
  <si>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</si>
  <si>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</si>
  <si>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</si>
  <si>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</si>
  <si>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</si>
  <si>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</si>
  <si>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</si>
  <si>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</si>
  <si>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</si>
  <si>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</si>
  <si>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</si>
  <si>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</si>
  <si>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</si>
  <si>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</si>
  <si>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</si>
  <si>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</si>
  <si>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</si>
  <si>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</si>
  <si>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</si>
  <si>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</si>
  <si>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</si>
  <si>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</si>
  <si>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</si>
  <si>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</si>
  <si>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</si>
  <si>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</si>
  <si>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</si>
  <si>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</si>
  <si>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</si>
  <si>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</si>
  <si>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</si>
  <si>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</si>
  <si>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</si>
  <si>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</si>
  <si>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</si>
  <si>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</si>
  <si>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</si>
  <si>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</si>
  <si>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</si>
  <si>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</si>
  <si>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Ferry Rd</t>
  </si>
  <si>
    <t>Lights</t>
  </si>
  <si>
    <t>Classification</t>
  </si>
  <si>
    <t>Road</t>
  </si>
  <si>
    <t>Type</t>
  </si>
  <si>
    <t>Project</t>
  </si>
  <si>
    <t>Site Code</t>
  </si>
  <si>
    <t>05/23/2024</t>
  </si>
  <si>
    <t>Start Date</t>
  </si>
  <si>
    <t>CCC I3258 Ferry Rd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</si>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</sst>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1">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57">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0" fillId="0" borderId="15" xfId="0" applyBorder="1"/>
    <xf numFmtId="0" fontId="0" fillId="0" borderId="16" xfId="0" applyBorder="1"/>
    <xf numFmtId="0" fontId="0" fillId="0" borderId="8" xfId="0" applyBorder="1"/>
    <xf numFmtId="0" fontId="0" fillId="0" borderId="17" xfId="0" applyBorder="1"/>
    <xf numFmtId="0" fontId="0" fillId="0" borderId="18" xfId="0" applyBorder="1"/>
    <xf numFmtId="0" fontId="1" fillId="0" borderId="20" xfId="0" applyFont="1" applyBorder="1" applyAlignment="1">
      <alignment horizontal="centerContinuous"/>
    </xf>
    <xf numFmtId="0" fontId="1" fillId="0" borderId="21" xfId="0" applyFont="1" applyBorder="1" applyAlignment="1">
      <alignment horizontal="centerContinuous"/>
    </xf>
    <xf numFmtId="0" fontId="1" fillId="0" borderId="22" xfId="0" applyFont="1" applyBorder="1" applyAlignment="1">
      <alignment horizontal="centerContinuous"/>
    </xf>
    <xf numFmtId="0" fontId="1" fillId="0" borderId="23" xfId="0" applyFont="1" applyBorder="1" applyAlignment="1">
      <alignment horizontal="centerContinuous"/>
    </xf>
    <xf numFmtId="0" fontId="1" fillId="0" borderId="19"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24" xfId="1" applyFill="1" applyBorder="1" applyAlignment="1">
      <alignment horizontal="center"/>
    </xf>
    <xf numFmtId="0" fontId="4" fillId="4" borderId="25" xfId="1" applyFill="1" applyBorder="1" applyAlignment="1">
      <alignment horizontal="center" vertical="top"/>
    </xf>
    <xf numFmtId="0" fontId="4" fillId="4" borderId="26" xfId="1" applyFill="1" applyBorder="1" applyAlignment="1">
      <alignment horizontal="center" vertical="top"/>
    </xf>
    <xf numFmtId="0" fontId="4" fillId="4" borderId="27" xfId="1" applyFill="1" applyBorder="1" applyAlignment="1">
      <alignment horizontal="center" vertical="top"/>
    </xf>
    <xf numFmtId="0" fontId="4" fillId="4" borderId="28" xfId="1" applyFill="1" applyBorder="1" applyAlignment="1">
      <alignment horizontal="center"/>
    </xf>
    <xf numFmtId="0" fontId="4" fillId="4" borderId="29" xfId="1" applyFill="1" applyBorder="1" applyAlignment="1">
      <alignment horizontal="center"/>
    </xf>
    <xf numFmtId="0" fontId="4" fillId="4" borderId="30"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D284C4F-21C1-4369-A87A-449C09F1009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[I3258_Ferry Road_St Asaph Street_Intersection_23-05-2024.xlsx]Graphs!pvtGraphApproach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Ferry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c:v>
                </c:pt>
                <c:pt idx="1">
                  <c:v>20</c:v>
                </c:pt>
                <c:pt idx="2">
                  <c:v>19</c:v>
                </c:pt>
                <c:pt idx="3">
                  <c:v>33</c:v>
                </c:pt>
                <c:pt idx="4">
                  <c:v>29</c:v>
                </c:pt>
                <c:pt idx="5">
                  <c:v>37</c:v>
                </c:pt>
                <c:pt idx="6">
                  <c:v>37</c:v>
                </c:pt>
                <c:pt idx="7">
                  <c:v>35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 Asaph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122</c:v>
                </c:pt>
                <c:pt idx="1">
                  <c:v>166</c:v>
                </c:pt>
                <c:pt idx="2">
                  <c:v>202</c:v>
                </c:pt>
                <c:pt idx="3">
                  <c:v>227</c:v>
                </c:pt>
                <c:pt idx="4">
                  <c:v>226</c:v>
                </c:pt>
                <c:pt idx="5">
                  <c:v>225</c:v>
                </c:pt>
                <c:pt idx="6">
                  <c:v>224</c:v>
                </c:pt>
                <c:pt idx="7">
                  <c:v>220</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[I3258_Ferry Road_St Asaph Street_Intersection_23-05-2024.xlsx]Graphs!pvtGraphExit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St Asaph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131</c:v>
                </c:pt>
                <c:pt idx="1">
                  <c:v>186</c:v>
                </c:pt>
                <c:pt idx="2">
                  <c:v>221</c:v>
                </c:pt>
                <c:pt idx="3">
                  <c:v>260</c:v>
                </c:pt>
                <c:pt idx="4">
                  <c:v>255</c:v>
                </c:pt>
                <c:pt idx="5">
                  <c:v>262</c:v>
                </c:pt>
                <c:pt idx="6">
                  <c:v>261</c:v>
                </c:pt>
                <c:pt idx="7">
                  <c:v>255</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[I3258_Ferry Road_St Asaph Street_Intersection_23-05-2024.xlsx]GraphData!PivotTable2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131</c:v>
                </c:pt>
                <c:pt idx="1">
                  <c:v>186</c:v>
                </c:pt>
                <c:pt idx="2">
                  <c:v>221</c:v>
                </c:pt>
                <c:pt idx="3">
                  <c:v>260</c:v>
                </c:pt>
                <c:pt idx="4">
                  <c:v>255</c:v>
                </c:pt>
                <c:pt idx="5">
                  <c:v>262</c:v>
                </c:pt>
                <c:pt idx="6">
                  <c:v>261</c:v>
                </c:pt>
                <c:pt idx="7">
                  <c:v>255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[I3258_Ferry Road_St Asaph Street_Intersection_23-05-2024.xlsx]PeakCalc!pvtPeak2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131</c:v>
                </c:pt>
                <c:pt idx="1">
                  <c:v>186</c:v>
                </c:pt>
                <c:pt idx="2">
                  <c:v>221</c:v>
                </c:pt>
                <c:pt idx="3">
                  <c:v>260</c:v>
                </c:pt>
                <c:pt idx="4">
                  <c:v>255</c:v>
                </c:pt>
                <c:pt idx="5">
                  <c:v>262</c:v>
                </c:pt>
                <c:pt idx="6">
                  <c:v>261</c:v>
                </c:pt>
                <c:pt idx="7">
                  <c:v>255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260</c:v>
                </c:pt>
                <c:pt idx="4">
                  <c:v>255</c:v>
                </c:pt>
                <c:pt idx="5">
                  <c:v>262</c:v>
                </c:pt>
                <c:pt idx="6">
                  <c:v>261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1382869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19897</xdr:colOff>
      <xdr:row>5</xdr:row>
      <xdr:rowOff>3175</xdr:rowOff>
    </xdr:from>
    <xdr:to>
      <xdr:col>20</xdr:col>
      <xdr:colOff>1181362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521969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262889</xdr:colOff>
      <xdr:row>9</xdr:row>
      <xdr:rowOff>66673</xdr:rowOff>
    </xdr:from>
    <xdr:to>
      <xdr:col>21</xdr:col>
      <xdr:colOff>518714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53115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9014212962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62"/>
    </cacheField>
    <cacheField name="Peak" numFmtId="0">
      <sharedItems containsSemiMixedTypes="0" containsString="0" containsNumber="1" containsInteger="1" minValue="0" maxValue="26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90213078707" createdVersion="5" refreshedVersion="8" minRefreshableVersion="3" recordCount="120" xr:uid="{00000000-000A-0000-FFFF-FFFF01000000}">
  <cacheSource type="worksheet">
    <worksheetSource name="tblPivotData"/>
  </cacheSource>
  <cacheFields count="9">
    <cacheField name="Approach" numFmtId="0">
      <sharedItems count="5">
        <s v="St Asaph Street East"/>
        <s v="Ferry Road South-East"/>
        <s v="Great south Rd (North)" u="1"/>
        <s v="Great south Rd (South)" u="1"/>
        <s v="Grange Rd" u="1"/>
      </sharedItems>
    </cacheField>
    <cacheField name="Movement" numFmtId="0">
      <sharedItems count="10">
        <s v="Thru to St Asaph Street West"/>
        <s v="Left into St Asaph Street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5">
        <s v="St Asaph Street We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2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1"/>
    <n v="0"/>
  </r>
  <r>
    <x v="0"/>
    <x v="1"/>
    <n v="186"/>
    <n v="0"/>
  </r>
  <r>
    <x v="0"/>
    <x v="2"/>
    <n v="221"/>
    <n v="0"/>
  </r>
  <r>
    <x v="0"/>
    <x v="3"/>
    <n v="260"/>
    <n v="260"/>
  </r>
  <r>
    <x v="0"/>
    <x v="4"/>
    <n v="255"/>
    <n v="255"/>
  </r>
  <r>
    <x v="0"/>
    <x v="5"/>
    <n v="262"/>
    <n v="262"/>
  </r>
  <r>
    <x v="0"/>
    <x v="6"/>
    <n v="261"/>
    <n v="261"/>
  </r>
  <r>
    <x v="0"/>
    <x v="7"/>
    <n v="255"/>
    <n v="0"/>
  </r>
  <r>
    <x v="1"/>
    <x v="8"/>
    <n v="176"/>
    <n v="176"/>
  </r>
  <r>
    <x v="1"/>
    <x v="9"/>
    <n v="157"/>
    <n v="157"/>
  </r>
  <r>
    <x v="1"/>
    <x v="10"/>
    <n v="162"/>
    <n v="162"/>
  </r>
  <r>
    <x v="1"/>
    <x v="11"/>
    <n v="149"/>
    <n v="149"/>
  </r>
  <r>
    <x v="2"/>
    <x v="12"/>
    <n v="186"/>
    <n v="0"/>
  </r>
  <r>
    <x v="2"/>
    <x v="13"/>
    <n v="165"/>
    <n v="0"/>
  </r>
  <r>
    <x v="2"/>
    <x v="14"/>
    <n v="216"/>
    <n v="216"/>
  </r>
  <r>
    <x v="2"/>
    <x v="15"/>
    <n v="202"/>
    <n v="202"/>
  </r>
  <r>
    <x v="2"/>
    <x v="16"/>
    <n v="228"/>
    <n v="228"/>
  </r>
  <r>
    <x v="2"/>
    <x v="17"/>
    <n v="173"/>
    <n v="173"/>
  </r>
  <r>
    <x v="2"/>
    <x v="18"/>
    <n v="173"/>
    <n v="0"/>
  </r>
  <r>
    <x v="2"/>
    <x v="19"/>
    <n v="18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x v="0"/>
    <n v="119"/>
    <x v="0"/>
    <x v="0"/>
  </r>
  <r>
    <x v="0"/>
    <x v="0"/>
    <x v="0"/>
    <x v="0"/>
    <x v="0"/>
    <x v="1"/>
    <n v="158"/>
    <x v="1"/>
    <x v="0"/>
  </r>
  <r>
    <x v="0"/>
    <x v="0"/>
    <x v="0"/>
    <x v="0"/>
    <x v="0"/>
    <x v="2"/>
    <n v="194"/>
    <x v="2"/>
    <x v="0"/>
  </r>
  <r>
    <x v="0"/>
    <x v="0"/>
    <x v="0"/>
    <x v="0"/>
    <x v="0"/>
    <x v="3"/>
    <n v="222"/>
    <x v="3"/>
    <x v="1"/>
  </r>
  <r>
    <x v="0"/>
    <x v="0"/>
    <x v="0"/>
    <x v="0"/>
    <x v="0"/>
    <x v="4"/>
    <n v="221"/>
    <x v="4"/>
    <x v="1"/>
  </r>
  <r>
    <x v="0"/>
    <x v="0"/>
    <x v="0"/>
    <x v="0"/>
    <x v="0"/>
    <x v="5"/>
    <n v="221"/>
    <x v="5"/>
    <x v="1"/>
  </r>
  <r>
    <x v="0"/>
    <x v="0"/>
    <x v="0"/>
    <x v="0"/>
    <x v="0"/>
    <x v="6"/>
    <n v="218"/>
    <x v="6"/>
    <x v="1"/>
  </r>
  <r>
    <x v="0"/>
    <x v="0"/>
    <x v="0"/>
    <x v="0"/>
    <x v="0"/>
    <x v="7"/>
    <n v="215"/>
    <x v="7"/>
    <x v="0"/>
  </r>
  <r>
    <x v="0"/>
    <x v="0"/>
    <x v="0"/>
    <x v="0"/>
    <x v="1"/>
    <x v="8"/>
    <n v="139"/>
    <x v="8"/>
    <x v="1"/>
  </r>
  <r>
    <x v="0"/>
    <x v="0"/>
    <x v="0"/>
    <x v="0"/>
    <x v="1"/>
    <x v="9"/>
    <n v="130"/>
    <x v="9"/>
    <x v="1"/>
  </r>
  <r>
    <x v="0"/>
    <x v="0"/>
    <x v="0"/>
    <x v="0"/>
    <x v="1"/>
    <x v="10"/>
    <n v="130"/>
    <x v="10"/>
    <x v="1"/>
  </r>
  <r>
    <x v="0"/>
    <x v="0"/>
    <x v="0"/>
    <x v="0"/>
    <x v="1"/>
    <x v="11"/>
    <n v="122"/>
    <x v="11"/>
    <x v="1"/>
  </r>
  <r>
    <x v="0"/>
    <x v="0"/>
    <x v="0"/>
    <x v="0"/>
    <x v="2"/>
    <x v="12"/>
    <n v="133"/>
    <x v="12"/>
    <x v="0"/>
  </r>
  <r>
    <x v="0"/>
    <x v="0"/>
    <x v="0"/>
    <x v="0"/>
    <x v="2"/>
    <x v="13"/>
    <n v="135"/>
    <x v="13"/>
    <x v="0"/>
  </r>
  <r>
    <x v="0"/>
    <x v="0"/>
    <x v="0"/>
    <x v="0"/>
    <x v="2"/>
    <x v="14"/>
    <n v="162"/>
    <x v="14"/>
    <x v="1"/>
  </r>
  <r>
    <x v="0"/>
    <x v="0"/>
    <x v="0"/>
    <x v="0"/>
    <x v="2"/>
    <x v="15"/>
    <n v="153"/>
    <x v="15"/>
    <x v="1"/>
  </r>
  <r>
    <x v="0"/>
    <x v="0"/>
    <x v="0"/>
    <x v="0"/>
    <x v="2"/>
    <x v="16"/>
    <n v="185"/>
    <x v="16"/>
    <x v="1"/>
  </r>
  <r>
    <x v="0"/>
    <x v="0"/>
    <x v="0"/>
    <x v="0"/>
    <x v="2"/>
    <x v="17"/>
    <n v="136"/>
    <x v="17"/>
    <x v="1"/>
  </r>
  <r>
    <x v="0"/>
    <x v="0"/>
    <x v="0"/>
    <x v="0"/>
    <x v="2"/>
    <x v="18"/>
    <n v="133"/>
    <x v="18"/>
    <x v="0"/>
  </r>
  <r>
    <x v="0"/>
    <x v="0"/>
    <x v="0"/>
    <x v="0"/>
    <x v="2"/>
    <x v="19"/>
    <n v="151"/>
    <x v="19"/>
    <x v="0"/>
  </r>
  <r>
    <x v="0"/>
    <x v="0"/>
    <x v="0"/>
    <x v="1"/>
    <x v="0"/>
    <x v="0"/>
    <n v="3"/>
    <x v="0"/>
    <x v="0"/>
  </r>
  <r>
    <x v="0"/>
    <x v="0"/>
    <x v="0"/>
    <x v="1"/>
    <x v="0"/>
    <x v="1"/>
    <n v="8"/>
    <x v="1"/>
    <x v="0"/>
  </r>
  <r>
    <x v="0"/>
    <x v="0"/>
    <x v="0"/>
    <x v="1"/>
    <x v="0"/>
    <x v="2"/>
    <n v="8"/>
    <x v="2"/>
    <x v="0"/>
  </r>
  <r>
    <x v="0"/>
    <x v="0"/>
    <x v="0"/>
    <x v="1"/>
    <x v="0"/>
    <x v="3"/>
    <n v="5"/>
    <x v="3"/>
    <x v="1"/>
  </r>
  <r>
    <x v="0"/>
    <x v="0"/>
    <x v="0"/>
    <x v="1"/>
    <x v="0"/>
    <x v="4"/>
    <n v="5"/>
    <x v="4"/>
    <x v="1"/>
  </r>
  <r>
    <x v="0"/>
    <x v="0"/>
    <x v="0"/>
    <x v="1"/>
    <x v="0"/>
    <x v="5"/>
    <n v="4"/>
    <x v="5"/>
    <x v="1"/>
  </r>
  <r>
    <x v="0"/>
    <x v="0"/>
    <x v="0"/>
    <x v="1"/>
    <x v="0"/>
    <x v="6"/>
    <n v="6"/>
    <x v="6"/>
    <x v="1"/>
  </r>
  <r>
    <x v="0"/>
    <x v="0"/>
    <x v="0"/>
    <x v="1"/>
    <x v="0"/>
    <x v="7"/>
    <n v="5"/>
    <x v="7"/>
    <x v="0"/>
  </r>
  <r>
    <x v="0"/>
    <x v="0"/>
    <x v="0"/>
    <x v="1"/>
    <x v="1"/>
    <x v="8"/>
    <n v="3"/>
    <x v="8"/>
    <x v="1"/>
  </r>
  <r>
    <x v="0"/>
    <x v="0"/>
    <x v="0"/>
    <x v="1"/>
    <x v="1"/>
    <x v="9"/>
    <n v="2"/>
    <x v="9"/>
    <x v="1"/>
  </r>
  <r>
    <x v="0"/>
    <x v="0"/>
    <x v="0"/>
    <x v="1"/>
    <x v="1"/>
    <x v="10"/>
    <n v="2"/>
    <x v="10"/>
    <x v="1"/>
  </r>
  <r>
    <x v="0"/>
    <x v="0"/>
    <x v="0"/>
    <x v="1"/>
    <x v="1"/>
    <x v="11"/>
    <n v="3"/>
    <x v="11"/>
    <x v="1"/>
  </r>
  <r>
    <x v="0"/>
    <x v="0"/>
    <x v="0"/>
    <x v="1"/>
    <x v="2"/>
    <x v="12"/>
    <n v="0"/>
    <x v="12"/>
    <x v="0"/>
  </r>
  <r>
    <x v="0"/>
    <x v="0"/>
    <x v="0"/>
    <x v="1"/>
    <x v="2"/>
    <x v="13"/>
    <n v="1"/>
    <x v="13"/>
    <x v="0"/>
  </r>
  <r>
    <x v="0"/>
    <x v="0"/>
    <x v="0"/>
    <x v="1"/>
    <x v="2"/>
    <x v="14"/>
    <n v="2"/>
    <x v="14"/>
    <x v="1"/>
  </r>
  <r>
    <x v="0"/>
    <x v="0"/>
    <x v="0"/>
    <x v="1"/>
    <x v="2"/>
    <x v="15"/>
    <n v="3"/>
    <x v="15"/>
    <x v="1"/>
  </r>
  <r>
    <x v="0"/>
    <x v="0"/>
    <x v="0"/>
    <x v="1"/>
    <x v="2"/>
    <x v="16"/>
    <n v="1"/>
    <x v="16"/>
    <x v="1"/>
  </r>
  <r>
    <x v="0"/>
    <x v="0"/>
    <x v="0"/>
    <x v="1"/>
    <x v="2"/>
    <x v="17"/>
    <n v="1"/>
    <x v="17"/>
    <x v="1"/>
  </r>
  <r>
    <x v="0"/>
    <x v="0"/>
    <x v="0"/>
    <x v="1"/>
    <x v="2"/>
    <x v="18"/>
    <n v="1"/>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1"/>
    <x v="10"/>
    <x v="1"/>
  </r>
  <r>
    <x v="0"/>
    <x v="0"/>
    <x v="0"/>
    <x v="2"/>
    <x v="1"/>
    <x v="11"/>
    <n v="0"/>
    <x v="11"/>
    <x v="1"/>
  </r>
  <r>
    <x v="0"/>
    <x v="0"/>
    <x v="0"/>
    <x v="2"/>
    <x v="2"/>
    <x v="12"/>
    <n v="0"/>
    <x v="12"/>
    <x v="0"/>
  </r>
  <r>
    <x v="0"/>
    <x v="0"/>
    <x v="0"/>
    <x v="2"/>
    <x v="2"/>
    <x v="13"/>
    <n v="0"/>
    <x v="13"/>
    <x v="0"/>
  </r>
  <r>
    <x v="0"/>
    <x v="0"/>
    <x v="0"/>
    <x v="2"/>
    <x v="2"/>
    <x v="14"/>
    <n v="1"/>
    <x v="14"/>
    <x v="1"/>
  </r>
  <r>
    <x v="0"/>
    <x v="0"/>
    <x v="0"/>
    <x v="2"/>
    <x v="2"/>
    <x v="15"/>
    <n v="1"/>
    <x v="15"/>
    <x v="1"/>
  </r>
  <r>
    <x v="0"/>
    <x v="0"/>
    <x v="0"/>
    <x v="2"/>
    <x v="2"/>
    <x v="16"/>
    <n v="0"/>
    <x v="16"/>
    <x v="1"/>
  </r>
  <r>
    <x v="0"/>
    <x v="0"/>
    <x v="0"/>
    <x v="2"/>
    <x v="2"/>
    <x v="17"/>
    <n v="0"/>
    <x v="17"/>
    <x v="1"/>
  </r>
  <r>
    <x v="0"/>
    <x v="0"/>
    <x v="0"/>
    <x v="2"/>
    <x v="2"/>
    <x v="18"/>
    <n v="0"/>
    <x v="18"/>
    <x v="0"/>
  </r>
  <r>
    <x v="0"/>
    <x v="0"/>
    <x v="0"/>
    <x v="2"/>
    <x v="2"/>
    <x v="19"/>
    <n v="0"/>
    <x v="19"/>
    <x v="0"/>
  </r>
  <r>
    <x v="1"/>
    <x v="1"/>
    <x v="0"/>
    <x v="0"/>
    <x v="0"/>
    <x v="0"/>
    <n v="8"/>
    <x v="0"/>
    <x v="0"/>
  </r>
  <r>
    <x v="1"/>
    <x v="1"/>
    <x v="0"/>
    <x v="0"/>
    <x v="0"/>
    <x v="1"/>
    <n v="19"/>
    <x v="1"/>
    <x v="0"/>
  </r>
  <r>
    <x v="1"/>
    <x v="1"/>
    <x v="0"/>
    <x v="0"/>
    <x v="0"/>
    <x v="2"/>
    <n v="13"/>
    <x v="2"/>
    <x v="0"/>
  </r>
  <r>
    <x v="1"/>
    <x v="1"/>
    <x v="0"/>
    <x v="0"/>
    <x v="0"/>
    <x v="3"/>
    <n v="26"/>
    <x v="3"/>
    <x v="1"/>
  </r>
  <r>
    <x v="1"/>
    <x v="1"/>
    <x v="0"/>
    <x v="0"/>
    <x v="0"/>
    <x v="4"/>
    <n v="24"/>
    <x v="4"/>
    <x v="1"/>
  </r>
  <r>
    <x v="1"/>
    <x v="1"/>
    <x v="0"/>
    <x v="0"/>
    <x v="0"/>
    <x v="5"/>
    <n v="32"/>
    <x v="5"/>
    <x v="1"/>
  </r>
  <r>
    <x v="1"/>
    <x v="1"/>
    <x v="0"/>
    <x v="0"/>
    <x v="0"/>
    <x v="6"/>
    <n v="35"/>
    <x v="6"/>
    <x v="1"/>
  </r>
  <r>
    <x v="1"/>
    <x v="1"/>
    <x v="0"/>
    <x v="0"/>
    <x v="0"/>
    <x v="7"/>
    <n v="31"/>
    <x v="7"/>
    <x v="0"/>
  </r>
  <r>
    <x v="1"/>
    <x v="1"/>
    <x v="0"/>
    <x v="0"/>
    <x v="1"/>
    <x v="8"/>
    <n v="31"/>
    <x v="8"/>
    <x v="1"/>
  </r>
  <r>
    <x v="1"/>
    <x v="1"/>
    <x v="0"/>
    <x v="0"/>
    <x v="1"/>
    <x v="9"/>
    <n v="23"/>
    <x v="9"/>
    <x v="1"/>
  </r>
  <r>
    <x v="1"/>
    <x v="1"/>
    <x v="0"/>
    <x v="0"/>
    <x v="1"/>
    <x v="10"/>
    <n v="28"/>
    <x v="10"/>
    <x v="1"/>
  </r>
  <r>
    <x v="1"/>
    <x v="1"/>
    <x v="0"/>
    <x v="0"/>
    <x v="1"/>
    <x v="11"/>
    <n v="22"/>
    <x v="11"/>
    <x v="1"/>
  </r>
  <r>
    <x v="1"/>
    <x v="1"/>
    <x v="0"/>
    <x v="0"/>
    <x v="2"/>
    <x v="12"/>
    <n v="49"/>
    <x v="12"/>
    <x v="0"/>
  </r>
  <r>
    <x v="1"/>
    <x v="1"/>
    <x v="0"/>
    <x v="0"/>
    <x v="2"/>
    <x v="13"/>
    <n v="27"/>
    <x v="13"/>
    <x v="0"/>
  </r>
  <r>
    <x v="1"/>
    <x v="1"/>
    <x v="0"/>
    <x v="0"/>
    <x v="2"/>
    <x v="14"/>
    <n v="47"/>
    <x v="14"/>
    <x v="1"/>
  </r>
  <r>
    <x v="1"/>
    <x v="1"/>
    <x v="0"/>
    <x v="0"/>
    <x v="2"/>
    <x v="15"/>
    <n v="42"/>
    <x v="15"/>
    <x v="1"/>
  </r>
  <r>
    <x v="1"/>
    <x v="1"/>
    <x v="0"/>
    <x v="0"/>
    <x v="2"/>
    <x v="16"/>
    <n v="39"/>
    <x v="16"/>
    <x v="1"/>
  </r>
  <r>
    <x v="1"/>
    <x v="1"/>
    <x v="0"/>
    <x v="0"/>
    <x v="2"/>
    <x v="17"/>
    <n v="34"/>
    <x v="17"/>
    <x v="1"/>
  </r>
  <r>
    <x v="1"/>
    <x v="1"/>
    <x v="0"/>
    <x v="0"/>
    <x v="2"/>
    <x v="18"/>
    <n v="37"/>
    <x v="18"/>
    <x v="0"/>
  </r>
  <r>
    <x v="1"/>
    <x v="1"/>
    <x v="0"/>
    <x v="0"/>
    <x v="2"/>
    <x v="19"/>
    <n v="28"/>
    <x v="19"/>
    <x v="0"/>
  </r>
  <r>
    <x v="1"/>
    <x v="1"/>
    <x v="0"/>
    <x v="1"/>
    <x v="0"/>
    <x v="0"/>
    <n v="1"/>
    <x v="0"/>
    <x v="0"/>
  </r>
  <r>
    <x v="1"/>
    <x v="1"/>
    <x v="0"/>
    <x v="1"/>
    <x v="0"/>
    <x v="1"/>
    <n v="1"/>
    <x v="1"/>
    <x v="0"/>
  </r>
  <r>
    <x v="1"/>
    <x v="1"/>
    <x v="0"/>
    <x v="1"/>
    <x v="0"/>
    <x v="2"/>
    <n v="6"/>
    <x v="2"/>
    <x v="0"/>
  </r>
  <r>
    <x v="1"/>
    <x v="1"/>
    <x v="0"/>
    <x v="1"/>
    <x v="0"/>
    <x v="3"/>
    <n v="7"/>
    <x v="3"/>
    <x v="1"/>
  </r>
  <r>
    <x v="1"/>
    <x v="1"/>
    <x v="0"/>
    <x v="1"/>
    <x v="0"/>
    <x v="4"/>
    <n v="5"/>
    <x v="4"/>
    <x v="1"/>
  </r>
  <r>
    <x v="1"/>
    <x v="1"/>
    <x v="0"/>
    <x v="1"/>
    <x v="0"/>
    <x v="5"/>
    <n v="5"/>
    <x v="5"/>
    <x v="1"/>
  </r>
  <r>
    <x v="1"/>
    <x v="1"/>
    <x v="0"/>
    <x v="1"/>
    <x v="0"/>
    <x v="6"/>
    <n v="2"/>
    <x v="6"/>
    <x v="1"/>
  </r>
  <r>
    <x v="1"/>
    <x v="1"/>
    <x v="0"/>
    <x v="1"/>
    <x v="0"/>
    <x v="7"/>
    <n v="4"/>
    <x v="7"/>
    <x v="0"/>
  </r>
  <r>
    <x v="1"/>
    <x v="1"/>
    <x v="0"/>
    <x v="1"/>
    <x v="1"/>
    <x v="8"/>
    <n v="3"/>
    <x v="8"/>
    <x v="1"/>
  </r>
  <r>
    <x v="1"/>
    <x v="1"/>
    <x v="0"/>
    <x v="1"/>
    <x v="1"/>
    <x v="9"/>
    <n v="2"/>
    <x v="9"/>
    <x v="1"/>
  </r>
  <r>
    <x v="1"/>
    <x v="1"/>
    <x v="0"/>
    <x v="1"/>
    <x v="1"/>
    <x v="10"/>
    <n v="1"/>
    <x v="10"/>
    <x v="1"/>
  </r>
  <r>
    <x v="1"/>
    <x v="1"/>
    <x v="0"/>
    <x v="1"/>
    <x v="1"/>
    <x v="11"/>
    <n v="2"/>
    <x v="11"/>
    <x v="1"/>
  </r>
  <r>
    <x v="1"/>
    <x v="1"/>
    <x v="0"/>
    <x v="1"/>
    <x v="2"/>
    <x v="12"/>
    <n v="4"/>
    <x v="12"/>
    <x v="0"/>
  </r>
  <r>
    <x v="1"/>
    <x v="1"/>
    <x v="0"/>
    <x v="1"/>
    <x v="2"/>
    <x v="13"/>
    <n v="2"/>
    <x v="13"/>
    <x v="0"/>
  </r>
  <r>
    <x v="1"/>
    <x v="1"/>
    <x v="0"/>
    <x v="1"/>
    <x v="2"/>
    <x v="14"/>
    <n v="4"/>
    <x v="14"/>
    <x v="1"/>
  </r>
  <r>
    <x v="1"/>
    <x v="1"/>
    <x v="0"/>
    <x v="1"/>
    <x v="2"/>
    <x v="15"/>
    <n v="3"/>
    <x v="15"/>
    <x v="1"/>
  </r>
  <r>
    <x v="1"/>
    <x v="1"/>
    <x v="0"/>
    <x v="1"/>
    <x v="2"/>
    <x v="16"/>
    <n v="3"/>
    <x v="16"/>
    <x v="1"/>
  </r>
  <r>
    <x v="1"/>
    <x v="1"/>
    <x v="0"/>
    <x v="1"/>
    <x v="2"/>
    <x v="17"/>
    <n v="2"/>
    <x v="17"/>
    <x v="1"/>
  </r>
  <r>
    <x v="1"/>
    <x v="1"/>
    <x v="0"/>
    <x v="1"/>
    <x v="2"/>
    <x v="18"/>
    <n v="2"/>
    <x v="18"/>
    <x v="0"/>
  </r>
  <r>
    <x v="1"/>
    <x v="1"/>
    <x v="0"/>
    <x v="1"/>
    <x v="2"/>
    <x v="19"/>
    <n v="2"/>
    <x v="19"/>
    <x v="0"/>
  </r>
  <r>
    <x v="1"/>
    <x v="1"/>
    <x v="0"/>
    <x v="2"/>
    <x v="0"/>
    <x v="0"/>
    <n v="0"/>
    <x v="0"/>
    <x v="0"/>
  </r>
  <r>
    <x v="1"/>
    <x v="1"/>
    <x v="0"/>
    <x v="2"/>
    <x v="0"/>
    <x v="1"/>
    <n v="0"/>
    <x v="1"/>
    <x v="0"/>
  </r>
  <r>
    <x v="1"/>
    <x v="1"/>
    <x v="0"/>
    <x v="2"/>
    <x v="0"/>
    <x v="2"/>
    <n v="0"/>
    <x v="2"/>
    <x v="0"/>
  </r>
  <r>
    <x v="1"/>
    <x v="1"/>
    <x v="0"/>
    <x v="2"/>
    <x v="0"/>
    <x v="3"/>
    <n v="0"/>
    <x v="3"/>
    <x v="1"/>
  </r>
  <r>
    <x v="1"/>
    <x v="1"/>
    <x v="0"/>
    <x v="2"/>
    <x v="0"/>
    <x v="4"/>
    <n v="0"/>
    <x v="4"/>
    <x v="1"/>
  </r>
  <r>
    <x v="1"/>
    <x v="1"/>
    <x v="0"/>
    <x v="2"/>
    <x v="0"/>
    <x v="5"/>
    <n v="0"/>
    <x v="5"/>
    <x v="1"/>
  </r>
  <r>
    <x v="1"/>
    <x v="1"/>
    <x v="0"/>
    <x v="2"/>
    <x v="0"/>
    <x v="6"/>
    <n v="0"/>
    <x v="6"/>
    <x v="1"/>
  </r>
  <r>
    <x v="1"/>
    <x v="1"/>
    <x v="0"/>
    <x v="2"/>
    <x v="0"/>
    <x v="7"/>
    <n v="0"/>
    <x v="7"/>
    <x v="0"/>
  </r>
  <r>
    <x v="1"/>
    <x v="1"/>
    <x v="0"/>
    <x v="2"/>
    <x v="1"/>
    <x v="8"/>
    <n v="0"/>
    <x v="8"/>
    <x v="1"/>
  </r>
  <r>
    <x v="1"/>
    <x v="1"/>
    <x v="0"/>
    <x v="2"/>
    <x v="1"/>
    <x v="9"/>
    <n v="0"/>
    <x v="9"/>
    <x v="1"/>
  </r>
  <r>
    <x v="1"/>
    <x v="1"/>
    <x v="0"/>
    <x v="2"/>
    <x v="1"/>
    <x v="10"/>
    <n v="0"/>
    <x v="10"/>
    <x v="1"/>
  </r>
  <r>
    <x v="1"/>
    <x v="1"/>
    <x v="0"/>
    <x v="2"/>
    <x v="1"/>
    <x v="11"/>
    <n v="0"/>
    <x v="11"/>
    <x v="1"/>
  </r>
  <r>
    <x v="1"/>
    <x v="1"/>
    <x v="0"/>
    <x v="2"/>
    <x v="2"/>
    <x v="12"/>
    <n v="0"/>
    <x v="12"/>
    <x v="0"/>
  </r>
  <r>
    <x v="1"/>
    <x v="1"/>
    <x v="0"/>
    <x v="2"/>
    <x v="2"/>
    <x v="13"/>
    <n v="0"/>
    <x v="13"/>
    <x v="0"/>
  </r>
  <r>
    <x v="1"/>
    <x v="1"/>
    <x v="0"/>
    <x v="2"/>
    <x v="2"/>
    <x v="14"/>
    <n v="0"/>
    <x v="14"/>
    <x v="1"/>
  </r>
  <r>
    <x v="1"/>
    <x v="1"/>
    <x v="0"/>
    <x v="2"/>
    <x v="2"/>
    <x v="15"/>
    <n v="0"/>
    <x v="15"/>
    <x v="1"/>
  </r>
  <r>
    <x v="1"/>
    <x v="1"/>
    <x v="0"/>
    <x v="2"/>
    <x v="2"/>
    <x v="16"/>
    <n v="0"/>
    <x v="16"/>
    <x v="1"/>
  </r>
  <r>
    <x v="1"/>
    <x v="1"/>
    <x v="0"/>
    <x v="2"/>
    <x v="2"/>
    <x v="17"/>
    <n v="0"/>
    <x v="17"/>
    <x v="1"/>
  </r>
  <r>
    <x v="1"/>
    <x v="1"/>
    <x v="0"/>
    <x v="2"/>
    <x v="2"/>
    <x v="18"/>
    <n v="0"/>
    <x v="18"/>
    <x v="0"/>
  </r>
  <r>
    <x v="1"/>
    <x v="1"/>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M36" firstHeaderRow="1" firstDataRow="4" firstDataCol="1"/>
  <pivotFields count="9">
    <pivotField axis="axisCol" showAll="0">
      <items count="6">
        <item m="1" x="4"/>
        <item m="1" x="2"/>
        <item m="1" x="3"/>
        <item x="0"/>
        <item x="1"/>
        <item t="default"/>
      </items>
    </pivotField>
    <pivotField axis="axisCol" showAll="0">
      <items count="11">
        <item m="1" x="5"/>
        <item m="1" x="7"/>
        <item m="1" x="3"/>
        <item m="1" x="9"/>
        <item m="1" x="6"/>
        <item m="1" x="2"/>
        <item m="1" x="8"/>
        <item m="1" x="4"/>
        <item x="0"/>
        <item x="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1">
    <i>
      <x v="3"/>
      <x v="8"/>
      <x v="4"/>
    </i>
    <i r="2">
      <x v="5"/>
    </i>
    <i r="2">
      <x v="6"/>
    </i>
    <i t="default" r="1">
      <x v="8"/>
    </i>
    <i t="default">
      <x v="3"/>
    </i>
    <i>
      <x v="4"/>
      <x v="9"/>
      <x v="4"/>
    </i>
    <i r="2">
      <x v="5"/>
    </i>
    <i r="2">
      <x v="6"/>
    </i>
    <i t="default" r="1">
      <x v="9"/>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T34" firstHeaderRow="1" firstDataRow="2" firstDataCol="1"/>
  <pivotFields count="9">
    <pivotField showAll="0"/>
    <pivotField showAll="0"/>
    <pivotField axis="axisCol" showAll="0" sortType="ascending">
      <items count="6">
        <item m="1" x="2"/>
        <item m="1" x="3"/>
        <item m="1" x="1"/>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1">
    <i>
      <x v="4"/>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x="1"/>
        <item m="1" x="4"/>
        <item m="1" x="2"/>
        <item m="1" x="3"/>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i>
    <i>
      <x v="4"/>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6" firstHeaderRow="1" firstDataRow="3" firstDataCol="1" rowPageCount="1" colPageCount="1"/>
  <pivotFields count="9">
    <pivotField axis="axisRow" showAll="0">
      <items count="6">
        <item m="1" x="4"/>
        <item m="1" x="2"/>
        <item m="1" x="3"/>
        <item x="0"/>
        <item x="1"/>
        <item t="default"/>
      </items>
    </pivotField>
    <pivotField axis="axisRow" showAll="0">
      <items count="11">
        <item m="1" x="5"/>
        <item m="1" x="7"/>
        <item m="1" x="3"/>
        <item m="1" x="9"/>
        <item m="1" x="6"/>
        <item m="1" x="2"/>
        <item m="1" x="8"/>
        <item m="1" x="4"/>
        <item x="0"/>
        <item x="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5">
    <i>
      <x v="3"/>
    </i>
    <i r="1">
      <x v="8"/>
    </i>
    <i>
      <x v="4"/>
    </i>
    <i r="1">
      <x v="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21" totalsRowShown="0">
  <autoFilter ref="A1:I1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D19" sqref="D19"/>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45435</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94</v>
      </c>
      <c r="D22" t="s">
        <v>27</v>
      </c>
      <c r="E22" s="1" t="s">
        <v>96</v>
      </c>
    </row>
    <row r="23" spans="2:10" x14ac:dyDescent="0.3">
      <c r="B23" t="s">
        <v>21</v>
      </c>
      <c r="C23" s="1"/>
      <c r="D23" t="s">
        <v>27</v>
      </c>
      <c r="E23" s="1"/>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95</v>
      </c>
      <c r="D33" t="s">
        <v>27</v>
      </c>
      <c r="E33" s="1" t="s">
        <v>96</v>
      </c>
    </row>
    <row r="34" spans="2:5" x14ac:dyDescent="0.3">
      <c r="B34" t="s">
        <v>21</v>
      </c>
      <c r="C34" s="1"/>
      <c r="D34" t="s">
        <v>27</v>
      </c>
      <c r="E34" s="1"/>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row>
    <row r="44" spans="2:5" x14ac:dyDescent="0.3">
      <c r="B44" t="s">
        <v>20</v>
      </c>
      <c r="C44" s="1"/>
      <c r="D44" t="s">
        <v>27</v>
      </c>
      <c r="E44" s="1"/>
    </row>
    <row r="45" spans="2:5" x14ac:dyDescent="0.3">
      <c r="B45" t="s">
        <v>21</v>
      </c>
      <c r="C45" s="1"/>
      <c r="D45" t="s">
        <v>27</v>
      </c>
      <c r="E45" s="1"/>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St Asaph Street East</v>
      </c>
      <c r="C4" s="1" t="str">
        <f>Input!C31</f>
        <v>Ferry Road South-East</v>
      </c>
      <c r="D4" s="1">
        <f>Input!C42</f>
        <v>0</v>
      </c>
      <c r="E4" s="1">
        <f>Input!C53</f>
        <v>0</v>
      </c>
      <c r="F4" s="1">
        <f>Input!C64</f>
        <v>0</v>
      </c>
      <c r="G4" s="1">
        <f>Input!C75</f>
        <v>0</v>
      </c>
      <c r="H4" s="1">
        <f>Input!C86</f>
        <v>0</v>
      </c>
    </row>
    <row r="6" spans="2:8" x14ac:dyDescent="0.3">
      <c r="B6" t="s">
        <v>18</v>
      </c>
    </row>
    <row r="8" spans="2:8" x14ac:dyDescent="0.3">
      <c r="B8" s="1" t="str">
        <f>Input!C22</f>
        <v>Thru to St Asaph Street West</v>
      </c>
      <c r="C8" s="1" t="str">
        <f>Input!C33</f>
        <v>Left into St Asaph Street West</v>
      </c>
      <c r="D8" s="1">
        <f>Input!C44</f>
        <v>0</v>
      </c>
      <c r="E8" s="1">
        <f>Input!C55</f>
        <v>0</v>
      </c>
      <c r="F8" s="1">
        <f>Input!C66</f>
        <v>0</v>
      </c>
      <c r="G8" s="1">
        <f>Input!C77</f>
        <v>0</v>
      </c>
      <c r="H8" s="1">
        <f>Input!C88</f>
        <v>0</v>
      </c>
    </row>
    <row r="9" spans="2:8" x14ac:dyDescent="0.3">
      <c r="B9" s="1">
        <f>Input!C23</f>
        <v>0</v>
      </c>
      <c r="C9" s="1">
        <f>Input!C34</f>
        <v>0</v>
      </c>
      <c r="D9" s="1">
        <f>Input!C45</f>
        <v>0</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St Asaph Street West</v>
      </c>
      <c r="C18" s="1" t="str">
        <f>Input!E33</f>
        <v>St Asaph Street West</v>
      </c>
      <c r="D18" s="1">
        <f>Input!E44</f>
        <v>0</v>
      </c>
      <c r="E18" s="1">
        <f>Input!E55</f>
        <v>0</v>
      </c>
      <c r="F18" s="1">
        <f>Input!E66</f>
        <v>0</v>
      </c>
      <c r="G18" s="1">
        <f>Input!E77</f>
        <v>0</v>
      </c>
      <c r="H18" s="1">
        <f>Input!E88</f>
        <v>0</v>
      </c>
    </row>
    <row r="19" spans="2:8" x14ac:dyDescent="0.3">
      <c r="B19" s="1">
        <f>Input!E23</f>
        <v>0</v>
      </c>
      <c r="C19" s="1">
        <f>Input!E34</f>
        <v>0</v>
      </c>
      <c r="D19" s="1">
        <f>Input!E45</f>
        <v>0</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29"/>
  <sheetViews>
    <sheetView zoomScale="90" zoomScaleNormal="90" workbookViewId="0"/>
  </sheetViews>
  <sheetFormatPr defaultRowHeight="14.4" x14ac:dyDescent="0.3"/>
  <cols>
    <col min="1" max="1" width="13.6640625" customWidth="1"/>
    <col min="2" max="2" width="7.5546875" customWidth="1"/>
  </cols>
  <sheetData>
    <row r="1" spans="1:8" x14ac:dyDescent="0.3">
      <c r="A1" s="2" t="s">
        <v>97</v>
      </c>
    </row>
    <row r="4" spans="1:8" ht="15" thickBot="1" x14ac:dyDescent="0.35"/>
    <row r="5" spans="1:8" x14ac:dyDescent="0.3">
      <c r="C5" s="26" t="s">
        <v>92</v>
      </c>
      <c r="D5" s="18"/>
      <c r="E5" s="20"/>
      <c r="F5" s="26" t="s">
        <v>93</v>
      </c>
      <c r="G5" s="18"/>
      <c r="H5" s="29"/>
    </row>
    <row r="6" spans="1:8" x14ac:dyDescent="0.3">
      <c r="C6" s="27" t="s">
        <v>94</v>
      </c>
      <c r="D6" s="19"/>
      <c r="E6" s="21"/>
      <c r="F6" s="27" t="s">
        <v>95</v>
      </c>
      <c r="G6" s="19"/>
      <c r="H6" s="30"/>
    </row>
    <row r="7" spans="1:8" ht="15" thickBot="1" x14ac:dyDescent="0.35">
      <c r="A7" s="41" t="s">
        <v>38</v>
      </c>
      <c r="B7" s="41" t="s">
        <v>39</v>
      </c>
      <c r="C7" s="37" t="s">
        <v>79</v>
      </c>
      <c r="D7" s="38" t="s">
        <v>88</v>
      </c>
      <c r="E7" s="39" t="s">
        <v>89</v>
      </c>
      <c r="F7" s="37" t="s">
        <v>79</v>
      </c>
      <c r="G7" s="38" t="s">
        <v>88</v>
      </c>
      <c r="H7" s="40" t="s">
        <v>89</v>
      </c>
    </row>
    <row r="8" spans="1:8" x14ac:dyDescent="0.3">
      <c r="A8" s="2" t="s">
        <v>43</v>
      </c>
      <c r="B8" s="7">
        <v>0.29166666666666669</v>
      </c>
      <c r="C8" s="28">
        <v>119</v>
      </c>
      <c r="D8">
        <v>3</v>
      </c>
      <c r="E8">
        <v>0</v>
      </c>
      <c r="F8" s="28">
        <v>8</v>
      </c>
      <c r="G8">
        <v>1</v>
      </c>
      <c r="H8" s="31">
        <v>0</v>
      </c>
    </row>
    <row r="9" spans="1:8" x14ac:dyDescent="0.3">
      <c r="A9" s="2" t="s">
        <v>43</v>
      </c>
      <c r="B9" s="7">
        <v>0.30208333333333331</v>
      </c>
      <c r="C9" s="28">
        <v>158</v>
      </c>
      <c r="D9">
        <v>8</v>
      </c>
      <c r="E9">
        <v>0</v>
      </c>
      <c r="F9" s="28">
        <v>19</v>
      </c>
      <c r="G9">
        <v>1</v>
      </c>
      <c r="H9" s="31">
        <v>0</v>
      </c>
    </row>
    <row r="10" spans="1:8" x14ac:dyDescent="0.3">
      <c r="A10" s="2" t="s">
        <v>43</v>
      </c>
      <c r="B10" s="7">
        <v>0.3125</v>
      </c>
      <c r="C10" s="28">
        <v>194</v>
      </c>
      <c r="D10">
        <v>8</v>
      </c>
      <c r="E10">
        <v>0</v>
      </c>
      <c r="F10" s="28">
        <v>13</v>
      </c>
      <c r="G10">
        <v>6</v>
      </c>
      <c r="H10" s="31">
        <v>0</v>
      </c>
    </row>
    <row r="11" spans="1:8" x14ac:dyDescent="0.3">
      <c r="A11" s="2" t="s">
        <v>43</v>
      </c>
      <c r="B11" s="7">
        <v>0.32291666666666669</v>
      </c>
      <c r="C11" s="28">
        <v>222</v>
      </c>
      <c r="D11">
        <v>5</v>
      </c>
      <c r="E11">
        <v>0</v>
      </c>
      <c r="F11" s="28">
        <v>26</v>
      </c>
      <c r="G11">
        <v>7</v>
      </c>
      <c r="H11" s="31">
        <v>0</v>
      </c>
    </row>
    <row r="12" spans="1:8" x14ac:dyDescent="0.3">
      <c r="A12" s="2" t="s">
        <v>43</v>
      </c>
      <c r="B12" s="7">
        <v>0.33333333333333331</v>
      </c>
      <c r="C12" s="28">
        <v>221</v>
      </c>
      <c r="D12">
        <v>5</v>
      </c>
      <c r="E12">
        <v>0</v>
      </c>
      <c r="F12" s="28">
        <v>24</v>
      </c>
      <c r="G12">
        <v>5</v>
      </c>
      <c r="H12" s="31">
        <v>0</v>
      </c>
    </row>
    <row r="13" spans="1:8" x14ac:dyDescent="0.3">
      <c r="A13" s="2" t="s">
        <v>43</v>
      </c>
      <c r="B13" s="7">
        <v>0.34375</v>
      </c>
      <c r="C13" s="28">
        <v>221</v>
      </c>
      <c r="D13">
        <v>4</v>
      </c>
      <c r="E13">
        <v>0</v>
      </c>
      <c r="F13" s="28">
        <v>32</v>
      </c>
      <c r="G13">
        <v>5</v>
      </c>
      <c r="H13" s="31">
        <v>0</v>
      </c>
    </row>
    <row r="14" spans="1:8" x14ac:dyDescent="0.3">
      <c r="A14" s="2" t="s">
        <v>43</v>
      </c>
      <c r="B14" s="7">
        <v>0.35416666666666669</v>
      </c>
      <c r="C14" s="28">
        <v>218</v>
      </c>
      <c r="D14">
        <v>6</v>
      </c>
      <c r="E14">
        <v>0</v>
      </c>
      <c r="F14" s="28">
        <v>35</v>
      </c>
      <c r="G14">
        <v>2</v>
      </c>
      <c r="H14" s="31">
        <v>0</v>
      </c>
    </row>
    <row r="15" spans="1:8" ht="15" thickBot="1" x14ac:dyDescent="0.35">
      <c r="A15" s="2" t="s">
        <v>43</v>
      </c>
      <c r="B15" s="7">
        <v>0.36458333333333331</v>
      </c>
      <c r="C15" s="28">
        <v>215</v>
      </c>
      <c r="D15">
        <v>5</v>
      </c>
      <c r="E15">
        <v>0</v>
      </c>
      <c r="F15" s="28">
        <v>31</v>
      </c>
      <c r="G15">
        <v>4</v>
      </c>
      <c r="H15" s="31">
        <v>0</v>
      </c>
    </row>
    <row r="16" spans="1:8" ht="15" thickBot="1" x14ac:dyDescent="0.35">
      <c r="A16" s="24"/>
      <c r="B16" s="24"/>
      <c r="C16" s="32"/>
      <c r="D16" s="22"/>
      <c r="E16" s="22"/>
      <c r="F16" s="32"/>
      <c r="G16" s="22"/>
      <c r="H16" s="33"/>
    </row>
    <row r="17" spans="1:8" x14ac:dyDescent="0.3">
      <c r="A17" s="2" t="s">
        <v>90</v>
      </c>
      <c r="B17" s="7">
        <v>0.54166666666666663</v>
      </c>
      <c r="C17" s="28">
        <v>139</v>
      </c>
      <c r="D17">
        <v>3</v>
      </c>
      <c r="E17">
        <v>0</v>
      </c>
      <c r="F17" s="28">
        <v>31</v>
      </c>
      <c r="G17">
        <v>3</v>
      </c>
      <c r="H17" s="31">
        <v>0</v>
      </c>
    </row>
    <row r="18" spans="1:8" x14ac:dyDescent="0.3">
      <c r="A18" s="2" t="s">
        <v>90</v>
      </c>
      <c r="B18" s="7">
        <v>0.55208333333333337</v>
      </c>
      <c r="C18" s="28">
        <v>130</v>
      </c>
      <c r="D18">
        <v>2</v>
      </c>
      <c r="E18">
        <v>0</v>
      </c>
      <c r="F18" s="28">
        <v>23</v>
      </c>
      <c r="G18">
        <v>2</v>
      </c>
      <c r="H18" s="31">
        <v>0</v>
      </c>
    </row>
    <row r="19" spans="1:8" x14ac:dyDescent="0.3">
      <c r="A19" s="2" t="s">
        <v>90</v>
      </c>
      <c r="B19" s="7">
        <v>0.5625</v>
      </c>
      <c r="C19" s="28">
        <v>130</v>
      </c>
      <c r="D19">
        <v>2</v>
      </c>
      <c r="E19">
        <v>1</v>
      </c>
      <c r="F19" s="28">
        <v>28</v>
      </c>
      <c r="G19">
        <v>1</v>
      </c>
      <c r="H19" s="31">
        <v>0</v>
      </c>
    </row>
    <row r="20" spans="1:8" ht="15" thickBot="1" x14ac:dyDescent="0.35">
      <c r="A20" s="2" t="s">
        <v>90</v>
      </c>
      <c r="B20" s="7">
        <v>0.57291666666666663</v>
      </c>
      <c r="C20" s="28">
        <v>122</v>
      </c>
      <c r="D20">
        <v>3</v>
      </c>
      <c r="E20">
        <v>0</v>
      </c>
      <c r="F20" s="28">
        <v>22</v>
      </c>
      <c r="G20">
        <v>2</v>
      </c>
      <c r="H20" s="31">
        <v>0</v>
      </c>
    </row>
    <row r="21" spans="1:8" ht="15" thickBot="1" x14ac:dyDescent="0.35">
      <c r="A21" s="24"/>
      <c r="B21" s="24"/>
      <c r="C21" s="32"/>
      <c r="D21" s="22"/>
      <c r="E21" s="22"/>
      <c r="F21" s="32"/>
      <c r="G21" s="22"/>
      <c r="H21" s="33"/>
    </row>
    <row r="22" spans="1:8" x14ac:dyDescent="0.3">
      <c r="A22" s="2" t="s">
        <v>44</v>
      </c>
      <c r="B22" s="7">
        <v>0.66666666666666663</v>
      </c>
      <c r="C22" s="28">
        <v>133</v>
      </c>
      <c r="D22">
        <v>0</v>
      </c>
      <c r="E22">
        <v>0</v>
      </c>
      <c r="F22" s="28">
        <v>49</v>
      </c>
      <c r="G22">
        <v>4</v>
      </c>
      <c r="H22" s="31">
        <v>0</v>
      </c>
    </row>
    <row r="23" spans="1:8" x14ac:dyDescent="0.3">
      <c r="A23" s="2" t="s">
        <v>44</v>
      </c>
      <c r="B23" s="7">
        <v>0.67708333333333337</v>
      </c>
      <c r="C23" s="28">
        <v>135</v>
      </c>
      <c r="D23">
        <v>1</v>
      </c>
      <c r="E23">
        <v>0</v>
      </c>
      <c r="F23" s="28">
        <v>27</v>
      </c>
      <c r="G23">
        <v>2</v>
      </c>
      <c r="H23" s="31">
        <v>0</v>
      </c>
    </row>
    <row r="24" spans="1:8" x14ac:dyDescent="0.3">
      <c r="A24" s="2" t="s">
        <v>44</v>
      </c>
      <c r="B24" s="7">
        <v>0.6875</v>
      </c>
      <c r="C24" s="28">
        <v>162</v>
      </c>
      <c r="D24">
        <v>2</v>
      </c>
      <c r="E24">
        <v>1</v>
      </c>
      <c r="F24" s="28">
        <v>47</v>
      </c>
      <c r="G24">
        <v>4</v>
      </c>
      <c r="H24" s="31">
        <v>0</v>
      </c>
    </row>
    <row r="25" spans="1:8" x14ac:dyDescent="0.3">
      <c r="A25" s="2" t="s">
        <v>44</v>
      </c>
      <c r="B25" s="7">
        <v>0.69791666666666663</v>
      </c>
      <c r="C25" s="28">
        <v>153</v>
      </c>
      <c r="D25">
        <v>3</v>
      </c>
      <c r="E25">
        <v>1</v>
      </c>
      <c r="F25" s="28">
        <v>42</v>
      </c>
      <c r="G25">
        <v>3</v>
      </c>
      <c r="H25" s="31">
        <v>0</v>
      </c>
    </row>
    <row r="26" spans="1:8" x14ac:dyDescent="0.3">
      <c r="A26" s="2" t="s">
        <v>44</v>
      </c>
      <c r="B26" s="7">
        <v>0.70833333333333337</v>
      </c>
      <c r="C26" s="28">
        <v>185</v>
      </c>
      <c r="D26">
        <v>1</v>
      </c>
      <c r="E26">
        <v>0</v>
      </c>
      <c r="F26" s="28">
        <v>39</v>
      </c>
      <c r="G26">
        <v>3</v>
      </c>
      <c r="H26" s="31">
        <v>0</v>
      </c>
    </row>
    <row r="27" spans="1:8" x14ac:dyDescent="0.3">
      <c r="A27" s="2" t="s">
        <v>44</v>
      </c>
      <c r="B27" s="7">
        <v>0.71875</v>
      </c>
      <c r="C27" s="28">
        <v>136</v>
      </c>
      <c r="D27">
        <v>1</v>
      </c>
      <c r="E27">
        <v>0</v>
      </c>
      <c r="F27" s="28">
        <v>34</v>
      </c>
      <c r="G27">
        <v>2</v>
      </c>
      <c r="H27" s="31">
        <v>0</v>
      </c>
    </row>
    <row r="28" spans="1:8" x14ac:dyDescent="0.3">
      <c r="A28" s="2" t="s">
        <v>44</v>
      </c>
      <c r="B28" s="7">
        <v>0.72916666666666663</v>
      </c>
      <c r="C28" s="28">
        <v>133</v>
      </c>
      <c r="D28">
        <v>1</v>
      </c>
      <c r="E28">
        <v>0</v>
      </c>
      <c r="F28" s="28">
        <v>37</v>
      </c>
      <c r="G28">
        <v>2</v>
      </c>
      <c r="H28" s="31">
        <v>0</v>
      </c>
    </row>
    <row r="29" spans="1:8" ht="15" thickBot="1" x14ac:dyDescent="0.35">
      <c r="A29" s="23" t="s">
        <v>44</v>
      </c>
      <c r="B29" s="42">
        <v>0.73958333333333337</v>
      </c>
      <c r="C29" s="35">
        <v>151</v>
      </c>
      <c r="D29" s="34">
        <v>1</v>
      </c>
      <c r="E29" s="34">
        <v>0</v>
      </c>
      <c r="F29" s="35">
        <v>28</v>
      </c>
      <c r="G29" s="34">
        <v>2</v>
      </c>
      <c r="H29" s="36">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94</v>
      </c>
      <c r="C2" t="s">
        <v>96</v>
      </c>
      <c r="D2" t="s">
        <v>79</v>
      </c>
      <c r="E2" t="s">
        <v>43</v>
      </c>
      <c r="F2" s="6">
        <v>0.29166666666666669</v>
      </c>
      <c r="G2">
        <v>119</v>
      </c>
      <c r="H2" s="6">
        <f>FLOOR(tblPivotData[[#This Row],[Time]],Summary!$B$6/1440)</f>
        <v>0.29166666666666663</v>
      </c>
      <c r="I2">
        <f>INDEX(PeakCalc!$L$10:$L$303,MATCH(tblPivotData[[#This Row],[Time]],PeakCalc!$G$10:$G$303,0))</f>
        <v>0</v>
      </c>
    </row>
    <row r="3" spans="1:9" x14ac:dyDescent="0.3">
      <c r="A3" t="s">
        <v>92</v>
      </c>
      <c r="B3" t="s">
        <v>94</v>
      </c>
      <c r="C3" t="s">
        <v>96</v>
      </c>
      <c r="D3" t="s">
        <v>79</v>
      </c>
      <c r="E3" t="s">
        <v>43</v>
      </c>
      <c r="F3" s="6">
        <v>0.30208333333333331</v>
      </c>
      <c r="G3">
        <v>158</v>
      </c>
      <c r="H3" s="6">
        <f>FLOOR(tblPivotData[[#This Row],[Time]],Summary!$B$6/1440)</f>
        <v>0.30208333333333331</v>
      </c>
      <c r="I3">
        <f>INDEX(PeakCalc!$L$10:$L$303,MATCH(tblPivotData[[#This Row],[Time]],PeakCalc!$G$10:$G$303,0))</f>
        <v>0</v>
      </c>
    </row>
    <row r="4" spans="1:9" x14ac:dyDescent="0.3">
      <c r="A4" t="s">
        <v>92</v>
      </c>
      <c r="B4" t="s">
        <v>94</v>
      </c>
      <c r="C4" t="s">
        <v>96</v>
      </c>
      <c r="D4" t="s">
        <v>79</v>
      </c>
      <c r="E4" t="s">
        <v>43</v>
      </c>
      <c r="F4" s="6">
        <v>0.3125</v>
      </c>
      <c r="G4">
        <v>194</v>
      </c>
      <c r="H4" s="6">
        <f>FLOOR(tblPivotData[[#This Row],[Time]],Summary!$B$6/1440)</f>
        <v>0.3125</v>
      </c>
      <c r="I4">
        <f>INDEX(PeakCalc!$L$10:$L$303,MATCH(tblPivotData[[#This Row],[Time]],PeakCalc!$G$10:$G$303,0))</f>
        <v>0</v>
      </c>
    </row>
    <row r="5" spans="1:9" x14ac:dyDescent="0.3">
      <c r="A5" t="s">
        <v>92</v>
      </c>
      <c r="B5" t="s">
        <v>94</v>
      </c>
      <c r="C5" t="s">
        <v>96</v>
      </c>
      <c r="D5" t="s">
        <v>79</v>
      </c>
      <c r="E5" t="s">
        <v>43</v>
      </c>
      <c r="F5" s="6">
        <v>0.32291666666666669</v>
      </c>
      <c r="G5">
        <v>222</v>
      </c>
      <c r="H5" s="6">
        <f>FLOOR(tblPivotData[[#This Row],[Time]],Summary!$B$6/1440)</f>
        <v>0.32291666666666663</v>
      </c>
      <c r="I5">
        <f>INDEX(PeakCalc!$L$10:$L$303,MATCH(tblPivotData[[#This Row],[Time]],PeakCalc!$G$10:$G$303,0))</f>
        <v>1</v>
      </c>
    </row>
    <row r="6" spans="1:9" x14ac:dyDescent="0.3">
      <c r="A6" t="s">
        <v>92</v>
      </c>
      <c r="B6" t="s">
        <v>94</v>
      </c>
      <c r="C6" t="s">
        <v>96</v>
      </c>
      <c r="D6" t="s">
        <v>79</v>
      </c>
      <c r="E6" t="s">
        <v>43</v>
      </c>
      <c r="F6" s="6">
        <v>0.33333333333333331</v>
      </c>
      <c r="G6">
        <v>221</v>
      </c>
      <c r="H6" s="6">
        <f>FLOOR(tblPivotData[[#This Row],[Time]],Summary!$B$6/1440)</f>
        <v>0.33333333333333331</v>
      </c>
      <c r="I6">
        <f>INDEX(PeakCalc!$L$10:$L$303,MATCH(tblPivotData[[#This Row],[Time]],PeakCalc!$G$10:$G$303,0))</f>
        <v>1</v>
      </c>
    </row>
    <row r="7" spans="1:9" x14ac:dyDescent="0.3">
      <c r="A7" t="s">
        <v>92</v>
      </c>
      <c r="B7" t="s">
        <v>94</v>
      </c>
      <c r="C7" t="s">
        <v>96</v>
      </c>
      <c r="D7" t="s">
        <v>79</v>
      </c>
      <c r="E7" t="s">
        <v>43</v>
      </c>
      <c r="F7" s="6">
        <v>0.34375</v>
      </c>
      <c r="G7">
        <v>221</v>
      </c>
      <c r="H7" s="6">
        <f>FLOOR(tblPivotData[[#This Row],[Time]],Summary!$B$6/1440)</f>
        <v>0.34375</v>
      </c>
      <c r="I7">
        <f>INDEX(PeakCalc!$L$10:$L$303,MATCH(tblPivotData[[#This Row],[Time]],PeakCalc!$G$10:$G$303,0))</f>
        <v>1</v>
      </c>
    </row>
    <row r="8" spans="1:9" x14ac:dyDescent="0.3">
      <c r="A8" t="s">
        <v>92</v>
      </c>
      <c r="B8" t="s">
        <v>94</v>
      </c>
      <c r="C8" t="s">
        <v>96</v>
      </c>
      <c r="D8" t="s">
        <v>79</v>
      </c>
      <c r="E8" t="s">
        <v>43</v>
      </c>
      <c r="F8" s="6">
        <v>0.35416666666666669</v>
      </c>
      <c r="G8">
        <v>218</v>
      </c>
      <c r="H8" s="6">
        <f>FLOOR(tblPivotData[[#This Row],[Time]],Summary!$B$6/1440)</f>
        <v>0.35416666666666663</v>
      </c>
      <c r="I8">
        <f>INDEX(PeakCalc!$L$10:$L$303,MATCH(tblPivotData[[#This Row],[Time]],PeakCalc!$G$10:$G$303,0))</f>
        <v>1</v>
      </c>
    </row>
    <row r="9" spans="1:9" x14ac:dyDescent="0.3">
      <c r="A9" t="s">
        <v>92</v>
      </c>
      <c r="B9" t="s">
        <v>94</v>
      </c>
      <c r="C9" t="s">
        <v>96</v>
      </c>
      <c r="D9" t="s">
        <v>79</v>
      </c>
      <c r="E9" t="s">
        <v>43</v>
      </c>
      <c r="F9" s="6">
        <v>0.36458333333333331</v>
      </c>
      <c r="G9">
        <v>215</v>
      </c>
      <c r="H9" s="6">
        <f>FLOOR(tblPivotData[[#This Row],[Time]],Summary!$B$6/1440)</f>
        <v>0.36458333333333331</v>
      </c>
      <c r="I9">
        <f>INDEX(PeakCalc!$L$10:$L$303,MATCH(tblPivotData[[#This Row],[Time]],PeakCalc!$G$10:$G$303,0))</f>
        <v>0</v>
      </c>
    </row>
    <row r="10" spans="1:9" x14ac:dyDescent="0.3">
      <c r="A10" t="s">
        <v>92</v>
      </c>
      <c r="B10" t="s">
        <v>94</v>
      </c>
      <c r="C10" t="s">
        <v>96</v>
      </c>
      <c r="D10" t="s">
        <v>79</v>
      </c>
      <c r="E10" t="s">
        <v>90</v>
      </c>
      <c r="F10" s="6">
        <v>0.54166666666666663</v>
      </c>
      <c r="G10">
        <v>139</v>
      </c>
      <c r="H10" s="6">
        <f>FLOOR(tblPivotData[[#This Row],[Time]],Summary!$B$6/1440)</f>
        <v>0.54166666666666663</v>
      </c>
      <c r="I10">
        <f>INDEX(PeakCalc!$L$10:$L$303,MATCH(tblPivotData[[#This Row],[Time]],PeakCalc!$G$10:$G$303,0))</f>
        <v>1</v>
      </c>
    </row>
    <row r="11" spans="1:9" x14ac:dyDescent="0.3">
      <c r="A11" t="s">
        <v>92</v>
      </c>
      <c r="B11" t="s">
        <v>94</v>
      </c>
      <c r="C11" t="s">
        <v>96</v>
      </c>
      <c r="D11" t="s">
        <v>79</v>
      </c>
      <c r="E11" t="s">
        <v>90</v>
      </c>
      <c r="F11" s="6">
        <v>0.55208333333333337</v>
      </c>
      <c r="G11">
        <v>130</v>
      </c>
      <c r="H11" s="6">
        <f>FLOOR(tblPivotData[[#This Row],[Time]],Summary!$B$6/1440)</f>
        <v>0.55208333333333326</v>
      </c>
      <c r="I11">
        <f>INDEX(PeakCalc!$L$10:$L$303,MATCH(tblPivotData[[#This Row],[Time]],PeakCalc!$G$10:$G$303,0))</f>
        <v>1</v>
      </c>
    </row>
    <row r="12" spans="1:9" x14ac:dyDescent="0.3">
      <c r="A12" t="s">
        <v>92</v>
      </c>
      <c r="B12" t="s">
        <v>94</v>
      </c>
      <c r="C12" t="s">
        <v>96</v>
      </c>
      <c r="D12" t="s">
        <v>79</v>
      </c>
      <c r="E12" t="s">
        <v>90</v>
      </c>
      <c r="F12" s="6">
        <v>0.5625</v>
      </c>
      <c r="G12">
        <v>130</v>
      </c>
      <c r="H12" s="6">
        <f>FLOOR(tblPivotData[[#This Row],[Time]],Summary!$B$6/1440)</f>
        <v>0.5625</v>
      </c>
      <c r="I12">
        <f>INDEX(PeakCalc!$L$10:$L$303,MATCH(tblPivotData[[#This Row],[Time]],PeakCalc!$G$10:$G$303,0))</f>
        <v>1</v>
      </c>
    </row>
    <row r="13" spans="1:9" x14ac:dyDescent="0.3">
      <c r="A13" t="s">
        <v>92</v>
      </c>
      <c r="B13" t="s">
        <v>94</v>
      </c>
      <c r="C13" t="s">
        <v>96</v>
      </c>
      <c r="D13" t="s">
        <v>79</v>
      </c>
      <c r="E13" t="s">
        <v>90</v>
      </c>
      <c r="F13" s="6">
        <v>0.57291666666666663</v>
      </c>
      <c r="G13">
        <v>122</v>
      </c>
      <c r="H13" s="6">
        <f>FLOOR(tblPivotData[[#This Row],[Time]],Summary!$B$6/1440)</f>
        <v>0.57291666666666663</v>
      </c>
      <c r="I13">
        <f>INDEX(PeakCalc!$L$10:$L$303,MATCH(tblPivotData[[#This Row],[Time]],PeakCalc!$G$10:$G$303,0))</f>
        <v>1</v>
      </c>
    </row>
    <row r="14" spans="1:9" x14ac:dyDescent="0.3">
      <c r="A14" t="s">
        <v>92</v>
      </c>
      <c r="B14" t="s">
        <v>94</v>
      </c>
      <c r="C14" t="s">
        <v>96</v>
      </c>
      <c r="D14" t="s">
        <v>79</v>
      </c>
      <c r="E14" t="s">
        <v>44</v>
      </c>
      <c r="F14" s="6">
        <v>0.66666666666666663</v>
      </c>
      <c r="G14">
        <v>133</v>
      </c>
      <c r="H14" s="6">
        <f>FLOOR(tblPivotData[[#This Row],[Time]],Summary!$B$6/1440)</f>
        <v>0.66666666666666663</v>
      </c>
      <c r="I14">
        <f>INDEX(PeakCalc!$L$10:$L$303,MATCH(tblPivotData[[#This Row],[Time]],PeakCalc!$G$10:$G$303,0))</f>
        <v>0</v>
      </c>
    </row>
    <row r="15" spans="1:9" x14ac:dyDescent="0.3">
      <c r="A15" t="s">
        <v>92</v>
      </c>
      <c r="B15" t="s">
        <v>94</v>
      </c>
      <c r="C15" t="s">
        <v>96</v>
      </c>
      <c r="D15" t="s">
        <v>79</v>
      </c>
      <c r="E15" t="s">
        <v>44</v>
      </c>
      <c r="F15" s="6">
        <v>0.67708333333333337</v>
      </c>
      <c r="G15">
        <v>135</v>
      </c>
      <c r="H15" s="6">
        <f>FLOOR(tblPivotData[[#This Row],[Time]],Summary!$B$6/1440)</f>
        <v>0.67708333333333326</v>
      </c>
      <c r="I15">
        <f>INDEX(PeakCalc!$L$10:$L$303,MATCH(tblPivotData[[#This Row],[Time]],PeakCalc!$G$10:$G$303,0))</f>
        <v>0</v>
      </c>
    </row>
    <row r="16" spans="1:9" x14ac:dyDescent="0.3">
      <c r="A16" t="s">
        <v>92</v>
      </c>
      <c r="B16" t="s">
        <v>94</v>
      </c>
      <c r="C16" t="s">
        <v>96</v>
      </c>
      <c r="D16" t="s">
        <v>79</v>
      </c>
      <c r="E16" t="s">
        <v>44</v>
      </c>
      <c r="F16" s="6">
        <v>0.6875</v>
      </c>
      <c r="G16">
        <v>162</v>
      </c>
      <c r="H16" s="6">
        <f>FLOOR(tblPivotData[[#This Row],[Time]],Summary!$B$6/1440)</f>
        <v>0.6875</v>
      </c>
      <c r="I16">
        <f>INDEX(PeakCalc!$L$10:$L$303,MATCH(tblPivotData[[#This Row],[Time]],PeakCalc!$G$10:$G$303,0))</f>
        <v>1</v>
      </c>
    </row>
    <row r="17" spans="1:9" x14ac:dyDescent="0.3">
      <c r="A17" t="s">
        <v>92</v>
      </c>
      <c r="B17" t="s">
        <v>94</v>
      </c>
      <c r="C17" t="s">
        <v>96</v>
      </c>
      <c r="D17" t="s">
        <v>79</v>
      </c>
      <c r="E17" t="s">
        <v>44</v>
      </c>
      <c r="F17" s="6">
        <v>0.69791666666666663</v>
      </c>
      <c r="G17">
        <v>153</v>
      </c>
      <c r="H17" s="6">
        <f>FLOOR(tblPivotData[[#This Row],[Time]],Summary!$B$6/1440)</f>
        <v>0.69791666666666663</v>
      </c>
      <c r="I17">
        <f>INDEX(PeakCalc!$L$10:$L$303,MATCH(tblPivotData[[#This Row],[Time]],PeakCalc!$G$10:$G$303,0))</f>
        <v>1</v>
      </c>
    </row>
    <row r="18" spans="1:9" x14ac:dyDescent="0.3">
      <c r="A18" t="s">
        <v>92</v>
      </c>
      <c r="B18" t="s">
        <v>94</v>
      </c>
      <c r="C18" t="s">
        <v>96</v>
      </c>
      <c r="D18" t="s">
        <v>79</v>
      </c>
      <c r="E18" t="s">
        <v>44</v>
      </c>
      <c r="F18" s="6">
        <v>0.70833333333333337</v>
      </c>
      <c r="G18">
        <v>185</v>
      </c>
      <c r="H18" s="6">
        <f>FLOOR(tblPivotData[[#This Row],[Time]],Summary!$B$6/1440)</f>
        <v>0.70833333333333326</v>
      </c>
      <c r="I18">
        <f>INDEX(PeakCalc!$L$10:$L$303,MATCH(tblPivotData[[#This Row],[Time]],PeakCalc!$G$10:$G$303,0))</f>
        <v>1</v>
      </c>
    </row>
    <row r="19" spans="1:9" x14ac:dyDescent="0.3">
      <c r="A19" t="s">
        <v>92</v>
      </c>
      <c r="B19" t="s">
        <v>94</v>
      </c>
      <c r="C19" t="s">
        <v>96</v>
      </c>
      <c r="D19" t="s">
        <v>79</v>
      </c>
      <c r="E19" t="s">
        <v>44</v>
      </c>
      <c r="F19" s="6">
        <v>0.71875</v>
      </c>
      <c r="G19">
        <v>136</v>
      </c>
      <c r="H19" s="6">
        <f>FLOOR(tblPivotData[[#This Row],[Time]],Summary!$B$6/1440)</f>
        <v>0.71875</v>
      </c>
      <c r="I19">
        <f>INDEX(PeakCalc!$L$10:$L$303,MATCH(tblPivotData[[#This Row],[Time]],PeakCalc!$G$10:$G$303,0))</f>
        <v>1</v>
      </c>
    </row>
    <row r="20" spans="1:9" x14ac:dyDescent="0.3">
      <c r="A20" t="s">
        <v>92</v>
      </c>
      <c r="B20" t="s">
        <v>94</v>
      </c>
      <c r="C20" t="s">
        <v>96</v>
      </c>
      <c r="D20" t="s">
        <v>79</v>
      </c>
      <c r="E20" t="s">
        <v>44</v>
      </c>
      <c r="F20" s="6">
        <v>0.72916666666666663</v>
      </c>
      <c r="G20">
        <v>133</v>
      </c>
      <c r="H20" s="6">
        <f>FLOOR(tblPivotData[[#This Row],[Time]],Summary!$B$6/1440)</f>
        <v>0.72916666666666663</v>
      </c>
      <c r="I20">
        <f>INDEX(PeakCalc!$L$10:$L$303,MATCH(tblPivotData[[#This Row],[Time]],PeakCalc!$G$10:$G$303,0))</f>
        <v>0</v>
      </c>
    </row>
    <row r="21" spans="1:9" x14ac:dyDescent="0.3">
      <c r="A21" t="s">
        <v>92</v>
      </c>
      <c r="B21" t="s">
        <v>94</v>
      </c>
      <c r="C21" t="s">
        <v>96</v>
      </c>
      <c r="D21" t="s">
        <v>79</v>
      </c>
      <c r="E21" t="s">
        <v>44</v>
      </c>
      <c r="F21" s="6">
        <v>0.73958333333333337</v>
      </c>
      <c r="G21">
        <v>151</v>
      </c>
      <c r="H21" s="6">
        <f>FLOOR(tblPivotData[[#This Row],[Time]],Summary!$B$6/1440)</f>
        <v>0.73958333333333326</v>
      </c>
      <c r="I21">
        <f>INDEX(PeakCalc!$L$10:$L$303,MATCH(tblPivotData[[#This Row],[Time]],PeakCalc!$G$10:$G$303,0))</f>
        <v>0</v>
      </c>
    </row>
    <row r="22" spans="1:9" x14ac:dyDescent="0.3">
      <c r="A22" t="s">
        <v>92</v>
      </c>
      <c r="B22" t="s">
        <v>94</v>
      </c>
      <c r="C22" t="s">
        <v>96</v>
      </c>
      <c r="D22" t="s">
        <v>88</v>
      </c>
      <c r="E22" t="s">
        <v>43</v>
      </c>
      <c r="F22" s="6">
        <v>0.29166666666666669</v>
      </c>
      <c r="G22">
        <v>3</v>
      </c>
      <c r="H22" s="6">
        <f>FLOOR(tblPivotData[[#This Row],[Time]],Summary!$B$6/1440)</f>
        <v>0.29166666666666663</v>
      </c>
      <c r="I22">
        <f>INDEX(PeakCalc!$L$10:$L$303,MATCH(tblPivotData[[#This Row],[Time]],PeakCalc!$G$10:$G$303,0))</f>
        <v>0</v>
      </c>
    </row>
    <row r="23" spans="1:9" x14ac:dyDescent="0.3">
      <c r="A23" t="s">
        <v>92</v>
      </c>
      <c r="B23" t="s">
        <v>94</v>
      </c>
      <c r="C23" t="s">
        <v>96</v>
      </c>
      <c r="D23" t="s">
        <v>88</v>
      </c>
      <c r="E23" t="s">
        <v>43</v>
      </c>
      <c r="F23" s="6">
        <v>0.30208333333333331</v>
      </c>
      <c r="G23">
        <v>8</v>
      </c>
      <c r="H23" s="6">
        <f>FLOOR(tblPivotData[[#This Row],[Time]],Summary!$B$6/1440)</f>
        <v>0.30208333333333331</v>
      </c>
      <c r="I23">
        <f>INDEX(PeakCalc!$L$10:$L$303,MATCH(tblPivotData[[#This Row],[Time]],PeakCalc!$G$10:$G$303,0))</f>
        <v>0</v>
      </c>
    </row>
    <row r="24" spans="1:9" x14ac:dyDescent="0.3">
      <c r="A24" t="s">
        <v>92</v>
      </c>
      <c r="B24" t="s">
        <v>94</v>
      </c>
      <c r="C24" t="s">
        <v>96</v>
      </c>
      <c r="D24" t="s">
        <v>88</v>
      </c>
      <c r="E24" t="s">
        <v>43</v>
      </c>
      <c r="F24" s="6">
        <v>0.3125</v>
      </c>
      <c r="G24">
        <v>8</v>
      </c>
      <c r="H24" s="6">
        <f>FLOOR(tblPivotData[[#This Row],[Time]],Summary!$B$6/1440)</f>
        <v>0.3125</v>
      </c>
      <c r="I24">
        <f>INDEX(PeakCalc!$L$10:$L$303,MATCH(tblPivotData[[#This Row],[Time]],PeakCalc!$G$10:$G$303,0))</f>
        <v>0</v>
      </c>
    </row>
    <row r="25" spans="1:9" x14ac:dyDescent="0.3">
      <c r="A25" t="s">
        <v>92</v>
      </c>
      <c r="B25" t="s">
        <v>94</v>
      </c>
      <c r="C25" t="s">
        <v>96</v>
      </c>
      <c r="D25" t="s">
        <v>88</v>
      </c>
      <c r="E25" t="s">
        <v>43</v>
      </c>
      <c r="F25" s="6">
        <v>0.32291666666666669</v>
      </c>
      <c r="G25">
        <v>5</v>
      </c>
      <c r="H25" s="6">
        <f>FLOOR(tblPivotData[[#This Row],[Time]],Summary!$B$6/1440)</f>
        <v>0.32291666666666663</v>
      </c>
      <c r="I25">
        <f>INDEX(PeakCalc!$L$10:$L$303,MATCH(tblPivotData[[#This Row],[Time]],PeakCalc!$G$10:$G$303,0))</f>
        <v>1</v>
      </c>
    </row>
    <row r="26" spans="1:9" x14ac:dyDescent="0.3">
      <c r="A26" t="s">
        <v>92</v>
      </c>
      <c r="B26" t="s">
        <v>94</v>
      </c>
      <c r="C26" t="s">
        <v>96</v>
      </c>
      <c r="D26" t="s">
        <v>88</v>
      </c>
      <c r="E26" t="s">
        <v>43</v>
      </c>
      <c r="F26" s="6">
        <v>0.33333333333333331</v>
      </c>
      <c r="G26">
        <v>5</v>
      </c>
      <c r="H26" s="6">
        <f>FLOOR(tblPivotData[[#This Row],[Time]],Summary!$B$6/1440)</f>
        <v>0.33333333333333331</v>
      </c>
      <c r="I26">
        <f>INDEX(PeakCalc!$L$10:$L$303,MATCH(tblPivotData[[#This Row],[Time]],PeakCalc!$G$10:$G$303,0))</f>
        <v>1</v>
      </c>
    </row>
    <row r="27" spans="1:9" x14ac:dyDescent="0.3">
      <c r="A27" t="s">
        <v>92</v>
      </c>
      <c r="B27" t="s">
        <v>94</v>
      </c>
      <c r="C27" t="s">
        <v>96</v>
      </c>
      <c r="D27" t="s">
        <v>88</v>
      </c>
      <c r="E27" t="s">
        <v>43</v>
      </c>
      <c r="F27" s="6">
        <v>0.34375</v>
      </c>
      <c r="G27">
        <v>4</v>
      </c>
      <c r="H27" s="6">
        <f>FLOOR(tblPivotData[[#This Row],[Time]],Summary!$B$6/1440)</f>
        <v>0.34375</v>
      </c>
      <c r="I27">
        <f>INDEX(PeakCalc!$L$10:$L$303,MATCH(tblPivotData[[#This Row],[Time]],PeakCalc!$G$10:$G$303,0))</f>
        <v>1</v>
      </c>
    </row>
    <row r="28" spans="1:9" x14ac:dyDescent="0.3">
      <c r="A28" t="s">
        <v>92</v>
      </c>
      <c r="B28" t="s">
        <v>94</v>
      </c>
      <c r="C28" t="s">
        <v>96</v>
      </c>
      <c r="D28" t="s">
        <v>88</v>
      </c>
      <c r="E28" t="s">
        <v>43</v>
      </c>
      <c r="F28" s="6">
        <v>0.35416666666666669</v>
      </c>
      <c r="G28">
        <v>6</v>
      </c>
      <c r="H28" s="6">
        <f>FLOOR(tblPivotData[[#This Row],[Time]],Summary!$B$6/1440)</f>
        <v>0.35416666666666663</v>
      </c>
      <c r="I28">
        <f>INDEX(PeakCalc!$L$10:$L$303,MATCH(tblPivotData[[#This Row],[Time]],PeakCalc!$G$10:$G$303,0))</f>
        <v>1</v>
      </c>
    </row>
    <row r="29" spans="1:9" x14ac:dyDescent="0.3">
      <c r="A29" t="s">
        <v>92</v>
      </c>
      <c r="B29" t="s">
        <v>94</v>
      </c>
      <c r="C29" t="s">
        <v>96</v>
      </c>
      <c r="D29" t="s">
        <v>88</v>
      </c>
      <c r="E29" t="s">
        <v>43</v>
      </c>
      <c r="F29" s="6">
        <v>0.36458333333333331</v>
      </c>
      <c r="G29">
        <v>5</v>
      </c>
      <c r="H29" s="6">
        <f>FLOOR(tblPivotData[[#This Row],[Time]],Summary!$B$6/1440)</f>
        <v>0.36458333333333331</v>
      </c>
      <c r="I29">
        <f>INDEX(PeakCalc!$L$10:$L$303,MATCH(tblPivotData[[#This Row],[Time]],PeakCalc!$G$10:$G$303,0))</f>
        <v>0</v>
      </c>
    </row>
    <row r="30" spans="1:9" x14ac:dyDescent="0.3">
      <c r="A30" t="s">
        <v>92</v>
      </c>
      <c r="B30" t="s">
        <v>94</v>
      </c>
      <c r="C30" t="s">
        <v>96</v>
      </c>
      <c r="D30" t="s">
        <v>88</v>
      </c>
      <c r="E30" t="s">
        <v>90</v>
      </c>
      <c r="F30" s="6">
        <v>0.54166666666666663</v>
      </c>
      <c r="G30">
        <v>3</v>
      </c>
      <c r="H30" s="6">
        <f>FLOOR(tblPivotData[[#This Row],[Time]],Summary!$B$6/1440)</f>
        <v>0.54166666666666663</v>
      </c>
      <c r="I30">
        <f>INDEX(PeakCalc!$L$10:$L$303,MATCH(tblPivotData[[#This Row],[Time]],PeakCalc!$G$10:$G$303,0))</f>
        <v>1</v>
      </c>
    </row>
    <row r="31" spans="1:9" x14ac:dyDescent="0.3">
      <c r="A31" t="s">
        <v>92</v>
      </c>
      <c r="B31" t="s">
        <v>94</v>
      </c>
      <c r="C31" t="s">
        <v>96</v>
      </c>
      <c r="D31" t="s">
        <v>88</v>
      </c>
      <c r="E31" t="s">
        <v>90</v>
      </c>
      <c r="F31" s="6">
        <v>0.55208333333333337</v>
      </c>
      <c r="G31">
        <v>2</v>
      </c>
      <c r="H31" s="6">
        <f>FLOOR(tblPivotData[[#This Row],[Time]],Summary!$B$6/1440)</f>
        <v>0.55208333333333326</v>
      </c>
      <c r="I31">
        <f>INDEX(PeakCalc!$L$10:$L$303,MATCH(tblPivotData[[#This Row],[Time]],PeakCalc!$G$10:$G$303,0))</f>
        <v>1</v>
      </c>
    </row>
    <row r="32" spans="1:9" x14ac:dyDescent="0.3">
      <c r="A32" t="s">
        <v>92</v>
      </c>
      <c r="B32" t="s">
        <v>94</v>
      </c>
      <c r="C32" t="s">
        <v>96</v>
      </c>
      <c r="D32" t="s">
        <v>88</v>
      </c>
      <c r="E32" t="s">
        <v>90</v>
      </c>
      <c r="F32" s="6">
        <v>0.5625</v>
      </c>
      <c r="G32">
        <v>2</v>
      </c>
      <c r="H32" s="6">
        <f>FLOOR(tblPivotData[[#This Row],[Time]],Summary!$B$6/1440)</f>
        <v>0.5625</v>
      </c>
      <c r="I32">
        <f>INDEX(PeakCalc!$L$10:$L$303,MATCH(tblPivotData[[#This Row],[Time]],PeakCalc!$G$10:$G$303,0))</f>
        <v>1</v>
      </c>
    </row>
    <row r="33" spans="1:9" x14ac:dyDescent="0.3">
      <c r="A33" t="s">
        <v>92</v>
      </c>
      <c r="B33" t="s">
        <v>94</v>
      </c>
      <c r="C33" t="s">
        <v>96</v>
      </c>
      <c r="D33" t="s">
        <v>88</v>
      </c>
      <c r="E33" t="s">
        <v>90</v>
      </c>
      <c r="F33" s="6">
        <v>0.57291666666666663</v>
      </c>
      <c r="G33">
        <v>3</v>
      </c>
      <c r="H33" s="6">
        <f>FLOOR(tblPivotData[[#This Row],[Time]],Summary!$B$6/1440)</f>
        <v>0.57291666666666663</v>
      </c>
      <c r="I33">
        <f>INDEX(PeakCalc!$L$10:$L$303,MATCH(tblPivotData[[#This Row],[Time]],PeakCalc!$G$10:$G$303,0))</f>
        <v>1</v>
      </c>
    </row>
    <row r="34" spans="1:9" x14ac:dyDescent="0.3">
      <c r="A34" t="s">
        <v>92</v>
      </c>
      <c r="B34" t="s">
        <v>94</v>
      </c>
      <c r="C34" t="s">
        <v>96</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94</v>
      </c>
      <c r="C35" t="s">
        <v>96</v>
      </c>
      <c r="D35" t="s">
        <v>88</v>
      </c>
      <c r="E35" t="s">
        <v>44</v>
      </c>
      <c r="F35" s="6">
        <v>0.67708333333333337</v>
      </c>
      <c r="G35">
        <v>1</v>
      </c>
      <c r="H35" s="6">
        <f>FLOOR(tblPivotData[[#This Row],[Time]],Summary!$B$6/1440)</f>
        <v>0.67708333333333326</v>
      </c>
      <c r="I35">
        <f>INDEX(PeakCalc!$L$10:$L$303,MATCH(tblPivotData[[#This Row],[Time]],PeakCalc!$G$10:$G$303,0))</f>
        <v>0</v>
      </c>
    </row>
    <row r="36" spans="1:9" x14ac:dyDescent="0.3">
      <c r="A36" t="s">
        <v>92</v>
      </c>
      <c r="B36" t="s">
        <v>94</v>
      </c>
      <c r="C36" t="s">
        <v>96</v>
      </c>
      <c r="D36" t="s">
        <v>88</v>
      </c>
      <c r="E36" t="s">
        <v>44</v>
      </c>
      <c r="F36" s="6">
        <v>0.6875</v>
      </c>
      <c r="G36">
        <v>2</v>
      </c>
      <c r="H36" s="6">
        <f>FLOOR(tblPivotData[[#This Row],[Time]],Summary!$B$6/1440)</f>
        <v>0.6875</v>
      </c>
      <c r="I36">
        <f>INDEX(PeakCalc!$L$10:$L$303,MATCH(tblPivotData[[#This Row],[Time]],PeakCalc!$G$10:$G$303,0))</f>
        <v>1</v>
      </c>
    </row>
    <row r="37" spans="1:9" x14ac:dyDescent="0.3">
      <c r="A37" t="s">
        <v>92</v>
      </c>
      <c r="B37" t="s">
        <v>94</v>
      </c>
      <c r="C37" t="s">
        <v>96</v>
      </c>
      <c r="D37" t="s">
        <v>88</v>
      </c>
      <c r="E37" t="s">
        <v>44</v>
      </c>
      <c r="F37" s="6">
        <v>0.69791666666666663</v>
      </c>
      <c r="G37">
        <v>3</v>
      </c>
      <c r="H37" s="6">
        <f>FLOOR(tblPivotData[[#This Row],[Time]],Summary!$B$6/1440)</f>
        <v>0.69791666666666663</v>
      </c>
      <c r="I37">
        <f>INDEX(PeakCalc!$L$10:$L$303,MATCH(tblPivotData[[#This Row],[Time]],PeakCalc!$G$10:$G$303,0))</f>
        <v>1</v>
      </c>
    </row>
    <row r="38" spans="1:9" x14ac:dyDescent="0.3">
      <c r="A38" t="s">
        <v>92</v>
      </c>
      <c r="B38" t="s">
        <v>94</v>
      </c>
      <c r="C38" t="s">
        <v>96</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94</v>
      </c>
      <c r="C39" t="s">
        <v>96</v>
      </c>
      <c r="D39" t="s">
        <v>88</v>
      </c>
      <c r="E39" t="s">
        <v>44</v>
      </c>
      <c r="F39" s="6">
        <v>0.71875</v>
      </c>
      <c r="G39">
        <v>1</v>
      </c>
      <c r="H39" s="6">
        <f>FLOOR(tblPivotData[[#This Row],[Time]],Summary!$B$6/1440)</f>
        <v>0.71875</v>
      </c>
      <c r="I39">
        <f>INDEX(PeakCalc!$L$10:$L$303,MATCH(tblPivotData[[#This Row],[Time]],PeakCalc!$G$10:$G$303,0))</f>
        <v>1</v>
      </c>
    </row>
    <row r="40" spans="1:9" x14ac:dyDescent="0.3">
      <c r="A40" t="s">
        <v>92</v>
      </c>
      <c r="B40" t="s">
        <v>94</v>
      </c>
      <c r="C40" t="s">
        <v>96</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94</v>
      </c>
      <c r="C41" t="s">
        <v>96</v>
      </c>
      <c r="D41" t="s">
        <v>88</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94</v>
      </c>
      <c r="C42" t="s">
        <v>96</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94</v>
      </c>
      <c r="C43" t="s">
        <v>96</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94</v>
      </c>
      <c r="C44" t="s">
        <v>96</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94</v>
      </c>
      <c r="C45" t="s">
        <v>96</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94</v>
      </c>
      <c r="C46" t="s">
        <v>96</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94</v>
      </c>
      <c r="C47" t="s">
        <v>96</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94</v>
      </c>
      <c r="C48" t="s">
        <v>96</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94</v>
      </c>
      <c r="C49" t="s">
        <v>96</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94</v>
      </c>
      <c r="C50" t="s">
        <v>96</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94</v>
      </c>
      <c r="C51" t="s">
        <v>96</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94</v>
      </c>
      <c r="C52" t="s">
        <v>96</v>
      </c>
      <c r="D52" t="s">
        <v>89</v>
      </c>
      <c r="E52" t="s">
        <v>90</v>
      </c>
      <c r="F52" s="6">
        <v>0.5625</v>
      </c>
      <c r="G52">
        <v>1</v>
      </c>
      <c r="H52" s="6">
        <f>FLOOR(tblPivotData[[#This Row],[Time]],Summary!$B$6/1440)</f>
        <v>0.5625</v>
      </c>
      <c r="I52">
        <f>INDEX(PeakCalc!$L$10:$L$303,MATCH(tblPivotData[[#This Row],[Time]],PeakCalc!$G$10:$G$303,0))</f>
        <v>1</v>
      </c>
    </row>
    <row r="53" spans="1:9" x14ac:dyDescent="0.3">
      <c r="A53" t="s">
        <v>92</v>
      </c>
      <c r="B53" t="s">
        <v>94</v>
      </c>
      <c r="C53" t="s">
        <v>96</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94</v>
      </c>
      <c r="C54" t="s">
        <v>96</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94</v>
      </c>
      <c r="C55" t="s">
        <v>96</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94</v>
      </c>
      <c r="C56" t="s">
        <v>96</v>
      </c>
      <c r="D56" t="s">
        <v>89</v>
      </c>
      <c r="E56" t="s">
        <v>44</v>
      </c>
      <c r="F56" s="6">
        <v>0.6875</v>
      </c>
      <c r="G56">
        <v>1</v>
      </c>
      <c r="H56" s="6">
        <f>FLOOR(tblPivotData[[#This Row],[Time]],Summary!$B$6/1440)</f>
        <v>0.6875</v>
      </c>
      <c r="I56">
        <f>INDEX(PeakCalc!$L$10:$L$303,MATCH(tblPivotData[[#This Row],[Time]],PeakCalc!$G$10:$G$303,0))</f>
        <v>1</v>
      </c>
    </row>
    <row r="57" spans="1:9" x14ac:dyDescent="0.3">
      <c r="A57" t="s">
        <v>92</v>
      </c>
      <c r="B57" t="s">
        <v>94</v>
      </c>
      <c r="C57" t="s">
        <v>96</v>
      </c>
      <c r="D57" t="s">
        <v>89</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94</v>
      </c>
      <c r="C58" t="s">
        <v>96</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94</v>
      </c>
      <c r="C59" t="s">
        <v>96</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94</v>
      </c>
      <c r="C60" t="s">
        <v>96</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94</v>
      </c>
      <c r="C61" t="s">
        <v>96</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95</v>
      </c>
      <c r="C62" t="s">
        <v>96</v>
      </c>
      <c r="D62" t="s">
        <v>79</v>
      </c>
      <c r="E62" t="s">
        <v>43</v>
      </c>
      <c r="F62" s="6">
        <v>0.29166666666666669</v>
      </c>
      <c r="G62">
        <v>8</v>
      </c>
      <c r="H62" s="6">
        <f>FLOOR(tblPivotData[[#This Row],[Time]],Summary!$B$6/1440)</f>
        <v>0.29166666666666663</v>
      </c>
      <c r="I62">
        <f>INDEX(PeakCalc!$L$10:$L$303,MATCH(tblPivotData[[#This Row],[Time]],PeakCalc!$G$10:$G$303,0))</f>
        <v>0</v>
      </c>
    </row>
    <row r="63" spans="1:9" x14ac:dyDescent="0.3">
      <c r="A63" t="s">
        <v>93</v>
      </c>
      <c r="B63" t="s">
        <v>95</v>
      </c>
      <c r="C63" t="s">
        <v>96</v>
      </c>
      <c r="D63" t="s">
        <v>79</v>
      </c>
      <c r="E63" t="s">
        <v>43</v>
      </c>
      <c r="F63" s="6">
        <v>0.30208333333333331</v>
      </c>
      <c r="G63">
        <v>19</v>
      </c>
      <c r="H63" s="6">
        <f>FLOOR(tblPivotData[[#This Row],[Time]],Summary!$B$6/1440)</f>
        <v>0.30208333333333331</v>
      </c>
      <c r="I63">
        <f>INDEX(PeakCalc!$L$10:$L$303,MATCH(tblPivotData[[#This Row],[Time]],PeakCalc!$G$10:$G$303,0))</f>
        <v>0</v>
      </c>
    </row>
    <row r="64" spans="1:9" x14ac:dyDescent="0.3">
      <c r="A64" t="s">
        <v>93</v>
      </c>
      <c r="B64" t="s">
        <v>95</v>
      </c>
      <c r="C64" t="s">
        <v>96</v>
      </c>
      <c r="D64" t="s">
        <v>79</v>
      </c>
      <c r="E64" t="s">
        <v>43</v>
      </c>
      <c r="F64" s="6">
        <v>0.3125</v>
      </c>
      <c r="G64">
        <v>13</v>
      </c>
      <c r="H64" s="6">
        <f>FLOOR(tblPivotData[[#This Row],[Time]],Summary!$B$6/1440)</f>
        <v>0.3125</v>
      </c>
      <c r="I64">
        <f>INDEX(PeakCalc!$L$10:$L$303,MATCH(tblPivotData[[#This Row],[Time]],PeakCalc!$G$10:$G$303,0))</f>
        <v>0</v>
      </c>
    </row>
    <row r="65" spans="1:9" x14ac:dyDescent="0.3">
      <c r="A65" t="s">
        <v>93</v>
      </c>
      <c r="B65" t="s">
        <v>95</v>
      </c>
      <c r="C65" t="s">
        <v>96</v>
      </c>
      <c r="D65" t="s">
        <v>79</v>
      </c>
      <c r="E65" t="s">
        <v>43</v>
      </c>
      <c r="F65" s="6">
        <v>0.32291666666666669</v>
      </c>
      <c r="G65">
        <v>26</v>
      </c>
      <c r="H65" s="6">
        <f>FLOOR(tblPivotData[[#This Row],[Time]],Summary!$B$6/1440)</f>
        <v>0.32291666666666663</v>
      </c>
      <c r="I65">
        <f>INDEX(PeakCalc!$L$10:$L$303,MATCH(tblPivotData[[#This Row],[Time]],PeakCalc!$G$10:$G$303,0))</f>
        <v>1</v>
      </c>
    </row>
    <row r="66" spans="1:9" x14ac:dyDescent="0.3">
      <c r="A66" t="s">
        <v>93</v>
      </c>
      <c r="B66" t="s">
        <v>95</v>
      </c>
      <c r="C66" t="s">
        <v>96</v>
      </c>
      <c r="D66" t="s">
        <v>79</v>
      </c>
      <c r="E66" t="s">
        <v>43</v>
      </c>
      <c r="F66" s="6">
        <v>0.33333333333333331</v>
      </c>
      <c r="G66">
        <v>24</v>
      </c>
      <c r="H66" s="6">
        <f>FLOOR(tblPivotData[[#This Row],[Time]],Summary!$B$6/1440)</f>
        <v>0.33333333333333331</v>
      </c>
      <c r="I66">
        <f>INDEX(PeakCalc!$L$10:$L$303,MATCH(tblPivotData[[#This Row],[Time]],PeakCalc!$G$10:$G$303,0))</f>
        <v>1</v>
      </c>
    </row>
    <row r="67" spans="1:9" x14ac:dyDescent="0.3">
      <c r="A67" t="s">
        <v>93</v>
      </c>
      <c r="B67" t="s">
        <v>95</v>
      </c>
      <c r="C67" t="s">
        <v>96</v>
      </c>
      <c r="D67" t="s">
        <v>79</v>
      </c>
      <c r="E67" t="s">
        <v>43</v>
      </c>
      <c r="F67" s="6">
        <v>0.34375</v>
      </c>
      <c r="G67">
        <v>32</v>
      </c>
      <c r="H67" s="6">
        <f>FLOOR(tblPivotData[[#This Row],[Time]],Summary!$B$6/1440)</f>
        <v>0.34375</v>
      </c>
      <c r="I67">
        <f>INDEX(PeakCalc!$L$10:$L$303,MATCH(tblPivotData[[#This Row],[Time]],PeakCalc!$G$10:$G$303,0))</f>
        <v>1</v>
      </c>
    </row>
    <row r="68" spans="1:9" x14ac:dyDescent="0.3">
      <c r="A68" t="s">
        <v>93</v>
      </c>
      <c r="B68" t="s">
        <v>95</v>
      </c>
      <c r="C68" t="s">
        <v>96</v>
      </c>
      <c r="D68" t="s">
        <v>79</v>
      </c>
      <c r="E68" t="s">
        <v>43</v>
      </c>
      <c r="F68" s="6">
        <v>0.35416666666666669</v>
      </c>
      <c r="G68">
        <v>35</v>
      </c>
      <c r="H68" s="6">
        <f>FLOOR(tblPivotData[[#This Row],[Time]],Summary!$B$6/1440)</f>
        <v>0.35416666666666663</v>
      </c>
      <c r="I68">
        <f>INDEX(PeakCalc!$L$10:$L$303,MATCH(tblPivotData[[#This Row],[Time]],PeakCalc!$G$10:$G$303,0))</f>
        <v>1</v>
      </c>
    </row>
    <row r="69" spans="1:9" x14ac:dyDescent="0.3">
      <c r="A69" t="s">
        <v>93</v>
      </c>
      <c r="B69" t="s">
        <v>95</v>
      </c>
      <c r="C69" t="s">
        <v>96</v>
      </c>
      <c r="D69" t="s">
        <v>79</v>
      </c>
      <c r="E69" t="s">
        <v>43</v>
      </c>
      <c r="F69" s="6">
        <v>0.36458333333333331</v>
      </c>
      <c r="G69">
        <v>31</v>
      </c>
      <c r="H69" s="6">
        <f>FLOOR(tblPivotData[[#This Row],[Time]],Summary!$B$6/1440)</f>
        <v>0.36458333333333331</v>
      </c>
      <c r="I69">
        <f>INDEX(PeakCalc!$L$10:$L$303,MATCH(tblPivotData[[#This Row],[Time]],PeakCalc!$G$10:$G$303,0))</f>
        <v>0</v>
      </c>
    </row>
    <row r="70" spans="1:9" x14ac:dyDescent="0.3">
      <c r="A70" t="s">
        <v>93</v>
      </c>
      <c r="B70" t="s">
        <v>95</v>
      </c>
      <c r="C70" t="s">
        <v>96</v>
      </c>
      <c r="D70" t="s">
        <v>79</v>
      </c>
      <c r="E70" t="s">
        <v>90</v>
      </c>
      <c r="F70" s="6">
        <v>0.54166666666666663</v>
      </c>
      <c r="G70">
        <v>31</v>
      </c>
      <c r="H70" s="6">
        <f>FLOOR(tblPivotData[[#This Row],[Time]],Summary!$B$6/1440)</f>
        <v>0.54166666666666663</v>
      </c>
      <c r="I70">
        <f>INDEX(PeakCalc!$L$10:$L$303,MATCH(tblPivotData[[#This Row],[Time]],PeakCalc!$G$10:$G$303,0))</f>
        <v>1</v>
      </c>
    </row>
    <row r="71" spans="1:9" x14ac:dyDescent="0.3">
      <c r="A71" t="s">
        <v>93</v>
      </c>
      <c r="B71" t="s">
        <v>95</v>
      </c>
      <c r="C71" t="s">
        <v>96</v>
      </c>
      <c r="D71" t="s">
        <v>79</v>
      </c>
      <c r="E71" t="s">
        <v>90</v>
      </c>
      <c r="F71" s="6">
        <v>0.55208333333333337</v>
      </c>
      <c r="G71">
        <v>23</v>
      </c>
      <c r="H71" s="6">
        <f>FLOOR(tblPivotData[[#This Row],[Time]],Summary!$B$6/1440)</f>
        <v>0.55208333333333326</v>
      </c>
      <c r="I71">
        <f>INDEX(PeakCalc!$L$10:$L$303,MATCH(tblPivotData[[#This Row],[Time]],PeakCalc!$G$10:$G$303,0))</f>
        <v>1</v>
      </c>
    </row>
    <row r="72" spans="1:9" x14ac:dyDescent="0.3">
      <c r="A72" t="s">
        <v>93</v>
      </c>
      <c r="B72" t="s">
        <v>95</v>
      </c>
      <c r="C72" t="s">
        <v>96</v>
      </c>
      <c r="D72" t="s">
        <v>79</v>
      </c>
      <c r="E72" t="s">
        <v>90</v>
      </c>
      <c r="F72" s="6">
        <v>0.5625</v>
      </c>
      <c r="G72">
        <v>28</v>
      </c>
      <c r="H72" s="6">
        <f>FLOOR(tblPivotData[[#This Row],[Time]],Summary!$B$6/1440)</f>
        <v>0.5625</v>
      </c>
      <c r="I72">
        <f>INDEX(PeakCalc!$L$10:$L$303,MATCH(tblPivotData[[#This Row],[Time]],PeakCalc!$G$10:$G$303,0))</f>
        <v>1</v>
      </c>
    </row>
    <row r="73" spans="1:9" x14ac:dyDescent="0.3">
      <c r="A73" t="s">
        <v>93</v>
      </c>
      <c r="B73" t="s">
        <v>95</v>
      </c>
      <c r="C73" t="s">
        <v>96</v>
      </c>
      <c r="D73" t="s">
        <v>79</v>
      </c>
      <c r="E73" t="s">
        <v>90</v>
      </c>
      <c r="F73" s="6">
        <v>0.57291666666666663</v>
      </c>
      <c r="G73">
        <v>22</v>
      </c>
      <c r="H73" s="6">
        <f>FLOOR(tblPivotData[[#This Row],[Time]],Summary!$B$6/1440)</f>
        <v>0.57291666666666663</v>
      </c>
      <c r="I73">
        <f>INDEX(PeakCalc!$L$10:$L$303,MATCH(tblPivotData[[#This Row],[Time]],PeakCalc!$G$10:$G$303,0))</f>
        <v>1</v>
      </c>
    </row>
    <row r="74" spans="1:9" x14ac:dyDescent="0.3">
      <c r="A74" t="s">
        <v>93</v>
      </c>
      <c r="B74" t="s">
        <v>95</v>
      </c>
      <c r="C74" t="s">
        <v>96</v>
      </c>
      <c r="D74" t="s">
        <v>79</v>
      </c>
      <c r="E74" t="s">
        <v>44</v>
      </c>
      <c r="F74" s="6">
        <v>0.66666666666666663</v>
      </c>
      <c r="G74">
        <v>49</v>
      </c>
      <c r="H74" s="6">
        <f>FLOOR(tblPivotData[[#This Row],[Time]],Summary!$B$6/1440)</f>
        <v>0.66666666666666663</v>
      </c>
      <c r="I74">
        <f>INDEX(PeakCalc!$L$10:$L$303,MATCH(tblPivotData[[#This Row],[Time]],PeakCalc!$G$10:$G$303,0))</f>
        <v>0</v>
      </c>
    </row>
    <row r="75" spans="1:9" x14ac:dyDescent="0.3">
      <c r="A75" t="s">
        <v>93</v>
      </c>
      <c r="B75" t="s">
        <v>95</v>
      </c>
      <c r="C75" t="s">
        <v>96</v>
      </c>
      <c r="D75" t="s">
        <v>79</v>
      </c>
      <c r="E75" t="s">
        <v>44</v>
      </c>
      <c r="F75" s="6">
        <v>0.67708333333333337</v>
      </c>
      <c r="G75">
        <v>27</v>
      </c>
      <c r="H75" s="6">
        <f>FLOOR(tblPivotData[[#This Row],[Time]],Summary!$B$6/1440)</f>
        <v>0.67708333333333326</v>
      </c>
      <c r="I75">
        <f>INDEX(PeakCalc!$L$10:$L$303,MATCH(tblPivotData[[#This Row],[Time]],PeakCalc!$G$10:$G$303,0))</f>
        <v>0</v>
      </c>
    </row>
    <row r="76" spans="1:9" x14ac:dyDescent="0.3">
      <c r="A76" t="s">
        <v>93</v>
      </c>
      <c r="B76" t="s">
        <v>95</v>
      </c>
      <c r="C76" t="s">
        <v>96</v>
      </c>
      <c r="D76" t="s">
        <v>79</v>
      </c>
      <c r="E76" t="s">
        <v>44</v>
      </c>
      <c r="F76" s="6">
        <v>0.6875</v>
      </c>
      <c r="G76">
        <v>47</v>
      </c>
      <c r="H76" s="6">
        <f>FLOOR(tblPivotData[[#This Row],[Time]],Summary!$B$6/1440)</f>
        <v>0.6875</v>
      </c>
      <c r="I76">
        <f>INDEX(PeakCalc!$L$10:$L$303,MATCH(tblPivotData[[#This Row],[Time]],PeakCalc!$G$10:$G$303,0))</f>
        <v>1</v>
      </c>
    </row>
    <row r="77" spans="1:9" x14ac:dyDescent="0.3">
      <c r="A77" t="s">
        <v>93</v>
      </c>
      <c r="B77" t="s">
        <v>95</v>
      </c>
      <c r="C77" t="s">
        <v>96</v>
      </c>
      <c r="D77" t="s">
        <v>79</v>
      </c>
      <c r="E77" t="s">
        <v>44</v>
      </c>
      <c r="F77" s="6">
        <v>0.69791666666666663</v>
      </c>
      <c r="G77">
        <v>42</v>
      </c>
      <c r="H77" s="6">
        <f>FLOOR(tblPivotData[[#This Row],[Time]],Summary!$B$6/1440)</f>
        <v>0.69791666666666663</v>
      </c>
      <c r="I77">
        <f>INDEX(PeakCalc!$L$10:$L$303,MATCH(tblPivotData[[#This Row],[Time]],PeakCalc!$G$10:$G$303,0))</f>
        <v>1</v>
      </c>
    </row>
    <row r="78" spans="1:9" x14ac:dyDescent="0.3">
      <c r="A78" t="s">
        <v>93</v>
      </c>
      <c r="B78" t="s">
        <v>95</v>
      </c>
      <c r="C78" t="s">
        <v>96</v>
      </c>
      <c r="D78" t="s">
        <v>79</v>
      </c>
      <c r="E78" t="s">
        <v>44</v>
      </c>
      <c r="F78" s="6">
        <v>0.70833333333333337</v>
      </c>
      <c r="G78">
        <v>39</v>
      </c>
      <c r="H78" s="6">
        <f>FLOOR(tblPivotData[[#This Row],[Time]],Summary!$B$6/1440)</f>
        <v>0.70833333333333326</v>
      </c>
      <c r="I78">
        <f>INDEX(PeakCalc!$L$10:$L$303,MATCH(tblPivotData[[#This Row],[Time]],PeakCalc!$G$10:$G$303,0))</f>
        <v>1</v>
      </c>
    </row>
    <row r="79" spans="1:9" x14ac:dyDescent="0.3">
      <c r="A79" t="s">
        <v>93</v>
      </c>
      <c r="B79" t="s">
        <v>95</v>
      </c>
      <c r="C79" t="s">
        <v>96</v>
      </c>
      <c r="D79" t="s">
        <v>79</v>
      </c>
      <c r="E79" t="s">
        <v>44</v>
      </c>
      <c r="F79" s="6">
        <v>0.71875</v>
      </c>
      <c r="G79">
        <v>34</v>
      </c>
      <c r="H79" s="6">
        <f>FLOOR(tblPivotData[[#This Row],[Time]],Summary!$B$6/1440)</f>
        <v>0.71875</v>
      </c>
      <c r="I79">
        <f>INDEX(PeakCalc!$L$10:$L$303,MATCH(tblPivotData[[#This Row],[Time]],PeakCalc!$G$10:$G$303,0))</f>
        <v>1</v>
      </c>
    </row>
    <row r="80" spans="1:9" x14ac:dyDescent="0.3">
      <c r="A80" t="s">
        <v>93</v>
      </c>
      <c r="B80" t="s">
        <v>95</v>
      </c>
      <c r="C80" t="s">
        <v>96</v>
      </c>
      <c r="D80" t="s">
        <v>79</v>
      </c>
      <c r="E80" t="s">
        <v>44</v>
      </c>
      <c r="F80" s="6">
        <v>0.72916666666666663</v>
      </c>
      <c r="G80">
        <v>37</v>
      </c>
      <c r="H80" s="6">
        <f>FLOOR(tblPivotData[[#This Row],[Time]],Summary!$B$6/1440)</f>
        <v>0.72916666666666663</v>
      </c>
      <c r="I80">
        <f>INDEX(PeakCalc!$L$10:$L$303,MATCH(tblPivotData[[#This Row],[Time]],PeakCalc!$G$10:$G$303,0))</f>
        <v>0</v>
      </c>
    </row>
    <row r="81" spans="1:9" x14ac:dyDescent="0.3">
      <c r="A81" t="s">
        <v>93</v>
      </c>
      <c r="B81" t="s">
        <v>95</v>
      </c>
      <c r="C81" t="s">
        <v>96</v>
      </c>
      <c r="D81" t="s">
        <v>79</v>
      </c>
      <c r="E81" t="s">
        <v>44</v>
      </c>
      <c r="F81" s="6">
        <v>0.73958333333333337</v>
      </c>
      <c r="G81">
        <v>28</v>
      </c>
      <c r="H81" s="6">
        <f>FLOOR(tblPivotData[[#This Row],[Time]],Summary!$B$6/1440)</f>
        <v>0.73958333333333326</v>
      </c>
      <c r="I81">
        <f>INDEX(PeakCalc!$L$10:$L$303,MATCH(tblPivotData[[#This Row],[Time]],PeakCalc!$G$10:$G$303,0))</f>
        <v>0</v>
      </c>
    </row>
    <row r="82" spans="1:9" x14ac:dyDescent="0.3">
      <c r="A82" t="s">
        <v>93</v>
      </c>
      <c r="B82" t="s">
        <v>95</v>
      </c>
      <c r="C82" t="s">
        <v>96</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93</v>
      </c>
      <c r="B83" t="s">
        <v>95</v>
      </c>
      <c r="C83" t="s">
        <v>96</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93</v>
      </c>
      <c r="B84" t="s">
        <v>95</v>
      </c>
      <c r="C84" t="s">
        <v>96</v>
      </c>
      <c r="D84" t="s">
        <v>88</v>
      </c>
      <c r="E84" t="s">
        <v>43</v>
      </c>
      <c r="F84" s="6">
        <v>0.3125</v>
      </c>
      <c r="G84">
        <v>6</v>
      </c>
      <c r="H84" s="6">
        <f>FLOOR(tblPivotData[[#This Row],[Time]],Summary!$B$6/1440)</f>
        <v>0.3125</v>
      </c>
      <c r="I84">
        <f>INDEX(PeakCalc!$L$10:$L$303,MATCH(tblPivotData[[#This Row],[Time]],PeakCalc!$G$10:$G$303,0))</f>
        <v>0</v>
      </c>
    </row>
    <row r="85" spans="1:9" x14ac:dyDescent="0.3">
      <c r="A85" t="s">
        <v>93</v>
      </c>
      <c r="B85" t="s">
        <v>95</v>
      </c>
      <c r="C85" t="s">
        <v>96</v>
      </c>
      <c r="D85" t="s">
        <v>88</v>
      </c>
      <c r="E85" t="s">
        <v>43</v>
      </c>
      <c r="F85" s="6">
        <v>0.32291666666666669</v>
      </c>
      <c r="G85">
        <v>7</v>
      </c>
      <c r="H85" s="6">
        <f>FLOOR(tblPivotData[[#This Row],[Time]],Summary!$B$6/1440)</f>
        <v>0.32291666666666663</v>
      </c>
      <c r="I85">
        <f>INDEX(PeakCalc!$L$10:$L$303,MATCH(tblPivotData[[#This Row],[Time]],PeakCalc!$G$10:$G$303,0))</f>
        <v>1</v>
      </c>
    </row>
    <row r="86" spans="1:9" x14ac:dyDescent="0.3">
      <c r="A86" t="s">
        <v>93</v>
      </c>
      <c r="B86" t="s">
        <v>95</v>
      </c>
      <c r="C86" t="s">
        <v>96</v>
      </c>
      <c r="D86" t="s">
        <v>88</v>
      </c>
      <c r="E86" t="s">
        <v>43</v>
      </c>
      <c r="F86" s="6">
        <v>0.33333333333333331</v>
      </c>
      <c r="G86">
        <v>5</v>
      </c>
      <c r="H86" s="6">
        <f>FLOOR(tblPivotData[[#This Row],[Time]],Summary!$B$6/1440)</f>
        <v>0.33333333333333331</v>
      </c>
      <c r="I86">
        <f>INDEX(PeakCalc!$L$10:$L$303,MATCH(tblPivotData[[#This Row],[Time]],PeakCalc!$G$10:$G$303,0))</f>
        <v>1</v>
      </c>
    </row>
    <row r="87" spans="1:9" x14ac:dyDescent="0.3">
      <c r="A87" t="s">
        <v>93</v>
      </c>
      <c r="B87" t="s">
        <v>95</v>
      </c>
      <c r="C87" t="s">
        <v>96</v>
      </c>
      <c r="D87" t="s">
        <v>88</v>
      </c>
      <c r="E87" t="s">
        <v>43</v>
      </c>
      <c r="F87" s="6">
        <v>0.34375</v>
      </c>
      <c r="G87">
        <v>5</v>
      </c>
      <c r="H87" s="6">
        <f>FLOOR(tblPivotData[[#This Row],[Time]],Summary!$B$6/1440)</f>
        <v>0.34375</v>
      </c>
      <c r="I87">
        <f>INDEX(PeakCalc!$L$10:$L$303,MATCH(tblPivotData[[#This Row],[Time]],PeakCalc!$G$10:$G$303,0))</f>
        <v>1</v>
      </c>
    </row>
    <row r="88" spans="1:9" x14ac:dyDescent="0.3">
      <c r="A88" t="s">
        <v>93</v>
      </c>
      <c r="B88" t="s">
        <v>95</v>
      </c>
      <c r="C88" t="s">
        <v>96</v>
      </c>
      <c r="D88" t="s">
        <v>88</v>
      </c>
      <c r="E88" t="s">
        <v>43</v>
      </c>
      <c r="F88" s="6">
        <v>0.35416666666666669</v>
      </c>
      <c r="G88">
        <v>2</v>
      </c>
      <c r="H88" s="6">
        <f>FLOOR(tblPivotData[[#This Row],[Time]],Summary!$B$6/1440)</f>
        <v>0.35416666666666663</v>
      </c>
      <c r="I88">
        <f>INDEX(PeakCalc!$L$10:$L$303,MATCH(tblPivotData[[#This Row],[Time]],PeakCalc!$G$10:$G$303,0))</f>
        <v>1</v>
      </c>
    </row>
    <row r="89" spans="1:9" x14ac:dyDescent="0.3">
      <c r="A89" t="s">
        <v>93</v>
      </c>
      <c r="B89" t="s">
        <v>95</v>
      </c>
      <c r="C89" t="s">
        <v>96</v>
      </c>
      <c r="D89" t="s">
        <v>88</v>
      </c>
      <c r="E89" t="s">
        <v>43</v>
      </c>
      <c r="F89" s="6">
        <v>0.36458333333333331</v>
      </c>
      <c r="G89">
        <v>4</v>
      </c>
      <c r="H89" s="6">
        <f>FLOOR(tblPivotData[[#This Row],[Time]],Summary!$B$6/1440)</f>
        <v>0.36458333333333331</v>
      </c>
      <c r="I89">
        <f>INDEX(PeakCalc!$L$10:$L$303,MATCH(tblPivotData[[#This Row],[Time]],PeakCalc!$G$10:$G$303,0))</f>
        <v>0</v>
      </c>
    </row>
    <row r="90" spans="1:9" x14ac:dyDescent="0.3">
      <c r="A90" t="s">
        <v>93</v>
      </c>
      <c r="B90" t="s">
        <v>95</v>
      </c>
      <c r="C90" t="s">
        <v>96</v>
      </c>
      <c r="D90" t="s">
        <v>88</v>
      </c>
      <c r="E90" t="s">
        <v>90</v>
      </c>
      <c r="F90" s="6">
        <v>0.54166666666666663</v>
      </c>
      <c r="G90">
        <v>3</v>
      </c>
      <c r="H90" s="6">
        <f>FLOOR(tblPivotData[[#This Row],[Time]],Summary!$B$6/1440)</f>
        <v>0.54166666666666663</v>
      </c>
      <c r="I90">
        <f>INDEX(PeakCalc!$L$10:$L$303,MATCH(tblPivotData[[#This Row],[Time]],PeakCalc!$G$10:$G$303,0))</f>
        <v>1</v>
      </c>
    </row>
    <row r="91" spans="1:9" x14ac:dyDescent="0.3">
      <c r="A91" t="s">
        <v>93</v>
      </c>
      <c r="B91" t="s">
        <v>95</v>
      </c>
      <c r="C91" t="s">
        <v>96</v>
      </c>
      <c r="D91" t="s">
        <v>88</v>
      </c>
      <c r="E91" t="s">
        <v>90</v>
      </c>
      <c r="F91" s="6">
        <v>0.55208333333333337</v>
      </c>
      <c r="G91">
        <v>2</v>
      </c>
      <c r="H91" s="6">
        <f>FLOOR(tblPivotData[[#This Row],[Time]],Summary!$B$6/1440)</f>
        <v>0.55208333333333326</v>
      </c>
      <c r="I91">
        <f>INDEX(PeakCalc!$L$10:$L$303,MATCH(tblPivotData[[#This Row],[Time]],PeakCalc!$G$10:$G$303,0))</f>
        <v>1</v>
      </c>
    </row>
    <row r="92" spans="1:9" x14ac:dyDescent="0.3">
      <c r="A92" t="s">
        <v>93</v>
      </c>
      <c r="B92" t="s">
        <v>95</v>
      </c>
      <c r="C92" t="s">
        <v>96</v>
      </c>
      <c r="D92" t="s">
        <v>88</v>
      </c>
      <c r="E92" t="s">
        <v>90</v>
      </c>
      <c r="F92" s="6">
        <v>0.5625</v>
      </c>
      <c r="G92">
        <v>1</v>
      </c>
      <c r="H92" s="6">
        <f>FLOOR(tblPivotData[[#This Row],[Time]],Summary!$B$6/1440)</f>
        <v>0.5625</v>
      </c>
      <c r="I92">
        <f>INDEX(PeakCalc!$L$10:$L$303,MATCH(tblPivotData[[#This Row],[Time]],PeakCalc!$G$10:$G$303,0))</f>
        <v>1</v>
      </c>
    </row>
    <row r="93" spans="1:9" x14ac:dyDescent="0.3">
      <c r="A93" t="s">
        <v>93</v>
      </c>
      <c r="B93" t="s">
        <v>95</v>
      </c>
      <c r="C93" t="s">
        <v>96</v>
      </c>
      <c r="D93" t="s">
        <v>88</v>
      </c>
      <c r="E93" t="s">
        <v>90</v>
      </c>
      <c r="F93" s="6">
        <v>0.57291666666666663</v>
      </c>
      <c r="G93">
        <v>2</v>
      </c>
      <c r="H93" s="6">
        <f>FLOOR(tblPivotData[[#This Row],[Time]],Summary!$B$6/1440)</f>
        <v>0.57291666666666663</v>
      </c>
      <c r="I93">
        <f>INDEX(PeakCalc!$L$10:$L$303,MATCH(tblPivotData[[#This Row],[Time]],PeakCalc!$G$10:$G$303,0))</f>
        <v>1</v>
      </c>
    </row>
    <row r="94" spans="1:9" x14ac:dyDescent="0.3">
      <c r="A94" t="s">
        <v>93</v>
      </c>
      <c r="B94" t="s">
        <v>95</v>
      </c>
      <c r="C94" t="s">
        <v>96</v>
      </c>
      <c r="D94" t="s">
        <v>88</v>
      </c>
      <c r="E94" t="s">
        <v>44</v>
      </c>
      <c r="F94" s="6">
        <v>0.66666666666666663</v>
      </c>
      <c r="G94">
        <v>4</v>
      </c>
      <c r="H94" s="6">
        <f>FLOOR(tblPivotData[[#This Row],[Time]],Summary!$B$6/1440)</f>
        <v>0.66666666666666663</v>
      </c>
      <c r="I94">
        <f>INDEX(PeakCalc!$L$10:$L$303,MATCH(tblPivotData[[#This Row],[Time]],PeakCalc!$G$10:$G$303,0))</f>
        <v>0</v>
      </c>
    </row>
    <row r="95" spans="1:9" x14ac:dyDescent="0.3">
      <c r="A95" t="s">
        <v>93</v>
      </c>
      <c r="B95" t="s">
        <v>95</v>
      </c>
      <c r="C95" t="s">
        <v>96</v>
      </c>
      <c r="D95" t="s">
        <v>88</v>
      </c>
      <c r="E95" t="s">
        <v>44</v>
      </c>
      <c r="F95" s="6">
        <v>0.67708333333333337</v>
      </c>
      <c r="G95">
        <v>2</v>
      </c>
      <c r="H95" s="6">
        <f>FLOOR(tblPivotData[[#This Row],[Time]],Summary!$B$6/1440)</f>
        <v>0.67708333333333326</v>
      </c>
      <c r="I95">
        <f>INDEX(PeakCalc!$L$10:$L$303,MATCH(tblPivotData[[#This Row],[Time]],PeakCalc!$G$10:$G$303,0))</f>
        <v>0</v>
      </c>
    </row>
    <row r="96" spans="1:9" x14ac:dyDescent="0.3">
      <c r="A96" t="s">
        <v>93</v>
      </c>
      <c r="B96" t="s">
        <v>95</v>
      </c>
      <c r="C96" t="s">
        <v>96</v>
      </c>
      <c r="D96" t="s">
        <v>88</v>
      </c>
      <c r="E96" t="s">
        <v>44</v>
      </c>
      <c r="F96" s="6">
        <v>0.6875</v>
      </c>
      <c r="G96">
        <v>4</v>
      </c>
      <c r="H96" s="6">
        <f>FLOOR(tblPivotData[[#This Row],[Time]],Summary!$B$6/1440)</f>
        <v>0.6875</v>
      </c>
      <c r="I96">
        <f>INDEX(PeakCalc!$L$10:$L$303,MATCH(tblPivotData[[#This Row],[Time]],PeakCalc!$G$10:$G$303,0))</f>
        <v>1</v>
      </c>
    </row>
    <row r="97" spans="1:9" x14ac:dyDescent="0.3">
      <c r="A97" t="s">
        <v>93</v>
      </c>
      <c r="B97" t="s">
        <v>95</v>
      </c>
      <c r="C97" t="s">
        <v>96</v>
      </c>
      <c r="D97" t="s">
        <v>88</v>
      </c>
      <c r="E97" t="s">
        <v>44</v>
      </c>
      <c r="F97" s="6">
        <v>0.69791666666666663</v>
      </c>
      <c r="G97">
        <v>3</v>
      </c>
      <c r="H97" s="6">
        <f>FLOOR(tblPivotData[[#This Row],[Time]],Summary!$B$6/1440)</f>
        <v>0.69791666666666663</v>
      </c>
      <c r="I97">
        <f>INDEX(PeakCalc!$L$10:$L$303,MATCH(tblPivotData[[#This Row],[Time]],PeakCalc!$G$10:$G$303,0))</f>
        <v>1</v>
      </c>
    </row>
    <row r="98" spans="1:9" x14ac:dyDescent="0.3">
      <c r="A98" t="s">
        <v>93</v>
      </c>
      <c r="B98" t="s">
        <v>95</v>
      </c>
      <c r="C98" t="s">
        <v>96</v>
      </c>
      <c r="D98" t="s">
        <v>88</v>
      </c>
      <c r="E98" t="s">
        <v>44</v>
      </c>
      <c r="F98" s="6">
        <v>0.70833333333333337</v>
      </c>
      <c r="G98">
        <v>3</v>
      </c>
      <c r="H98" s="6">
        <f>FLOOR(tblPivotData[[#This Row],[Time]],Summary!$B$6/1440)</f>
        <v>0.70833333333333326</v>
      </c>
      <c r="I98">
        <f>INDEX(PeakCalc!$L$10:$L$303,MATCH(tblPivotData[[#This Row],[Time]],PeakCalc!$G$10:$G$303,0))</f>
        <v>1</v>
      </c>
    </row>
    <row r="99" spans="1:9" x14ac:dyDescent="0.3">
      <c r="A99" t="s">
        <v>93</v>
      </c>
      <c r="B99" t="s">
        <v>95</v>
      </c>
      <c r="C99" t="s">
        <v>96</v>
      </c>
      <c r="D99" t="s">
        <v>88</v>
      </c>
      <c r="E99" t="s">
        <v>44</v>
      </c>
      <c r="F99" s="6">
        <v>0.71875</v>
      </c>
      <c r="G99">
        <v>2</v>
      </c>
      <c r="H99" s="6">
        <f>FLOOR(tblPivotData[[#This Row],[Time]],Summary!$B$6/1440)</f>
        <v>0.71875</v>
      </c>
      <c r="I99">
        <f>INDEX(PeakCalc!$L$10:$L$303,MATCH(tblPivotData[[#This Row],[Time]],PeakCalc!$G$10:$G$303,0))</f>
        <v>1</v>
      </c>
    </row>
    <row r="100" spans="1:9" x14ac:dyDescent="0.3">
      <c r="A100" t="s">
        <v>93</v>
      </c>
      <c r="B100" t="s">
        <v>95</v>
      </c>
      <c r="C100" t="s">
        <v>96</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93</v>
      </c>
      <c r="B101" t="s">
        <v>95</v>
      </c>
      <c r="C101" t="s">
        <v>96</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93</v>
      </c>
      <c r="B102" t="s">
        <v>95</v>
      </c>
      <c r="C102" t="s">
        <v>96</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95</v>
      </c>
      <c r="C103" t="s">
        <v>96</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93</v>
      </c>
      <c r="B104" t="s">
        <v>95</v>
      </c>
      <c r="C104" t="s">
        <v>96</v>
      </c>
      <c r="D104" t="s">
        <v>89</v>
      </c>
      <c r="E104" t="s">
        <v>43</v>
      </c>
      <c r="F104" s="6">
        <v>0.3125</v>
      </c>
      <c r="G104">
        <v>0</v>
      </c>
      <c r="H104" s="6">
        <f>FLOOR(tblPivotData[[#This Row],[Time]],Summary!$B$6/1440)</f>
        <v>0.3125</v>
      </c>
      <c r="I104">
        <f>INDEX(PeakCalc!$L$10:$L$303,MATCH(tblPivotData[[#This Row],[Time]],PeakCalc!$G$10:$G$303,0))</f>
        <v>0</v>
      </c>
    </row>
    <row r="105" spans="1:9" x14ac:dyDescent="0.3">
      <c r="A105" t="s">
        <v>93</v>
      </c>
      <c r="B105" t="s">
        <v>95</v>
      </c>
      <c r="C105" t="s">
        <v>96</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93</v>
      </c>
      <c r="B106" t="s">
        <v>95</v>
      </c>
      <c r="C106" t="s">
        <v>96</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93</v>
      </c>
      <c r="B107" t="s">
        <v>95</v>
      </c>
      <c r="C107" t="s">
        <v>96</v>
      </c>
      <c r="D107" t="s">
        <v>89</v>
      </c>
      <c r="E107" t="s">
        <v>43</v>
      </c>
      <c r="F107" s="6">
        <v>0.34375</v>
      </c>
      <c r="G107">
        <v>0</v>
      </c>
      <c r="H107" s="6">
        <f>FLOOR(tblPivotData[[#This Row],[Time]],Summary!$B$6/1440)</f>
        <v>0.34375</v>
      </c>
      <c r="I107">
        <f>INDEX(PeakCalc!$L$10:$L$303,MATCH(tblPivotData[[#This Row],[Time]],PeakCalc!$G$10:$G$303,0))</f>
        <v>1</v>
      </c>
    </row>
    <row r="108" spans="1:9" x14ac:dyDescent="0.3">
      <c r="A108" t="s">
        <v>93</v>
      </c>
      <c r="B108" t="s">
        <v>95</v>
      </c>
      <c r="C108" t="s">
        <v>96</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93</v>
      </c>
      <c r="B109" t="s">
        <v>95</v>
      </c>
      <c r="C109" t="s">
        <v>96</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93</v>
      </c>
      <c r="B110" t="s">
        <v>95</v>
      </c>
      <c r="C110" t="s">
        <v>96</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95</v>
      </c>
      <c r="C111" t="s">
        <v>96</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93</v>
      </c>
      <c r="B112" t="s">
        <v>95</v>
      </c>
      <c r="C112" t="s">
        <v>96</v>
      </c>
      <c r="D112" t="s">
        <v>89</v>
      </c>
      <c r="E112" t="s">
        <v>90</v>
      </c>
      <c r="F112" s="6">
        <v>0.5625</v>
      </c>
      <c r="G112">
        <v>0</v>
      </c>
      <c r="H112" s="6">
        <f>FLOOR(tblPivotData[[#This Row],[Time]],Summary!$B$6/1440)</f>
        <v>0.5625</v>
      </c>
      <c r="I112">
        <f>INDEX(PeakCalc!$L$10:$L$303,MATCH(tblPivotData[[#This Row],[Time]],PeakCalc!$G$10:$G$303,0))</f>
        <v>1</v>
      </c>
    </row>
    <row r="113" spans="1:9" x14ac:dyDescent="0.3">
      <c r="A113" t="s">
        <v>93</v>
      </c>
      <c r="B113" t="s">
        <v>95</v>
      </c>
      <c r="C113" t="s">
        <v>96</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95</v>
      </c>
      <c r="C114" t="s">
        <v>96</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93</v>
      </c>
      <c r="B115" t="s">
        <v>95</v>
      </c>
      <c r="C115" t="s">
        <v>96</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93</v>
      </c>
      <c r="B116" t="s">
        <v>95</v>
      </c>
      <c r="C116" t="s">
        <v>96</v>
      </c>
      <c r="D116" t="s">
        <v>89</v>
      </c>
      <c r="E116" t="s">
        <v>44</v>
      </c>
      <c r="F116" s="6">
        <v>0.6875</v>
      </c>
      <c r="G116">
        <v>0</v>
      </c>
      <c r="H116" s="6">
        <f>FLOOR(tblPivotData[[#This Row],[Time]],Summary!$B$6/1440)</f>
        <v>0.6875</v>
      </c>
      <c r="I116">
        <f>INDEX(PeakCalc!$L$10:$L$303,MATCH(tblPivotData[[#This Row],[Time]],PeakCalc!$G$10:$G$303,0))</f>
        <v>1</v>
      </c>
    </row>
    <row r="117" spans="1:9" x14ac:dyDescent="0.3">
      <c r="A117" t="s">
        <v>93</v>
      </c>
      <c r="B117" t="s">
        <v>95</v>
      </c>
      <c r="C117" t="s">
        <v>96</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93</v>
      </c>
      <c r="B118" t="s">
        <v>95</v>
      </c>
      <c r="C118" t="s">
        <v>96</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93</v>
      </c>
      <c r="B119" t="s">
        <v>95</v>
      </c>
      <c r="C119" t="s">
        <v>96</v>
      </c>
      <c r="D119" t="s">
        <v>89</v>
      </c>
      <c r="E119" t="s">
        <v>44</v>
      </c>
      <c r="F119" s="6">
        <v>0.71875</v>
      </c>
      <c r="G119">
        <v>0</v>
      </c>
      <c r="H119" s="6">
        <f>FLOOR(tblPivotData[[#This Row],[Time]],Summary!$B$6/1440)</f>
        <v>0.71875</v>
      </c>
      <c r="I119">
        <f>INDEX(PeakCalc!$L$10:$L$303,MATCH(tblPivotData[[#This Row],[Time]],PeakCalc!$G$10:$G$303,0))</f>
        <v>1</v>
      </c>
    </row>
    <row r="120" spans="1:9" x14ac:dyDescent="0.3">
      <c r="A120" t="s">
        <v>93</v>
      </c>
      <c r="B120" t="s">
        <v>95</v>
      </c>
      <c r="C120" t="s">
        <v>96</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95</v>
      </c>
      <c r="C121" t="s">
        <v>96</v>
      </c>
      <c r="D121" t="s">
        <v>89</v>
      </c>
      <c r="E121" t="s">
        <v>44</v>
      </c>
      <c r="F121" s="6">
        <v>0.73958333333333337</v>
      </c>
      <c r="G121">
        <v>0</v>
      </c>
      <c r="H121" s="6">
        <f>FLOOR(tblPivotData[[#This Row],[Time]],Summary!$B$6/1440)</f>
        <v>0.73958333333333326</v>
      </c>
      <c r="I1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M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13" ht="18" x14ac:dyDescent="0.35">
      <c r="B2" s="3" t="s">
        <v>78</v>
      </c>
    </row>
    <row r="4" spans="2:13" x14ac:dyDescent="0.3">
      <c r="B4" t="s">
        <v>76</v>
      </c>
    </row>
    <row r="6" spans="2:13" x14ac:dyDescent="0.3">
      <c r="B6" s="12">
        <v>15</v>
      </c>
      <c r="C6" t="s">
        <v>34</v>
      </c>
    </row>
    <row r="8" spans="2:13" x14ac:dyDescent="0.3">
      <c r="B8" t="s">
        <v>77</v>
      </c>
    </row>
    <row r="10" spans="2:13" x14ac:dyDescent="0.3">
      <c r="B10" s="15" t="s">
        <v>85</v>
      </c>
      <c r="C10" s="16"/>
      <c r="D10" s="16"/>
      <c r="E10" s="16"/>
      <c r="F10" s="16"/>
      <c r="G10" s="16"/>
      <c r="H10" s="16"/>
      <c r="I10" s="16"/>
      <c r="J10" s="16"/>
      <c r="K10" s="16"/>
      <c r="L10" s="16"/>
      <c r="M10" s="16"/>
    </row>
    <row r="11" spans="2:13" x14ac:dyDescent="0.3">
      <c r="B11" s="16"/>
      <c r="C11" s="45" t="s">
        <v>92</v>
      </c>
      <c r="D11" s="46"/>
      <c r="E11" s="46"/>
      <c r="F11" s="46"/>
      <c r="G11" s="43" t="s">
        <v>98</v>
      </c>
      <c r="H11" s="45" t="s">
        <v>93</v>
      </c>
      <c r="I11" s="46"/>
      <c r="J11" s="46"/>
      <c r="K11" s="46"/>
      <c r="L11" s="43" t="s">
        <v>99</v>
      </c>
      <c r="M11" s="43" t="s">
        <v>49</v>
      </c>
    </row>
    <row r="12" spans="2:13" x14ac:dyDescent="0.3">
      <c r="B12" s="16"/>
      <c r="C12" s="43" t="s">
        <v>94</v>
      </c>
      <c r="D12" s="44"/>
      <c r="E12" s="44"/>
      <c r="F12" s="43" t="s">
        <v>100</v>
      </c>
      <c r="G12" s="44"/>
      <c r="H12" s="43" t="s">
        <v>95</v>
      </c>
      <c r="I12" s="44"/>
      <c r="J12" s="44"/>
      <c r="K12" s="43" t="s">
        <v>101</v>
      </c>
      <c r="L12" s="44"/>
      <c r="M12" s="44"/>
    </row>
    <row r="13" spans="2:13" ht="28.8" x14ac:dyDescent="0.3">
      <c r="B13" s="16"/>
      <c r="C13" s="17" t="s">
        <v>79</v>
      </c>
      <c r="D13" s="17" t="s">
        <v>88</v>
      </c>
      <c r="E13" s="17" t="s">
        <v>89</v>
      </c>
      <c r="F13" s="44"/>
      <c r="G13" s="44"/>
      <c r="H13" s="17" t="s">
        <v>79</v>
      </c>
      <c r="I13" s="17" t="s">
        <v>88</v>
      </c>
      <c r="J13" s="17" t="s">
        <v>89</v>
      </c>
      <c r="K13" s="44"/>
      <c r="L13" s="44"/>
      <c r="M13" s="44"/>
    </row>
    <row r="14" spans="2:13" x14ac:dyDescent="0.3">
      <c r="B14" s="10" t="s">
        <v>43</v>
      </c>
      <c r="C14">
        <v>1568</v>
      </c>
      <c r="D14">
        <v>44</v>
      </c>
      <c r="E14">
        <v>0</v>
      </c>
      <c r="F14">
        <v>1612</v>
      </c>
      <c r="G14">
        <v>1612</v>
      </c>
      <c r="H14">
        <v>188</v>
      </c>
      <c r="I14">
        <v>31</v>
      </c>
      <c r="J14">
        <v>0</v>
      </c>
      <c r="K14">
        <v>219</v>
      </c>
      <c r="L14">
        <v>219</v>
      </c>
      <c r="M14">
        <v>1831</v>
      </c>
    </row>
    <row r="15" spans="2:13" x14ac:dyDescent="0.3">
      <c r="B15" s="11">
        <v>0.29166666666666669</v>
      </c>
      <c r="C15">
        <v>119</v>
      </c>
      <c r="D15">
        <v>3</v>
      </c>
      <c r="E15">
        <v>0</v>
      </c>
      <c r="F15">
        <v>122</v>
      </c>
      <c r="G15">
        <v>122</v>
      </c>
      <c r="H15">
        <v>8</v>
      </c>
      <c r="I15">
        <v>1</v>
      </c>
      <c r="J15">
        <v>0</v>
      </c>
      <c r="K15">
        <v>9</v>
      </c>
      <c r="L15">
        <v>9</v>
      </c>
      <c r="M15">
        <v>131</v>
      </c>
    </row>
    <row r="16" spans="2:13" x14ac:dyDescent="0.3">
      <c r="B16" s="11">
        <v>0.30208333333333331</v>
      </c>
      <c r="C16">
        <v>158</v>
      </c>
      <c r="D16">
        <v>8</v>
      </c>
      <c r="E16">
        <v>0</v>
      </c>
      <c r="F16">
        <v>166</v>
      </c>
      <c r="G16">
        <v>166</v>
      </c>
      <c r="H16">
        <v>19</v>
      </c>
      <c r="I16">
        <v>1</v>
      </c>
      <c r="J16">
        <v>0</v>
      </c>
      <c r="K16">
        <v>20</v>
      </c>
      <c r="L16">
        <v>20</v>
      </c>
      <c r="M16">
        <v>186</v>
      </c>
    </row>
    <row r="17" spans="2:13" x14ac:dyDescent="0.3">
      <c r="B17" s="11">
        <v>0.3125</v>
      </c>
      <c r="C17">
        <v>194</v>
      </c>
      <c r="D17">
        <v>8</v>
      </c>
      <c r="E17">
        <v>0</v>
      </c>
      <c r="F17">
        <v>202</v>
      </c>
      <c r="G17">
        <v>202</v>
      </c>
      <c r="H17">
        <v>13</v>
      </c>
      <c r="I17">
        <v>6</v>
      </c>
      <c r="J17">
        <v>0</v>
      </c>
      <c r="K17">
        <v>19</v>
      </c>
      <c r="L17">
        <v>19</v>
      </c>
      <c r="M17">
        <v>221</v>
      </c>
    </row>
    <row r="18" spans="2:13" x14ac:dyDescent="0.3">
      <c r="B18" s="11">
        <v>0.32291666666666669</v>
      </c>
      <c r="C18">
        <v>222</v>
      </c>
      <c r="D18">
        <v>5</v>
      </c>
      <c r="E18">
        <v>0</v>
      </c>
      <c r="F18">
        <v>227</v>
      </c>
      <c r="G18">
        <v>227</v>
      </c>
      <c r="H18">
        <v>26</v>
      </c>
      <c r="I18">
        <v>7</v>
      </c>
      <c r="J18">
        <v>0</v>
      </c>
      <c r="K18">
        <v>33</v>
      </c>
      <c r="L18">
        <v>33</v>
      </c>
      <c r="M18">
        <v>260</v>
      </c>
    </row>
    <row r="19" spans="2:13" x14ac:dyDescent="0.3">
      <c r="B19" s="11">
        <v>0.33333333333333331</v>
      </c>
      <c r="C19">
        <v>221</v>
      </c>
      <c r="D19">
        <v>5</v>
      </c>
      <c r="E19">
        <v>0</v>
      </c>
      <c r="F19">
        <v>226</v>
      </c>
      <c r="G19">
        <v>226</v>
      </c>
      <c r="H19">
        <v>24</v>
      </c>
      <c r="I19">
        <v>5</v>
      </c>
      <c r="J19">
        <v>0</v>
      </c>
      <c r="K19">
        <v>29</v>
      </c>
      <c r="L19">
        <v>29</v>
      </c>
      <c r="M19">
        <v>255</v>
      </c>
    </row>
    <row r="20" spans="2:13" x14ac:dyDescent="0.3">
      <c r="B20" s="11">
        <v>0.34375</v>
      </c>
      <c r="C20">
        <v>221</v>
      </c>
      <c r="D20">
        <v>4</v>
      </c>
      <c r="E20">
        <v>0</v>
      </c>
      <c r="F20">
        <v>225</v>
      </c>
      <c r="G20">
        <v>225</v>
      </c>
      <c r="H20">
        <v>32</v>
      </c>
      <c r="I20">
        <v>5</v>
      </c>
      <c r="J20">
        <v>0</v>
      </c>
      <c r="K20">
        <v>37</v>
      </c>
      <c r="L20">
        <v>37</v>
      </c>
      <c r="M20">
        <v>262</v>
      </c>
    </row>
    <row r="21" spans="2:13" x14ac:dyDescent="0.3">
      <c r="B21" s="11">
        <v>0.35416666666666669</v>
      </c>
      <c r="C21">
        <v>218</v>
      </c>
      <c r="D21">
        <v>6</v>
      </c>
      <c r="E21">
        <v>0</v>
      </c>
      <c r="F21">
        <v>224</v>
      </c>
      <c r="G21">
        <v>224</v>
      </c>
      <c r="H21">
        <v>35</v>
      </c>
      <c r="I21">
        <v>2</v>
      </c>
      <c r="J21">
        <v>0</v>
      </c>
      <c r="K21">
        <v>37</v>
      </c>
      <c r="L21">
        <v>37</v>
      </c>
      <c r="M21">
        <v>261</v>
      </c>
    </row>
    <row r="22" spans="2:13" x14ac:dyDescent="0.3">
      <c r="B22" s="11">
        <v>0.36458333333333331</v>
      </c>
      <c r="C22">
        <v>215</v>
      </c>
      <c r="D22">
        <v>5</v>
      </c>
      <c r="E22">
        <v>0</v>
      </c>
      <c r="F22">
        <v>220</v>
      </c>
      <c r="G22">
        <v>220</v>
      </c>
      <c r="H22">
        <v>31</v>
      </c>
      <c r="I22">
        <v>4</v>
      </c>
      <c r="J22">
        <v>0</v>
      </c>
      <c r="K22">
        <v>35</v>
      </c>
      <c r="L22">
        <v>35</v>
      </c>
      <c r="M22">
        <v>255</v>
      </c>
    </row>
    <row r="23" spans="2:13" x14ac:dyDescent="0.3">
      <c r="B23" s="10" t="s">
        <v>44</v>
      </c>
      <c r="C23">
        <v>1188</v>
      </c>
      <c r="D23">
        <v>10</v>
      </c>
      <c r="E23">
        <v>2</v>
      </c>
      <c r="F23">
        <v>1200</v>
      </c>
      <c r="G23">
        <v>1200</v>
      </c>
      <c r="H23">
        <v>303</v>
      </c>
      <c r="I23">
        <v>22</v>
      </c>
      <c r="J23">
        <v>0</v>
      </c>
      <c r="K23">
        <v>325</v>
      </c>
      <c r="L23">
        <v>325</v>
      </c>
      <c r="M23">
        <v>1525</v>
      </c>
    </row>
    <row r="24" spans="2:13" x14ac:dyDescent="0.3">
      <c r="B24" s="11">
        <v>0.66666666666666663</v>
      </c>
      <c r="C24">
        <v>133</v>
      </c>
      <c r="D24">
        <v>0</v>
      </c>
      <c r="E24">
        <v>0</v>
      </c>
      <c r="F24">
        <v>133</v>
      </c>
      <c r="G24">
        <v>133</v>
      </c>
      <c r="H24">
        <v>49</v>
      </c>
      <c r="I24">
        <v>4</v>
      </c>
      <c r="J24">
        <v>0</v>
      </c>
      <c r="K24">
        <v>53</v>
      </c>
      <c r="L24">
        <v>53</v>
      </c>
      <c r="M24">
        <v>186</v>
      </c>
    </row>
    <row r="25" spans="2:13" x14ac:dyDescent="0.3">
      <c r="B25" s="11">
        <v>0.67708333333333337</v>
      </c>
      <c r="C25">
        <v>135</v>
      </c>
      <c r="D25">
        <v>1</v>
      </c>
      <c r="E25">
        <v>0</v>
      </c>
      <c r="F25">
        <v>136</v>
      </c>
      <c r="G25">
        <v>136</v>
      </c>
      <c r="H25">
        <v>27</v>
      </c>
      <c r="I25">
        <v>2</v>
      </c>
      <c r="J25">
        <v>0</v>
      </c>
      <c r="K25">
        <v>29</v>
      </c>
      <c r="L25">
        <v>29</v>
      </c>
      <c r="M25">
        <v>165</v>
      </c>
    </row>
    <row r="26" spans="2:13" x14ac:dyDescent="0.3">
      <c r="B26" s="11">
        <v>0.6875</v>
      </c>
      <c r="C26">
        <v>162</v>
      </c>
      <c r="D26">
        <v>2</v>
      </c>
      <c r="E26">
        <v>1</v>
      </c>
      <c r="F26">
        <v>165</v>
      </c>
      <c r="G26">
        <v>165</v>
      </c>
      <c r="H26">
        <v>47</v>
      </c>
      <c r="I26">
        <v>4</v>
      </c>
      <c r="J26">
        <v>0</v>
      </c>
      <c r="K26">
        <v>51</v>
      </c>
      <c r="L26">
        <v>51</v>
      </c>
      <c r="M26">
        <v>216</v>
      </c>
    </row>
    <row r="27" spans="2:13" x14ac:dyDescent="0.3">
      <c r="B27" s="11">
        <v>0.69791666666666663</v>
      </c>
      <c r="C27">
        <v>153</v>
      </c>
      <c r="D27">
        <v>3</v>
      </c>
      <c r="E27">
        <v>1</v>
      </c>
      <c r="F27">
        <v>157</v>
      </c>
      <c r="G27">
        <v>157</v>
      </c>
      <c r="H27">
        <v>42</v>
      </c>
      <c r="I27">
        <v>3</v>
      </c>
      <c r="J27">
        <v>0</v>
      </c>
      <c r="K27">
        <v>45</v>
      </c>
      <c r="L27">
        <v>45</v>
      </c>
      <c r="M27">
        <v>202</v>
      </c>
    </row>
    <row r="28" spans="2:13" x14ac:dyDescent="0.3">
      <c r="B28" s="11">
        <v>0.70833333333333337</v>
      </c>
      <c r="C28">
        <v>185</v>
      </c>
      <c r="D28">
        <v>1</v>
      </c>
      <c r="E28">
        <v>0</v>
      </c>
      <c r="F28">
        <v>186</v>
      </c>
      <c r="G28">
        <v>186</v>
      </c>
      <c r="H28">
        <v>39</v>
      </c>
      <c r="I28">
        <v>3</v>
      </c>
      <c r="J28">
        <v>0</v>
      </c>
      <c r="K28">
        <v>42</v>
      </c>
      <c r="L28">
        <v>42</v>
      </c>
      <c r="M28">
        <v>228</v>
      </c>
    </row>
    <row r="29" spans="2:13" x14ac:dyDescent="0.3">
      <c r="B29" s="11">
        <v>0.71875</v>
      </c>
      <c r="C29">
        <v>136</v>
      </c>
      <c r="D29">
        <v>1</v>
      </c>
      <c r="E29">
        <v>0</v>
      </c>
      <c r="F29">
        <v>137</v>
      </c>
      <c r="G29">
        <v>137</v>
      </c>
      <c r="H29">
        <v>34</v>
      </c>
      <c r="I29">
        <v>2</v>
      </c>
      <c r="J29">
        <v>0</v>
      </c>
      <c r="K29">
        <v>36</v>
      </c>
      <c r="L29">
        <v>36</v>
      </c>
      <c r="M29">
        <v>173</v>
      </c>
    </row>
    <row r="30" spans="2:13" x14ac:dyDescent="0.3">
      <c r="B30" s="11">
        <v>0.72916666666666663</v>
      </c>
      <c r="C30">
        <v>133</v>
      </c>
      <c r="D30">
        <v>1</v>
      </c>
      <c r="E30">
        <v>0</v>
      </c>
      <c r="F30">
        <v>134</v>
      </c>
      <c r="G30">
        <v>134</v>
      </c>
      <c r="H30">
        <v>37</v>
      </c>
      <c r="I30">
        <v>2</v>
      </c>
      <c r="J30">
        <v>0</v>
      </c>
      <c r="K30">
        <v>39</v>
      </c>
      <c r="L30">
        <v>39</v>
      </c>
      <c r="M30">
        <v>173</v>
      </c>
    </row>
    <row r="31" spans="2:13" x14ac:dyDescent="0.3">
      <c r="B31" s="11">
        <v>0.73958333333333337</v>
      </c>
      <c r="C31">
        <v>151</v>
      </c>
      <c r="D31">
        <v>1</v>
      </c>
      <c r="E31">
        <v>0</v>
      </c>
      <c r="F31">
        <v>152</v>
      </c>
      <c r="G31">
        <v>152</v>
      </c>
      <c r="H31">
        <v>28</v>
      </c>
      <c r="I31">
        <v>2</v>
      </c>
      <c r="J31">
        <v>0</v>
      </c>
      <c r="K31">
        <v>30</v>
      </c>
      <c r="L31">
        <v>30</v>
      </c>
      <c r="M31">
        <v>182</v>
      </c>
    </row>
    <row r="32" spans="2:13" x14ac:dyDescent="0.3">
      <c r="B32" s="10" t="s">
        <v>90</v>
      </c>
      <c r="C32">
        <v>521</v>
      </c>
      <c r="D32">
        <v>10</v>
      </c>
      <c r="E32">
        <v>1</v>
      </c>
      <c r="F32">
        <v>532</v>
      </c>
      <c r="G32">
        <v>532</v>
      </c>
      <c r="H32">
        <v>104</v>
      </c>
      <c r="I32">
        <v>8</v>
      </c>
      <c r="J32">
        <v>0</v>
      </c>
      <c r="K32">
        <v>112</v>
      </c>
      <c r="L32">
        <v>112</v>
      </c>
      <c r="M32">
        <v>644</v>
      </c>
    </row>
    <row r="33" spans="2:13" x14ac:dyDescent="0.3">
      <c r="B33" s="11">
        <v>0.54166666666666663</v>
      </c>
      <c r="C33">
        <v>139</v>
      </c>
      <c r="D33">
        <v>3</v>
      </c>
      <c r="E33">
        <v>0</v>
      </c>
      <c r="F33">
        <v>142</v>
      </c>
      <c r="G33">
        <v>142</v>
      </c>
      <c r="H33">
        <v>31</v>
      </c>
      <c r="I33">
        <v>3</v>
      </c>
      <c r="J33">
        <v>0</v>
      </c>
      <c r="K33">
        <v>34</v>
      </c>
      <c r="L33">
        <v>34</v>
      </c>
      <c r="M33">
        <v>176</v>
      </c>
    </row>
    <row r="34" spans="2:13" x14ac:dyDescent="0.3">
      <c r="B34" s="11">
        <v>0.55208333333333337</v>
      </c>
      <c r="C34">
        <v>130</v>
      </c>
      <c r="D34">
        <v>2</v>
      </c>
      <c r="E34">
        <v>0</v>
      </c>
      <c r="F34">
        <v>132</v>
      </c>
      <c r="G34">
        <v>132</v>
      </c>
      <c r="H34">
        <v>23</v>
      </c>
      <c r="I34">
        <v>2</v>
      </c>
      <c r="J34">
        <v>0</v>
      </c>
      <c r="K34">
        <v>25</v>
      </c>
      <c r="L34">
        <v>25</v>
      </c>
      <c r="M34">
        <v>157</v>
      </c>
    </row>
    <row r="35" spans="2:13" x14ac:dyDescent="0.3">
      <c r="B35" s="11">
        <v>0.5625</v>
      </c>
      <c r="C35">
        <v>130</v>
      </c>
      <c r="D35">
        <v>2</v>
      </c>
      <c r="E35">
        <v>1</v>
      </c>
      <c r="F35">
        <v>133</v>
      </c>
      <c r="G35">
        <v>133</v>
      </c>
      <c r="H35">
        <v>28</v>
      </c>
      <c r="I35">
        <v>1</v>
      </c>
      <c r="J35">
        <v>0</v>
      </c>
      <c r="K35">
        <v>29</v>
      </c>
      <c r="L35">
        <v>29</v>
      </c>
      <c r="M35">
        <v>162</v>
      </c>
    </row>
    <row r="36" spans="2:13" x14ac:dyDescent="0.3">
      <c r="B36" s="11">
        <v>0.57291666666666663</v>
      </c>
      <c r="C36">
        <v>122</v>
      </c>
      <c r="D36">
        <v>3</v>
      </c>
      <c r="E36">
        <v>0</v>
      </c>
      <c r="F36">
        <v>125</v>
      </c>
      <c r="G36">
        <v>125</v>
      </c>
      <c r="H36">
        <v>22</v>
      </c>
      <c r="I36">
        <v>2</v>
      </c>
      <c r="J36">
        <v>0</v>
      </c>
      <c r="K36">
        <v>24</v>
      </c>
      <c r="L36">
        <v>24</v>
      </c>
      <c r="M36">
        <v>149</v>
      </c>
    </row>
  </sheetData>
  <mergeCells count="9">
    <mergeCell ref="L11:L13"/>
    <mergeCell ref="M11:M13"/>
    <mergeCell ref="C12:E12"/>
    <mergeCell ref="F12:F13"/>
    <mergeCell ref="H12:J12"/>
    <mergeCell ref="K12:K13"/>
    <mergeCell ref="C11:F11"/>
    <mergeCell ref="G11:G13"/>
    <mergeCell ref="H11:K11"/>
  </mergeCells>
  <conditionalFormatting pivot="1" sqref="C14:M36">
    <cfRule type="expression" dxfId="2" priority="2">
      <formula>C$12&lt;&gt;""</formula>
    </cfRule>
  </conditionalFormatting>
  <conditionalFormatting pivot="1" sqref="C14:M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1038</v>
      </c>
      <c r="I5">
        <f>MAX(I11:I303)</f>
        <v>644</v>
      </c>
      <c r="J5">
        <f>MAX(J11:J303)</f>
        <v>819</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1038 vehicles between 07:45 and 08:45</v>
      </c>
      <c r="I8" s="6" t="str">
        <f>IF(I5=0,"","The peak hour for " &amp;I10&amp;" is "&amp;I5&amp;" vehicles between " &amp; TEXT(I6, "hh:mm")&amp; " and " &amp;TEXT(I7,"hh:mm"))</f>
        <v>The peak hour for INT is 644 vehicles between 13:00 and 14:00</v>
      </c>
      <c r="J8" s="6" t="str">
        <f>IF(J5=0,"","The peak hour for " &amp;J10&amp;" is "&amp;J5&amp;" vehicles between " &amp; TEXT(J6, "hh:mm")&amp; " and " &amp;TEXT(J7,"hh:mm"))</f>
        <v>The peak hour for PM is 819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131</v>
      </c>
      <c r="G11" s="7">
        <f>A11</f>
        <v>0.29166666666666669</v>
      </c>
      <c r="H11">
        <f>IF(B11&lt;&gt;0,SUMIF($G$11:$G11,"&gt;"&amp;$G11-1/24,B$11:B11),0)</f>
        <v>131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131</v>
      </c>
      <c r="Q11">
        <f>P11*L11</f>
        <v>0</v>
      </c>
      <c r="S11" s="9">
        <v>0.29166666666666669</v>
      </c>
      <c r="T11">
        <v>131</v>
      </c>
      <c r="U11">
        <v>0</v>
      </c>
    </row>
    <row r="12" spans="1:21" x14ac:dyDescent="0.3">
      <c r="A12" s="9">
        <v>0.30208333333333331</v>
      </c>
      <c r="B12">
        <v>186</v>
      </c>
      <c r="G12" s="7">
        <f t="shared" ref="G12:G26" si="3">A12</f>
        <v>0.30208333333333331</v>
      </c>
      <c r="H12">
        <f>IF(B12&lt;&gt;0,SUMIF($G$11:$G12,"&gt;"&amp;$G12-1/24,B$11:B12),0)</f>
        <v>317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186</v>
      </c>
      <c r="Q12">
        <f t="shared" ref="Q12:Q75" si="7">P12*L12</f>
        <v>0</v>
      </c>
      <c r="S12" s="9">
        <v>0.30208333333333331</v>
      </c>
      <c r="T12">
        <v>186</v>
      </c>
      <c r="U12">
        <v>0</v>
      </c>
    </row>
    <row r="13" spans="1:21" x14ac:dyDescent="0.3">
      <c r="A13" s="9">
        <v>0.3125</v>
      </c>
      <c r="B13">
        <v>221</v>
      </c>
      <c r="G13" s="7">
        <f t="shared" si="3"/>
        <v>0.3125</v>
      </c>
      <c r="H13">
        <f>IF(B13&lt;&gt;0,SUMIF($G$11:$G13,"&gt;"&amp;$G13-1/24,B$11:B13),0)</f>
        <v>538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221</v>
      </c>
      <c r="Q13">
        <f t="shared" si="7"/>
        <v>0</v>
      </c>
      <c r="S13" s="9">
        <v>0.3125</v>
      </c>
      <c r="T13">
        <v>221</v>
      </c>
      <c r="U13">
        <v>0</v>
      </c>
    </row>
    <row r="14" spans="1:21" x14ac:dyDescent="0.3">
      <c r="A14" s="9">
        <v>0.32291666666666669</v>
      </c>
      <c r="B14">
        <v>260</v>
      </c>
      <c r="G14" s="7">
        <f t="shared" si="3"/>
        <v>0.32291666666666669</v>
      </c>
      <c r="H14">
        <f>IF(B14&lt;&gt;0,SUMIF($G$11:$G14,"&gt;"&amp;$G14-1/24,B$11:B14),0)</f>
        <v>798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260</v>
      </c>
      <c r="Q14">
        <f t="shared" si="7"/>
        <v>260</v>
      </c>
      <c r="S14" s="9">
        <v>0.32291666666666669</v>
      </c>
      <c r="T14">
        <v>260</v>
      </c>
      <c r="U14">
        <v>260</v>
      </c>
    </row>
    <row r="15" spans="1:21" x14ac:dyDescent="0.3">
      <c r="A15" s="9">
        <v>0.33333333333333331</v>
      </c>
      <c r="B15">
        <v>255</v>
      </c>
      <c r="G15" s="7">
        <f t="shared" si="3"/>
        <v>0.33333333333333331</v>
      </c>
      <c r="H15">
        <f>IF(B15&lt;&gt;0,SUMIF($G$11:$G15,"&gt;"&amp;$G15-1/24,B$11:B15),0)</f>
        <v>922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255</v>
      </c>
      <c r="Q15">
        <f t="shared" si="7"/>
        <v>255</v>
      </c>
      <c r="S15" s="9">
        <v>0.33333333333333331</v>
      </c>
      <c r="T15">
        <v>255</v>
      </c>
      <c r="U15">
        <v>255</v>
      </c>
    </row>
    <row r="16" spans="1:21" x14ac:dyDescent="0.3">
      <c r="A16" s="9">
        <v>0.34375</v>
      </c>
      <c r="B16">
        <v>262</v>
      </c>
      <c r="G16" s="7">
        <f t="shared" si="3"/>
        <v>0.34375</v>
      </c>
      <c r="H16">
        <f>IF(B16&lt;&gt;0,SUMIF($G$11:$G16,"&gt;"&amp;$G16-1/24,B$11:B16),0)</f>
        <v>998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262</v>
      </c>
      <c r="Q16">
        <f t="shared" si="7"/>
        <v>262</v>
      </c>
      <c r="S16" s="9">
        <v>0.34375</v>
      </c>
      <c r="T16">
        <v>262</v>
      </c>
      <c r="U16">
        <v>262</v>
      </c>
    </row>
    <row r="17" spans="1:21" x14ac:dyDescent="0.3">
      <c r="A17" s="9">
        <v>0.35416666666666669</v>
      </c>
      <c r="B17">
        <v>261</v>
      </c>
      <c r="G17" s="7">
        <f t="shared" si="3"/>
        <v>0.35416666666666669</v>
      </c>
      <c r="H17">
        <f>IF(B17&lt;&gt;0,SUMIF($G$11:$G17,"&gt;"&amp;$G17-1/24,B$11:B17),0)</f>
        <v>1038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261</v>
      </c>
      <c r="Q17">
        <f t="shared" si="7"/>
        <v>261</v>
      </c>
      <c r="S17" s="9">
        <v>0.35416666666666669</v>
      </c>
      <c r="T17">
        <v>261</v>
      </c>
      <c r="U17">
        <v>261</v>
      </c>
    </row>
    <row r="18" spans="1:21" x14ac:dyDescent="0.3">
      <c r="A18" s="9">
        <v>0.36458333333333331</v>
      </c>
      <c r="B18">
        <v>255</v>
      </c>
      <c r="G18" s="7">
        <f t="shared" si="3"/>
        <v>0.36458333333333331</v>
      </c>
      <c r="H18">
        <f>IF(B18&lt;&gt;0,SUMIF($G$11:$G18,"&gt;"&amp;$G18-1/24,B$11:B18),0)</f>
        <v>1033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255</v>
      </c>
      <c r="Q18">
        <f t="shared" si="7"/>
        <v>0</v>
      </c>
      <c r="S18" s="9">
        <v>0.36458333333333331</v>
      </c>
      <c r="T18">
        <v>255</v>
      </c>
      <c r="U18">
        <v>0</v>
      </c>
    </row>
    <row r="19" spans="1:21" x14ac:dyDescent="0.3">
      <c r="A19" s="9">
        <v>0.54166666666666663</v>
      </c>
      <c r="C19">
        <v>176</v>
      </c>
      <c r="G19" s="7">
        <f t="shared" si="3"/>
        <v>0.54166666666666663</v>
      </c>
      <c r="H19">
        <f>IF(B19&lt;&gt;0,SUMIF($G$11:$G19,"&gt;"&amp;$G19-1/24,B$11:B19),0)</f>
        <v>0</v>
      </c>
      <c r="I19">
        <f>IF(C19&lt;&gt;0,SUMIF($G$11:$G19,"&gt;"&amp;$G19-1/24,C$11:C19),0)</f>
        <v>176</v>
      </c>
      <c r="J19">
        <f>IF(D19&lt;&gt;0,SUMIF($G$11:$G19,"&gt;"&amp;$G19-1/24,D$11:D19),0)</f>
        <v>0</v>
      </c>
      <c r="K19">
        <f>IF(E19&lt;&gt;0,SUMIF($G$11:$G19,"&gt;"&amp;$G19-1/24,E$11:E19),0)</f>
        <v>0</v>
      </c>
      <c r="L19">
        <f t="shared" si="4"/>
        <v>1</v>
      </c>
      <c r="N19" t="str">
        <f t="shared" si="5"/>
        <v>INT</v>
      </c>
      <c r="O19" s="7">
        <f t="shared" si="2"/>
        <v>0.54166666666666663</v>
      </c>
      <c r="P19">
        <f t="shared" si="6"/>
        <v>176</v>
      </c>
      <c r="Q19">
        <f t="shared" si="7"/>
        <v>176</v>
      </c>
      <c r="S19" s="9" t="s">
        <v>49</v>
      </c>
      <c r="T19">
        <v>1831</v>
      </c>
      <c r="U19">
        <v>1038</v>
      </c>
    </row>
    <row r="20" spans="1:21" x14ac:dyDescent="0.3">
      <c r="A20" s="9">
        <v>0.55208333333333337</v>
      </c>
      <c r="C20">
        <v>157</v>
      </c>
      <c r="G20" s="7">
        <f t="shared" si="3"/>
        <v>0.55208333333333337</v>
      </c>
      <c r="H20">
        <f>IF(B20&lt;&gt;0,SUMIF($G$11:$G20,"&gt;"&amp;$G20-1/24,B$11:B20),0)</f>
        <v>0</v>
      </c>
      <c r="I20">
        <f>IF(C20&lt;&gt;0,SUMIF($G$11:$G20,"&gt;"&amp;$G20-1/24,C$11:C20),0)</f>
        <v>333</v>
      </c>
      <c r="J20">
        <f>IF(D20&lt;&gt;0,SUMIF($G$11:$G20,"&gt;"&amp;$G20-1/24,D$11:D20),0)</f>
        <v>0</v>
      </c>
      <c r="K20">
        <f>IF(E20&lt;&gt;0,SUMIF($G$11:$G20,"&gt;"&amp;$G20-1/24,E$11:E20),0)</f>
        <v>0</v>
      </c>
      <c r="L20">
        <f t="shared" si="4"/>
        <v>1</v>
      </c>
      <c r="N20" t="str">
        <f t="shared" si="5"/>
        <v>INT</v>
      </c>
      <c r="O20" s="7">
        <f t="shared" si="2"/>
        <v>0.55208333333333337</v>
      </c>
      <c r="P20">
        <f t="shared" si="6"/>
        <v>157</v>
      </c>
      <c r="Q20">
        <f t="shared" si="7"/>
        <v>157</v>
      </c>
    </row>
    <row r="21" spans="1:21" x14ac:dyDescent="0.3">
      <c r="A21" s="9">
        <v>0.5625</v>
      </c>
      <c r="C21">
        <v>162</v>
      </c>
      <c r="G21" s="7">
        <f t="shared" si="3"/>
        <v>0.5625</v>
      </c>
      <c r="H21">
        <f>IF(B21&lt;&gt;0,SUMIF($G$11:$G21,"&gt;"&amp;$G21-1/24,B$11:B21),0)</f>
        <v>0</v>
      </c>
      <c r="I21">
        <f>IF(C21&lt;&gt;0,SUMIF($G$11:$G21,"&gt;"&amp;$G21-1/24,C$11:C21),0)</f>
        <v>495</v>
      </c>
      <c r="J21">
        <f>IF(D21&lt;&gt;0,SUMIF($G$11:$G21,"&gt;"&amp;$G21-1/24,D$11:D21),0)</f>
        <v>0</v>
      </c>
      <c r="K21">
        <f>IF(E21&lt;&gt;0,SUMIF($G$11:$G21,"&gt;"&amp;$G21-1/24,E$11:E21),0)</f>
        <v>0</v>
      </c>
      <c r="L21">
        <f t="shared" si="4"/>
        <v>1</v>
      </c>
      <c r="N21" t="str">
        <f t="shared" si="5"/>
        <v>INT</v>
      </c>
      <c r="O21" s="7">
        <f t="shared" si="2"/>
        <v>0.5625</v>
      </c>
      <c r="P21">
        <f t="shared" si="6"/>
        <v>162</v>
      </c>
      <c r="Q21">
        <f t="shared" si="7"/>
        <v>162</v>
      </c>
    </row>
    <row r="22" spans="1:21" x14ac:dyDescent="0.3">
      <c r="A22" s="9">
        <v>0.57291666666666663</v>
      </c>
      <c r="C22">
        <v>149</v>
      </c>
      <c r="G22" s="7">
        <f t="shared" si="3"/>
        <v>0.57291666666666663</v>
      </c>
      <c r="H22">
        <f>IF(B22&lt;&gt;0,SUMIF($G$11:$G22,"&gt;"&amp;$G22-1/24,B$11:B22),0)</f>
        <v>0</v>
      </c>
      <c r="I22">
        <f>IF(C22&lt;&gt;0,SUMIF($G$11:$G22,"&gt;"&amp;$G22-1/24,C$11:C22),0)</f>
        <v>644</v>
      </c>
      <c r="J22">
        <f>IF(D22&lt;&gt;0,SUMIF($G$11:$G22,"&gt;"&amp;$G22-1/24,D$11:D22),0)</f>
        <v>0</v>
      </c>
      <c r="K22">
        <f>IF(E22&lt;&gt;0,SUMIF($G$11:$G22,"&gt;"&amp;$G22-1/24,E$11:E22),0)</f>
        <v>0</v>
      </c>
      <c r="L22">
        <f t="shared" si="4"/>
        <v>1</v>
      </c>
      <c r="N22" t="str">
        <f t="shared" si="5"/>
        <v>INT</v>
      </c>
      <c r="O22" s="7">
        <f t="shared" si="2"/>
        <v>0.57291666666666663</v>
      </c>
      <c r="P22">
        <f t="shared" si="6"/>
        <v>149</v>
      </c>
      <c r="Q22">
        <f t="shared" si="7"/>
        <v>149</v>
      </c>
    </row>
    <row r="23" spans="1:21" x14ac:dyDescent="0.3">
      <c r="A23" s="9">
        <v>0.66666666666666663</v>
      </c>
      <c r="D23">
        <v>186</v>
      </c>
      <c r="G23" s="7">
        <f t="shared" si="3"/>
        <v>0.66666666666666663</v>
      </c>
      <c r="H23">
        <f>IF(B23&lt;&gt;0,SUMIF($G$11:$G23,"&gt;"&amp;$G23-1/24,B$11:B23),0)</f>
        <v>0</v>
      </c>
      <c r="I23">
        <f>IF(C23&lt;&gt;0,SUMIF($G$11:$G23,"&gt;"&amp;$G23-1/24,C$11:C23),0)</f>
        <v>0</v>
      </c>
      <c r="J23">
        <f>IF(D23&lt;&gt;0,SUMIF($G$11:$G23,"&gt;"&amp;$G23-1/24,D$11:D23),0)</f>
        <v>186</v>
      </c>
      <c r="K23">
        <f>IF(E23&lt;&gt;0,SUMIF($G$11:$G23,"&gt;"&amp;$G23-1/24,E$11:E23),0)</f>
        <v>0</v>
      </c>
      <c r="L23">
        <f t="shared" si="4"/>
        <v>0</v>
      </c>
      <c r="N23" t="str">
        <f t="shared" si="5"/>
        <v>PM</v>
      </c>
      <c r="O23" s="7">
        <f t="shared" si="2"/>
        <v>0.66666666666666663</v>
      </c>
      <c r="P23">
        <f t="shared" si="6"/>
        <v>186</v>
      </c>
      <c r="Q23">
        <f t="shared" si="7"/>
        <v>0</v>
      </c>
    </row>
    <row r="24" spans="1:21" x14ac:dyDescent="0.3">
      <c r="A24" s="9">
        <v>0.67708333333333337</v>
      </c>
      <c r="D24">
        <v>165</v>
      </c>
      <c r="G24" s="7">
        <f t="shared" si="3"/>
        <v>0.67708333333333337</v>
      </c>
      <c r="H24">
        <f>IF(B24&lt;&gt;0,SUMIF($G$11:$G24,"&gt;"&amp;$G24-1/24,B$11:B24),0)</f>
        <v>0</v>
      </c>
      <c r="I24">
        <f>IF(C24&lt;&gt;0,SUMIF($G$11:$G24,"&gt;"&amp;$G24-1/24,C$11:C24),0)</f>
        <v>0</v>
      </c>
      <c r="J24">
        <f>IF(D24&lt;&gt;0,SUMIF($G$11:$G24,"&gt;"&amp;$G24-1/24,D$11:D24),0)</f>
        <v>351</v>
      </c>
      <c r="K24">
        <f>IF(E24&lt;&gt;0,SUMIF($G$11:$G24,"&gt;"&amp;$G24-1/24,E$11:E24),0)</f>
        <v>0</v>
      </c>
      <c r="L24">
        <f t="shared" si="4"/>
        <v>0</v>
      </c>
      <c r="N24" t="str">
        <f t="shared" si="5"/>
        <v>PM</v>
      </c>
      <c r="O24" s="7">
        <f t="shared" si="2"/>
        <v>0.67708333333333337</v>
      </c>
      <c r="P24">
        <f t="shared" si="6"/>
        <v>165</v>
      </c>
      <c r="Q24">
        <f t="shared" si="7"/>
        <v>0</v>
      </c>
    </row>
    <row r="25" spans="1:21" x14ac:dyDescent="0.3">
      <c r="A25" s="9">
        <v>0.6875</v>
      </c>
      <c r="D25">
        <v>216</v>
      </c>
      <c r="G25" s="7">
        <f t="shared" si="3"/>
        <v>0.6875</v>
      </c>
      <c r="H25">
        <f>IF(B25&lt;&gt;0,SUMIF($G$11:$G25,"&gt;"&amp;$G25-1/24,B$11:B25),0)</f>
        <v>0</v>
      </c>
      <c r="I25">
        <f>IF(C25&lt;&gt;0,SUMIF($G$11:$G25,"&gt;"&amp;$G25-1/24,C$11:C25),0)</f>
        <v>0</v>
      </c>
      <c r="J25">
        <f>IF(D25&lt;&gt;0,SUMIF($G$11:$G25,"&gt;"&amp;$G25-1/24,D$11:D25),0)</f>
        <v>567</v>
      </c>
      <c r="K25">
        <f>IF(E25&lt;&gt;0,SUMIF($G$11:$G25,"&gt;"&amp;$G25-1/24,E$11:E25),0)</f>
        <v>0</v>
      </c>
      <c r="L25">
        <f t="shared" si="4"/>
        <v>1</v>
      </c>
      <c r="N25" t="str">
        <f t="shared" si="5"/>
        <v>PM</v>
      </c>
      <c r="O25" s="7">
        <f t="shared" si="2"/>
        <v>0.6875</v>
      </c>
      <c r="P25">
        <f t="shared" si="6"/>
        <v>216</v>
      </c>
      <c r="Q25">
        <f t="shared" si="7"/>
        <v>216</v>
      </c>
    </row>
    <row r="26" spans="1:21" x14ac:dyDescent="0.3">
      <c r="A26" s="9">
        <v>0.69791666666666663</v>
      </c>
      <c r="D26">
        <v>202</v>
      </c>
      <c r="G26" s="7">
        <f t="shared" si="3"/>
        <v>0.69791666666666663</v>
      </c>
      <c r="H26">
        <f>IF(B26&lt;&gt;0,SUMIF($G$11:$G26,"&gt;"&amp;$G26-1/24,B$11:B26),0)</f>
        <v>0</v>
      </c>
      <c r="I26">
        <f>IF(C26&lt;&gt;0,SUMIF($G$11:$G26,"&gt;"&amp;$G26-1/24,C$11:C26),0)</f>
        <v>0</v>
      </c>
      <c r="J26">
        <f>IF(D26&lt;&gt;0,SUMIF($G$11:$G26,"&gt;"&amp;$G26-1/24,D$11:D26),0)</f>
        <v>769</v>
      </c>
      <c r="K26">
        <f>IF(E26&lt;&gt;0,SUMIF($G$11:$G26,"&gt;"&amp;$G26-1/24,E$11:E26),0)</f>
        <v>0</v>
      </c>
      <c r="L26">
        <f t="shared" si="4"/>
        <v>1</v>
      </c>
      <c r="N26" t="str">
        <f t="shared" si="5"/>
        <v>PM</v>
      </c>
      <c r="O26" s="7">
        <f t="shared" si="2"/>
        <v>0.69791666666666663</v>
      </c>
      <c r="P26">
        <f t="shared" si="6"/>
        <v>202</v>
      </c>
      <c r="Q26">
        <f t="shared" si="7"/>
        <v>202</v>
      </c>
    </row>
    <row r="27" spans="1:21" x14ac:dyDescent="0.3">
      <c r="A27" s="9">
        <v>0.70833333333333337</v>
      </c>
      <c r="D27">
        <v>228</v>
      </c>
      <c r="G27" s="7">
        <f t="shared" ref="G27:G90" si="8">A27</f>
        <v>0.70833333333333337</v>
      </c>
      <c r="H27">
        <f>IF(B27&lt;&gt;0,SUMIF($G$11:$G27,"&gt;"&amp;$G27-1/24,B$11:B27),0)</f>
        <v>0</v>
      </c>
      <c r="I27">
        <f>IF(C27&lt;&gt;0,SUMIF($G$11:$G27,"&gt;"&amp;$G27-1/24,C$11:C27),0)</f>
        <v>0</v>
      </c>
      <c r="J27">
        <f>IF(D27&lt;&gt;0,SUMIF($G$11:$G27,"&gt;"&amp;$G27-1/24,D$11:D27),0)</f>
        <v>811</v>
      </c>
      <c r="K27">
        <f>IF(E27&lt;&gt;0,SUMIF($G$11:$G27,"&gt;"&amp;$G27-1/24,E$11:E27),0)</f>
        <v>0</v>
      </c>
      <c r="L27">
        <f t="shared" si="4"/>
        <v>1</v>
      </c>
      <c r="N27" t="str">
        <f t="shared" si="5"/>
        <v>PM</v>
      </c>
      <c r="O27" s="7">
        <f t="shared" si="2"/>
        <v>0.70833333333333337</v>
      </c>
      <c r="P27">
        <f t="shared" si="6"/>
        <v>228</v>
      </c>
      <c r="Q27">
        <f t="shared" si="7"/>
        <v>228</v>
      </c>
    </row>
    <row r="28" spans="1:21" x14ac:dyDescent="0.3">
      <c r="A28" s="9">
        <v>0.71875</v>
      </c>
      <c r="D28">
        <v>173</v>
      </c>
      <c r="G28" s="7">
        <f t="shared" si="8"/>
        <v>0.71875</v>
      </c>
      <c r="H28">
        <f>IF(B28&lt;&gt;0,SUMIF($G$11:$G28,"&gt;"&amp;$G28-1/24,B$11:B28),0)</f>
        <v>0</v>
      </c>
      <c r="I28">
        <f>IF(C28&lt;&gt;0,SUMIF($G$11:$G28,"&gt;"&amp;$G28-1/24,C$11:C28),0)</f>
        <v>0</v>
      </c>
      <c r="J28">
        <f>IF(D28&lt;&gt;0,SUMIF($G$11:$G28,"&gt;"&amp;$G28-1/24,D$11:D28),0)</f>
        <v>819</v>
      </c>
      <c r="K28">
        <f>IF(E28&lt;&gt;0,SUMIF($G$11:$G28,"&gt;"&amp;$G28-1/24,E$11:E28),0)</f>
        <v>0</v>
      </c>
      <c r="L28">
        <f t="shared" si="4"/>
        <v>1</v>
      </c>
      <c r="N28" t="str">
        <f t="shared" si="5"/>
        <v>PM</v>
      </c>
      <c r="O28" s="7">
        <f t="shared" si="2"/>
        <v>0.71875</v>
      </c>
      <c r="P28">
        <f t="shared" si="6"/>
        <v>173</v>
      </c>
      <c r="Q28">
        <f t="shared" si="7"/>
        <v>173</v>
      </c>
    </row>
    <row r="29" spans="1:21" x14ac:dyDescent="0.3">
      <c r="A29" s="9">
        <v>0.72916666666666663</v>
      </c>
      <c r="D29">
        <v>173</v>
      </c>
      <c r="G29" s="7">
        <f t="shared" si="8"/>
        <v>0.72916666666666663</v>
      </c>
      <c r="H29">
        <f>IF(B29&lt;&gt;0,SUMIF($G$11:$G29,"&gt;"&amp;$G29-1/24,B$11:B29),0)</f>
        <v>0</v>
      </c>
      <c r="I29">
        <f>IF(C29&lt;&gt;0,SUMIF($G$11:$G29,"&gt;"&amp;$G29-1/24,C$11:C29),0)</f>
        <v>0</v>
      </c>
      <c r="J29">
        <f>IF(D29&lt;&gt;0,SUMIF($G$11:$G29,"&gt;"&amp;$G29-1/24,D$11:D29),0)</f>
        <v>776</v>
      </c>
      <c r="K29">
        <f>IF(E29&lt;&gt;0,SUMIF($G$11:$G29,"&gt;"&amp;$G29-1/24,E$11:E29),0)</f>
        <v>0</v>
      </c>
      <c r="L29">
        <f t="shared" si="4"/>
        <v>0</v>
      </c>
      <c r="N29" t="str">
        <f t="shared" si="5"/>
        <v>PM</v>
      </c>
      <c r="O29" s="7">
        <f t="shared" si="2"/>
        <v>0.72916666666666663</v>
      </c>
      <c r="P29">
        <f t="shared" si="6"/>
        <v>173</v>
      </c>
      <c r="Q29">
        <f t="shared" si="7"/>
        <v>0</v>
      </c>
    </row>
    <row r="30" spans="1:21" x14ac:dyDescent="0.3">
      <c r="A30" s="9">
        <v>0.73958333333333337</v>
      </c>
      <c r="D30">
        <v>182</v>
      </c>
      <c r="G30" s="7">
        <f t="shared" si="8"/>
        <v>0.73958333333333337</v>
      </c>
      <c r="H30">
        <f>IF(B30&lt;&gt;0,SUMIF($G$11:$G30,"&gt;"&amp;$G30-1/24,B$11:B30),0)</f>
        <v>0</v>
      </c>
      <c r="I30">
        <f>IF(C30&lt;&gt;0,SUMIF($G$11:$G30,"&gt;"&amp;$G30-1/24,C$11:C30),0)</f>
        <v>0</v>
      </c>
      <c r="J30">
        <f>IF(D30&lt;&gt;0,SUMIF($G$11:$G30,"&gt;"&amp;$G30-1/24,D$11:D30),0)</f>
        <v>756</v>
      </c>
      <c r="K30">
        <f>IF(E30&lt;&gt;0,SUMIF($G$11:$G30,"&gt;"&amp;$G30-1/24,E$11:E30),0)</f>
        <v>0</v>
      </c>
      <c r="L30">
        <f t="shared" si="4"/>
        <v>0</v>
      </c>
      <c r="N30" t="str">
        <f t="shared" si="5"/>
        <v>PM</v>
      </c>
      <c r="O30" s="7">
        <f t="shared" si="2"/>
        <v>0.73958333333333337</v>
      </c>
      <c r="P30">
        <f t="shared" si="6"/>
        <v>182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131</v>
      </c>
      <c r="E5" t="str">
        <f>"Vehicle Count by Exit Leg for "&amp;C2&amp;" Period"</f>
        <v>Vehicle Count by Exit Leg for AM Period</v>
      </c>
    </row>
    <row r="6" spans="2:5" x14ac:dyDescent="0.3">
      <c r="B6" s="9">
        <v>0.30208333333333331</v>
      </c>
      <c r="C6">
        <v>186</v>
      </c>
    </row>
    <row r="7" spans="2:5" x14ac:dyDescent="0.3">
      <c r="B7" s="9">
        <v>0.3125</v>
      </c>
      <c r="C7">
        <v>221</v>
      </c>
    </row>
    <row r="8" spans="2:5" x14ac:dyDescent="0.3">
      <c r="B8" s="9">
        <v>0.32291666666666669</v>
      </c>
      <c r="C8">
        <v>260</v>
      </c>
    </row>
    <row r="9" spans="2:5" x14ac:dyDescent="0.3">
      <c r="B9" s="9">
        <v>0.33333333333333331</v>
      </c>
      <c r="C9">
        <v>255</v>
      </c>
    </row>
    <row r="10" spans="2:5" x14ac:dyDescent="0.3">
      <c r="B10" s="9">
        <v>0.34375</v>
      </c>
      <c r="C10">
        <v>262</v>
      </c>
    </row>
    <row r="11" spans="2:5" x14ac:dyDescent="0.3">
      <c r="B11" s="9">
        <v>0.35416666666666669</v>
      </c>
      <c r="C11">
        <v>261</v>
      </c>
    </row>
    <row r="12" spans="2:5" x14ac:dyDescent="0.3">
      <c r="B12" s="9">
        <v>0.36458333333333331</v>
      </c>
      <c r="C12">
        <v>255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77734375" bestFit="1" customWidth="1"/>
    <col min="12" max="12" width="17.88671875" bestFit="1" customWidth="1"/>
    <col min="13" max="13" width="21.5546875" customWidth="1"/>
    <col min="14" max="14" width="8.33203125" customWidth="1"/>
    <col min="15" max="15" width="5.5546875" customWidth="1"/>
    <col min="16" max="18" width="3.33203125" customWidth="1"/>
    <col min="19" max="19" width="10.77734375" bestFit="1" customWidth="1"/>
    <col min="20" max="20" width="18.6640625" bestFit="1" customWidth="1"/>
    <col min="21" max="22" width="21.5546875"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92</v>
      </c>
      <c r="T25" s="16" t="s">
        <v>96</v>
      </c>
      <c r="X25" s="13"/>
    </row>
    <row r="26" spans="2:24" x14ac:dyDescent="0.3">
      <c r="B26" s="9">
        <v>0.29166666666666669</v>
      </c>
      <c r="C26" s="16">
        <v>131</v>
      </c>
      <c r="J26" s="9">
        <v>0.29166666666666669</v>
      </c>
      <c r="K26" s="16">
        <v>9</v>
      </c>
      <c r="L26" s="16">
        <v>122</v>
      </c>
      <c r="S26" s="9">
        <v>0.29166666666666669</v>
      </c>
      <c r="T26" s="16">
        <v>131</v>
      </c>
    </row>
    <row r="27" spans="2:24" x14ac:dyDescent="0.3">
      <c r="B27" s="9">
        <v>0.30208333333333331</v>
      </c>
      <c r="C27" s="16">
        <v>186</v>
      </c>
      <c r="J27" s="9">
        <v>0.30208333333333331</v>
      </c>
      <c r="K27" s="16">
        <v>20</v>
      </c>
      <c r="L27" s="16">
        <v>166</v>
      </c>
      <c r="S27" s="9">
        <v>0.30208333333333331</v>
      </c>
      <c r="T27" s="16">
        <v>186</v>
      </c>
    </row>
    <row r="28" spans="2:24" x14ac:dyDescent="0.3">
      <c r="B28" s="9">
        <v>0.3125</v>
      </c>
      <c r="C28" s="16">
        <v>221</v>
      </c>
      <c r="J28" s="9">
        <v>0.3125</v>
      </c>
      <c r="K28" s="16">
        <v>19</v>
      </c>
      <c r="L28" s="16">
        <v>202</v>
      </c>
      <c r="S28" s="9">
        <v>0.3125</v>
      </c>
      <c r="T28" s="16">
        <v>221</v>
      </c>
    </row>
    <row r="29" spans="2:24" x14ac:dyDescent="0.3">
      <c r="B29" s="9">
        <v>0.32291666666666669</v>
      </c>
      <c r="C29" s="16">
        <v>260</v>
      </c>
      <c r="J29" s="9">
        <v>0.32291666666666669</v>
      </c>
      <c r="K29" s="16">
        <v>33</v>
      </c>
      <c r="L29" s="16">
        <v>227</v>
      </c>
      <c r="S29" s="9">
        <v>0.32291666666666669</v>
      </c>
      <c r="T29" s="16">
        <v>260</v>
      </c>
    </row>
    <row r="30" spans="2:24" x14ac:dyDescent="0.3">
      <c r="B30" s="9">
        <v>0.33333333333333331</v>
      </c>
      <c r="C30" s="16">
        <v>255</v>
      </c>
      <c r="J30" s="9">
        <v>0.33333333333333331</v>
      </c>
      <c r="K30" s="16">
        <v>29</v>
      </c>
      <c r="L30" s="16">
        <v>226</v>
      </c>
      <c r="S30" s="9">
        <v>0.33333333333333331</v>
      </c>
      <c r="T30" s="16">
        <v>255</v>
      </c>
    </row>
    <row r="31" spans="2:24" x14ac:dyDescent="0.3">
      <c r="B31" s="9">
        <v>0.34375</v>
      </c>
      <c r="C31" s="16">
        <v>262</v>
      </c>
      <c r="J31" s="9">
        <v>0.34375</v>
      </c>
      <c r="K31" s="16">
        <v>37</v>
      </c>
      <c r="L31" s="16">
        <v>225</v>
      </c>
      <c r="S31" s="9">
        <v>0.34375</v>
      </c>
      <c r="T31" s="16">
        <v>262</v>
      </c>
    </row>
    <row r="32" spans="2:24" x14ac:dyDescent="0.3">
      <c r="B32" s="9">
        <v>0.35416666666666669</v>
      </c>
      <c r="C32" s="16">
        <v>261</v>
      </c>
      <c r="J32" s="9">
        <v>0.35416666666666669</v>
      </c>
      <c r="K32" s="16">
        <v>37</v>
      </c>
      <c r="L32" s="16">
        <v>224</v>
      </c>
      <c r="S32" s="9">
        <v>0.35416666666666669</v>
      </c>
      <c r="T32" s="16">
        <v>261</v>
      </c>
    </row>
    <row r="33" spans="2:20" x14ac:dyDescent="0.3">
      <c r="B33" s="9">
        <v>0.36458333333333331</v>
      </c>
      <c r="C33" s="16">
        <v>255</v>
      </c>
      <c r="J33" s="9">
        <v>0.36458333333333331</v>
      </c>
      <c r="K33" s="16">
        <v>35</v>
      </c>
      <c r="L33" s="16">
        <v>220</v>
      </c>
      <c r="S33" s="9">
        <v>0.36458333333333331</v>
      </c>
      <c r="T33" s="16">
        <v>255</v>
      </c>
    </row>
    <row r="34" spans="2:20" x14ac:dyDescent="0.3">
      <c r="B34" s="9" t="s">
        <v>49</v>
      </c>
      <c r="C34" s="16">
        <v>1831</v>
      </c>
      <c r="J34" s="9" t="s">
        <v>49</v>
      </c>
      <c r="K34" s="16">
        <v>219</v>
      </c>
      <c r="L34" s="16">
        <v>1612</v>
      </c>
      <c r="S34" s="9" t="s">
        <v>49</v>
      </c>
      <c r="T34" s="16">
        <v>1831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6"/>
  <sheetViews>
    <sheetView showGridLines="0" workbookViewId="0"/>
  </sheetViews>
  <sheetFormatPr defaultRowHeight="14.4" x14ac:dyDescent="0.3"/>
  <cols>
    <col min="1" max="1" width="3.6640625" customWidth="1"/>
    <col min="2" max="2" width="27" bestFit="1" customWidth="1"/>
    <col min="3" max="3" width="4.5546875" bestFit="1" customWidth="1"/>
    <col min="4" max="4" width="13.21875" bestFit="1" customWidth="1"/>
    <col min="5" max="5" width="7.109375" bestFit="1" customWidth="1"/>
    <col min="6" max="6" width="8.6640625" bestFit="1" customWidth="1"/>
    <col min="7" max="7" width="4.5546875" bestFit="1" customWidth="1"/>
    <col min="8" max="8" width="13.21875" bestFit="1" customWidth="1"/>
    <col min="9" max="9" width="7.109375" bestFit="1" customWidth="1"/>
    <col min="10" max="10" width="8.5546875" bestFit="1" customWidth="1"/>
    <col min="11" max="11" width="4.554687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1038 vehicles between 07:45 and 08:45</v>
      </c>
    </row>
    <row r="5" spans="2:2" x14ac:dyDescent="0.3">
      <c r="B5" s="6" t="str">
        <f>PeakCalc!I8</f>
        <v>The peak hour for INT is 644 vehicles between 13:00 and 14:00</v>
      </c>
    </row>
    <row r="6" spans="2:2" x14ac:dyDescent="0.3">
      <c r="B6" s="6" t="str">
        <f>PeakCalc!J8</f>
        <v>The peak hour for PM is 819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45" t="s">
        <v>43</v>
      </c>
      <c r="D30" s="46"/>
      <c r="E30" s="46"/>
      <c r="F30" s="45" t="s">
        <v>83</v>
      </c>
      <c r="G30" s="43" t="s">
        <v>44</v>
      </c>
      <c r="H30" s="44"/>
      <c r="I30" s="44"/>
      <c r="J30" s="43" t="s">
        <v>86</v>
      </c>
      <c r="K30" s="43" t="s">
        <v>90</v>
      </c>
      <c r="L30" s="44"/>
      <c r="M30" s="44"/>
      <c r="N30" s="43" t="s">
        <v>102</v>
      </c>
    </row>
    <row r="31" spans="2:14" x14ac:dyDescent="0.3">
      <c r="B31" s="16"/>
      <c r="C31" s="17" t="s">
        <v>79</v>
      </c>
      <c r="D31" s="17" t="s">
        <v>88</v>
      </c>
      <c r="E31" s="17" t="s">
        <v>89</v>
      </c>
      <c r="F31" s="46"/>
      <c r="G31" s="17" t="s">
        <v>79</v>
      </c>
      <c r="H31" s="17" t="s">
        <v>88</v>
      </c>
      <c r="I31" s="17" t="s">
        <v>89</v>
      </c>
      <c r="J31" s="44"/>
      <c r="K31" s="17" t="s">
        <v>79</v>
      </c>
      <c r="L31" s="17" t="s">
        <v>88</v>
      </c>
      <c r="M31" s="17" t="s">
        <v>89</v>
      </c>
      <c r="N31" s="44"/>
    </row>
    <row r="32" spans="2:14" x14ac:dyDescent="0.3">
      <c r="B32" s="10" t="s">
        <v>92</v>
      </c>
      <c r="C32">
        <v>882</v>
      </c>
      <c r="D32">
        <v>20</v>
      </c>
      <c r="E32">
        <v>0</v>
      </c>
      <c r="F32">
        <v>902</v>
      </c>
      <c r="G32">
        <v>636</v>
      </c>
      <c r="H32">
        <v>7</v>
      </c>
      <c r="I32">
        <v>2</v>
      </c>
      <c r="J32">
        <v>645</v>
      </c>
      <c r="K32">
        <v>521</v>
      </c>
      <c r="L32">
        <v>10</v>
      </c>
      <c r="M32">
        <v>1</v>
      </c>
      <c r="N32">
        <v>532</v>
      </c>
    </row>
    <row r="33" spans="2:14" x14ac:dyDescent="0.3">
      <c r="B33" s="14" t="s">
        <v>94</v>
      </c>
      <c r="C33">
        <v>882</v>
      </c>
      <c r="D33">
        <v>20</v>
      </c>
      <c r="E33">
        <v>0</v>
      </c>
      <c r="F33">
        <v>902</v>
      </c>
      <c r="G33">
        <v>636</v>
      </c>
      <c r="H33">
        <v>7</v>
      </c>
      <c r="I33">
        <v>2</v>
      </c>
      <c r="J33">
        <v>645</v>
      </c>
      <c r="K33">
        <v>521</v>
      </c>
      <c r="L33">
        <v>10</v>
      </c>
      <c r="M33">
        <v>1</v>
      </c>
      <c r="N33">
        <v>532</v>
      </c>
    </row>
    <row r="34" spans="2:14" x14ac:dyDescent="0.3">
      <c r="B34" s="10" t="s">
        <v>93</v>
      </c>
      <c r="C34">
        <v>117</v>
      </c>
      <c r="D34">
        <v>19</v>
      </c>
      <c r="E34">
        <v>0</v>
      </c>
      <c r="F34">
        <v>136</v>
      </c>
      <c r="G34">
        <v>162</v>
      </c>
      <c r="H34">
        <v>12</v>
      </c>
      <c r="I34">
        <v>0</v>
      </c>
      <c r="J34">
        <v>174</v>
      </c>
      <c r="K34">
        <v>104</v>
      </c>
      <c r="L34">
        <v>8</v>
      </c>
      <c r="M34">
        <v>0</v>
      </c>
      <c r="N34">
        <v>112</v>
      </c>
    </row>
    <row r="35" spans="2:14" x14ac:dyDescent="0.3">
      <c r="B35" s="14" t="s">
        <v>95</v>
      </c>
      <c r="C35">
        <v>117</v>
      </c>
      <c r="D35">
        <v>19</v>
      </c>
      <c r="E35">
        <v>0</v>
      </c>
      <c r="F35">
        <v>136</v>
      </c>
      <c r="G35">
        <v>162</v>
      </c>
      <c r="H35">
        <v>12</v>
      </c>
      <c r="I35">
        <v>0</v>
      </c>
      <c r="J35">
        <v>174</v>
      </c>
      <c r="K35">
        <v>104</v>
      </c>
      <c r="L35">
        <v>8</v>
      </c>
      <c r="M35">
        <v>0</v>
      </c>
      <c r="N35">
        <v>112</v>
      </c>
    </row>
    <row r="36" spans="2:14" x14ac:dyDescent="0.3">
      <c r="B36" s="10" t="s">
        <v>49</v>
      </c>
      <c r="C36">
        <v>999</v>
      </c>
      <c r="D36">
        <v>39</v>
      </c>
      <c r="E36">
        <v>0</v>
      </c>
      <c r="F36">
        <v>1038</v>
      </c>
      <c r="G36">
        <v>798</v>
      </c>
      <c r="H36">
        <v>19</v>
      </c>
      <c r="I36">
        <v>2</v>
      </c>
      <c r="J36">
        <v>819</v>
      </c>
      <c r="K36">
        <v>625</v>
      </c>
      <c r="L36">
        <v>18</v>
      </c>
      <c r="M36">
        <v>1</v>
      </c>
      <c r="N36">
        <v>644</v>
      </c>
    </row>
  </sheetData>
  <mergeCells count="6">
    <mergeCell ref="G30:I30"/>
    <mergeCell ref="J30:J31"/>
    <mergeCell ref="K30:M30"/>
    <mergeCell ref="N30:N31"/>
    <mergeCell ref="C30:E30"/>
    <mergeCell ref="F30:F31"/>
  </mergeCells>
  <conditionalFormatting pivot="1" sqref="C32:N36">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5F88-4C31-461D-86B5-917A2F583FBE}">
  <dimension ref="A1:BM37"/>
  <sheetViews>
    <sheetView workbookViewId="0">
      <selection sqref="A1:B1"/>
    </sheetView>
  </sheetViews>
  <sheetFormatPr defaultColWidth="12.109375" defaultRowHeight="15" customHeight="1" x14ac:dyDescent="0.25"/>
  <cols>
    <col min="1" max="1" width="12.109375" style="47" bestFit="1" customWidth="1"/>
    <col min="2" max="65" width="9.109375" style="47" bestFit="1" customWidth="1"/>
    <col min="66" max="16384" width="12.109375" style="47"/>
  </cols>
  <sheetData>
    <row r="1" spans="1:65" ht="15" customHeight="1" x14ac:dyDescent="0.4">
      <c r="A1" s="56" t="s">
        <v>155</v>
      </c>
      <c r="B1" s="56"/>
      <c r="C1" s="55" t="s">
        <v>154</v>
      </c>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row>
    <row r="2" spans="1:65" ht="15" customHeight="1" x14ac:dyDescent="0.4">
      <c r="A2" s="56" t="s">
        <v>153</v>
      </c>
      <c r="B2" s="56"/>
      <c r="C2" s="55" t="s">
        <v>152</v>
      </c>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row>
    <row r="3" spans="1:65" ht="15" customHeight="1" x14ac:dyDescent="0.4">
      <c r="A3" s="56" t="s">
        <v>9</v>
      </c>
      <c r="B3" s="56"/>
      <c r="C3" s="55" t="s">
        <v>126</v>
      </c>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row>
    <row r="4" spans="1:65" ht="15" customHeight="1" x14ac:dyDescent="0.4">
      <c r="A4" s="56" t="s">
        <v>151</v>
      </c>
      <c r="B4" s="56"/>
      <c r="C4" s="55" t="s">
        <v>103</v>
      </c>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row>
    <row r="5" spans="1:65" ht="15" customHeight="1" x14ac:dyDescent="0.4">
      <c r="A5" s="56" t="s">
        <v>150</v>
      </c>
      <c r="B5" s="56"/>
      <c r="C5" s="55" t="s">
        <v>103</v>
      </c>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row>
    <row r="6" spans="1:65" ht="15" customHeight="1" x14ac:dyDescent="0.4">
      <c r="A6" s="56" t="s">
        <v>103</v>
      </c>
      <c r="B6" s="56"/>
      <c r="C6" s="55" t="s">
        <v>103</v>
      </c>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row>
    <row r="7" spans="1:65" ht="15" customHeight="1" x14ac:dyDescent="0.4">
      <c r="A7" s="56" t="s">
        <v>103</v>
      </c>
      <c r="B7" s="56"/>
      <c r="C7" s="55" t="s">
        <v>103</v>
      </c>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row>
    <row r="8" spans="1:65" ht="15" customHeight="1" x14ac:dyDescent="0.4">
      <c r="A8" s="56" t="s">
        <v>103</v>
      </c>
      <c r="B8" s="56"/>
      <c r="C8" s="55" t="s">
        <v>103</v>
      </c>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row>
    <row r="9" spans="1:65" ht="15" customHeight="1" x14ac:dyDescent="0.4">
      <c r="A9" s="56" t="s">
        <v>103</v>
      </c>
      <c r="B9" s="56"/>
      <c r="C9" s="55" t="s">
        <v>103</v>
      </c>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row>
    <row r="10" spans="1:65" ht="15" customHeight="1" x14ac:dyDescent="0.4">
      <c r="A10" s="56" t="s">
        <v>149</v>
      </c>
      <c r="B10" s="56"/>
      <c r="C10" s="55" t="s">
        <v>148</v>
      </c>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row>
    <row r="11" spans="1:65" ht="15" customHeight="1" x14ac:dyDescent="0.4">
      <c r="A11" s="56" t="s">
        <v>147</v>
      </c>
      <c r="B11" s="56"/>
      <c r="C11" s="55" t="s">
        <v>146</v>
      </c>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row>
    <row r="12" spans="1:65" ht="15" customHeight="1" x14ac:dyDescent="0.25">
      <c r="A12" s="47" t="s">
        <v>103</v>
      </c>
      <c r="B12" s="54" t="s">
        <v>143</v>
      </c>
      <c r="C12" s="53"/>
      <c r="D12" s="53"/>
      <c r="E12" s="53"/>
      <c r="F12" s="53"/>
      <c r="G12" s="53"/>
      <c r="H12" s="53"/>
      <c r="I12" s="52"/>
      <c r="J12" s="54" t="s">
        <v>143</v>
      </c>
      <c r="K12" s="53"/>
      <c r="L12" s="53"/>
      <c r="M12" s="53"/>
      <c r="N12" s="53"/>
      <c r="O12" s="53"/>
      <c r="P12" s="53"/>
      <c r="Q12" s="52"/>
      <c r="R12" s="54" t="s">
        <v>144</v>
      </c>
      <c r="S12" s="53"/>
      <c r="T12" s="53"/>
      <c r="U12" s="53"/>
      <c r="V12" s="53"/>
      <c r="W12" s="53"/>
      <c r="X12" s="53"/>
      <c r="Y12" s="52"/>
      <c r="Z12" s="54" t="s">
        <v>143</v>
      </c>
      <c r="AA12" s="53"/>
      <c r="AB12" s="53"/>
      <c r="AC12" s="53"/>
      <c r="AD12" s="53"/>
      <c r="AE12" s="53"/>
      <c r="AF12" s="53"/>
      <c r="AG12" s="52"/>
      <c r="AH12" s="54" t="s">
        <v>145</v>
      </c>
      <c r="AI12" s="53"/>
      <c r="AJ12" s="53"/>
      <c r="AK12" s="53"/>
      <c r="AL12" s="53"/>
      <c r="AM12" s="53"/>
      <c r="AN12" s="53"/>
      <c r="AO12" s="52"/>
      <c r="AP12" s="54" t="s">
        <v>143</v>
      </c>
      <c r="AQ12" s="53"/>
      <c r="AR12" s="53"/>
      <c r="AS12" s="53"/>
      <c r="AT12" s="53"/>
      <c r="AU12" s="53"/>
      <c r="AV12" s="53"/>
      <c r="AW12" s="52"/>
      <c r="AX12" s="54" t="s">
        <v>144</v>
      </c>
      <c r="AY12" s="53"/>
      <c r="AZ12" s="53"/>
      <c r="BA12" s="53"/>
      <c r="BB12" s="53"/>
      <c r="BC12" s="53"/>
      <c r="BD12" s="53"/>
      <c r="BE12" s="52"/>
      <c r="BF12" s="54" t="s">
        <v>143</v>
      </c>
      <c r="BG12" s="53"/>
      <c r="BH12" s="53"/>
      <c r="BI12" s="53"/>
      <c r="BJ12" s="53"/>
      <c r="BK12" s="53"/>
      <c r="BL12" s="53"/>
      <c r="BM12" s="52"/>
    </row>
    <row r="13" spans="1:65" ht="15" customHeight="1" x14ac:dyDescent="0.25">
      <c r="A13" s="47" t="s">
        <v>103</v>
      </c>
      <c r="B13" s="51" t="s">
        <v>142</v>
      </c>
      <c r="C13" s="50"/>
      <c r="D13" s="50"/>
      <c r="E13" s="50"/>
      <c r="F13" s="50"/>
      <c r="G13" s="50"/>
      <c r="H13" s="50"/>
      <c r="I13" s="49"/>
      <c r="J13" s="51" t="s">
        <v>141</v>
      </c>
      <c r="K13" s="50"/>
      <c r="L13" s="50"/>
      <c r="M13" s="50"/>
      <c r="N13" s="50"/>
      <c r="O13" s="50"/>
      <c r="P13" s="50"/>
      <c r="Q13" s="49"/>
      <c r="R13" s="51" t="s">
        <v>140</v>
      </c>
      <c r="S13" s="50"/>
      <c r="T13" s="50"/>
      <c r="U13" s="50"/>
      <c r="V13" s="50"/>
      <c r="W13" s="50"/>
      <c r="X13" s="50"/>
      <c r="Y13" s="49"/>
      <c r="Z13" s="51" t="s">
        <v>139</v>
      </c>
      <c r="AA13" s="50"/>
      <c r="AB13" s="50"/>
      <c r="AC13" s="50"/>
      <c r="AD13" s="50"/>
      <c r="AE13" s="50"/>
      <c r="AF13" s="50"/>
      <c r="AG13" s="49"/>
      <c r="AH13" s="51" t="s">
        <v>138</v>
      </c>
      <c r="AI13" s="50"/>
      <c r="AJ13" s="50"/>
      <c r="AK13" s="50"/>
      <c r="AL13" s="50"/>
      <c r="AM13" s="50"/>
      <c r="AN13" s="50"/>
      <c r="AO13" s="49"/>
      <c r="AP13" s="51" t="s">
        <v>137</v>
      </c>
      <c r="AQ13" s="50"/>
      <c r="AR13" s="50"/>
      <c r="AS13" s="50"/>
      <c r="AT13" s="50"/>
      <c r="AU13" s="50"/>
      <c r="AV13" s="50"/>
      <c r="AW13" s="49"/>
      <c r="AX13" s="51" t="s">
        <v>136</v>
      </c>
      <c r="AY13" s="50"/>
      <c r="AZ13" s="50"/>
      <c r="BA13" s="50"/>
      <c r="BB13" s="50"/>
      <c r="BC13" s="50"/>
      <c r="BD13" s="50"/>
      <c r="BE13" s="49"/>
      <c r="BF13" s="51" t="s">
        <v>135</v>
      </c>
      <c r="BG13" s="50"/>
      <c r="BH13" s="50"/>
      <c r="BI13" s="50"/>
      <c r="BJ13" s="50"/>
      <c r="BK13" s="50"/>
      <c r="BL13" s="50"/>
      <c r="BM13" s="49"/>
    </row>
    <row r="14" spans="1:65" ht="15" customHeight="1" x14ac:dyDescent="0.25">
      <c r="A14" s="48" t="s">
        <v>9</v>
      </c>
      <c r="B14" s="48" t="s">
        <v>134</v>
      </c>
      <c r="C14" s="48" t="s">
        <v>133</v>
      </c>
      <c r="D14" s="48" t="s">
        <v>132</v>
      </c>
      <c r="E14" s="48" t="s">
        <v>131</v>
      </c>
      <c r="F14" s="48" t="s">
        <v>130</v>
      </c>
      <c r="G14" s="48" t="s">
        <v>129</v>
      </c>
      <c r="H14" s="48" t="s">
        <v>128</v>
      </c>
      <c r="I14" s="48" t="s">
        <v>127</v>
      </c>
      <c r="J14" s="48" t="s">
        <v>134</v>
      </c>
      <c r="K14" s="48" t="s">
        <v>133</v>
      </c>
      <c r="L14" s="48" t="s">
        <v>132</v>
      </c>
      <c r="M14" s="48" t="s">
        <v>131</v>
      </c>
      <c r="N14" s="48" t="s">
        <v>130</v>
      </c>
      <c r="O14" s="48" t="s">
        <v>129</v>
      </c>
      <c r="P14" s="48" t="s">
        <v>128</v>
      </c>
      <c r="Q14" s="48" t="s">
        <v>127</v>
      </c>
      <c r="R14" s="48" t="s">
        <v>134</v>
      </c>
      <c r="S14" s="48" t="s">
        <v>133</v>
      </c>
      <c r="T14" s="48" t="s">
        <v>132</v>
      </c>
      <c r="U14" s="48" t="s">
        <v>131</v>
      </c>
      <c r="V14" s="48" t="s">
        <v>130</v>
      </c>
      <c r="W14" s="48" t="s">
        <v>129</v>
      </c>
      <c r="X14" s="48" t="s">
        <v>128</v>
      </c>
      <c r="Y14" s="48" t="s">
        <v>127</v>
      </c>
      <c r="Z14" s="48" t="s">
        <v>134</v>
      </c>
      <c r="AA14" s="48" t="s">
        <v>133</v>
      </c>
      <c r="AB14" s="48" t="s">
        <v>132</v>
      </c>
      <c r="AC14" s="48" t="s">
        <v>131</v>
      </c>
      <c r="AD14" s="48" t="s">
        <v>130</v>
      </c>
      <c r="AE14" s="48" t="s">
        <v>129</v>
      </c>
      <c r="AF14" s="48" t="s">
        <v>128</v>
      </c>
      <c r="AG14" s="48" t="s">
        <v>127</v>
      </c>
      <c r="AH14" s="48" t="s">
        <v>134</v>
      </c>
      <c r="AI14" s="48" t="s">
        <v>133</v>
      </c>
      <c r="AJ14" s="48" t="s">
        <v>132</v>
      </c>
      <c r="AK14" s="48" t="s">
        <v>131</v>
      </c>
      <c r="AL14" s="48" t="s">
        <v>130</v>
      </c>
      <c r="AM14" s="48" t="s">
        <v>129</v>
      </c>
      <c r="AN14" s="48" t="s">
        <v>128</v>
      </c>
      <c r="AO14" s="48" t="s">
        <v>127</v>
      </c>
      <c r="AP14" s="48" t="s">
        <v>134</v>
      </c>
      <c r="AQ14" s="48" t="s">
        <v>133</v>
      </c>
      <c r="AR14" s="48" t="s">
        <v>132</v>
      </c>
      <c r="AS14" s="48" t="s">
        <v>131</v>
      </c>
      <c r="AT14" s="48" t="s">
        <v>130</v>
      </c>
      <c r="AU14" s="48" t="s">
        <v>129</v>
      </c>
      <c r="AV14" s="48" t="s">
        <v>128</v>
      </c>
      <c r="AW14" s="48" t="s">
        <v>127</v>
      </c>
      <c r="AX14" s="48" t="s">
        <v>134</v>
      </c>
      <c r="AY14" s="48" t="s">
        <v>133</v>
      </c>
      <c r="AZ14" s="48" t="s">
        <v>132</v>
      </c>
      <c r="BA14" s="48" t="s">
        <v>131</v>
      </c>
      <c r="BB14" s="48" t="s">
        <v>130</v>
      </c>
      <c r="BC14" s="48" t="s">
        <v>129</v>
      </c>
      <c r="BD14" s="48" t="s">
        <v>128</v>
      </c>
      <c r="BE14" s="48" t="s">
        <v>127</v>
      </c>
      <c r="BF14" s="48" t="s">
        <v>134</v>
      </c>
      <c r="BG14" s="48" t="s">
        <v>133</v>
      </c>
      <c r="BH14" s="48" t="s">
        <v>132</v>
      </c>
      <c r="BI14" s="48" t="s">
        <v>131</v>
      </c>
      <c r="BJ14" s="48" t="s">
        <v>130</v>
      </c>
      <c r="BK14" s="48" t="s">
        <v>129</v>
      </c>
      <c r="BL14" s="48" t="s">
        <v>128</v>
      </c>
      <c r="BM14" s="48" t="s">
        <v>127</v>
      </c>
    </row>
    <row r="15" spans="1:65" ht="15" customHeight="1" x14ac:dyDescent="0.25">
      <c r="A15" s="47" t="s">
        <v>126</v>
      </c>
      <c r="B15" s="47" t="s">
        <v>103</v>
      </c>
      <c r="C15" s="47" t="s">
        <v>103</v>
      </c>
      <c r="D15" s="47" t="s">
        <v>103</v>
      </c>
      <c r="E15" s="47" t="s">
        <v>103</v>
      </c>
      <c r="F15" s="47" t="s">
        <v>103</v>
      </c>
      <c r="G15" s="47" t="s">
        <v>103</v>
      </c>
      <c r="H15" s="47" t="s">
        <v>103</v>
      </c>
      <c r="I15" s="47" t="s">
        <v>103</v>
      </c>
      <c r="J15" s="47" t="s">
        <v>103</v>
      </c>
      <c r="K15" s="47" t="s">
        <v>103</v>
      </c>
      <c r="L15" s="47" t="s">
        <v>103</v>
      </c>
      <c r="M15" s="47" t="s">
        <v>103</v>
      </c>
      <c r="N15" s="47" t="s">
        <v>103</v>
      </c>
      <c r="O15" s="47" t="s">
        <v>103</v>
      </c>
      <c r="P15" s="47" t="s">
        <v>103</v>
      </c>
      <c r="Q15" s="47" t="s">
        <v>103</v>
      </c>
      <c r="R15" s="47" t="s">
        <v>103</v>
      </c>
      <c r="S15" s="47" t="s">
        <v>103</v>
      </c>
      <c r="T15" s="47" t="s">
        <v>103</v>
      </c>
      <c r="U15" s="47">
        <v>119</v>
      </c>
      <c r="V15" s="47" t="s">
        <v>103</v>
      </c>
      <c r="W15" s="47" t="s">
        <v>103</v>
      </c>
      <c r="X15" s="47" t="s">
        <v>103</v>
      </c>
      <c r="Y15" s="47" t="s">
        <v>103</v>
      </c>
      <c r="Z15" s="47" t="s">
        <v>103</v>
      </c>
      <c r="AA15" s="47" t="s">
        <v>103</v>
      </c>
      <c r="AB15" s="47" t="s">
        <v>103</v>
      </c>
      <c r="AC15" s="47" t="s">
        <v>103</v>
      </c>
      <c r="AD15" s="47" t="s">
        <v>103</v>
      </c>
      <c r="AE15" s="47" t="s">
        <v>103</v>
      </c>
      <c r="AF15" s="47" t="s">
        <v>103</v>
      </c>
      <c r="AG15" s="47" t="s">
        <v>103</v>
      </c>
      <c r="AH15" s="47" t="s">
        <v>103</v>
      </c>
      <c r="AI15" s="47">
        <v>8</v>
      </c>
      <c r="AJ15" s="47" t="s">
        <v>103</v>
      </c>
      <c r="AK15" s="47" t="s">
        <v>103</v>
      </c>
      <c r="AL15" s="47" t="s">
        <v>103</v>
      </c>
      <c r="AM15" s="47" t="s">
        <v>103</v>
      </c>
      <c r="AN15" s="47" t="s">
        <v>103</v>
      </c>
      <c r="AO15" s="47" t="s">
        <v>103</v>
      </c>
      <c r="AP15" s="47" t="s">
        <v>103</v>
      </c>
      <c r="AQ15" s="47" t="s">
        <v>103</v>
      </c>
      <c r="AR15" s="47" t="s">
        <v>103</v>
      </c>
      <c r="AS15" s="47" t="s">
        <v>103</v>
      </c>
      <c r="AT15" s="47" t="s">
        <v>103</v>
      </c>
      <c r="AU15" s="47" t="s">
        <v>103</v>
      </c>
      <c r="AV15" s="47" t="s">
        <v>103</v>
      </c>
      <c r="AW15" s="47" t="s">
        <v>103</v>
      </c>
      <c r="AX15" s="47" t="s">
        <v>103</v>
      </c>
      <c r="AY15" s="47" t="s">
        <v>103</v>
      </c>
      <c r="AZ15" s="47" t="s">
        <v>103</v>
      </c>
      <c r="BA15" s="47" t="s">
        <v>103</v>
      </c>
      <c r="BB15" s="47" t="s">
        <v>103</v>
      </c>
      <c r="BC15" s="47" t="s">
        <v>103</v>
      </c>
      <c r="BD15" s="47" t="s">
        <v>103</v>
      </c>
      <c r="BE15" s="47" t="s">
        <v>103</v>
      </c>
      <c r="BF15" s="47" t="s">
        <v>103</v>
      </c>
      <c r="BG15" s="47" t="s">
        <v>103</v>
      </c>
      <c r="BH15" s="47" t="s">
        <v>103</v>
      </c>
      <c r="BI15" s="47" t="s">
        <v>103</v>
      </c>
      <c r="BJ15" s="47" t="s">
        <v>103</v>
      </c>
      <c r="BK15" s="47" t="s">
        <v>103</v>
      </c>
      <c r="BL15" s="47" t="s">
        <v>103</v>
      </c>
      <c r="BM15" s="47" t="s">
        <v>103</v>
      </c>
    </row>
    <row r="16" spans="1:65" ht="15" customHeight="1" x14ac:dyDescent="0.25">
      <c r="A16" s="47" t="s">
        <v>125</v>
      </c>
      <c r="B16" s="47" t="s">
        <v>103</v>
      </c>
      <c r="C16" s="47" t="s">
        <v>103</v>
      </c>
      <c r="D16" s="47" t="s">
        <v>103</v>
      </c>
      <c r="E16" s="47" t="s">
        <v>103</v>
      </c>
      <c r="F16" s="47" t="s">
        <v>103</v>
      </c>
      <c r="G16" s="47" t="s">
        <v>103</v>
      </c>
      <c r="H16" s="47" t="s">
        <v>103</v>
      </c>
      <c r="I16" s="47" t="s">
        <v>103</v>
      </c>
      <c r="J16" s="47" t="s">
        <v>103</v>
      </c>
      <c r="K16" s="47" t="s">
        <v>103</v>
      </c>
      <c r="L16" s="47" t="s">
        <v>103</v>
      </c>
      <c r="M16" s="47" t="s">
        <v>103</v>
      </c>
      <c r="N16" s="47" t="s">
        <v>103</v>
      </c>
      <c r="O16" s="47" t="s">
        <v>103</v>
      </c>
      <c r="P16" s="47" t="s">
        <v>103</v>
      </c>
      <c r="Q16" s="47" t="s">
        <v>103</v>
      </c>
      <c r="R16" s="47" t="s">
        <v>103</v>
      </c>
      <c r="S16" s="47" t="s">
        <v>103</v>
      </c>
      <c r="T16" s="47" t="s">
        <v>103</v>
      </c>
      <c r="U16" s="47">
        <v>158</v>
      </c>
      <c r="V16" s="47" t="s">
        <v>103</v>
      </c>
      <c r="W16" s="47" t="s">
        <v>103</v>
      </c>
      <c r="X16" s="47" t="s">
        <v>103</v>
      </c>
      <c r="Y16" s="47" t="s">
        <v>103</v>
      </c>
      <c r="Z16" s="47" t="s">
        <v>103</v>
      </c>
      <c r="AA16" s="47" t="s">
        <v>103</v>
      </c>
      <c r="AB16" s="47" t="s">
        <v>103</v>
      </c>
      <c r="AC16" s="47" t="s">
        <v>103</v>
      </c>
      <c r="AD16" s="47" t="s">
        <v>103</v>
      </c>
      <c r="AE16" s="47" t="s">
        <v>103</v>
      </c>
      <c r="AF16" s="47" t="s">
        <v>103</v>
      </c>
      <c r="AG16" s="47" t="s">
        <v>103</v>
      </c>
      <c r="AH16" s="47" t="s">
        <v>103</v>
      </c>
      <c r="AI16" s="47">
        <v>19</v>
      </c>
      <c r="AJ16" s="47" t="s">
        <v>103</v>
      </c>
      <c r="AK16" s="47" t="s">
        <v>103</v>
      </c>
      <c r="AL16" s="47" t="s">
        <v>103</v>
      </c>
      <c r="AM16" s="47" t="s">
        <v>103</v>
      </c>
      <c r="AN16" s="47" t="s">
        <v>103</v>
      </c>
      <c r="AO16" s="47" t="s">
        <v>103</v>
      </c>
      <c r="AP16" s="47" t="s">
        <v>103</v>
      </c>
      <c r="AQ16" s="47" t="s">
        <v>103</v>
      </c>
      <c r="AR16" s="47" t="s">
        <v>103</v>
      </c>
      <c r="AS16" s="47" t="s">
        <v>103</v>
      </c>
      <c r="AT16" s="47" t="s">
        <v>103</v>
      </c>
      <c r="AU16" s="47" t="s">
        <v>103</v>
      </c>
      <c r="AV16" s="47" t="s">
        <v>103</v>
      </c>
      <c r="AW16" s="47" t="s">
        <v>103</v>
      </c>
      <c r="AX16" s="47" t="s">
        <v>103</v>
      </c>
      <c r="AY16" s="47" t="s">
        <v>103</v>
      </c>
      <c r="AZ16" s="47" t="s">
        <v>103</v>
      </c>
      <c r="BA16" s="47" t="s">
        <v>103</v>
      </c>
      <c r="BB16" s="47" t="s">
        <v>103</v>
      </c>
      <c r="BC16" s="47" t="s">
        <v>103</v>
      </c>
      <c r="BD16" s="47" t="s">
        <v>103</v>
      </c>
      <c r="BE16" s="47" t="s">
        <v>103</v>
      </c>
      <c r="BF16" s="47" t="s">
        <v>103</v>
      </c>
      <c r="BG16" s="47" t="s">
        <v>103</v>
      </c>
      <c r="BH16" s="47" t="s">
        <v>103</v>
      </c>
      <c r="BI16" s="47" t="s">
        <v>103</v>
      </c>
      <c r="BJ16" s="47" t="s">
        <v>103</v>
      </c>
      <c r="BK16" s="47" t="s">
        <v>103</v>
      </c>
      <c r="BL16" s="47" t="s">
        <v>103</v>
      </c>
      <c r="BM16" s="47" t="s">
        <v>103</v>
      </c>
    </row>
    <row r="17" spans="1:65" ht="15" customHeight="1" x14ac:dyDescent="0.25">
      <c r="A17" s="47" t="s">
        <v>124</v>
      </c>
      <c r="B17" s="47" t="s">
        <v>103</v>
      </c>
      <c r="C17" s="47" t="s">
        <v>103</v>
      </c>
      <c r="D17" s="47" t="s">
        <v>103</v>
      </c>
      <c r="E17" s="47" t="s">
        <v>103</v>
      </c>
      <c r="F17" s="47" t="s">
        <v>103</v>
      </c>
      <c r="G17" s="47" t="s">
        <v>103</v>
      </c>
      <c r="H17" s="47" t="s">
        <v>103</v>
      </c>
      <c r="I17" s="47" t="s">
        <v>103</v>
      </c>
      <c r="J17" s="47" t="s">
        <v>103</v>
      </c>
      <c r="K17" s="47" t="s">
        <v>103</v>
      </c>
      <c r="L17" s="47" t="s">
        <v>103</v>
      </c>
      <c r="M17" s="47" t="s">
        <v>103</v>
      </c>
      <c r="N17" s="47" t="s">
        <v>103</v>
      </c>
      <c r="O17" s="47" t="s">
        <v>103</v>
      </c>
      <c r="P17" s="47" t="s">
        <v>103</v>
      </c>
      <c r="Q17" s="47" t="s">
        <v>103</v>
      </c>
      <c r="R17" s="47" t="s">
        <v>103</v>
      </c>
      <c r="S17" s="47" t="s">
        <v>103</v>
      </c>
      <c r="T17" s="47" t="s">
        <v>103</v>
      </c>
      <c r="U17" s="47">
        <v>194</v>
      </c>
      <c r="V17" s="47" t="s">
        <v>103</v>
      </c>
      <c r="W17" s="47" t="s">
        <v>103</v>
      </c>
      <c r="X17" s="47" t="s">
        <v>103</v>
      </c>
      <c r="Y17" s="47" t="s">
        <v>103</v>
      </c>
      <c r="Z17" s="47" t="s">
        <v>103</v>
      </c>
      <c r="AA17" s="47" t="s">
        <v>103</v>
      </c>
      <c r="AB17" s="47" t="s">
        <v>103</v>
      </c>
      <c r="AC17" s="47" t="s">
        <v>103</v>
      </c>
      <c r="AD17" s="47" t="s">
        <v>103</v>
      </c>
      <c r="AE17" s="47" t="s">
        <v>103</v>
      </c>
      <c r="AF17" s="47" t="s">
        <v>103</v>
      </c>
      <c r="AG17" s="47" t="s">
        <v>103</v>
      </c>
      <c r="AH17" s="47" t="s">
        <v>103</v>
      </c>
      <c r="AI17" s="47">
        <v>13</v>
      </c>
      <c r="AJ17" s="47" t="s">
        <v>103</v>
      </c>
      <c r="AK17" s="47" t="s">
        <v>103</v>
      </c>
      <c r="AL17" s="47" t="s">
        <v>103</v>
      </c>
      <c r="AM17" s="47" t="s">
        <v>103</v>
      </c>
      <c r="AN17" s="47" t="s">
        <v>103</v>
      </c>
      <c r="AO17" s="47" t="s">
        <v>103</v>
      </c>
      <c r="AP17" s="47" t="s">
        <v>103</v>
      </c>
      <c r="AQ17" s="47" t="s">
        <v>103</v>
      </c>
      <c r="AR17" s="47" t="s">
        <v>103</v>
      </c>
      <c r="AS17" s="47" t="s">
        <v>103</v>
      </c>
      <c r="AT17" s="47" t="s">
        <v>103</v>
      </c>
      <c r="AU17" s="47" t="s">
        <v>103</v>
      </c>
      <c r="AV17" s="47" t="s">
        <v>103</v>
      </c>
      <c r="AW17" s="47" t="s">
        <v>103</v>
      </c>
      <c r="AX17" s="47" t="s">
        <v>103</v>
      </c>
      <c r="AY17" s="47" t="s">
        <v>103</v>
      </c>
      <c r="AZ17" s="47" t="s">
        <v>103</v>
      </c>
      <c r="BA17" s="47" t="s">
        <v>103</v>
      </c>
      <c r="BB17" s="47" t="s">
        <v>103</v>
      </c>
      <c r="BC17" s="47" t="s">
        <v>103</v>
      </c>
      <c r="BD17" s="47" t="s">
        <v>103</v>
      </c>
      <c r="BE17" s="47" t="s">
        <v>103</v>
      </c>
      <c r="BF17" s="47" t="s">
        <v>103</v>
      </c>
      <c r="BG17" s="47" t="s">
        <v>103</v>
      </c>
      <c r="BH17" s="47" t="s">
        <v>103</v>
      </c>
      <c r="BI17" s="47" t="s">
        <v>103</v>
      </c>
      <c r="BJ17" s="47" t="s">
        <v>103</v>
      </c>
      <c r="BK17" s="47" t="s">
        <v>103</v>
      </c>
      <c r="BL17" s="47" t="s">
        <v>103</v>
      </c>
      <c r="BM17" s="47" t="s">
        <v>103</v>
      </c>
    </row>
    <row r="18" spans="1:65" ht="15" customHeight="1" x14ac:dyDescent="0.25">
      <c r="A18" s="47" t="s">
        <v>123</v>
      </c>
      <c r="B18" s="47" t="s">
        <v>103</v>
      </c>
      <c r="C18" s="47" t="s">
        <v>103</v>
      </c>
      <c r="D18" s="47" t="s">
        <v>103</v>
      </c>
      <c r="E18" s="47" t="s">
        <v>103</v>
      </c>
      <c r="F18" s="47" t="s">
        <v>103</v>
      </c>
      <c r="G18" s="47" t="s">
        <v>103</v>
      </c>
      <c r="H18" s="47" t="s">
        <v>103</v>
      </c>
      <c r="I18" s="47" t="s">
        <v>103</v>
      </c>
      <c r="J18" s="47" t="s">
        <v>103</v>
      </c>
      <c r="K18" s="47" t="s">
        <v>103</v>
      </c>
      <c r="L18" s="47" t="s">
        <v>103</v>
      </c>
      <c r="M18" s="47" t="s">
        <v>103</v>
      </c>
      <c r="N18" s="47" t="s">
        <v>103</v>
      </c>
      <c r="O18" s="47" t="s">
        <v>103</v>
      </c>
      <c r="P18" s="47" t="s">
        <v>103</v>
      </c>
      <c r="Q18" s="47" t="s">
        <v>103</v>
      </c>
      <c r="R18" s="47" t="s">
        <v>103</v>
      </c>
      <c r="S18" s="47" t="s">
        <v>103</v>
      </c>
      <c r="T18" s="47" t="s">
        <v>103</v>
      </c>
      <c r="U18" s="47">
        <v>222</v>
      </c>
      <c r="V18" s="47" t="s">
        <v>103</v>
      </c>
      <c r="W18" s="47" t="s">
        <v>103</v>
      </c>
      <c r="X18" s="47" t="s">
        <v>103</v>
      </c>
      <c r="Y18" s="47" t="s">
        <v>103</v>
      </c>
      <c r="Z18" s="47" t="s">
        <v>103</v>
      </c>
      <c r="AA18" s="47" t="s">
        <v>103</v>
      </c>
      <c r="AB18" s="47" t="s">
        <v>103</v>
      </c>
      <c r="AC18" s="47" t="s">
        <v>103</v>
      </c>
      <c r="AD18" s="47" t="s">
        <v>103</v>
      </c>
      <c r="AE18" s="47" t="s">
        <v>103</v>
      </c>
      <c r="AF18" s="47" t="s">
        <v>103</v>
      </c>
      <c r="AG18" s="47" t="s">
        <v>103</v>
      </c>
      <c r="AH18" s="47" t="s">
        <v>103</v>
      </c>
      <c r="AI18" s="47">
        <v>26</v>
      </c>
      <c r="AJ18" s="47" t="s">
        <v>103</v>
      </c>
      <c r="AK18" s="47" t="s">
        <v>103</v>
      </c>
      <c r="AL18" s="47" t="s">
        <v>103</v>
      </c>
      <c r="AM18" s="47" t="s">
        <v>103</v>
      </c>
      <c r="AN18" s="47" t="s">
        <v>103</v>
      </c>
      <c r="AO18" s="47" t="s">
        <v>103</v>
      </c>
      <c r="AP18" s="47" t="s">
        <v>103</v>
      </c>
      <c r="AQ18" s="47" t="s">
        <v>103</v>
      </c>
      <c r="AR18" s="47" t="s">
        <v>103</v>
      </c>
      <c r="AS18" s="47" t="s">
        <v>103</v>
      </c>
      <c r="AT18" s="47" t="s">
        <v>103</v>
      </c>
      <c r="AU18" s="47" t="s">
        <v>103</v>
      </c>
      <c r="AV18" s="47" t="s">
        <v>103</v>
      </c>
      <c r="AW18" s="47" t="s">
        <v>103</v>
      </c>
      <c r="AX18" s="47" t="s">
        <v>103</v>
      </c>
      <c r="AY18" s="47" t="s">
        <v>103</v>
      </c>
      <c r="AZ18" s="47" t="s">
        <v>103</v>
      </c>
      <c r="BA18" s="47" t="s">
        <v>103</v>
      </c>
      <c r="BB18" s="47" t="s">
        <v>103</v>
      </c>
      <c r="BC18" s="47" t="s">
        <v>103</v>
      </c>
      <c r="BD18" s="47" t="s">
        <v>103</v>
      </c>
      <c r="BE18" s="47" t="s">
        <v>103</v>
      </c>
      <c r="BF18" s="47" t="s">
        <v>103</v>
      </c>
      <c r="BG18" s="47" t="s">
        <v>103</v>
      </c>
      <c r="BH18" s="47" t="s">
        <v>103</v>
      </c>
      <c r="BI18" s="47" t="s">
        <v>103</v>
      </c>
      <c r="BJ18" s="47" t="s">
        <v>103</v>
      </c>
      <c r="BK18" s="47" t="s">
        <v>103</v>
      </c>
      <c r="BL18" s="47" t="s">
        <v>103</v>
      </c>
      <c r="BM18" s="47" t="s">
        <v>103</v>
      </c>
    </row>
    <row r="19" spans="1:65" ht="15" customHeight="1" x14ac:dyDescent="0.25">
      <c r="A19" s="47" t="s">
        <v>122</v>
      </c>
      <c r="B19" s="47" t="s">
        <v>103</v>
      </c>
      <c r="C19" s="47" t="s">
        <v>103</v>
      </c>
      <c r="D19" s="47" t="s">
        <v>103</v>
      </c>
      <c r="E19" s="47" t="s">
        <v>103</v>
      </c>
      <c r="F19" s="47" t="s">
        <v>103</v>
      </c>
      <c r="G19" s="47" t="s">
        <v>103</v>
      </c>
      <c r="H19" s="47" t="s">
        <v>103</v>
      </c>
      <c r="I19" s="47" t="s">
        <v>103</v>
      </c>
      <c r="J19" s="47" t="s">
        <v>103</v>
      </c>
      <c r="K19" s="47" t="s">
        <v>103</v>
      </c>
      <c r="L19" s="47" t="s">
        <v>103</v>
      </c>
      <c r="M19" s="47" t="s">
        <v>103</v>
      </c>
      <c r="N19" s="47" t="s">
        <v>103</v>
      </c>
      <c r="O19" s="47" t="s">
        <v>103</v>
      </c>
      <c r="P19" s="47" t="s">
        <v>103</v>
      </c>
      <c r="Q19" s="47" t="s">
        <v>103</v>
      </c>
      <c r="R19" s="47" t="s">
        <v>103</v>
      </c>
      <c r="S19" s="47" t="s">
        <v>103</v>
      </c>
      <c r="T19" s="47" t="s">
        <v>103</v>
      </c>
      <c r="U19" s="47">
        <v>221</v>
      </c>
      <c r="V19" s="47" t="s">
        <v>103</v>
      </c>
      <c r="W19" s="47" t="s">
        <v>103</v>
      </c>
      <c r="X19" s="47" t="s">
        <v>103</v>
      </c>
      <c r="Y19" s="47" t="s">
        <v>103</v>
      </c>
      <c r="Z19" s="47" t="s">
        <v>103</v>
      </c>
      <c r="AA19" s="47" t="s">
        <v>103</v>
      </c>
      <c r="AB19" s="47" t="s">
        <v>103</v>
      </c>
      <c r="AC19" s="47" t="s">
        <v>103</v>
      </c>
      <c r="AD19" s="47" t="s">
        <v>103</v>
      </c>
      <c r="AE19" s="47" t="s">
        <v>103</v>
      </c>
      <c r="AF19" s="47" t="s">
        <v>103</v>
      </c>
      <c r="AG19" s="47" t="s">
        <v>103</v>
      </c>
      <c r="AH19" s="47" t="s">
        <v>103</v>
      </c>
      <c r="AI19" s="47">
        <v>24</v>
      </c>
      <c r="AJ19" s="47" t="s">
        <v>103</v>
      </c>
      <c r="AK19" s="47" t="s">
        <v>103</v>
      </c>
      <c r="AL19" s="47" t="s">
        <v>103</v>
      </c>
      <c r="AM19" s="47" t="s">
        <v>103</v>
      </c>
      <c r="AN19" s="47" t="s">
        <v>103</v>
      </c>
      <c r="AO19" s="47" t="s">
        <v>103</v>
      </c>
      <c r="AP19" s="47" t="s">
        <v>103</v>
      </c>
      <c r="AQ19" s="47" t="s">
        <v>103</v>
      </c>
      <c r="AR19" s="47" t="s">
        <v>103</v>
      </c>
      <c r="AS19" s="47" t="s">
        <v>103</v>
      </c>
      <c r="AT19" s="47" t="s">
        <v>103</v>
      </c>
      <c r="AU19" s="47" t="s">
        <v>103</v>
      </c>
      <c r="AV19" s="47" t="s">
        <v>103</v>
      </c>
      <c r="AW19" s="47" t="s">
        <v>103</v>
      </c>
      <c r="AX19" s="47" t="s">
        <v>103</v>
      </c>
      <c r="AY19" s="47" t="s">
        <v>103</v>
      </c>
      <c r="AZ19" s="47" t="s">
        <v>103</v>
      </c>
      <c r="BA19" s="47" t="s">
        <v>103</v>
      </c>
      <c r="BB19" s="47" t="s">
        <v>103</v>
      </c>
      <c r="BC19" s="47" t="s">
        <v>103</v>
      </c>
      <c r="BD19" s="47" t="s">
        <v>103</v>
      </c>
      <c r="BE19" s="47" t="s">
        <v>103</v>
      </c>
      <c r="BF19" s="47" t="s">
        <v>103</v>
      </c>
      <c r="BG19" s="47" t="s">
        <v>103</v>
      </c>
      <c r="BH19" s="47" t="s">
        <v>103</v>
      </c>
      <c r="BI19" s="47" t="s">
        <v>103</v>
      </c>
      <c r="BJ19" s="47" t="s">
        <v>103</v>
      </c>
      <c r="BK19" s="47" t="s">
        <v>103</v>
      </c>
      <c r="BL19" s="47" t="s">
        <v>103</v>
      </c>
      <c r="BM19" s="47" t="s">
        <v>103</v>
      </c>
    </row>
    <row r="20" spans="1:65" ht="15" customHeight="1" x14ac:dyDescent="0.25">
      <c r="A20" s="47" t="s">
        <v>121</v>
      </c>
      <c r="B20" s="47" t="s">
        <v>103</v>
      </c>
      <c r="C20" s="47" t="s">
        <v>103</v>
      </c>
      <c r="D20" s="47" t="s">
        <v>103</v>
      </c>
      <c r="E20" s="47" t="s">
        <v>103</v>
      </c>
      <c r="F20" s="47" t="s">
        <v>103</v>
      </c>
      <c r="G20" s="47" t="s">
        <v>103</v>
      </c>
      <c r="H20" s="47" t="s">
        <v>103</v>
      </c>
      <c r="I20" s="47" t="s">
        <v>103</v>
      </c>
      <c r="J20" s="47" t="s">
        <v>103</v>
      </c>
      <c r="K20" s="47" t="s">
        <v>103</v>
      </c>
      <c r="L20" s="47" t="s">
        <v>103</v>
      </c>
      <c r="M20" s="47" t="s">
        <v>103</v>
      </c>
      <c r="N20" s="47" t="s">
        <v>103</v>
      </c>
      <c r="O20" s="47" t="s">
        <v>103</v>
      </c>
      <c r="P20" s="47" t="s">
        <v>103</v>
      </c>
      <c r="Q20" s="47" t="s">
        <v>103</v>
      </c>
      <c r="R20" s="47" t="s">
        <v>103</v>
      </c>
      <c r="S20" s="47" t="s">
        <v>103</v>
      </c>
      <c r="T20" s="47" t="s">
        <v>103</v>
      </c>
      <c r="U20" s="47">
        <v>221</v>
      </c>
      <c r="V20" s="47" t="s">
        <v>103</v>
      </c>
      <c r="W20" s="47" t="s">
        <v>103</v>
      </c>
      <c r="X20" s="47" t="s">
        <v>103</v>
      </c>
      <c r="Y20" s="47" t="s">
        <v>103</v>
      </c>
      <c r="Z20" s="47" t="s">
        <v>103</v>
      </c>
      <c r="AA20" s="47" t="s">
        <v>103</v>
      </c>
      <c r="AB20" s="47" t="s">
        <v>103</v>
      </c>
      <c r="AC20" s="47" t="s">
        <v>103</v>
      </c>
      <c r="AD20" s="47" t="s">
        <v>103</v>
      </c>
      <c r="AE20" s="47" t="s">
        <v>103</v>
      </c>
      <c r="AF20" s="47" t="s">
        <v>103</v>
      </c>
      <c r="AG20" s="47" t="s">
        <v>103</v>
      </c>
      <c r="AH20" s="47" t="s">
        <v>103</v>
      </c>
      <c r="AI20" s="47">
        <v>32</v>
      </c>
      <c r="AJ20" s="47" t="s">
        <v>103</v>
      </c>
      <c r="AK20" s="47" t="s">
        <v>103</v>
      </c>
      <c r="AL20" s="47" t="s">
        <v>103</v>
      </c>
      <c r="AM20" s="47" t="s">
        <v>103</v>
      </c>
      <c r="AN20" s="47" t="s">
        <v>103</v>
      </c>
      <c r="AO20" s="47" t="s">
        <v>103</v>
      </c>
      <c r="AP20" s="47" t="s">
        <v>103</v>
      </c>
      <c r="AQ20" s="47" t="s">
        <v>103</v>
      </c>
      <c r="AR20" s="47" t="s">
        <v>103</v>
      </c>
      <c r="AS20" s="47" t="s">
        <v>103</v>
      </c>
      <c r="AT20" s="47" t="s">
        <v>103</v>
      </c>
      <c r="AU20" s="47" t="s">
        <v>103</v>
      </c>
      <c r="AV20" s="47" t="s">
        <v>103</v>
      </c>
      <c r="AW20" s="47" t="s">
        <v>103</v>
      </c>
      <c r="AX20" s="47" t="s">
        <v>103</v>
      </c>
      <c r="AY20" s="47" t="s">
        <v>103</v>
      </c>
      <c r="AZ20" s="47" t="s">
        <v>103</v>
      </c>
      <c r="BA20" s="47" t="s">
        <v>103</v>
      </c>
      <c r="BB20" s="47" t="s">
        <v>103</v>
      </c>
      <c r="BC20" s="47" t="s">
        <v>103</v>
      </c>
      <c r="BD20" s="47" t="s">
        <v>103</v>
      </c>
      <c r="BE20" s="47" t="s">
        <v>103</v>
      </c>
      <c r="BF20" s="47" t="s">
        <v>103</v>
      </c>
      <c r="BG20" s="47" t="s">
        <v>103</v>
      </c>
      <c r="BH20" s="47" t="s">
        <v>103</v>
      </c>
      <c r="BI20" s="47" t="s">
        <v>103</v>
      </c>
      <c r="BJ20" s="47" t="s">
        <v>103</v>
      </c>
      <c r="BK20" s="47" t="s">
        <v>103</v>
      </c>
      <c r="BL20" s="47" t="s">
        <v>103</v>
      </c>
      <c r="BM20" s="47" t="s">
        <v>103</v>
      </c>
    </row>
    <row r="21" spans="1:65" ht="15" customHeight="1" x14ac:dyDescent="0.25">
      <c r="A21" s="47" t="s">
        <v>120</v>
      </c>
      <c r="B21" s="47" t="s">
        <v>103</v>
      </c>
      <c r="C21" s="47" t="s">
        <v>103</v>
      </c>
      <c r="D21" s="47" t="s">
        <v>103</v>
      </c>
      <c r="E21" s="47" t="s">
        <v>103</v>
      </c>
      <c r="F21" s="47" t="s">
        <v>103</v>
      </c>
      <c r="G21" s="47" t="s">
        <v>103</v>
      </c>
      <c r="H21" s="47" t="s">
        <v>103</v>
      </c>
      <c r="I21" s="47" t="s">
        <v>103</v>
      </c>
      <c r="J21" s="47" t="s">
        <v>103</v>
      </c>
      <c r="K21" s="47" t="s">
        <v>103</v>
      </c>
      <c r="L21" s="47" t="s">
        <v>103</v>
      </c>
      <c r="M21" s="47" t="s">
        <v>103</v>
      </c>
      <c r="N21" s="47" t="s">
        <v>103</v>
      </c>
      <c r="O21" s="47" t="s">
        <v>103</v>
      </c>
      <c r="P21" s="47" t="s">
        <v>103</v>
      </c>
      <c r="Q21" s="47" t="s">
        <v>103</v>
      </c>
      <c r="R21" s="47" t="s">
        <v>103</v>
      </c>
      <c r="S21" s="47" t="s">
        <v>103</v>
      </c>
      <c r="T21" s="47" t="s">
        <v>103</v>
      </c>
      <c r="U21" s="47">
        <v>218</v>
      </c>
      <c r="V21" s="47" t="s">
        <v>103</v>
      </c>
      <c r="W21" s="47" t="s">
        <v>103</v>
      </c>
      <c r="X21" s="47" t="s">
        <v>103</v>
      </c>
      <c r="Y21" s="47" t="s">
        <v>103</v>
      </c>
      <c r="Z21" s="47" t="s">
        <v>103</v>
      </c>
      <c r="AA21" s="47" t="s">
        <v>103</v>
      </c>
      <c r="AB21" s="47" t="s">
        <v>103</v>
      </c>
      <c r="AC21" s="47" t="s">
        <v>103</v>
      </c>
      <c r="AD21" s="47" t="s">
        <v>103</v>
      </c>
      <c r="AE21" s="47" t="s">
        <v>103</v>
      </c>
      <c r="AF21" s="47" t="s">
        <v>103</v>
      </c>
      <c r="AG21" s="47" t="s">
        <v>103</v>
      </c>
      <c r="AH21" s="47" t="s">
        <v>103</v>
      </c>
      <c r="AI21" s="47">
        <v>35</v>
      </c>
      <c r="AJ21" s="47" t="s">
        <v>103</v>
      </c>
      <c r="AK21" s="47" t="s">
        <v>103</v>
      </c>
      <c r="AL21" s="47" t="s">
        <v>103</v>
      </c>
      <c r="AM21" s="47" t="s">
        <v>103</v>
      </c>
      <c r="AN21" s="47" t="s">
        <v>103</v>
      </c>
      <c r="AO21" s="47" t="s">
        <v>103</v>
      </c>
      <c r="AP21" s="47" t="s">
        <v>103</v>
      </c>
      <c r="AQ21" s="47" t="s">
        <v>103</v>
      </c>
      <c r="AR21" s="47" t="s">
        <v>103</v>
      </c>
      <c r="AS21" s="47" t="s">
        <v>103</v>
      </c>
      <c r="AT21" s="47" t="s">
        <v>103</v>
      </c>
      <c r="AU21" s="47" t="s">
        <v>103</v>
      </c>
      <c r="AV21" s="47" t="s">
        <v>103</v>
      </c>
      <c r="AW21" s="47" t="s">
        <v>103</v>
      </c>
      <c r="AX21" s="47" t="s">
        <v>103</v>
      </c>
      <c r="AY21" s="47" t="s">
        <v>103</v>
      </c>
      <c r="AZ21" s="47" t="s">
        <v>103</v>
      </c>
      <c r="BA21" s="47" t="s">
        <v>103</v>
      </c>
      <c r="BB21" s="47" t="s">
        <v>103</v>
      </c>
      <c r="BC21" s="47" t="s">
        <v>103</v>
      </c>
      <c r="BD21" s="47" t="s">
        <v>103</v>
      </c>
      <c r="BE21" s="47" t="s">
        <v>103</v>
      </c>
      <c r="BF21" s="47" t="s">
        <v>103</v>
      </c>
      <c r="BG21" s="47" t="s">
        <v>103</v>
      </c>
      <c r="BH21" s="47" t="s">
        <v>103</v>
      </c>
      <c r="BI21" s="47" t="s">
        <v>103</v>
      </c>
      <c r="BJ21" s="47" t="s">
        <v>103</v>
      </c>
      <c r="BK21" s="47" t="s">
        <v>103</v>
      </c>
      <c r="BL21" s="47" t="s">
        <v>103</v>
      </c>
      <c r="BM21" s="47" t="s">
        <v>103</v>
      </c>
    </row>
    <row r="22" spans="1:65" ht="15" customHeight="1" x14ac:dyDescent="0.25">
      <c r="A22" s="47" t="s">
        <v>119</v>
      </c>
      <c r="B22" s="47" t="s">
        <v>103</v>
      </c>
      <c r="C22" s="47" t="s">
        <v>103</v>
      </c>
      <c r="D22" s="47" t="s">
        <v>103</v>
      </c>
      <c r="E22" s="47" t="s">
        <v>103</v>
      </c>
      <c r="F22" s="47" t="s">
        <v>103</v>
      </c>
      <c r="G22" s="47" t="s">
        <v>103</v>
      </c>
      <c r="H22" s="47" t="s">
        <v>103</v>
      </c>
      <c r="I22" s="47" t="s">
        <v>103</v>
      </c>
      <c r="J22" s="47" t="s">
        <v>103</v>
      </c>
      <c r="K22" s="47" t="s">
        <v>103</v>
      </c>
      <c r="L22" s="47" t="s">
        <v>103</v>
      </c>
      <c r="M22" s="47" t="s">
        <v>103</v>
      </c>
      <c r="N22" s="47" t="s">
        <v>103</v>
      </c>
      <c r="O22" s="47" t="s">
        <v>103</v>
      </c>
      <c r="P22" s="47" t="s">
        <v>103</v>
      </c>
      <c r="Q22" s="47" t="s">
        <v>103</v>
      </c>
      <c r="R22" s="47" t="s">
        <v>103</v>
      </c>
      <c r="S22" s="47" t="s">
        <v>103</v>
      </c>
      <c r="T22" s="47" t="s">
        <v>103</v>
      </c>
      <c r="U22" s="47">
        <v>215</v>
      </c>
      <c r="V22" s="47" t="s">
        <v>103</v>
      </c>
      <c r="W22" s="47" t="s">
        <v>103</v>
      </c>
      <c r="X22" s="47" t="s">
        <v>103</v>
      </c>
      <c r="Y22" s="47" t="s">
        <v>103</v>
      </c>
      <c r="Z22" s="47" t="s">
        <v>103</v>
      </c>
      <c r="AA22" s="47" t="s">
        <v>103</v>
      </c>
      <c r="AB22" s="47" t="s">
        <v>103</v>
      </c>
      <c r="AC22" s="47" t="s">
        <v>103</v>
      </c>
      <c r="AD22" s="47" t="s">
        <v>103</v>
      </c>
      <c r="AE22" s="47" t="s">
        <v>103</v>
      </c>
      <c r="AF22" s="47" t="s">
        <v>103</v>
      </c>
      <c r="AG22" s="47" t="s">
        <v>103</v>
      </c>
      <c r="AH22" s="47" t="s">
        <v>103</v>
      </c>
      <c r="AI22" s="47">
        <v>31</v>
      </c>
      <c r="AJ22" s="47" t="s">
        <v>103</v>
      </c>
      <c r="AK22" s="47" t="s">
        <v>103</v>
      </c>
      <c r="AL22" s="47" t="s">
        <v>103</v>
      </c>
      <c r="AM22" s="47" t="s">
        <v>103</v>
      </c>
      <c r="AN22" s="47" t="s">
        <v>103</v>
      </c>
      <c r="AO22" s="47" t="s">
        <v>103</v>
      </c>
      <c r="AP22" s="47" t="s">
        <v>103</v>
      </c>
      <c r="AQ22" s="47" t="s">
        <v>103</v>
      </c>
      <c r="AR22" s="47" t="s">
        <v>103</v>
      </c>
      <c r="AS22" s="47" t="s">
        <v>103</v>
      </c>
      <c r="AT22" s="47" t="s">
        <v>103</v>
      </c>
      <c r="AU22" s="47" t="s">
        <v>103</v>
      </c>
      <c r="AV22" s="47" t="s">
        <v>103</v>
      </c>
      <c r="AW22" s="47" t="s">
        <v>103</v>
      </c>
      <c r="AX22" s="47" t="s">
        <v>103</v>
      </c>
      <c r="AY22" s="47" t="s">
        <v>103</v>
      </c>
      <c r="AZ22" s="47" t="s">
        <v>103</v>
      </c>
      <c r="BA22" s="47" t="s">
        <v>103</v>
      </c>
      <c r="BB22" s="47" t="s">
        <v>103</v>
      </c>
      <c r="BC22" s="47" t="s">
        <v>103</v>
      </c>
      <c r="BD22" s="47" t="s">
        <v>103</v>
      </c>
      <c r="BE22" s="47" t="s">
        <v>103</v>
      </c>
      <c r="BF22" s="47" t="s">
        <v>103</v>
      </c>
      <c r="BG22" s="47" t="s">
        <v>103</v>
      </c>
      <c r="BH22" s="47" t="s">
        <v>103</v>
      </c>
      <c r="BI22" s="47" t="s">
        <v>103</v>
      </c>
      <c r="BJ22" s="47" t="s">
        <v>103</v>
      </c>
      <c r="BK22" s="47" t="s">
        <v>103</v>
      </c>
      <c r="BL22" s="47" t="s">
        <v>103</v>
      </c>
      <c r="BM22" s="47" t="s">
        <v>103</v>
      </c>
    </row>
    <row r="23" spans="1:65" ht="15" customHeight="1" x14ac:dyDescent="0.25">
      <c r="A23" s="47" t="s">
        <v>118</v>
      </c>
      <c r="B23" s="47" t="s">
        <v>103</v>
      </c>
      <c r="C23" s="47" t="s">
        <v>103</v>
      </c>
      <c r="D23" s="47" t="s">
        <v>103</v>
      </c>
      <c r="E23" s="47" t="s">
        <v>103</v>
      </c>
      <c r="F23" s="47" t="s">
        <v>103</v>
      </c>
      <c r="G23" s="47" t="s">
        <v>103</v>
      </c>
      <c r="H23" s="47" t="s">
        <v>103</v>
      </c>
      <c r="I23" s="47" t="s">
        <v>103</v>
      </c>
      <c r="J23" s="47" t="s">
        <v>103</v>
      </c>
      <c r="K23" s="47" t="s">
        <v>103</v>
      </c>
      <c r="L23" s="47" t="s">
        <v>103</v>
      </c>
      <c r="M23" s="47" t="s">
        <v>103</v>
      </c>
      <c r="N23" s="47" t="s">
        <v>103</v>
      </c>
      <c r="O23" s="47" t="s">
        <v>103</v>
      </c>
      <c r="P23" s="47" t="s">
        <v>103</v>
      </c>
      <c r="Q23" s="47" t="s">
        <v>103</v>
      </c>
      <c r="R23" s="47" t="s">
        <v>103</v>
      </c>
      <c r="S23" s="47" t="s">
        <v>103</v>
      </c>
      <c r="T23" s="47" t="s">
        <v>103</v>
      </c>
      <c r="U23" s="47">
        <v>0</v>
      </c>
      <c r="V23" s="47" t="s">
        <v>103</v>
      </c>
      <c r="W23" s="47" t="s">
        <v>103</v>
      </c>
      <c r="X23" s="47" t="s">
        <v>103</v>
      </c>
      <c r="Y23" s="47" t="s">
        <v>103</v>
      </c>
      <c r="Z23" s="47" t="s">
        <v>103</v>
      </c>
      <c r="AA23" s="47" t="s">
        <v>103</v>
      </c>
      <c r="AB23" s="47" t="s">
        <v>103</v>
      </c>
      <c r="AC23" s="47" t="s">
        <v>103</v>
      </c>
      <c r="AD23" s="47" t="s">
        <v>103</v>
      </c>
      <c r="AE23" s="47" t="s">
        <v>103</v>
      </c>
      <c r="AF23" s="47" t="s">
        <v>103</v>
      </c>
      <c r="AG23" s="47" t="s">
        <v>103</v>
      </c>
      <c r="AH23" s="47" t="s">
        <v>103</v>
      </c>
      <c r="AI23" s="47">
        <v>0</v>
      </c>
      <c r="AJ23" s="47" t="s">
        <v>103</v>
      </c>
      <c r="AK23" s="47" t="s">
        <v>103</v>
      </c>
      <c r="AL23" s="47" t="s">
        <v>103</v>
      </c>
      <c r="AM23" s="47" t="s">
        <v>103</v>
      </c>
      <c r="AN23" s="47" t="s">
        <v>103</v>
      </c>
      <c r="AO23" s="47" t="s">
        <v>103</v>
      </c>
      <c r="AP23" s="47" t="s">
        <v>103</v>
      </c>
      <c r="AQ23" s="47" t="s">
        <v>103</v>
      </c>
      <c r="AR23" s="47" t="s">
        <v>103</v>
      </c>
      <c r="AS23" s="47" t="s">
        <v>103</v>
      </c>
      <c r="AT23" s="47" t="s">
        <v>103</v>
      </c>
      <c r="AU23" s="47" t="s">
        <v>103</v>
      </c>
      <c r="AV23" s="47" t="s">
        <v>103</v>
      </c>
      <c r="AW23" s="47" t="s">
        <v>103</v>
      </c>
      <c r="AX23" s="47" t="s">
        <v>103</v>
      </c>
      <c r="AY23" s="47" t="s">
        <v>103</v>
      </c>
      <c r="AZ23" s="47" t="s">
        <v>103</v>
      </c>
      <c r="BA23" s="47" t="s">
        <v>103</v>
      </c>
      <c r="BB23" s="47" t="s">
        <v>103</v>
      </c>
      <c r="BC23" s="47" t="s">
        <v>103</v>
      </c>
      <c r="BD23" s="47" t="s">
        <v>103</v>
      </c>
      <c r="BE23" s="47" t="s">
        <v>103</v>
      </c>
      <c r="BF23" s="47" t="s">
        <v>103</v>
      </c>
      <c r="BG23" s="47" t="s">
        <v>103</v>
      </c>
      <c r="BH23" s="47" t="s">
        <v>103</v>
      </c>
      <c r="BI23" s="47" t="s">
        <v>103</v>
      </c>
      <c r="BJ23" s="47" t="s">
        <v>103</v>
      </c>
      <c r="BK23" s="47" t="s">
        <v>103</v>
      </c>
      <c r="BL23" s="47" t="s">
        <v>103</v>
      </c>
      <c r="BM23" s="47" t="s">
        <v>103</v>
      </c>
    </row>
    <row r="24" spans="1:65" ht="15" customHeight="1" x14ac:dyDescent="0.25">
      <c r="A24" s="47" t="s">
        <v>117</v>
      </c>
      <c r="B24" s="47" t="s">
        <v>103</v>
      </c>
      <c r="C24" s="47" t="s">
        <v>103</v>
      </c>
      <c r="D24" s="47" t="s">
        <v>103</v>
      </c>
      <c r="E24" s="47" t="s">
        <v>103</v>
      </c>
      <c r="F24" s="47" t="s">
        <v>103</v>
      </c>
      <c r="G24" s="47" t="s">
        <v>103</v>
      </c>
      <c r="H24" s="47" t="s">
        <v>103</v>
      </c>
      <c r="I24" s="47" t="s">
        <v>103</v>
      </c>
      <c r="J24" s="47" t="s">
        <v>103</v>
      </c>
      <c r="K24" s="47" t="s">
        <v>103</v>
      </c>
      <c r="L24" s="47" t="s">
        <v>103</v>
      </c>
      <c r="M24" s="47" t="s">
        <v>103</v>
      </c>
      <c r="N24" s="47" t="s">
        <v>103</v>
      </c>
      <c r="O24" s="47" t="s">
        <v>103</v>
      </c>
      <c r="P24" s="47" t="s">
        <v>103</v>
      </c>
      <c r="Q24" s="47" t="s">
        <v>103</v>
      </c>
      <c r="R24" s="47" t="s">
        <v>103</v>
      </c>
      <c r="S24" s="47" t="s">
        <v>103</v>
      </c>
      <c r="T24" s="47" t="s">
        <v>103</v>
      </c>
      <c r="U24" s="47">
        <v>139</v>
      </c>
      <c r="V24" s="47" t="s">
        <v>103</v>
      </c>
      <c r="W24" s="47" t="s">
        <v>103</v>
      </c>
      <c r="X24" s="47" t="s">
        <v>103</v>
      </c>
      <c r="Y24" s="47" t="s">
        <v>103</v>
      </c>
      <c r="Z24" s="47" t="s">
        <v>103</v>
      </c>
      <c r="AA24" s="47" t="s">
        <v>103</v>
      </c>
      <c r="AB24" s="47" t="s">
        <v>103</v>
      </c>
      <c r="AC24" s="47" t="s">
        <v>103</v>
      </c>
      <c r="AD24" s="47" t="s">
        <v>103</v>
      </c>
      <c r="AE24" s="47" t="s">
        <v>103</v>
      </c>
      <c r="AF24" s="47" t="s">
        <v>103</v>
      </c>
      <c r="AG24" s="47" t="s">
        <v>103</v>
      </c>
      <c r="AH24" s="47" t="s">
        <v>103</v>
      </c>
      <c r="AI24" s="47">
        <v>31</v>
      </c>
      <c r="AJ24" s="47" t="s">
        <v>103</v>
      </c>
      <c r="AK24" s="47" t="s">
        <v>103</v>
      </c>
      <c r="AL24" s="47" t="s">
        <v>103</v>
      </c>
      <c r="AM24" s="47" t="s">
        <v>103</v>
      </c>
      <c r="AN24" s="47" t="s">
        <v>103</v>
      </c>
      <c r="AO24" s="47" t="s">
        <v>103</v>
      </c>
      <c r="AP24" s="47" t="s">
        <v>103</v>
      </c>
      <c r="AQ24" s="47" t="s">
        <v>103</v>
      </c>
      <c r="AR24" s="47" t="s">
        <v>103</v>
      </c>
      <c r="AS24" s="47" t="s">
        <v>103</v>
      </c>
      <c r="AT24" s="47" t="s">
        <v>103</v>
      </c>
      <c r="AU24" s="47" t="s">
        <v>103</v>
      </c>
      <c r="AV24" s="47" t="s">
        <v>103</v>
      </c>
      <c r="AW24" s="47" t="s">
        <v>103</v>
      </c>
      <c r="AX24" s="47" t="s">
        <v>103</v>
      </c>
      <c r="AY24" s="47" t="s">
        <v>103</v>
      </c>
      <c r="AZ24" s="47" t="s">
        <v>103</v>
      </c>
      <c r="BA24" s="47" t="s">
        <v>103</v>
      </c>
      <c r="BB24" s="47" t="s">
        <v>103</v>
      </c>
      <c r="BC24" s="47" t="s">
        <v>103</v>
      </c>
      <c r="BD24" s="47" t="s">
        <v>103</v>
      </c>
      <c r="BE24" s="47" t="s">
        <v>103</v>
      </c>
      <c r="BF24" s="47" t="s">
        <v>103</v>
      </c>
      <c r="BG24" s="47" t="s">
        <v>103</v>
      </c>
      <c r="BH24" s="47" t="s">
        <v>103</v>
      </c>
      <c r="BI24" s="47" t="s">
        <v>103</v>
      </c>
      <c r="BJ24" s="47" t="s">
        <v>103</v>
      </c>
      <c r="BK24" s="47" t="s">
        <v>103</v>
      </c>
      <c r="BL24" s="47" t="s">
        <v>103</v>
      </c>
      <c r="BM24" s="47" t="s">
        <v>103</v>
      </c>
    </row>
    <row r="25" spans="1:65" ht="15" customHeight="1" x14ac:dyDescent="0.25">
      <c r="A25" s="47" t="s">
        <v>116</v>
      </c>
      <c r="B25" s="47" t="s">
        <v>103</v>
      </c>
      <c r="C25" s="47" t="s">
        <v>103</v>
      </c>
      <c r="D25" s="47" t="s">
        <v>103</v>
      </c>
      <c r="E25" s="47" t="s">
        <v>103</v>
      </c>
      <c r="F25" s="47" t="s">
        <v>103</v>
      </c>
      <c r="G25" s="47" t="s">
        <v>103</v>
      </c>
      <c r="H25" s="47" t="s">
        <v>103</v>
      </c>
      <c r="I25" s="47" t="s">
        <v>103</v>
      </c>
      <c r="J25" s="47" t="s">
        <v>103</v>
      </c>
      <c r="K25" s="47" t="s">
        <v>103</v>
      </c>
      <c r="L25" s="47" t="s">
        <v>103</v>
      </c>
      <c r="M25" s="47" t="s">
        <v>103</v>
      </c>
      <c r="N25" s="47" t="s">
        <v>103</v>
      </c>
      <c r="O25" s="47" t="s">
        <v>103</v>
      </c>
      <c r="P25" s="47" t="s">
        <v>103</v>
      </c>
      <c r="Q25" s="47" t="s">
        <v>103</v>
      </c>
      <c r="R25" s="47" t="s">
        <v>103</v>
      </c>
      <c r="S25" s="47" t="s">
        <v>103</v>
      </c>
      <c r="T25" s="47" t="s">
        <v>103</v>
      </c>
      <c r="U25" s="47">
        <v>130</v>
      </c>
      <c r="V25" s="47" t="s">
        <v>103</v>
      </c>
      <c r="W25" s="47" t="s">
        <v>103</v>
      </c>
      <c r="X25" s="47" t="s">
        <v>103</v>
      </c>
      <c r="Y25" s="47" t="s">
        <v>103</v>
      </c>
      <c r="Z25" s="47" t="s">
        <v>103</v>
      </c>
      <c r="AA25" s="47" t="s">
        <v>103</v>
      </c>
      <c r="AB25" s="47" t="s">
        <v>103</v>
      </c>
      <c r="AC25" s="47" t="s">
        <v>103</v>
      </c>
      <c r="AD25" s="47" t="s">
        <v>103</v>
      </c>
      <c r="AE25" s="47" t="s">
        <v>103</v>
      </c>
      <c r="AF25" s="47" t="s">
        <v>103</v>
      </c>
      <c r="AG25" s="47" t="s">
        <v>103</v>
      </c>
      <c r="AH25" s="47" t="s">
        <v>103</v>
      </c>
      <c r="AI25" s="47">
        <v>23</v>
      </c>
      <c r="AJ25" s="47" t="s">
        <v>103</v>
      </c>
      <c r="AK25" s="47" t="s">
        <v>103</v>
      </c>
      <c r="AL25" s="47" t="s">
        <v>103</v>
      </c>
      <c r="AM25" s="47" t="s">
        <v>103</v>
      </c>
      <c r="AN25" s="47" t="s">
        <v>103</v>
      </c>
      <c r="AO25" s="47" t="s">
        <v>103</v>
      </c>
      <c r="AP25" s="47" t="s">
        <v>103</v>
      </c>
      <c r="AQ25" s="47" t="s">
        <v>103</v>
      </c>
      <c r="AR25" s="47" t="s">
        <v>103</v>
      </c>
      <c r="AS25" s="47" t="s">
        <v>103</v>
      </c>
      <c r="AT25" s="47" t="s">
        <v>103</v>
      </c>
      <c r="AU25" s="47" t="s">
        <v>103</v>
      </c>
      <c r="AV25" s="47" t="s">
        <v>103</v>
      </c>
      <c r="AW25" s="47" t="s">
        <v>103</v>
      </c>
      <c r="AX25" s="47" t="s">
        <v>103</v>
      </c>
      <c r="AY25" s="47" t="s">
        <v>103</v>
      </c>
      <c r="AZ25" s="47" t="s">
        <v>103</v>
      </c>
      <c r="BA25" s="47" t="s">
        <v>103</v>
      </c>
      <c r="BB25" s="47" t="s">
        <v>103</v>
      </c>
      <c r="BC25" s="47" t="s">
        <v>103</v>
      </c>
      <c r="BD25" s="47" t="s">
        <v>103</v>
      </c>
      <c r="BE25" s="47" t="s">
        <v>103</v>
      </c>
      <c r="BF25" s="47" t="s">
        <v>103</v>
      </c>
      <c r="BG25" s="47" t="s">
        <v>103</v>
      </c>
      <c r="BH25" s="47" t="s">
        <v>103</v>
      </c>
      <c r="BI25" s="47" t="s">
        <v>103</v>
      </c>
      <c r="BJ25" s="47" t="s">
        <v>103</v>
      </c>
      <c r="BK25" s="47" t="s">
        <v>103</v>
      </c>
      <c r="BL25" s="47" t="s">
        <v>103</v>
      </c>
      <c r="BM25" s="47" t="s">
        <v>103</v>
      </c>
    </row>
    <row r="26" spans="1:65" ht="15" customHeight="1" x14ac:dyDescent="0.25">
      <c r="A26" s="47" t="s">
        <v>115</v>
      </c>
      <c r="B26" s="47" t="s">
        <v>103</v>
      </c>
      <c r="C26" s="47" t="s">
        <v>103</v>
      </c>
      <c r="D26" s="47" t="s">
        <v>103</v>
      </c>
      <c r="E26" s="47" t="s">
        <v>103</v>
      </c>
      <c r="F26" s="47" t="s">
        <v>103</v>
      </c>
      <c r="G26" s="47" t="s">
        <v>103</v>
      </c>
      <c r="H26" s="47" t="s">
        <v>103</v>
      </c>
      <c r="I26" s="47" t="s">
        <v>103</v>
      </c>
      <c r="J26" s="47" t="s">
        <v>103</v>
      </c>
      <c r="K26" s="47" t="s">
        <v>103</v>
      </c>
      <c r="L26" s="47" t="s">
        <v>103</v>
      </c>
      <c r="M26" s="47" t="s">
        <v>103</v>
      </c>
      <c r="N26" s="47" t="s">
        <v>103</v>
      </c>
      <c r="O26" s="47" t="s">
        <v>103</v>
      </c>
      <c r="P26" s="47" t="s">
        <v>103</v>
      </c>
      <c r="Q26" s="47" t="s">
        <v>103</v>
      </c>
      <c r="R26" s="47" t="s">
        <v>103</v>
      </c>
      <c r="S26" s="47" t="s">
        <v>103</v>
      </c>
      <c r="T26" s="47" t="s">
        <v>103</v>
      </c>
      <c r="U26" s="47">
        <v>130</v>
      </c>
      <c r="V26" s="47" t="s">
        <v>103</v>
      </c>
      <c r="W26" s="47" t="s">
        <v>103</v>
      </c>
      <c r="X26" s="47" t="s">
        <v>103</v>
      </c>
      <c r="Y26" s="47" t="s">
        <v>103</v>
      </c>
      <c r="Z26" s="47" t="s">
        <v>103</v>
      </c>
      <c r="AA26" s="47" t="s">
        <v>103</v>
      </c>
      <c r="AB26" s="47" t="s">
        <v>103</v>
      </c>
      <c r="AC26" s="47" t="s">
        <v>103</v>
      </c>
      <c r="AD26" s="47" t="s">
        <v>103</v>
      </c>
      <c r="AE26" s="47" t="s">
        <v>103</v>
      </c>
      <c r="AF26" s="47" t="s">
        <v>103</v>
      </c>
      <c r="AG26" s="47" t="s">
        <v>103</v>
      </c>
      <c r="AH26" s="47" t="s">
        <v>103</v>
      </c>
      <c r="AI26" s="47">
        <v>28</v>
      </c>
      <c r="AJ26" s="47" t="s">
        <v>103</v>
      </c>
      <c r="AK26" s="47" t="s">
        <v>103</v>
      </c>
      <c r="AL26" s="47" t="s">
        <v>103</v>
      </c>
      <c r="AM26" s="47" t="s">
        <v>103</v>
      </c>
      <c r="AN26" s="47" t="s">
        <v>103</v>
      </c>
      <c r="AO26" s="47" t="s">
        <v>103</v>
      </c>
      <c r="AP26" s="47" t="s">
        <v>103</v>
      </c>
      <c r="AQ26" s="47" t="s">
        <v>103</v>
      </c>
      <c r="AR26" s="47" t="s">
        <v>103</v>
      </c>
      <c r="AS26" s="47" t="s">
        <v>103</v>
      </c>
      <c r="AT26" s="47" t="s">
        <v>103</v>
      </c>
      <c r="AU26" s="47" t="s">
        <v>103</v>
      </c>
      <c r="AV26" s="47" t="s">
        <v>103</v>
      </c>
      <c r="AW26" s="47" t="s">
        <v>103</v>
      </c>
      <c r="AX26" s="47" t="s">
        <v>103</v>
      </c>
      <c r="AY26" s="47" t="s">
        <v>103</v>
      </c>
      <c r="AZ26" s="47" t="s">
        <v>103</v>
      </c>
      <c r="BA26" s="47" t="s">
        <v>103</v>
      </c>
      <c r="BB26" s="47" t="s">
        <v>103</v>
      </c>
      <c r="BC26" s="47" t="s">
        <v>103</v>
      </c>
      <c r="BD26" s="47" t="s">
        <v>103</v>
      </c>
      <c r="BE26" s="47" t="s">
        <v>103</v>
      </c>
      <c r="BF26" s="47" t="s">
        <v>103</v>
      </c>
      <c r="BG26" s="47" t="s">
        <v>103</v>
      </c>
      <c r="BH26" s="47" t="s">
        <v>103</v>
      </c>
      <c r="BI26" s="47" t="s">
        <v>103</v>
      </c>
      <c r="BJ26" s="47" t="s">
        <v>103</v>
      </c>
      <c r="BK26" s="47" t="s">
        <v>103</v>
      </c>
      <c r="BL26" s="47" t="s">
        <v>103</v>
      </c>
      <c r="BM26" s="47" t="s">
        <v>103</v>
      </c>
    </row>
    <row r="27" spans="1:65" ht="15" customHeight="1" x14ac:dyDescent="0.25">
      <c r="A27" s="47" t="s">
        <v>114</v>
      </c>
      <c r="B27" s="47" t="s">
        <v>103</v>
      </c>
      <c r="C27" s="47" t="s">
        <v>103</v>
      </c>
      <c r="D27" s="47" t="s">
        <v>103</v>
      </c>
      <c r="E27" s="47" t="s">
        <v>103</v>
      </c>
      <c r="F27" s="47" t="s">
        <v>103</v>
      </c>
      <c r="G27" s="47" t="s">
        <v>103</v>
      </c>
      <c r="H27" s="47" t="s">
        <v>103</v>
      </c>
      <c r="I27" s="47" t="s">
        <v>103</v>
      </c>
      <c r="J27" s="47" t="s">
        <v>103</v>
      </c>
      <c r="K27" s="47" t="s">
        <v>103</v>
      </c>
      <c r="L27" s="47" t="s">
        <v>103</v>
      </c>
      <c r="M27" s="47" t="s">
        <v>103</v>
      </c>
      <c r="N27" s="47" t="s">
        <v>103</v>
      </c>
      <c r="O27" s="47" t="s">
        <v>103</v>
      </c>
      <c r="P27" s="47" t="s">
        <v>103</v>
      </c>
      <c r="Q27" s="47" t="s">
        <v>103</v>
      </c>
      <c r="R27" s="47" t="s">
        <v>103</v>
      </c>
      <c r="S27" s="47" t="s">
        <v>103</v>
      </c>
      <c r="T27" s="47" t="s">
        <v>103</v>
      </c>
      <c r="U27" s="47">
        <v>122</v>
      </c>
      <c r="V27" s="47" t="s">
        <v>103</v>
      </c>
      <c r="W27" s="47" t="s">
        <v>103</v>
      </c>
      <c r="X27" s="47" t="s">
        <v>103</v>
      </c>
      <c r="Y27" s="47" t="s">
        <v>103</v>
      </c>
      <c r="Z27" s="47" t="s">
        <v>103</v>
      </c>
      <c r="AA27" s="47" t="s">
        <v>103</v>
      </c>
      <c r="AB27" s="47" t="s">
        <v>103</v>
      </c>
      <c r="AC27" s="47" t="s">
        <v>103</v>
      </c>
      <c r="AD27" s="47" t="s">
        <v>103</v>
      </c>
      <c r="AE27" s="47" t="s">
        <v>103</v>
      </c>
      <c r="AF27" s="47" t="s">
        <v>103</v>
      </c>
      <c r="AG27" s="47" t="s">
        <v>103</v>
      </c>
      <c r="AH27" s="47" t="s">
        <v>103</v>
      </c>
      <c r="AI27" s="47">
        <v>22</v>
      </c>
      <c r="AJ27" s="47" t="s">
        <v>103</v>
      </c>
      <c r="AK27" s="47" t="s">
        <v>103</v>
      </c>
      <c r="AL27" s="47" t="s">
        <v>103</v>
      </c>
      <c r="AM27" s="47" t="s">
        <v>103</v>
      </c>
      <c r="AN27" s="47" t="s">
        <v>103</v>
      </c>
      <c r="AO27" s="47" t="s">
        <v>103</v>
      </c>
      <c r="AP27" s="47" t="s">
        <v>103</v>
      </c>
      <c r="AQ27" s="47" t="s">
        <v>103</v>
      </c>
      <c r="AR27" s="47" t="s">
        <v>103</v>
      </c>
      <c r="AS27" s="47" t="s">
        <v>103</v>
      </c>
      <c r="AT27" s="47" t="s">
        <v>103</v>
      </c>
      <c r="AU27" s="47" t="s">
        <v>103</v>
      </c>
      <c r="AV27" s="47" t="s">
        <v>103</v>
      </c>
      <c r="AW27" s="47" t="s">
        <v>103</v>
      </c>
      <c r="AX27" s="47" t="s">
        <v>103</v>
      </c>
      <c r="AY27" s="47" t="s">
        <v>103</v>
      </c>
      <c r="AZ27" s="47" t="s">
        <v>103</v>
      </c>
      <c r="BA27" s="47" t="s">
        <v>103</v>
      </c>
      <c r="BB27" s="47" t="s">
        <v>103</v>
      </c>
      <c r="BC27" s="47" t="s">
        <v>103</v>
      </c>
      <c r="BD27" s="47" t="s">
        <v>103</v>
      </c>
      <c r="BE27" s="47" t="s">
        <v>103</v>
      </c>
      <c r="BF27" s="47" t="s">
        <v>103</v>
      </c>
      <c r="BG27" s="47" t="s">
        <v>103</v>
      </c>
      <c r="BH27" s="47" t="s">
        <v>103</v>
      </c>
      <c r="BI27" s="47" t="s">
        <v>103</v>
      </c>
      <c r="BJ27" s="47" t="s">
        <v>103</v>
      </c>
      <c r="BK27" s="47" t="s">
        <v>103</v>
      </c>
      <c r="BL27" s="47" t="s">
        <v>103</v>
      </c>
      <c r="BM27" s="47" t="s">
        <v>103</v>
      </c>
    </row>
    <row r="28" spans="1:65" ht="15" customHeight="1" x14ac:dyDescent="0.25">
      <c r="A28" s="47" t="s">
        <v>113</v>
      </c>
      <c r="B28" s="47" t="s">
        <v>103</v>
      </c>
      <c r="C28" s="47" t="s">
        <v>103</v>
      </c>
      <c r="D28" s="47" t="s">
        <v>103</v>
      </c>
      <c r="E28" s="47" t="s">
        <v>103</v>
      </c>
      <c r="F28" s="47" t="s">
        <v>103</v>
      </c>
      <c r="G28" s="47" t="s">
        <v>103</v>
      </c>
      <c r="H28" s="47" t="s">
        <v>103</v>
      </c>
      <c r="I28" s="47" t="s">
        <v>103</v>
      </c>
      <c r="J28" s="47" t="s">
        <v>103</v>
      </c>
      <c r="K28" s="47" t="s">
        <v>103</v>
      </c>
      <c r="L28" s="47" t="s">
        <v>103</v>
      </c>
      <c r="M28" s="47" t="s">
        <v>103</v>
      </c>
      <c r="N28" s="47" t="s">
        <v>103</v>
      </c>
      <c r="O28" s="47" t="s">
        <v>103</v>
      </c>
      <c r="P28" s="47" t="s">
        <v>103</v>
      </c>
      <c r="Q28" s="47" t="s">
        <v>103</v>
      </c>
      <c r="R28" s="47" t="s">
        <v>103</v>
      </c>
      <c r="S28" s="47" t="s">
        <v>103</v>
      </c>
      <c r="T28" s="47" t="s">
        <v>103</v>
      </c>
      <c r="U28" s="47">
        <v>0</v>
      </c>
      <c r="V28" s="47" t="s">
        <v>103</v>
      </c>
      <c r="W28" s="47" t="s">
        <v>103</v>
      </c>
      <c r="X28" s="47" t="s">
        <v>103</v>
      </c>
      <c r="Y28" s="47" t="s">
        <v>103</v>
      </c>
      <c r="Z28" s="47" t="s">
        <v>103</v>
      </c>
      <c r="AA28" s="47" t="s">
        <v>103</v>
      </c>
      <c r="AB28" s="47" t="s">
        <v>103</v>
      </c>
      <c r="AC28" s="47" t="s">
        <v>103</v>
      </c>
      <c r="AD28" s="47" t="s">
        <v>103</v>
      </c>
      <c r="AE28" s="47" t="s">
        <v>103</v>
      </c>
      <c r="AF28" s="47" t="s">
        <v>103</v>
      </c>
      <c r="AG28" s="47" t="s">
        <v>103</v>
      </c>
      <c r="AH28" s="47" t="s">
        <v>103</v>
      </c>
      <c r="AI28" s="47">
        <v>0</v>
      </c>
      <c r="AJ28" s="47" t="s">
        <v>103</v>
      </c>
      <c r="AK28" s="47" t="s">
        <v>103</v>
      </c>
      <c r="AL28" s="47" t="s">
        <v>103</v>
      </c>
      <c r="AM28" s="47" t="s">
        <v>103</v>
      </c>
      <c r="AN28" s="47" t="s">
        <v>103</v>
      </c>
      <c r="AO28" s="47" t="s">
        <v>103</v>
      </c>
      <c r="AP28" s="47" t="s">
        <v>103</v>
      </c>
      <c r="AQ28" s="47" t="s">
        <v>103</v>
      </c>
      <c r="AR28" s="47" t="s">
        <v>103</v>
      </c>
      <c r="AS28" s="47" t="s">
        <v>103</v>
      </c>
      <c r="AT28" s="47" t="s">
        <v>103</v>
      </c>
      <c r="AU28" s="47" t="s">
        <v>103</v>
      </c>
      <c r="AV28" s="47" t="s">
        <v>103</v>
      </c>
      <c r="AW28" s="47" t="s">
        <v>103</v>
      </c>
      <c r="AX28" s="47" t="s">
        <v>103</v>
      </c>
      <c r="AY28" s="47" t="s">
        <v>103</v>
      </c>
      <c r="AZ28" s="47" t="s">
        <v>103</v>
      </c>
      <c r="BA28" s="47" t="s">
        <v>103</v>
      </c>
      <c r="BB28" s="47" t="s">
        <v>103</v>
      </c>
      <c r="BC28" s="47" t="s">
        <v>103</v>
      </c>
      <c r="BD28" s="47" t="s">
        <v>103</v>
      </c>
      <c r="BE28" s="47" t="s">
        <v>103</v>
      </c>
      <c r="BF28" s="47" t="s">
        <v>103</v>
      </c>
      <c r="BG28" s="47" t="s">
        <v>103</v>
      </c>
      <c r="BH28" s="47" t="s">
        <v>103</v>
      </c>
      <c r="BI28" s="47" t="s">
        <v>103</v>
      </c>
      <c r="BJ28" s="47" t="s">
        <v>103</v>
      </c>
      <c r="BK28" s="47" t="s">
        <v>103</v>
      </c>
      <c r="BL28" s="47" t="s">
        <v>103</v>
      </c>
      <c r="BM28" s="47" t="s">
        <v>103</v>
      </c>
    </row>
    <row r="29" spans="1:65" ht="15" customHeight="1" x14ac:dyDescent="0.25">
      <c r="A29" s="47" t="s">
        <v>112</v>
      </c>
      <c r="B29" s="47" t="s">
        <v>103</v>
      </c>
      <c r="C29" s="47" t="s">
        <v>103</v>
      </c>
      <c r="D29" s="47" t="s">
        <v>103</v>
      </c>
      <c r="E29" s="47" t="s">
        <v>103</v>
      </c>
      <c r="F29" s="47" t="s">
        <v>103</v>
      </c>
      <c r="G29" s="47" t="s">
        <v>103</v>
      </c>
      <c r="H29" s="47" t="s">
        <v>103</v>
      </c>
      <c r="I29" s="47" t="s">
        <v>103</v>
      </c>
      <c r="J29" s="47" t="s">
        <v>103</v>
      </c>
      <c r="K29" s="47" t="s">
        <v>103</v>
      </c>
      <c r="L29" s="47" t="s">
        <v>103</v>
      </c>
      <c r="M29" s="47" t="s">
        <v>103</v>
      </c>
      <c r="N29" s="47" t="s">
        <v>103</v>
      </c>
      <c r="O29" s="47" t="s">
        <v>103</v>
      </c>
      <c r="P29" s="47" t="s">
        <v>103</v>
      </c>
      <c r="Q29" s="47" t="s">
        <v>103</v>
      </c>
      <c r="R29" s="47" t="s">
        <v>103</v>
      </c>
      <c r="S29" s="47" t="s">
        <v>103</v>
      </c>
      <c r="T29" s="47" t="s">
        <v>103</v>
      </c>
      <c r="U29" s="47">
        <v>133</v>
      </c>
      <c r="V29" s="47" t="s">
        <v>103</v>
      </c>
      <c r="W29" s="47" t="s">
        <v>103</v>
      </c>
      <c r="X29" s="47" t="s">
        <v>103</v>
      </c>
      <c r="Y29" s="47" t="s">
        <v>103</v>
      </c>
      <c r="Z29" s="47" t="s">
        <v>103</v>
      </c>
      <c r="AA29" s="47" t="s">
        <v>103</v>
      </c>
      <c r="AB29" s="47" t="s">
        <v>103</v>
      </c>
      <c r="AC29" s="47" t="s">
        <v>103</v>
      </c>
      <c r="AD29" s="47" t="s">
        <v>103</v>
      </c>
      <c r="AE29" s="47" t="s">
        <v>103</v>
      </c>
      <c r="AF29" s="47" t="s">
        <v>103</v>
      </c>
      <c r="AG29" s="47" t="s">
        <v>103</v>
      </c>
      <c r="AH29" s="47" t="s">
        <v>103</v>
      </c>
      <c r="AI29" s="47">
        <v>49</v>
      </c>
      <c r="AJ29" s="47" t="s">
        <v>103</v>
      </c>
      <c r="AK29" s="47" t="s">
        <v>103</v>
      </c>
      <c r="AL29" s="47" t="s">
        <v>103</v>
      </c>
      <c r="AM29" s="47" t="s">
        <v>103</v>
      </c>
      <c r="AN29" s="47" t="s">
        <v>103</v>
      </c>
      <c r="AO29" s="47" t="s">
        <v>103</v>
      </c>
      <c r="AP29" s="47" t="s">
        <v>103</v>
      </c>
      <c r="AQ29" s="47" t="s">
        <v>103</v>
      </c>
      <c r="AR29" s="47" t="s">
        <v>103</v>
      </c>
      <c r="AS29" s="47" t="s">
        <v>103</v>
      </c>
      <c r="AT29" s="47" t="s">
        <v>103</v>
      </c>
      <c r="AU29" s="47" t="s">
        <v>103</v>
      </c>
      <c r="AV29" s="47" t="s">
        <v>103</v>
      </c>
      <c r="AW29" s="47" t="s">
        <v>103</v>
      </c>
      <c r="AX29" s="47" t="s">
        <v>103</v>
      </c>
      <c r="AY29" s="47" t="s">
        <v>103</v>
      </c>
      <c r="AZ29" s="47" t="s">
        <v>103</v>
      </c>
      <c r="BA29" s="47" t="s">
        <v>103</v>
      </c>
      <c r="BB29" s="47" t="s">
        <v>103</v>
      </c>
      <c r="BC29" s="47" t="s">
        <v>103</v>
      </c>
      <c r="BD29" s="47" t="s">
        <v>103</v>
      </c>
      <c r="BE29" s="47" t="s">
        <v>103</v>
      </c>
      <c r="BF29" s="47" t="s">
        <v>103</v>
      </c>
      <c r="BG29" s="47" t="s">
        <v>103</v>
      </c>
      <c r="BH29" s="47" t="s">
        <v>103</v>
      </c>
      <c r="BI29" s="47" t="s">
        <v>103</v>
      </c>
      <c r="BJ29" s="47" t="s">
        <v>103</v>
      </c>
      <c r="BK29" s="47" t="s">
        <v>103</v>
      </c>
      <c r="BL29" s="47" t="s">
        <v>103</v>
      </c>
      <c r="BM29" s="47" t="s">
        <v>103</v>
      </c>
    </row>
    <row r="30" spans="1:65" ht="15" customHeight="1" x14ac:dyDescent="0.25">
      <c r="A30" s="47" t="s">
        <v>111</v>
      </c>
      <c r="B30" s="47" t="s">
        <v>103</v>
      </c>
      <c r="C30" s="47" t="s">
        <v>103</v>
      </c>
      <c r="D30" s="47" t="s">
        <v>103</v>
      </c>
      <c r="E30" s="47" t="s">
        <v>103</v>
      </c>
      <c r="F30" s="47" t="s">
        <v>103</v>
      </c>
      <c r="G30" s="47" t="s">
        <v>103</v>
      </c>
      <c r="H30" s="47" t="s">
        <v>103</v>
      </c>
      <c r="I30" s="47" t="s">
        <v>103</v>
      </c>
      <c r="J30" s="47" t="s">
        <v>103</v>
      </c>
      <c r="K30" s="47" t="s">
        <v>103</v>
      </c>
      <c r="L30" s="47" t="s">
        <v>103</v>
      </c>
      <c r="M30" s="47" t="s">
        <v>103</v>
      </c>
      <c r="N30" s="47" t="s">
        <v>103</v>
      </c>
      <c r="O30" s="47" t="s">
        <v>103</v>
      </c>
      <c r="P30" s="47" t="s">
        <v>103</v>
      </c>
      <c r="Q30" s="47" t="s">
        <v>103</v>
      </c>
      <c r="R30" s="47" t="s">
        <v>103</v>
      </c>
      <c r="S30" s="47" t="s">
        <v>103</v>
      </c>
      <c r="T30" s="47" t="s">
        <v>103</v>
      </c>
      <c r="U30" s="47">
        <v>135</v>
      </c>
      <c r="V30" s="47" t="s">
        <v>103</v>
      </c>
      <c r="W30" s="47" t="s">
        <v>103</v>
      </c>
      <c r="X30" s="47" t="s">
        <v>103</v>
      </c>
      <c r="Y30" s="47" t="s">
        <v>103</v>
      </c>
      <c r="Z30" s="47" t="s">
        <v>103</v>
      </c>
      <c r="AA30" s="47" t="s">
        <v>103</v>
      </c>
      <c r="AB30" s="47" t="s">
        <v>103</v>
      </c>
      <c r="AC30" s="47" t="s">
        <v>103</v>
      </c>
      <c r="AD30" s="47" t="s">
        <v>103</v>
      </c>
      <c r="AE30" s="47" t="s">
        <v>103</v>
      </c>
      <c r="AF30" s="47" t="s">
        <v>103</v>
      </c>
      <c r="AG30" s="47" t="s">
        <v>103</v>
      </c>
      <c r="AH30" s="47" t="s">
        <v>103</v>
      </c>
      <c r="AI30" s="47">
        <v>27</v>
      </c>
      <c r="AJ30" s="47" t="s">
        <v>103</v>
      </c>
      <c r="AK30" s="47" t="s">
        <v>103</v>
      </c>
      <c r="AL30" s="47" t="s">
        <v>103</v>
      </c>
      <c r="AM30" s="47" t="s">
        <v>103</v>
      </c>
      <c r="AN30" s="47" t="s">
        <v>103</v>
      </c>
      <c r="AO30" s="47" t="s">
        <v>103</v>
      </c>
      <c r="AP30" s="47" t="s">
        <v>103</v>
      </c>
      <c r="AQ30" s="47" t="s">
        <v>103</v>
      </c>
      <c r="AR30" s="47" t="s">
        <v>103</v>
      </c>
      <c r="AS30" s="47" t="s">
        <v>103</v>
      </c>
      <c r="AT30" s="47" t="s">
        <v>103</v>
      </c>
      <c r="AU30" s="47" t="s">
        <v>103</v>
      </c>
      <c r="AV30" s="47" t="s">
        <v>103</v>
      </c>
      <c r="AW30" s="47" t="s">
        <v>103</v>
      </c>
      <c r="AX30" s="47" t="s">
        <v>103</v>
      </c>
      <c r="AY30" s="47" t="s">
        <v>103</v>
      </c>
      <c r="AZ30" s="47" t="s">
        <v>103</v>
      </c>
      <c r="BA30" s="47" t="s">
        <v>103</v>
      </c>
      <c r="BB30" s="47" t="s">
        <v>103</v>
      </c>
      <c r="BC30" s="47" t="s">
        <v>103</v>
      </c>
      <c r="BD30" s="47" t="s">
        <v>103</v>
      </c>
      <c r="BE30" s="47" t="s">
        <v>103</v>
      </c>
      <c r="BF30" s="47" t="s">
        <v>103</v>
      </c>
      <c r="BG30" s="47" t="s">
        <v>103</v>
      </c>
      <c r="BH30" s="47" t="s">
        <v>103</v>
      </c>
      <c r="BI30" s="47" t="s">
        <v>103</v>
      </c>
      <c r="BJ30" s="47" t="s">
        <v>103</v>
      </c>
      <c r="BK30" s="47" t="s">
        <v>103</v>
      </c>
      <c r="BL30" s="47" t="s">
        <v>103</v>
      </c>
      <c r="BM30" s="47" t="s">
        <v>103</v>
      </c>
    </row>
    <row r="31" spans="1:65" ht="15" customHeight="1" x14ac:dyDescent="0.25">
      <c r="A31" s="47" t="s">
        <v>110</v>
      </c>
      <c r="B31" s="47" t="s">
        <v>103</v>
      </c>
      <c r="C31" s="47" t="s">
        <v>103</v>
      </c>
      <c r="D31" s="47" t="s">
        <v>103</v>
      </c>
      <c r="E31" s="47" t="s">
        <v>103</v>
      </c>
      <c r="F31" s="47" t="s">
        <v>103</v>
      </c>
      <c r="G31" s="47" t="s">
        <v>103</v>
      </c>
      <c r="H31" s="47" t="s">
        <v>103</v>
      </c>
      <c r="I31" s="47" t="s">
        <v>103</v>
      </c>
      <c r="J31" s="47" t="s">
        <v>103</v>
      </c>
      <c r="K31" s="47" t="s">
        <v>103</v>
      </c>
      <c r="L31" s="47" t="s">
        <v>103</v>
      </c>
      <c r="M31" s="47" t="s">
        <v>103</v>
      </c>
      <c r="N31" s="47" t="s">
        <v>103</v>
      </c>
      <c r="O31" s="47" t="s">
        <v>103</v>
      </c>
      <c r="P31" s="47" t="s">
        <v>103</v>
      </c>
      <c r="Q31" s="47" t="s">
        <v>103</v>
      </c>
      <c r="R31" s="47" t="s">
        <v>103</v>
      </c>
      <c r="S31" s="47" t="s">
        <v>103</v>
      </c>
      <c r="T31" s="47" t="s">
        <v>103</v>
      </c>
      <c r="U31" s="47">
        <v>162</v>
      </c>
      <c r="V31" s="47" t="s">
        <v>103</v>
      </c>
      <c r="W31" s="47" t="s">
        <v>103</v>
      </c>
      <c r="X31" s="47" t="s">
        <v>103</v>
      </c>
      <c r="Y31" s="47" t="s">
        <v>103</v>
      </c>
      <c r="Z31" s="47" t="s">
        <v>103</v>
      </c>
      <c r="AA31" s="47" t="s">
        <v>103</v>
      </c>
      <c r="AB31" s="47" t="s">
        <v>103</v>
      </c>
      <c r="AC31" s="47" t="s">
        <v>103</v>
      </c>
      <c r="AD31" s="47" t="s">
        <v>103</v>
      </c>
      <c r="AE31" s="47" t="s">
        <v>103</v>
      </c>
      <c r="AF31" s="47" t="s">
        <v>103</v>
      </c>
      <c r="AG31" s="47" t="s">
        <v>103</v>
      </c>
      <c r="AH31" s="47" t="s">
        <v>103</v>
      </c>
      <c r="AI31" s="47">
        <v>47</v>
      </c>
      <c r="AJ31" s="47" t="s">
        <v>103</v>
      </c>
      <c r="AK31" s="47" t="s">
        <v>103</v>
      </c>
      <c r="AL31" s="47" t="s">
        <v>103</v>
      </c>
      <c r="AM31" s="47" t="s">
        <v>103</v>
      </c>
      <c r="AN31" s="47" t="s">
        <v>103</v>
      </c>
      <c r="AO31" s="47" t="s">
        <v>103</v>
      </c>
      <c r="AP31" s="47" t="s">
        <v>103</v>
      </c>
      <c r="AQ31" s="47" t="s">
        <v>103</v>
      </c>
      <c r="AR31" s="47" t="s">
        <v>103</v>
      </c>
      <c r="AS31" s="47" t="s">
        <v>103</v>
      </c>
      <c r="AT31" s="47" t="s">
        <v>103</v>
      </c>
      <c r="AU31" s="47" t="s">
        <v>103</v>
      </c>
      <c r="AV31" s="47" t="s">
        <v>103</v>
      </c>
      <c r="AW31" s="47" t="s">
        <v>103</v>
      </c>
      <c r="AX31" s="47" t="s">
        <v>103</v>
      </c>
      <c r="AY31" s="47" t="s">
        <v>103</v>
      </c>
      <c r="AZ31" s="47" t="s">
        <v>103</v>
      </c>
      <c r="BA31" s="47" t="s">
        <v>103</v>
      </c>
      <c r="BB31" s="47" t="s">
        <v>103</v>
      </c>
      <c r="BC31" s="47" t="s">
        <v>103</v>
      </c>
      <c r="BD31" s="47" t="s">
        <v>103</v>
      </c>
      <c r="BE31" s="47" t="s">
        <v>103</v>
      </c>
      <c r="BF31" s="47" t="s">
        <v>103</v>
      </c>
      <c r="BG31" s="47" t="s">
        <v>103</v>
      </c>
      <c r="BH31" s="47" t="s">
        <v>103</v>
      </c>
      <c r="BI31" s="47" t="s">
        <v>103</v>
      </c>
      <c r="BJ31" s="47" t="s">
        <v>103</v>
      </c>
      <c r="BK31" s="47" t="s">
        <v>103</v>
      </c>
      <c r="BL31" s="47" t="s">
        <v>103</v>
      </c>
      <c r="BM31" s="47" t="s">
        <v>103</v>
      </c>
    </row>
    <row r="32" spans="1:65" ht="15" customHeight="1" x14ac:dyDescent="0.25">
      <c r="A32" s="47" t="s">
        <v>109</v>
      </c>
      <c r="B32" s="47" t="s">
        <v>103</v>
      </c>
      <c r="C32" s="47" t="s">
        <v>103</v>
      </c>
      <c r="D32" s="47" t="s">
        <v>103</v>
      </c>
      <c r="E32" s="47" t="s">
        <v>103</v>
      </c>
      <c r="F32" s="47" t="s">
        <v>103</v>
      </c>
      <c r="G32" s="47" t="s">
        <v>103</v>
      </c>
      <c r="H32" s="47" t="s">
        <v>103</v>
      </c>
      <c r="I32" s="47" t="s">
        <v>103</v>
      </c>
      <c r="J32" s="47" t="s">
        <v>103</v>
      </c>
      <c r="K32" s="47" t="s">
        <v>103</v>
      </c>
      <c r="L32" s="47" t="s">
        <v>103</v>
      </c>
      <c r="M32" s="47" t="s">
        <v>103</v>
      </c>
      <c r="N32" s="47" t="s">
        <v>103</v>
      </c>
      <c r="O32" s="47" t="s">
        <v>103</v>
      </c>
      <c r="P32" s="47" t="s">
        <v>103</v>
      </c>
      <c r="Q32" s="47" t="s">
        <v>103</v>
      </c>
      <c r="R32" s="47" t="s">
        <v>103</v>
      </c>
      <c r="S32" s="47" t="s">
        <v>103</v>
      </c>
      <c r="T32" s="47" t="s">
        <v>103</v>
      </c>
      <c r="U32" s="47">
        <v>153</v>
      </c>
      <c r="V32" s="47" t="s">
        <v>103</v>
      </c>
      <c r="W32" s="47" t="s">
        <v>103</v>
      </c>
      <c r="X32" s="47" t="s">
        <v>103</v>
      </c>
      <c r="Y32" s="47" t="s">
        <v>103</v>
      </c>
      <c r="Z32" s="47" t="s">
        <v>103</v>
      </c>
      <c r="AA32" s="47" t="s">
        <v>103</v>
      </c>
      <c r="AB32" s="47" t="s">
        <v>103</v>
      </c>
      <c r="AC32" s="47" t="s">
        <v>103</v>
      </c>
      <c r="AD32" s="47" t="s">
        <v>103</v>
      </c>
      <c r="AE32" s="47" t="s">
        <v>103</v>
      </c>
      <c r="AF32" s="47" t="s">
        <v>103</v>
      </c>
      <c r="AG32" s="47" t="s">
        <v>103</v>
      </c>
      <c r="AH32" s="47" t="s">
        <v>103</v>
      </c>
      <c r="AI32" s="47">
        <v>42</v>
      </c>
      <c r="AJ32" s="47" t="s">
        <v>103</v>
      </c>
      <c r="AK32" s="47" t="s">
        <v>103</v>
      </c>
      <c r="AL32" s="47" t="s">
        <v>103</v>
      </c>
      <c r="AM32" s="47" t="s">
        <v>103</v>
      </c>
      <c r="AN32" s="47" t="s">
        <v>103</v>
      </c>
      <c r="AO32" s="47" t="s">
        <v>103</v>
      </c>
      <c r="AP32" s="47" t="s">
        <v>103</v>
      </c>
      <c r="AQ32" s="47" t="s">
        <v>103</v>
      </c>
      <c r="AR32" s="47" t="s">
        <v>103</v>
      </c>
      <c r="AS32" s="47" t="s">
        <v>103</v>
      </c>
      <c r="AT32" s="47" t="s">
        <v>103</v>
      </c>
      <c r="AU32" s="47" t="s">
        <v>103</v>
      </c>
      <c r="AV32" s="47" t="s">
        <v>103</v>
      </c>
      <c r="AW32" s="47" t="s">
        <v>103</v>
      </c>
      <c r="AX32" s="47" t="s">
        <v>103</v>
      </c>
      <c r="AY32" s="47" t="s">
        <v>103</v>
      </c>
      <c r="AZ32" s="47" t="s">
        <v>103</v>
      </c>
      <c r="BA32" s="47" t="s">
        <v>103</v>
      </c>
      <c r="BB32" s="47" t="s">
        <v>103</v>
      </c>
      <c r="BC32" s="47" t="s">
        <v>103</v>
      </c>
      <c r="BD32" s="47" t="s">
        <v>103</v>
      </c>
      <c r="BE32" s="47" t="s">
        <v>103</v>
      </c>
      <c r="BF32" s="47" t="s">
        <v>103</v>
      </c>
      <c r="BG32" s="47" t="s">
        <v>103</v>
      </c>
      <c r="BH32" s="47" t="s">
        <v>103</v>
      </c>
      <c r="BI32" s="47" t="s">
        <v>103</v>
      </c>
      <c r="BJ32" s="47" t="s">
        <v>103</v>
      </c>
      <c r="BK32" s="47" t="s">
        <v>103</v>
      </c>
      <c r="BL32" s="47" t="s">
        <v>103</v>
      </c>
      <c r="BM32" s="47" t="s">
        <v>103</v>
      </c>
    </row>
    <row r="33" spans="1:65" ht="15" customHeight="1" x14ac:dyDescent="0.25">
      <c r="A33" s="47" t="s">
        <v>108</v>
      </c>
      <c r="B33" s="47" t="s">
        <v>103</v>
      </c>
      <c r="C33" s="47" t="s">
        <v>103</v>
      </c>
      <c r="D33" s="47" t="s">
        <v>103</v>
      </c>
      <c r="E33" s="47" t="s">
        <v>103</v>
      </c>
      <c r="F33" s="47" t="s">
        <v>103</v>
      </c>
      <c r="G33" s="47" t="s">
        <v>103</v>
      </c>
      <c r="H33" s="47" t="s">
        <v>103</v>
      </c>
      <c r="I33" s="47" t="s">
        <v>103</v>
      </c>
      <c r="J33" s="47" t="s">
        <v>103</v>
      </c>
      <c r="K33" s="47" t="s">
        <v>103</v>
      </c>
      <c r="L33" s="47" t="s">
        <v>103</v>
      </c>
      <c r="M33" s="47" t="s">
        <v>103</v>
      </c>
      <c r="N33" s="47" t="s">
        <v>103</v>
      </c>
      <c r="O33" s="47" t="s">
        <v>103</v>
      </c>
      <c r="P33" s="47" t="s">
        <v>103</v>
      </c>
      <c r="Q33" s="47" t="s">
        <v>103</v>
      </c>
      <c r="R33" s="47" t="s">
        <v>103</v>
      </c>
      <c r="S33" s="47" t="s">
        <v>103</v>
      </c>
      <c r="T33" s="47" t="s">
        <v>103</v>
      </c>
      <c r="U33" s="47">
        <v>185</v>
      </c>
      <c r="V33" s="47" t="s">
        <v>103</v>
      </c>
      <c r="W33" s="47" t="s">
        <v>103</v>
      </c>
      <c r="X33" s="47" t="s">
        <v>103</v>
      </c>
      <c r="Y33" s="47" t="s">
        <v>103</v>
      </c>
      <c r="Z33" s="47" t="s">
        <v>103</v>
      </c>
      <c r="AA33" s="47" t="s">
        <v>103</v>
      </c>
      <c r="AB33" s="47" t="s">
        <v>103</v>
      </c>
      <c r="AC33" s="47" t="s">
        <v>103</v>
      </c>
      <c r="AD33" s="47" t="s">
        <v>103</v>
      </c>
      <c r="AE33" s="47" t="s">
        <v>103</v>
      </c>
      <c r="AF33" s="47" t="s">
        <v>103</v>
      </c>
      <c r="AG33" s="47" t="s">
        <v>103</v>
      </c>
      <c r="AH33" s="47" t="s">
        <v>103</v>
      </c>
      <c r="AI33" s="47">
        <v>39</v>
      </c>
      <c r="AJ33" s="47" t="s">
        <v>103</v>
      </c>
      <c r="AK33" s="47" t="s">
        <v>103</v>
      </c>
      <c r="AL33" s="47" t="s">
        <v>103</v>
      </c>
      <c r="AM33" s="47" t="s">
        <v>103</v>
      </c>
      <c r="AN33" s="47" t="s">
        <v>103</v>
      </c>
      <c r="AO33" s="47" t="s">
        <v>103</v>
      </c>
      <c r="AP33" s="47" t="s">
        <v>103</v>
      </c>
      <c r="AQ33" s="47" t="s">
        <v>103</v>
      </c>
      <c r="AR33" s="47" t="s">
        <v>103</v>
      </c>
      <c r="AS33" s="47" t="s">
        <v>103</v>
      </c>
      <c r="AT33" s="47" t="s">
        <v>103</v>
      </c>
      <c r="AU33" s="47" t="s">
        <v>103</v>
      </c>
      <c r="AV33" s="47" t="s">
        <v>103</v>
      </c>
      <c r="AW33" s="47" t="s">
        <v>103</v>
      </c>
      <c r="AX33" s="47" t="s">
        <v>103</v>
      </c>
      <c r="AY33" s="47" t="s">
        <v>103</v>
      </c>
      <c r="AZ33" s="47" t="s">
        <v>103</v>
      </c>
      <c r="BA33" s="47" t="s">
        <v>103</v>
      </c>
      <c r="BB33" s="47" t="s">
        <v>103</v>
      </c>
      <c r="BC33" s="47" t="s">
        <v>103</v>
      </c>
      <c r="BD33" s="47" t="s">
        <v>103</v>
      </c>
      <c r="BE33" s="47" t="s">
        <v>103</v>
      </c>
      <c r="BF33" s="47" t="s">
        <v>103</v>
      </c>
      <c r="BG33" s="47" t="s">
        <v>103</v>
      </c>
      <c r="BH33" s="47" t="s">
        <v>103</v>
      </c>
      <c r="BI33" s="47" t="s">
        <v>103</v>
      </c>
      <c r="BJ33" s="47" t="s">
        <v>103</v>
      </c>
      <c r="BK33" s="47" t="s">
        <v>103</v>
      </c>
      <c r="BL33" s="47" t="s">
        <v>103</v>
      </c>
      <c r="BM33" s="47" t="s">
        <v>103</v>
      </c>
    </row>
    <row r="34" spans="1:65" ht="15" customHeight="1" x14ac:dyDescent="0.25">
      <c r="A34" s="47" t="s">
        <v>107</v>
      </c>
      <c r="B34" s="47" t="s">
        <v>103</v>
      </c>
      <c r="C34" s="47" t="s">
        <v>103</v>
      </c>
      <c r="D34" s="47" t="s">
        <v>103</v>
      </c>
      <c r="E34" s="47" t="s">
        <v>103</v>
      </c>
      <c r="F34" s="47" t="s">
        <v>103</v>
      </c>
      <c r="G34" s="47" t="s">
        <v>103</v>
      </c>
      <c r="H34" s="47" t="s">
        <v>103</v>
      </c>
      <c r="I34" s="47" t="s">
        <v>103</v>
      </c>
      <c r="J34" s="47" t="s">
        <v>103</v>
      </c>
      <c r="K34" s="47" t="s">
        <v>103</v>
      </c>
      <c r="L34" s="47" t="s">
        <v>103</v>
      </c>
      <c r="M34" s="47" t="s">
        <v>103</v>
      </c>
      <c r="N34" s="47" t="s">
        <v>103</v>
      </c>
      <c r="O34" s="47" t="s">
        <v>103</v>
      </c>
      <c r="P34" s="47" t="s">
        <v>103</v>
      </c>
      <c r="Q34" s="47" t="s">
        <v>103</v>
      </c>
      <c r="R34" s="47" t="s">
        <v>103</v>
      </c>
      <c r="S34" s="47" t="s">
        <v>103</v>
      </c>
      <c r="T34" s="47" t="s">
        <v>103</v>
      </c>
      <c r="U34" s="47">
        <v>136</v>
      </c>
      <c r="V34" s="47" t="s">
        <v>103</v>
      </c>
      <c r="W34" s="47" t="s">
        <v>103</v>
      </c>
      <c r="X34" s="47" t="s">
        <v>103</v>
      </c>
      <c r="Y34" s="47" t="s">
        <v>103</v>
      </c>
      <c r="Z34" s="47" t="s">
        <v>103</v>
      </c>
      <c r="AA34" s="47" t="s">
        <v>103</v>
      </c>
      <c r="AB34" s="47" t="s">
        <v>103</v>
      </c>
      <c r="AC34" s="47" t="s">
        <v>103</v>
      </c>
      <c r="AD34" s="47" t="s">
        <v>103</v>
      </c>
      <c r="AE34" s="47" t="s">
        <v>103</v>
      </c>
      <c r="AF34" s="47" t="s">
        <v>103</v>
      </c>
      <c r="AG34" s="47" t="s">
        <v>103</v>
      </c>
      <c r="AH34" s="47" t="s">
        <v>103</v>
      </c>
      <c r="AI34" s="47">
        <v>34</v>
      </c>
      <c r="AJ34" s="47" t="s">
        <v>103</v>
      </c>
      <c r="AK34" s="47" t="s">
        <v>103</v>
      </c>
      <c r="AL34" s="47" t="s">
        <v>103</v>
      </c>
      <c r="AM34" s="47" t="s">
        <v>103</v>
      </c>
      <c r="AN34" s="47" t="s">
        <v>103</v>
      </c>
      <c r="AO34" s="47" t="s">
        <v>103</v>
      </c>
      <c r="AP34" s="47" t="s">
        <v>103</v>
      </c>
      <c r="AQ34" s="47" t="s">
        <v>103</v>
      </c>
      <c r="AR34" s="47" t="s">
        <v>103</v>
      </c>
      <c r="AS34" s="47" t="s">
        <v>103</v>
      </c>
      <c r="AT34" s="47" t="s">
        <v>103</v>
      </c>
      <c r="AU34" s="47" t="s">
        <v>103</v>
      </c>
      <c r="AV34" s="47" t="s">
        <v>103</v>
      </c>
      <c r="AW34" s="47" t="s">
        <v>103</v>
      </c>
      <c r="AX34" s="47" t="s">
        <v>103</v>
      </c>
      <c r="AY34" s="47" t="s">
        <v>103</v>
      </c>
      <c r="AZ34" s="47" t="s">
        <v>103</v>
      </c>
      <c r="BA34" s="47" t="s">
        <v>103</v>
      </c>
      <c r="BB34" s="47" t="s">
        <v>103</v>
      </c>
      <c r="BC34" s="47" t="s">
        <v>103</v>
      </c>
      <c r="BD34" s="47" t="s">
        <v>103</v>
      </c>
      <c r="BE34" s="47" t="s">
        <v>103</v>
      </c>
      <c r="BF34" s="47" t="s">
        <v>103</v>
      </c>
      <c r="BG34" s="47" t="s">
        <v>103</v>
      </c>
      <c r="BH34" s="47" t="s">
        <v>103</v>
      </c>
      <c r="BI34" s="47" t="s">
        <v>103</v>
      </c>
      <c r="BJ34" s="47" t="s">
        <v>103</v>
      </c>
      <c r="BK34" s="47" t="s">
        <v>103</v>
      </c>
      <c r="BL34" s="47" t="s">
        <v>103</v>
      </c>
      <c r="BM34" s="47" t="s">
        <v>103</v>
      </c>
    </row>
    <row r="35" spans="1:65" ht="15" customHeight="1" x14ac:dyDescent="0.25">
      <c r="A35" s="47" t="s">
        <v>106</v>
      </c>
      <c r="B35" s="47" t="s">
        <v>103</v>
      </c>
      <c r="C35" s="47" t="s">
        <v>103</v>
      </c>
      <c r="D35" s="47" t="s">
        <v>103</v>
      </c>
      <c r="E35" s="47" t="s">
        <v>103</v>
      </c>
      <c r="F35" s="47" t="s">
        <v>103</v>
      </c>
      <c r="G35" s="47" t="s">
        <v>103</v>
      </c>
      <c r="H35" s="47" t="s">
        <v>103</v>
      </c>
      <c r="I35" s="47" t="s">
        <v>103</v>
      </c>
      <c r="J35" s="47" t="s">
        <v>103</v>
      </c>
      <c r="K35" s="47" t="s">
        <v>103</v>
      </c>
      <c r="L35" s="47" t="s">
        <v>103</v>
      </c>
      <c r="M35" s="47" t="s">
        <v>103</v>
      </c>
      <c r="N35" s="47" t="s">
        <v>103</v>
      </c>
      <c r="O35" s="47" t="s">
        <v>103</v>
      </c>
      <c r="P35" s="47" t="s">
        <v>103</v>
      </c>
      <c r="Q35" s="47" t="s">
        <v>103</v>
      </c>
      <c r="R35" s="47" t="s">
        <v>103</v>
      </c>
      <c r="S35" s="47" t="s">
        <v>103</v>
      </c>
      <c r="T35" s="47" t="s">
        <v>103</v>
      </c>
      <c r="U35" s="47">
        <v>133</v>
      </c>
      <c r="V35" s="47" t="s">
        <v>103</v>
      </c>
      <c r="W35" s="47" t="s">
        <v>103</v>
      </c>
      <c r="X35" s="47" t="s">
        <v>103</v>
      </c>
      <c r="Y35" s="47" t="s">
        <v>103</v>
      </c>
      <c r="Z35" s="47" t="s">
        <v>103</v>
      </c>
      <c r="AA35" s="47" t="s">
        <v>103</v>
      </c>
      <c r="AB35" s="47" t="s">
        <v>103</v>
      </c>
      <c r="AC35" s="47" t="s">
        <v>103</v>
      </c>
      <c r="AD35" s="47" t="s">
        <v>103</v>
      </c>
      <c r="AE35" s="47" t="s">
        <v>103</v>
      </c>
      <c r="AF35" s="47" t="s">
        <v>103</v>
      </c>
      <c r="AG35" s="47" t="s">
        <v>103</v>
      </c>
      <c r="AH35" s="47" t="s">
        <v>103</v>
      </c>
      <c r="AI35" s="47">
        <v>37</v>
      </c>
      <c r="AJ35" s="47" t="s">
        <v>103</v>
      </c>
      <c r="AK35" s="47" t="s">
        <v>103</v>
      </c>
      <c r="AL35" s="47" t="s">
        <v>103</v>
      </c>
      <c r="AM35" s="47" t="s">
        <v>103</v>
      </c>
      <c r="AN35" s="47" t="s">
        <v>103</v>
      </c>
      <c r="AO35" s="47" t="s">
        <v>103</v>
      </c>
      <c r="AP35" s="47" t="s">
        <v>103</v>
      </c>
      <c r="AQ35" s="47" t="s">
        <v>103</v>
      </c>
      <c r="AR35" s="47" t="s">
        <v>103</v>
      </c>
      <c r="AS35" s="47" t="s">
        <v>103</v>
      </c>
      <c r="AT35" s="47" t="s">
        <v>103</v>
      </c>
      <c r="AU35" s="47" t="s">
        <v>103</v>
      </c>
      <c r="AV35" s="47" t="s">
        <v>103</v>
      </c>
      <c r="AW35" s="47" t="s">
        <v>103</v>
      </c>
      <c r="AX35" s="47" t="s">
        <v>103</v>
      </c>
      <c r="AY35" s="47" t="s">
        <v>103</v>
      </c>
      <c r="AZ35" s="47" t="s">
        <v>103</v>
      </c>
      <c r="BA35" s="47" t="s">
        <v>103</v>
      </c>
      <c r="BB35" s="47" t="s">
        <v>103</v>
      </c>
      <c r="BC35" s="47" t="s">
        <v>103</v>
      </c>
      <c r="BD35" s="47" t="s">
        <v>103</v>
      </c>
      <c r="BE35" s="47" t="s">
        <v>103</v>
      </c>
      <c r="BF35" s="47" t="s">
        <v>103</v>
      </c>
      <c r="BG35" s="47" t="s">
        <v>103</v>
      </c>
      <c r="BH35" s="47" t="s">
        <v>103</v>
      </c>
      <c r="BI35" s="47" t="s">
        <v>103</v>
      </c>
      <c r="BJ35" s="47" t="s">
        <v>103</v>
      </c>
      <c r="BK35" s="47" t="s">
        <v>103</v>
      </c>
      <c r="BL35" s="47" t="s">
        <v>103</v>
      </c>
      <c r="BM35" s="47" t="s">
        <v>103</v>
      </c>
    </row>
    <row r="36" spans="1:65" ht="15" customHeight="1" x14ac:dyDescent="0.25">
      <c r="A36" s="47" t="s">
        <v>105</v>
      </c>
      <c r="B36" s="47" t="s">
        <v>103</v>
      </c>
      <c r="C36" s="47" t="s">
        <v>103</v>
      </c>
      <c r="D36" s="47" t="s">
        <v>103</v>
      </c>
      <c r="E36" s="47" t="s">
        <v>103</v>
      </c>
      <c r="F36" s="47" t="s">
        <v>103</v>
      </c>
      <c r="G36" s="47" t="s">
        <v>103</v>
      </c>
      <c r="H36" s="47" t="s">
        <v>103</v>
      </c>
      <c r="I36" s="47" t="s">
        <v>103</v>
      </c>
      <c r="J36" s="47" t="s">
        <v>103</v>
      </c>
      <c r="K36" s="47" t="s">
        <v>103</v>
      </c>
      <c r="L36" s="47" t="s">
        <v>103</v>
      </c>
      <c r="M36" s="47" t="s">
        <v>103</v>
      </c>
      <c r="N36" s="47" t="s">
        <v>103</v>
      </c>
      <c r="O36" s="47" t="s">
        <v>103</v>
      </c>
      <c r="P36" s="47" t="s">
        <v>103</v>
      </c>
      <c r="Q36" s="47" t="s">
        <v>103</v>
      </c>
      <c r="R36" s="47" t="s">
        <v>103</v>
      </c>
      <c r="S36" s="47" t="s">
        <v>103</v>
      </c>
      <c r="T36" s="47" t="s">
        <v>103</v>
      </c>
      <c r="U36" s="47">
        <v>151</v>
      </c>
      <c r="V36" s="47" t="s">
        <v>103</v>
      </c>
      <c r="W36" s="47" t="s">
        <v>103</v>
      </c>
      <c r="X36" s="47" t="s">
        <v>103</v>
      </c>
      <c r="Y36" s="47" t="s">
        <v>103</v>
      </c>
      <c r="Z36" s="47" t="s">
        <v>103</v>
      </c>
      <c r="AA36" s="47" t="s">
        <v>103</v>
      </c>
      <c r="AB36" s="47" t="s">
        <v>103</v>
      </c>
      <c r="AC36" s="47" t="s">
        <v>103</v>
      </c>
      <c r="AD36" s="47" t="s">
        <v>103</v>
      </c>
      <c r="AE36" s="47" t="s">
        <v>103</v>
      </c>
      <c r="AF36" s="47" t="s">
        <v>103</v>
      </c>
      <c r="AG36" s="47" t="s">
        <v>103</v>
      </c>
      <c r="AH36" s="47" t="s">
        <v>103</v>
      </c>
      <c r="AI36" s="47">
        <v>28</v>
      </c>
      <c r="AJ36" s="47" t="s">
        <v>103</v>
      </c>
      <c r="AK36" s="47" t="s">
        <v>103</v>
      </c>
      <c r="AL36" s="47" t="s">
        <v>103</v>
      </c>
      <c r="AM36" s="47" t="s">
        <v>103</v>
      </c>
      <c r="AN36" s="47" t="s">
        <v>103</v>
      </c>
      <c r="AO36" s="47" t="s">
        <v>103</v>
      </c>
      <c r="AP36" s="47" t="s">
        <v>103</v>
      </c>
      <c r="AQ36" s="47" t="s">
        <v>103</v>
      </c>
      <c r="AR36" s="47" t="s">
        <v>103</v>
      </c>
      <c r="AS36" s="47" t="s">
        <v>103</v>
      </c>
      <c r="AT36" s="47" t="s">
        <v>103</v>
      </c>
      <c r="AU36" s="47" t="s">
        <v>103</v>
      </c>
      <c r="AV36" s="47" t="s">
        <v>103</v>
      </c>
      <c r="AW36" s="47" t="s">
        <v>103</v>
      </c>
      <c r="AX36" s="47" t="s">
        <v>103</v>
      </c>
      <c r="AY36" s="47" t="s">
        <v>103</v>
      </c>
      <c r="AZ36" s="47" t="s">
        <v>103</v>
      </c>
      <c r="BA36" s="47" t="s">
        <v>103</v>
      </c>
      <c r="BB36" s="47" t="s">
        <v>103</v>
      </c>
      <c r="BC36" s="47" t="s">
        <v>103</v>
      </c>
      <c r="BD36" s="47" t="s">
        <v>103</v>
      </c>
      <c r="BE36" s="47" t="s">
        <v>103</v>
      </c>
      <c r="BF36" s="47" t="s">
        <v>103</v>
      </c>
      <c r="BG36" s="47" t="s">
        <v>103</v>
      </c>
      <c r="BH36" s="47" t="s">
        <v>103</v>
      </c>
      <c r="BI36" s="47" t="s">
        <v>103</v>
      </c>
      <c r="BJ36" s="47" t="s">
        <v>103</v>
      </c>
      <c r="BK36" s="47" t="s">
        <v>103</v>
      </c>
      <c r="BL36" s="47" t="s">
        <v>103</v>
      </c>
      <c r="BM36" s="47" t="s">
        <v>103</v>
      </c>
    </row>
    <row r="37" spans="1:65" ht="15" customHeight="1" x14ac:dyDescent="0.25">
      <c r="A37" s="47" t="s">
        <v>104</v>
      </c>
      <c r="B37" s="47" t="s">
        <v>103</v>
      </c>
      <c r="C37" s="47" t="s">
        <v>103</v>
      </c>
      <c r="D37" s="47" t="s">
        <v>103</v>
      </c>
      <c r="E37" s="47" t="s">
        <v>103</v>
      </c>
      <c r="F37" s="47" t="s">
        <v>103</v>
      </c>
      <c r="G37" s="47" t="s">
        <v>103</v>
      </c>
      <c r="H37" s="47" t="s">
        <v>103</v>
      </c>
      <c r="I37" s="47" t="s">
        <v>103</v>
      </c>
      <c r="J37" s="47" t="s">
        <v>103</v>
      </c>
      <c r="K37" s="47" t="s">
        <v>103</v>
      </c>
      <c r="L37" s="47" t="s">
        <v>103</v>
      </c>
      <c r="M37" s="47" t="s">
        <v>103</v>
      </c>
      <c r="N37" s="47" t="s">
        <v>103</v>
      </c>
      <c r="O37" s="47" t="s">
        <v>103</v>
      </c>
      <c r="P37" s="47" t="s">
        <v>103</v>
      </c>
      <c r="Q37" s="47" t="s">
        <v>103</v>
      </c>
      <c r="R37" s="47" t="s">
        <v>103</v>
      </c>
      <c r="S37" s="47" t="s">
        <v>103</v>
      </c>
      <c r="T37" s="47" t="s">
        <v>103</v>
      </c>
      <c r="U37" s="47">
        <v>0</v>
      </c>
      <c r="V37" s="47" t="s">
        <v>103</v>
      </c>
      <c r="W37" s="47" t="s">
        <v>103</v>
      </c>
      <c r="X37" s="47" t="s">
        <v>103</v>
      </c>
      <c r="Y37" s="47" t="s">
        <v>103</v>
      </c>
      <c r="Z37" s="47" t="s">
        <v>103</v>
      </c>
      <c r="AA37" s="47" t="s">
        <v>103</v>
      </c>
      <c r="AB37" s="47" t="s">
        <v>103</v>
      </c>
      <c r="AC37" s="47" t="s">
        <v>103</v>
      </c>
      <c r="AD37" s="47" t="s">
        <v>103</v>
      </c>
      <c r="AE37" s="47" t="s">
        <v>103</v>
      </c>
      <c r="AF37" s="47" t="s">
        <v>103</v>
      </c>
      <c r="AG37" s="47" t="s">
        <v>103</v>
      </c>
      <c r="AH37" s="47" t="s">
        <v>103</v>
      </c>
      <c r="AI37" s="47">
        <v>0</v>
      </c>
      <c r="AJ37" s="47" t="s">
        <v>103</v>
      </c>
      <c r="AK37" s="47" t="s">
        <v>103</v>
      </c>
      <c r="AL37" s="47" t="s">
        <v>103</v>
      </c>
      <c r="AM37" s="47" t="s">
        <v>103</v>
      </c>
      <c r="AN37" s="47" t="s">
        <v>103</v>
      </c>
      <c r="AO37" s="47" t="s">
        <v>103</v>
      </c>
      <c r="AP37" s="47" t="s">
        <v>103</v>
      </c>
      <c r="AQ37" s="47" t="s">
        <v>103</v>
      </c>
      <c r="AR37" s="47" t="s">
        <v>103</v>
      </c>
      <c r="AS37" s="47" t="s">
        <v>103</v>
      </c>
      <c r="AT37" s="47" t="s">
        <v>103</v>
      </c>
      <c r="AU37" s="47" t="s">
        <v>103</v>
      </c>
      <c r="AV37" s="47" t="s">
        <v>103</v>
      </c>
      <c r="AW37" s="47" t="s">
        <v>103</v>
      </c>
      <c r="AX37" s="47" t="s">
        <v>103</v>
      </c>
      <c r="AY37" s="47" t="s">
        <v>103</v>
      </c>
      <c r="AZ37" s="47" t="s">
        <v>103</v>
      </c>
      <c r="BA37" s="47" t="s">
        <v>103</v>
      </c>
      <c r="BB37" s="47" t="s">
        <v>103</v>
      </c>
      <c r="BC37" s="47" t="s">
        <v>103</v>
      </c>
      <c r="BD37" s="47" t="s">
        <v>103</v>
      </c>
      <c r="BE37" s="47" t="s">
        <v>103</v>
      </c>
      <c r="BF37" s="47" t="s">
        <v>103</v>
      </c>
      <c r="BG37" s="47" t="s">
        <v>103</v>
      </c>
      <c r="BH37" s="47" t="s">
        <v>103</v>
      </c>
      <c r="BI37" s="47" t="s">
        <v>103</v>
      </c>
      <c r="BJ37" s="47" t="s">
        <v>103</v>
      </c>
      <c r="BK37" s="47" t="s">
        <v>103</v>
      </c>
      <c r="BL37" s="47" t="s">
        <v>103</v>
      </c>
      <c r="BM37" s="47" t="s">
        <v>103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9FC69-E717-4A42-9AFA-6E8647DE1CB8}">
  <dimension ref="A1:BM37"/>
  <sheetViews>
    <sheetView workbookViewId="0">
      <selection sqref="A1:B1"/>
    </sheetView>
  </sheetViews>
  <sheetFormatPr defaultColWidth="12.109375" defaultRowHeight="15" customHeight="1" x14ac:dyDescent="0.25"/>
  <cols>
    <col min="1" max="1" width="12.109375" style="47" bestFit="1" customWidth="1"/>
    <col min="2" max="65" width="9.109375" style="47" bestFit="1" customWidth="1"/>
    <col min="66" max="16384" width="12.109375" style="47"/>
  </cols>
  <sheetData>
    <row r="1" spans="1:65" ht="15" customHeight="1" x14ac:dyDescent="0.4">
      <c r="A1" s="56" t="s">
        <v>155</v>
      </c>
      <c r="B1" s="56"/>
      <c r="C1" s="55" t="s">
        <v>154</v>
      </c>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row>
    <row r="2" spans="1:65" ht="15" customHeight="1" x14ac:dyDescent="0.4">
      <c r="A2" s="56" t="s">
        <v>153</v>
      </c>
      <c r="B2" s="56"/>
      <c r="C2" s="55" t="s">
        <v>152</v>
      </c>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row>
    <row r="3" spans="1:65" ht="15" customHeight="1" x14ac:dyDescent="0.4">
      <c r="A3" s="56" t="s">
        <v>9</v>
      </c>
      <c r="B3" s="56"/>
      <c r="C3" s="55" t="s">
        <v>126</v>
      </c>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row>
    <row r="4" spans="1:65" ht="15" customHeight="1" x14ac:dyDescent="0.4">
      <c r="A4" s="56" t="s">
        <v>151</v>
      </c>
      <c r="B4" s="56"/>
      <c r="C4" s="55" t="s">
        <v>103</v>
      </c>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row>
    <row r="5" spans="1:65" ht="15" customHeight="1" x14ac:dyDescent="0.4">
      <c r="A5" s="56" t="s">
        <v>150</v>
      </c>
      <c r="B5" s="56"/>
      <c r="C5" s="55" t="s">
        <v>103</v>
      </c>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row>
    <row r="6" spans="1:65" ht="15" customHeight="1" x14ac:dyDescent="0.4">
      <c r="A6" s="56" t="s">
        <v>103</v>
      </c>
      <c r="B6" s="56"/>
      <c r="C6" s="55" t="s">
        <v>103</v>
      </c>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row>
    <row r="7" spans="1:65" ht="15" customHeight="1" x14ac:dyDescent="0.4">
      <c r="A7" s="56" t="s">
        <v>103</v>
      </c>
      <c r="B7" s="56"/>
      <c r="C7" s="55" t="s">
        <v>103</v>
      </c>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row>
    <row r="8" spans="1:65" ht="15" customHeight="1" x14ac:dyDescent="0.4">
      <c r="A8" s="56" t="s">
        <v>103</v>
      </c>
      <c r="B8" s="56"/>
      <c r="C8" s="55" t="s">
        <v>103</v>
      </c>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row>
    <row r="9" spans="1:65" ht="15" customHeight="1" x14ac:dyDescent="0.4">
      <c r="A9" s="56" t="s">
        <v>103</v>
      </c>
      <c r="B9" s="56"/>
      <c r="C9" s="55" t="s">
        <v>103</v>
      </c>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row>
    <row r="10" spans="1:65" ht="15" customHeight="1" x14ac:dyDescent="0.4">
      <c r="A10" s="56" t="s">
        <v>149</v>
      </c>
      <c r="B10" s="56"/>
      <c r="C10" s="55" t="s">
        <v>148</v>
      </c>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row>
    <row r="11" spans="1:65" ht="15" customHeight="1" x14ac:dyDescent="0.4">
      <c r="A11" s="56" t="s">
        <v>147</v>
      </c>
      <c r="B11" s="56"/>
      <c r="C11" s="55" t="s">
        <v>88</v>
      </c>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row>
    <row r="12" spans="1:65" ht="15" customHeight="1" x14ac:dyDescent="0.25">
      <c r="A12" s="47" t="s">
        <v>103</v>
      </c>
      <c r="B12" s="54" t="s">
        <v>143</v>
      </c>
      <c r="C12" s="53"/>
      <c r="D12" s="53"/>
      <c r="E12" s="53"/>
      <c r="F12" s="53"/>
      <c r="G12" s="53"/>
      <c r="H12" s="53"/>
      <c r="I12" s="52"/>
      <c r="J12" s="54" t="s">
        <v>143</v>
      </c>
      <c r="K12" s="53"/>
      <c r="L12" s="53"/>
      <c r="M12" s="53"/>
      <c r="N12" s="53"/>
      <c r="O12" s="53"/>
      <c r="P12" s="53"/>
      <c r="Q12" s="52"/>
      <c r="R12" s="54" t="s">
        <v>144</v>
      </c>
      <c r="S12" s="53"/>
      <c r="T12" s="53"/>
      <c r="U12" s="53"/>
      <c r="V12" s="53"/>
      <c r="W12" s="53"/>
      <c r="X12" s="53"/>
      <c r="Y12" s="52"/>
      <c r="Z12" s="54" t="s">
        <v>143</v>
      </c>
      <c r="AA12" s="53"/>
      <c r="AB12" s="53"/>
      <c r="AC12" s="53"/>
      <c r="AD12" s="53"/>
      <c r="AE12" s="53"/>
      <c r="AF12" s="53"/>
      <c r="AG12" s="52"/>
      <c r="AH12" s="54" t="s">
        <v>145</v>
      </c>
      <c r="AI12" s="53"/>
      <c r="AJ12" s="53"/>
      <c r="AK12" s="53"/>
      <c r="AL12" s="53"/>
      <c r="AM12" s="53"/>
      <c r="AN12" s="53"/>
      <c r="AO12" s="52"/>
      <c r="AP12" s="54" t="s">
        <v>143</v>
      </c>
      <c r="AQ12" s="53"/>
      <c r="AR12" s="53"/>
      <c r="AS12" s="53"/>
      <c r="AT12" s="53"/>
      <c r="AU12" s="53"/>
      <c r="AV12" s="53"/>
      <c r="AW12" s="52"/>
      <c r="AX12" s="54" t="s">
        <v>144</v>
      </c>
      <c r="AY12" s="53"/>
      <c r="AZ12" s="53"/>
      <c r="BA12" s="53"/>
      <c r="BB12" s="53"/>
      <c r="BC12" s="53"/>
      <c r="BD12" s="53"/>
      <c r="BE12" s="52"/>
      <c r="BF12" s="54" t="s">
        <v>143</v>
      </c>
      <c r="BG12" s="53"/>
      <c r="BH12" s="53"/>
      <c r="BI12" s="53"/>
      <c r="BJ12" s="53"/>
      <c r="BK12" s="53"/>
      <c r="BL12" s="53"/>
      <c r="BM12" s="52"/>
    </row>
    <row r="13" spans="1:65" ht="15" customHeight="1" x14ac:dyDescent="0.25">
      <c r="A13" s="47" t="s">
        <v>103</v>
      </c>
      <c r="B13" s="51" t="s">
        <v>142</v>
      </c>
      <c r="C13" s="50"/>
      <c r="D13" s="50"/>
      <c r="E13" s="50"/>
      <c r="F13" s="50"/>
      <c r="G13" s="50"/>
      <c r="H13" s="50"/>
      <c r="I13" s="49"/>
      <c r="J13" s="51" t="s">
        <v>141</v>
      </c>
      <c r="K13" s="50"/>
      <c r="L13" s="50"/>
      <c r="M13" s="50"/>
      <c r="N13" s="50"/>
      <c r="O13" s="50"/>
      <c r="P13" s="50"/>
      <c r="Q13" s="49"/>
      <c r="R13" s="51" t="s">
        <v>140</v>
      </c>
      <c r="S13" s="50"/>
      <c r="T13" s="50"/>
      <c r="U13" s="50"/>
      <c r="V13" s="50"/>
      <c r="W13" s="50"/>
      <c r="X13" s="50"/>
      <c r="Y13" s="49"/>
      <c r="Z13" s="51" t="s">
        <v>139</v>
      </c>
      <c r="AA13" s="50"/>
      <c r="AB13" s="50"/>
      <c r="AC13" s="50"/>
      <c r="AD13" s="50"/>
      <c r="AE13" s="50"/>
      <c r="AF13" s="50"/>
      <c r="AG13" s="49"/>
      <c r="AH13" s="51" t="s">
        <v>138</v>
      </c>
      <c r="AI13" s="50"/>
      <c r="AJ13" s="50"/>
      <c r="AK13" s="50"/>
      <c r="AL13" s="50"/>
      <c r="AM13" s="50"/>
      <c r="AN13" s="50"/>
      <c r="AO13" s="49"/>
      <c r="AP13" s="51" t="s">
        <v>137</v>
      </c>
      <c r="AQ13" s="50"/>
      <c r="AR13" s="50"/>
      <c r="AS13" s="50"/>
      <c r="AT13" s="50"/>
      <c r="AU13" s="50"/>
      <c r="AV13" s="50"/>
      <c r="AW13" s="49"/>
      <c r="AX13" s="51" t="s">
        <v>136</v>
      </c>
      <c r="AY13" s="50"/>
      <c r="AZ13" s="50"/>
      <c r="BA13" s="50"/>
      <c r="BB13" s="50"/>
      <c r="BC13" s="50"/>
      <c r="BD13" s="50"/>
      <c r="BE13" s="49"/>
      <c r="BF13" s="51" t="s">
        <v>135</v>
      </c>
      <c r="BG13" s="50"/>
      <c r="BH13" s="50"/>
      <c r="BI13" s="50"/>
      <c r="BJ13" s="50"/>
      <c r="BK13" s="50"/>
      <c r="BL13" s="50"/>
      <c r="BM13" s="49"/>
    </row>
    <row r="14" spans="1:65" ht="15" customHeight="1" x14ac:dyDescent="0.25">
      <c r="A14" s="48" t="s">
        <v>9</v>
      </c>
      <c r="B14" s="48" t="s">
        <v>134</v>
      </c>
      <c r="C14" s="48" t="s">
        <v>133</v>
      </c>
      <c r="D14" s="48" t="s">
        <v>132</v>
      </c>
      <c r="E14" s="48" t="s">
        <v>131</v>
      </c>
      <c r="F14" s="48" t="s">
        <v>130</v>
      </c>
      <c r="G14" s="48" t="s">
        <v>129</v>
      </c>
      <c r="H14" s="48" t="s">
        <v>128</v>
      </c>
      <c r="I14" s="48" t="s">
        <v>127</v>
      </c>
      <c r="J14" s="48" t="s">
        <v>134</v>
      </c>
      <c r="K14" s="48" t="s">
        <v>133</v>
      </c>
      <c r="L14" s="48" t="s">
        <v>132</v>
      </c>
      <c r="M14" s="48" t="s">
        <v>131</v>
      </c>
      <c r="N14" s="48" t="s">
        <v>130</v>
      </c>
      <c r="O14" s="48" t="s">
        <v>129</v>
      </c>
      <c r="P14" s="48" t="s">
        <v>128</v>
      </c>
      <c r="Q14" s="48" t="s">
        <v>127</v>
      </c>
      <c r="R14" s="48" t="s">
        <v>134</v>
      </c>
      <c r="S14" s="48" t="s">
        <v>133</v>
      </c>
      <c r="T14" s="48" t="s">
        <v>132</v>
      </c>
      <c r="U14" s="48" t="s">
        <v>131</v>
      </c>
      <c r="V14" s="48" t="s">
        <v>130</v>
      </c>
      <c r="W14" s="48" t="s">
        <v>129</v>
      </c>
      <c r="X14" s="48" t="s">
        <v>128</v>
      </c>
      <c r="Y14" s="48" t="s">
        <v>127</v>
      </c>
      <c r="Z14" s="48" t="s">
        <v>134</v>
      </c>
      <c r="AA14" s="48" t="s">
        <v>133</v>
      </c>
      <c r="AB14" s="48" t="s">
        <v>132</v>
      </c>
      <c r="AC14" s="48" t="s">
        <v>131</v>
      </c>
      <c r="AD14" s="48" t="s">
        <v>130</v>
      </c>
      <c r="AE14" s="48" t="s">
        <v>129</v>
      </c>
      <c r="AF14" s="48" t="s">
        <v>128</v>
      </c>
      <c r="AG14" s="48" t="s">
        <v>127</v>
      </c>
      <c r="AH14" s="48" t="s">
        <v>134</v>
      </c>
      <c r="AI14" s="48" t="s">
        <v>133</v>
      </c>
      <c r="AJ14" s="48" t="s">
        <v>132</v>
      </c>
      <c r="AK14" s="48" t="s">
        <v>131</v>
      </c>
      <c r="AL14" s="48" t="s">
        <v>130</v>
      </c>
      <c r="AM14" s="48" t="s">
        <v>129</v>
      </c>
      <c r="AN14" s="48" t="s">
        <v>128</v>
      </c>
      <c r="AO14" s="48" t="s">
        <v>127</v>
      </c>
      <c r="AP14" s="48" t="s">
        <v>134</v>
      </c>
      <c r="AQ14" s="48" t="s">
        <v>133</v>
      </c>
      <c r="AR14" s="48" t="s">
        <v>132</v>
      </c>
      <c r="AS14" s="48" t="s">
        <v>131</v>
      </c>
      <c r="AT14" s="48" t="s">
        <v>130</v>
      </c>
      <c r="AU14" s="48" t="s">
        <v>129</v>
      </c>
      <c r="AV14" s="48" t="s">
        <v>128</v>
      </c>
      <c r="AW14" s="48" t="s">
        <v>127</v>
      </c>
      <c r="AX14" s="48" t="s">
        <v>134</v>
      </c>
      <c r="AY14" s="48" t="s">
        <v>133</v>
      </c>
      <c r="AZ14" s="48" t="s">
        <v>132</v>
      </c>
      <c r="BA14" s="48" t="s">
        <v>131</v>
      </c>
      <c r="BB14" s="48" t="s">
        <v>130</v>
      </c>
      <c r="BC14" s="48" t="s">
        <v>129</v>
      </c>
      <c r="BD14" s="48" t="s">
        <v>128</v>
      </c>
      <c r="BE14" s="48" t="s">
        <v>127</v>
      </c>
      <c r="BF14" s="48" t="s">
        <v>134</v>
      </c>
      <c r="BG14" s="48" t="s">
        <v>133</v>
      </c>
      <c r="BH14" s="48" t="s">
        <v>132</v>
      </c>
      <c r="BI14" s="48" t="s">
        <v>131</v>
      </c>
      <c r="BJ14" s="48" t="s">
        <v>130</v>
      </c>
      <c r="BK14" s="48" t="s">
        <v>129</v>
      </c>
      <c r="BL14" s="48" t="s">
        <v>128</v>
      </c>
      <c r="BM14" s="48" t="s">
        <v>127</v>
      </c>
    </row>
    <row r="15" spans="1:65" ht="15" customHeight="1" x14ac:dyDescent="0.25">
      <c r="A15" s="47" t="s">
        <v>126</v>
      </c>
      <c r="B15" s="47" t="s">
        <v>103</v>
      </c>
      <c r="C15" s="47" t="s">
        <v>103</v>
      </c>
      <c r="D15" s="47" t="s">
        <v>103</v>
      </c>
      <c r="E15" s="47" t="s">
        <v>103</v>
      </c>
      <c r="F15" s="47" t="s">
        <v>103</v>
      </c>
      <c r="G15" s="47" t="s">
        <v>103</v>
      </c>
      <c r="H15" s="47" t="s">
        <v>103</v>
      </c>
      <c r="I15" s="47" t="s">
        <v>103</v>
      </c>
      <c r="J15" s="47" t="s">
        <v>103</v>
      </c>
      <c r="K15" s="47" t="s">
        <v>103</v>
      </c>
      <c r="L15" s="47" t="s">
        <v>103</v>
      </c>
      <c r="M15" s="47" t="s">
        <v>103</v>
      </c>
      <c r="N15" s="47" t="s">
        <v>103</v>
      </c>
      <c r="O15" s="47" t="s">
        <v>103</v>
      </c>
      <c r="P15" s="47" t="s">
        <v>103</v>
      </c>
      <c r="Q15" s="47" t="s">
        <v>103</v>
      </c>
      <c r="R15" s="47" t="s">
        <v>103</v>
      </c>
      <c r="S15" s="47" t="s">
        <v>103</v>
      </c>
      <c r="T15" s="47" t="s">
        <v>103</v>
      </c>
      <c r="U15" s="47">
        <v>3</v>
      </c>
      <c r="V15" s="47" t="s">
        <v>103</v>
      </c>
      <c r="W15" s="47" t="s">
        <v>103</v>
      </c>
      <c r="X15" s="47" t="s">
        <v>103</v>
      </c>
      <c r="Y15" s="47" t="s">
        <v>103</v>
      </c>
      <c r="Z15" s="47" t="s">
        <v>103</v>
      </c>
      <c r="AA15" s="47" t="s">
        <v>103</v>
      </c>
      <c r="AB15" s="47" t="s">
        <v>103</v>
      </c>
      <c r="AC15" s="47" t="s">
        <v>103</v>
      </c>
      <c r="AD15" s="47" t="s">
        <v>103</v>
      </c>
      <c r="AE15" s="47" t="s">
        <v>103</v>
      </c>
      <c r="AF15" s="47" t="s">
        <v>103</v>
      </c>
      <c r="AG15" s="47" t="s">
        <v>103</v>
      </c>
      <c r="AH15" s="47" t="s">
        <v>103</v>
      </c>
      <c r="AI15" s="47">
        <v>1</v>
      </c>
      <c r="AJ15" s="47" t="s">
        <v>103</v>
      </c>
      <c r="AK15" s="47" t="s">
        <v>103</v>
      </c>
      <c r="AL15" s="47" t="s">
        <v>103</v>
      </c>
      <c r="AM15" s="47" t="s">
        <v>103</v>
      </c>
      <c r="AN15" s="47" t="s">
        <v>103</v>
      </c>
      <c r="AO15" s="47" t="s">
        <v>103</v>
      </c>
      <c r="AP15" s="47" t="s">
        <v>103</v>
      </c>
      <c r="AQ15" s="47" t="s">
        <v>103</v>
      </c>
      <c r="AR15" s="47" t="s">
        <v>103</v>
      </c>
      <c r="AS15" s="47" t="s">
        <v>103</v>
      </c>
      <c r="AT15" s="47" t="s">
        <v>103</v>
      </c>
      <c r="AU15" s="47" t="s">
        <v>103</v>
      </c>
      <c r="AV15" s="47" t="s">
        <v>103</v>
      </c>
      <c r="AW15" s="47" t="s">
        <v>103</v>
      </c>
      <c r="AX15" s="47" t="s">
        <v>103</v>
      </c>
      <c r="AY15" s="47" t="s">
        <v>103</v>
      </c>
      <c r="AZ15" s="47" t="s">
        <v>103</v>
      </c>
      <c r="BA15" s="47" t="s">
        <v>103</v>
      </c>
      <c r="BB15" s="47" t="s">
        <v>103</v>
      </c>
      <c r="BC15" s="47" t="s">
        <v>103</v>
      </c>
      <c r="BD15" s="47" t="s">
        <v>103</v>
      </c>
      <c r="BE15" s="47" t="s">
        <v>103</v>
      </c>
      <c r="BF15" s="47" t="s">
        <v>103</v>
      </c>
      <c r="BG15" s="47" t="s">
        <v>103</v>
      </c>
      <c r="BH15" s="47" t="s">
        <v>103</v>
      </c>
      <c r="BI15" s="47" t="s">
        <v>103</v>
      </c>
      <c r="BJ15" s="47" t="s">
        <v>103</v>
      </c>
      <c r="BK15" s="47" t="s">
        <v>103</v>
      </c>
      <c r="BL15" s="47" t="s">
        <v>103</v>
      </c>
      <c r="BM15" s="47" t="s">
        <v>103</v>
      </c>
    </row>
    <row r="16" spans="1:65" ht="15" customHeight="1" x14ac:dyDescent="0.25">
      <c r="A16" s="47" t="s">
        <v>125</v>
      </c>
      <c r="B16" s="47" t="s">
        <v>103</v>
      </c>
      <c r="C16" s="47" t="s">
        <v>103</v>
      </c>
      <c r="D16" s="47" t="s">
        <v>103</v>
      </c>
      <c r="E16" s="47" t="s">
        <v>103</v>
      </c>
      <c r="F16" s="47" t="s">
        <v>103</v>
      </c>
      <c r="G16" s="47" t="s">
        <v>103</v>
      </c>
      <c r="H16" s="47" t="s">
        <v>103</v>
      </c>
      <c r="I16" s="47" t="s">
        <v>103</v>
      </c>
      <c r="J16" s="47" t="s">
        <v>103</v>
      </c>
      <c r="K16" s="47" t="s">
        <v>103</v>
      </c>
      <c r="L16" s="47" t="s">
        <v>103</v>
      </c>
      <c r="M16" s="47" t="s">
        <v>103</v>
      </c>
      <c r="N16" s="47" t="s">
        <v>103</v>
      </c>
      <c r="O16" s="47" t="s">
        <v>103</v>
      </c>
      <c r="P16" s="47" t="s">
        <v>103</v>
      </c>
      <c r="Q16" s="47" t="s">
        <v>103</v>
      </c>
      <c r="R16" s="47" t="s">
        <v>103</v>
      </c>
      <c r="S16" s="47" t="s">
        <v>103</v>
      </c>
      <c r="T16" s="47" t="s">
        <v>103</v>
      </c>
      <c r="U16" s="47">
        <v>8</v>
      </c>
      <c r="V16" s="47" t="s">
        <v>103</v>
      </c>
      <c r="W16" s="47" t="s">
        <v>103</v>
      </c>
      <c r="X16" s="47" t="s">
        <v>103</v>
      </c>
      <c r="Y16" s="47" t="s">
        <v>103</v>
      </c>
      <c r="Z16" s="47" t="s">
        <v>103</v>
      </c>
      <c r="AA16" s="47" t="s">
        <v>103</v>
      </c>
      <c r="AB16" s="47" t="s">
        <v>103</v>
      </c>
      <c r="AC16" s="47" t="s">
        <v>103</v>
      </c>
      <c r="AD16" s="47" t="s">
        <v>103</v>
      </c>
      <c r="AE16" s="47" t="s">
        <v>103</v>
      </c>
      <c r="AF16" s="47" t="s">
        <v>103</v>
      </c>
      <c r="AG16" s="47" t="s">
        <v>103</v>
      </c>
      <c r="AH16" s="47" t="s">
        <v>103</v>
      </c>
      <c r="AI16" s="47">
        <v>1</v>
      </c>
      <c r="AJ16" s="47" t="s">
        <v>103</v>
      </c>
      <c r="AK16" s="47" t="s">
        <v>103</v>
      </c>
      <c r="AL16" s="47" t="s">
        <v>103</v>
      </c>
      <c r="AM16" s="47" t="s">
        <v>103</v>
      </c>
      <c r="AN16" s="47" t="s">
        <v>103</v>
      </c>
      <c r="AO16" s="47" t="s">
        <v>103</v>
      </c>
      <c r="AP16" s="47" t="s">
        <v>103</v>
      </c>
      <c r="AQ16" s="47" t="s">
        <v>103</v>
      </c>
      <c r="AR16" s="47" t="s">
        <v>103</v>
      </c>
      <c r="AS16" s="47" t="s">
        <v>103</v>
      </c>
      <c r="AT16" s="47" t="s">
        <v>103</v>
      </c>
      <c r="AU16" s="47" t="s">
        <v>103</v>
      </c>
      <c r="AV16" s="47" t="s">
        <v>103</v>
      </c>
      <c r="AW16" s="47" t="s">
        <v>103</v>
      </c>
      <c r="AX16" s="47" t="s">
        <v>103</v>
      </c>
      <c r="AY16" s="47" t="s">
        <v>103</v>
      </c>
      <c r="AZ16" s="47" t="s">
        <v>103</v>
      </c>
      <c r="BA16" s="47" t="s">
        <v>103</v>
      </c>
      <c r="BB16" s="47" t="s">
        <v>103</v>
      </c>
      <c r="BC16" s="47" t="s">
        <v>103</v>
      </c>
      <c r="BD16" s="47" t="s">
        <v>103</v>
      </c>
      <c r="BE16" s="47" t="s">
        <v>103</v>
      </c>
      <c r="BF16" s="47" t="s">
        <v>103</v>
      </c>
      <c r="BG16" s="47" t="s">
        <v>103</v>
      </c>
      <c r="BH16" s="47" t="s">
        <v>103</v>
      </c>
      <c r="BI16" s="47" t="s">
        <v>103</v>
      </c>
      <c r="BJ16" s="47" t="s">
        <v>103</v>
      </c>
      <c r="BK16" s="47" t="s">
        <v>103</v>
      </c>
      <c r="BL16" s="47" t="s">
        <v>103</v>
      </c>
      <c r="BM16" s="47" t="s">
        <v>103</v>
      </c>
    </row>
    <row r="17" spans="1:65" ht="15" customHeight="1" x14ac:dyDescent="0.25">
      <c r="A17" s="47" t="s">
        <v>124</v>
      </c>
      <c r="B17" s="47" t="s">
        <v>103</v>
      </c>
      <c r="C17" s="47" t="s">
        <v>103</v>
      </c>
      <c r="D17" s="47" t="s">
        <v>103</v>
      </c>
      <c r="E17" s="47" t="s">
        <v>103</v>
      </c>
      <c r="F17" s="47" t="s">
        <v>103</v>
      </c>
      <c r="G17" s="47" t="s">
        <v>103</v>
      </c>
      <c r="H17" s="47" t="s">
        <v>103</v>
      </c>
      <c r="I17" s="47" t="s">
        <v>103</v>
      </c>
      <c r="J17" s="47" t="s">
        <v>103</v>
      </c>
      <c r="K17" s="47" t="s">
        <v>103</v>
      </c>
      <c r="L17" s="47" t="s">
        <v>103</v>
      </c>
      <c r="M17" s="47" t="s">
        <v>103</v>
      </c>
      <c r="N17" s="47" t="s">
        <v>103</v>
      </c>
      <c r="O17" s="47" t="s">
        <v>103</v>
      </c>
      <c r="P17" s="47" t="s">
        <v>103</v>
      </c>
      <c r="Q17" s="47" t="s">
        <v>103</v>
      </c>
      <c r="R17" s="47" t="s">
        <v>103</v>
      </c>
      <c r="S17" s="47" t="s">
        <v>103</v>
      </c>
      <c r="T17" s="47" t="s">
        <v>103</v>
      </c>
      <c r="U17" s="47">
        <v>8</v>
      </c>
      <c r="V17" s="47" t="s">
        <v>103</v>
      </c>
      <c r="W17" s="47" t="s">
        <v>103</v>
      </c>
      <c r="X17" s="47" t="s">
        <v>103</v>
      </c>
      <c r="Y17" s="47" t="s">
        <v>103</v>
      </c>
      <c r="Z17" s="47" t="s">
        <v>103</v>
      </c>
      <c r="AA17" s="47" t="s">
        <v>103</v>
      </c>
      <c r="AB17" s="47" t="s">
        <v>103</v>
      </c>
      <c r="AC17" s="47" t="s">
        <v>103</v>
      </c>
      <c r="AD17" s="47" t="s">
        <v>103</v>
      </c>
      <c r="AE17" s="47" t="s">
        <v>103</v>
      </c>
      <c r="AF17" s="47" t="s">
        <v>103</v>
      </c>
      <c r="AG17" s="47" t="s">
        <v>103</v>
      </c>
      <c r="AH17" s="47" t="s">
        <v>103</v>
      </c>
      <c r="AI17" s="47">
        <v>6</v>
      </c>
      <c r="AJ17" s="47" t="s">
        <v>103</v>
      </c>
      <c r="AK17" s="47" t="s">
        <v>103</v>
      </c>
      <c r="AL17" s="47" t="s">
        <v>103</v>
      </c>
      <c r="AM17" s="47" t="s">
        <v>103</v>
      </c>
      <c r="AN17" s="47" t="s">
        <v>103</v>
      </c>
      <c r="AO17" s="47" t="s">
        <v>103</v>
      </c>
      <c r="AP17" s="47" t="s">
        <v>103</v>
      </c>
      <c r="AQ17" s="47" t="s">
        <v>103</v>
      </c>
      <c r="AR17" s="47" t="s">
        <v>103</v>
      </c>
      <c r="AS17" s="47" t="s">
        <v>103</v>
      </c>
      <c r="AT17" s="47" t="s">
        <v>103</v>
      </c>
      <c r="AU17" s="47" t="s">
        <v>103</v>
      </c>
      <c r="AV17" s="47" t="s">
        <v>103</v>
      </c>
      <c r="AW17" s="47" t="s">
        <v>103</v>
      </c>
      <c r="AX17" s="47" t="s">
        <v>103</v>
      </c>
      <c r="AY17" s="47" t="s">
        <v>103</v>
      </c>
      <c r="AZ17" s="47" t="s">
        <v>103</v>
      </c>
      <c r="BA17" s="47" t="s">
        <v>103</v>
      </c>
      <c r="BB17" s="47" t="s">
        <v>103</v>
      </c>
      <c r="BC17" s="47" t="s">
        <v>103</v>
      </c>
      <c r="BD17" s="47" t="s">
        <v>103</v>
      </c>
      <c r="BE17" s="47" t="s">
        <v>103</v>
      </c>
      <c r="BF17" s="47" t="s">
        <v>103</v>
      </c>
      <c r="BG17" s="47" t="s">
        <v>103</v>
      </c>
      <c r="BH17" s="47" t="s">
        <v>103</v>
      </c>
      <c r="BI17" s="47" t="s">
        <v>103</v>
      </c>
      <c r="BJ17" s="47" t="s">
        <v>103</v>
      </c>
      <c r="BK17" s="47" t="s">
        <v>103</v>
      </c>
      <c r="BL17" s="47" t="s">
        <v>103</v>
      </c>
      <c r="BM17" s="47" t="s">
        <v>103</v>
      </c>
    </row>
    <row r="18" spans="1:65" ht="15" customHeight="1" x14ac:dyDescent="0.25">
      <c r="A18" s="47" t="s">
        <v>123</v>
      </c>
      <c r="B18" s="47" t="s">
        <v>103</v>
      </c>
      <c r="C18" s="47" t="s">
        <v>103</v>
      </c>
      <c r="D18" s="47" t="s">
        <v>103</v>
      </c>
      <c r="E18" s="47" t="s">
        <v>103</v>
      </c>
      <c r="F18" s="47" t="s">
        <v>103</v>
      </c>
      <c r="G18" s="47" t="s">
        <v>103</v>
      </c>
      <c r="H18" s="47" t="s">
        <v>103</v>
      </c>
      <c r="I18" s="47" t="s">
        <v>103</v>
      </c>
      <c r="J18" s="47" t="s">
        <v>103</v>
      </c>
      <c r="K18" s="47" t="s">
        <v>103</v>
      </c>
      <c r="L18" s="47" t="s">
        <v>103</v>
      </c>
      <c r="M18" s="47" t="s">
        <v>103</v>
      </c>
      <c r="N18" s="47" t="s">
        <v>103</v>
      </c>
      <c r="O18" s="47" t="s">
        <v>103</v>
      </c>
      <c r="P18" s="47" t="s">
        <v>103</v>
      </c>
      <c r="Q18" s="47" t="s">
        <v>103</v>
      </c>
      <c r="R18" s="47" t="s">
        <v>103</v>
      </c>
      <c r="S18" s="47" t="s">
        <v>103</v>
      </c>
      <c r="T18" s="47" t="s">
        <v>103</v>
      </c>
      <c r="U18" s="47">
        <v>5</v>
      </c>
      <c r="V18" s="47" t="s">
        <v>103</v>
      </c>
      <c r="W18" s="47" t="s">
        <v>103</v>
      </c>
      <c r="X18" s="47" t="s">
        <v>103</v>
      </c>
      <c r="Y18" s="47" t="s">
        <v>103</v>
      </c>
      <c r="Z18" s="47" t="s">
        <v>103</v>
      </c>
      <c r="AA18" s="47" t="s">
        <v>103</v>
      </c>
      <c r="AB18" s="47" t="s">
        <v>103</v>
      </c>
      <c r="AC18" s="47" t="s">
        <v>103</v>
      </c>
      <c r="AD18" s="47" t="s">
        <v>103</v>
      </c>
      <c r="AE18" s="47" t="s">
        <v>103</v>
      </c>
      <c r="AF18" s="47" t="s">
        <v>103</v>
      </c>
      <c r="AG18" s="47" t="s">
        <v>103</v>
      </c>
      <c r="AH18" s="47" t="s">
        <v>103</v>
      </c>
      <c r="AI18" s="47">
        <v>7</v>
      </c>
      <c r="AJ18" s="47" t="s">
        <v>103</v>
      </c>
      <c r="AK18" s="47" t="s">
        <v>103</v>
      </c>
      <c r="AL18" s="47" t="s">
        <v>103</v>
      </c>
      <c r="AM18" s="47" t="s">
        <v>103</v>
      </c>
      <c r="AN18" s="47" t="s">
        <v>103</v>
      </c>
      <c r="AO18" s="47" t="s">
        <v>103</v>
      </c>
      <c r="AP18" s="47" t="s">
        <v>103</v>
      </c>
      <c r="AQ18" s="47" t="s">
        <v>103</v>
      </c>
      <c r="AR18" s="47" t="s">
        <v>103</v>
      </c>
      <c r="AS18" s="47" t="s">
        <v>103</v>
      </c>
      <c r="AT18" s="47" t="s">
        <v>103</v>
      </c>
      <c r="AU18" s="47" t="s">
        <v>103</v>
      </c>
      <c r="AV18" s="47" t="s">
        <v>103</v>
      </c>
      <c r="AW18" s="47" t="s">
        <v>103</v>
      </c>
      <c r="AX18" s="47" t="s">
        <v>103</v>
      </c>
      <c r="AY18" s="47" t="s">
        <v>103</v>
      </c>
      <c r="AZ18" s="47" t="s">
        <v>103</v>
      </c>
      <c r="BA18" s="47" t="s">
        <v>103</v>
      </c>
      <c r="BB18" s="47" t="s">
        <v>103</v>
      </c>
      <c r="BC18" s="47" t="s">
        <v>103</v>
      </c>
      <c r="BD18" s="47" t="s">
        <v>103</v>
      </c>
      <c r="BE18" s="47" t="s">
        <v>103</v>
      </c>
      <c r="BF18" s="47" t="s">
        <v>103</v>
      </c>
      <c r="BG18" s="47" t="s">
        <v>103</v>
      </c>
      <c r="BH18" s="47" t="s">
        <v>103</v>
      </c>
      <c r="BI18" s="47" t="s">
        <v>103</v>
      </c>
      <c r="BJ18" s="47" t="s">
        <v>103</v>
      </c>
      <c r="BK18" s="47" t="s">
        <v>103</v>
      </c>
      <c r="BL18" s="47" t="s">
        <v>103</v>
      </c>
      <c r="BM18" s="47" t="s">
        <v>103</v>
      </c>
    </row>
    <row r="19" spans="1:65" ht="15" customHeight="1" x14ac:dyDescent="0.25">
      <c r="A19" s="47" t="s">
        <v>122</v>
      </c>
      <c r="B19" s="47" t="s">
        <v>103</v>
      </c>
      <c r="C19" s="47" t="s">
        <v>103</v>
      </c>
      <c r="D19" s="47" t="s">
        <v>103</v>
      </c>
      <c r="E19" s="47" t="s">
        <v>103</v>
      </c>
      <c r="F19" s="47" t="s">
        <v>103</v>
      </c>
      <c r="G19" s="47" t="s">
        <v>103</v>
      </c>
      <c r="H19" s="47" t="s">
        <v>103</v>
      </c>
      <c r="I19" s="47" t="s">
        <v>103</v>
      </c>
      <c r="J19" s="47" t="s">
        <v>103</v>
      </c>
      <c r="K19" s="47" t="s">
        <v>103</v>
      </c>
      <c r="L19" s="47" t="s">
        <v>103</v>
      </c>
      <c r="M19" s="47" t="s">
        <v>103</v>
      </c>
      <c r="N19" s="47" t="s">
        <v>103</v>
      </c>
      <c r="O19" s="47" t="s">
        <v>103</v>
      </c>
      <c r="P19" s="47" t="s">
        <v>103</v>
      </c>
      <c r="Q19" s="47" t="s">
        <v>103</v>
      </c>
      <c r="R19" s="47" t="s">
        <v>103</v>
      </c>
      <c r="S19" s="47" t="s">
        <v>103</v>
      </c>
      <c r="T19" s="47" t="s">
        <v>103</v>
      </c>
      <c r="U19" s="47">
        <v>5</v>
      </c>
      <c r="V19" s="47" t="s">
        <v>103</v>
      </c>
      <c r="W19" s="47" t="s">
        <v>103</v>
      </c>
      <c r="X19" s="47" t="s">
        <v>103</v>
      </c>
      <c r="Y19" s="47" t="s">
        <v>103</v>
      </c>
      <c r="Z19" s="47" t="s">
        <v>103</v>
      </c>
      <c r="AA19" s="47" t="s">
        <v>103</v>
      </c>
      <c r="AB19" s="47" t="s">
        <v>103</v>
      </c>
      <c r="AC19" s="47" t="s">
        <v>103</v>
      </c>
      <c r="AD19" s="47" t="s">
        <v>103</v>
      </c>
      <c r="AE19" s="47" t="s">
        <v>103</v>
      </c>
      <c r="AF19" s="47" t="s">
        <v>103</v>
      </c>
      <c r="AG19" s="47" t="s">
        <v>103</v>
      </c>
      <c r="AH19" s="47" t="s">
        <v>103</v>
      </c>
      <c r="AI19" s="47">
        <v>5</v>
      </c>
      <c r="AJ19" s="47" t="s">
        <v>103</v>
      </c>
      <c r="AK19" s="47" t="s">
        <v>103</v>
      </c>
      <c r="AL19" s="47" t="s">
        <v>103</v>
      </c>
      <c r="AM19" s="47" t="s">
        <v>103</v>
      </c>
      <c r="AN19" s="47" t="s">
        <v>103</v>
      </c>
      <c r="AO19" s="47" t="s">
        <v>103</v>
      </c>
      <c r="AP19" s="47" t="s">
        <v>103</v>
      </c>
      <c r="AQ19" s="47" t="s">
        <v>103</v>
      </c>
      <c r="AR19" s="47" t="s">
        <v>103</v>
      </c>
      <c r="AS19" s="47" t="s">
        <v>103</v>
      </c>
      <c r="AT19" s="47" t="s">
        <v>103</v>
      </c>
      <c r="AU19" s="47" t="s">
        <v>103</v>
      </c>
      <c r="AV19" s="47" t="s">
        <v>103</v>
      </c>
      <c r="AW19" s="47" t="s">
        <v>103</v>
      </c>
      <c r="AX19" s="47" t="s">
        <v>103</v>
      </c>
      <c r="AY19" s="47" t="s">
        <v>103</v>
      </c>
      <c r="AZ19" s="47" t="s">
        <v>103</v>
      </c>
      <c r="BA19" s="47" t="s">
        <v>103</v>
      </c>
      <c r="BB19" s="47" t="s">
        <v>103</v>
      </c>
      <c r="BC19" s="47" t="s">
        <v>103</v>
      </c>
      <c r="BD19" s="47" t="s">
        <v>103</v>
      </c>
      <c r="BE19" s="47" t="s">
        <v>103</v>
      </c>
      <c r="BF19" s="47" t="s">
        <v>103</v>
      </c>
      <c r="BG19" s="47" t="s">
        <v>103</v>
      </c>
      <c r="BH19" s="47" t="s">
        <v>103</v>
      </c>
      <c r="BI19" s="47" t="s">
        <v>103</v>
      </c>
      <c r="BJ19" s="47" t="s">
        <v>103</v>
      </c>
      <c r="BK19" s="47" t="s">
        <v>103</v>
      </c>
      <c r="BL19" s="47" t="s">
        <v>103</v>
      </c>
      <c r="BM19" s="47" t="s">
        <v>103</v>
      </c>
    </row>
    <row r="20" spans="1:65" ht="15" customHeight="1" x14ac:dyDescent="0.25">
      <c r="A20" s="47" t="s">
        <v>121</v>
      </c>
      <c r="B20" s="47" t="s">
        <v>103</v>
      </c>
      <c r="C20" s="47" t="s">
        <v>103</v>
      </c>
      <c r="D20" s="47" t="s">
        <v>103</v>
      </c>
      <c r="E20" s="47" t="s">
        <v>103</v>
      </c>
      <c r="F20" s="47" t="s">
        <v>103</v>
      </c>
      <c r="G20" s="47" t="s">
        <v>103</v>
      </c>
      <c r="H20" s="47" t="s">
        <v>103</v>
      </c>
      <c r="I20" s="47" t="s">
        <v>103</v>
      </c>
      <c r="J20" s="47" t="s">
        <v>103</v>
      </c>
      <c r="K20" s="47" t="s">
        <v>103</v>
      </c>
      <c r="L20" s="47" t="s">
        <v>103</v>
      </c>
      <c r="M20" s="47" t="s">
        <v>103</v>
      </c>
      <c r="N20" s="47" t="s">
        <v>103</v>
      </c>
      <c r="O20" s="47" t="s">
        <v>103</v>
      </c>
      <c r="P20" s="47" t="s">
        <v>103</v>
      </c>
      <c r="Q20" s="47" t="s">
        <v>103</v>
      </c>
      <c r="R20" s="47" t="s">
        <v>103</v>
      </c>
      <c r="S20" s="47" t="s">
        <v>103</v>
      </c>
      <c r="T20" s="47" t="s">
        <v>103</v>
      </c>
      <c r="U20" s="47">
        <v>4</v>
      </c>
      <c r="V20" s="47" t="s">
        <v>103</v>
      </c>
      <c r="W20" s="47" t="s">
        <v>103</v>
      </c>
      <c r="X20" s="47" t="s">
        <v>103</v>
      </c>
      <c r="Y20" s="47" t="s">
        <v>103</v>
      </c>
      <c r="Z20" s="47" t="s">
        <v>103</v>
      </c>
      <c r="AA20" s="47" t="s">
        <v>103</v>
      </c>
      <c r="AB20" s="47" t="s">
        <v>103</v>
      </c>
      <c r="AC20" s="47" t="s">
        <v>103</v>
      </c>
      <c r="AD20" s="47" t="s">
        <v>103</v>
      </c>
      <c r="AE20" s="47" t="s">
        <v>103</v>
      </c>
      <c r="AF20" s="47" t="s">
        <v>103</v>
      </c>
      <c r="AG20" s="47" t="s">
        <v>103</v>
      </c>
      <c r="AH20" s="47" t="s">
        <v>103</v>
      </c>
      <c r="AI20" s="47">
        <v>5</v>
      </c>
      <c r="AJ20" s="47" t="s">
        <v>103</v>
      </c>
      <c r="AK20" s="47" t="s">
        <v>103</v>
      </c>
      <c r="AL20" s="47" t="s">
        <v>103</v>
      </c>
      <c r="AM20" s="47" t="s">
        <v>103</v>
      </c>
      <c r="AN20" s="47" t="s">
        <v>103</v>
      </c>
      <c r="AO20" s="47" t="s">
        <v>103</v>
      </c>
      <c r="AP20" s="47" t="s">
        <v>103</v>
      </c>
      <c r="AQ20" s="47" t="s">
        <v>103</v>
      </c>
      <c r="AR20" s="47" t="s">
        <v>103</v>
      </c>
      <c r="AS20" s="47" t="s">
        <v>103</v>
      </c>
      <c r="AT20" s="47" t="s">
        <v>103</v>
      </c>
      <c r="AU20" s="47" t="s">
        <v>103</v>
      </c>
      <c r="AV20" s="47" t="s">
        <v>103</v>
      </c>
      <c r="AW20" s="47" t="s">
        <v>103</v>
      </c>
      <c r="AX20" s="47" t="s">
        <v>103</v>
      </c>
      <c r="AY20" s="47" t="s">
        <v>103</v>
      </c>
      <c r="AZ20" s="47" t="s">
        <v>103</v>
      </c>
      <c r="BA20" s="47" t="s">
        <v>103</v>
      </c>
      <c r="BB20" s="47" t="s">
        <v>103</v>
      </c>
      <c r="BC20" s="47" t="s">
        <v>103</v>
      </c>
      <c r="BD20" s="47" t="s">
        <v>103</v>
      </c>
      <c r="BE20" s="47" t="s">
        <v>103</v>
      </c>
      <c r="BF20" s="47" t="s">
        <v>103</v>
      </c>
      <c r="BG20" s="47" t="s">
        <v>103</v>
      </c>
      <c r="BH20" s="47" t="s">
        <v>103</v>
      </c>
      <c r="BI20" s="47" t="s">
        <v>103</v>
      </c>
      <c r="BJ20" s="47" t="s">
        <v>103</v>
      </c>
      <c r="BK20" s="47" t="s">
        <v>103</v>
      </c>
      <c r="BL20" s="47" t="s">
        <v>103</v>
      </c>
      <c r="BM20" s="47" t="s">
        <v>103</v>
      </c>
    </row>
    <row r="21" spans="1:65" ht="15" customHeight="1" x14ac:dyDescent="0.25">
      <c r="A21" s="47" t="s">
        <v>120</v>
      </c>
      <c r="B21" s="47" t="s">
        <v>103</v>
      </c>
      <c r="C21" s="47" t="s">
        <v>103</v>
      </c>
      <c r="D21" s="47" t="s">
        <v>103</v>
      </c>
      <c r="E21" s="47" t="s">
        <v>103</v>
      </c>
      <c r="F21" s="47" t="s">
        <v>103</v>
      </c>
      <c r="G21" s="47" t="s">
        <v>103</v>
      </c>
      <c r="H21" s="47" t="s">
        <v>103</v>
      </c>
      <c r="I21" s="47" t="s">
        <v>103</v>
      </c>
      <c r="J21" s="47" t="s">
        <v>103</v>
      </c>
      <c r="K21" s="47" t="s">
        <v>103</v>
      </c>
      <c r="L21" s="47" t="s">
        <v>103</v>
      </c>
      <c r="M21" s="47" t="s">
        <v>103</v>
      </c>
      <c r="N21" s="47" t="s">
        <v>103</v>
      </c>
      <c r="O21" s="47" t="s">
        <v>103</v>
      </c>
      <c r="P21" s="47" t="s">
        <v>103</v>
      </c>
      <c r="Q21" s="47" t="s">
        <v>103</v>
      </c>
      <c r="R21" s="47" t="s">
        <v>103</v>
      </c>
      <c r="S21" s="47" t="s">
        <v>103</v>
      </c>
      <c r="T21" s="47" t="s">
        <v>103</v>
      </c>
      <c r="U21" s="47">
        <v>6</v>
      </c>
      <c r="V21" s="47" t="s">
        <v>103</v>
      </c>
      <c r="W21" s="47" t="s">
        <v>103</v>
      </c>
      <c r="X21" s="47" t="s">
        <v>103</v>
      </c>
      <c r="Y21" s="47" t="s">
        <v>103</v>
      </c>
      <c r="Z21" s="47" t="s">
        <v>103</v>
      </c>
      <c r="AA21" s="47" t="s">
        <v>103</v>
      </c>
      <c r="AB21" s="47" t="s">
        <v>103</v>
      </c>
      <c r="AC21" s="47" t="s">
        <v>103</v>
      </c>
      <c r="AD21" s="47" t="s">
        <v>103</v>
      </c>
      <c r="AE21" s="47" t="s">
        <v>103</v>
      </c>
      <c r="AF21" s="47" t="s">
        <v>103</v>
      </c>
      <c r="AG21" s="47" t="s">
        <v>103</v>
      </c>
      <c r="AH21" s="47" t="s">
        <v>103</v>
      </c>
      <c r="AI21" s="47">
        <v>2</v>
      </c>
      <c r="AJ21" s="47" t="s">
        <v>103</v>
      </c>
      <c r="AK21" s="47" t="s">
        <v>103</v>
      </c>
      <c r="AL21" s="47" t="s">
        <v>103</v>
      </c>
      <c r="AM21" s="47" t="s">
        <v>103</v>
      </c>
      <c r="AN21" s="47" t="s">
        <v>103</v>
      </c>
      <c r="AO21" s="47" t="s">
        <v>103</v>
      </c>
      <c r="AP21" s="47" t="s">
        <v>103</v>
      </c>
      <c r="AQ21" s="47" t="s">
        <v>103</v>
      </c>
      <c r="AR21" s="47" t="s">
        <v>103</v>
      </c>
      <c r="AS21" s="47" t="s">
        <v>103</v>
      </c>
      <c r="AT21" s="47" t="s">
        <v>103</v>
      </c>
      <c r="AU21" s="47" t="s">
        <v>103</v>
      </c>
      <c r="AV21" s="47" t="s">
        <v>103</v>
      </c>
      <c r="AW21" s="47" t="s">
        <v>103</v>
      </c>
      <c r="AX21" s="47" t="s">
        <v>103</v>
      </c>
      <c r="AY21" s="47" t="s">
        <v>103</v>
      </c>
      <c r="AZ21" s="47" t="s">
        <v>103</v>
      </c>
      <c r="BA21" s="47" t="s">
        <v>103</v>
      </c>
      <c r="BB21" s="47" t="s">
        <v>103</v>
      </c>
      <c r="BC21" s="47" t="s">
        <v>103</v>
      </c>
      <c r="BD21" s="47" t="s">
        <v>103</v>
      </c>
      <c r="BE21" s="47" t="s">
        <v>103</v>
      </c>
      <c r="BF21" s="47" t="s">
        <v>103</v>
      </c>
      <c r="BG21" s="47" t="s">
        <v>103</v>
      </c>
      <c r="BH21" s="47" t="s">
        <v>103</v>
      </c>
      <c r="BI21" s="47" t="s">
        <v>103</v>
      </c>
      <c r="BJ21" s="47" t="s">
        <v>103</v>
      </c>
      <c r="BK21" s="47" t="s">
        <v>103</v>
      </c>
      <c r="BL21" s="47" t="s">
        <v>103</v>
      </c>
      <c r="BM21" s="47" t="s">
        <v>103</v>
      </c>
    </row>
    <row r="22" spans="1:65" ht="15" customHeight="1" x14ac:dyDescent="0.25">
      <c r="A22" s="47" t="s">
        <v>119</v>
      </c>
      <c r="B22" s="47" t="s">
        <v>103</v>
      </c>
      <c r="C22" s="47" t="s">
        <v>103</v>
      </c>
      <c r="D22" s="47" t="s">
        <v>103</v>
      </c>
      <c r="E22" s="47" t="s">
        <v>103</v>
      </c>
      <c r="F22" s="47" t="s">
        <v>103</v>
      </c>
      <c r="G22" s="47" t="s">
        <v>103</v>
      </c>
      <c r="H22" s="47" t="s">
        <v>103</v>
      </c>
      <c r="I22" s="47" t="s">
        <v>103</v>
      </c>
      <c r="J22" s="47" t="s">
        <v>103</v>
      </c>
      <c r="K22" s="47" t="s">
        <v>103</v>
      </c>
      <c r="L22" s="47" t="s">
        <v>103</v>
      </c>
      <c r="M22" s="47" t="s">
        <v>103</v>
      </c>
      <c r="N22" s="47" t="s">
        <v>103</v>
      </c>
      <c r="O22" s="47" t="s">
        <v>103</v>
      </c>
      <c r="P22" s="47" t="s">
        <v>103</v>
      </c>
      <c r="Q22" s="47" t="s">
        <v>103</v>
      </c>
      <c r="R22" s="47" t="s">
        <v>103</v>
      </c>
      <c r="S22" s="47" t="s">
        <v>103</v>
      </c>
      <c r="T22" s="47" t="s">
        <v>103</v>
      </c>
      <c r="U22" s="47">
        <v>5</v>
      </c>
      <c r="V22" s="47" t="s">
        <v>103</v>
      </c>
      <c r="W22" s="47" t="s">
        <v>103</v>
      </c>
      <c r="X22" s="47" t="s">
        <v>103</v>
      </c>
      <c r="Y22" s="47" t="s">
        <v>103</v>
      </c>
      <c r="Z22" s="47" t="s">
        <v>103</v>
      </c>
      <c r="AA22" s="47" t="s">
        <v>103</v>
      </c>
      <c r="AB22" s="47" t="s">
        <v>103</v>
      </c>
      <c r="AC22" s="47" t="s">
        <v>103</v>
      </c>
      <c r="AD22" s="47" t="s">
        <v>103</v>
      </c>
      <c r="AE22" s="47" t="s">
        <v>103</v>
      </c>
      <c r="AF22" s="47" t="s">
        <v>103</v>
      </c>
      <c r="AG22" s="47" t="s">
        <v>103</v>
      </c>
      <c r="AH22" s="47" t="s">
        <v>103</v>
      </c>
      <c r="AI22" s="47">
        <v>4</v>
      </c>
      <c r="AJ22" s="47" t="s">
        <v>103</v>
      </c>
      <c r="AK22" s="47" t="s">
        <v>103</v>
      </c>
      <c r="AL22" s="47" t="s">
        <v>103</v>
      </c>
      <c r="AM22" s="47" t="s">
        <v>103</v>
      </c>
      <c r="AN22" s="47" t="s">
        <v>103</v>
      </c>
      <c r="AO22" s="47" t="s">
        <v>103</v>
      </c>
      <c r="AP22" s="47" t="s">
        <v>103</v>
      </c>
      <c r="AQ22" s="47" t="s">
        <v>103</v>
      </c>
      <c r="AR22" s="47" t="s">
        <v>103</v>
      </c>
      <c r="AS22" s="47" t="s">
        <v>103</v>
      </c>
      <c r="AT22" s="47" t="s">
        <v>103</v>
      </c>
      <c r="AU22" s="47" t="s">
        <v>103</v>
      </c>
      <c r="AV22" s="47" t="s">
        <v>103</v>
      </c>
      <c r="AW22" s="47" t="s">
        <v>103</v>
      </c>
      <c r="AX22" s="47" t="s">
        <v>103</v>
      </c>
      <c r="AY22" s="47" t="s">
        <v>103</v>
      </c>
      <c r="AZ22" s="47" t="s">
        <v>103</v>
      </c>
      <c r="BA22" s="47" t="s">
        <v>103</v>
      </c>
      <c r="BB22" s="47" t="s">
        <v>103</v>
      </c>
      <c r="BC22" s="47" t="s">
        <v>103</v>
      </c>
      <c r="BD22" s="47" t="s">
        <v>103</v>
      </c>
      <c r="BE22" s="47" t="s">
        <v>103</v>
      </c>
      <c r="BF22" s="47" t="s">
        <v>103</v>
      </c>
      <c r="BG22" s="47" t="s">
        <v>103</v>
      </c>
      <c r="BH22" s="47" t="s">
        <v>103</v>
      </c>
      <c r="BI22" s="47" t="s">
        <v>103</v>
      </c>
      <c r="BJ22" s="47" t="s">
        <v>103</v>
      </c>
      <c r="BK22" s="47" t="s">
        <v>103</v>
      </c>
      <c r="BL22" s="47" t="s">
        <v>103</v>
      </c>
      <c r="BM22" s="47" t="s">
        <v>103</v>
      </c>
    </row>
    <row r="23" spans="1:65" ht="15" customHeight="1" x14ac:dyDescent="0.25">
      <c r="A23" s="47" t="s">
        <v>118</v>
      </c>
      <c r="B23" s="47" t="s">
        <v>103</v>
      </c>
      <c r="C23" s="47" t="s">
        <v>103</v>
      </c>
      <c r="D23" s="47" t="s">
        <v>103</v>
      </c>
      <c r="E23" s="47" t="s">
        <v>103</v>
      </c>
      <c r="F23" s="47" t="s">
        <v>103</v>
      </c>
      <c r="G23" s="47" t="s">
        <v>103</v>
      </c>
      <c r="H23" s="47" t="s">
        <v>103</v>
      </c>
      <c r="I23" s="47" t="s">
        <v>103</v>
      </c>
      <c r="J23" s="47" t="s">
        <v>103</v>
      </c>
      <c r="K23" s="47" t="s">
        <v>103</v>
      </c>
      <c r="L23" s="47" t="s">
        <v>103</v>
      </c>
      <c r="M23" s="47" t="s">
        <v>103</v>
      </c>
      <c r="N23" s="47" t="s">
        <v>103</v>
      </c>
      <c r="O23" s="47" t="s">
        <v>103</v>
      </c>
      <c r="P23" s="47" t="s">
        <v>103</v>
      </c>
      <c r="Q23" s="47" t="s">
        <v>103</v>
      </c>
      <c r="R23" s="47" t="s">
        <v>103</v>
      </c>
      <c r="S23" s="47" t="s">
        <v>103</v>
      </c>
      <c r="T23" s="47" t="s">
        <v>103</v>
      </c>
      <c r="U23" s="47">
        <v>0</v>
      </c>
      <c r="V23" s="47" t="s">
        <v>103</v>
      </c>
      <c r="W23" s="47" t="s">
        <v>103</v>
      </c>
      <c r="X23" s="47" t="s">
        <v>103</v>
      </c>
      <c r="Y23" s="47" t="s">
        <v>103</v>
      </c>
      <c r="Z23" s="47" t="s">
        <v>103</v>
      </c>
      <c r="AA23" s="47" t="s">
        <v>103</v>
      </c>
      <c r="AB23" s="47" t="s">
        <v>103</v>
      </c>
      <c r="AC23" s="47" t="s">
        <v>103</v>
      </c>
      <c r="AD23" s="47" t="s">
        <v>103</v>
      </c>
      <c r="AE23" s="47" t="s">
        <v>103</v>
      </c>
      <c r="AF23" s="47" t="s">
        <v>103</v>
      </c>
      <c r="AG23" s="47" t="s">
        <v>103</v>
      </c>
      <c r="AH23" s="47" t="s">
        <v>103</v>
      </c>
      <c r="AI23" s="47">
        <v>0</v>
      </c>
      <c r="AJ23" s="47" t="s">
        <v>103</v>
      </c>
      <c r="AK23" s="47" t="s">
        <v>103</v>
      </c>
      <c r="AL23" s="47" t="s">
        <v>103</v>
      </c>
      <c r="AM23" s="47" t="s">
        <v>103</v>
      </c>
      <c r="AN23" s="47" t="s">
        <v>103</v>
      </c>
      <c r="AO23" s="47" t="s">
        <v>103</v>
      </c>
      <c r="AP23" s="47" t="s">
        <v>103</v>
      </c>
      <c r="AQ23" s="47" t="s">
        <v>103</v>
      </c>
      <c r="AR23" s="47" t="s">
        <v>103</v>
      </c>
      <c r="AS23" s="47" t="s">
        <v>103</v>
      </c>
      <c r="AT23" s="47" t="s">
        <v>103</v>
      </c>
      <c r="AU23" s="47" t="s">
        <v>103</v>
      </c>
      <c r="AV23" s="47" t="s">
        <v>103</v>
      </c>
      <c r="AW23" s="47" t="s">
        <v>103</v>
      </c>
      <c r="AX23" s="47" t="s">
        <v>103</v>
      </c>
      <c r="AY23" s="47" t="s">
        <v>103</v>
      </c>
      <c r="AZ23" s="47" t="s">
        <v>103</v>
      </c>
      <c r="BA23" s="47" t="s">
        <v>103</v>
      </c>
      <c r="BB23" s="47" t="s">
        <v>103</v>
      </c>
      <c r="BC23" s="47" t="s">
        <v>103</v>
      </c>
      <c r="BD23" s="47" t="s">
        <v>103</v>
      </c>
      <c r="BE23" s="47" t="s">
        <v>103</v>
      </c>
      <c r="BF23" s="47" t="s">
        <v>103</v>
      </c>
      <c r="BG23" s="47" t="s">
        <v>103</v>
      </c>
      <c r="BH23" s="47" t="s">
        <v>103</v>
      </c>
      <c r="BI23" s="47" t="s">
        <v>103</v>
      </c>
      <c r="BJ23" s="47" t="s">
        <v>103</v>
      </c>
      <c r="BK23" s="47" t="s">
        <v>103</v>
      </c>
      <c r="BL23" s="47" t="s">
        <v>103</v>
      </c>
      <c r="BM23" s="47" t="s">
        <v>103</v>
      </c>
    </row>
    <row r="24" spans="1:65" ht="15" customHeight="1" x14ac:dyDescent="0.25">
      <c r="A24" s="47" t="s">
        <v>117</v>
      </c>
      <c r="B24" s="47" t="s">
        <v>103</v>
      </c>
      <c r="C24" s="47" t="s">
        <v>103</v>
      </c>
      <c r="D24" s="47" t="s">
        <v>103</v>
      </c>
      <c r="E24" s="47" t="s">
        <v>103</v>
      </c>
      <c r="F24" s="47" t="s">
        <v>103</v>
      </c>
      <c r="G24" s="47" t="s">
        <v>103</v>
      </c>
      <c r="H24" s="47" t="s">
        <v>103</v>
      </c>
      <c r="I24" s="47" t="s">
        <v>103</v>
      </c>
      <c r="J24" s="47" t="s">
        <v>103</v>
      </c>
      <c r="K24" s="47" t="s">
        <v>103</v>
      </c>
      <c r="L24" s="47" t="s">
        <v>103</v>
      </c>
      <c r="M24" s="47" t="s">
        <v>103</v>
      </c>
      <c r="N24" s="47" t="s">
        <v>103</v>
      </c>
      <c r="O24" s="47" t="s">
        <v>103</v>
      </c>
      <c r="P24" s="47" t="s">
        <v>103</v>
      </c>
      <c r="Q24" s="47" t="s">
        <v>103</v>
      </c>
      <c r="R24" s="47" t="s">
        <v>103</v>
      </c>
      <c r="S24" s="47" t="s">
        <v>103</v>
      </c>
      <c r="T24" s="47" t="s">
        <v>103</v>
      </c>
      <c r="U24" s="47">
        <v>3</v>
      </c>
      <c r="V24" s="47" t="s">
        <v>103</v>
      </c>
      <c r="W24" s="47" t="s">
        <v>103</v>
      </c>
      <c r="X24" s="47" t="s">
        <v>103</v>
      </c>
      <c r="Y24" s="47" t="s">
        <v>103</v>
      </c>
      <c r="Z24" s="47" t="s">
        <v>103</v>
      </c>
      <c r="AA24" s="47" t="s">
        <v>103</v>
      </c>
      <c r="AB24" s="47" t="s">
        <v>103</v>
      </c>
      <c r="AC24" s="47" t="s">
        <v>103</v>
      </c>
      <c r="AD24" s="47" t="s">
        <v>103</v>
      </c>
      <c r="AE24" s="47" t="s">
        <v>103</v>
      </c>
      <c r="AF24" s="47" t="s">
        <v>103</v>
      </c>
      <c r="AG24" s="47" t="s">
        <v>103</v>
      </c>
      <c r="AH24" s="47" t="s">
        <v>103</v>
      </c>
      <c r="AI24" s="47">
        <v>3</v>
      </c>
      <c r="AJ24" s="47" t="s">
        <v>103</v>
      </c>
      <c r="AK24" s="47" t="s">
        <v>103</v>
      </c>
      <c r="AL24" s="47" t="s">
        <v>103</v>
      </c>
      <c r="AM24" s="47" t="s">
        <v>103</v>
      </c>
      <c r="AN24" s="47" t="s">
        <v>103</v>
      </c>
      <c r="AO24" s="47" t="s">
        <v>103</v>
      </c>
      <c r="AP24" s="47" t="s">
        <v>103</v>
      </c>
      <c r="AQ24" s="47" t="s">
        <v>103</v>
      </c>
      <c r="AR24" s="47" t="s">
        <v>103</v>
      </c>
      <c r="AS24" s="47" t="s">
        <v>103</v>
      </c>
      <c r="AT24" s="47" t="s">
        <v>103</v>
      </c>
      <c r="AU24" s="47" t="s">
        <v>103</v>
      </c>
      <c r="AV24" s="47" t="s">
        <v>103</v>
      </c>
      <c r="AW24" s="47" t="s">
        <v>103</v>
      </c>
      <c r="AX24" s="47" t="s">
        <v>103</v>
      </c>
      <c r="AY24" s="47" t="s">
        <v>103</v>
      </c>
      <c r="AZ24" s="47" t="s">
        <v>103</v>
      </c>
      <c r="BA24" s="47" t="s">
        <v>103</v>
      </c>
      <c r="BB24" s="47" t="s">
        <v>103</v>
      </c>
      <c r="BC24" s="47" t="s">
        <v>103</v>
      </c>
      <c r="BD24" s="47" t="s">
        <v>103</v>
      </c>
      <c r="BE24" s="47" t="s">
        <v>103</v>
      </c>
      <c r="BF24" s="47" t="s">
        <v>103</v>
      </c>
      <c r="BG24" s="47" t="s">
        <v>103</v>
      </c>
      <c r="BH24" s="47" t="s">
        <v>103</v>
      </c>
      <c r="BI24" s="47" t="s">
        <v>103</v>
      </c>
      <c r="BJ24" s="47" t="s">
        <v>103</v>
      </c>
      <c r="BK24" s="47" t="s">
        <v>103</v>
      </c>
      <c r="BL24" s="47" t="s">
        <v>103</v>
      </c>
      <c r="BM24" s="47" t="s">
        <v>103</v>
      </c>
    </row>
    <row r="25" spans="1:65" ht="15" customHeight="1" x14ac:dyDescent="0.25">
      <c r="A25" s="47" t="s">
        <v>116</v>
      </c>
      <c r="B25" s="47" t="s">
        <v>103</v>
      </c>
      <c r="C25" s="47" t="s">
        <v>103</v>
      </c>
      <c r="D25" s="47" t="s">
        <v>103</v>
      </c>
      <c r="E25" s="47" t="s">
        <v>103</v>
      </c>
      <c r="F25" s="47" t="s">
        <v>103</v>
      </c>
      <c r="G25" s="47" t="s">
        <v>103</v>
      </c>
      <c r="H25" s="47" t="s">
        <v>103</v>
      </c>
      <c r="I25" s="47" t="s">
        <v>103</v>
      </c>
      <c r="J25" s="47" t="s">
        <v>103</v>
      </c>
      <c r="K25" s="47" t="s">
        <v>103</v>
      </c>
      <c r="L25" s="47" t="s">
        <v>103</v>
      </c>
      <c r="M25" s="47" t="s">
        <v>103</v>
      </c>
      <c r="N25" s="47" t="s">
        <v>103</v>
      </c>
      <c r="O25" s="47" t="s">
        <v>103</v>
      </c>
      <c r="P25" s="47" t="s">
        <v>103</v>
      </c>
      <c r="Q25" s="47" t="s">
        <v>103</v>
      </c>
      <c r="R25" s="47" t="s">
        <v>103</v>
      </c>
      <c r="S25" s="47" t="s">
        <v>103</v>
      </c>
      <c r="T25" s="47" t="s">
        <v>103</v>
      </c>
      <c r="U25" s="47">
        <v>2</v>
      </c>
      <c r="V25" s="47" t="s">
        <v>103</v>
      </c>
      <c r="W25" s="47" t="s">
        <v>103</v>
      </c>
      <c r="X25" s="47" t="s">
        <v>103</v>
      </c>
      <c r="Y25" s="47" t="s">
        <v>103</v>
      </c>
      <c r="Z25" s="47" t="s">
        <v>103</v>
      </c>
      <c r="AA25" s="47" t="s">
        <v>103</v>
      </c>
      <c r="AB25" s="47" t="s">
        <v>103</v>
      </c>
      <c r="AC25" s="47" t="s">
        <v>103</v>
      </c>
      <c r="AD25" s="47" t="s">
        <v>103</v>
      </c>
      <c r="AE25" s="47" t="s">
        <v>103</v>
      </c>
      <c r="AF25" s="47" t="s">
        <v>103</v>
      </c>
      <c r="AG25" s="47" t="s">
        <v>103</v>
      </c>
      <c r="AH25" s="47" t="s">
        <v>103</v>
      </c>
      <c r="AI25" s="47">
        <v>2</v>
      </c>
      <c r="AJ25" s="47" t="s">
        <v>103</v>
      </c>
      <c r="AK25" s="47" t="s">
        <v>103</v>
      </c>
      <c r="AL25" s="47" t="s">
        <v>103</v>
      </c>
      <c r="AM25" s="47" t="s">
        <v>103</v>
      </c>
      <c r="AN25" s="47" t="s">
        <v>103</v>
      </c>
      <c r="AO25" s="47" t="s">
        <v>103</v>
      </c>
      <c r="AP25" s="47" t="s">
        <v>103</v>
      </c>
      <c r="AQ25" s="47" t="s">
        <v>103</v>
      </c>
      <c r="AR25" s="47" t="s">
        <v>103</v>
      </c>
      <c r="AS25" s="47" t="s">
        <v>103</v>
      </c>
      <c r="AT25" s="47" t="s">
        <v>103</v>
      </c>
      <c r="AU25" s="47" t="s">
        <v>103</v>
      </c>
      <c r="AV25" s="47" t="s">
        <v>103</v>
      </c>
      <c r="AW25" s="47" t="s">
        <v>103</v>
      </c>
      <c r="AX25" s="47" t="s">
        <v>103</v>
      </c>
      <c r="AY25" s="47" t="s">
        <v>103</v>
      </c>
      <c r="AZ25" s="47" t="s">
        <v>103</v>
      </c>
      <c r="BA25" s="47" t="s">
        <v>103</v>
      </c>
      <c r="BB25" s="47" t="s">
        <v>103</v>
      </c>
      <c r="BC25" s="47" t="s">
        <v>103</v>
      </c>
      <c r="BD25" s="47" t="s">
        <v>103</v>
      </c>
      <c r="BE25" s="47" t="s">
        <v>103</v>
      </c>
      <c r="BF25" s="47" t="s">
        <v>103</v>
      </c>
      <c r="BG25" s="47" t="s">
        <v>103</v>
      </c>
      <c r="BH25" s="47" t="s">
        <v>103</v>
      </c>
      <c r="BI25" s="47" t="s">
        <v>103</v>
      </c>
      <c r="BJ25" s="47" t="s">
        <v>103</v>
      </c>
      <c r="BK25" s="47" t="s">
        <v>103</v>
      </c>
      <c r="BL25" s="47" t="s">
        <v>103</v>
      </c>
      <c r="BM25" s="47" t="s">
        <v>103</v>
      </c>
    </row>
    <row r="26" spans="1:65" ht="15" customHeight="1" x14ac:dyDescent="0.25">
      <c r="A26" s="47" t="s">
        <v>115</v>
      </c>
      <c r="B26" s="47" t="s">
        <v>103</v>
      </c>
      <c r="C26" s="47" t="s">
        <v>103</v>
      </c>
      <c r="D26" s="47" t="s">
        <v>103</v>
      </c>
      <c r="E26" s="47" t="s">
        <v>103</v>
      </c>
      <c r="F26" s="47" t="s">
        <v>103</v>
      </c>
      <c r="G26" s="47" t="s">
        <v>103</v>
      </c>
      <c r="H26" s="47" t="s">
        <v>103</v>
      </c>
      <c r="I26" s="47" t="s">
        <v>103</v>
      </c>
      <c r="J26" s="47" t="s">
        <v>103</v>
      </c>
      <c r="K26" s="47" t="s">
        <v>103</v>
      </c>
      <c r="L26" s="47" t="s">
        <v>103</v>
      </c>
      <c r="M26" s="47" t="s">
        <v>103</v>
      </c>
      <c r="N26" s="47" t="s">
        <v>103</v>
      </c>
      <c r="O26" s="47" t="s">
        <v>103</v>
      </c>
      <c r="P26" s="47" t="s">
        <v>103</v>
      </c>
      <c r="Q26" s="47" t="s">
        <v>103</v>
      </c>
      <c r="R26" s="47" t="s">
        <v>103</v>
      </c>
      <c r="S26" s="47" t="s">
        <v>103</v>
      </c>
      <c r="T26" s="47" t="s">
        <v>103</v>
      </c>
      <c r="U26" s="47">
        <v>2</v>
      </c>
      <c r="V26" s="47" t="s">
        <v>103</v>
      </c>
      <c r="W26" s="47" t="s">
        <v>103</v>
      </c>
      <c r="X26" s="47" t="s">
        <v>103</v>
      </c>
      <c r="Y26" s="47" t="s">
        <v>103</v>
      </c>
      <c r="Z26" s="47" t="s">
        <v>103</v>
      </c>
      <c r="AA26" s="47" t="s">
        <v>103</v>
      </c>
      <c r="AB26" s="47" t="s">
        <v>103</v>
      </c>
      <c r="AC26" s="47" t="s">
        <v>103</v>
      </c>
      <c r="AD26" s="47" t="s">
        <v>103</v>
      </c>
      <c r="AE26" s="47" t="s">
        <v>103</v>
      </c>
      <c r="AF26" s="47" t="s">
        <v>103</v>
      </c>
      <c r="AG26" s="47" t="s">
        <v>103</v>
      </c>
      <c r="AH26" s="47" t="s">
        <v>103</v>
      </c>
      <c r="AI26" s="47">
        <v>1</v>
      </c>
      <c r="AJ26" s="47" t="s">
        <v>103</v>
      </c>
      <c r="AK26" s="47" t="s">
        <v>103</v>
      </c>
      <c r="AL26" s="47" t="s">
        <v>103</v>
      </c>
      <c r="AM26" s="47" t="s">
        <v>103</v>
      </c>
      <c r="AN26" s="47" t="s">
        <v>103</v>
      </c>
      <c r="AO26" s="47" t="s">
        <v>103</v>
      </c>
      <c r="AP26" s="47" t="s">
        <v>103</v>
      </c>
      <c r="AQ26" s="47" t="s">
        <v>103</v>
      </c>
      <c r="AR26" s="47" t="s">
        <v>103</v>
      </c>
      <c r="AS26" s="47" t="s">
        <v>103</v>
      </c>
      <c r="AT26" s="47" t="s">
        <v>103</v>
      </c>
      <c r="AU26" s="47" t="s">
        <v>103</v>
      </c>
      <c r="AV26" s="47" t="s">
        <v>103</v>
      </c>
      <c r="AW26" s="47" t="s">
        <v>103</v>
      </c>
      <c r="AX26" s="47" t="s">
        <v>103</v>
      </c>
      <c r="AY26" s="47" t="s">
        <v>103</v>
      </c>
      <c r="AZ26" s="47" t="s">
        <v>103</v>
      </c>
      <c r="BA26" s="47" t="s">
        <v>103</v>
      </c>
      <c r="BB26" s="47" t="s">
        <v>103</v>
      </c>
      <c r="BC26" s="47" t="s">
        <v>103</v>
      </c>
      <c r="BD26" s="47" t="s">
        <v>103</v>
      </c>
      <c r="BE26" s="47" t="s">
        <v>103</v>
      </c>
      <c r="BF26" s="47" t="s">
        <v>103</v>
      </c>
      <c r="BG26" s="47" t="s">
        <v>103</v>
      </c>
      <c r="BH26" s="47" t="s">
        <v>103</v>
      </c>
      <c r="BI26" s="47" t="s">
        <v>103</v>
      </c>
      <c r="BJ26" s="47" t="s">
        <v>103</v>
      </c>
      <c r="BK26" s="47" t="s">
        <v>103</v>
      </c>
      <c r="BL26" s="47" t="s">
        <v>103</v>
      </c>
      <c r="BM26" s="47" t="s">
        <v>103</v>
      </c>
    </row>
    <row r="27" spans="1:65" ht="15" customHeight="1" x14ac:dyDescent="0.25">
      <c r="A27" s="47" t="s">
        <v>114</v>
      </c>
      <c r="B27" s="47" t="s">
        <v>103</v>
      </c>
      <c r="C27" s="47" t="s">
        <v>103</v>
      </c>
      <c r="D27" s="47" t="s">
        <v>103</v>
      </c>
      <c r="E27" s="47" t="s">
        <v>103</v>
      </c>
      <c r="F27" s="47" t="s">
        <v>103</v>
      </c>
      <c r="G27" s="47" t="s">
        <v>103</v>
      </c>
      <c r="H27" s="47" t="s">
        <v>103</v>
      </c>
      <c r="I27" s="47" t="s">
        <v>103</v>
      </c>
      <c r="J27" s="47" t="s">
        <v>103</v>
      </c>
      <c r="K27" s="47" t="s">
        <v>103</v>
      </c>
      <c r="L27" s="47" t="s">
        <v>103</v>
      </c>
      <c r="M27" s="47" t="s">
        <v>103</v>
      </c>
      <c r="N27" s="47" t="s">
        <v>103</v>
      </c>
      <c r="O27" s="47" t="s">
        <v>103</v>
      </c>
      <c r="P27" s="47" t="s">
        <v>103</v>
      </c>
      <c r="Q27" s="47" t="s">
        <v>103</v>
      </c>
      <c r="R27" s="47" t="s">
        <v>103</v>
      </c>
      <c r="S27" s="47" t="s">
        <v>103</v>
      </c>
      <c r="T27" s="47" t="s">
        <v>103</v>
      </c>
      <c r="U27" s="47">
        <v>3</v>
      </c>
      <c r="V27" s="47" t="s">
        <v>103</v>
      </c>
      <c r="W27" s="47" t="s">
        <v>103</v>
      </c>
      <c r="X27" s="47" t="s">
        <v>103</v>
      </c>
      <c r="Y27" s="47" t="s">
        <v>103</v>
      </c>
      <c r="Z27" s="47" t="s">
        <v>103</v>
      </c>
      <c r="AA27" s="47" t="s">
        <v>103</v>
      </c>
      <c r="AB27" s="47" t="s">
        <v>103</v>
      </c>
      <c r="AC27" s="47" t="s">
        <v>103</v>
      </c>
      <c r="AD27" s="47" t="s">
        <v>103</v>
      </c>
      <c r="AE27" s="47" t="s">
        <v>103</v>
      </c>
      <c r="AF27" s="47" t="s">
        <v>103</v>
      </c>
      <c r="AG27" s="47" t="s">
        <v>103</v>
      </c>
      <c r="AH27" s="47" t="s">
        <v>103</v>
      </c>
      <c r="AI27" s="47">
        <v>2</v>
      </c>
      <c r="AJ27" s="47" t="s">
        <v>103</v>
      </c>
      <c r="AK27" s="47" t="s">
        <v>103</v>
      </c>
      <c r="AL27" s="47" t="s">
        <v>103</v>
      </c>
      <c r="AM27" s="47" t="s">
        <v>103</v>
      </c>
      <c r="AN27" s="47" t="s">
        <v>103</v>
      </c>
      <c r="AO27" s="47" t="s">
        <v>103</v>
      </c>
      <c r="AP27" s="47" t="s">
        <v>103</v>
      </c>
      <c r="AQ27" s="47" t="s">
        <v>103</v>
      </c>
      <c r="AR27" s="47" t="s">
        <v>103</v>
      </c>
      <c r="AS27" s="47" t="s">
        <v>103</v>
      </c>
      <c r="AT27" s="47" t="s">
        <v>103</v>
      </c>
      <c r="AU27" s="47" t="s">
        <v>103</v>
      </c>
      <c r="AV27" s="47" t="s">
        <v>103</v>
      </c>
      <c r="AW27" s="47" t="s">
        <v>103</v>
      </c>
      <c r="AX27" s="47" t="s">
        <v>103</v>
      </c>
      <c r="AY27" s="47" t="s">
        <v>103</v>
      </c>
      <c r="AZ27" s="47" t="s">
        <v>103</v>
      </c>
      <c r="BA27" s="47" t="s">
        <v>103</v>
      </c>
      <c r="BB27" s="47" t="s">
        <v>103</v>
      </c>
      <c r="BC27" s="47" t="s">
        <v>103</v>
      </c>
      <c r="BD27" s="47" t="s">
        <v>103</v>
      </c>
      <c r="BE27" s="47" t="s">
        <v>103</v>
      </c>
      <c r="BF27" s="47" t="s">
        <v>103</v>
      </c>
      <c r="BG27" s="47" t="s">
        <v>103</v>
      </c>
      <c r="BH27" s="47" t="s">
        <v>103</v>
      </c>
      <c r="BI27" s="47" t="s">
        <v>103</v>
      </c>
      <c r="BJ27" s="47" t="s">
        <v>103</v>
      </c>
      <c r="BK27" s="47" t="s">
        <v>103</v>
      </c>
      <c r="BL27" s="47" t="s">
        <v>103</v>
      </c>
      <c r="BM27" s="47" t="s">
        <v>103</v>
      </c>
    </row>
    <row r="28" spans="1:65" ht="15" customHeight="1" x14ac:dyDescent="0.25">
      <c r="A28" s="47" t="s">
        <v>113</v>
      </c>
      <c r="B28" s="47" t="s">
        <v>103</v>
      </c>
      <c r="C28" s="47" t="s">
        <v>103</v>
      </c>
      <c r="D28" s="47" t="s">
        <v>103</v>
      </c>
      <c r="E28" s="47" t="s">
        <v>103</v>
      </c>
      <c r="F28" s="47" t="s">
        <v>103</v>
      </c>
      <c r="G28" s="47" t="s">
        <v>103</v>
      </c>
      <c r="H28" s="47" t="s">
        <v>103</v>
      </c>
      <c r="I28" s="47" t="s">
        <v>103</v>
      </c>
      <c r="J28" s="47" t="s">
        <v>103</v>
      </c>
      <c r="K28" s="47" t="s">
        <v>103</v>
      </c>
      <c r="L28" s="47" t="s">
        <v>103</v>
      </c>
      <c r="M28" s="47" t="s">
        <v>103</v>
      </c>
      <c r="N28" s="47" t="s">
        <v>103</v>
      </c>
      <c r="O28" s="47" t="s">
        <v>103</v>
      </c>
      <c r="P28" s="47" t="s">
        <v>103</v>
      </c>
      <c r="Q28" s="47" t="s">
        <v>103</v>
      </c>
      <c r="R28" s="47" t="s">
        <v>103</v>
      </c>
      <c r="S28" s="47" t="s">
        <v>103</v>
      </c>
      <c r="T28" s="47" t="s">
        <v>103</v>
      </c>
      <c r="U28" s="47">
        <v>0</v>
      </c>
      <c r="V28" s="47" t="s">
        <v>103</v>
      </c>
      <c r="W28" s="47" t="s">
        <v>103</v>
      </c>
      <c r="X28" s="47" t="s">
        <v>103</v>
      </c>
      <c r="Y28" s="47" t="s">
        <v>103</v>
      </c>
      <c r="Z28" s="47" t="s">
        <v>103</v>
      </c>
      <c r="AA28" s="47" t="s">
        <v>103</v>
      </c>
      <c r="AB28" s="47" t="s">
        <v>103</v>
      </c>
      <c r="AC28" s="47" t="s">
        <v>103</v>
      </c>
      <c r="AD28" s="47" t="s">
        <v>103</v>
      </c>
      <c r="AE28" s="47" t="s">
        <v>103</v>
      </c>
      <c r="AF28" s="47" t="s">
        <v>103</v>
      </c>
      <c r="AG28" s="47" t="s">
        <v>103</v>
      </c>
      <c r="AH28" s="47" t="s">
        <v>103</v>
      </c>
      <c r="AI28" s="47">
        <v>0</v>
      </c>
      <c r="AJ28" s="47" t="s">
        <v>103</v>
      </c>
      <c r="AK28" s="47" t="s">
        <v>103</v>
      </c>
      <c r="AL28" s="47" t="s">
        <v>103</v>
      </c>
      <c r="AM28" s="47" t="s">
        <v>103</v>
      </c>
      <c r="AN28" s="47" t="s">
        <v>103</v>
      </c>
      <c r="AO28" s="47" t="s">
        <v>103</v>
      </c>
      <c r="AP28" s="47" t="s">
        <v>103</v>
      </c>
      <c r="AQ28" s="47" t="s">
        <v>103</v>
      </c>
      <c r="AR28" s="47" t="s">
        <v>103</v>
      </c>
      <c r="AS28" s="47" t="s">
        <v>103</v>
      </c>
      <c r="AT28" s="47" t="s">
        <v>103</v>
      </c>
      <c r="AU28" s="47" t="s">
        <v>103</v>
      </c>
      <c r="AV28" s="47" t="s">
        <v>103</v>
      </c>
      <c r="AW28" s="47" t="s">
        <v>103</v>
      </c>
      <c r="AX28" s="47" t="s">
        <v>103</v>
      </c>
      <c r="AY28" s="47" t="s">
        <v>103</v>
      </c>
      <c r="AZ28" s="47" t="s">
        <v>103</v>
      </c>
      <c r="BA28" s="47" t="s">
        <v>103</v>
      </c>
      <c r="BB28" s="47" t="s">
        <v>103</v>
      </c>
      <c r="BC28" s="47" t="s">
        <v>103</v>
      </c>
      <c r="BD28" s="47" t="s">
        <v>103</v>
      </c>
      <c r="BE28" s="47" t="s">
        <v>103</v>
      </c>
      <c r="BF28" s="47" t="s">
        <v>103</v>
      </c>
      <c r="BG28" s="47" t="s">
        <v>103</v>
      </c>
      <c r="BH28" s="47" t="s">
        <v>103</v>
      </c>
      <c r="BI28" s="47" t="s">
        <v>103</v>
      </c>
      <c r="BJ28" s="47" t="s">
        <v>103</v>
      </c>
      <c r="BK28" s="47" t="s">
        <v>103</v>
      </c>
      <c r="BL28" s="47" t="s">
        <v>103</v>
      </c>
      <c r="BM28" s="47" t="s">
        <v>103</v>
      </c>
    </row>
    <row r="29" spans="1:65" ht="15" customHeight="1" x14ac:dyDescent="0.25">
      <c r="A29" s="47" t="s">
        <v>112</v>
      </c>
      <c r="B29" s="47" t="s">
        <v>103</v>
      </c>
      <c r="C29" s="47" t="s">
        <v>103</v>
      </c>
      <c r="D29" s="47" t="s">
        <v>103</v>
      </c>
      <c r="E29" s="47" t="s">
        <v>103</v>
      </c>
      <c r="F29" s="47" t="s">
        <v>103</v>
      </c>
      <c r="G29" s="47" t="s">
        <v>103</v>
      </c>
      <c r="H29" s="47" t="s">
        <v>103</v>
      </c>
      <c r="I29" s="47" t="s">
        <v>103</v>
      </c>
      <c r="J29" s="47" t="s">
        <v>103</v>
      </c>
      <c r="K29" s="47" t="s">
        <v>103</v>
      </c>
      <c r="L29" s="47" t="s">
        <v>103</v>
      </c>
      <c r="M29" s="47" t="s">
        <v>103</v>
      </c>
      <c r="N29" s="47" t="s">
        <v>103</v>
      </c>
      <c r="O29" s="47" t="s">
        <v>103</v>
      </c>
      <c r="P29" s="47" t="s">
        <v>103</v>
      </c>
      <c r="Q29" s="47" t="s">
        <v>103</v>
      </c>
      <c r="R29" s="47" t="s">
        <v>103</v>
      </c>
      <c r="S29" s="47" t="s">
        <v>103</v>
      </c>
      <c r="T29" s="47" t="s">
        <v>103</v>
      </c>
      <c r="U29" s="47">
        <v>0</v>
      </c>
      <c r="V29" s="47" t="s">
        <v>103</v>
      </c>
      <c r="W29" s="47" t="s">
        <v>103</v>
      </c>
      <c r="X29" s="47" t="s">
        <v>103</v>
      </c>
      <c r="Y29" s="47" t="s">
        <v>103</v>
      </c>
      <c r="Z29" s="47" t="s">
        <v>103</v>
      </c>
      <c r="AA29" s="47" t="s">
        <v>103</v>
      </c>
      <c r="AB29" s="47" t="s">
        <v>103</v>
      </c>
      <c r="AC29" s="47" t="s">
        <v>103</v>
      </c>
      <c r="AD29" s="47" t="s">
        <v>103</v>
      </c>
      <c r="AE29" s="47" t="s">
        <v>103</v>
      </c>
      <c r="AF29" s="47" t="s">
        <v>103</v>
      </c>
      <c r="AG29" s="47" t="s">
        <v>103</v>
      </c>
      <c r="AH29" s="47" t="s">
        <v>103</v>
      </c>
      <c r="AI29" s="47">
        <v>4</v>
      </c>
      <c r="AJ29" s="47" t="s">
        <v>103</v>
      </c>
      <c r="AK29" s="47" t="s">
        <v>103</v>
      </c>
      <c r="AL29" s="47" t="s">
        <v>103</v>
      </c>
      <c r="AM29" s="47" t="s">
        <v>103</v>
      </c>
      <c r="AN29" s="47" t="s">
        <v>103</v>
      </c>
      <c r="AO29" s="47" t="s">
        <v>103</v>
      </c>
      <c r="AP29" s="47" t="s">
        <v>103</v>
      </c>
      <c r="AQ29" s="47" t="s">
        <v>103</v>
      </c>
      <c r="AR29" s="47" t="s">
        <v>103</v>
      </c>
      <c r="AS29" s="47" t="s">
        <v>103</v>
      </c>
      <c r="AT29" s="47" t="s">
        <v>103</v>
      </c>
      <c r="AU29" s="47" t="s">
        <v>103</v>
      </c>
      <c r="AV29" s="47" t="s">
        <v>103</v>
      </c>
      <c r="AW29" s="47" t="s">
        <v>103</v>
      </c>
      <c r="AX29" s="47" t="s">
        <v>103</v>
      </c>
      <c r="AY29" s="47" t="s">
        <v>103</v>
      </c>
      <c r="AZ29" s="47" t="s">
        <v>103</v>
      </c>
      <c r="BA29" s="47" t="s">
        <v>103</v>
      </c>
      <c r="BB29" s="47" t="s">
        <v>103</v>
      </c>
      <c r="BC29" s="47" t="s">
        <v>103</v>
      </c>
      <c r="BD29" s="47" t="s">
        <v>103</v>
      </c>
      <c r="BE29" s="47" t="s">
        <v>103</v>
      </c>
      <c r="BF29" s="47" t="s">
        <v>103</v>
      </c>
      <c r="BG29" s="47" t="s">
        <v>103</v>
      </c>
      <c r="BH29" s="47" t="s">
        <v>103</v>
      </c>
      <c r="BI29" s="47" t="s">
        <v>103</v>
      </c>
      <c r="BJ29" s="47" t="s">
        <v>103</v>
      </c>
      <c r="BK29" s="47" t="s">
        <v>103</v>
      </c>
      <c r="BL29" s="47" t="s">
        <v>103</v>
      </c>
      <c r="BM29" s="47" t="s">
        <v>103</v>
      </c>
    </row>
    <row r="30" spans="1:65" ht="15" customHeight="1" x14ac:dyDescent="0.25">
      <c r="A30" s="47" t="s">
        <v>111</v>
      </c>
      <c r="B30" s="47" t="s">
        <v>103</v>
      </c>
      <c r="C30" s="47" t="s">
        <v>103</v>
      </c>
      <c r="D30" s="47" t="s">
        <v>103</v>
      </c>
      <c r="E30" s="47" t="s">
        <v>103</v>
      </c>
      <c r="F30" s="47" t="s">
        <v>103</v>
      </c>
      <c r="G30" s="47" t="s">
        <v>103</v>
      </c>
      <c r="H30" s="47" t="s">
        <v>103</v>
      </c>
      <c r="I30" s="47" t="s">
        <v>103</v>
      </c>
      <c r="J30" s="47" t="s">
        <v>103</v>
      </c>
      <c r="K30" s="47" t="s">
        <v>103</v>
      </c>
      <c r="L30" s="47" t="s">
        <v>103</v>
      </c>
      <c r="M30" s="47" t="s">
        <v>103</v>
      </c>
      <c r="N30" s="47" t="s">
        <v>103</v>
      </c>
      <c r="O30" s="47" t="s">
        <v>103</v>
      </c>
      <c r="P30" s="47" t="s">
        <v>103</v>
      </c>
      <c r="Q30" s="47" t="s">
        <v>103</v>
      </c>
      <c r="R30" s="47" t="s">
        <v>103</v>
      </c>
      <c r="S30" s="47" t="s">
        <v>103</v>
      </c>
      <c r="T30" s="47" t="s">
        <v>103</v>
      </c>
      <c r="U30" s="47">
        <v>1</v>
      </c>
      <c r="V30" s="47" t="s">
        <v>103</v>
      </c>
      <c r="W30" s="47" t="s">
        <v>103</v>
      </c>
      <c r="X30" s="47" t="s">
        <v>103</v>
      </c>
      <c r="Y30" s="47" t="s">
        <v>103</v>
      </c>
      <c r="Z30" s="47" t="s">
        <v>103</v>
      </c>
      <c r="AA30" s="47" t="s">
        <v>103</v>
      </c>
      <c r="AB30" s="47" t="s">
        <v>103</v>
      </c>
      <c r="AC30" s="47" t="s">
        <v>103</v>
      </c>
      <c r="AD30" s="47" t="s">
        <v>103</v>
      </c>
      <c r="AE30" s="47" t="s">
        <v>103</v>
      </c>
      <c r="AF30" s="47" t="s">
        <v>103</v>
      </c>
      <c r="AG30" s="47" t="s">
        <v>103</v>
      </c>
      <c r="AH30" s="47" t="s">
        <v>103</v>
      </c>
      <c r="AI30" s="47">
        <v>2</v>
      </c>
      <c r="AJ30" s="47" t="s">
        <v>103</v>
      </c>
      <c r="AK30" s="47" t="s">
        <v>103</v>
      </c>
      <c r="AL30" s="47" t="s">
        <v>103</v>
      </c>
      <c r="AM30" s="47" t="s">
        <v>103</v>
      </c>
      <c r="AN30" s="47" t="s">
        <v>103</v>
      </c>
      <c r="AO30" s="47" t="s">
        <v>103</v>
      </c>
      <c r="AP30" s="47" t="s">
        <v>103</v>
      </c>
      <c r="AQ30" s="47" t="s">
        <v>103</v>
      </c>
      <c r="AR30" s="47" t="s">
        <v>103</v>
      </c>
      <c r="AS30" s="47" t="s">
        <v>103</v>
      </c>
      <c r="AT30" s="47" t="s">
        <v>103</v>
      </c>
      <c r="AU30" s="47" t="s">
        <v>103</v>
      </c>
      <c r="AV30" s="47" t="s">
        <v>103</v>
      </c>
      <c r="AW30" s="47" t="s">
        <v>103</v>
      </c>
      <c r="AX30" s="47" t="s">
        <v>103</v>
      </c>
      <c r="AY30" s="47" t="s">
        <v>103</v>
      </c>
      <c r="AZ30" s="47" t="s">
        <v>103</v>
      </c>
      <c r="BA30" s="47" t="s">
        <v>103</v>
      </c>
      <c r="BB30" s="47" t="s">
        <v>103</v>
      </c>
      <c r="BC30" s="47" t="s">
        <v>103</v>
      </c>
      <c r="BD30" s="47" t="s">
        <v>103</v>
      </c>
      <c r="BE30" s="47" t="s">
        <v>103</v>
      </c>
      <c r="BF30" s="47" t="s">
        <v>103</v>
      </c>
      <c r="BG30" s="47" t="s">
        <v>103</v>
      </c>
      <c r="BH30" s="47" t="s">
        <v>103</v>
      </c>
      <c r="BI30" s="47" t="s">
        <v>103</v>
      </c>
      <c r="BJ30" s="47" t="s">
        <v>103</v>
      </c>
      <c r="BK30" s="47" t="s">
        <v>103</v>
      </c>
      <c r="BL30" s="47" t="s">
        <v>103</v>
      </c>
      <c r="BM30" s="47" t="s">
        <v>103</v>
      </c>
    </row>
    <row r="31" spans="1:65" ht="15" customHeight="1" x14ac:dyDescent="0.25">
      <c r="A31" s="47" t="s">
        <v>110</v>
      </c>
      <c r="B31" s="47" t="s">
        <v>103</v>
      </c>
      <c r="C31" s="47" t="s">
        <v>103</v>
      </c>
      <c r="D31" s="47" t="s">
        <v>103</v>
      </c>
      <c r="E31" s="47" t="s">
        <v>103</v>
      </c>
      <c r="F31" s="47" t="s">
        <v>103</v>
      </c>
      <c r="G31" s="47" t="s">
        <v>103</v>
      </c>
      <c r="H31" s="47" t="s">
        <v>103</v>
      </c>
      <c r="I31" s="47" t="s">
        <v>103</v>
      </c>
      <c r="J31" s="47" t="s">
        <v>103</v>
      </c>
      <c r="K31" s="47" t="s">
        <v>103</v>
      </c>
      <c r="L31" s="47" t="s">
        <v>103</v>
      </c>
      <c r="M31" s="47" t="s">
        <v>103</v>
      </c>
      <c r="N31" s="47" t="s">
        <v>103</v>
      </c>
      <c r="O31" s="47" t="s">
        <v>103</v>
      </c>
      <c r="P31" s="47" t="s">
        <v>103</v>
      </c>
      <c r="Q31" s="47" t="s">
        <v>103</v>
      </c>
      <c r="R31" s="47" t="s">
        <v>103</v>
      </c>
      <c r="S31" s="47" t="s">
        <v>103</v>
      </c>
      <c r="T31" s="47" t="s">
        <v>103</v>
      </c>
      <c r="U31" s="47">
        <v>2</v>
      </c>
      <c r="V31" s="47" t="s">
        <v>103</v>
      </c>
      <c r="W31" s="47" t="s">
        <v>103</v>
      </c>
      <c r="X31" s="47" t="s">
        <v>103</v>
      </c>
      <c r="Y31" s="47" t="s">
        <v>103</v>
      </c>
      <c r="Z31" s="47" t="s">
        <v>103</v>
      </c>
      <c r="AA31" s="47" t="s">
        <v>103</v>
      </c>
      <c r="AB31" s="47" t="s">
        <v>103</v>
      </c>
      <c r="AC31" s="47" t="s">
        <v>103</v>
      </c>
      <c r="AD31" s="47" t="s">
        <v>103</v>
      </c>
      <c r="AE31" s="47" t="s">
        <v>103</v>
      </c>
      <c r="AF31" s="47" t="s">
        <v>103</v>
      </c>
      <c r="AG31" s="47" t="s">
        <v>103</v>
      </c>
      <c r="AH31" s="47" t="s">
        <v>103</v>
      </c>
      <c r="AI31" s="47">
        <v>4</v>
      </c>
      <c r="AJ31" s="47" t="s">
        <v>103</v>
      </c>
      <c r="AK31" s="47" t="s">
        <v>103</v>
      </c>
      <c r="AL31" s="47" t="s">
        <v>103</v>
      </c>
      <c r="AM31" s="47" t="s">
        <v>103</v>
      </c>
      <c r="AN31" s="47" t="s">
        <v>103</v>
      </c>
      <c r="AO31" s="47" t="s">
        <v>103</v>
      </c>
      <c r="AP31" s="47" t="s">
        <v>103</v>
      </c>
      <c r="AQ31" s="47" t="s">
        <v>103</v>
      </c>
      <c r="AR31" s="47" t="s">
        <v>103</v>
      </c>
      <c r="AS31" s="47" t="s">
        <v>103</v>
      </c>
      <c r="AT31" s="47" t="s">
        <v>103</v>
      </c>
      <c r="AU31" s="47" t="s">
        <v>103</v>
      </c>
      <c r="AV31" s="47" t="s">
        <v>103</v>
      </c>
      <c r="AW31" s="47" t="s">
        <v>103</v>
      </c>
      <c r="AX31" s="47" t="s">
        <v>103</v>
      </c>
      <c r="AY31" s="47" t="s">
        <v>103</v>
      </c>
      <c r="AZ31" s="47" t="s">
        <v>103</v>
      </c>
      <c r="BA31" s="47" t="s">
        <v>103</v>
      </c>
      <c r="BB31" s="47" t="s">
        <v>103</v>
      </c>
      <c r="BC31" s="47" t="s">
        <v>103</v>
      </c>
      <c r="BD31" s="47" t="s">
        <v>103</v>
      </c>
      <c r="BE31" s="47" t="s">
        <v>103</v>
      </c>
      <c r="BF31" s="47" t="s">
        <v>103</v>
      </c>
      <c r="BG31" s="47" t="s">
        <v>103</v>
      </c>
      <c r="BH31" s="47" t="s">
        <v>103</v>
      </c>
      <c r="BI31" s="47" t="s">
        <v>103</v>
      </c>
      <c r="BJ31" s="47" t="s">
        <v>103</v>
      </c>
      <c r="BK31" s="47" t="s">
        <v>103</v>
      </c>
      <c r="BL31" s="47" t="s">
        <v>103</v>
      </c>
      <c r="BM31" s="47" t="s">
        <v>103</v>
      </c>
    </row>
    <row r="32" spans="1:65" ht="15" customHeight="1" x14ac:dyDescent="0.25">
      <c r="A32" s="47" t="s">
        <v>109</v>
      </c>
      <c r="B32" s="47" t="s">
        <v>103</v>
      </c>
      <c r="C32" s="47" t="s">
        <v>103</v>
      </c>
      <c r="D32" s="47" t="s">
        <v>103</v>
      </c>
      <c r="E32" s="47" t="s">
        <v>103</v>
      </c>
      <c r="F32" s="47" t="s">
        <v>103</v>
      </c>
      <c r="G32" s="47" t="s">
        <v>103</v>
      </c>
      <c r="H32" s="47" t="s">
        <v>103</v>
      </c>
      <c r="I32" s="47" t="s">
        <v>103</v>
      </c>
      <c r="J32" s="47" t="s">
        <v>103</v>
      </c>
      <c r="K32" s="47" t="s">
        <v>103</v>
      </c>
      <c r="L32" s="47" t="s">
        <v>103</v>
      </c>
      <c r="M32" s="47" t="s">
        <v>103</v>
      </c>
      <c r="N32" s="47" t="s">
        <v>103</v>
      </c>
      <c r="O32" s="47" t="s">
        <v>103</v>
      </c>
      <c r="P32" s="47" t="s">
        <v>103</v>
      </c>
      <c r="Q32" s="47" t="s">
        <v>103</v>
      </c>
      <c r="R32" s="47" t="s">
        <v>103</v>
      </c>
      <c r="S32" s="47" t="s">
        <v>103</v>
      </c>
      <c r="T32" s="47" t="s">
        <v>103</v>
      </c>
      <c r="U32" s="47">
        <v>3</v>
      </c>
      <c r="V32" s="47" t="s">
        <v>103</v>
      </c>
      <c r="W32" s="47" t="s">
        <v>103</v>
      </c>
      <c r="X32" s="47" t="s">
        <v>103</v>
      </c>
      <c r="Y32" s="47" t="s">
        <v>103</v>
      </c>
      <c r="Z32" s="47" t="s">
        <v>103</v>
      </c>
      <c r="AA32" s="47" t="s">
        <v>103</v>
      </c>
      <c r="AB32" s="47" t="s">
        <v>103</v>
      </c>
      <c r="AC32" s="47" t="s">
        <v>103</v>
      </c>
      <c r="AD32" s="47" t="s">
        <v>103</v>
      </c>
      <c r="AE32" s="47" t="s">
        <v>103</v>
      </c>
      <c r="AF32" s="47" t="s">
        <v>103</v>
      </c>
      <c r="AG32" s="47" t="s">
        <v>103</v>
      </c>
      <c r="AH32" s="47" t="s">
        <v>103</v>
      </c>
      <c r="AI32" s="47">
        <v>3</v>
      </c>
      <c r="AJ32" s="47" t="s">
        <v>103</v>
      </c>
      <c r="AK32" s="47" t="s">
        <v>103</v>
      </c>
      <c r="AL32" s="47" t="s">
        <v>103</v>
      </c>
      <c r="AM32" s="47" t="s">
        <v>103</v>
      </c>
      <c r="AN32" s="47" t="s">
        <v>103</v>
      </c>
      <c r="AO32" s="47" t="s">
        <v>103</v>
      </c>
      <c r="AP32" s="47" t="s">
        <v>103</v>
      </c>
      <c r="AQ32" s="47" t="s">
        <v>103</v>
      </c>
      <c r="AR32" s="47" t="s">
        <v>103</v>
      </c>
      <c r="AS32" s="47" t="s">
        <v>103</v>
      </c>
      <c r="AT32" s="47" t="s">
        <v>103</v>
      </c>
      <c r="AU32" s="47" t="s">
        <v>103</v>
      </c>
      <c r="AV32" s="47" t="s">
        <v>103</v>
      </c>
      <c r="AW32" s="47" t="s">
        <v>103</v>
      </c>
      <c r="AX32" s="47" t="s">
        <v>103</v>
      </c>
      <c r="AY32" s="47" t="s">
        <v>103</v>
      </c>
      <c r="AZ32" s="47" t="s">
        <v>103</v>
      </c>
      <c r="BA32" s="47" t="s">
        <v>103</v>
      </c>
      <c r="BB32" s="47" t="s">
        <v>103</v>
      </c>
      <c r="BC32" s="47" t="s">
        <v>103</v>
      </c>
      <c r="BD32" s="47" t="s">
        <v>103</v>
      </c>
      <c r="BE32" s="47" t="s">
        <v>103</v>
      </c>
      <c r="BF32" s="47" t="s">
        <v>103</v>
      </c>
      <c r="BG32" s="47" t="s">
        <v>103</v>
      </c>
      <c r="BH32" s="47" t="s">
        <v>103</v>
      </c>
      <c r="BI32" s="47" t="s">
        <v>103</v>
      </c>
      <c r="BJ32" s="47" t="s">
        <v>103</v>
      </c>
      <c r="BK32" s="47" t="s">
        <v>103</v>
      </c>
      <c r="BL32" s="47" t="s">
        <v>103</v>
      </c>
      <c r="BM32" s="47" t="s">
        <v>103</v>
      </c>
    </row>
    <row r="33" spans="1:65" ht="15" customHeight="1" x14ac:dyDescent="0.25">
      <c r="A33" s="47" t="s">
        <v>108</v>
      </c>
      <c r="B33" s="47" t="s">
        <v>103</v>
      </c>
      <c r="C33" s="47" t="s">
        <v>103</v>
      </c>
      <c r="D33" s="47" t="s">
        <v>103</v>
      </c>
      <c r="E33" s="47" t="s">
        <v>103</v>
      </c>
      <c r="F33" s="47" t="s">
        <v>103</v>
      </c>
      <c r="G33" s="47" t="s">
        <v>103</v>
      </c>
      <c r="H33" s="47" t="s">
        <v>103</v>
      </c>
      <c r="I33" s="47" t="s">
        <v>103</v>
      </c>
      <c r="J33" s="47" t="s">
        <v>103</v>
      </c>
      <c r="K33" s="47" t="s">
        <v>103</v>
      </c>
      <c r="L33" s="47" t="s">
        <v>103</v>
      </c>
      <c r="M33" s="47" t="s">
        <v>103</v>
      </c>
      <c r="N33" s="47" t="s">
        <v>103</v>
      </c>
      <c r="O33" s="47" t="s">
        <v>103</v>
      </c>
      <c r="P33" s="47" t="s">
        <v>103</v>
      </c>
      <c r="Q33" s="47" t="s">
        <v>103</v>
      </c>
      <c r="R33" s="47" t="s">
        <v>103</v>
      </c>
      <c r="S33" s="47" t="s">
        <v>103</v>
      </c>
      <c r="T33" s="47" t="s">
        <v>103</v>
      </c>
      <c r="U33" s="47">
        <v>1</v>
      </c>
      <c r="V33" s="47" t="s">
        <v>103</v>
      </c>
      <c r="W33" s="47" t="s">
        <v>103</v>
      </c>
      <c r="X33" s="47" t="s">
        <v>103</v>
      </c>
      <c r="Y33" s="47" t="s">
        <v>103</v>
      </c>
      <c r="Z33" s="47" t="s">
        <v>103</v>
      </c>
      <c r="AA33" s="47" t="s">
        <v>103</v>
      </c>
      <c r="AB33" s="47" t="s">
        <v>103</v>
      </c>
      <c r="AC33" s="47" t="s">
        <v>103</v>
      </c>
      <c r="AD33" s="47" t="s">
        <v>103</v>
      </c>
      <c r="AE33" s="47" t="s">
        <v>103</v>
      </c>
      <c r="AF33" s="47" t="s">
        <v>103</v>
      </c>
      <c r="AG33" s="47" t="s">
        <v>103</v>
      </c>
      <c r="AH33" s="47" t="s">
        <v>103</v>
      </c>
      <c r="AI33" s="47">
        <v>3</v>
      </c>
      <c r="AJ33" s="47" t="s">
        <v>103</v>
      </c>
      <c r="AK33" s="47" t="s">
        <v>103</v>
      </c>
      <c r="AL33" s="47" t="s">
        <v>103</v>
      </c>
      <c r="AM33" s="47" t="s">
        <v>103</v>
      </c>
      <c r="AN33" s="47" t="s">
        <v>103</v>
      </c>
      <c r="AO33" s="47" t="s">
        <v>103</v>
      </c>
      <c r="AP33" s="47" t="s">
        <v>103</v>
      </c>
      <c r="AQ33" s="47" t="s">
        <v>103</v>
      </c>
      <c r="AR33" s="47" t="s">
        <v>103</v>
      </c>
      <c r="AS33" s="47" t="s">
        <v>103</v>
      </c>
      <c r="AT33" s="47" t="s">
        <v>103</v>
      </c>
      <c r="AU33" s="47" t="s">
        <v>103</v>
      </c>
      <c r="AV33" s="47" t="s">
        <v>103</v>
      </c>
      <c r="AW33" s="47" t="s">
        <v>103</v>
      </c>
      <c r="AX33" s="47" t="s">
        <v>103</v>
      </c>
      <c r="AY33" s="47" t="s">
        <v>103</v>
      </c>
      <c r="AZ33" s="47" t="s">
        <v>103</v>
      </c>
      <c r="BA33" s="47" t="s">
        <v>103</v>
      </c>
      <c r="BB33" s="47" t="s">
        <v>103</v>
      </c>
      <c r="BC33" s="47" t="s">
        <v>103</v>
      </c>
      <c r="BD33" s="47" t="s">
        <v>103</v>
      </c>
      <c r="BE33" s="47" t="s">
        <v>103</v>
      </c>
      <c r="BF33" s="47" t="s">
        <v>103</v>
      </c>
      <c r="BG33" s="47" t="s">
        <v>103</v>
      </c>
      <c r="BH33" s="47" t="s">
        <v>103</v>
      </c>
      <c r="BI33" s="47" t="s">
        <v>103</v>
      </c>
      <c r="BJ33" s="47" t="s">
        <v>103</v>
      </c>
      <c r="BK33" s="47" t="s">
        <v>103</v>
      </c>
      <c r="BL33" s="47" t="s">
        <v>103</v>
      </c>
      <c r="BM33" s="47" t="s">
        <v>103</v>
      </c>
    </row>
    <row r="34" spans="1:65" ht="15" customHeight="1" x14ac:dyDescent="0.25">
      <c r="A34" s="47" t="s">
        <v>107</v>
      </c>
      <c r="B34" s="47" t="s">
        <v>103</v>
      </c>
      <c r="C34" s="47" t="s">
        <v>103</v>
      </c>
      <c r="D34" s="47" t="s">
        <v>103</v>
      </c>
      <c r="E34" s="47" t="s">
        <v>103</v>
      </c>
      <c r="F34" s="47" t="s">
        <v>103</v>
      </c>
      <c r="G34" s="47" t="s">
        <v>103</v>
      </c>
      <c r="H34" s="47" t="s">
        <v>103</v>
      </c>
      <c r="I34" s="47" t="s">
        <v>103</v>
      </c>
      <c r="J34" s="47" t="s">
        <v>103</v>
      </c>
      <c r="K34" s="47" t="s">
        <v>103</v>
      </c>
      <c r="L34" s="47" t="s">
        <v>103</v>
      </c>
      <c r="M34" s="47" t="s">
        <v>103</v>
      </c>
      <c r="N34" s="47" t="s">
        <v>103</v>
      </c>
      <c r="O34" s="47" t="s">
        <v>103</v>
      </c>
      <c r="P34" s="47" t="s">
        <v>103</v>
      </c>
      <c r="Q34" s="47" t="s">
        <v>103</v>
      </c>
      <c r="R34" s="47" t="s">
        <v>103</v>
      </c>
      <c r="S34" s="47" t="s">
        <v>103</v>
      </c>
      <c r="T34" s="47" t="s">
        <v>103</v>
      </c>
      <c r="U34" s="47">
        <v>1</v>
      </c>
      <c r="V34" s="47" t="s">
        <v>103</v>
      </c>
      <c r="W34" s="47" t="s">
        <v>103</v>
      </c>
      <c r="X34" s="47" t="s">
        <v>103</v>
      </c>
      <c r="Y34" s="47" t="s">
        <v>103</v>
      </c>
      <c r="Z34" s="47" t="s">
        <v>103</v>
      </c>
      <c r="AA34" s="47" t="s">
        <v>103</v>
      </c>
      <c r="AB34" s="47" t="s">
        <v>103</v>
      </c>
      <c r="AC34" s="47" t="s">
        <v>103</v>
      </c>
      <c r="AD34" s="47" t="s">
        <v>103</v>
      </c>
      <c r="AE34" s="47" t="s">
        <v>103</v>
      </c>
      <c r="AF34" s="47" t="s">
        <v>103</v>
      </c>
      <c r="AG34" s="47" t="s">
        <v>103</v>
      </c>
      <c r="AH34" s="47" t="s">
        <v>103</v>
      </c>
      <c r="AI34" s="47">
        <v>2</v>
      </c>
      <c r="AJ34" s="47" t="s">
        <v>103</v>
      </c>
      <c r="AK34" s="47" t="s">
        <v>103</v>
      </c>
      <c r="AL34" s="47" t="s">
        <v>103</v>
      </c>
      <c r="AM34" s="47" t="s">
        <v>103</v>
      </c>
      <c r="AN34" s="47" t="s">
        <v>103</v>
      </c>
      <c r="AO34" s="47" t="s">
        <v>103</v>
      </c>
      <c r="AP34" s="47" t="s">
        <v>103</v>
      </c>
      <c r="AQ34" s="47" t="s">
        <v>103</v>
      </c>
      <c r="AR34" s="47" t="s">
        <v>103</v>
      </c>
      <c r="AS34" s="47" t="s">
        <v>103</v>
      </c>
      <c r="AT34" s="47" t="s">
        <v>103</v>
      </c>
      <c r="AU34" s="47" t="s">
        <v>103</v>
      </c>
      <c r="AV34" s="47" t="s">
        <v>103</v>
      </c>
      <c r="AW34" s="47" t="s">
        <v>103</v>
      </c>
      <c r="AX34" s="47" t="s">
        <v>103</v>
      </c>
      <c r="AY34" s="47" t="s">
        <v>103</v>
      </c>
      <c r="AZ34" s="47" t="s">
        <v>103</v>
      </c>
      <c r="BA34" s="47" t="s">
        <v>103</v>
      </c>
      <c r="BB34" s="47" t="s">
        <v>103</v>
      </c>
      <c r="BC34" s="47" t="s">
        <v>103</v>
      </c>
      <c r="BD34" s="47" t="s">
        <v>103</v>
      </c>
      <c r="BE34" s="47" t="s">
        <v>103</v>
      </c>
      <c r="BF34" s="47" t="s">
        <v>103</v>
      </c>
      <c r="BG34" s="47" t="s">
        <v>103</v>
      </c>
      <c r="BH34" s="47" t="s">
        <v>103</v>
      </c>
      <c r="BI34" s="47" t="s">
        <v>103</v>
      </c>
      <c r="BJ34" s="47" t="s">
        <v>103</v>
      </c>
      <c r="BK34" s="47" t="s">
        <v>103</v>
      </c>
      <c r="BL34" s="47" t="s">
        <v>103</v>
      </c>
      <c r="BM34" s="47" t="s">
        <v>103</v>
      </c>
    </row>
    <row r="35" spans="1:65" ht="15" customHeight="1" x14ac:dyDescent="0.25">
      <c r="A35" s="47" t="s">
        <v>106</v>
      </c>
      <c r="B35" s="47" t="s">
        <v>103</v>
      </c>
      <c r="C35" s="47" t="s">
        <v>103</v>
      </c>
      <c r="D35" s="47" t="s">
        <v>103</v>
      </c>
      <c r="E35" s="47" t="s">
        <v>103</v>
      </c>
      <c r="F35" s="47" t="s">
        <v>103</v>
      </c>
      <c r="G35" s="47" t="s">
        <v>103</v>
      </c>
      <c r="H35" s="47" t="s">
        <v>103</v>
      </c>
      <c r="I35" s="47" t="s">
        <v>103</v>
      </c>
      <c r="J35" s="47" t="s">
        <v>103</v>
      </c>
      <c r="K35" s="47" t="s">
        <v>103</v>
      </c>
      <c r="L35" s="47" t="s">
        <v>103</v>
      </c>
      <c r="M35" s="47" t="s">
        <v>103</v>
      </c>
      <c r="N35" s="47" t="s">
        <v>103</v>
      </c>
      <c r="O35" s="47" t="s">
        <v>103</v>
      </c>
      <c r="P35" s="47" t="s">
        <v>103</v>
      </c>
      <c r="Q35" s="47" t="s">
        <v>103</v>
      </c>
      <c r="R35" s="47" t="s">
        <v>103</v>
      </c>
      <c r="S35" s="47" t="s">
        <v>103</v>
      </c>
      <c r="T35" s="47" t="s">
        <v>103</v>
      </c>
      <c r="U35" s="47">
        <v>1</v>
      </c>
      <c r="V35" s="47" t="s">
        <v>103</v>
      </c>
      <c r="W35" s="47" t="s">
        <v>103</v>
      </c>
      <c r="X35" s="47" t="s">
        <v>103</v>
      </c>
      <c r="Y35" s="47" t="s">
        <v>103</v>
      </c>
      <c r="Z35" s="47" t="s">
        <v>103</v>
      </c>
      <c r="AA35" s="47" t="s">
        <v>103</v>
      </c>
      <c r="AB35" s="47" t="s">
        <v>103</v>
      </c>
      <c r="AC35" s="47" t="s">
        <v>103</v>
      </c>
      <c r="AD35" s="47" t="s">
        <v>103</v>
      </c>
      <c r="AE35" s="47" t="s">
        <v>103</v>
      </c>
      <c r="AF35" s="47" t="s">
        <v>103</v>
      </c>
      <c r="AG35" s="47" t="s">
        <v>103</v>
      </c>
      <c r="AH35" s="47" t="s">
        <v>103</v>
      </c>
      <c r="AI35" s="47">
        <v>2</v>
      </c>
      <c r="AJ35" s="47" t="s">
        <v>103</v>
      </c>
      <c r="AK35" s="47" t="s">
        <v>103</v>
      </c>
      <c r="AL35" s="47" t="s">
        <v>103</v>
      </c>
      <c r="AM35" s="47" t="s">
        <v>103</v>
      </c>
      <c r="AN35" s="47" t="s">
        <v>103</v>
      </c>
      <c r="AO35" s="47" t="s">
        <v>103</v>
      </c>
      <c r="AP35" s="47" t="s">
        <v>103</v>
      </c>
      <c r="AQ35" s="47" t="s">
        <v>103</v>
      </c>
      <c r="AR35" s="47" t="s">
        <v>103</v>
      </c>
      <c r="AS35" s="47" t="s">
        <v>103</v>
      </c>
      <c r="AT35" s="47" t="s">
        <v>103</v>
      </c>
      <c r="AU35" s="47" t="s">
        <v>103</v>
      </c>
      <c r="AV35" s="47" t="s">
        <v>103</v>
      </c>
      <c r="AW35" s="47" t="s">
        <v>103</v>
      </c>
      <c r="AX35" s="47" t="s">
        <v>103</v>
      </c>
      <c r="AY35" s="47" t="s">
        <v>103</v>
      </c>
      <c r="AZ35" s="47" t="s">
        <v>103</v>
      </c>
      <c r="BA35" s="47" t="s">
        <v>103</v>
      </c>
      <c r="BB35" s="47" t="s">
        <v>103</v>
      </c>
      <c r="BC35" s="47" t="s">
        <v>103</v>
      </c>
      <c r="BD35" s="47" t="s">
        <v>103</v>
      </c>
      <c r="BE35" s="47" t="s">
        <v>103</v>
      </c>
      <c r="BF35" s="47" t="s">
        <v>103</v>
      </c>
      <c r="BG35" s="47" t="s">
        <v>103</v>
      </c>
      <c r="BH35" s="47" t="s">
        <v>103</v>
      </c>
      <c r="BI35" s="47" t="s">
        <v>103</v>
      </c>
      <c r="BJ35" s="47" t="s">
        <v>103</v>
      </c>
      <c r="BK35" s="47" t="s">
        <v>103</v>
      </c>
      <c r="BL35" s="47" t="s">
        <v>103</v>
      </c>
      <c r="BM35" s="47" t="s">
        <v>103</v>
      </c>
    </row>
    <row r="36" spans="1:65" ht="15" customHeight="1" x14ac:dyDescent="0.25">
      <c r="A36" s="47" t="s">
        <v>105</v>
      </c>
      <c r="B36" s="47" t="s">
        <v>103</v>
      </c>
      <c r="C36" s="47" t="s">
        <v>103</v>
      </c>
      <c r="D36" s="47" t="s">
        <v>103</v>
      </c>
      <c r="E36" s="47" t="s">
        <v>103</v>
      </c>
      <c r="F36" s="47" t="s">
        <v>103</v>
      </c>
      <c r="G36" s="47" t="s">
        <v>103</v>
      </c>
      <c r="H36" s="47" t="s">
        <v>103</v>
      </c>
      <c r="I36" s="47" t="s">
        <v>103</v>
      </c>
      <c r="J36" s="47" t="s">
        <v>103</v>
      </c>
      <c r="K36" s="47" t="s">
        <v>103</v>
      </c>
      <c r="L36" s="47" t="s">
        <v>103</v>
      </c>
      <c r="M36" s="47" t="s">
        <v>103</v>
      </c>
      <c r="N36" s="47" t="s">
        <v>103</v>
      </c>
      <c r="O36" s="47" t="s">
        <v>103</v>
      </c>
      <c r="P36" s="47" t="s">
        <v>103</v>
      </c>
      <c r="Q36" s="47" t="s">
        <v>103</v>
      </c>
      <c r="R36" s="47" t="s">
        <v>103</v>
      </c>
      <c r="S36" s="47" t="s">
        <v>103</v>
      </c>
      <c r="T36" s="47" t="s">
        <v>103</v>
      </c>
      <c r="U36" s="47">
        <v>1</v>
      </c>
      <c r="V36" s="47" t="s">
        <v>103</v>
      </c>
      <c r="W36" s="47" t="s">
        <v>103</v>
      </c>
      <c r="X36" s="47" t="s">
        <v>103</v>
      </c>
      <c r="Y36" s="47" t="s">
        <v>103</v>
      </c>
      <c r="Z36" s="47" t="s">
        <v>103</v>
      </c>
      <c r="AA36" s="47" t="s">
        <v>103</v>
      </c>
      <c r="AB36" s="47" t="s">
        <v>103</v>
      </c>
      <c r="AC36" s="47" t="s">
        <v>103</v>
      </c>
      <c r="AD36" s="47" t="s">
        <v>103</v>
      </c>
      <c r="AE36" s="47" t="s">
        <v>103</v>
      </c>
      <c r="AF36" s="47" t="s">
        <v>103</v>
      </c>
      <c r="AG36" s="47" t="s">
        <v>103</v>
      </c>
      <c r="AH36" s="47" t="s">
        <v>103</v>
      </c>
      <c r="AI36" s="47">
        <v>2</v>
      </c>
      <c r="AJ36" s="47" t="s">
        <v>103</v>
      </c>
      <c r="AK36" s="47" t="s">
        <v>103</v>
      </c>
      <c r="AL36" s="47" t="s">
        <v>103</v>
      </c>
      <c r="AM36" s="47" t="s">
        <v>103</v>
      </c>
      <c r="AN36" s="47" t="s">
        <v>103</v>
      </c>
      <c r="AO36" s="47" t="s">
        <v>103</v>
      </c>
      <c r="AP36" s="47" t="s">
        <v>103</v>
      </c>
      <c r="AQ36" s="47" t="s">
        <v>103</v>
      </c>
      <c r="AR36" s="47" t="s">
        <v>103</v>
      </c>
      <c r="AS36" s="47" t="s">
        <v>103</v>
      </c>
      <c r="AT36" s="47" t="s">
        <v>103</v>
      </c>
      <c r="AU36" s="47" t="s">
        <v>103</v>
      </c>
      <c r="AV36" s="47" t="s">
        <v>103</v>
      </c>
      <c r="AW36" s="47" t="s">
        <v>103</v>
      </c>
      <c r="AX36" s="47" t="s">
        <v>103</v>
      </c>
      <c r="AY36" s="47" t="s">
        <v>103</v>
      </c>
      <c r="AZ36" s="47" t="s">
        <v>103</v>
      </c>
      <c r="BA36" s="47" t="s">
        <v>103</v>
      </c>
      <c r="BB36" s="47" t="s">
        <v>103</v>
      </c>
      <c r="BC36" s="47" t="s">
        <v>103</v>
      </c>
      <c r="BD36" s="47" t="s">
        <v>103</v>
      </c>
      <c r="BE36" s="47" t="s">
        <v>103</v>
      </c>
      <c r="BF36" s="47" t="s">
        <v>103</v>
      </c>
      <c r="BG36" s="47" t="s">
        <v>103</v>
      </c>
      <c r="BH36" s="47" t="s">
        <v>103</v>
      </c>
      <c r="BI36" s="47" t="s">
        <v>103</v>
      </c>
      <c r="BJ36" s="47" t="s">
        <v>103</v>
      </c>
      <c r="BK36" s="47" t="s">
        <v>103</v>
      </c>
      <c r="BL36" s="47" t="s">
        <v>103</v>
      </c>
      <c r="BM36" s="47" t="s">
        <v>103</v>
      </c>
    </row>
    <row r="37" spans="1:65" ht="15" customHeight="1" x14ac:dyDescent="0.25">
      <c r="A37" s="47" t="s">
        <v>104</v>
      </c>
      <c r="B37" s="47" t="s">
        <v>103</v>
      </c>
      <c r="C37" s="47" t="s">
        <v>103</v>
      </c>
      <c r="D37" s="47" t="s">
        <v>103</v>
      </c>
      <c r="E37" s="47" t="s">
        <v>103</v>
      </c>
      <c r="F37" s="47" t="s">
        <v>103</v>
      </c>
      <c r="G37" s="47" t="s">
        <v>103</v>
      </c>
      <c r="H37" s="47" t="s">
        <v>103</v>
      </c>
      <c r="I37" s="47" t="s">
        <v>103</v>
      </c>
      <c r="J37" s="47" t="s">
        <v>103</v>
      </c>
      <c r="K37" s="47" t="s">
        <v>103</v>
      </c>
      <c r="L37" s="47" t="s">
        <v>103</v>
      </c>
      <c r="M37" s="47" t="s">
        <v>103</v>
      </c>
      <c r="N37" s="47" t="s">
        <v>103</v>
      </c>
      <c r="O37" s="47" t="s">
        <v>103</v>
      </c>
      <c r="P37" s="47" t="s">
        <v>103</v>
      </c>
      <c r="Q37" s="47" t="s">
        <v>103</v>
      </c>
      <c r="R37" s="47" t="s">
        <v>103</v>
      </c>
      <c r="S37" s="47" t="s">
        <v>103</v>
      </c>
      <c r="T37" s="47" t="s">
        <v>103</v>
      </c>
      <c r="U37" s="47">
        <v>0</v>
      </c>
      <c r="V37" s="47" t="s">
        <v>103</v>
      </c>
      <c r="W37" s="47" t="s">
        <v>103</v>
      </c>
      <c r="X37" s="47" t="s">
        <v>103</v>
      </c>
      <c r="Y37" s="47" t="s">
        <v>103</v>
      </c>
      <c r="Z37" s="47" t="s">
        <v>103</v>
      </c>
      <c r="AA37" s="47" t="s">
        <v>103</v>
      </c>
      <c r="AB37" s="47" t="s">
        <v>103</v>
      </c>
      <c r="AC37" s="47" t="s">
        <v>103</v>
      </c>
      <c r="AD37" s="47" t="s">
        <v>103</v>
      </c>
      <c r="AE37" s="47" t="s">
        <v>103</v>
      </c>
      <c r="AF37" s="47" t="s">
        <v>103</v>
      </c>
      <c r="AG37" s="47" t="s">
        <v>103</v>
      </c>
      <c r="AH37" s="47" t="s">
        <v>103</v>
      </c>
      <c r="AI37" s="47">
        <v>0</v>
      </c>
      <c r="AJ37" s="47" t="s">
        <v>103</v>
      </c>
      <c r="AK37" s="47" t="s">
        <v>103</v>
      </c>
      <c r="AL37" s="47" t="s">
        <v>103</v>
      </c>
      <c r="AM37" s="47" t="s">
        <v>103</v>
      </c>
      <c r="AN37" s="47" t="s">
        <v>103</v>
      </c>
      <c r="AO37" s="47" t="s">
        <v>103</v>
      </c>
      <c r="AP37" s="47" t="s">
        <v>103</v>
      </c>
      <c r="AQ37" s="47" t="s">
        <v>103</v>
      </c>
      <c r="AR37" s="47" t="s">
        <v>103</v>
      </c>
      <c r="AS37" s="47" t="s">
        <v>103</v>
      </c>
      <c r="AT37" s="47" t="s">
        <v>103</v>
      </c>
      <c r="AU37" s="47" t="s">
        <v>103</v>
      </c>
      <c r="AV37" s="47" t="s">
        <v>103</v>
      </c>
      <c r="AW37" s="47" t="s">
        <v>103</v>
      </c>
      <c r="AX37" s="47" t="s">
        <v>103</v>
      </c>
      <c r="AY37" s="47" t="s">
        <v>103</v>
      </c>
      <c r="AZ37" s="47" t="s">
        <v>103</v>
      </c>
      <c r="BA37" s="47" t="s">
        <v>103</v>
      </c>
      <c r="BB37" s="47" t="s">
        <v>103</v>
      </c>
      <c r="BC37" s="47" t="s">
        <v>103</v>
      </c>
      <c r="BD37" s="47" t="s">
        <v>103</v>
      </c>
      <c r="BE37" s="47" t="s">
        <v>103</v>
      </c>
      <c r="BF37" s="47" t="s">
        <v>103</v>
      </c>
      <c r="BG37" s="47" t="s">
        <v>103</v>
      </c>
      <c r="BH37" s="47" t="s">
        <v>103</v>
      </c>
      <c r="BI37" s="47" t="s">
        <v>103</v>
      </c>
      <c r="BJ37" s="47" t="s">
        <v>103</v>
      </c>
      <c r="BK37" s="47" t="s">
        <v>103</v>
      </c>
      <c r="BL37" s="47" t="s">
        <v>103</v>
      </c>
      <c r="BM37" s="47" t="s">
        <v>103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CF95E-28AB-4475-BDBE-2ED7207A7BD7}">
  <dimension ref="A1:BM37"/>
  <sheetViews>
    <sheetView workbookViewId="0">
      <selection sqref="A1:B1"/>
    </sheetView>
  </sheetViews>
  <sheetFormatPr defaultColWidth="12.109375" defaultRowHeight="15" customHeight="1" x14ac:dyDescent="0.25"/>
  <cols>
    <col min="1" max="1" width="12.109375" style="47" bestFit="1" customWidth="1"/>
    <col min="2" max="65" width="9.109375" style="47" bestFit="1" customWidth="1"/>
    <col min="66" max="16384" width="12.109375" style="47"/>
  </cols>
  <sheetData>
    <row r="1" spans="1:65" ht="15" customHeight="1" x14ac:dyDescent="0.4">
      <c r="A1" s="56" t="s">
        <v>155</v>
      </c>
      <c r="B1" s="56"/>
      <c r="C1" s="55" t="s">
        <v>154</v>
      </c>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row>
    <row r="2" spans="1:65" ht="15" customHeight="1" x14ac:dyDescent="0.4">
      <c r="A2" s="56" t="s">
        <v>153</v>
      </c>
      <c r="B2" s="56"/>
      <c r="C2" s="55" t="s">
        <v>152</v>
      </c>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row>
    <row r="3" spans="1:65" ht="15" customHeight="1" x14ac:dyDescent="0.4">
      <c r="A3" s="56" t="s">
        <v>9</v>
      </c>
      <c r="B3" s="56"/>
      <c r="C3" s="55" t="s">
        <v>126</v>
      </c>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row>
    <row r="4" spans="1:65" ht="15" customHeight="1" x14ac:dyDescent="0.4">
      <c r="A4" s="56" t="s">
        <v>151</v>
      </c>
      <c r="B4" s="56"/>
      <c r="C4" s="55" t="s">
        <v>103</v>
      </c>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row>
    <row r="5" spans="1:65" ht="15" customHeight="1" x14ac:dyDescent="0.4">
      <c r="A5" s="56" t="s">
        <v>150</v>
      </c>
      <c r="B5" s="56"/>
      <c r="C5" s="55" t="s">
        <v>103</v>
      </c>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row>
    <row r="6" spans="1:65" ht="15" customHeight="1" x14ac:dyDescent="0.4">
      <c r="A6" s="56" t="s">
        <v>103</v>
      </c>
      <c r="B6" s="56"/>
      <c r="C6" s="55" t="s">
        <v>103</v>
      </c>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row>
    <row r="7" spans="1:65" ht="15" customHeight="1" x14ac:dyDescent="0.4">
      <c r="A7" s="56" t="s">
        <v>103</v>
      </c>
      <c r="B7" s="56"/>
      <c r="C7" s="55" t="s">
        <v>103</v>
      </c>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row>
    <row r="8" spans="1:65" ht="15" customHeight="1" x14ac:dyDescent="0.4">
      <c r="A8" s="56" t="s">
        <v>103</v>
      </c>
      <c r="B8" s="56"/>
      <c r="C8" s="55" t="s">
        <v>103</v>
      </c>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row>
    <row r="9" spans="1:65" ht="15" customHeight="1" x14ac:dyDescent="0.4">
      <c r="A9" s="56" t="s">
        <v>103</v>
      </c>
      <c r="B9" s="56"/>
      <c r="C9" s="55" t="s">
        <v>103</v>
      </c>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row>
    <row r="10" spans="1:65" ht="15" customHeight="1" x14ac:dyDescent="0.4">
      <c r="A10" s="56" t="s">
        <v>149</v>
      </c>
      <c r="B10" s="56"/>
      <c r="C10" s="55" t="s">
        <v>148</v>
      </c>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row>
    <row r="11" spans="1:65" ht="15" customHeight="1" x14ac:dyDescent="0.4">
      <c r="A11" s="56" t="s">
        <v>147</v>
      </c>
      <c r="B11" s="56"/>
      <c r="C11" s="55" t="s">
        <v>156</v>
      </c>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row>
    <row r="12" spans="1:65" ht="15" customHeight="1" x14ac:dyDescent="0.25">
      <c r="A12" s="47" t="s">
        <v>103</v>
      </c>
      <c r="B12" s="54" t="s">
        <v>143</v>
      </c>
      <c r="C12" s="53"/>
      <c r="D12" s="53"/>
      <c r="E12" s="53"/>
      <c r="F12" s="53"/>
      <c r="G12" s="53"/>
      <c r="H12" s="53"/>
      <c r="I12" s="52"/>
      <c r="J12" s="54" t="s">
        <v>143</v>
      </c>
      <c r="K12" s="53"/>
      <c r="L12" s="53"/>
      <c r="M12" s="53"/>
      <c r="N12" s="53"/>
      <c r="O12" s="53"/>
      <c r="P12" s="53"/>
      <c r="Q12" s="52"/>
      <c r="R12" s="54" t="s">
        <v>144</v>
      </c>
      <c r="S12" s="53"/>
      <c r="T12" s="53"/>
      <c r="U12" s="53"/>
      <c r="V12" s="53"/>
      <c r="W12" s="53"/>
      <c r="X12" s="53"/>
      <c r="Y12" s="52"/>
      <c r="Z12" s="54" t="s">
        <v>143</v>
      </c>
      <c r="AA12" s="53"/>
      <c r="AB12" s="53"/>
      <c r="AC12" s="53"/>
      <c r="AD12" s="53"/>
      <c r="AE12" s="53"/>
      <c r="AF12" s="53"/>
      <c r="AG12" s="52"/>
      <c r="AH12" s="54" t="s">
        <v>145</v>
      </c>
      <c r="AI12" s="53"/>
      <c r="AJ12" s="53"/>
      <c r="AK12" s="53"/>
      <c r="AL12" s="53"/>
      <c r="AM12" s="53"/>
      <c r="AN12" s="53"/>
      <c r="AO12" s="52"/>
      <c r="AP12" s="54" t="s">
        <v>143</v>
      </c>
      <c r="AQ12" s="53"/>
      <c r="AR12" s="53"/>
      <c r="AS12" s="53"/>
      <c r="AT12" s="53"/>
      <c r="AU12" s="53"/>
      <c r="AV12" s="53"/>
      <c r="AW12" s="52"/>
      <c r="AX12" s="54" t="s">
        <v>144</v>
      </c>
      <c r="AY12" s="53"/>
      <c r="AZ12" s="53"/>
      <c r="BA12" s="53"/>
      <c r="BB12" s="53"/>
      <c r="BC12" s="53"/>
      <c r="BD12" s="53"/>
      <c r="BE12" s="52"/>
      <c r="BF12" s="54" t="s">
        <v>143</v>
      </c>
      <c r="BG12" s="53"/>
      <c r="BH12" s="53"/>
      <c r="BI12" s="53"/>
      <c r="BJ12" s="53"/>
      <c r="BK12" s="53"/>
      <c r="BL12" s="53"/>
      <c r="BM12" s="52"/>
    </row>
    <row r="13" spans="1:65" ht="15" customHeight="1" x14ac:dyDescent="0.25">
      <c r="A13" s="47" t="s">
        <v>103</v>
      </c>
      <c r="B13" s="51" t="s">
        <v>142</v>
      </c>
      <c r="C13" s="50"/>
      <c r="D13" s="50"/>
      <c r="E13" s="50"/>
      <c r="F13" s="50"/>
      <c r="G13" s="50"/>
      <c r="H13" s="50"/>
      <c r="I13" s="49"/>
      <c r="J13" s="51" t="s">
        <v>141</v>
      </c>
      <c r="K13" s="50"/>
      <c r="L13" s="50"/>
      <c r="M13" s="50"/>
      <c r="N13" s="50"/>
      <c r="O13" s="50"/>
      <c r="P13" s="50"/>
      <c r="Q13" s="49"/>
      <c r="R13" s="51" t="s">
        <v>140</v>
      </c>
      <c r="S13" s="50"/>
      <c r="T13" s="50"/>
      <c r="U13" s="50"/>
      <c r="V13" s="50"/>
      <c r="W13" s="50"/>
      <c r="X13" s="50"/>
      <c r="Y13" s="49"/>
      <c r="Z13" s="51" t="s">
        <v>139</v>
      </c>
      <c r="AA13" s="50"/>
      <c r="AB13" s="50"/>
      <c r="AC13" s="50"/>
      <c r="AD13" s="50"/>
      <c r="AE13" s="50"/>
      <c r="AF13" s="50"/>
      <c r="AG13" s="49"/>
      <c r="AH13" s="51" t="s">
        <v>138</v>
      </c>
      <c r="AI13" s="50"/>
      <c r="AJ13" s="50"/>
      <c r="AK13" s="50"/>
      <c r="AL13" s="50"/>
      <c r="AM13" s="50"/>
      <c r="AN13" s="50"/>
      <c r="AO13" s="49"/>
      <c r="AP13" s="51" t="s">
        <v>137</v>
      </c>
      <c r="AQ13" s="50"/>
      <c r="AR13" s="50"/>
      <c r="AS13" s="50"/>
      <c r="AT13" s="50"/>
      <c r="AU13" s="50"/>
      <c r="AV13" s="50"/>
      <c r="AW13" s="49"/>
      <c r="AX13" s="51" t="s">
        <v>136</v>
      </c>
      <c r="AY13" s="50"/>
      <c r="AZ13" s="50"/>
      <c r="BA13" s="50"/>
      <c r="BB13" s="50"/>
      <c r="BC13" s="50"/>
      <c r="BD13" s="50"/>
      <c r="BE13" s="49"/>
      <c r="BF13" s="51" t="s">
        <v>135</v>
      </c>
      <c r="BG13" s="50"/>
      <c r="BH13" s="50"/>
      <c r="BI13" s="50"/>
      <c r="BJ13" s="50"/>
      <c r="BK13" s="50"/>
      <c r="BL13" s="50"/>
      <c r="BM13" s="49"/>
    </row>
    <row r="14" spans="1:65" ht="15" customHeight="1" x14ac:dyDescent="0.25">
      <c r="A14" s="48" t="s">
        <v>9</v>
      </c>
      <c r="B14" s="48" t="s">
        <v>134</v>
      </c>
      <c r="C14" s="48" t="s">
        <v>133</v>
      </c>
      <c r="D14" s="48" t="s">
        <v>132</v>
      </c>
      <c r="E14" s="48" t="s">
        <v>131</v>
      </c>
      <c r="F14" s="48" t="s">
        <v>130</v>
      </c>
      <c r="G14" s="48" t="s">
        <v>129</v>
      </c>
      <c r="H14" s="48" t="s">
        <v>128</v>
      </c>
      <c r="I14" s="48" t="s">
        <v>127</v>
      </c>
      <c r="J14" s="48" t="s">
        <v>134</v>
      </c>
      <c r="K14" s="48" t="s">
        <v>133</v>
      </c>
      <c r="L14" s="48" t="s">
        <v>132</v>
      </c>
      <c r="M14" s="48" t="s">
        <v>131</v>
      </c>
      <c r="N14" s="48" t="s">
        <v>130</v>
      </c>
      <c r="O14" s="48" t="s">
        <v>129</v>
      </c>
      <c r="P14" s="48" t="s">
        <v>128</v>
      </c>
      <c r="Q14" s="48" t="s">
        <v>127</v>
      </c>
      <c r="R14" s="48" t="s">
        <v>134</v>
      </c>
      <c r="S14" s="48" t="s">
        <v>133</v>
      </c>
      <c r="T14" s="48" t="s">
        <v>132</v>
      </c>
      <c r="U14" s="48" t="s">
        <v>131</v>
      </c>
      <c r="V14" s="48" t="s">
        <v>130</v>
      </c>
      <c r="W14" s="48" t="s">
        <v>129</v>
      </c>
      <c r="X14" s="48" t="s">
        <v>128</v>
      </c>
      <c r="Y14" s="48" t="s">
        <v>127</v>
      </c>
      <c r="Z14" s="48" t="s">
        <v>134</v>
      </c>
      <c r="AA14" s="48" t="s">
        <v>133</v>
      </c>
      <c r="AB14" s="48" t="s">
        <v>132</v>
      </c>
      <c r="AC14" s="48" t="s">
        <v>131</v>
      </c>
      <c r="AD14" s="48" t="s">
        <v>130</v>
      </c>
      <c r="AE14" s="48" t="s">
        <v>129</v>
      </c>
      <c r="AF14" s="48" t="s">
        <v>128</v>
      </c>
      <c r="AG14" s="48" t="s">
        <v>127</v>
      </c>
      <c r="AH14" s="48" t="s">
        <v>134</v>
      </c>
      <c r="AI14" s="48" t="s">
        <v>133</v>
      </c>
      <c r="AJ14" s="48" t="s">
        <v>132</v>
      </c>
      <c r="AK14" s="48" t="s">
        <v>131</v>
      </c>
      <c r="AL14" s="48" t="s">
        <v>130</v>
      </c>
      <c r="AM14" s="48" t="s">
        <v>129</v>
      </c>
      <c r="AN14" s="48" t="s">
        <v>128</v>
      </c>
      <c r="AO14" s="48" t="s">
        <v>127</v>
      </c>
      <c r="AP14" s="48" t="s">
        <v>134</v>
      </c>
      <c r="AQ14" s="48" t="s">
        <v>133</v>
      </c>
      <c r="AR14" s="48" t="s">
        <v>132</v>
      </c>
      <c r="AS14" s="48" t="s">
        <v>131</v>
      </c>
      <c r="AT14" s="48" t="s">
        <v>130</v>
      </c>
      <c r="AU14" s="48" t="s">
        <v>129</v>
      </c>
      <c r="AV14" s="48" t="s">
        <v>128</v>
      </c>
      <c r="AW14" s="48" t="s">
        <v>127</v>
      </c>
      <c r="AX14" s="48" t="s">
        <v>134</v>
      </c>
      <c r="AY14" s="48" t="s">
        <v>133</v>
      </c>
      <c r="AZ14" s="48" t="s">
        <v>132</v>
      </c>
      <c r="BA14" s="48" t="s">
        <v>131</v>
      </c>
      <c r="BB14" s="48" t="s">
        <v>130</v>
      </c>
      <c r="BC14" s="48" t="s">
        <v>129</v>
      </c>
      <c r="BD14" s="48" t="s">
        <v>128</v>
      </c>
      <c r="BE14" s="48" t="s">
        <v>127</v>
      </c>
      <c r="BF14" s="48" t="s">
        <v>134</v>
      </c>
      <c r="BG14" s="48" t="s">
        <v>133</v>
      </c>
      <c r="BH14" s="48" t="s">
        <v>132</v>
      </c>
      <c r="BI14" s="48" t="s">
        <v>131</v>
      </c>
      <c r="BJ14" s="48" t="s">
        <v>130</v>
      </c>
      <c r="BK14" s="48" t="s">
        <v>129</v>
      </c>
      <c r="BL14" s="48" t="s">
        <v>128</v>
      </c>
      <c r="BM14" s="48" t="s">
        <v>127</v>
      </c>
    </row>
    <row r="15" spans="1:65" ht="15" customHeight="1" x14ac:dyDescent="0.25">
      <c r="A15" s="47" t="s">
        <v>126</v>
      </c>
      <c r="B15" s="47" t="s">
        <v>103</v>
      </c>
      <c r="C15" s="47" t="s">
        <v>103</v>
      </c>
      <c r="D15" s="47" t="s">
        <v>103</v>
      </c>
      <c r="E15" s="47" t="s">
        <v>103</v>
      </c>
      <c r="F15" s="47" t="s">
        <v>103</v>
      </c>
      <c r="G15" s="47" t="s">
        <v>103</v>
      </c>
      <c r="H15" s="47" t="s">
        <v>103</v>
      </c>
      <c r="I15" s="47" t="s">
        <v>103</v>
      </c>
      <c r="J15" s="47" t="s">
        <v>103</v>
      </c>
      <c r="K15" s="47" t="s">
        <v>103</v>
      </c>
      <c r="L15" s="47" t="s">
        <v>103</v>
      </c>
      <c r="M15" s="47" t="s">
        <v>103</v>
      </c>
      <c r="N15" s="47" t="s">
        <v>103</v>
      </c>
      <c r="O15" s="47" t="s">
        <v>103</v>
      </c>
      <c r="P15" s="47" t="s">
        <v>103</v>
      </c>
      <c r="Q15" s="47" t="s">
        <v>103</v>
      </c>
      <c r="R15" s="47" t="s">
        <v>103</v>
      </c>
      <c r="S15" s="47" t="s">
        <v>103</v>
      </c>
      <c r="T15" s="47" t="s">
        <v>103</v>
      </c>
      <c r="U15" s="47">
        <v>0</v>
      </c>
      <c r="V15" s="47" t="s">
        <v>103</v>
      </c>
      <c r="W15" s="47" t="s">
        <v>103</v>
      </c>
      <c r="X15" s="47" t="s">
        <v>103</v>
      </c>
      <c r="Y15" s="47" t="s">
        <v>103</v>
      </c>
      <c r="Z15" s="47" t="s">
        <v>103</v>
      </c>
      <c r="AA15" s="47" t="s">
        <v>103</v>
      </c>
      <c r="AB15" s="47" t="s">
        <v>103</v>
      </c>
      <c r="AC15" s="47" t="s">
        <v>103</v>
      </c>
      <c r="AD15" s="47" t="s">
        <v>103</v>
      </c>
      <c r="AE15" s="47" t="s">
        <v>103</v>
      </c>
      <c r="AF15" s="47" t="s">
        <v>103</v>
      </c>
      <c r="AG15" s="47" t="s">
        <v>103</v>
      </c>
      <c r="AH15" s="47" t="s">
        <v>103</v>
      </c>
      <c r="AI15" s="47">
        <v>0</v>
      </c>
      <c r="AJ15" s="47" t="s">
        <v>103</v>
      </c>
      <c r="AK15" s="47" t="s">
        <v>103</v>
      </c>
      <c r="AL15" s="47" t="s">
        <v>103</v>
      </c>
      <c r="AM15" s="47" t="s">
        <v>103</v>
      </c>
      <c r="AN15" s="47" t="s">
        <v>103</v>
      </c>
      <c r="AO15" s="47" t="s">
        <v>103</v>
      </c>
      <c r="AP15" s="47" t="s">
        <v>103</v>
      </c>
      <c r="AQ15" s="47" t="s">
        <v>103</v>
      </c>
      <c r="AR15" s="47" t="s">
        <v>103</v>
      </c>
      <c r="AS15" s="47" t="s">
        <v>103</v>
      </c>
      <c r="AT15" s="47" t="s">
        <v>103</v>
      </c>
      <c r="AU15" s="47" t="s">
        <v>103</v>
      </c>
      <c r="AV15" s="47" t="s">
        <v>103</v>
      </c>
      <c r="AW15" s="47" t="s">
        <v>103</v>
      </c>
      <c r="AX15" s="47" t="s">
        <v>103</v>
      </c>
      <c r="AY15" s="47" t="s">
        <v>103</v>
      </c>
      <c r="AZ15" s="47" t="s">
        <v>103</v>
      </c>
      <c r="BA15" s="47" t="s">
        <v>103</v>
      </c>
      <c r="BB15" s="47" t="s">
        <v>103</v>
      </c>
      <c r="BC15" s="47" t="s">
        <v>103</v>
      </c>
      <c r="BD15" s="47" t="s">
        <v>103</v>
      </c>
      <c r="BE15" s="47" t="s">
        <v>103</v>
      </c>
      <c r="BF15" s="47" t="s">
        <v>103</v>
      </c>
      <c r="BG15" s="47" t="s">
        <v>103</v>
      </c>
      <c r="BH15" s="47" t="s">
        <v>103</v>
      </c>
      <c r="BI15" s="47" t="s">
        <v>103</v>
      </c>
      <c r="BJ15" s="47" t="s">
        <v>103</v>
      </c>
      <c r="BK15" s="47" t="s">
        <v>103</v>
      </c>
      <c r="BL15" s="47" t="s">
        <v>103</v>
      </c>
      <c r="BM15" s="47" t="s">
        <v>103</v>
      </c>
    </row>
    <row r="16" spans="1:65" ht="15" customHeight="1" x14ac:dyDescent="0.25">
      <c r="A16" s="47" t="s">
        <v>125</v>
      </c>
      <c r="B16" s="47" t="s">
        <v>103</v>
      </c>
      <c r="C16" s="47" t="s">
        <v>103</v>
      </c>
      <c r="D16" s="47" t="s">
        <v>103</v>
      </c>
      <c r="E16" s="47" t="s">
        <v>103</v>
      </c>
      <c r="F16" s="47" t="s">
        <v>103</v>
      </c>
      <c r="G16" s="47" t="s">
        <v>103</v>
      </c>
      <c r="H16" s="47" t="s">
        <v>103</v>
      </c>
      <c r="I16" s="47" t="s">
        <v>103</v>
      </c>
      <c r="J16" s="47" t="s">
        <v>103</v>
      </c>
      <c r="K16" s="47" t="s">
        <v>103</v>
      </c>
      <c r="L16" s="47" t="s">
        <v>103</v>
      </c>
      <c r="M16" s="47" t="s">
        <v>103</v>
      </c>
      <c r="N16" s="47" t="s">
        <v>103</v>
      </c>
      <c r="O16" s="47" t="s">
        <v>103</v>
      </c>
      <c r="P16" s="47" t="s">
        <v>103</v>
      </c>
      <c r="Q16" s="47" t="s">
        <v>103</v>
      </c>
      <c r="R16" s="47" t="s">
        <v>103</v>
      </c>
      <c r="S16" s="47" t="s">
        <v>103</v>
      </c>
      <c r="T16" s="47" t="s">
        <v>103</v>
      </c>
      <c r="U16" s="47">
        <v>0</v>
      </c>
      <c r="V16" s="47" t="s">
        <v>103</v>
      </c>
      <c r="W16" s="47" t="s">
        <v>103</v>
      </c>
      <c r="X16" s="47" t="s">
        <v>103</v>
      </c>
      <c r="Y16" s="47" t="s">
        <v>103</v>
      </c>
      <c r="Z16" s="47" t="s">
        <v>103</v>
      </c>
      <c r="AA16" s="47" t="s">
        <v>103</v>
      </c>
      <c r="AB16" s="47" t="s">
        <v>103</v>
      </c>
      <c r="AC16" s="47" t="s">
        <v>103</v>
      </c>
      <c r="AD16" s="47" t="s">
        <v>103</v>
      </c>
      <c r="AE16" s="47" t="s">
        <v>103</v>
      </c>
      <c r="AF16" s="47" t="s">
        <v>103</v>
      </c>
      <c r="AG16" s="47" t="s">
        <v>103</v>
      </c>
      <c r="AH16" s="47" t="s">
        <v>103</v>
      </c>
      <c r="AI16" s="47">
        <v>0</v>
      </c>
      <c r="AJ16" s="47" t="s">
        <v>103</v>
      </c>
      <c r="AK16" s="47" t="s">
        <v>103</v>
      </c>
      <c r="AL16" s="47" t="s">
        <v>103</v>
      </c>
      <c r="AM16" s="47" t="s">
        <v>103</v>
      </c>
      <c r="AN16" s="47" t="s">
        <v>103</v>
      </c>
      <c r="AO16" s="47" t="s">
        <v>103</v>
      </c>
      <c r="AP16" s="47" t="s">
        <v>103</v>
      </c>
      <c r="AQ16" s="47" t="s">
        <v>103</v>
      </c>
      <c r="AR16" s="47" t="s">
        <v>103</v>
      </c>
      <c r="AS16" s="47" t="s">
        <v>103</v>
      </c>
      <c r="AT16" s="47" t="s">
        <v>103</v>
      </c>
      <c r="AU16" s="47" t="s">
        <v>103</v>
      </c>
      <c r="AV16" s="47" t="s">
        <v>103</v>
      </c>
      <c r="AW16" s="47" t="s">
        <v>103</v>
      </c>
      <c r="AX16" s="47" t="s">
        <v>103</v>
      </c>
      <c r="AY16" s="47" t="s">
        <v>103</v>
      </c>
      <c r="AZ16" s="47" t="s">
        <v>103</v>
      </c>
      <c r="BA16" s="47" t="s">
        <v>103</v>
      </c>
      <c r="BB16" s="47" t="s">
        <v>103</v>
      </c>
      <c r="BC16" s="47" t="s">
        <v>103</v>
      </c>
      <c r="BD16" s="47" t="s">
        <v>103</v>
      </c>
      <c r="BE16" s="47" t="s">
        <v>103</v>
      </c>
      <c r="BF16" s="47" t="s">
        <v>103</v>
      </c>
      <c r="BG16" s="47" t="s">
        <v>103</v>
      </c>
      <c r="BH16" s="47" t="s">
        <v>103</v>
      </c>
      <c r="BI16" s="47" t="s">
        <v>103</v>
      </c>
      <c r="BJ16" s="47" t="s">
        <v>103</v>
      </c>
      <c r="BK16" s="47" t="s">
        <v>103</v>
      </c>
      <c r="BL16" s="47" t="s">
        <v>103</v>
      </c>
      <c r="BM16" s="47" t="s">
        <v>103</v>
      </c>
    </row>
    <row r="17" spans="1:65" ht="15" customHeight="1" x14ac:dyDescent="0.25">
      <c r="A17" s="47" t="s">
        <v>124</v>
      </c>
      <c r="B17" s="47" t="s">
        <v>103</v>
      </c>
      <c r="C17" s="47" t="s">
        <v>103</v>
      </c>
      <c r="D17" s="47" t="s">
        <v>103</v>
      </c>
      <c r="E17" s="47" t="s">
        <v>103</v>
      </c>
      <c r="F17" s="47" t="s">
        <v>103</v>
      </c>
      <c r="G17" s="47" t="s">
        <v>103</v>
      </c>
      <c r="H17" s="47" t="s">
        <v>103</v>
      </c>
      <c r="I17" s="47" t="s">
        <v>103</v>
      </c>
      <c r="J17" s="47" t="s">
        <v>103</v>
      </c>
      <c r="K17" s="47" t="s">
        <v>103</v>
      </c>
      <c r="L17" s="47" t="s">
        <v>103</v>
      </c>
      <c r="M17" s="47" t="s">
        <v>103</v>
      </c>
      <c r="N17" s="47" t="s">
        <v>103</v>
      </c>
      <c r="O17" s="47" t="s">
        <v>103</v>
      </c>
      <c r="P17" s="47" t="s">
        <v>103</v>
      </c>
      <c r="Q17" s="47" t="s">
        <v>103</v>
      </c>
      <c r="R17" s="47" t="s">
        <v>103</v>
      </c>
      <c r="S17" s="47" t="s">
        <v>103</v>
      </c>
      <c r="T17" s="47" t="s">
        <v>103</v>
      </c>
      <c r="U17" s="47">
        <v>0</v>
      </c>
      <c r="V17" s="47" t="s">
        <v>103</v>
      </c>
      <c r="W17" s="47" t="s">
        <v>103</v>
      </c>
      <c r="X17" s="47" t="s">
        <v>103</v>
      </c>
      <c r="Y17" s="47" t="s">
        <v>103</v>
      </c>
      <c r="Z17" s="47" t="s">
        <v>103</v>
      </c>
      <c r="AA17" s="47" t="s">
        <v>103</v>
      </c>
      <c r="AB17" s="47" t="s">
        <v>103</v>
      </c>
      <c r="AC17" s="47" t="s">
        <v>103</v>
      </c>
      <c r="AD17" s="47" t="s">
        <v>103</v>
      </c>
      <c r="AE17" s="47" t="s">
        <v>103</v>
      </c>
      <c r="AF17" s="47" t="s">
        <v>103</v>
      </c>
      <c r="AG17" s="47" t="s">
        <v>103</v>
      </c>
      <c r="AH17" s="47" t="s">
        <v>103</v>
      </c>
      <c r="AI17" s="47">
        <v>0</v>
      </c>
      <c r="AJ17" s="47" t="s">
        <v>103</v>
      </c>
      <c r="AK17" s="47" t="s">
        <v>103</v>
      </c>
      <c r="AL17" s="47" t="s">
        <v>103</v>
      </c>
      <c r="AM17" s="47" t="s">
        <v>103</v>
      </c>
      <c r="AN17" s="47" t="s">
        <v>103</v>
      </c>
      <c r="AO17" s="47" t="s">
        <v>103</v>
      </c>
      <c r="AP17" s="47" t="s">
        <v>103</v>
      </c>
      <c r="AQ17" s="47" t="s">
        <v>103</v>
      </c>
      <c r="AR17" s="47" t="s">
        <v>103</v>
      </c>
      <c r="AS17" s="47" t="s">
        <v>103</v>
      </c>
      <c r="AT17" s="47" t="s">
        <v>103</v>
      </c>
      <c r="AU17" s="47" t="s">
        <v>103</v>
      </c>
      <c r="AV17" s="47" t="s">
        <v>103</v>
      </c>
      <c r="AW17" s="47" t="s">
        <v>103</v>
      </c>
      <c r="AX17" s="47" t="s">
        <v>103</v>
      </c>
      <c r="AY17" s="47" t="s">
        <v>103</v>
      </c>
      <c r="AZ17" s="47" t="s">
        <v>103</v>
      </c>
      <c r="BA17" s="47" t="s">
        <v>103</v>
      </c>
      <c r="BB17" s="47" t="s">
        <v>103</v>
      </c>
      <c r="BC17" s="47" t="s">
        <v>103</v>
      </c>
      <c r="BD17" s="47" t="s">
        <v>103</v>
      </c>
      <c r="BE17" s="47" t="s">
        <v>103</v>
      </c>
      <c r="BF17" s="47" t="s">
        <v>103</v>
      </c>
      <c r="BG17" s="47" t="s">
        <v>103</v>
      </c>
      <c r="BH17" s="47" t="s">
        <v>103</v>
      </c>
      <c r="BI17" s="47" t="s">
        <v>103</v>
      </c>
      <c r="BJ17" s="47" t="s">
        <v>103</v>
      </c>
      <c r="BK17" s="47" t="s">
        <v>103</v>
      </c>
      <c r="BL17" s="47" t="s">
        <v>103</v>
      </c>
      <c r="BM17" s="47" t="s">
        <v>103</v>
      </c>
    </row>
    <row r="18" spans="1:65" ht="15" customHeight="1" x14ac:dyDescent="0.25">
      <c r="A18" s="47" t="s">
        <v>123</v>
      </c>
      <c r="B18" s="47" t="s">
        <v>103</v>
      </c>
      <c r="C18" s="47" t="s">
        <v>103</v>
      </c>
      <c r="D18" s="47" t="s">
        <v>103</v>
      </c>
      <c r="E18" s="47" t="s">
        <v>103</v>
      </c>
      <c r="F18" s="47" t="s">
        <v>103</v>
      </c>
      <c r="G18" s="47" t="s">
        <v>103</v>
      </c>
      <c r="H18" s="47" t="s">
        <v>103</v>
      </c>
      <c r="I18" s="47" t="s">
        <v>103</v>
      </c>
      <c r="J18" s="47" t="s">
        <v>103</v>
      </c>
      <c r="K18" s="47" t="s">
        <v>103</v>
      </c>
      <c r="L18" s="47" t="s">
        <v>103</v>
      </c>
      <c r="M18" s="47" t="s">
        <v>103</v>
      </c>
      <c r="N18" s="47" t="s">
        <v>103</v>
      </c>
      <c r="O18" s="47" t="s">
        <v>103</v>
      </c>
      <c r="P18" s="47" t="s">
        <v>103</v>
      </c>
      <c r="Q18" s="47" t="s">
        <v>103</v>
      </c>
      <c r="R18" s="47" t="s">
        <v>103</v>
      </c>
      <c r="S18" s="47" t="s">
        <v>103</v>
      </c>
      <c r="T18" s="47" t="s">
        <v>103</v>
      </c>
      <c r="U18" s="47">
        <v>0</v>
      </c>
      <c r="V18" s="47" t="s">
        <v>103</v>
      </c>
      <c r="W18" s="47" t="s">
        <v>103</v>
      </c>
      <c r="X18" s="47" t="s">
        <v>103</v>
      </c>
      <c r="Y18" s="47" t="s">
        <v>103</v>
      </c>
      <c r="Z18" s="47" t="s">
        <v>103</v>
      </c>
      <c r="AA18" s="47" t="s">
        <v>103</v>
      </c>
      <c r="AB18" s="47" t="s">
        <v>103</v>
      </c>
      <c r="AC18" s="47" t="s">
        <v>103</v>
      </c>
      <c r="AD18" s="47" t="s">
        <v>103</v>
      </c>
      <c r="AE18" s="47" t="s">
        <v>103</v>
      </c>
      <c r="AF18" s="47" t="s">
        <v>103</v>
      </c>
      <c r="AG18" s="47" t="s">
        <v>103</v>
      </c>
      <c r="AH18" s="47" t="s">
        <v>103</v>
      </c>
      <c r="AI18" s="47">
        <v>0</v>
      </c>
      <c r="AJ18" s="47" t="s">
        <v>103</v>
      </c>
      <c r="AK18" s="47" t="s">
        <v>103</v>
      </c>
      <c r="AL18" s="47" t="s">
        <v>103</v>
      </c>
      <c r="AM18" s="47" t="s">
        <v>103</v>
      </c>
      <c r="AN18" s="47" t="s">
        <v>103</v>
      </c>
      <c r="AO18" s="47" t="s">
        <v>103</v>
      </c>
      <c r="AP18" s="47" t="s">
        <v>103</v>
      </c>
      <c r="AQ18" s="47" t="s">
        <v>103</v>
      </c>
      <c r="AR18" s="47" t="s">
        <v>103</v>
      </c>
      <c r="AS18" s="47" t="s">
        <v>103</v>
      </c>
      <c r="AT18" s="47" t="s">
        <v>103</v>
      </c>
      <c r="AU18" s="47" t="s">
        <v>103</v>
      </c>
      <c r="AV18" s="47" t="s">
        <v>103</v>
      </c>
      <c r="AW18" s="47" t="s">
        <v>103</v>
      </c>
      <c r="AX18" s="47" t="s">
        <v>103</v>
      </c>
      <c r="AY18" s="47" t="s">
        <v>103</v>
      </c>
      <c r="AZ18" s="47" t="s">
        <v>103</v>
      </c>
      <c r="BA18" s="47" t="s">
        <v>103</v>
      </c>
      <c r="BB18" s="47" t="s">
        <v>103</v>
      </c>
      <c r="BC18" s="47" t="s">
        <v>103</v>
      </c>
      <c r="BD18" s="47" t="s">
        <v>103</v>
      </c>
      <c r="BE18" s="47" t="s">
        <v>103</v>
      </c>
      <c r="BF18" s="47" t="s">
        <v>103</v>
      </c>
      <c r="BG18" s="47" t="s">
        <v>103</v>
      </c>
      <c r="BH18" s="47" t="s">
        <v>103</v>
      </c>
      <c r="BI18" s="47" t="s">
        <v>103</v>
      </c>
      <c r="BJ18" s="47" t="s">
        <v>103</v>
      </c>
      <c r="BK18" s="47" t="s">
        <v>103</v>
      </c>
      <c r="BL18" s="47" t="s">
        <v>103</v>
      </c>
      <c r="BM18" s="47" t="s">
        <v>103</v>
      </c>
    </row>
    <row r="19" spans="1:65" ht="15" customHeight="1" x14ac:dyDescent="0.25">
      <c r="A19" s="47" t="s">
        <v>122</v>
      </c>
      <c r="B19" s="47" t="s">
        <v>103</v>
      </c>
      <c r="C19" s="47" t="s">
        <v>103</v>
      </c>
      <c r="D19" s="47" t="s">
        <v>103</v>
      </c>
      <c r="E19" s="47" t="s">
        <v>103</v>
      </c>
      <c r="F19" s="47" t="s">
        <v>103</v>
      </c>
      <c r="G19" s="47" t="s">
        <v>103</v>
      </c>
      <c r="H19" s="47" t="s">
        <v>103</v>
      </c>
      <c r="I19" s="47" t="s">
        <v>103</v>
      </c>
      <c r="J19" s="47" t="s">
        <v>103</v>
      </c>
      <c r="K19" s="47" t="s">
        <v>103</v>
      </c>
      <c r="L19" s="47" t="s">
        <v>103</v>
      </c>
      <c r="M19" s="47" t="s">
        <v>103</v>
      </c>
      <c r="N19" s="47" t="s">
        <v>103</v>
      </c>
      <c r="O19" s="47" t="s">
        <v>103</v>
      </c>
      <c r="P19" s="47" t="s">
        <v>103</v>
      </c>
      <c r="Q19" s="47" t="s">
        <v>103</v>
      </c>
      <c r="R19" s="47" t="s">
        <v>103</v>
      </c>
      <c r="S19" s="47" t="s">
        <v>103</v>
      </c>
      <c r="T19" s="47" t="s">
        <v>103</v>
      </c>
      <c r="U19" s="47">
        <v>0</v>
      </c>
      <c r="V19" s="47" t="s">
        <v>103</v>
      </c>
      <c r="W19" s="47" t="s">
        <v>103</v>
      </c>
      <c r="X19" s="47" t="s">
        <v>103</v>
      </c>
      <c r="Y19" s="47" t="s">
        <v>103</v>
      </c>
      <c r="Z19" s="47" t="s">
        <v>103</v>
      </c>
      <c r="AA19" s="47" t="s">
        <v>103</v>
      </c>
      <c r="AB19" s="47" t="s">
        <v>103</v>
      </c>
      <c r="AC19" s="47" t="s">
        <v>103</v>
      </c>
      <c r="AD19" s="47" t="s">
        <v>103</v>
      </c>
      <c r="AE19" s="47" t="s">
        <v>103</v>
      </c>
      <c r="AF19" s="47" t="s">
        <v>103</v>
      </c>
      <c r="AG19" s="47" t="s">
        <v>103</v>
      </c>
      <c r="AH19" s="47" t="s">
        <v>103</v>
      </c>
      <c r="AI19" s="47">
        <v>0</v>
      </c>
      <c r="AJ19" s="47" t="s">
        <v>103</v>
      </c>
      <c r="AK19" s="47" t="s">
        <v>103</v>
      </c>
      <c r="AL19" s="47" t="s">
        <v>103</v>
      </c>
      <c r="AM19" s="47" t="s">
        <v>103</v>
      </c>
      <c r="AN19" s="47" t="s">
        <v>103</v>
      </c>
      <c r="AO19" s="47" t="s">
        <v>103</v>
      </c>
      <c r="AP19" s="47" t="s">
        <v>103</v>
      </c>
      <c r="AQ19" s="47" t="s">
        <v>103</v>
      </c>
      <c r="AR19" s="47" t="s">
        <v>103</v>
      </c>
      <c r="AS19" s="47" t="s">
        <v>103</v>
      </c>
      <c r="AT19" s="47" t="s">
        <v>103</v>
      </c>
      <c r="AU19" s="47" t="s">
        <v>103</v>
      </c>
      <c r="AV19" s="47" t="s">
        <v>103</v>
      </c>
      <c r="AW19" s="47" t="s">
        <v>103</v>
      </c>
      <c r="AX19" s="47" t="s">
        <v>103</v>
      </c>
      <c r="AY19" s="47" t="s">
        <v>103</v>
      </c>
      <c r="AZ19" s="47" t="s">
        <v>103</v>
      </c>
      <c r="BA19" s="47" t="s">
        <v>103</v>
      </c>
      <c r="BB19" s="47" t="s">
        <v>103</v>
      </c>
      <c r="BC19" s="47" t="s">
        <v>103</v>
      </c>
      <c r="BD19" s="47" t="s">
        <v>103</v>
      </c>
      <c r="BE19" s="47" t="s">
        <v>103</v>
      </c>
      <c r="BF19" s="47" t="s">
        <v>103</v>
      </c>
      <c r="BG19" s="47" t="s">
        <v>103</v>
      </c>
      <c r="BH19" s="47" t="s">
        <v>103</v>
      </c>
      <c r="BI19" s="47" t="s">
        <v>103</v>
      </c>
      <c r="BJ19" s="47" t="s">
        <v>103</v>
      </c>
      <c r="BK19" s="47" t="s">
        <v>103</v>
      </c>
      <c r="BL19" s="47" t="s">
        <v>103</v>
      </c>
      <c r="BM19" s="47" t="s">
        <v>103</v>
      </c>
    </row>
    <row r="20" spans="1:65" ht="15" customHeight="1" x14ac:dyDescent="0.25">
      <c r="A20" s="47" t="s">
        <v>121</v>
      </c>
      <c r="B20" s="47" t="s">
        <v>103</v>
      </c>
      <c r="C20" s="47" t="s">
        <v>103</v>
      </c>
      <c r="D20" s="47" t="s">
        <v>103</v>
      </c>
      <c r="E20" s="47" t="s">
        <v>103</v>
      </c>
      <c r="F20" s="47" t="s">
        <v>103</v>
      </c>
      <c r="G20" s="47" t="s">
        <v>103</v>
      </c>
      <c r="H20" s="47" t="s">
        <v>103</v>
      </c>
      <c r="I20" s="47" t="s">
        <v>103</v>
      </c>
      <c r="J20" s="47" t="s">
        <v>103</v>
      </c>
      <c r="K20" s="47" t="s">
        <v>103</v>
      </c>
      <c r="L20" s="47" t="s">
        <v>103</v>
      </c>
      <c r="M20" s="47" t="s">
        <v>103</v>
      </c>
      <c r="N20" s="47" t="s">
        <v>103</v>
      </c>
      <c r="O20" s="47" t="s">
        <v>103</v>
      </c>
      <c r="P20" s="47" t="s">
        <v>103</v>
      </c>
      <c r="Q20" s="47" t="s">
        <v>103</v>
      </c>
      <c r="R20" s="47" t="s">
        <v>103</v>
      </c>
      <c r="S20" s="47" t="s">
        <v>103</v>
      </c>
      <c r="T20" s="47" t="s">
        <v>103</v>
      </c>
      <c r="U20" s="47">
        <v>0</v>
      </c>
      <c r="V20" s="47" t="s">
        <v>103</v>
      </c>
      <c r="W20" s="47" t="s">
        <v>103</v>
      </c>
      <c r="X20" s="47" t="s">
        <v>103</v>
      </c>
      <c r="Y20" s="47" t="s">
        <v>103</v>
      </c>
      <c r="Z20" s="47" t="s">
        <v>103</v>
      </c>
      <c r="AA20" s="47" t="s">
        <v>103</v>
      </c>
      <c r="AB20" s="47" t="s">
        <v>103</v>
      </c>
      <c r="AC20" s="47" t="s">
        <v>103</v>
      </c>
      <c r="AD20" s="47" t="s">
        <v>103</v>
      </c>
      <c r="AE20" s="47" t="s">
        <v>103</v>
      </c>
      <c r="AF20" s="47" t="s">
        <v>103</v>
      </c>
      <c r="AG20" s="47" t="s">
        <v>103</v>
      </c>
      <c r="AH20" s="47" t="s">
        <v>103</v>
      </c>
      <c r="AI20" s="47">
        <v>0</v>
      </c>
      <c r="AJ20" s="47" t="s">
        <v>103</v>
      </c>
      <c r="AK20" s="47" t="s">
        <v>103</v>
      </c>
      <c r="AL20" s="47" t="s">
        <v>103</v>
      </c>
      <c r="AM20" s="47" t="s">
        <v>103</v>
      </c>
      <c r="AN20" s="47" t="s">
        <v>103</v>
      </c>
      <c r="AO20" s="47" t="s">
        <v>103</v>
      </c>
      <c r="AP20" s="47" t="s">
        <v>103</v>
      </c>
      <c r="AQ20" s="47" t="s">
        <v>103</v>
      </c>
      <c r="AR20" s="47" t="s">
        <v>103</v>
      </c>
      <c r="AS20" s="47" t="s">
        <v>103</v>
      </c>
      <c r="AT20" s="47" t="s">
        <v>103</v>
      </c>
      <c r="AU20" s="47" t="s">
        <v>103</v>
      </c>
      <c r="AV20" s="47" t="s">
        <v>103</v>
      </c>
      <c r="AW20" s="47" t="s">
        <v>103</v>
      </c>
      <c r="AX20" s="47" t="s">
        <v>103</v>
      </c>
      <c r="AY20" s="47" t="s">
        <v>103</v>
      </c>
      <c r="AZ20" s="47" t="s">
        <v>103</v>
      </c>
      <c r="BA20" s="47" t="s">
        <v>103</v>
      </c>
      <c r="BB20" s="47" t="s">
        <v>103</v>
      </c>
      <c r="BC20" s="47" t="s">
        <v>103</v>
      </c>
      <c r="BD20" s="47" t="s">
        <v>103</v>
      </c>
      <c r="BE20" s="47" t="s">
        <v>103</v>
      </c>
      <c r="BF20" s="47" t="s">
        <v>103</v>
      </c>
      <c r="BG20" s="47" t="s">
        <v>103</v>
      </c>
      <c r="BH20" s="47" t="s">
        <v>103</v>
      </c>
      <c r="BI20" s="47" t="s">
        <v>103</v>
      </c>
      <c r="BJ20" s="47" t="s">
        <v>103</v>
      </c>
      <c r="BK20" s="47" t="s">
        <v>103</v>
      </c>
      <c r="BL20" s="47" t="s">
        <v>103</v>
      </c>
      <c r="BM20" s="47" t="s">
        <v>103</v>
      </c>
    </row>
    <row r="21" spans="1:65" ht="15" customHeight="1" x14ac:dyDescent="0.25">
      <c r="A21" s="47" t="s">
        <v>120</v>
      </c>
      <c r="B21" s="47" t="s">
        <v>103</v>
      </c>
      <c r="C21" s="47" t="s">
        <v>103</v>
      </c>
      <c r="D21" s="47" t="s">
        <v>103</v>
      </c>
      <c r="E21" s="47" t="s">
        <v>103</v>
      </c>
      <c r="F21" s="47" t="s">
        <v>103</v>
      </c>
      <c r="G21" s="47" t="s">
        <v>103</v>
      </c>
      <c r="H21" s="47" t="s">
        <v>103</v>
      </c>
      <c r="I21" s="47" t="s">
        <v>103</v>
      </c>
      <c r="J21" s="47" t="s">
        <v>103</v>
      </c>
      <c r="K21" s="47" t="s">
        <v>103</v>
      </c>
      <c r="L21" s="47" t="s">
        <v>103</v>
      </c>
      <c r="M21" s="47" t="s">
        <v>103</v>
      </c>
      <c r="N21" s="47" t="s">
        <v>103</v>
      </c>
      <c r="O21" s="47" t="s">
        <v>103</v>
      </c>
      <c r="P21" s="47" t="s">
        <v>103</v>
      </c>
      <c r="Q21" s="47" t="s">
        <v>103</v>
      </c>
      <c r="R21" s="47" t="s">
        <v>103</v>
      </c>
      <c r="S21" s="47" t="s">
        <v>103</v>
      </c>
      <c r="T21" s="47" t="s">
        <v>103</v>
      </c>
      <c r="U21" s="47">
        <v>0</v>
      </c>
      <c r="V21" s="47" t="s">
        <v>103</v>
      </c>
      <c r="W21" s="47" t="s">
        <v>103</v>
      </c>
      <c r="X21" s="47" t="s">
        <v>103</v>
      </c>
      <c r="Y21" s="47" t="s">
        <v>103</v>
      </c>
      <c r="Z21" s="47" t="s">
        <v>103</v>
      </c>
      <c r="AA21" s="47" t="s">
        <v>103</v>
      </c>
      <c r="AB21" s="47" t="s">
        <v>103</v>
      </c>
      <c r="AC21" s="47" t="s">
        <v>103</v>
      </c>
      <c r="AD21" s="47" t="s">
        <v>103</v>
      </c>
      <c r="AE21" s="47" t="s">
        <v>103</v>
      </c>
      <c r="AF21" s="47" t="s">
        <v>103</v>
      </c>
      <c r="AG21" s="47" t="s">
        <v>103</v>
      </c>
      <c r="AH21" s="47" t="s">
        <v>103</v>
      </c>
      <c r="AI21" s="47">
        <v>0</v>
      </c>
      <c r="AJ21" s="47" t="s">
        <v>103</v>
      </c>
      <c r="AK21" s="47" t="s">
        <v>103</v>
      </c>
      <c r="AL21" s="47" t="s">
        <v>103</v>
      </c>
      <c r="AM21" s="47" t="s">
        <v>103</v>
      </c>
      <c r="AN21" s="47" t="s">
        <v>103</v>
      </c>
      <c r="AO21" s="47" t="s">
        <v>103</v>
      </c>
      <c r="AP21" s="47" t="s">
        <v>103</v>
      </c>
      <c r="AQ21" s="47" t="s">
        <v>103</v>
      </c>
      <c r="AR21" s="47" t="s">
        <v>103</v>
      </c>
      <c r="AS21" s="47" t="s">
        <v>103</v>
      </c>
      <c r="AT21" s="47" t="s">
        <v>103</v>
      </c>
      <c r="AU21" s="47" t="s">
        <v>103</v>
      </c>
      <c r="AV21" s="47" t="s">
        <v>103</v>
      </c>
      <c r="AW21" s="47" t="s">
        <v>103</v>
      </c>
      <c r="AX21" s="47" t="s">
        <v>103</v>
      </c>
      <c r="AY21" s="47" t="s">
        <v>103</v>
      </c>
      <c r="AZ21" s="47" t="s">
        <v>103</v>
      </c>
      <c r="BA21" s="47" t="s">
        <v>103</v>
      </c>
      <c r="BB21" s="47" t="s">
        <v>103</v>
      </c>
      <c r="BC21" s="47" t="s">
        <v>103</v>
      </c>
      <c r="BD21" s="47" t="s">
        <v>103</v>
      </c>
      <c r="BE21" s="47" t="s">
        <v>103</v>
      </c>
      <c r="BF21" s="47" t="s">
        <v>103</v>
      </c>
      <c r="BG21" s="47" t="s">
        <v>103</v>
      </c>
      <c r="BH21" s="47" t="s">
        <v>103</v>
      </c>
      <c r="BI21" s="47" t="s">
        <v>103</v>
      </c>
      <c r="BJ21" s="47" t="s">
        <v>103</v>
      </c>
      <c r="BK21" s="47" t="s">
        <v>103</v>
      </c>
      <c r="BL21" s="47" t="s">
        <v>103</v>
      </c>
      <c r="BM21" s="47" t="s">
        <v>103</v>
      </c>
    </row>
    <row r="22" spans="1:65" ht="15" customHeight="1" x14ac:dyDescent="0.25">
      <c r="A22" s="47" t="s">
        <v>119</v>
      </c>
      <c r="B22" s="47" t="s">
        <v>103</v>
      </c>
      <c r="C22" s="47" t="s">
        <v>103</v>
      </c>
      <c r="D22" s="47" t="s">
        <v>103</v>
      </c>
      <c r="E22" s="47" t="s">
        <v>103</v>
      </c>
      <c r="F22" s="47" t="s">
        <v>103</v>
      </c>
      <c r="G22" s="47" t="s">
        <v>103</v>
      </c>
      <c r="H22" s="47" t="s">
        <v>103</v>
      </c>
      <c r="I22" s="47" t="s">
        <v>103</v>
      </c>
      <c r="J22" s="47" t="s">
        <v>103</v>
      </c>
      <c r="K22" s="47" t="s">
        <v>103</v>
      </c>
      <c r="L22" s="47" t="s">
        <v>103</v>
      </c>
      <c r="M22" s="47" t="s">
        <v>103</v>
      </c>
      <c r="N22" s="47" t="s">
        <v>103</v>
      </c>
      <c r="O22" s="47" t="s">
        <v>103</v>
      </c>
      <c r="P22" s="47" t="s">
        <v>103</v>
      </c>
      <c r="Q22" s="47" t="s">
        <v>103</v>
      </c>
      <c r="R22" s="47" t="s">
        <v>103</v>
      </c>
      <c r="S22" s="47" t="s">
        <v>103</v>
      </c>
      <c r="T22" s="47" t="s">
        <v>103</v>
      </c>
      <c r="U22" s="47">
        <v>0</v>
      </c>
      <c r="V22" s="47" t="s">
        <v>103</v>
      </c>
      <c r="W22" s="47" t="s">
        <v>103</v>
      </c>
      <c r="X22" s="47" t="s">
        <v>103</v>
      </c>
      <c r="Y22" s="47" t="s">
        <v>103</v>
      </c>
      <c r="Z22" s="47" t="s">
        <v>103</v>
      </c>
      <c r="AA22" s="47" t="s">
        <v>103</v>
      </c>
      <c r="AB22" s="47" t="s">
        <v>103</v>
      </c>
      <c r="AC22" s="47" t="s">
        <v>103</v>
      </c>
      <c r="AD22" s="47" t="s">
        <v>103</v>
      </c>
      <c r="AE22" s="47" t="s">
        <v>103</v>
      </c>
      <c r="AF22" s="47" t="s">
        <v>103</v>
      </c>
      <c r="AG22" s="47" t="s">
        <v>103</v>
      </c>
      <c r="AH22" s="47" t="s">
        <v>103</v>
      </c>
      <c r="AI22" s="47">
        <v>0</v>
      </c>
      <c r="AJ22" s="47" t="s">
        <v>103</v>
      </c>
      <c r="AK22" s="47" t="s">
        <v>103</v>
      </c>
      <c r="AL22" s="47" t="s">
        <v>103</v>
      </c>
      <c r="AM22" s="47" t="s">
        <v>103</v>
      </c>
      <c r="AN22" s="47" t="s">
        <v>103</v>
      </c>
      <c r="AO22" s="47" t="s">
        <v>103</v>
      </c>
      <c r="AP22" s="47" t="s">
        <v>103</v>
      </c>
      <c r="AQ22" s="47" t="s">
        <v>103</v>
      </c>
      <c r="AR22" s="47" t="s">
        <v>103</v>
      </c>
      <c r="AS22" s="47" t="s">
        <v>103</v>
      </c>
      <c r="AT22" s="47" t="s">
        <v>103</v>
      </c>
      <c r="AU22" s="47" t="s">
        <v>103</v>
      </c>
      <c r="AV22" s="47" t="s">
        <v>103</v>
      </c>
      <c r="AW22" s="47" t="s">
        <v>103</v>
      </c>
      <c r="AX22" s="47" t="s">
        <v>103</v>
      </c>
      <c r="AY22" s="47" t="s">
        <v>103</v>
      </c>
      <c r="AZ22" s="47" t="s">
        <v>103</v>
      </c>
      <c r="BA22" s="47" t="s">
        <v>103</v>
      </c>
      <c r="BB22" s="47" t="s">
        <v>103</v>
      </c>
      <c r="BC22" s="47" t="s">
        <v>103</v>
      </c>
      <c r="BD22" s="47" t="s">
        <v>103</v>
      </c>
      <c r="BE22" s="47" t="s">
        <v>103</v>
      </c>
      <c r="BF22" s="47" t="s">
        <v>103</v>
      </c>
      <c r="BG22" s="47" t="s">
        <v>103</v>
      </c>
      <c r="BH22" s="47" t="s">
        <v>103</v>
      </c>
      <c r="BI22" s="47" t="s">
        <v>103</v>
      </c>
      <c r="BJ22" s="47" t="s">
        <v>103</v>
      </c>
      <c r="BK22" s="47" t="s">
        <v>103</v>
      </c>
      <c r="BL22" s="47" t="s">
        <v>103</v>
      </c>
      <c r="BM22" s="47" t="s">
        <v>103</v>
      </c>
    </row>
    <row r="23" spans="1:65" ht="15" customHeight="1" x14ac:dyDescent="0.25">
      <c r="A23" s="47" t="s">
        <v>118</v>
      </c>
      <c r="B23" s="47" t="s">
        <v>103</v>
      </c>
      <c r="C23" s="47" t="s">
        <v>103</v>
      </c>
      <c r="D23" s="47" t="s">
        <v>103</v>
      </c>
      <c r="E23" s="47" t="s">
        <v>103</v>
      </c>
      <c r="F23" s="47" t="s">
        <v>103</v>
      </c>
      <c r="G23" s="47" t="s">
        <v>103</v>
      </c>
      <c r="H23" s="47" t="s">
        <v>103</v>
      </c>
      <c r="I23" s="47" t="s">
        <v>103</v>
      </c>
      <c r="J23" s="47" t="s">
        <v>103</v>
      </c>
      <c r="K23" s="47" t="s">
        <v>103</v>
      </c>
      <c r="L23" s="47" t="s">
        <v>103</v>
      </c>
      <c r="M23" s="47" t="s">
        <v>103</v>
      </c>
      <c r="N23" s="47" t="s">
        <v>103</v>
      </c>
      <c r="O23" s="47" t="s">
        <v>103</v>
      </c>
      <c r="P23" s="47" t="s">
        <v>103</v>
      </c>
      <c r="Q23" s="47" t="s">
        <v>103</v>
      </c>
      <c r="R23" s="47" t="s">
        <v>103</v>
      </c>
      <c r="S23" s="47" t="s">
        <v>103</v>
      </c>
      <c r="T23" s="47" t="s">
        <v>103</v>
      </c>
      <c r="U23" s="47">
        <v>0</v>
      </c>
      <c r="V23" s="47" t="s">
        <v>103</v>
      </c>
      <c r="W23" s="47" t="s">
        <v>103</v>
      </c>
      <c r="X23" s="47" t="s">
        <v>103</v>
      </c>
      <c r="Y23" s="47" t="s">
        <v>103</v>
      </c>
      <c r="Z23" s="47" t="s">
        <v>103</v>
      </c>
      <c r="AA23" s="47" t="s">
        <v>103</v>
      </c>
      <c r="AB23" s="47" t="s">
        <v>103</v>
      </c>
      <c r="AC23" s="47" t="s">
        <v>103</v>
      </c>
      <c r="AD23" s="47" t="s">
        <v>103</v>
      </c>
      <c r="AE23" s="47" t="s">
        <v>103</v>
      </c>
      <c r="AF23" s="47" t="s">
        <v>103</v>
      </c>
      <c r="AG23" s="47" t="s">
        <v>103</v>
      </c>
      <c r="AH23" s="47" t="s">
        <v>103</v>
      </c>
      <c r="AI23" s="47">
        <v>0</v>
      </c>
      <c r="AJ23" s="47" t="s">
        <v>103</v>
      </c>
      <c r="AK23" s="47" t="s">
        <v>103</v>
      </c>
      <c r="AL23" s="47" t="s">
        <v>103</v>
      </c>
      <c r="AM23" s="47" t="s">
        <v>103</v>
      </c>
      <c r="AN23" s="47" t="s">
        <v>103</v>
      </c>
      <c r="AO23" s="47" t="s">
        <v>103</v>
      </c>
      <c r="AP23" s="47" t="s">
        <v>103</v>
      </c>
      <c r="AQ23" s="47" t="s">
        <v>103</v>
      </c>
      <c r="AR23" s="47" t="s">
        <v>103</v>
      </c>
      <c r="AS23" s="47" t="s">
        <v>103</v>
      </c>
      <c r="AT23" s="47" t="s">
        <v>103</v>
      </c>
      <c r="AU23" s="47" t="s">
        <v>103</v>
      </c>
      <c r="AV23" s="47" t="s">
        <v>103</v>
      </c>
      <c r="AW23" s="47" t="s">
        <v>103</v>
      </c>
      <c r="AX23" s="47" t="s">
        <v>103</v>
      </c>
      <c r="AY23" s="47" t="s">
        <v>103</v>
      </c>
      <c r="AZ23" s="47" t="s">
        <v>103</v>
      </c>
      <c r="BA23" s="47" t="s">
        <v>103</v>
      </c>
      <c r="BB23" s="47" t="s">
        <v>103</v>
      </c>
      <c r="BC23" s="47" t="s">
        <v>103</v>
      </c>
      <c r="BD23" s="47" t="s">
        <v>103</v>
      </c>
      <c r="BE23" s="47" t="s">
        <v>103</v>
      </c>
      <c r="BF23" s="47" t="s">
        <v>103</v>
      </c>
      <c r="BG23" s="47" t="s">
        <v>103</v>
      </c>
      <c r="BH23" s="47" t="s">
        <v>103</v>
      </c>
      <c r="BI23" s="47" t="s">
        <v>103</v>
      </c>
      <c r="BJ23" s="47" t="s">
        <v>103</v>
      </c>
      <c r="BK23" s="47" t="s">
        <v>103</v>
      </c>
      <c r="BL23" s="47" t="s">
        <v>103</v>
      </c>
      <c r="BM23" s="47" t="s">
        <v>103</v>
      </c>
    </row>
    <row r="24" spans="1:65" ht="15" customHeight="1" x14ac:dyDescent="0.25">
      <c r="A24" s="47" t="s">
        <v>117</v>
      </c>
      <c r="B24" s="47" t="s">
        <v>103</v>
      </c>
      <c r="C24" s="47" t="s">
        <v>103</v>
      </c>
      <c r="D24" s="47" t="s">
        <v>103</v>
      </c>
      <c r="E24" s="47" t="s">
        <v>103</v>
      </c>
      <c r="F24" s="47" t="s">
        <v>103</v>
      </c>
      <c r="G24" s="47" t="s">
        <v>103</v>
      </c>
      <c r="H24" s="47" t="s">
        <v>103</v>
      </c>
      <c r="I24" s="47" t="s">
        <v>103</v>
      </c>
      <c r="J24" s="47" t="s">
        <v>103</v>
      </c>
      <c r="K24" s="47" t="s">
        <v>103</v>
      </c>
      <c r="L24" s="47" t="s">
        <v>103</v>
      </c>
      <c r="M24" s="47" t="s">
        <v>103</v>
      </c>
      <c r="N24" s="47" t="s">
        <v>103</v>
      </c>
      <c r="O24" s="47" t="s">
        <v>103</v>
      </c>
      <c r="P24" s="47" t="s">
        <v>103</v>
      </c>
      <c r="Q24" s="47" t="s">
        <v>103</v>
      </c>
      <c r="R24" s="47" t="s">
        <v>103</v>
      </c>
      <c r="S24" s="47" t="s">
        <v>103</v>
      </c>
      <c r="T24" s="47" t="s">
        <v>103</v>
      </c>
      <c r="U24" s="47">
        <v>0</v>
      </c>
      <c r="V24" s="47" t="s">
        <v>103</v>
      </c>
      <c r="W24" s="47" t="s">
        <v>103</v>
      </c>
      <c r="X24" s="47" t="s">
        <v>103</v>
      </c>
      <c r="Y24" s="47" t="s">
        <v>103</v>
      </c>
      <c r="Z24" s="47" t="s">
        <v>103</v>
      </c>
      <c r="AA24" s="47" t="s">
        <v>103</v>
      </c>
      <c r="AB24" s="47" t="s">
        <v>103</v>
      </c>
      <c r="AC24" s="47" t="s">
        <v>103</v>
      </c>
      <c r="AD24" s="47" t="s">
        <v>103</v>
      </c>
      <c r="AE24" s="47" t="s">
        <v>103</v>
      </c>
      <c r="AF24" s="47" t="s">
        <v>103</v>
      </c>
      <c r="AG24" s="47" t="s">
        <v>103</v>
      </c>
      <c r="AH24" s="47" t="s">
        <v>103</v>
      </c>
      <c r="AI24" s="47">
        <v>0</v>
      </c>
      <c r="AJ24" s="47" t="s">
        <v>103</v>
      </c>
      <c r="AK24" s="47" t="s">
        <v>103</v>
      </c>
      <c r="AL24" s="47" t="s">
        <v>103</v>
      </c>
      <c r="AM24" s="47" t="s">
        <v>103</v>
      </c>
      <c r="AN24" s="47" t="s">
        <v>103</v>
      </c>
      <c r="AO24" s="47" t="s">
        <v>103</v>
      </c>
      <c r="AP24" s="47" t="s">
        <v>103</v>
      </c>
      <c r="AQ24" s="47" t="s">
        <v>103</v>
      </c>
      <c r="AR24" s="47" t="s">
        <v>103</v>
      </c>
      <c r="AS24" s="47" t="s">
        <v>103</v>
      </c>
      <c r="AT24" s="47" t="s">
        <v>103</v>
      </c>
      <c r="AU24" s="47" t="s">
        <v>103</v>
      </c>
      <c r="AV24" s="47" t="s">
        <v>103</v>
      </c>
      <c r="AW24" s="47" t="s">
        <v>103</v>
      </c>
      <c r="AX24" s="47" t="s">
        <v>103</v>
      </c>
      <c r="AY24" s="47" t="s">
        <v>103</v>
      </c>
      <c r="AZ24" s="47" t="s">
        <v>103</v>
      </c>
      <c r="BA24" s="47" t="s">
        <v>103</v>
      </c>
      <c r="BB24" s="47" t="s">
        <v>103</v>
      </c>
      <c r="BC24" s="47" t="s">
        <v>103</v>
      </c>
      <c r="BD24" s="47" t="s">
        <v>103</v>
      </c>
      <c r="BE24" s="47" t="s">
        <v>103</v>
      </c>
      <c r="BF24" s="47" t="s">
        <v>103</v>
      </c>
      <c r="BG24" s="47" t="s">
        <v>103</v>
      </c>
      <c r="BH24" s="47" t="s">
        <v>103</v>
      </c>
      <c r="BI24" s="47" t="s">
        <v>103</v>
      </c>
      <c r="BJ24" s="47" t="s">
        <v>103</v>
      </c>
      <c r="BK24" s="47" t="s">
        <v>103</v>
      </c>
      <c r="BL24" s="47" t="s">
        <v>103</v>
      </c>
      <c r="BM24" s="47" t="s">
        <v>103</v>
      </c>
    </row>
    <row r="25" spans="1:65" ht="15" customHeight="1" x14ac:dyDescent="0.25">
      <c r="A25" s="47" t="s">
        <v>116</v>
      </c>
      <c r="B25" s="47" t="s">
        <v>103</v>
      </c>
      <c r="C25" s="47" t="s">
        <v>103</v>
      </c>
      <c r="D25" s="47" t="s">
        <v>103</v>
      </c>
      <c r="E25" s="47" t="s">
        <v>103</v>
      </c>
      <c r="F25" s="47" t="s">
        <v>103</v>
      </c>
      <c r="G25" s="47" t="s">
        <v>103</v>
      </c>
      <c r="H25" s="47" t="s">
        <v>103</v>
      </c>
      <c r="I25" s="47" t="s">
        <v>103</v>
      </c>
      <c r="J25" s="47" t="s">
        <v>103</v>
      </c>
      <c r="K25" s="47" t="s">
        <v>103</v>
      </c>
      <c r="L25" s="47" t="s">
        <v>103</v>
      </c>
      <c r="M25" s="47" t="s">
        <v>103</v>
      </c>
      <c r="N25" s="47" t="s">
        <v>103</v>
      </c>
      <c r="O25" s="47" t="s">
        <v>103</v>
      </c>
      <c r="P25" s="47" t="s">
        <v>103</v>
      </c>
      <c r="Q25" s="47" t="s">
        <v>103</v>
      </c>
      <c r="R25" s="47" t="s">
        <v>103</v>
      </c>
      <c r="S25" s="47" t="s">
        <v>103</v>
      </c>
      <c r="T25" s="47" t="s">
        <v>103</v>
      </c>
      <c r="U25" s="47">
        <v>0</v>
      </c>
      <c r="V25" s="47" t="s">
        <v>103</v>
      </c>
      <c r="W25" s="47" t="s">
        <v>103</v>
      </c>
      <c r="X25" s="47" t="s">
        <v>103</v>
      </c>
      <c r="Y25" s="47" t="s">
        <v>103</v>
      </c>
      <c r="Z25" s="47" t="s">
        <v>103</v>
      </c>
      <c r="AA25" s="47" t="s">
        <v>103</v>
      </c>
      <c r="AB25" s="47" t="s">
        <v>103</v>
      </c>
      <c r="AC25" s="47" t="s">
        <v>103</v>
      </c>
      <c r="AD25" s="47" t="s">
        <v>103</v>
      </c>
      <c r="AE25" s="47" t="s">
        <v>103</v>
      </c>
      <c r="AF25" s="47" t="s">
        <v>103</v>
      </c>
      <c r="AG25" s="47" t="s">
        <v>103</v>
      </c>
      <c r="AH25" s="47" t="s">
        <v>103</v>
      </c>
      <c r="AI25" s="47">
        <v>0</v>
      </c>
      <c r="AJ25" s="47" t="s">
        <v>103</v>
      </c>
      <c r="AK25" s="47" t="s">
        <v>103</v>
      </c>
      <c r="AL25" s="47" t="s">
        <v>103</v>
      </c>
      <c r="AM25" s="47" t="s">
        <v>103</v>
      </c>
      <c r="AN25" s="47" t="s">
        <v>103</v>
      </c>
      <c r="AO25" s="47" t="s">
        <v>103</v>
      </c>
      <c r="AP25" s="47" t="s">
        <v>103</v>
      </c>
      <c r="AQ25" s="47" t="s">
        <v>103</v>
      </c>
      <c r="AR25" s="47" t="s">
        <v>103</v>
      </c>
      <c r="AS25" s="47" t="s">
        <v>103</v>
      </c>
      <c r="AT25" s="47" t="s">
        <v>103</v>
      </c>
      <c r="AU25" s="47" t="s">
        <v>103</v>
      </c>
      <c r="AV25" s="47" t="s">
        <v>103</v>
      </c>
      <c r="AW25" s="47" t="s">
        <v>103</v>
      </c>
      <c r="AX25" s="47" t="s">
        <v>103</v>
      </c>
      <c r="AY25" s="47" t="s">
        <v>103</v>
      </c>
      <c r="AZ25" s="47" t="s">
        <v>103</v>
      </c>
      <c r="BA25" s="47" t="s">
        <v>103</v>
      </c>
      <c r="BB25" s="47" t="s">
        <v>103</v>
      </c>
      <c r="BC25" s="47" t="s">
        <v>103</v>
      </c>
      <c r="BD25" s="47" t="s">
        <v>103</v>
      </c>
      <c r="BE25" s="47" t="s">
        <v>103</v>
      </c>
      <c r="BF25" s="47" t="s">
        <v>103</v>
      </c>
      <c r="BG25" s="47" t="s">
        <v>103</v>
      </c>
      <c r="BH25" s="47" t="s">
        <v>103</v>
      </c>
      <c r="BI25" s="47" t="s">
        <v>103</v>
      </c>
      <c r="BJ25" s="47" t="s">
        <v>103</v>
      </c>
      <c r="BK25" s="47" t="s">
        <v>103</v>
      </c>
      <c r="BL25" s="47" t="s">
        <v>103</v>
      </c>
      <c r="BM25" s="47" t="s">
        <v>103</v>
      </c>
    </row>
    <row r="26" spans="1:65" ht="15" customHeight="1" x14ac:dyDescent="0.25">
      <c r="A26" s="47" t="s">
        <v>115</v>
      </c>
      <c r="B26" s="47" t="s">
        <v>103</v>
      </c>
      <c r="C26" s="47" t="s">
        <v>103</v>
      </c>
      <c r="D26" s="47" t="s">
        <v>103</v>
      </c>
      <c r="E26" s="47" t="s">
        <v>103</v>
      </c>
      <c r="F26" s="47" t="s">
        <v>103</v>
      </c>
      <c r="G26" s="47" t="s">
        <v>103</v>
      </c>
      <c r="H26" s="47" t="s">
        <v>103</v>
      </c>
      <c r="I26" s="47" t="s">
        <v>103</v>
      </c>
      <c r="J26" s="47" t="s">
        <v>103</v>
      </c>
      <c r="K26" s="47" t="s">
        <v>103</v>
      </c>
      <c r="L26" s="47" t="s">
        <v>103</v>
      </c>
      <c r="M26" s="47" t="s">
        <v>103</v>
      </c>
      <c r="N26" s="47" t="s">
        <v>103</v>
      </c>
      <c r="O26" s="47" t="s">
        <v>103</v>
      </c>
      <c r="P26" s="47" t="s">
        <v>103</v>
      </c>
      <c r="Q26" s="47" t="s">
        <v>103</v>
      </c>
      <c r="R26" s="47" t="s">
        <v>103</v>
      </c>
      <c r="S26" s="47" t="s">
        <v>103</v>
      </c>
      <c r="T26" s="47" t="s">
        <v>103</v>
      </c>
      <c r="U26" s="47">
        <v>1</v>
      </c>
      <c r="V26" s="47" t="s">
        <v>103</v>
      </c>
      <c r="W26" s="47" t="s">
        <v>103</v>
      </c>
      <c r="X26" s="47" t="s">
        <v>103</v>
      </c>
      <c r="Y26" s="47" t="s">
        <v>103</v>
      </c>
      <c r="Z26" s="47" t="s">
        <v>103</v>
      </c>
      <c r="AA26" s="47" t="s">
        <v>103</v>
      </c>
      <c r="AB26" s="47" t="s">
        <v>103</v>
      </c>
      <c r="AC26" s="47" t="s">
        <v>103</v>
      </c>
      <c r="AD26" s="47" t="s">
        <v>103</v>
      </c>
      <c r="AE26" s="47" t="s">
        <v>103</v>
      </c>
      <c r="AF26" s="47" t="s">
        <v>103</v>
      </c>
      <c r="AG26" s="47" t="s">
        <v>103</v>
      </c>
      <c r="AH26" s="47" t="s">
        <v>103</v>
      </c>
      <c r="AI26" s="47">
        <v>0</v>
      </c>
      <c r="AJ26" s="47" t="s">
        <v>103</v>
      </c>
      <c r="AK26" s="47" t="s">
        <v>103</v>
      </c>
      <c r="AL26" s="47" t="s">
        <v>103</v>
      </c>
      <c r="AM26" s="47" t="s">
        <v>103</v>
      </c>
      <c r="AN26" s="47" t="s">
        <v>103</v>
      </c>
      <c r="AO26" s="47" t="s">
        <v>103</v>
      </c>
      <c r="AP26" s="47" t="s">
        <v>103</v>
      </c>
      <c r="AQ26" s="47" t="s">
        <v>103</v>
      </c>
      <c r="AR26" s="47" t="s">
        <v>103</v>
      </c>
      <c r="AS26" s="47" t="s">
        <v>103</v>
      </c>
      <c r="AT26" s="47" t="s">
        <v>103</v>
      </c>
      <c r="AU26" s="47" t="s">
        <v>103</v>
      </c>
      <c r="AV26" s="47" t="s">
        <v>103</v>
      </c>
      <c r="AW26" s="47" t="s">
        <v>103</v>
      </c>
      <c r="AX26" s="47" t="s">
        <v>103</v>
      </c>
      <c r="AY26" s="47" t="s">
        <v>103</v>
      </c>
      <c r="AZ26" s="47" t="s">
        <v>103</v>
      </c>
      <c r="BA26" s="47" t="s">
        <v>103</v>
      </c>
      <c r="BB26" s="47" t="s">
        <v>103</v>
      </c>
      <c r="BC26" s="47" t="s">
        <v>103</v>
      </c>
      <c r="BD26" s="47" t="s">
        <v>103</v>
      </c>
      <c r="BE26" s="47" t="s">
        <v>103</v>
      </c>
      <c r="BF26" s="47" t="s">
        <v>103</v>
      </c>
      <c r="BG26" s="47" t="s">
        <v>103</v>
      </c>
      <c r="BH26" s="47" t="s">
        <v>103</v>
      </c>
      <c r="BI26" s="47" t="s">
        <v>103</v>
      </c>
      <c r="BJ26" s="47" t="s">
        <v>103</v>
      </c>
      <c r="BK26" s="47" t="s">
        <v>103</v>
      </c>
      <c r="BL26" s="47" t="s">
        <v>103</v>
      </c>
      <c r="BM26" s="47" t="s">
        <v>103</v>
      </c>
    </row>
    <row r="27" spans="1:65" ht="15" customHeight="1" x14ac:dyDescent="0.25">
      <c r="A27" s="47" t="s">
        <v>114</v>
      </c>
      <c r="B27" s="47" t="s">
        <v>103</v>
      </c>
      <c r="C27" s="47" t="s">
        <v>103</v>
      </c>
      <c r="D27" s="47" t="s">
        <v>103</v>
      </c>
      <c r="E27" s="47" t="s">
        <v>103</v>
      </c>
      <c r="F27" s="47" t="s">
        <v>103</v>
      </c>
      <c r="G27" s="47" t="s">
        <v>103</v>
      </c>
      <c r="H27" s="47" t="s">
        <v>103</v>
      </c>
      <c r="I27" s="47" t="s">
        <v>103</v>
      </c>
      <c r="J27" s="47" t="s">
        <v>103</v>
      </c>
      <c r="K27" s="47" t="s">
        <v>103</v>
      </c>
      <c r="L27" s="47" t="s">
        <v>103</v>
      </c>
      <c r="M27" s="47" t="s">
        <v>103</v>
      </c>
      <c r="N27" s="47" t="s">
        <v>103</v>
      </c>
      <c r="O27" s="47" t="s">
        <v>103</v>
      </c>
      <c r="P27" s="47" t="s">
        <v>103</v>
      </c>
      <c r="Q27" s="47" t="s">
        <v>103</v>
      </c>
      <c r="R27" s="47" t="s">
        <v>103</v>
      </c>
      <c r="S27" s="47" t="s">
        <v>103</v>
      </c>
      <c r="T27" s="47" t="s">
        <v>103</v>
      </c>
      <c r="U27" s="47">
        <v>0</v>
      </c>
      <c r="V27" s="47" t="s">
        <v>103</v>
      </c>
      <c r="W27" s="47" t="s">
        <v>103</v>
      </c>
      <c r="X27" s="47" t="s">
        <v>103</v>
      </c>
      <c r="Y27" s="47" t="s">
        <v>103</v>
      </c>
      <c r="Z27" s="47" t="s">
        <v>103</v>
      </c>
      <c r="AA27" s="47" t="s">
        <v>103</v>
      </c>
      <c r="AB27" s="47" t="s">
        <v>103</v>
      </c>
      <c r="AC27" s="47" t="s">
        <v>103</v>
      </c>
      <c r="AD27" s="47" t="s">
        <v>103</v>
      </c>
      <c r="AE27" s="47" t="s">
        <v>103</v>
      </c>
      <c r="AF27" s="47" t="s">
        <v>103</v>
      </c>
      <c r="AG27" s="47" t="s">
        <v>103</v>
      </c>
      <c r="AH27" s="47" t="s">
        <v>103</v>
      </c>
      <c r="AI27" s="47">
        <v>0</v>
      </c>
      <c r="AJ27" s="47" t="s">
        <v>103</v>
      </c>
      <c r="AK27" s="47" t="s">
        <v>103</v>
      </c>
      <c r="AL27" s="47" t="s">
        <v>103</v>
      </c>
      <c r="AM27" s="47" t="s">
        <v>103</v>
      </c>
      <c r="AN27" s="47" t="s">
        <v>103</v>
      </c>
      <c r="AO27" s="47" t="s">
        <v>103</v>
      </c>
      <c r="AP27" s="47" t="s">
        <v>103</v>
      </c>
      <c r="AQ27" s="47" t="s">
        <v>103</v>
      </c>
      <c r="AR27" s="47" t="s">
        <v>103</v>
      </c>
      <c r="AS27" s="47" t="s">
        <v>103</v>
      </c>
      <c r="AT27" s="47" t="s">
        <v>103</v>
      </c>
      <c r="AU27" s="47" t="s">
        <v>103</v>
      </c>
      <c r="AV27" s="47" t="s">
        <v>103</v>
      </c>
      <c r="AW27" s="47" t="s">
        <v>103</v>
      </c>
      <c r="AX27" s="47" t="s">
        <v>103</v>
      </c>
      <c r="AY27" s="47" t="s">
        <v>103</v>
      </c>
      <c r="AZ27" s="47" t="s">
        <v>103</v>
      </c>
      <c r="BA27" s="47" t="s">
        <v>103</v>
      </c>
      <c r="BB27" s="47" t="s">
        <v>103</v>
      </c>
      <c r="BC27" s="47" t="s">
        <v>103</v>
      </c>
      <c r="BD27" s="47" t="s">
        <v>103</v>
      </c>
      <c r="BE27" s="47" t="s">
        <v>103</v>
      </c>
      <c r="BF27" s="47" t="s">
        <v>103</v>
      </c>
      <c r="BG27" s="47" t="s">
        <v>103</v>
      </c>
      <c r="BH27" s="47" t="s">
        <v>103</v>
      </c>
      <c r="BI27" s="47" t="s">
        <v>103</v>
      </c>
      <c r="BJ27" s="47" t="s">
        <v>103</v>
      </c>
      <c r="BK27" s="47" t="s">
        <v>103</v>
      </c>
      <c r="BL27" s="47" t="s">
        <v>103</v>
      </c>
      <c r="BM27" s="47" t="s">
        <v>103</v>
      </c>
    </row>
    <row r="28" spans="1:65" ht="15" customHeight="1" x14ac:dyDescent="0.25">
      <c r="A28" s="47" t="s">
        <v>113</v>
      </c>
      <c r="B28" s="47" t="s">
        <v>103</v>
      </c>
      <c r="C28" s="47" t="s">
        <v>103</v>
      </c>
      <c r="D28" s="47" t="s">
        <v>103</v>
      </c>
      <c r="E28" s="47" t="s">
        <v>103</v>
      </c>
      <c r="F28" s="47" t="s">
        <v>103</v>
      </c>
      <c r="G28" s="47" t="s">
        <v>103</v>
      </c>
      <c r="H28" s="47" t="s">
        <v>103</v>
      </c>
      <c r="I28" s="47" t="s">
        <v>103</v>
      </c>
      <c r="J28" s="47" t="s">
        <v>103</v>
      </c>
      <c r="K28" s="47" t="s">
        <v>103</v>
      </c>
      <c r="L28" s="47" t="s">
        <v>103</v>
      </c>
      <c r="M28" s="47" t="s">
        <v>103</v>
      </c>
      <c r="N28" s="47" t="s">
        <v>103</v>
      </c>
      <c r="O28" s="47" t="s">
        <v>103</v>
      </c>
      <c r="P28" s="47" t="s">
        <v>103</v>
      </c>
      <c r="Q28" s="47" t="s">
        <v>103</v>
      </c>
      <c r="R28" s="47" t="s">
        <v>103</v>
      </c>
      <c r="S28" s="47" t="s">
        <v>103</v>
      </c>
      <c r="T28" s="47" t="s">
        <v>103</v>
      </c>
      <c r="U28" s="47">
        <v>0</v>
      </c>
      <c r="V28" s="47" t="s">
        <v>103</v>
      </c>
      <c r="W28" s="47" t="s">
        <v>103</v>
      </c>
      <c r="X28" s="47" t="s">
        <v>103</v>
      </c>
      <c r="Y28" s="47" t="s">
        <v>103</v>
      </c>
      <c r="Z28" s="47" t="s">
        <v>103</v>
      </c>
      <c r="AA28" s="47" t="s">
        <v>103</v>
      </c>
      <c r="AB28" s="47" t="s">
        <v>103</v>
      </c>
      <c r="AC28" s="47" t="s">
        <v>103</v>
      </c>
      <c r="AD28" s="47" t="s">
        <v>103</v>
      </c>
      <c r="AE28" s="47" t="s">
        <v>103</v>
      </c>
      <c r="AF28" s="47" t="s">
        <v>103</v>
      </c>
      <c r="AG28" s="47" t="s">
        <v>103</v>
      </c>
      <c r="AH28" s="47" t="s">
        <v>103</v>
      </c>
      <c r="AI28" s="47">
        <v>0</v>
      </c>
      <c r="AJ28" s="47" t="s">
        <v>103</v>
      </c>
      <c r="AK28" s="47" t="s">
        <v>103</v>
      </c>
      <c r="AL28" s="47" t="s">
        <v>103</v>
      </c>
      <c r="AM28" s="47" t="s">
        <v>103</v>
      </c>
      <c r="AN28" s="47" t="s">
        <v>103</v>
      </c>
      <c r="AO28" s="47" t="s">
        <v>103</v>
      </c>
      <c r="AP28" s="47" t="s">
        <v>103</v>
      </c>
      <c r="AQ28" s="47" t="s">
        <v>103</v>
      </c>
      <c r="AR28" s="47" t="s">
        <v>103</v>
      </c>
      <c r="AS28" s="47" t="s">
        <v>103</v>
      </c>
      <c r="AT28" s="47" t="s">
        <v>103</v>
      </c>
      <c r="AU28" s="47" t="s">
        <v>103</v>
      </c>
      <c r="AV28" s="47" t="s">
        <v>103</v>
      </c>
      <c r="AW28" s="47" t="s">
        <v>103</v>
      </c>
      <c r="AX28" s="47" t="s">
        <v>103</v>
      </c>
      <c r="AY28" s="47" t="s">
        <v>103</v>
      </c>
      <c r="AZ28" s="47" t="s">
        <v>103</v>
      </c>
      <c r="BA28" s="47" t="s">
        <v>103</v>
      </c>
      <c r="BB28" s="47" t="s">
        <v>103</v>
      </c>
      <c r="BC28" s="47" t="s">
        <v>103</v>
      </c>
      <c r="BD28" s="47" t="s">
        <v>103</v>
      </c>
      <c r="BE28" s="47" t="s">
        <v>103</v>
      </c>
      <c r="BF28" s="47" t="s">
        <v>103</v>
      </c>
      <c r="BG28" s="47" t="s">
        <v>103</v>
      </c>
      <c r="BH28" s="47" t="s">
        <v>103</v>
      </c>
      <c r="BI28" s="47" t="s">
        <v>103</v>
      </c>
      <c r="BJ28" s="47" t="s">
        <v>103</v>
      </c>
      <c r="BK28" s="47" t="s">
        <v>103</v>
      </c>
      <c r="BL28" s="47" t="s">
        <v>103</v>
      </c>
      <c r="BM28" s="47" t="s">
        <v>103</v>
      </c>
    </row>
    <row r="29" spans="1:65" ht="15" customHeight="1" x14ac:dyDescent="0.25">
      <c r="A29" s="47" t="s">
        <v>112</v>
      </c>
      <c r="B29" s="47" t="s">
        <v>103</v>
      </c>
      <c r="C29" s="47" t="s">
        <v>103</v>
      </c>
      <c r="D29" s="47" t="s">
        <v>103</v>
      </c>
      <c r="E29" s="47" t="s">
        <v>103</v>
      </c>
      <c r="F29" s="47" t="s">
        <v>103</v>
      </c>
      <c r="G29" s="47" t="s">
        <v>103</v>
      </c>
      <c r="H29" s="47" t="s">
        <v>103</v>
      </c>
      <c r="I29" s="47" t="s">
        <v>103</v>
      </c>
      <c r="J29" s="47" t="s">
        <v>103</v>
      </c>
      <c r="K29" s="47" t="s">
        <v>103</v>
      </c>
      <c r="L29" s="47" t="s">
        <v>103</v>
      </c>
      <c r="M29" s="47" t="s">
        <v>103</v>
      </c>
      <c r="N29" s="47" t="s">
        <v>103</v>
      </c>
      <c r="O29" s="47" t="s">
        <v>103</v>
      </c>
      <c r="P29" s="47" t="s">
        <v>103</v>
      </c>
      <c r="Q29" s="47" t="s">
        <v>103</v>
      </c>
      <c r="R29" s="47" t="s">
        <v>103</v>
      </c>
      <c r="S29" s="47" t="s">
        <v>103</v>
      </c>
      <c r="T29" s="47" t="s">
        <v>103</v>
      </c>
      <c r="U29" s="47">
        <v>0</v>
      </c>
      <c r="V29" s="47" t="s">
        <v>103</v>
      </c>
      <c r="W29" s="47" t="s">
        <v>103</v>
      </c>
      <c r="X29" s="47" t="s">
        <v>103</v>
      </c>
      <c r="Y29" s="47" t="s">
        <v>103</v>
      </c>
      <c r="Z29" s="47" t="s">
        <v>103</v>
      </c>
      <c r="AA29" s="47" t="s">
        <v>103</v>
      </c>
      <c r="AB29" s="47" t="s">
        <v>103</v>
      </c>
      <c r="AC29" s="47" t="s">
        <v>103</v>
      </c>
      <c r="AD29" s="47" t="s">
        <v>103</v>
      </c>
      <c r="AE29" s="47" t="s">
        <v>103</v>
      </c>
      <c r="AF29" s="47" t="s">
        <v>103</v>
      </c>
      <c r="AG29" s="47" t="s">
        <v>103</v>
      </c>
      <c r="AH29" s="47" t="s">
        <v>103</v>
      </c>
      <c r="AI29" s="47">
        <v>0</v>
      </c>
      <c r="AJ29" s="47" t="s">
        <v>103</v>
      </c>
      <c r="AK29" s="47" t="s">
        <v>103</v>
      </c>
      <c r="AL29" s="47" t="s">
        <v>103</v>
      </c>
      <c r="AM29" s="47" t="s">
        <v>103</v>
      </c>
      <c r="AN29" s="47" t="s">
        <v>103</v>
      </c>
      <c r="AO29" s="47" t="s">
        <v>103</v>
      </c>
      <c r="AP29" s="47" t="s">
        <v>103</v>
      </c>
      <c r="AQ29" s="47" t="s">
        <v>103</v>
      </c>
      <c r="AR29" s="47" t="s">
        <v>103</v>
      </c>
      <c r="AS29" s="47" t="s">
        <v>103</v>
      </c>
      <c r="AT29" s="47" t="s">
        <v>103</v>
      </c>
      <c r="AU29" s="47" t="s">
        <v>103</v>
      </c>
      <c r="AV29" s="47" t="s">
        <v>103</v>
      </c>
      <c r="AW29" s="47" t="s">
        <v>103</v>
      </c>
      <c r="AX29" s="47" t="s">
        <v>103</v>
      </c>
      <c r="AY29" s="47" t="s">
        <v>103</v>
      </c>
      <c r="AZ29" s="47" t="s">
        <v>103</v>
      </c>
      <c r="BA29" s="47" t="s">
        <v>103</v>
      </c>
      <c r="BB29" s="47" t="s">
        <v>103</v>
      </c>
      <c r="BC29" s="47" t="s">
        <v>103</v>
      </c>
      <c r="BD29" s="47" t="s">
        <v>103</v>
      </c>
      <c r="BE29" s="47" t="s">
        <v>103</v>
      </c>
      <c r="BF29" s="47" t="s">
        <v>103</v>
      </c>
      <c r="BG29" s="47" t="s">
        <v>103</v>
      </c>
      <c r="BH29" s="47" t="s">
        <v>103</v>
      </c>
      <c r="BI29" s="47" t="s">
        <v>103</v>
      </c>
      <c r="BJ29" s="47" t="s">
        <v>103</v>
      </c>
      <c r="BK29" s="47" t="s">
        <v>103</v>
      </c>
      <c r="BL29" s="47" t="s">
        <v>103</v>
      </c>
      <c r="BM29" s="47" t="s">
        <v>103</v>
      </c>
    </row>
    <row r="30" spans="1:65" ht="15" customHeight="1" x14ac:dyDescent="0.25">
      <c r="A30" s="47" t="s">
        <v>111</v>
      </c>
      <c r="B30" s="47" t="s">
        <v>103</v>
      </c>
      <c r="C30" s="47" t="s">
        <v>103</v>
      </c>
      <c r="D30" s="47" t="s">
        <v>103</v>
      </c>
      <c r="E30" s="47" t="s">
        <v>103</v>
      </c>
      <c r="F30" s="47" t="s">
        <v>103</v>
      </c>
      <c r="G30" s="47" t="s">
        <v>103</v>
      </c>
      <c r="H30" s="47" t="s">
        <v>103</v>
      </c>
      <c r="I30" s="47" t="s">
        <v>103</v>
      </c>
      <c r="J30" s="47" t="s">
        <v>103</v>
      </c>
      <c r="K30" s="47" t="s">
        <v>103</v>
      </c>
      <c r="L30" s="47" t="s">
        <v>103</v>
      </c>
      <c r="M30" s="47" t="s">
        <v>103</v>
      </c>
      <c r="N30" s="47" t="s">
        <v>103</v>
      </c>
      <c r="O30" s="47" t="s">
        <v>103</v>
      </c>
      <c r="P30" s="47" t="s">
        <v>103</v>
      </c>
      <c r="Q30" s="47" t="s">
        <v>103</v>
      </c>
      <c r="R30" s="47" t="s">
        <v>103</v>
      </c>
      <c r="S30" s="47" t="s">
        <v>103</v>
      </c>
      <c r="T30" s="47" t="s">
        <v>103</v>
      </c>
      <c r="U30" s="47">
        <v>0</v>
      </c>
      <c r="V30" s="47" t="s">
        <v>103</v>
      </c>
      <c r="W30" s="47" t="s">
        <v>103</v>
      </c>
      <c r="X30" s="47" t="s">
        <v>103</v>
      </c>
      <c r="Y30" s="47" t="s">
        <v>103</v>
      </c>
      <c r="Z30" s="47" t="s">
        <v>103</v>
      </c>
      <c r="AA30" s="47" t="s">
        <v>103</v>
      </c>
      <c r="AB30" s="47" t="s">
        <v>103</v>
      </c>
      <c r="AC30" s="47" t="s">
        <v>103</v>
      </c>
      <c r="AD30" s="47" t="s">
        <v>103</v>
      </c>
      <c r="AE30" s="47" t="s">
        <v>103</v>
      </c>
      <c r="AF30" s="47" t="s">
        <v>103</v>
      </c>
      <c r="AG30" s="47" t="s">
        <v>103</v>
      </c>
      <c r="AH30" s="47" t="s">
        <v>103</v>
      </c>
      <c r="AI30" s="47">
        <v>0</v>
      </c>
      <c r="AJ30" s="47" t="s">
        <v>103</v>
      </c>
      <c r="AK30" s="47" t="s">
        <v>103</v>
      </c>
      <c r="AL30" s="47" t="s">
        <v>103</v>
      </c>
      <c r="AM30" s="47" t="s">
        <v>103</v>
      </c>
      <c r="AN30" s="47" t="s">
        <v>103</v>
      </c>
      <c r="AO30" s="47" t="s">
        <v>103</v>
      </c>
      <c r="AP30" s="47" t="s">
        <v>103</v>
      </c>
      <c r="AQ30" s="47" t="s">
        <v>103</v>
      </c>
      <c r="AR30" s="47" t="s">
        <v>103</v>
      </c>
      <c r="AS30" s="47" t="s">
        <v>103</v>
      </c>
      <c r="AT30" s="47" t="s">
        <v>103</v>
      </c>
      <c r="AU30" s="47" t="s">
        <v>103</v>
      </c>
      <c r="AV30" s="47" t="s">
        <v>103</v>
      </c>
      <c r="AW30" s="47" t="s">
        <v>103</v>
      </c>
      <c r="AX30" s="47" t="s">
        <v>103</v>
      </c>
      <c r="AY30" s="47" t="s">
        <v>103</v>
      </c>
      <c r="AZ30" s="47" t="s">
        <v>103</v>
      </c>
      <c r="BA30" s="47" t="s">
        <v>103</v>
      </c>
      <c r="BB30" s="47" t="s">
        <v>103</v>
      </c>
      <c r="BC30" s="47" t="s">
        <v>103</v>
      </c>
      <c r="BD30" s="47" t="s">
        <v>103</v>
      </c>
      <c r="BE30" s="47" t="s">
        <v>103</v>
      </c>
      <c r="BF30" s="47" t="s">
        <v>103</v>
      </c>
      <c r="BG30" s="47" t="s">
        <v>103</v>
      </c>
      <c r="BH30" s="47" t="s">
        <v>103</v>
      </c>
      <c r="BI30" s="47" t="s">
        <v>103</v>
      </c>
      <c r="BJ30" s="47" t="s">
        <v>103</v>
      </c>
      <c r="BK30" s="47" t="s">
        <v>103</v>
      </c>
      <c r="BL30" s="47" t="s">
        <v>103</v>
      </c>
      <c r="BM30" s="47" t="s">
        <v>103</v>
      </c>
    </row>
    <row r="31" spans="1:65" ht="15" customHeight="1" x14ac:dyDescent="0.25">
      <c r="A31" s="47" t="s">
        <v>110</v>
      </c>
      <c r="B31" s="47" t="s">
        <v>103</v>
      </c>
      <c r="C31" s="47" t="s">
        <v>103</v>
      </c>
      <c r="D31" s="47" t="s">
        <v>103</v>
      </c>
      <c r="E31" s="47" t="s">
        <v>103</v>
      </c>
      <c r="F31" s="47" t="s">
        <v>103</v>
      </c>
      <c r="G31" s="47" t="s">
        <v>103</v>
      </c>
      <c r="H31" s="47" t="s">
        <v>103</v>
      </c>
      <c r="I31" s="47" t="s">
        <v>103</v>
      </c>
      <c r="J31" s="47" t="s">
        <v>103</v>
      </c>
      <c r="K31" s="47" t="s">
        <v>103</v>
      </c>
      <c r="L31" s="47" t="s">
        <v>103</v>
      </c>
      <c r="M31" s="47" t="s">
        <v>103</v>
      </c>
      <c r="N31" s="47" t="s">
        <v>103</v>
      </c>
      <c r="O31" s="47" t="s">
        <v>103</v>
      </c>
      <c r="P31" s="47" t="s">
        <v>103</v>
      </c>
      <c r="Q31" s="47" t="s">
        <v>103</v>
      </c>
      <c r="R31" s="47" t="s">
        <v>103</v>
      </c>
      <c r="S31" s="47" t="s">
        <v>103</v>
      </c>
      <c r="T31" s="47" t="s">
        <v>103</v>
      </c>
      <c r="U31" s="47">
        <v>1</v>
      </c>
      <c r="V31" s="47" t="s">
        <v>103</v>
      </c>
      <c r="W31" s="47" t="s">
        <v>103</v>
      </c>
      <c r="X31" s="47" t="s">
        <v>103</v>
      </c>
      <c r="Y31" s="47" t="s">
        <v>103</v>
      </c>
      <c r="Z31" s="47" t="s">
        <v>103</v>
      </c>
      <c r="AA31" s="47" t="s">
        <v>103</v>
      </c>
      <c r="AB31" s="47" t="s">
        <v>103</v>
      </c>
      <c r="AC31" s="47" t="s">
        <v>103</v>
      </c>
      <c r="AD31" s="47" t="s">
        <v>103</v>
      </c>
      <c r="AE31" s="47" t="s">
        <v>103</v>
      </c>
      <c r="AF31" s="47" t="s">
        <v>103</v>
      </c>
      <c r="AG31" s="47" t="s">
        <v>103</v>
      </c>
      <c r="AH31" s="47" t="s">
        <v>103</v>
      </c>
      <c r="AI31" s="47">
        <v>0</v>
      </c>
      <c r="AJ31" s="47" t="s">
        <v>103</v>
      </c>
      <c r="AK31" s="47" t="s">
        <v>103</v>
      </c>
      <c r="AL31" s="47" t="s">
        <v>103</v>
      </c>
      <c r="AM31" s="47" t="s">
        <v>103</v>
      </c>
      <c r="AN31" s="47" t="s">
        <v>103</v>
      </c>
      <c r="AO31" s="47" t="s">
        <v>103</v>
      </c>
      <c r="AP31" s="47" t="s">
        <v>103</v>
      </c>
      <c r="AQ31" s="47" t="s">
        <v>103</v>
      </c>
      <c r="AR31" s="47" t="s">
        <v>103</v>
      </c>
      <c r="AS31" s="47" t="s">
        <v>103</v>
      </c>
      <c r="AT31" s="47" t="s">
        <v>103</v>
      </c>
      <c r="AU31" s="47" t="s">
        <v>103</v>
      </c>
      <c r="AV31" s="47" t="s">
        <v>103</v>
      </c>
      <c r="AW31" s="47" t="s">
        <v>103</v>
      </c>
      <c r="AX31" s="47" t="s">
        <v>103</v>
      </c>
      <c r="AY31" s="47" t="s">
        <v>103</v>
      </c>
      <c r="AZ31" s="47" t="s">
        <v>103</v>
      </c>
      <c r="BA31" s="47" t="s">
        <v>103</v>
      </c>
      <c r="BB31" s="47" t="s">
        <v>103</v>
      </c>
      <c r="BC31" s="47" t="s">
        <v>103</v>
      </c>
      <c r="BD31" s="47" t="s">
        <v>103</v>
      </c>
      <c r="BE31" s="47" t="s">
        <v>103</v>
      </c>
      <c r="BF31" s="47" t="s">
        <v>103</v>
      </c>
      <c r="BG31" s="47" t="s">
        <v>103</v>
      </c>
      <c r="BH31" s="47" t="s">
        <v>103</v>
      </c>
      <c r="BI31" s="47" t="s">
        <v>103</v>
      </c>
      <c r="BJ31" s="47" t="s">
        <v>103</v>
      </c>
      <c r="BK31" s="47" t="s">
        <v>103</v>
      </c>
      <c r="BL31" s="47" t="s">
        <v>103</v>
      </c>
      <c r="BM31" s="47" t="s">
        <v>103</v>
      </c>
    </row>
    <row r="32" spans="1:65" ht="15" customHeight="1" x14ac:dyDescent="0.25">
      <c r="A32" s="47" t="s">
        <v>109</v>
      </c>
      <c r="B32" s="47" t="s">
        <v>103</v>
      </c>
      <c r="C32" s="47" t="s">
        <v>103</v>
      </c>
      <c r="D32" s="47" t="s">
        <v>103</v>
      </c>
      <c r="E32" s="47" t="s">
        <v>103</v>
      </c>
      <c r="F32" s="47" t="s">
        <v>103</v>
      </c>
      <c r="G32" s="47" t="s">
        <v>103</v>
      </c>
      <c r="H32" s="47" t="s">
        <v>103</v>
      </c>
      <c r="I32" s="47" t="s">
        <v>103</v>
      </c>
      <c r="J32" s="47" t="s">
        <v>103</v>
      </c>
      <c r="K32" s="47" t="s">
        <v>103</v>
      </c>
      <c r="L32" s="47" t="s">
        <v>103</v>
      </c>
      <c r="M32" s="47" t="s">
        <v>103</v>
      </c>
      <c r="N32" s="47" t="s">
        <v>103</v>
      </c>
      <c r="O32" s="47" t="s">
        <v>103</v>
      </c>
      <c r="P32" s="47" t="s">
        <v>103</v>
      </c>
      <c r="Q32" s="47" t="s">
        <v>103</v>
      </c>
      <c r="R32" s="47" t="s">
        <v>103</v>
      </c>
      <c r="S32" s="47" t="s">
        <v>103</v>
      </c>
      <c r="T32" s="47" t="s">
        <v>103</v>
      </c>
      <c r="U32" s="47">
        <v>1</v>
      </c>
      <c r="V32" s="47" t="s">
        <v>103</v>
      </c>
      <c r="W32" s="47" t="s">
        <v>103</v>
      </c>
      <c r="X32" s="47" t="s">
        <v>103</v>
      </c>
      <c r="Y32" s="47" t="s">
        <v>103</v>
      </c>
      <c r="Z32" s="47" t="s">
        <v>103</v>
      </c>
      <c r="AA32" s="47" t="s">
        <v>103</v>
      </c>
      <c r="AB32" s="47" t="s">
        <v>103</v>
      </c>
      <c r="AC32" s="47" t="s">
        <v>103</v>
      </c>
      <c r="AD32" s="47" t="s">
        <v>103</v>
      </c>
      <c r="AE32" s="47" t="s">
        <v>103</v>
      </c>
      <c r="AF32" s="47" t="s">
        <v>103</v>
      </c>
      <c r="AG32" s="47" t="s">
        <v>103</v>
      </c>
      <c r="AH32" s="47" t="s">
        <v>103</v>
      </c>
      <c r="AI32" s="47">
        <v>0</v>
      </c>
      <c r="AJ32" s="47" t="s">
        <v>103</v>
      </c>
      <c r="AK32" s="47" t="s">
        <v>103</v>
      </c>
      <c r="AL32" s="47" t="s">
        <v>103</v>
      </c>
      <c r="AM32" s="47" t="s">
        <v>103</v>
      </c>
      <c r="AN32" s="47" t="s">
        <v>103</v>
      </c>
      <c r="AO32" s="47" t="s">
        <v>103</v>
      </c>
      <c r="AP32" s="47" t="s">
        <v>103</v>
      </c>
      <c r="AQ32" s="47" t="s">
        <v>103</v>
      </c>
      <c r="AR32" s="47" t="s">
        <v>103</v>
      </c>
      <c r="AS32" s="47" t="s">
        <v>103</v>
      </c>
      <c r="AT32" s="47" t="s">
        <v>103</v>
      </c>
      <c r="AU32" s="47" t="s">
        <v>103</v>
      </c>
      <c r="AV32" s="47" t="s">
        <v>103</v>
      </c>
      <c r="AW32" s="47" t="s">
        <v>103</v>
      </c>
      <c r="AX32" s="47" t="s">
        <v>103</v>
      </c>
      <c r="AY32" s="47" t="s">
        <v>103</v>
      </c>
      <c r="AZ32" s="47" t="s">
        <v>103</v>
      </c>
      <c r="BA32" s="47" t="s">
        <v>103</v>
      </c>
      <c r="BB32" s="47" t="s">
        <v>103</v>
      </c>
      <c r="BC32" s="47" t="s">
        <v>103</v>
      </c>
      <c r="BD32" s="47" t="s">
        <v>103</v>
      </c>
      <c r="BE32" s="47" t="s">
        <v>103</v>
      </c>
      <c r="BF32" s="47" t="s">
        <v>103</v>
      </c>
      <c r="BG32" s="47" t="s">
        <v>103</v>
      </c>
      <c r="BH32" s="47" t="s">
        <v>103</v>
      </c>
      <c r="BI32" s="47" t="s">
        <v>103</v>
      </c>
      <c r="BJ32" s="47" t="s">
        <v>103</v>
      </c>
      <c r="BK32" s="47" t="s">
        <v>103</v>
      </c>
      <c r="BL32" s="47" t="s">
        <v>103</v>
      </c>
      <c r="BM32" s="47" t="s">
        <v>103</v>
      </c>
    </row>
    <row r="33" spans="1:65" ht="15" customHeight="1" x14ac:dyDescent="0.25">
      <c r="A33" s="47" t="s">
        <v>108</v>
      </c>
      <c r="B33" s="47" t="s">
        <v>103</v>
      </c>
      <c r="C33" s="47" t="s">
        <v>103</v>
      </c>
      <c r="D33" s="47" t="s">
        <v>103</v>
      </c>
      <c r="E33" s="47" t="s">
        <v>103</v>
      </c>
      <c r="F33" s="47" t="s">
        <v>103</v>
      </c>
      <c r="G33" s="47" t="s">
        <v>103</v>
      </c>
      <c r="H33" s="47" t="s">
        <v>103</v>
      </c>
      <c r="I33" s="47" t="s">
        <v>103</v>
      </c>
      <c r="J33" s="47" t="s">
        <v>103</v>
      </c>
      <c r="K33" s="47" t="s">
        <v>103</v>
      </c>
      <c r="L33" s="47" t="s">
        <v>103</v>
      </c>
      <c r="M33" s="47" t="s">
        <v>103</v>
      </c>
      <c r="N33" s="47" t="s">
        <v>103</v>
      </c>
      <c r="O33" s="47" t="s">
        <v>103</v>
      </c>
      <c r="P33" s="47" t="s">
        <v>103</v>
      </c>
      <c r="Q33" s="47" t="s">
        <v>103</v>
      </c>
      <c r="R33" s="47" t="s">
        <v>103</v>
      </c>
      <c r="S33" s="47" t="s">
        <v>103</v>
      </c>
      <c r="T33" s="47" t="s">
        <v>103</v>
      </c>
      <c r="U33" s="47">
        <v>0</v>
      </c>
      <c r="V33" s="47" t="s">
        <v>103</v>
      </c>
      <c r="W33" s="47" t="s">
        <v>103</v>
      </c>
      <c r="X33" s="47" t="s">
        <v>103</v>
      </c>
      <c r="Y33" s="47" t="s">
        <v>103</v>
      </c>
      <c r="Z33" s="47" t="s">
        <v>103</v>
      </c>
      <c r="AA33" s="47" t="s">
        <v>103</v>
      </c>
      <c r="AB33" s="47" t="s">
        <v>103</v>
      </c>
      <c r="AC33" s="47" t="s">
        <v>103</v>
      </c>
      <c r="AD33" s="47" t="s">
        <v>103</v>
      </c>
      <c r="AE33" s="47" t="s">
        <v>103</v>
      </c>
      <c r="AF33" s="47" t="s">
        <v>103</v>
      </c>
      <c r="AG33" s="47" t="s">
        <v>103</v>
      </c>
      <c r="AH33" s="47" t="s">
        <v>103</v>
      </c>
      <c r="AI33" s="47">
        <v>0</v>
      </c>
      <c r="AJ33" s="47" t="s">
        <v>103</v>
      </c>
      <c r="AK33" s="47" t="s">
        <v>103</v>
      </c>
      <c r="AL33" s="47" t="s">
        <v>103</v>
      </c>
      <c r="AM33" s="47" t="s">
        <v>103</v>
      </c>
      <c r="AN33" s="47" t="s">
        <v>103</v>
      </c>
      <c r="AO33" s="47" t="s">
        <v>103</v>
      </c>
      <c r="AP33" s="47" t="s">
        <v>103</v>
      </c>
      <c r="AQ33" s="47" t="s">
        <v>103</v>
      </c>
      <c r="AR33" s="47" t="s">
        <v>103</v>
      </c>
      <c r="AS33" s="47" t="s">
        <v>103</v>
      </c>
      <c r="AT33" s="47" t="s">
        <v>103</v>
      </c>
      <c r="AU33" s="47" t="s">
        <v>103</v>
      </c>
      <c r="AV33" s="47" t="s">
        <v>103</v>
      </c>
      <c r="AW33" s="47" t="s">
        <v>103</v>
      </c>
      <c r="AX33" s="47" t="s">
        <v>103</v>
      </c>
      <c r="AY33" s="47" t="s">
        <v>103</v>
      </c>
      <c r="AZ33" s="47" t="s">
        <v>103</v>
      </c>
      <c r="BA33" s="47" t="s">
        <v>103</v>
      </c>
      <c r="BB33" s="47" t="s">
        <v>103</v>
      </c>
      <c r="BC33" s="47" t="s">
        <v>103</v>
      </c>
      <c r="BD33" s="47" t="s">
        <v>103</v>
      </c>
      <c r="BE33" s="47" t="s">
        <v>103</v>
      </c>
      <c r="BF33" s="47" t="s">
        <v>103</v>
      </c>
      <c r="BG33" s="47" t="s">
        <v>103</v>
      </c>
      <c r="BH33" s="47" t="s">
        <v>103</v>
      </c>
      <c r="BI33" s="47" t="s">
        <v>103</v>
      </c>
      <c r="BJ33" s="47" t="s">
        <v>103</v>
      </c>
      <c r="BK33" s="47" t="s">
        <v>103</v>
      </c>
      <c r="BL33" s="47" t="s">
        <v>103</v>
      </c>
      <c r="BM33" s="47" t="s">
        <v>103</v>
      </c>
    </row>
    <row r="34" spans="1:65" ht="15" customHeight="1" x14ac:dyDescent="0.25">
      <c r="A34" s="47" t="s">
        <v>107</v>
      </c>
      <c r="B34" s="47" t="s">
        <v>103</v>
      </c>
      <c r="C34" s="47" t="s">
        <v>103</v>
      </c>
      <c r="D34" s="47" t="s">
        <v>103</v>
      </c>
      <c r="E34" s="47" t="s">
        <v>103</v>
      </c>
      <c r="F34" s="47" t="s">
        <v>103</v>
      </c>
      <c r="G34" s="47" t="s">
        <v>103</v>
      </c>
      <c r="H34" s="47" t="s">
        <v>103</v>
      </c>
      <c r="I34" s="47" t="s">
        <v>103</v>
      </c>
      <c r="J34" s="47" t="s">
        <v>103</v>
      </c>
      <c r="K34" s="47" t="s">
        <v>103</v>
      </c>
      <c r="L34" s="47" t="s">
        <v>103</v>
      </c>
      <c r="M34" s="47" t="s">
        <v>103</v>
      </c>
      <c r="N34" s="47" t="s">
        <v>103</v>
      </c>
      <c r="O34" s="47" t="s">
        <v>103</v>
      </c>
      <c r="P34" s="47" t="s">
        <v>103</v>
      </c>
      <c r="Q34" s="47" t="s">
        <v>103</v>
      </c>
      <c r="R34" s="47" t="s">
        <v>103</v>
      </c>
      <c r="S34" s="47" t="s">
        <v>103</v>
      </c>
      <c r="T34" s="47" t="s">
        <v>103</v>
      </c>
      <c r="U34" s="47">
        <v>0</v>
      </c>
      <c r="V34" s="47" t="s">
        <v>103</v>
      </c>
      <c r="W34" s="47" t="s">
        <v>103</v>
      </c>
      <c r="X34" s="47" t="s">
        <v>103</v>
      </c>
      <c r="Y34" s="47" t="s">
        <v>103</v>
      </c>
      <c r="Z34" s="47" t="s">
        <v>103</v>
      </c>
      <c r="AA34" s="47" t="s">
        <v>103</v>
      </c>
      <c r="AB34" s="47" t="s">
        <v>103</v>
      </c>
      <c r="AC34" s="47" t="s">
        <v>103</v>
      </c>
      <c r="AD34" s="47" t="s">
        <v>103</v>
      </c>
      <c r="AE34" s="47" t="s">
        <v>103</v>
      </c>
      <c r="AF34" s="47" t="s">
        <v>103</v>
      </c>
      <c r="AG34" s="47" t="s">
        <v>103</v>
      </c>
      <c r="AH34" s="47" t="s">
        <v>103</v>
      </c>
      <c r="AI34" s="47">
        <v>0</v>
      </c>
      <c r="AJ34" s="47" t="s">
        <v>103</v>
      </c>
      <c r="AK34" s="47" t="s">
        <v>103</v>
      </c>
      <c r="AL34" s="47" t="s">
        <v>103</v>
      </c>
      <c r="AM34" s="47" t="s">
        <v>103</v>
      </c>
      <c r="AN34" s="47" t="s">
        <v>103</v>
      </c>
      <c r="AO34" s="47" t="s">
        <v>103</v>
      </c>
      <c r="AP34" s="47" t="s">
        <v>103</v>
      </c>
      <c r="AQ34" s="47" t="s">
        <v>103</v>
      </c>
      <c r="AR34" s="47" t="s">
        <v>103</v>
      </c>
      <c r="AS34" s="47" t="s">
        <v>103</v>
      </c>
      <c r="AT34" s="47" t="s">
        <v>103</v>
      </c>
      <c r="AU34" s="47" t="s">
        <v>103</v>
      </c>
      <c r="AV34" s="47" t="s">
        <v>103</v>
      </c>
      <c r="AW34" s="47" t="s">
        <v>103</v>
      </c>
      <c r="AX34" s="47" t="s">
        <v>103</v>
      </c>
      <c r="AY34" s="47" t="s">
        <v>103</v>
      </c>
      <c r="AZ34" s="47" t="s">
        <v>103</v>
      </c>
      <c r="BA34" s="47" t="s">
        <v>103</v>
      </c>
      <c r="BB34" s="47" t="s">
        <v>103</v>
      </c>
      <c r="BC34" s="47" t="s">
        <v>103</v>
      </c>
      <c r="BD34" s="47" t="s">
        <v>103</v>
      </c>
      <c r="BE34" s="47" t="s">
        <v>103</v>
      </c>
      <c r="BF34" s="47" t="s">
        <v>103</v>
      </c>
      <c r="BG34" s="47" t="s">
        <v>103</v>
      </c>
      <c r="BH34" s="47" t="s">
        <v>103</v>
      </c>
      <c r="BI34" s="47" t="s">
        <v>103</v>
      </c>
      <c r="BJ34" s="47" t="s">
        <v>103</v>
      </c>
      <c r="BK34" s="47" t="s">
        <v>103</v>
      </c>
      <c r="BL34" s="47" t="s">
        <v>103</v>
      </c>
      <c r="BM34" s="47" t="s">
        <v>103</v>
      </c>
    </row>
    <row r="35" spans="1:65" ht="15" customHeight="1" x14ac:dyDescent="0.25">
      <c r="A35" s="47" t="s">
        <v>106</v>
      </c>
      <c r="B35" s="47" t="s">
        <v>103</v>
      </c>
      <c r="C35" s="47" t="s">
        <v>103</v>
      </c>
      <c r="D35" s="47" t="s">
        <v>103</v>
      </c>
      <c r="E35" s="47" t="s">
        <v>103</v>
      </c>
      <c r="F35" s="47" t="s">
        <v>103</v>
      </c>
      <c r="G35" s="47" t="s">
        <v>103</v>
      </c>
      <c r="H35" s="47" t="s">
        <v>103</v>
      </c>
      <c r="I35" s="47" t="s">
        <v>103</v>
      </c>
      <c r="J35" s="47" t="s">
        <v>103</v>
      </c>
      <c r="K35" s="47" t="s">
        <v>103</v>
      </c>
      <c r="L35" s="47" t="s">
        <v>103</v>
      </c>
      <c r="M35" s="47" t="s">
        <v>103</v>
      </c>
      <c r="N35" s="47" t="s">
        <v>103</v>
      </c>
      <c r="O35" s="47" t="s">
        <v>103</v>
      </c>
      <c r="P35" s="47" t="s">
        <v>103</v>
      </c>
      <c r="Q35" s="47" t="s">
        <v>103</v>
      </c>
      <c r="R35" s="47" t="s">
        <v>103</v>
      </c>
      <c r="S35" s="47" t="s">
        <v>103</v>
      </c>
      <c r="T35" s="47" t="s">
        <v>103</v>
      </c>
      <c r="U35" s="47">
        <v>0</v>
      </c>
      <c r="V35" s="47" t="s">
        <v>103</v>
      </c>
      <c r="W35" s="47" t="s">
        <v>103</v>
      </c>
      <c r="X35" s="47" t="s">
        <v>103</v>
      </c>
      <c r="Y35" s="47" t="s">
        <v>103</v>
      </c>
      <c r="Z35" s="47" t="s">
        <v>103</v>
      </c>
      <c r="AA35" s="47" t="s">
        <v>103</v>
      </c>
      <c r="AB35" s="47" t="s">
        <v>103</v>
      </c>
      <c r="AC35" s="47" t="s">
        <v>103</v>
      </c>
      <c r="AD35" s="47" t="s">
        <v>103</v>
      </c>
      <c r="AE35" s="47" t="s">
        <v>103</v>
      </c>
      <c r="AF35" s="47" t="s">
        <v>103</v>
      </c>
      <c r="AG35" s="47" t="s">
        <v>103</v>
      </c>
      <c r="AH35" s="47" t="s">
        <v>103</v>
      </c>
      <c r="AI35" s="47">
        <v>0</v>
      </c>
      <c r="AJ35" s="47" t="s">
        <v>103</v>
      </c>
      <c r="AK35" s="47" t="s">
        <v>103</v>
      </c>
      <c r="AL35" s="47" t="s">
        <v>103</v>
      </c>
      <c r="AM35" s="47" t="s">
        <v>103</v>
      </c>
      <c r="AN35" s="47" t="s">
        <v>103</v>
      </c>
      <c r="AO35" s="47" t="s">
        <v>103</v>
      </c>
      <c r="AP35" s="47" t="s">
        <v>103</v>
      </c>
      <c r="AQ35" s="47" t="s">
        <v>103</v>
      </c>
      <c r="AR35" s="47" t="s">
        <v>103</v>
      </c>
      <c r="AS35" s="47" t="s">
        <v>103</v>
      </c>
      <c r="AT35" s="47" t="s">
        <v>103</v>
      </c>
      <c r="AU35" s="47" t="s">
        <v>103</v>
      </c>
      <c r="AV35" s="47" t="s">
        <v>103</v>
      </c>
      <c r="AW35" s="47" t="s">
        <v>103</v>
      </c>
      <c r="AX35" s="47" t="s">
        <v>103</v>
      </c>
      <c r="AY35" s="47" t="s">
        <v>103</v>
      </c>
      <c r="AZ35" s="47" t="s">
        <v>103</v>
      </c>
      <c r="BA35" s="47" t="s">
        <v>103</v>
      </c>
      <c r="BB35" s="47" t="s">
        <v>103</v>
      </c>
      <c r="BC35" s="47" t="s">
        <v>103</v>
      </c>
      <c r="BD35" s="47" t="s">
        <v>103</v>
      </c>
      <c r="BE35" s="47" t="s">
        <v>103</v>
      </c>
      <c r="BF35" s="47" t="s">
        <v>103</v>
      </c>
      <c r="BG35" s="47" t="s">
        <v>103</v>
      </c>
      <c r="BH35" s="47" t="s">
        <v>103</v>
      </c>
      <c r="BI35" s="47" t="s">
        <v>103</v>
      </c>
      <c r="BJ35" s="47" t="s">
        <v>103</v>
      </c>
      <c r="BK35" s="47" t="s">
        <v>103</v>
      </c>
      <c r="BL35" s="47" t="s">
        <v>103</v>
      </c>
      <c r="BM35" s="47" t="s">
        <v>103</v>
      </c>
    </row>
    <row r="36" spans="1:65" ht="15" customHeight="1" x14ac:dyDescent="0.25">
      <c r="A36" s="47" t="s">
        <v>105</v>
      </c>
      <c r="B36" s="47" t="s">
        <v>103</v>
      </c>
      <c r="C36" s="47" t="s">
        <v>103</v>
      </c>
      <c r="D36" s="47" t="s">
        <v>103</v>
      </c>
      <c r="E36" s="47" t="s">
        <v>103</v>
      </c>
      <c r="F36" s="47" t="s">
        <v>103</v>
      </c>
      <c r="G36" s="47" t="s">
        <v>103</v>
      </c>
      <c r="H36" s="47" t="s">
        <v>103</v>
      </c>
      <c r="I36" s="47" t="s">
        <v>103</v>
      </c>
      <c r="J36" s="47" t="s">
        <v>103</v>
      </c>
      <c r="K36" s="47" t="s">
        <v>103</v>
      </c>
      <c r="L36" s="47" t="s">
        <v>103</v>
      </c>
      <c r="M36" s="47" t="s">
        <v>103</v>
      </c>
      <c r="N36" s="47" t="s">
        <v>103</v>
      </c>
      <c r="O36" s="47" t="s">
        <v>103</v>
      </c>
      <c r="P36" s="47" t="s">
        <v>103</v>
      </c>
      <c r="Q36" s="47" t="s">
        <v>103</v>
      </c>
      <c r="R36" s="47" t="s">
        <v>103</v>
      </c>
      <c r="S36" s="47" t="s">
        <v>103</v>
      </c>
      <c r="T36" s="47" t="s">
        <v>103</v>
      </c>
      <c r="U36" s="47">
        <v>0</v>
      </c>
      <c r="V36" s="47" t="s">
        <v>103</v>
      </c>
      <c r="W36" s="47" t="s">
        <v>103</v>
      </c>
      <c r="X36" s="47" t="s">
        <v>103</v>
      </c>
      <c r="Y36" s="47" t="s">
        <v>103</v>
      </c>
      <c r="Z36" s="47" t="s">
        <v>103</v>
      </c>
      <c r="AA36" s="47" t="s">
        <v>103</v>
      </c>
      <c r="AB36" s="47" t="s">
        <v>103</v>
      </c>
      <c r="AC36" s="47" t="s">
        <v>103</v>
      </c>
      <c r="AD36" s="47" t="s">
        <v>103</v>
      </c>
      <c r="AE36" s="47" t="s">
        <v>103</v>
      </c>
      <c r="AF36" s="47" t="s">
        <v>103</v>
      </c>
      <c r="AG36" s="47" t="s">
        <v>103</v>
      </c>
      <c r="AH36" s="47" t="s">
        <v>103</v>
      </c>
      <c r="AI36" s="47">
        <v>0</v>
      </c>
      <c r="AJ36" s="47" t="s">
        <v>103</v>
      </c>
      <c r="AK36" s="47" t="s">
        <v>103</v>
      </c>
      <c r="AL36" s="47" t="s">
        <v>103</v>
      </c>
      <c r="AM36" s="47" t="s">
        <v>103</v>
      </c>
      <c r="AN36" s="47" t="s">
        <v>103</v>
      </c>
      <c r="AO36" s="47" t="s">
        <v>103</v>
      </c>
      <c r="AP36" s="47" t="s">
        <v>103</v>
      </c>
      <c r="AQ36" s="47" t="s">
        <v>103</v>
      </c>
      <c r="AR36" s="47" t="s">
        <v>103</v>
      </c>
      <c r="AS36" s="47" t="s">
        <v>103</v>
      </c>
      <c r="AT36" s="47" t="s">
        <v>103</v>
      </c>
      <c r="AU36" s="47" t="s">
        <v>103</v>
      </c>
      <c r="AV36" s="47" t="s">
        <v>103</v>
      </c>
      <c r="AW36" s="47" t="s">
        <v>103</v>
      </c>
      <c r="AX36" s="47" t="s">
        <v>103</v>
      </c>
      <c r="AY36" s="47" t="s">
        <v>103</v>
      </c>
      <c r="AZ36" s="47" t="s">
        <v>103</v>
      </c>
      <c r="BA36" s="47" t="s">
        <v>103</v>
      </c>
      <c r="BB36" s="47" t="s">
        <v>103</v>
      </c>
      <c r="BC36" s="47" t="s">
        <v>103</v>
      </c>
      <c r="BD36" s="47" t="s">
        <v>103</v>
      </c>
      <c r="BE36" s="47" t="s">
        <v>103</v>
      </c>
      <c r="BF36" s="47" t="s">
        <v>103</v>
      </c>
      <c r="BG36" s="47" t="s">
        <v>103</v>
      </c>
      <c r="BH36" s="47" t="s">
        <v>103</v>
      </c>
      <c r="BI36" s="47" t="s">
        <v>103</v>
      </c>
      <c r="BJ36" s="47" t="s">
        <v>103</v>
      </c>
      <c r="BK36" s="47" t="s">
        <v>103</v>
      </c>
      <c r="BL36" s="47" t="s">
        <v>103</v>
      </c>
      <c r="BM36" s="47" t="s">
        <v>103</v>
      </c>
    </row>
    <row r="37" spans="1:65" ht="15" customHeight="1" x14ac:dyDescent="0.25">
      <c r="A37" s="47" t="s">
        <v>104</v>
      </c>
      <c r="B37" s="47" t="s">
        <v>103</v>
      </c>
      <c r="C37" s="47" t="s">
        <v>103</v>
      </c>
      <c r="D37" s="47" t="s">
        <v>103</v>
      </c>
      <c r="E37" s="47" t="s">
        <v>103</v>
      </c>
      <c r="F37" s="47" t="s">
        <v>103</v>
      </c>
      <c r="G37" s="47" t="s">
        <v>103</v>
      </c>
      <c r="H37" s="47" t="s">
        <v>103</v>
      </c>
      <c r="I37" s="47" t="s">
        <v>103</v>
      </c>
      <c r="J37" s="47" t="s">
        <v>103</v>
      </c>
      <c r="K37" s="47" t="s">
        <v>103</v>
      </c>
      <c r="L37" s="47" t="s">
        <v>103</v>
      </c>
      <c r="M37" s="47" t="s">
        <v>103</v>
      </c>
      <c r="N37" s="47" t="s">
        <v>103</v>
      </c>
      <c r="O37" s="47" t="s">
        <v>103</v>
      </c>
      <c r="P37" s="47" t="s">
        <v>103</v>
      </c>
      <c r="Q37" s="47" t="s">
        <v>103</v>
      </c>
      <c r="R37" s="47" t="s">
        <v>103</v>
      </c>
      <c r="S37" s="47" t="s">
        <v>103</v>
      </c>
      <c r="T37" s="47" t="s">
        <v>103</v>
      </c>
      <c r="U37" s="47">
        <v>0</v>
      </c>
      <c r="V37" s="47" t="s">
        <v>103</v>
      </c>
      <c r="W37" s="47" t="s">
        <v>103</v>
      </c>
      <c r="X37" s="47" t="s">
        <v>103</v>
      </c>
      <c r="Y37" s="47" t="s">
        <v>103</v>
      </c>
      <c r="Z37" s="47" t="s">
        <v>103</v>
      </c>
      <c r="AA37" s="47" t="s">
        <v>103</v>
      </c>
      <c r="AB37" s="47" t="s">
        <v>103</v>
      </c>
      <c r="AC37" s="47" t="s">
        <v>103</v>
      </c>
      <c r="AD37" s="47" t="s">
        <v>103</v>
      </c>
      <c r="AE37" s="47" t="s">
        <v>103</v>
      </c>
      <c r="AF37" s="47" t="s">
        <v>103</v>
      </c>
      <c r="AG37" s="47" t="s">
        <v>103</v>
      </c>
      <c r="AH37" s="47" t="s">
        <v>103</v>
      </c>
      <c r="AI37" s="47">
        <v>0</v>
      </c>
      <c r="AJ37" s="47" t="s">
        <v>103</v>
      </c>
      <c r="AK37" s="47" t="s">
        <v>103</v>
      </c>
      <c r="AL37" s="47" t="s">
        <v>103</v>
      </c>
      <c r="AM37" s="47" t="s">
        <v>103</v>
      </c>
      <c r="AN37" s="47" t="s">
        <v>103</v>
      </c>
      <c r="AO37" s="47" t="s">
        <v>103</v>
      </c>
      <c r="AP37" s="47" t="s">
        <v>103</v>
      </c>
      <c r="AQ37" s="47" t="s">
        <v>103</v>
      </c>
      <c r="AR37" s="47" t="s">
        <v>103</v>
      </c>
      <c r="AS37" s="47" t="s">
        <v>103</v>
      </c>
      <c r="AT37" s="47" t="s">
        <v>103</v>
      </c>
      <c r="AU37" s="47" t="s">
        <v>103</v>
      </c>
      <c r="AV37" s="47" t="s">
        <v>103</v>
      </c>
      <c r="AW37" s="47" t="s">
        <v>103</v>
      </c>
      <c r="AX37" s="47" t="s">
        <v>103</v>
      </c>
      <c r="AY37" s="47" t="s">
        <v>103</v>
      </c>
      <c r="AZ37" s="47" t="s">
        <v>103</v>
      </c>
      <c r="BA37" s="47" t="s">
        <v>103</v>
      </c>
      <c r="BB37" s="47" t="s">
        <v>103</v>
      </c>
      <c r="BC37" s="47" t="s">
        <v>103</v>
      </c>
      <c r="BD37" s="47" t="s">
        <v>103</v>
      </c>
      <c r="BE37" s="47" t="s">
        <v>103</v>
      </c>
      <c r="BF37" s="47" t="s">
        <v>103</v>
      </c>
      <c r="BG37" s="47" t="s">
        <v>103</v>
      </c>
      <c r="BH37" s="47" t="s">
        <v>103</v>
      </c>
      <c r="BI37" s="47" t="s">
        <v>103</v>
      </c>
      <c r="BJ37" s="47" t="s">
        <v>103</v>
      </c>
      <c r="BK37" s="47" t="s">
        <v>103</v>
      </c>
      <c r="BL37" s="47" t="s">
        <v>103</v>
      </c>
      <c r="BM37" s="47" t="s">
        <v>103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C2CBD-71A5-4F40-963D-0341C27CA40E}">
  <dimension ref="A1:BM37"/>
  <sheetViews>
    <sheetView workbookViewId="0">
      <selection sqref="A1:B1"/>
    </sheetView>
  </sheetViews>
  <sheetFormatPr defaultColWidth="12.109375" defaultRowHeight="15" customHeight="1" x14ac:dyDescent="0.25"/>
  <cols>
    <col min="1" max="1" width="12.109375" style="47" bestFit="1" customWidth="1"/>
    <col min="2" max="65" width="9.109375" style="47" bestFit="1" customWidth="1"/>
    <col min="66" max="16384" width="12.109375" style="47"/>
  </cols>
  <sheetData>
    <row r="1" spans="1:65" ht="15" customHeight="1" x14ac:dyDescent="0.4">
      <c r="A1" s="56" t="s">
        <v>155</v>
      </c>
      <c r="B1" s="56"/>
      <c r="C1" s="55" t="s">
        <v>154</v>
      </c>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row>
    <row r="2" spans="1:65" ht="15" customHeight="1" x14ac:dyDescent="0.4">
      <c r="A2" s="56" t="s">
        <v>153</v>
      </c>
      <c r="B2" s="56"/>
      <c r="C2" s="55" t="s">
        <v>152</v>
      </c>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row>
    <row r="3" spans="1:65" ht="15" customHeight="1" x14ac:dyDescent="0.4">
      <c r="A3" s="56" t="s">
        <v>9</v>
      </c>
      <c r="B3" s="56"/>
      <c r="C3" s="55" t="s">
        <v>126</v>
      </c>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row>
    <row r="4" spans="1:65" ht="15" customHeight="1" x14ac:dyDescent="0.4">
      <c r="A4" s="56" t="s">
        <v>151</v>
      </c>
      <c r="B4" s="56"/>
      <c r="C4" s="55" t="s">
        <v>103</v>
      </c>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row>
    <row r="5" spans="1:65" ht="15" customHeight="1" x14ac:dyDescent="0.4">
      <c r="A5" s="56" t="s">
        <v>150</v>
      </c>
      <c r="B5" s="56"/>
      <c r="C5" s="55" t="s">
        <v>103</v>
      </c>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row>
    <row r="6" spans="1:65" ht="15" customHeight="1" x14ac:dyDescent="0.4">
      <c r="A6" s="56" t="s">
        <v>103</v>
      </c>
      <c r="B6" s="56"/>
      <c r="C6" s="55" t="s">
        <v>103</v>
      </c>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row>
    <row r="7" spans="1:65" ht="15" customHeight="1" x14ac:dyDescent="0.4">
      <c r="A7" s="56" t="s">
        <v>103</v>
      </c>
      <c r="B7" s="56"/>
      <c r="C7" s="55" t="s">
        <v>103</v>
      </c>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row>
    <row r="8" spans="1:65" ht="15" customHeight="1" x14ac:dyDescent="0.4">
      <c r="A8" s="56" t="s">
        <v>103</v>
      </c>
      <c r="B8" s="56"/>
      <c r="C8" s="55" t="s">
        <v>103</v>
      </c>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row>
    <row r="9" spans="1:65" ht="15" customHeight="1" x14ac:dyDescent="0.4">
      <c r="A9" s="56" t="s">
        <v>103</v>
      </c>
      <c r="B9" s="56"/>
      <c r="C9" s="55" t="s">
        <v>103</v>
      </c>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row>
    <row r="10" spans="1:65" ht="15" customHeight="1" x14ac:dyDescent="0.4">
      <c r="A10" s="56" t="s">
        <v>149</v>
      </c>
      <c r="B10" s="56"/>
      <c r="C10" s="55" t="s">
        <v>148</v>
      </c>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row>
    <row r="11" spans="1:65" ht="15" customHeight="1" x14ac:dyDescent="0.4">
      <c r="A11" s="56" t="s">
        <v>147</v>
      </c>
      <c r="B11" s="56"/>
      <c r="C11" s="55" t="s">
        <v>157</v>
      </c>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row>
    <row r="12" spans="1:65" ht="15" customHeight="1" x14ac:dyDescent="0.25">
      <c r="A12" s="47" t="s">
        <v>103</v>
      </c>
      <c r="B12" s="54" t="s">
        <v>143</v>
      </c>
      <c r="C12" s="53"/>
      <c r="D12" s="53"/>
      <c r="E12" s="53"/>
      <c r="F12" s="53"/>
      <c r="G12" s="53"/>
      <c r="H12" s="53"/>
      <c r="I12" s="52"/>
      <c r="J12" s="54" t="s">
        <v>143</v>
      </c>
      <c r="K12" s="53"/>
      <c r="L12" s="53"/>
      <c r="M12" s="53"/>
      <c r="N12" s="53"/>
      <c r="O12" s="53"/>
      <c r="P12" s="53"/>
      <c r="Q12" s="52"/>
      <c r="R12" s="54" t="s">
        <v>144</v>
      </c>
      <c r="S12" s="53"/>
      <c r="T12" s="53"/>
      <c r="U12" s="53"/>
      <c r="V12" s="53"/>
      <c r="W12" s="53"/>
      <c r="X12" s="53"/>
      <c r="Y12" s="52"/>
      <c r="Z12" s="54" t="s">
        <v>143</v>
      </c>
      <c r="AA12" s="53"/>
      <c r="AB12" s="53"/>
      <c r="AC12" s="53"/>
      <c r="AD12" s="53"/>
      <c r="AE12" s="53"/>
      <c r="AF12" s="53"/>
      <c r="AG12" s="52"/>
      <c r="AH12" s="54" t="s">
        <v>145</v>
      </c>
      <c r="AI12" s="53"/>
      <c r="AJ12" s="53"/>
      <c r="AK12" s="53"/>
      <c r="AL12" s="53"/>
      <c r="AM12" s="53"/>
      <c r="AN12" s="53"/>
      <c r="AO12" s="52"/>
      <c r="AP12" s="54" t="s">
        <v>143</v>
      </c>
      <c r="AQ12" s="53"/>
      <c r="AR12" s="53"/>
      <c r="AS12" s="53"/>
      <c r="AT12" s="53"/>
      <c r="AU12" s="53"/>
      <c r="AV12" s="53"/>
      <c r="AW12" s="52"/>
      <c r="AX12" s="54" t="s">
        <v>144</v>
      </c>
      <c r="AY12" s="53"/>
      <c r="AZ12" s="53"/>
      <c r="BA12" s="53"/>
      <c r="BB12" s="53"/>
      <c r="BC12" s="53"/>
      <c r="BD12" s="53"/>
      <c r="BE12" s="52"/>
      <c r="BF12" s="54" t="s">
        <v>143</v>
      </c>
      <c r="BG12" s="53"/>
      <c r="BH12" s="53"/>
      <c r="BI12" s="53"/>
      <c r="BJ12" s="53"/>
      <c r="BK12" s="53"/>
      <c r="BL12" s="53"/>
      <c r="BM12" s="52"/>
    </row>
    <row r="13" spans="1:65" ht="15" customHeight="1" x14ac:dyDescent="0.25">
      <c r="A13" s="47" t="s">
        <v>103</v>
      </c>
      <c r="B13" s="51" t="s">
        <v>142</v>
      </c>
      <c r="C13" s="50"/>
      <c r="D13" s="50"/>
      <c r="E13" s="50"/>
      <c r="F13" s="50"/>
      <c r="G13" s="50"/>
      <c r="H13" s="50"/>
      <c r="I13" s="49"/>
      <c r="J13" s="51" t="s">
        <v>141</v>
      </c>
      <c r="K13" s="50"/>
      <c r="L13" s="50"/>
      <c r="M13" s="50"/>
      <c r="N13" s="50"/>
      <c r="O13" s="50"/>
      <c r="P13" s="50"/>
      <c r="Q13" s="49"/>
      <c r="R13" s="51" t="s">
        <v>140</v>
      </c>
      <c r="S13" s="50"/>
      <c r="T13" s="50"/>
      <c r="U13" s="50"/>
      <c r="V13" s="50"/>
      <c r="W13" s="50"/>
      <c r="X13" s="50"/>
      <c r="Y13" s="49"/>
      <c r="Z13" s="51" t="s">
        <v>139</v>
      </c>
      <c r="AA13" s="50"/>
      <c r="AB13" s="50"/>
      <c r="AC13" s="50"/>
      <c r="AD13" s="50"/>
      <c r="AE13" s="50"/>
      <c r="AF13" s="50"/>
      <c r="AG13" s="49"/>
      <c r="AH13" s="51" t="s">
        <v>138</v>
      </c>
      <c r="AI13" s="50"/>
      <c r="AJ13" s="50"/>
      <c r="AK13" s="50"/>
      <c r="AL13" s="50"/>
      <c r="AM13" s="50"/>
      <c r="AN13" s="50"/>
      <c r="AO13" s="49"/>
      <c r="AP13" s="51" t="s">
        <v>137</v>
      </c>
      <c r="AQ13" s="50"/>
      <c r="AR13" s="50"/>
      <c r="AS13" s="50"/>
      <c r="AT13" s="50"/>
      <c r="AU13" s="50"/>
      <c r="AV13" s="50"/>
      <c r="AW13" s="49"/>
      <c r="AX13" s="51" t="s">
        <v>136</v>
      </c>
      <c r="AY13" s="50"/>
      <c r="AZ13" s="50"/>
      <c r="BA13" s="50"/>
      <c r="BB13" s="50"/>
      <c r="BC13" s="50"/>
      <c r="BD13" s="50"/>
      <c r="BE13" s="49"/>
      <c r="BF13" s="51" t="s">
        <v>135</v>
      </c>
      <c r="BG13" s="50"/>
      <c r="BH13" s="50"/>
      <c r="BI13" s="50"/>
      <c r="BJ13" s="50"/>
      <c r="BK13" s="50"/>
      <c r="BL13" s="50"/>
      <c r="BM13" s="49"/>
    </row>
    <row r="14" spans="1:65" ht="15" customHeight="1" x14ac:dyDescent="0.25">
      <c r="A14" s="48" t="s">
        <v>9</v>
      </c>
      <c r="B14" s="48" t="s">
        <v>134</v>
      </c>
      <c r="C14" s="48" t="s">
        <v>133</v>
      </c>
      <c r="D14" s="48" t="s">
        <v>132</v>
      </c>
      <c r="E14" s="48" t="s">
        <v>131</v>
      </c>
      <c r="F14" s="48" t="s">
        <v>130</v>
      </c>
      <c r="G14" s="48" t="s">
        <v>129</v>
      </c>
      <c r="H14" s="48" t="s">
        <v>128</v>
      </c>
      <c r="I14" s="48" t="s">
        <v>127</v>
      </c>
      <c r="J14" s="48" t="s">
        <v>134</v>
      </c>
      <c r="K14" s="48" t="s">
        <v>133</v>
      </c>
      <c r="L14" s="48" t="s">
        <v>132</v>
      </c>
      <c r="M14" s="48" t="s">
        <v>131</v>
      </c>
      <c r="N14" s="48" t="s">
        <v>130</v>
      </c>
      <c r="O14" s="48" t="s">
        <v>129</v>
      </c>
      <c r="P14" s="48" t="s">
        <v>128</v>
      </c>
      <c r="Q14" s="48" t="s">
        <v>127</v>
      </c>
      <c r="R14" s="48" t="s">
        <v>134</v>
      </c>
      <c r="S14" s="48" t="s">
        <v>133</v>
      </c>
      <c r="T14" s="48" t="s">
        <v>132</v>
      </c>
      <c r="U14" s="48" t="s">
        <v>131</v>
      </c>
      <c r="V14" s="48" t="s">
        <v>130</v>
      </c>
      <c r="W14" s="48" t="s">
        <v>129</v>
      </c>
      <c r="X14" s="48" t="s">
        <v>128</v>
      </c>
      <c r="Y14" s="48" t="s">
        <v>127</v>
      </c>
      <c r="Z14" s="48" t="s">
        <v>134</v>
      </c>
      <c r="AA14" s="48" t="s">
        <v>133</v>
      </c>
      <c r="AB14" s="48" t="s">
        <v>132</v>
      </c>
      <c r="AC14" s="48" t="s">
        <v>131</v>
      </c>
      <c r="AD14" s="48" t="s">
        <v>130</v>
      </c>
      <c r="AE14" s="48" t="s">
        <v>129</v>
      </c>
      <c r="AF14" s="48" t="s">
        <v>128</v>
      </c>
      <c r="AG14" s="48" t="s">
        <v>127</v>
      </c>
      <c r="AH14" s="48" t="s">
        <v>134</v>
      </c>
      <c r="AI14" s="48" t="s">
        <v>133</v>
      </c>
      <c r="AJ14" s="48" t="s">
        <v>132</v>
      </c>
      <c r="AK14" s="48" t="s">
        <v>131</v>
      </c>
      <c r="AL14" s="48" t="s">
        <v>130</v>
      </c>
      <c r="AM14" s="48" t="s">
        <v>129</v>
      </c>
      <c r="AN14" s="48" t="s">
        <v>128</v>
      </c>
      <c r="AO14" s="48" t="s">
        <v>127</v>
      </c>
      <c r="AP14" s="48" t="s">
        <v>134</v>
      </c>
      <c r="AQ14" s="48" t="s">
        <v>133</v>
      </c>
      <c r="AR14" s="48" t="s">
        <v>132</v>
      </c>
      <c r="AS14" s="48" t="s">
        <v>131</v>
      </c>
      <c r="AT14" s="48" t="s">
        <v>130</v>
      </c>
      <c r="AU14" s="48" t="s">
        <v>129</v>
      </c>
      <c r="AV14" s="48" t="s">
        <v>128</v>
      </c>
      <c r="AW14" s="48" t="s">
        <v>127</v>
      </c>
      <c r="AX14" s="48" t="s">
        <v>134</v>
      </c>
      <c r="AY14" s="48" t="s">
        <v>133</v>
      </c>
      <c r="AZ14" s="48" t="s">
        <v>132</v>
      </c>
      <c r="BA14" s="48" t="s">
        <v>131</v>
      </c>
      <c r="BB14" s="48" t="s">
        <v>130</v>
      </c>
      <c r="BC14" s="48" t="s">
        <v>129</v>
      </c>
      <c r="BD14" s="48" t="s">
        <v>128</v>
      </c>
      <c r="BE14" s="48" t="s">
        <v>127</v>
      </c>
      <c r="BF14" s="48" t="s">
        <v>134</v>
      </c>
      <c r="BG14" s="48" t="s">
        <v>133</v>
      </c>
      <c r="BH14" s="48" t="s">
        <v>132</v>
      </c>
      <c r="BI14" s="48" t="s">
        <v>131</v>
      </c>
      <c r="BJ14" s="48" t="s">
        <v>130</v>
      </c>
      <c r="BK14" s="48" t="s">
        <v>129</v>
      </c>
      <c r="BL14" s="48" t="s">
        <v>128</v>
      </c>
      <c r="BM14" s="48" t="s">
        <v>127</v>
      </c>
    </row>
    <row r="15" spans="1:65" ht="15" customHeight="1" x14ac:dyDescent="0.25">
      <c r="A15" s="47" t="s">
        <v>126</v>
      </c>
      <c r="B15" s="47" t="s">
        <v>103</v>
      </c>
      <c r="C15" s="47" t="s">
        <v>103</v>
      </c>
      <c r="D15" s="47" t="s">
        <v>103</v>
      </c>
      <c r="E15" s="47" t="s">
        <v>103</v>
      </c>
      <c r="F15" s="47" t="s">
        <v>103</v>
      </c>
      <c r="G15" s="47" t="s">
        <v>103</v>
      </c>
      <c r="H15" s="47" t="s">
        <v>103</v>
      </c>
      <c r="I15" s="47" t="s">
        <v>103</v>
      </c>
      <c r="J15" s="47" t="s">
        <v>103</v>
      </c>
      <c r="K15" s="47" t="s">
        <v>103</v>
      </c>
      <c r="L15" s="47" t="s">
        <v>103</v>
      </c>
      <c r="M15" s="47" t="s">
        <v>103</v>
      </c>
      <c r="N15" s="47" t="s">
        <v>103</v>
      </c>
      <c r="O15" s="47" t="s">
        <v>103</v>
      </c>
      <c r="P15" s="47" t="s">
        <v>103</v>
      </c>
      <c r="Q15" s="47" t="s">
        <v>103</v>
      </c>
      <c r="R15" s="47" t="s">
        <v>103</v>
      </c>
      <c r="S15" s="47" t="s">
        <v>103</v>
      </c>
      <c r="T15" s="47" t="s">
        <v>103</v>
      </c>
      <c r="U15" s="47">
        <v>122</v>
      </c>
      <c r="V15" s="47" t="s">
        <v>103</v>
      </c>
      <c r="W15" s="47" t="s">
        <v>103</v>
      </c>
      <c r="X15" s="47" t="s">
        <v>103</v>
      </c>
      <c r="Y15" s="47" t="s">
        <v>103</v>
      </c>
      <c r="Z15" s="47" t="s">
        <v>103</v>
      </c>
      <c r="AA15" s="47" t="s">
        <v>103</v>
      </c>
      <c r="AB15" s="47" t="s">
        <v>103</v>
      </c>
      <c r="AC15" s="47" t="s">
        <v>103</v>
      </c>
      <c r="AD15" s="47" t="s">
        <v>103</v>
      </c>
      <c r="AE15" s="47" t="s">
        <v>103</v>
      </c>
      <c r="AF15" s="47" t="s">
        <v>103</v>
      </c>
      <c r="AG15" s="47" t="s">
        <v>103</v>
      </c>
      <c r="AH15" s="47" t="s">
        <v>103</v>
      </c>
      <c r="AI15" s="47">
        <v>9</v>
      </c>
      <c r="AJ15" s="47" t="s">
        <v>103</v>
      </c>
      <c r="AK15" s="47" t="s">
        <v>103</v>
      </c>
      <c r="AL15" s="47" t="s">
        <v>103</v>
      </c>
      <c r="AM15" s="47" t="s">
        <v>103</v>
      </c>
      <c r="AN15" s="47" t="s">
        <v>103</v>
      </c>
      <c r="AO15" s="47" t="s">
        <v>103</v>
      </c>
      <c r="AP15" s="47" t="s">
        <v>103</v>
      </c>
      <c r="AQ15" s="47" t="s">
        <v>103</v>
      </c>
      <c r="AR15" s="47" t="s">
        <v>103</v>
      </c>
      <c r="AS15" s="47" t="s">
        <v>103</v>
      </c>
      <c r="AT15" s="47" t="s">
        <v>103</v>
      </c>
      <c r="AU15" s="47" t="s">
        <v>103</v>
      </c>
      <c r="AV15" s="47" t="s">
        <v>103</v>
      </c>
      <c r="AW15" s="47" t="s">
        <v>103</v>
      </c>
      <c r="AX15" s="47" t="s">
        <v>103</v>
      </c>
      <c r="AY15" s="47" t="s">
        <v>103</v>
      </c>
      <c r="AZ15" s="47" t="s">
        <v>103</v>
      </c>
      <c r="BA15" s="47" t="s">
        <v>103</v>
      </c>
      <c r="BB15" s="47" t="s">
        <v>103</v>
      </c>
      <c r="BC15" s="47" t="s">
        <v>103</v>
      </c>
      <c r="BD15" s="47" t="s">
        <v>103</v>
      </c>
      <c r="BE15" s="47" t="s">
        <v>103</v>
      </c>
      <c r="BF15" s="47" t="s">
        <v>103</v>
      </c>
      <c r="BG15" s="47" t="s">
        <v>103</v>
      </c>
      <c r="BH15" s="47" t="s">
        <v>103</v>
      </c>
      <c r="BI15" s="47" t="s">
        <v>103</v>
      </c>
      <c r="BJ15" s="47" t="s">
        <v>103</v>
      </c>
      <c r="BK15" s="47" t="s">
        <v>103</v>
      </c>
      <c r="BL15" s="47" t="s">
        <v>103</v>
      </c>
      <c r="BM15" s="47" t="s">
        <v>103</v>
      </c>
    </row>
    <row r="16" spans="1:65" ht="15" customHeight="1" x14ac:dyDescent="0.25">
      <c r="A16" s="47" t="s">
        <v>125</v>
      </c>
      <c r="B16" s="47" t="s">
        <v>103</v>
      </c>
      <c r="C16" s="47" t="s">
        <v>103</v>
      </c>
      <c r="D16" s="47" t="s">
        <v>103</v>
      </c>
      <c r="E16" s="47" t="s">
        <v>103</v>
      </c>
      <c r="F16" s="47" t="s">
        <v>103</v>
      </c>
      <c r="G16" s="47" t="s">
        <v>103</v>
      </c>
      <c r="H16" s="47" t="s">
        <v>103</v>
      </c>
      <c r="I16" s="47" t="s">
        <v>103</v>
      </c>
      <c r="J16" s="47" t="s">
        <v>103</v>
      </c>
      <c r="K16" s="47" t="s">
        <v>103</v>
      </c>
      <c r="L16" s="47" t="s">
        <v>103</v>
      </c>
      <c r="M16" s="47" t="s">
        <v>103</v>
      </c>
      <c r="N16" s="47" t="s">
        <v>103</v>
      </c>
      <c r="O16" s="47" t="s">
        <v>103</v>
      </c>
      <c r="P16" s="47" t="s">
        <v>103</v>
      </c>
      <c r="Q16" s="47" t="s">
        <v>103</v>
      </c>
      <c r="R16" s="47" t="s">
        <v>103</v>
      </c>
      <c r="S16" s="47" t="s">
        <v>103</v>
      </c>
      <c r="T16" s="47" t="s">
        <v>103</v>
      </c>
      <c r="U16" s="47">
        <v>166</v>
      </c>
      <c r="V16" s="47" t="s">
        <v>103</v>
      </c>
      <c r="W16" s="47" t="s">
        <v>103</v>
      </c>
      <c r="X16" s="47" t="s">
        <v>103</v>
      </c>
      <c r="Y16" s="47" t="s">
        <v>103</v>
      </c>
      <c r="Z16" s="47" t="s">
        <v>103</v>
      </c>
      <c r="AA16" s="47" t="s">
        <v>103</v>
      </c>
      <c r="AB16" s="47" t="s">
        <v>103</v>
      </c>
      <c r="AC16" s="47" t="s">
        <v>103</v>
      </c>
      <c r="AD16" s="47" t="s">
        <v>103</v>
      </c>
      <c r="AE16" s="47" t="s">
        <v>103</v>
      </c>
      <c r="AF16" s="47" t="s">
        <v>103</v>
      </c>
      <c r="AG16" s="47" t="s">
        <v>103</v>
      </c>
      <c r="AH16" s="47" t="s">
        <v>103</v>
      </c>
      <c r="AI16" s="47">
        <v>20</v>
      </c>
      <c r="AJ16" s="47" t="s">
        <v>103</v>
      </c>
      <c r="AK16" s="47" t="s">
        <v>103</v>
      </c>
      <c r="AL16" s="47" t="s">
        <v>103</v>
      </c>
      <c r="AM16" s="47" t="s">
        <v>103</v>
      </c>
      <c r="AN16" s="47" t="s">
        <v>103</v>
      </c>
      <c r="AO16" s="47" t="s">
        <v>103</v>
      </c>
      <c r="AP16" s="47" t="s">
        <v>103</v>
      </c>
      <c r="AQ16" s="47" t="s">
        <v>103</v>
      </c>
      <c r="AR16" s="47" t="s">
        <v>103</v>
      </c>
      <c r="AS16" s="47" t="s">
        <v>103</v>
      </c>
      <c r="AT16" s="47" t="s">
        <v>103</v>
      </c>
      <c r="AU16" s="47" t="s">
        <v>103</v>
      </c>
      <c r="AV16" s="47" t="s">
        <v>103</v>
      </c>
      <c r="AW16" s="47" t="s">
        <v>103</v>
      </c>
      <c r="AX16" s="47" t="s">
        <v>103</v>
      </c>
      <c r="AY16" s="47" t="s">
        <v>103</v>
      </c>
      <c r="AZ16" s="47" t="s">
        <v>103</v>
      </c>
      <c r="BA16" s="47" t="s">
        <v>103</v>
      </c>
      <c r="BB16" s="47" t="s">
        <v>103</v>
      </c>
      <c r="BC16" s="47" t="s">
        <v>103</v>
      </c>
      <c r="BD16" s="47" t="s">
        <v>103</v>
      </c>
      <c r="BE16" s="47" t="s">
        <v>103</v>
      </c>
      <c r="BF16" s="47" t="s">
        <v>103</v>
      </c>
      <c r="BG16" s="47" t="s">
        <v>103</v>
      </c>
      <c r="BH16" s="47" t="s">
        <v>103</v>
      </c>
      <c r="BI16" s="47" t="s">
        <v>103</v>
      </c>
      <c r="BJ16" s="47" t="s">
        <v>103</v>
      </c>
      <c r="BK16" s="47" t="s">
        <v>103</v>
      </c>
      <c r="BL16" s="47" t="s">
        <v>103</v>
      </c>
      <c r="BM16" s="47" t="s">
        <v>103</v>
      </c>
    </row>
    <row r="17" spans="1:65" ht="15" customHeight="1" x14ac:dyDescent="0.25">
      <c r="A17" s="47" t="s">
        <v>124</v>
      </c>
      <c r="B17" s="47" t="s">
        <v>103</v>
      </c>
      <c r="C17" s="47" t="s">
        <v>103</v>
      </c>
      <c r="D17" s="47" t="s">
        <v>103</v>
      </c>
      <c r="E17" s="47" t="s">
        <v>103</v>
      </c>
      <c r="F17" s="47" t="s">
        <v>103</v>
      </c>
      <c r="G17" s="47" t="s">
        <v>103</v>
      </c>
      <c r="H17" s="47" t="s">
        <v>103</v>
      </c>
      <c r="I17" s="47" t="s">
        <v>103</v>
      </c>
      <c r="J17" s="47" t="s">
        <v>103</v>
      </c>
      <c r="K17" s="47" t="s">
        <v>103</v>
      </c>
      <c r="L17" s="47" t="s">
        <v>103</v>
      </c>
      <c r="M17" s="47" t="s">
        <v>103</v>
      </c>
      <c r="N17" s="47" t="s">
        <v>103</v>
      </c>
      <c r="O17" s="47" t="s">
        <v>103</v>
      </c>
      <c r="P17" s="47" t="s">
        <v>103</v>
      </c>
      <c r="Q17" s="47" t="s">
        <v>103</v>
      </c>
      <c r="R17" s="47" t="s">
        <v>103</v>
      </c>
      <c r="S17" s="47" t="s">
        <v>103</v>
      </c>
      <c r="T17" s="47" t="s">
        <v>103</v>
      </c>
      <c r="U17" s="47">
        <v>202</v>
      </c>
      <c r="V17" s="47" t="s">
        <v>103</v>
      </c>
      <c r="W17" s="47" t="s">
        <v>103</v>
      </c>
      <c r="X17" s="47" t="s">
        <v>103</v>
      </c>
      <c r="Y17" s="47" t="s">
        <v>103</v>
      </c>
      <c r="Z17" s="47" t="s">
        <v>103</v>
      </c>
      <c r="AA17" s="47" t="s">
        <v>103</v>
      </c>
      <c r="AB17" s="47" t="s">
        <v>103</v>
      </c>
      <c r="AC17" s="47" t="s">
        <v>103</v>
      </c>
      <c r="AD17" s="47" t="s">
        <v>103</v>
      </c>
      <c r="AE17" s="47" t="s">
        <v>103</v>
      </c>
      <c r="AF17" s="47" t="s">
        <v>103</v>
      </c>
      <c r="AG17" s="47" t="s">
        <v>103</v>
      </c>
      <c r="AH17" s="47" t="s">
        <v>103</v>
      </c>
      <c r="AI17" s="47">
        <v>19</v>
      </c>
      <c r="AJ17" s="47" t="s">
        <v>103</v>
      </c>
      <c r="AK17" s="47" t="s">
        <v>103</v>
      </c>
      <c r="AL17" s="47" t="s">
        <v>103</v>
      </c>
      <c r="AM17" s="47" t="s">
        <v>103</v>
      </c>
      <c r="AN17" s="47" t="s">
        <v>103</v>
      </c>
      <c r="AO17" s="47" t="s">
        <v>103</v>
      </c>
      <c r="AP17" s="47" t="s">
        <v>103</v>
      </c>
      <c r="AQ17" s="47" t="s">
        <v>103</v>
      </c>
      <c r="AR17" s="47" t="s">
        <v>103</v>
      </c>
      <c r="AS17" s="47" t="s">
        <v>103</v>
      </c>
      <c r="AT17" s="47" t="s">
        <v>103</v>
      </c>
      <c r="AU17" s="47" t="s">
        <v>103</v>
      </c>
      <c r="AV17" s="47" t="s">
        <v>103</v>
      </c>
      <c r="AW17" s="47" t="s">
        <v>103</v>
      </c>
      <c r="AX17" s="47" t="s">
        <v>103</v>
      </c>
      <c r="AY17" s="47" t="s">
        <v>103</v>
      </c>
      <c r="AZ17" s="47" t="s">
        <v>103</v>
      </c>
      <c r="BA17" s="47" t="s">
        <v>103</v>
      </c>
      <c r="BB17" s="47" t="s">
        <v>103</v>
      </c>
      <c r="BC17" s="47" t="s">
        <v>103</v>
      </c>
      <c r="BD17" s="47" t="s">
        <v>103</v>
      </c>
      <c r="BE17" s="47" t="s">
        <v>103</v>
      </c>
      <c r="BF17" s="47" t="s">
        <v>103</v>
      </c>
      <c r="BG17" s="47" t="s">
        <v>103</v>
      </c>
      <c r="BH17" s="47" t="s">
        <v>103</v>
      </c>
      <c r="BI17" s="47" t="s">
        <v>103</v>
      </c>
      <c r="BJ17" s="47" t="s">
        <v>103</v>
      </c>
      <c r="BK17" s="47" t="s">
        <v>103</v>
      </c>
      <c r="BL17" s="47" t="s">
        <v>103</v>
      </c>
      <c r="BM17" s="47" t="s">
        <v>103</v>
      </c>
    </row>
    <row r="18" spans="1:65" ht="15" customHeight="1" x14ac:dyDescent="0.25">
      <c r="A18" s="47" t="s">
        <v>123</v>
      </c>
      <c r="B18" s="47" t="s">
        <v>103</v>
      </c>
      <c r="C18" s="47" t="s">
        <v>103</v>
      </c>
      <c r="D18" s="47" t="s">
        <v>103</v>
      </c>
      <c r="E18" s="47" t="s">
        <v>103</v>
      </c>
      <c r="F18" s="47" t="s">
        <v>103</v>
      </c>
      <c r="G18" s="47" t="s">
        <v>103</v>
      </c>
      <c r="H18" s="47" t="s">
        <v>103</v>
      </c>
      <c r="I18" s="47" t="s">
        <v>103</v>
      </c>
      <c r="J18" s="47" t="s">
        <v>103</v>
      </c>
      <c r="K18" s="47" t="s">
        <v>103</v>
      </c>
      <c r="L18" s="47" t="s">
        <v>103</v>
      </c>
      <c r="M18" s="47" t="s">
        <v>103</v>
      </c>
      <c r="N18" s="47" t="s">
        <v>103</v>
      </c>
      <c r="O18" s="47" t="s">
        <v>103</v>
      </c>
      <c r="P18" s="47" t="s">
        <v>103</v>
      </c>
      <c r="Q18" s="47" t="s">
        <v>103</v>
      </c>
      <c r="R18" s="47" t="s">
        <v>103</v>
      </c>
      <c r="S18" s="47" t="s">
        <v>103</v>
      </c>
      <c r="T18" s="47" t="s">
        <v>103</v>
      </c>
      <c r="U18" s="47">
        <v>227</v>
      </c>
      <c r="V18" s="47" t="s">
        <v>103</v>
      </c>
      <c r="W18" s="47" t="s">
        <v>103</v>
      </c>
      <c r="X18" s="47" t="s">
        <v>103</v>
      </c>
      <c r="Y18" s="47" t="s">
        <v>103</v>
      </c>
      <c r="Z18" s="47" t="s">
        <v>103</v>
      </c>
      <c r="AA18" s="47" t="s">
        <v>103</v>
      </c>
      <c r="AB18" s="47" t="s">
        <v>103</v>
      </c>
      <c r="AC18" s="47" t="s">
        <v>103</v>
      </c>
      <c r="AD18" s="47" t="s">
        <v>103</v>
      </c>
      <c r="AE18" s="47" t="s">
        <v>103</v>
      </c>
      <c r="AF18" s="47" t="s">
        <v>103</v>
      </c>
      <c r="AG18" s="47" t="s">
        <v>103</v>
      </c>
      <c r="AH18" s="47" t="s">
        <v>103</v>
      </c>
      <c r="AI18" s="47">
        <v>33</v>
      </c>
      <c r="AJ18" s="47" t="s">
        <v>103</v>
      </c>
      <c r="AK18" s="47" t="s">
        <v>103</v>
      </c>
      <c r="AL18" s="47" t="s">
        <v>103</v>
      </c>
      <c r="AM18" s="47" t="s">
        <v>103</v>
      </c>
      <c r="AN18" s="47" t="s">
        <v>103</v>
      </c>
      <c r="AO18" s="47" t="s">
        <v>103</v>
      </c>
      <c r="AP18" s="47" t="s">
        <v>103</v>
      </c>
      <c r="AQ18" s="47" t="s">
        <v>103</v>
      </c>
      <c r="AR18" s="47" t="s">
        <v>103</v>
      </c>
      <c r="AS18" s="47" t="s">
        <v>103</v>
      </c>
      <c r="AT18" s="47" t="s">
        <v>103</v>
      </c>
      <c r="AU18" s="47" t="s">
        <v>103</v>
      </c>
      <c r="AV18" s="47" t="s">
        <v>103</v>
      </c>
      <c r="AW18" s="47" t="s">
        <v>103</v>
      </c>
      <c r="AX18" s="47" t="s">
        <v>103</v>
      </c>
      <c r="AY18" s="47" t="s">
        <v>103</v>
      </c>
      <c r="AZ18" s="47" t="s">
        <v>103</v>
      </c>
      <c r="BA18" s="47" t="s">
        <v>103</v>
      </c>
      <c r="BB18" s="47" t="s">
        <v>103</v>
      </c>
      <c r="BC18" s="47" t="s">
        <v>103</v>
      </c>
      <c r="BD18" s="47" t="s">
        <v>103</v>
      </c>
      <c r="BE18" s="47" t="s">
        <v>103</v>
      </c>
      <c r="BF18" s="47" t="s">
        <v>103</v>
      </c>
      <c r="BG18" s="47" t="s">
        <v>103</v>
      </c>
      <c r="BH18" s="47" t="s">
        <v>103</v>
      </c>
      <c r="BI18" s="47" t="s">
        <v>103</v>
      </c>
      <c r="BJ18" s="47" t="s">
        <v>103</v>
      </c>
      <c r="BK18" s="47" t="s">
        <v>103</v>
      </c>
      <c r="BL18" s="47" t="s">
        <v>103</v>
      </c>
      <c r="BM18" s="47" t="s">
        <v>103</v>
      </c>
    </row>
    <row r="19" spans="1:65" ht="15" customHeight="1" x14ac:dyDescent="0.25">
      <c r="A19" s="47" t="s">
        <v>122</v>
      </c>
      <c r="B19" s="47" t="s">
        <v>103</v>
      </c>
      <c r="C19" s="47" t="s">
        <v>103</v>
      </c>
      <c r="D19" s="47" t="s">
        <v>103</v>
      </c>
      <c r="E19" s="47" t="s">
        <v>103</v>
      </c>
      <c r="F19" s="47" t="s">
        <v>103</v>
      </c>
      <c r="G19" s="47" t="s">
        <v>103</v>
      </c>
      <c r="H19" s="47" t="s">
        <v>103</v>
      </c>
      <c r="I19" s="47" t="s">
        <v>103</v>
      </c>
      <c r="J19" s="47" t="s">
        <v>103</v>
      </c>
      <c r="K19" s="47" t="s">
        <v>103</v>
      </c>
      <c r="L19" s="47" t="s">
        <v>103</v>
      </c>
      <c r="M19" s="47" t="s">
        <v>103</v>
      </c>
      <c r="N19" s="47" t="s">
        <v>103</v>
      </c>
      <c r="O19" s="47" t="s">
        <v>103</v>
      </c>
      <c r="P19" s="47" t="s">
        <v>103</v>
      </c>
      <c r="Q19" s="47" t="s">
        <v>103</v>
      </c>
      <c r="R19" s="47" t="s">
        <v>103</v>
      </c>
      <c r="S19" s="47" t="s">
        <v>103</v>
      </c>
      <c r="T19" s="47" t="s">
        <v>103</v>
      </c>
      <c r="U19" s="47">
        <v>226</v>
      </c>
      <c r="V19" s="47" t="s">
        <v>103</v>
      </c>
      <c r="W19" s="47" t="s">
        <v>103</v>
      </c>
      <c r="X19" s="47" t="s">
        <v>103</v>
      </c>
      <c r="Y19" s="47" t="s">
        <v>103</v>
      </c>
      <c r="Z19" s="47" t="s">
        <v>103</v>
      </c>
      <c r="AA19" s="47" t="s">
        <v>103</v>
      </c>
      <c r="AB19" s="47" t="s">
        <v>103</v>
      </c>
      <c r="AC19" s="47" t="s">
        <v>103</v>
      </c>
      <c r="AD19" s="47" t="s">
        <v>103</v>
      </c>
      <c r="AE19" s="47" t="s">
        <v>103</v>
      </c>
      <c r="AF19" s="47" t="s">
        <v>103</v>
      </c>
      <c r="AG19" s="47" t="s">
        <v>103</v>
      </c>
      <c r="AH19" s="47" t="s">
        <v>103</v>
      </c>
      <c r="AI19" s="47">
        <v>29</v>
      </c>
      <c r="AJ19" s="47" t="s">
        <v>103</v>
      </c>
      <c r="AK19" s="47" t="s">
        <v>103</v>
      </c>
      <c r="AL19" s="47" t="s">
        <v>103</v>
      </c>
      <c r="AM19" s="47" t="s">
        <v>103</v>
      </c>
      <c r="AN19" s="47" t="s">
        <v>103</v>
      </c>
      <c r="AO19" s="47" t="s">
        <v>103</v>
      </c>
      <c r="AP19" s="47" t="s">
        <v>103</v>
      </c>
      <c r="AQ19" s="47" t="s">
        <v>103</v>
      </c>
      <c r="AR19" s="47" t="s">
        <v>103</v>
      </c>
      <c r="AS19" s="47" t="s">
        <v>103</v>
      </c>
      <c r="AT19" s="47" t="s">
        <v>103</v>
      </c>
      <c r="AU19" s="47" t="s">
        <v>103</v>
      </c>
      <c r="AV19" s="47" t="s">
        <v>103</v>
      </c>
      <c r="AW19" s="47" t="s">
        <v>103</v>
      </c>
      <c r="AX19" s="47" t="s">
        <v>103</v>
      </c>
      <c r="AY19" s="47" t="s">
        <v>103</v>
      </c>
      <c r="AZ19" s="47" t="s">
        <v>103</v>
      </c>
      <c r="BA19" s="47" t="s">
        <v>103</v>
      </c>
      <c r="BB19" s="47" t="s">
        <v>103</v>
      </c>
      <c r="BC19" s="47" t="s">
        <v>103</v>
      </c>
      <c r="BD19" s="47" t="s">
        <v>103</v>
      </c>
      <c r="BE19" s="47" t="s">
        <v>103</v>
      </c>
      <c r="BF19" s="47" t="s">
        <v>103</v>
      </c>
      <c r="BG19" s="47" t="s">
        <v>103</v>
      </c>
      <c r="BH19" s="47" t="s">
        <v>103</v>
      </c>
      <c r="BI19" s="47" t="s">
        <v>103</v>
      </c>
      <c r="BJ19" s="47" t="s">
        <v>103</v>
      </c>
      <c r="BK19" s="47" t="s">
        <v>103</v>
      </c>
      <c r="BL19" s="47" t="s">
        <v>103</v>
      </c>
      <c r="BM19" s="47" t="s">
        <v>103</v>
      </c>
    </row>
    <row r="20" spans="1:65" ht="15" customHeight="1" x14ac:dyDescent="0.25">
      <c r="A20" s="47" t="s">
        <v>121</v>
      </c>
      <c r="B20" s="47" t="s">
        <v>103</v>
      </c>
      <c r="C20" s="47" t="s">
        <v>103</v>
      </c>
      <c r="D20" s="47" t="s">
        <v>103</v>
      </c>
      <c r="E20" s="47" t="s">
        <v>103</v>
      </c>
      <c r="F20" s="47" t="s">
        <v>103</v>
      </c>
      <c r="G20" s="47" t="s">
        <v>103</v>
      </c>
      <c r="H20" s="47" t="s">
        <v>103</v>
      </c>
      <c r="I20" s="47" t="s">
        <v>103</v>
      </c>
      <c r="J20" s="47" t="s">
        <v>103</v>
      </c>
      <c r="K20" s="47" t="s">
        <v>103</v>
      </c>
      <c r="L20" s="47" t="s">
        <v>103</v>
      </c>
      <c r="M20" s="47" t="s">
        <v>103</v>
      </c>
      <c r="N20" s="47" t="s">
        <v>103</v>
      </c>
      <c r="O20" s="47" t="s">
        <v>103</v>
      </c>
      <c r="P20" s="47" t="s">
        <v>103</v>
      </c>
      <c r="Q20" s="47" t="s">
        <v>103</v>
      </c>
      <c r="R20" s="47" t="s">
        <v>103</v>
      </c>
      <c r="S20" s="47" t="s">
        <v>103</v>
      </c>
      <c r="T20" s="47" t="s">
        <v>103</v>
      </c>
      <c r="U20" s="47">
        <v>225</v>
      </c>
      <c r="V20" s="47" t="s">
        <v>103</v>
      </c>
      <c r="W20" s="47" t="s">
        <v>103</v>
      </c>
      <c r="X20" s="47" t="s">
        <v>103</v>
      </c>
      <c r="Y20" s="47" t="s">
        <v>103</v>
      </c>
      <c r="Z20" s="47" t="s">
        <v>103</v>
      </c>
      <c r="AA20" s="47" t="s">
        <v>103</v>
      </c>
      <c r="AB20" s="47" t="s">
        <v>103</v>
      </c>
      <c r="AC20" s="47" t="s">
        <v>103</v>
      </c>
      <c r="AD20" s="47" t="s">
        <v>103</v>
      </c>
      <c r="AE20" s="47" t="s">
        <v>103</v>
      </c>
      <c r="AF20" s="47" t="s">
        <v>103</v>
      </c>
      <c r="AG20" s="47" t="s">
        <v>103</v>
      </c>
      <c r="AH20" s="47" t="s">
        <v>103</v>
      </c>
      <c r="AI20" s="47">
        <v>37</v>
      </c>
      <c r="AJ20" s="47" t="s">
        <v>103</v>
      </c>
      <c r="AK20" s="47" t="s">
        <v>103</v>
      </c>
      <c r="AL20" s="47" t="s">
        <v>103</v>
      </c>
      <c r="AM20" s="47" t="s">
        <v>103</v>
      </c>
      <c r="AN20" s="47" t="s">
        <v>103</v>
      </c>
      <c r="AO20" s="47" t="s">
        <v>103</v>
      </c>
      <c r="AP20" s="47" t="s">
        <v>103</v>
      </c>
      <c r="AQ20" s="47" t="s">
        <v>103</v>
      </c>
      <c r="AR20" s="47" t="s">
        <v>103</v>
      </c>
      <c r="AS20" s="47" t="s">
        <v>103</v>
      </c>
      <c r="AT20" s="47" t="s">
        <v>103</v>
      </c>
      <c r="AU20" s="47" t="s">
        <v>103</v>
      </c>
      <c r="AV20" s="47" t="s">
        <v>103</v>
      </c>
      <c r="AW20" s="47" t="s">
        <v>103</v>
      </c>
      <c r="AX20" s="47" t="s">
        <v>103</v>
      </c>
      <c r="AY20" s="47" t="s">
        <v>103</v>
      </c>
      <c r="AZ20" s="47" t="s">
        <v>103</v>
      </c>
      <c r="BA20" s="47" t="s">
        <v>103</v>
      </c>
      <c r="BB20" s="47" t="s">
        <v>103</v>
      </c>
      <c r="BC20" s="47" t="s">
        <v>103</v>
      </c>
      <c r="BD20" s="47" t="s">
        <v>103</v>
      </c>
      <c r="BE20" s="47" t="s">
        <v>103</v>
      </c>
      <c r="BF20" s="47" t="s">
        <v>103</v>
      </c>
      <c r="BG20" s="47" t="s">
        <v>103</v>
      </c>
      <c r="BH20" s="47" t="s">
        <v>103</v>
      </c>
      <c r="BI20" s="47" t="s">
        <v>103</v>
      </c>
      <c r="BJ20" s="47" t="s">
        <v>103</v>
      </c>
      <c r="BK20" s="47" t="s">
        <v>103</v>
      </c>
      <c r="BL20" s="47" t="s">
        <v>103</v>
      </c>
      <c r="BM20" s="47" t="s">
        <v>103</v>
      </c>
    </row>
    <row r="21" spans="1:65" ht="15" customHeight="1" x14ac:dyDescent="0.25">
      <c r="A21" s="47" t="s">
        <v>120</v>
      </c>
      <c r="B21" s="47" t="s">
        <v>103</v>
      </c>
      <c r="C21" s="47" t="s">
        <v>103</v>
      </c>
      <c r="D21" s="47" t="s">
        <v>103</v>
      </c>
      <c r="E21" s="47" t="s">
        <v>103</v>
      </c>
      <c r="F21" s="47" t="s">
        <v>103</v>
      </c>
      <c r="G21" s="47" t="s">
        <v>103</v>
      </c>
      <c r="H21" s="47" t="s">
        <v>103</v>
      </c>
      <c r="I21" s="47" t="s">
        <v>103</v>
      </c>
      <c r="J21" s="47" t="s">
        <v>103</v>
      </c>
      <c r="K21" s="47" t="s">
        <v>103</v>
      </c>
      <c r="L21" s="47" t="s">
        <v>103</v>
      </c>
      <c r="M21" s="47" t="s">
        <v>103</v>
      </c>
      <c r="N21" s="47" t="s">
        <v>103</v>
      </c>
      <c r="O21" s="47" t="s">
        <v>103</v>
      </c>
      <c r="P21" s="47" t="s">
        <v>103</v>
      </c>
      <c r="Q21" s="47" t="s">
        <v>103</v>
      </c>
      <c r="R21" s="47" t="s">
        <v>103</v>
      </c>
      <c r="S21" s="47" t="s">
        <v>103</v>
      </c>
      <c r="T21" s="47" t="s">
        <v>103</v>
      </c>
      <c r="U21" s="47">
        <v>224</v>
      </c>
      <c r="V21" s="47" t="s">
        <v>103</v>
      </c>
      <c r="W21" s="47" t="s">
        <v>103</v>
      </c>
      <c r="X21" s="47" t="s">
        <v>103</v>
      </c>
      <c r="Y21" s="47" t="s">
        <v>103</v>
      </c>
      <c r="Z21" s="47" t="s">
        <v>103</v>
      </c>
      <c r="AA21" s="47" t="s">
        <v>103</v>
      </c>
      <c r="AB21" s="47" t="s">
        <v>103</v>
      </c>
      <c r="AC21" s="47" t="s">
        <v>103</v>
      </c>
      <c r="AD21" s="47" t="s">
        <v>103</v>
      </c>
      <c r="AE21" s="47" t="s">
        <v>103</v>
      </c>
      <c r="AF21" s="47" t="s">
        <v>103</v>
      </c>
      <c r="AG21" s="47" t="s">
        <v>103</v>
      </c>
      <c r="AH21" s="47" t="s">
        <v>103</v>
      </c>
      <c r="AI21" s="47">
        <v>37</v>
      </c>
      <c r="AJ21" s="47" t="s">
        <v>103</v>
      </c>
      <c r="AK21" s="47" t="s">
        <v>103</v>
      </c>
      <c r="AL21" s="47" t="s">
        <v>103</v>
      </c>
      <c r="AM21" s="47" t="s">
        <v>103</v>
      </c>
      <c r="AN21" s="47" t="s">
        <v>103</v>
      </c>
      <c r="AO21" s="47" t="s">
        <v>103</v>
      </c>
      <c r="AP21" s="47" t="s">
        <v>103</v>
      </c>
      <c r="AQ21" s="47" t="s">
        <v>103</v>
      </c>
      <c r="AR21" s="47" t="s">
        <v>103</v>
      </c>
      <c r="AS21" s="47" t="s">
        <v>103</v>
      </c>
      <c r="AT21" s="47" t="s">
        <v>103</v>
      </c>
      <c r="AU21" s="47" t="s">
        <v>103</v>
      </c>
      <c r="AV21" s="47" t="s">
        <v>103</v>
      </c>
      <c r="AW21" s="47" t="s">
        <v>103</v>
      </c>
      <c r="AX21" s="47" t="s">
        <v>103</v>
      </c>
      <c r="AY21" s="47" t="s">
        <v>103</v>
      </c>
      <c r="AZ21" s="47" t="s">
        <v>103</v>
      </c>
      <c r="BA21" s="47" t="s">
        <v>103</v>
      </c>
      <c r="BB21" s="47" t="s">
        <v>103</v>
      </c>
      <c r="BC21" s="47" t="s">
        <v>103</v>
      </c>
      <c r="BD21" s="47" t="s">
        <v>103</v>
      </c>
      <c r="BE21" s="47" t="s">
        <v>103</v>
      </c>
      <c r="BF21" s="47" t="s">
        <v>103</v>
      </c>
      <c r="BG21" s="47" t="s">
        <v>103</v>
      </c>
      <c r="BH21" s="47" t="s">
        <v>103</v>
      </c>
      <c r="BI21" s="47" t="s">
        <v>103</v>
      </c>
      <c r="BJ21" s="47" t="s">
        <v>103</v>
      </c>
      <c r="BK21" s="47" t="s">
        <v>103</v>
      </c>
      <c r="BL21" s="47" t="s">
        <v>103</v>
      </c>
      <c r="BM21" s="47" t="s">
        <v>103</v>
      </c>
    </row>
    <row r="22" spans="1:65" ht="15" customHeight="1" x14ac:dyDescent="0.25">
      <c r="A22" s="47" t="s">
        <v>119</v>
      </c>
      <c r="B22" s="47" t="s">
        <v>103</v>
      </c>
      <c r="C22" s="47" t="s">
        <v>103</v>
      </c>
      <c r="D22" s="47" t="s">
        <v>103</v>
      </c>
      <c r="E22" s="47" t="s">
        <v>103</v>
      </c>
      <c r="F22" s="47" t="s">
        <v>103</v>
      </c>
      <c r="G22" s="47" t="s">
        <v>103</v>
      </c>
      <c r="H22" s="47" t="s">
        <v>103</v>
      </c>
      <c r="I22" s="47" t="s">
        <v>103</v>
      </c>
      <c r="J22" s="47" t="s">
        <v>103</v>
      </c>
      <c r="K22" s="47" t="s">
        <v>103</v>
      </c>
      <c r="L22" s="47" t="s">
        <v>103</v>
      </c>
      <c r="M22" s="47" t="s">
        <v>103</v>
      </c>
      <c r="N22" s="47" t="s">
        <v>103</v>
      </c>
      <c r="O22" s="47" t="s">
        <v>103</v>
      </c>
      <c r="P22" s="47" t="s">
        <v>103</v>
      </c>
      <c r="Q22" s="47" t="s">
        <v>103</v>
      </c>
      <c r="R22" s="47" t="s">
        <v>103</v>
      </c>
      <c r="S22" s="47" t="s">
        <v>103</v>
      </c>
      <c r="T22" s="47" t="s">
        <v>103</v>
      </c>
      <c r="U22" s="47">
        <v>220</v>
      </c>
      <c r="V22" s="47" t="s">
        <v>103</v>
      </c>
      <c r="W22" s="47" t="s">
        <v>103</v>
      </c>
      <c r="X22" s="47" t="s">
        <v>103</v>
      </c>
      <c r="Y22" s="47" t="s">
        <v>103</v>
      </c>
      <c r="Z22" s="47" t="s">
        <v>103</v>
      </c>
      <c r="AA22" s="47" t="s">
        <v>103</v>
      </c>
      <c r="AB22" s="47" t="s">
        <v>103</v>
      </c>
      <c r="AC22" s="47" t="s">
        <v>103</v>
      </c>
      <c r="AD22" s="47" t="s">
        <v>103</v>
      </c>
      <c r="AE22" s="47" t="s">
        <v>103</v>
      </c>
      <c r="AF22" s="47" t="s">
        <v>103</v>
      </c>
      <c r="AG22" s="47" t="s">
        <v>103</v>
      </c>
      <c r="AH22" s="47" t="s">
        <v>103</v>
      </c>
      <c r="AI22" s="47">
        <v>35</v>
      </c>
      <c r="AJ22" s="47" t="s">
        <v>103</v>
      </c>
      <c r="AK22" s="47" t="s">
        <v>103</v>
      </c>
      <c r="AL22" s="47" t="s">
        <v>103</v>
      </c>
      <c r="AM22" s="47" t="s">
        <v>103</v>
      </c>
      <c r="AN22" s="47" t="s">
        <v>103</v>
      </c>
      <c r="AO22" s="47" t="s">
        <v>103</v>
      </c>
      <c r="AP22" s="47" t="s">
        <v>103</v>
      </c>
      <c r="AQ22" s="47" t="s">
        <v>103</v>
      </c>
      <c r="AR22" s="47" t="s">
        <v>103</v>
      </c>
      <c r="AS22" s="47" t="s">
        <v>103</v>
      </c>
      <c r="AT22" s="47" t="s">
        <v>103</v>
      </c>
      <c r="AU22" s="47" t="s">
        <v>103</v>
      </c>
      <c r="AV22" s="47" t="s">
        <v>103</v>
      </c>
      <c r="AW22" s="47" t="s">
        <v>103</v>
      </c>
      <c r="AX22" s="47" t="s">
        <v>103</v>
      </c>
      <c r="AY22" s="47" t="s">
        <v>103</v>
      </c>
      <c r="AZ22" s="47" t="s">
        <v>103</v>
      </c>
      <c r="BA22" s="47" t="s">
        <v>103</v>
      </c>
      <c r="BB22" s="47" t="s">
        <v>103</v>
      </c>
      <c r="BC22" s="47" t="s">
        <v>103</v>
      </c>
      <c r="BD22" s="47" t="s">
        <v>103</v>
      </c>
      <c r="BE22" s="47" t="s">
        <v>103</v>
      </c>
      <c r="BF22" s="47" t="s">
        <v>103</v>
      </c>
      <c r="BG22" s="47" t="s">
        <v>103</v>
      </c>
      <c r="BH22" s="47" t="s">
        <v>103</v>
      </c>
      <c r="BI22" s="47" t="s">
        <v>103</v>
      </c>
      <c r="BJ22" s="47" t="s">
        <v>103</v>
      </c>
      <c r="BK22" s="47" t="s">
        <v>103</v>
      </c>
      <c r="BL22" s="47" t="s">
        <v>103</v>
      </c>
      <c r="BM22" s="47" t="s">
        <v>103</v>
      </c>
    </row>
    <row r="23" spans="1:65" ht="15" customHeight="1" x14ac:dyDescent="0.25">
      <c r="A23" s="47" t="s">
        <v>118</v>
      </c>
      <c r="B23" s="47" t="s">
        <v>103</v>
      </c>
      <c r="C23" s="47" t="s">
        <v>103</v>
      </c>
      <c r="D23" s="47" t="s">
        <v>103</v>
      </c>
      <c r="E23" s="47" t="s">
        <v>103</v>
      </c>
      <c r="F23" s="47" t="s">
        <v>103</v>
      </c>
      <c r="G23" s="47" t="s">
        <v>103</v>
      </c>
      <c r="H23" s="47" t="s">
        <v>103</v>
      </c>
      <c r="I23" s="47" t="s">
        <v>103</v>
      </c>
      <c r="J23" s="47" t="s">
        <v>103</v>
      </c>
      <c r="K23" s="47" t="s">
        <v>103</v>
      </c>
      <c r="L23" s="47" t="s">
        <v>103</v>
      </c>
      <c r="M23" s="47" t="s">
        <v>103</v>
      </c>
      <c r="N23" s="47" t="s">
        <v>103</v>
      </c>
      <c r="O23" s="47" t="s">
        <v>103</v>
      </c>
      <c r="P23" s="47" t="s">
        <v>103</v>
      </c>
      <c r="Q23" s="47" t="s">
        <v>103</v>
      </c>
      <c r="R23" s="47" t="s">
        <v>103</v>
      </c>
      <c r="S23" s="47" t="s">
        <v>103</v>
      </c>
      <c r="T23" s="47" t="s">
        <v>103</v>
      </c>
      <c r="U23" s="47">
        <v>0</v>
      </c>
      <c r="V23" s="47" t="s">
        <v>103</v>
      </c>
      <c r="W23" s="47" t="s">
        <v>103</v>
      </c>
      <c r="X23" s="47" t="s">
        <v>103</v>
      </c>
      <c r="Y23" s="47" t="s">
        <v>103</v>
      </c>
      <c r="Z23" s="47" t="s">
        <v>103</v>
      </c>
      <c r="AA23" s="47" t="s">
        <v>103</v>
      </c>
      <c r="AB23" s="47" t="s">
        <v>103</v>
      </c>
      <c r="AC23" s="47" t="s">
        <v>103</v>
      </c>
      <c r="AD23" s="47" t="s">
        <v>103</v>
      </c>
      <c r="AE23" s="47" t="s">
        <v>103</v>
      </c>
      <c r="AF23" s="47" t="s">
        <v>103</v>
      </c>
      <c r="AG23" s="47" t="s">
        <v>103</v>
      </c>
      <c r="AH23" s="47" t="s">
        <v>103</v>
      </c>
      <c r="AI23" s="47">
        <v>0</v>
      </c>
      <c r="AJ23" s="47" t="s">
        <v>103</v>
      </c>
      <c r="AK23" s="47" t="s">
        <v>103</v>
      </c>
      <c r="AL23" s="47" t="s">
        <v>103</v>
      </c>
      <c r="AM23" s="47" t="s">
        <v>103</v>
      </c>
      <c r="AN23" s="47" t="s">
        <v>103</v>
      </c>
      <c r="AO23" s="47" t="s">
        <v>103</v>
      </c>
      <c r="AP23" s="47" t="s">
        <v>103</v>
      </c>
      <c r="AQ23" s="47" t="s">
        <v>103</v>
      </c>
      <c r="AR23" s="47" t="s">
        <v>103</v>
      </c>
      <c r="AS23" s="47" t="s">
        <v>103</v>
      </c>
      <c r="AT23" s="47" t="s">
        <v>103</v>
      </c>
      <c r="AU23" s="47" t="s">
        <v>103</v>
      </c>
      <c r="AV23" s="47" t="s">
        <v>103</v>
      </c>
      <c r="AW23" s="47" t="s">
        <v>103</v>
      </c>
      <c r="AX23" s="47" t="s">
        <v>103</v>
      </c>
      <c r="AY23" s="47" t="s">
        <v>103</v>
      </c>
      <c r="AZ23" s="47" t="s">
        <v>103</v>
      </c>
      <c r="BA23" s="47" t="s">
        <v>103</v>
      </c>
      <c r="BB23" s="47" t="s">
        <v>103</v>
      </c>
      <c r="BC23" s="47" t="s">
        <v>103</v>
      </c>
      <c r="BD23" s="47" t="s">
        <v>103</v>
      </c>
      <c r="BE23" s="47" t="s">
        <v>103</v>
      </c>
      <c r="BF23" s="47" t="s">
        <v>103</v>
      </c>
      <c r="BG23" s="47" t="s">
        <v>103</v>
      </c>
      <c r="BH23" s="47" t="s">
        <v>103</v>
      </c>
      <c r="BI23" s="47" t="s">
        <v>103</v>
      </c>
      <c r="BJ23" s="47" t="s">
        <v>103</v>
      </c>
      <c r="BK23" s="47" t="s">
        <v>103</v>
      </c>
      <c r="BL23" s="47" t="s">
        <v>103</v>
      </c>
      <c r="BM23" s="47" t="s">
        <v>103</v>
      </c>
    </row>
    <row r="24" spans="1:65" ht="15" customHeight="1" x14ac:dyDescent="0.25">
      <c r="A24" s="47" t="s">
        <v>117</v>
      </c>
      <c r="B24" s="47" t="s">
        <v>103</v>
      </c>
      <c r="C24" s="47" t="s">
        <v>103</v>
      </c>
      <c r="D24" s="47" t="s">
        <v>103</v>
      </c>
      <c r="E24" s="47" t="s">
        <v>103</v>
      </c>
      <c r="F24" s="47" t="s">
        <v>103</v>
      </c>
      <c r="G24" s="47" t="s">
        <v>103</v>
      </c>
      <c r="H24" s="47" t="s">
        <v>103</v>
      </c>
      <c r="I24" s="47" t="s">
        <v>103</v>
      </c>
      <c r="J24" s="47" t="s">
        <v>103</v>
      </c>
      <c r="K24" s="47" t="s">
        <v>103</v>
      </c>
      <c r="L24" s="47" t="s">
        <v>103</v>
      </c>
      <c r="M24" s="47" t="s">
        <v>103</v>
      </c>
      <c r="N24" s="47" t="s">
        <v>103</v>
      </c>
      <c r="O24" s="47" t="s">
        <v>103</v>
      </c>
      <c r="P24" s="47" t="s">
        <v>103</v>
      </c>
      <c r="Q24" s="47" t="s">
        <v>103</v>
      </c>
      <c r="R24" s="47" t="s">
        <v>103</v>
      </c>
      <c r="S24" s="47" t="s">
        <v>103</v>
      </c>
      <c r="T24" s="47" t="s">
        <v>103</v>
      </c>
      <c r="U24" s="47">
        <v>142</v>
      </c>
      <c r="V24" s="47" t="s">
        <v>103</v>
      </c>
      <c r="W24" s="47" t="s">
        <v>103</v>
      </c>
      <c r="X24" s="47" t="s">
        <v>103</v>
      </c>
      <c r="Y24" s="47" t="s">
        <v>103</v>
      </c>
      <c r="Z24" s="47" t="s">
        <v>103</v>
      </c>
      <c r="AA24" s="47" t="s">
        <v>103</v>
      </c>
      <c r="AB24" s="47" t="s">
        <v>103</v>
      </c>
      <c r="AC24" s="47" t="s">
        <v>103</v>
      </c>
      <c r="AD24" s="47" t="s">
        <v>103</v>
      </c>
      <c r="AE24" s="47" t="s">
        <v>103</v>
      </c>
      <c r="AF24" s="47" t="s">
        <v>103</v>
      </c>
      <c r="AG24" s="47" t="s">
        <v>103</v>
      </c>
      <c r="AH24" s="47" t="s">
        <v>103</v>
      </c>
      <c r="AI24" s="47">
        <v>34</v>
      </c>
      <c r="AJ24" s="47" t="s">
        <v>103</v>
      </c>
      <c r="AK24" s="47" t="s">
        <v>103</v>
      </c>
      <c r="AL24" s="47" t="s">
        <v>103</v>
      </c>
      <c r="AM24" s="47" t="s">
        <v>103</v>
      </c>
      <c r="AN24" s="47" t="s">
        <v>103</v>
      </c>
      <c r="AO24" s="47" t="s">
        <v>103</v>
      </c>
      <c r="AP24" s="47" t="s">
        <v>103</v>
      </c>
      <c r="AQ24" s="47" t="s">
        <v>103</v>
      </c>
      <c r="AR24" s="47" t="s">
        <v>103</v>
      </c>
      <c r="AS24" s="47" t="s">
        <v>103</v>
      </c>
      <c r="AT24" s="47" t="s">
        <v>103</v>
      </c>
      <c r="AU24" s="47" t="s">
        <v>103</v>
      </c>
      <c r="AV24" s="47" t="s">
        <v>103</v>
      </c>
      <c r="AW24" s="47" t="s">
        <v>103</v>
      </c>
      <c r="AX24" s="47" t="s">
        <v>103</v>
      </c>
      <c r="AY24" s="47" t="s">
        <v>103</v>
      </c>
      <c r="AZ24" s="47" t="s">
        <v>103</v>
      </c>
      <c r="BA24" s="47" t="s">
        <v>103</v>
      </c>
      <c r="BB24" s="47" t="s">
        <v>103</v>
      </c>
      <c r="BC24" s="47" t="s">
        <v>103</v>
      </c>
      <c r="BD24" s="47" t="s">
        <v>103</v>
      </c>
      <c r="BE24" s="47" t="s">
        <v>103</v>
      </c>
      <c r="BF24" s="47" t="s">
        <v>103</v>
      </c>
      <c r="BG24" s="47" t="s">
        <v>103</v>
      </c>
      <c r="BH24" s="47" t="s">
        <v>103</v>
      </c>
      <c r="BI24" s="47" t="s">
        <v>103</v>
      </c>
      <c r="BJ24" s="47" t="s">
        <v>103</v>
      </c>
      <c r="BK24" s="47" t="s">
        <v>103</v>
      </c>
      <c r="BL24" s="47" t="s">
        <v>103</v>
      </c>
      <c r="BM24" s="47" t="s">
        <v>103</v>
      </c>
    </row>
    <row r="25" spans="1:65" ht="15" customHeight="1" x14ac:dyDescent="0.25">
      <c r="A25" s="47" t="s">
        <v>116</v>
      </c>
      <c r="B25" s="47" t="s">
        <v>103</v>
      </c>
      <c r="C25" s="47" t="s">
        <v>103</v>
      </c>
      <c r="D25" s="47" t="s">
        <v>103</v>
      </c>
      <c r="E25" s="47" t="s">
        <v>103</v>
      </c>
      <c r="F25" s="47" t="s">
        <v>103</v>
      </c>
      <c r="G25" s="47" t="s">
        <v>103</v>
      </c>
      <c r="H25" s="47" t="s">
        <v>103</v>
      </c>
      <c r="I25" s="47" t="s">
        <v>103</v>
      </c>
      <c r="J25" s="47" t="s">
        <v>103</v>
      </c>
      <c r="K25" s="47" t="s">
        <v>103</v>
      </c>
      <c r="L25" s="47" t="s">
        <v>103</v>
      </c>
      <c r="M25" s="47" t="s">
        <v>103</v>
      </c>
      <c r="N25" s="47" t="s">
        <v>103</v>
      </c>
      <c r="O25" s="47" t="s">
        <v>103</v>
      </c>
      <c r="P25" s="47" t="s">
        <v>103</v>
      </c>
      <c r="Q25" s="47" t="s">
        <v>103</v>
      </c>
      <c r="R25" s="47" t="s">
        <v>103</v>
      </c>
      <c r="S25" s="47" t="s">
        <v>103</v>
      </c>
      <c r="T25" s="47" t="s">
        <v>103</v>
      </c>
      <c r="U25" s="47">
        <v>132</v>
      </c>
      <c r="V25" s="47" t="s">
        <v>103</v>
      </c>
      <c r="W25" s="47" t="s">
        <v>103</v>
      </c>
      <c r="X25" s="47" t="s">
        <v>103</v>
      </c>
      <c r="Y25" s="47" t="s">
        <v>103</v>
      </c>
      <c r="Z25" s="47" t="s">
        <v>103</v>
      </c>
      <c r="AA25" s="47" t="s">
        <v>103</v>
      </c>
      <c r="AB25" s="47" t="s">
        <v>103</v>
      </c>
      <c r="AC25" s="47" t="s">
        <v>103</v>
      </c>
      <c r="AD25" s="47" t="s">
        <v>103</v>
      </c>
      <c r="AE25" s="47" t="s">
        <v>103</v>
      </c>
      <c r="AF25" s="47" t="s">
        <v>103</v>
      </c>
      <c r="AG25" s="47" t="s">
        <v>103</v>
      </c>
      <c r="AH25" s="47" t="s">
        <v>103</v>
      </c>
      <c r="AI25" s="47">
        <v>25</v>
      </c>
      <c r="AJ25" s="47" t="s">
        <v>103</v>
      </c>
      <c r="AK25" s="47" t="s">
        <v>103</v>
      </c>
      <c r="AL25" s="47" t="s">
        <v>103</v>
      </c>
      <c r="AM25" s="47" t="s">
        <v>103</v>
      </c>
      <c r="AN25" s="47" t="s">
        <v>103</v>
      </c>
      <c r="AO25" s="47" t="s">
        <v>103</v>
      </c>
      <c r="AP25" s="47" t="s">
        <v>103</v>
      </c>
      <c r="AQ25" s="47" t="s">
        <v>103</v>
      </c>
      <c r="AR25" s="47" t="s">
        <v>103</v>
      </c>
      <c r="AS25" s="47" t="s">
        <v>103</v>
      </c>
      <c r="AT25" s="47" t="s">
        <v>103</v>
      </c>
      <c r="AU25" s="47" t="s">
        <v>103</v>
      </c>
      <c r="AV25" s="47" t="s">
        <v>103</v>
      </c>
      <c r="AW25" s="47" t="s">
        <v>103</v>
      </c>
      <c r="AX25" s="47" t="s">
        <v>103</v>
      </c>
      <c r="AY25" s="47" t="s">
        <v>103</v>
      </c>
      <c r="AZ25" s="47" t="s">
        <v>103</v>
      </c>
      <c r="BA25" s="47" t="s">
        <v>103</v>
      </c>
      <c r="BB25" s="47" t="s">
        <v>103</v>
      </c>
      <c r="BC25" s="47" t="s">
        <v>103</v>
      </c>
      <c r="BD25" s="47" t="s">
        <v>103</v>
      </c>
      <c r="BE25" s="47" t="s">
        <v>103</v>
      </c>
      <c r="BF25" s="47" t="s">
        <v>103</v>
      </c>
      <c r="BG25" s="47" t="s">
        <v>103</v>
      </c>
      <c r="BH25" s="47" t="s">
        <v>103</v>
      </c>
      <c r="BI25" s="47" t="s">
        <v>103</v>
      </c>
      <c r="BJ25" s="47" t="s">
        <v>103</v>
      </c>
      <c r="BK25" s="47" t="s">
        <v>103</v>
      </c>
      <c r="BL25" s="47" t="s">
        <v>103</v>
      </c>
      <c r="BM25" s="47" t="s">
        <v>103</v>
      </c>
    </row>
    <row r="26" spans="1:65" ht="15" customHeight="1" x14ac:dyDescent="0.25">
      <c r="A26" s="47" t="s">
        <v>115</v>
      </c>
      <c r="B26" s="47" t="s">
        <v>103</v>
      </c>
      <c r="C26" s="47" t="s">
        <v>103</v>
      </c>
      <c r="D26" s="47" t="s">
        <v>103</v>
      </c>
      <c r="E26" s="47" t="s">
        <v>103</v>
      </c>
      <c r="F26" s="47" t="s">
        <v>103</v>
      </c>
      <c r="G26" s="47" t="s">
        <v>103</v>
      </c>
      <c r="H26" s="47" t="s">
        <v>103</v>
      </c>
      <c r="I26" s="47" t="s">
        <v>103</v>
      </c>
      <c r="J26" s="47" t="s">
        <v>103</v>
      </c>
      <c r="K26" s="47" t="s">
        <v>103</v>
      </c>
      <c r="L26" s="47" t="s">
        <v>103</v>
      </c>
      <c r="M26" s="47" t="s">
        <v>103</v>
      </c>
      <c r="N26" s="47" t="s">
        <v>103</v>
      </c>
      <c r="O26" s="47" t="s">
        <v>103</v>
      </c>
      <c r="P26" s="47" t="s">
        <v>103</v>
      </c>
      <c r="Q26" s="47" t="s">
        <v>103</v>
      </c>
      <c r="R26" s="47" t="s">
        <v>103</v>
      </c>
      <c r="S26" s="47" t="s">
        <v>103</v>
      </c>
      <c r="T26" s="47" t="s">
        <v>103</v>
      </c>
      <c r="U26" s="47">
        <v>133</v>
      </c>
      <c r="V26" s="47" t="s">
        <v>103</v>
      </c>
      <c r="W26" s="47" t="s">
        <v>103</v>
      </c>
      <c r="X26" s="47" t="s">
        <v>103</v>
      </c>
      <c r="Y26" s="47" t="s">
        <v>103</v>
      </c>
      <c r="Z26" s="47" t="s">
        <v>103</v>
      </c>
      <c r="AA26" s="47" t="s">
        <v>103</v>
      </c>
      <c r="AB26" s="47" t="s">
        <v>103</v>
      </c>
      <c r="AC26" s="47" t="s">
        <v>103</v>
      </c>
      <c r="AD26" s="47" t="s">
        <v>103</v>
      </c>
      <c r="AE26" s="47" t="s">
        <v>103</v>
      </c>
      <c r="AF26" s="47" t="s">
        <v>103</v>
      </c>
      <c r="AG26" s="47" t="s">
        <v>103</v>
      </c>
      <c r="AH26" s="47" t="s">
        <v>103</v>
      </c>
      <c r="AI26" s="47">
        <v>29</v>
      </c>
      <c r="AJ26" s="47" t="s">
        <v>103</v>
      </c>
      <c r="AK26" s="47" t="s">
        <v>103</v>
      </c>
      <c r="AL26" s="47" t="s">
        <v>103</v>
      </c>
      <c r="AM26" s="47" t="s">
        <v>103</v>
      </c>
      <c r="AN26" s="47" t="s">
        <v>103</v>
      </c>
      <c r="AO26" s="47" t="s">
        <v>103</v>
      </c>
      <c r="AP26" s="47" t="s">
        <v>103</v>
      </c>
      <c r="AQ26" s="47" t="s">
        <v>103</v>
      </c>
      <c r="AR26" s="47" t="s">
        <v>103</v>
      </c>
      <c r="AS26" s="47" t="s">
        <v>103</v>
      </c>
      <c r="AT26" s="47" t="s">
        <v>103</v>
      </c>
      <c r="AU26" s="47" t="s">
        <v>103</v>
      </c>
      <c r="AV26" s="47" t="s">
        <v>103</v>
      </c>
      <c r="AW26" s="47" t="s">
        <v>103</v>
      </c>
      <c r="AX26" s="47" t="s">
        <v>103</v>
      </c>
      <c r="AY26" s="47" t="s">
        <v>103</v>
      </c>
      <c r="AZ26" s="47" t="s">
        <v>103</v>
      </c>
      <c r="BA26" s="47" t="s">
        <v>103</v>
      </c>
      <c r="BB26" s="47" t="s">
        <v>103</v>
      </c>
      <c r="BC26" s="47" t="s">
        <v>103</v>
      </c>
      <c r="BD26" s="47" t="s">
        <v>103</v>
      </c>
      <c r="BE26" s="47" t="s">
        <v>103</v>
      </c>
      <c r="BF26" s="47" t="s">
        <v>103</v>
      </c>
      <c r="BG26" s="47" t="s">
        <v>103</v>
      </c>
      <c r="BH26" s="47" t="s">
        <v>103</v>
      </c>
      <c r="BI26" s="47" t="s">
        <v>103</v>
      </c>
      <c r="BJ26" s="47" t="s">
        <v>103</v>
      </c>
      <c r="BK26" s="47" t="s">
        <v>103</v>
      </c>
      <c r="BL26" s="47" t="s">
        <v>103</v>
      </c>
      <c r="BM26" s="47" t="s">
        <v>103</v>
      </c>
    </row>
    <row r="27" spans="1:65" ht="15" customHeight="1" x14ac:dyDescent="0.25">
      <c r="A27" s="47" t="s">
        <v>114</v>
      </c>
      <c r="B27" s="47" t="s">
        <v>103</v>
      </c>
      <c r="C27" s="47" t="s">
        <v>103</v>
      </c>
      <c r="D27" s="47" t="s">
        <v>103</v>
      </c>
      <c r="E27" s="47" t="s">
        <v>103</v>
      </c>
      <c r="F27" s="47" t="s">
        <v>103</v>
      </c>
      <c r="G27" s="47" t="s">
        <v>103</v>
      </c>
      <c r="H27" s="47" t="s">
        <v>103</v>
      </c>
      <c r="I27" s="47" t="s">
        <v>103</v>
      </c>
      <c r="J27" s="47" t="s">
        <v>103</v>
      </c>
      <c r="K27" s="47" t="s">
        <v>103</v>
      </c>
      <c r="L27" s="47" t="s">
        <v>103</v>
      </c>
      <c r="M27" s="47" t="s">
        <v>103</v>
      </c>
      <c r="N27" s="47" t="s">
        <v>103</v>
      </c>
      <c r="O27" s="47" t="s">
        <v>103</v>
      </c>
      <c r="P27" s="47" t="s">
        <v>103</v>
      </c>
      <c r="Q27" s="47" t="s">
        <v>103</v>
      </c>
      <c r="R27" s="47" t="s">
        <v>103</v>
      </c>
      <c r="S27" s="47" t="s">
        <v>103</v>
      </c>
      <c r="T27" s="47" t="s">
        <v>103</v>
      </c>
      <c r="U27" s="47">
        <v>125</v>
      </c>
      <c r="V27" s="47" t="s">
        <v>103</v>
      </c>
      <c r="W27" s="47" t="s">
        <v>103</v>
      </c>
      <c r="X27" s="47" t="s">
        <v>103</v>
      </c>
      <c r="Y27" s="47" t="s">
        <v>103</v>
      </c>
      <c r="Z27" s="47" t="s">
        <v>103</v>
      </c>
      <c r="AA27" s="47" t="s">
        <v>103</v>
      </c>
      <c r="AB27" s="47" t="s">
        <v>103</v>
      </c>
      <c r="AC27" s="47" t="s">
        <v>103</v>
      </c>
      <c r="AD27" s="47" t="s">
        <v>103</v>
      </c>
      <c r="AE27" s="47" t="s">
        <v>103</v>
      </c>
      <c r="AF27" s="47" t="s">
        <v>103</v>
      </c>
      <c r="AG27" s="47" t="s">
        <v>103</v>
      </c>
      <c r="AH27" s="47" t="s">
        <v>103</v>
      </c>
      <c r="AI27" s="47">
        <v>24</v>
      </c>
      <c r="AJ27" s="47" t="s">
        <v>103</v>
      </c>
      <c r="AK27" s="47" t="s">
        <v>103</v>
      </c>
      <c r="AL27" s="47" t="s">
        <v>103</v>
      </c>
      <c r="AM27" s="47" t="s">
        <v>103</v>
      </c>
      <c r="AN27" s="47" t="s">
        <v>103</v>
      </c>
      <c r="AO27" s="47" t="s">
        <v>103</v>
      </c>
      <c r="AP27" s="47" t="s">
        <v>103</v>
      </c>
      <c r="AQ27" s="47" t="s">
        <v>103</v>
      </c>
      <c r="AR27" s="47" t="s">
        <v>103</v>
      </c>
      <c r="AS27" s="47" t="s">
        <v>103</v>
      </c>
      <c r="AT27" s="47" t="s">
        <v>103</v>
      </c>
      <c r="AU27" s="47" t="s">
        <v>103</v>
      </c>
      <c r="AV27" s="47" t="s">
        <v>103</v>
      </c>
      <c r="AW27" s="47" t="s">
        <v>103</v>
      </c>
      <c r="AX27" s="47" t="s">
        <v>103</v>
      </c>
      <c r="AY27" s="47" t="s">
        <v>103</v>
      </c>
      <c r="AZ27" s="47" t="s">
        <v>103</v>
      </c>
      <c r="BA27" s="47" t="s">
        <v>103</v>
      </c>
      <c r="BB27" s="47" t="s">
        <v>103</v>
      </c>
      <c r="BC27" s="47" t="s">
        <v>103</v>
      </c>
      <c r="BD27" s="47" t="s">
        <v>103</v>
      </c>
      <c r="BE27" s="47" t="s">
        <v>103</v>
      </c>
      <c r="BF27" s="47" t="s">
        <v>103</v>
      </c>
      <c r="BG27" s="47" t="s">
        <v>103</v>
      </c>
      <c r="BH27" s="47" t="s">
        <v>103</v>
      </c>
      <c r="BI27" s="47" t="s">
        <v>103</v>
      </c>
      <c r="BJ27" s="47" t="s">
        <v>103</v>
      </c>
      <c r="BK27" s="47" t="s">
        <v>103</v>
      </c>
      <c r="BL27" s="47" t="s">
        <v>103</v>
      </c>
      <c r="BM27" s="47" t="s">
        <v>103</v>
      </c>
    </row>
    <row r="28" spans="1:65" ht="15" customHeight="1" x14ac:dyDescent="0.25">
      <c r="A28" s="47" t="s">
        <v>113</v>
      </c>
      <c r="B28" s="47" t="s">
        <v>103</v>
      </c>
      <c r="C28" s="47" t="s">
        <v>103</v>
      </c>
      <c r="D28" s="47" t="s">
        <v>103</v>
      </c>
      <c r="E28" s="47" t="s">
        <v>103</v>
      </c>
      <c r="F28" s="47" t="s">
        <v>103</v>
      </c>
      <c r="G28" s="47" t="s">
        <v>103</v>
      </c>
      <c r="H28" s="47" t="s">
        <v>103</v>
      </c>
      <c r="I28" s="47" t="s">
        <v>103</v>
      </c>
      <c r="J28" s="47" t="s">
        <v>103</v>
      </c>
      <c r="K28" s="47" t="s">
        <v>103</v>
      </c>
      <c r="L28" s="47" t="s">
        <v>103</v>
      </c>
      <c r="M28" s="47" t="s">
        <v>103</v>
      </c>
      <c r="N28" s="47" t="s">
        <v>103</v>
      </c>
      <c r="O28" s="47" t="s">
        <v>103</v>
      </c>
      <c r="P28" s="47" t="s">
        <v>103</v>
      </c>
      <c r="Q28" s="47" t="s">
        <v>103</v>
      </c>
      <c r="R28" s="47" t="s">
        <v>103</v>
      </c>
      <c r="S28" s="47" t="s">
        <v>103</v>
      </c>
      <c r="T28" s="47" t="s">
        <v>103</v>
      </c>
      <c r="U28" s="47">
        <v>0</v>
      </c>
      <c r="V28" s="47" t="s">
        <v>103</v>
      </c>
      <c r="W28" s="47" t="s">
        <v>103</v>
      </c>
      <c r="X28" s="47" t="s">
        <v>103</v>
      </c>
      <c r="Y28" s="47" t="s">
        <v>103</v>
      </c>
      <c r="Z28" s="47" t="s">
        <v>103</v>
      </c>
      <c r="AA28" s="47" t="s">
        <v>103</v>
      </c>
      <c r="AB28" s="47" t="s">
        <v>103</v>
      </c>
      <c r="AC28" s="47" t="s">
        <v>103</v>
      </c>
      <c r="AD28" s="47" t="s">
        <v>103</v>
      </c>
      <c r="AE28" s="47" t="s">
        <v>103</v>
      </c>
      <c r="AF28" s="47" t="s">
        <v>103</v>
      </c>
      <c r="AG28" s="47" t="s">
        <v>103</v>
      </c>
      <c r="AH28" s="47" t="s">
        <v>103</v>
      </c>
      <c r="AI28" s="47">
        <v>0</v>
      </c>
      <c r="AJ28" s="47" t="s">
        <v>103</v>
      </c>
      <c r="AK28" s="47" t="s">
        <v>103</v>
      </c>
      <c r="AL28" s="47" t="s">
        <v>103</v>
      </c>
      <c r="AM28" s="47" t="s">
        <v>103</v>
      </c>
      <c r="AN28" s="47" t="s">
        <v>103</v>
      </c>
      <c r="AO28" s="47" t="s">
        <v>103</v>
      </c>
      <c r="AP28" s="47" t="s">
        <v>103</v>
      </c>
      <c r="AQ28" s="47" t="s">
        <v>103</v>
      </c>
      <c r="AR28" s="47" t="s">
        <v>103</v>
      </c>
      <c r="AS28" s="47" t="s">
        <v>103</v>
      </c>
      <c r="AT28" s="47" t="s">
        <v>103</v>
      </c>
      <c r="AU28" s="47" t="s">
        <v>103</v>
      </c>
      <c r="AV28" s="47" t="s">
        <v>103</v>
      </c>
      <c r="AW28" s="47" t="s">
        <v>103</v>
      </c>
      <c r="AX28" s="47" t="s">
        <v>103</v>
      </c>
      <c r="AY28" s="47" t="s">
        <v>103</v>
      </c>
      <c r="AZ28" s="47" t="s">
        <v>103</v>
      </c>
      <c r="BA28" s="47" t="s">
        <v>103</v>
      </c>
      <c r="BB28" s="47" t="s">
        <v>103</v>
      </c>
      <c r="BC28" s="47" t="s">
        <v>103</v>
      </c>
      <c r="BD28" s="47" t="s">
        <v>103</v>
      </c>
      <c r="BE28" s="47" t="s">
        <v>103</v>
      </c>
      <c r="BF28" s="47" t="s">
        <v>103</v>
      </c>
      <c r="BG28" s="47" t="s">
        <v>103</v>
      </c>
      <c r="BH28" s="47" t="s">
        <v>103</v>
      </c>
      <c r="BI28" s="47" t="s">
        <v>103</v>
      </c>
      <c r="BJ28" s="47" t="s">
        <v>103</v>
      </c>
      <c r="BK28" s="47" t="s">
        <v>103</v>
      </c>
      <c r="BL28" s="47" t="s">
        <v>103</v>
      </c>
      <c r="BM28" s="47" t="s">
        <v>103</v>
      </c>
    </row>
    <row r="29" spans="1:65" ht="15" customHeight="1" x14ac:dyDescent="0.25">
      <c r="A29" s="47" t="s">
        <v>112</v>
      </c>
      <c r="B29" s="47" t="s">
        <v>103</v>
      </c>
      <c r="C29" s="47" t="s">
        <v>103</v>
      </c>
      <c r="D29" s="47" t="s">
        <v>103</v>
      </c>
      <c r="E29" s="47" t="s">
        <v>103</v>
      </c>
      <c r="F29" s="47" t="s">
        <v>103</v>
      </c>
      <c r="G29" s="47" t="s">
        <v>103</v>
      </c>
      <c r="H29" s="47" t="s">
        <v>103</v>
      </c>
      <c r="I29" s="47" t="s">
        <v>103</v>
      </c>
      <c r="J29" s="47" t="s">
        <v>103</v>
      </c>
      <c r="K29" s="47" t="s">
        <v>103</v>
      </c>
      <c r="L29" s="47" t="s">
        <v>103</v>
      </c>
      <c r="M29" s="47" t="s">
        <v>103</v>
      </c>
      <c r="N29" s="47" t="s">
        <v>103</v>
      </c>
      <c r="O29" s="47" t="s">
        <v>103</v>
      </c>
      <c r="P29" s="47" t="s">
        <v>103</v>
      </c>
      <c r="Q29" s="47" t="s">
        <v>103</v>
      </c>
      <c r="R29" s="47" t="s">
        <v>103</v>
      </c>
      <c r="S29" s="47" t="s">
        <v>103</v>
      </c>
      <c r="T29" s="47" t="s">
        <v>103</v>
      </c>
      <c r="U29" s="47">
        <v>133</v>
      </c>
      <c r="V29" s="47" t="s">
        <v>103</v>
      </c>
      <c r="W29" s="47" t="s">
        <v>103</v>
      </c>
      <c r="X29" s="47" t="s">
        <v>103</v>
      </c>
      <c r="Y29" s="47" t="s">
        <v>103</v>
      </c>
      <c r="Z29" s="47" t="s">
        <v>103</v>
      </c>
      <c r="AA29" s="47" t="s">
        <v>103</v>
      </c>
      <c r="AB29" s="47" t="s">
        <v>103</v>
      </c>
      <c r="AC29" s="47" t="s">
        <v>103</v>
      </c>
      <c r="AD29" s="47" t="s">
        <v>103</v>
      </c>
      <c r="AE29" s="47" t="s">
        <v>103</v>
      </c>
      <c r="AF29" s="47" t="s">
        <v>103</v>
      </c>
      <c r="AG29" s="47" t="s">
        <v>103</v>
      </c>
      <c r="AH29" s="47" t="s">
        <v>103</v>
      </c>
      <c r="AI29" s="47">
        <v>53</v>
      </c>
      <c r="AJ29" s="47" t="s">
        <v>103</v>
      </c>
      <c r="AK29" s="47" t="s">
        <v>103</v>
      </c>
      <c r="AL29" s="47" t="s">
        <v>103</v>
      </c>
      <c r="AM29" s="47" t="s">
        <v>103</v>
      </c>
      <c r="AN29" s="47" t="s">
        <v>103</v>
      </c>
      <c r="AO29" s="47" t="s">
        <v>103</v>
      </c>
      <c r="AP29" s="47" t="s">
        <v>103</v>
      </c>
      <c r="AQ29" s="47" t="s">
        <v>103</v>
      </c>
      <c r="AR29" s="47" t="s">
        <v>103</v>
      </c>
      <c r="AS29" s="47" t="s">
        <v>103</v>
      </c>
      <c r="AT29" s="47" t="s">
        <v>103</v>
      </c>
      <c r="AU29" s="47" t="s">
        <v>103</v>
      </c>
      <c r="AV29" s="47" t="s">
        <v>103</v>
      </c>
      <c r="AW29" s="47" t="s">
        <v>103</v>
      </c>
      <c r="AX29" s="47" t="s">
        <v>103</v>
      </c>
      <c r="AY29" s="47" t="s">
        <v>103</v>
      </c>
      <c r="AZ29" s="47" t="s">
        <v>103</v>
      </c>
      <c r="BA29" s="47" t="s">
        <v>103</v>
      </c>
      <c r="BB29" s="47" t="s">
        <v>103</v>
      </c>
      <c r="BC29" s="47" t="s">
        <v>103</v>
      </c>
      <c r="BD29" s="47" t="s">
        <v>103</v>
      </c>
      <c r="BE29" s="47" t="s">
        <v>103</v>
      </c>
      <c r="BF29" s="47" t="s">
        <v>103</v>
      </c>
      <c r="BG29" s="47" t="s">
        <v>103</v>
      </c>
      <c r="BH29" s="47" t="s">
        <v>103</v>
      </c>
      <c r="BI29" s="47" t="s">
        <v>103</v>
      </c>
      <c r="BJ29" s="47" t="s">
        <v>103</v>
      </c>
      <c r="BK29" s="47" t="s">
        <v>103</v>
      </c>
      <c r="BL29" s="47" t="s">
        <v>103</v>
      </c>
      <c r="BM29" s="47" t="s">
        <v>103</v>
      </c>
    </row>
    <row r="30" spans="1:65" ht="15" customHeight="1" x14ac:dyDescent="0.25">
      <c r="A30" s="47" t="s">
        <v>111</v>
      </c>
      <c r="B30" s="47" t="s">
        <v>103</v>
      </c>
      <c r="C30" s="47" t="s">
        <v>103</v>
      </c>
      <c r="D30" s="47" t="s">
        <v>103</v>
      </c>
      <c r="E30" s="47" t="s">
        <v>103</v>
      </c>
      <c r="F30" s="47" t="s">
        <v>103</v>
      </c>
      <c r="G30" s="47" t="s">
        <v>103</v>
      </c>
      <c r="H30" s="47" t="s">
        <v>103</v>
      </c>
      <c r="I30" s="47" t="s">
        <v>103</v>
      </c>
      <c r="J30" s="47" t="s">
        <v>103</v>
      </c>
      <c r="K30" s="47" t="s">
        <v>103</v>
      </c>
      <c r="L30" s="47" t="s">
        <v>103</v>
      </c>
      <c r="M30" s="47" t="s">
        <v>103</v>
      </c>
      <c r="N30" s="47" t="s">
        <v>103</v>
      </c>
      <c r="O30" s="47" t="s">
        <v>103</v>
      </c>
      <c r="P30" s="47" t="s">
        <v>103</v>
      </c>
      <c r="Q30" s="47" t="s">
        <v>103</v>
      </c>
      <c r="R30" s="47" t="s">
        <v>103</v>
      </c>
      <c r="S30" s="47" t="s">
        <v>103</v>
      </c>
      <c r="T30" s="47" t="s">
        <v>103</v>
      </c>
      <c r="U30" s="47">
        <v>136</v>
      </c>
      <c r="V30" s="47" t="s">
        <v>103</v>
      </c>
      <c r="W30" s="47" t="s">
        <v>103</v>
      </c>
      <c r="X30" s="47" t="s">
        <v>103</v>
      </c>
      <c r="Y30" s="47" t="s">
        <v>103</v>
      </c>
      <c r="Z30" s="47" t="s">
        <v>103</v>
      </c>
      <c r="AA30" s="47" t="s">
        <v>103</v>
      </c>
      <c r="AB30" s="47" t="s">
        <v>103</v>
      </c>
      <c r="AC30" s="47" t="s">
        <v>103</v>
      </c>
      <c r="AD30" s="47" t="s">
        <v>103</v>
      </c>
      <c r="AE30" s="47" t="s">
        <v>103</v>
      </c>
      <c r="AF30" s="47" t="s">
        <v>103</v>
      </c>
      <c r="AG30" s="47" t="s">
        <v>103</v>
      </c>
      <c r="AH30" s="47" t="s">
        <v>103</v>
      </c>
      <c r="AI30" s="47">
        <v>29</v>
      </c>
      <c r="AJ30" s="47" t="s">
        <v>103</v>
      </c>
      <c r="AK30" s="47" t="s">
        <v>103</v>
      </c>
      <c r="AL30" s="47" t="s">
        <v>103</v>
      </c>
      <c r="AM30" s="47" t="s">
        <v>103</v>
      </c>
      <c r="AN30" s="47" t="s">
        <v>103</v>
      </c>
      <c r="AO30" s="47" t="s">
        <v>103</v>
      </c>
      <c r="AP30" s="47" t="s">
        <v>103</v>
      </c>
      <c r="AQ30" s="47" t="s">
        <v>103</v>
      </c>
      <c r="AR30" s="47" t="s">
        <v>103</v>
      </c>
      <c r="AS30" s="47" t="s">
        <v>103</v>
      </c>
      <c r="AT30" s="47" t="s">
        <v>103</v>
      </c>
      <c r="AU30" s="47" t="s">
        <v>103</v>
      </c>
      <c r="AV30" s="47" t="s">
        <v>103</v>
      </c>
      <c r="AW30" s="47" t="s">
        <v>103</v>
      </c>
      <c r="AX30" s="47" t="s">
        <v>103</v>
      </c>
      <c r="AY30" s="47" t="s">
        <v>103</v>
      </c>
      <c r="AZ30" s="47" t="s">
        <v>103</v>
      </c>
      <c r="BA30" s="47" t="s">
        <v>103</v>
      </c>
      <c r="BB30" s="47" t="s">
        <v>103</v>
      </c>
      <c r="BC30" s="47" t="s">
        <v>103</v>
      </c>
      <c r="BD30" s="47" t="s">
        <v>103</v>
      </c>
      <c r="BE30" s="47" t="s">
        <v>103</v>
      </c>
      <c r="BF30" s="47" t="s">
        <v>103</v>
      </c>
      <c r="BG30" s="47" t="s">
        <v>103</v>
      </c>
      <c r="BH30" s="47" t="s">
        <v>103</v>
      </c>
      <c r="BI30" s="47" t="s">
        <v>103</v>
      </c>
      <c r="BJ30" s="47" t="s">
        <v>103</v>
      </c>
      <c r="BK30" s="47" t="s">
        <v>103</v>
      </c>
      <c r="BL30" s="47" t="s">
        <v>103</v>
      </c>
      <c r="BM30" s="47" t="s">
        <v>103</v>
      </c>
    </row>
    <row r="31" spans="1:65" ht="15" customHeight="1" x14ac:dyDescent="0.25">
      <c r="A31" s="47" t="s">
        <v>110</v>
      </c>
      <c r="B31" s="47" t="s">
        <v>103</v>
      </c>
      <c r="C31" s="47" t="s">
        <v>103</v>
      </c>
      <c r="D31" s="47" t="s">
        <v>103</v>
      </c>
      <c r="E31" s="47" t="s">
        <v>103</v>
      </c>
      <c r="F31" s="47" t="s">
        <v>103</v>
      </c>
      <c r="G31" s="47" t="s">
        <v>103</v>
      </c>
      <c r="H31" s="47" t="s">
        <v>103</v>
      </c>
      <c r="I31" s="47" t="s">
        <v>103</v>
      </c>
      <c r="J31" s="47" t="s">
        <v>103</v>
      </c>
      <c r="K31" s="47" t="s">
        <v>103</v>
      </c>
      <c r="L31" s="47" t="s">
        <v>103</v>
      </c>
      <c r="M31" s="47" t="s">
        <v>103</v>
      </c>
      <c r="N31" s="47" t="s">
        <v>103</v>
      </c>
      <c r="O31" s="47" t="s">
        <v>103</v>
      </c>
      <c r="P31" s="47" t="s">
        <v>103</v>
      </c>
      <c r="Q31" s="47" t="s">
        <v>103</v>
      </c>
      <c r="R31" s="47" t="s">
        <v>103</v>
      </c>
      <c r="S31" s="47" t="s">
        <v>103</v>
      </c>
      <c r="T31" s="47" t="s">
        <v>103</v>
      </c>
      <c r="U31" s="47">
        <v>165</v>
      </c>
      <c r="V31" s="47" t="s">
        <v>103</v>
      </c>
      <c r="W31" s="47" t="s">
        <v>103</v>
      </c>
      <c r="X31" s="47" t="s">
        <v>103</v>
      </c>
      <c r="Y31" s="47" t="s">
        <v>103</v>
      </c>
      <c r="Z31" s="47" t="s">
        <v>103</v>
      </c>
      <c r="AA31" s="47" t="s">
        <v>103</v>
      </c>
      <c r="AB31" s="47" t="s">
        <v>103</v>
      </c>
      <c r="AC31" s="47" t="s">
        <v>103</v>
      </c>
      <c r="AD31" s="47" t="s">
        <v>103</v>
      </c>
      <c r="AE31" s="47" t="s">
        <v>103</v>
      </c>
      <c r="AF31" s="47" t="s">
        <v>103</v>
      </c>
      <c r="AG31" s="47" t="s">
        <v>103</v>
      </c>
      <c r="AH31" s="47" t="s">
        <v>103</v>
      </c>
      <c r="AI31" s="47">
        <v>51</v>
      </c>
      <c r="AJ31" s="47" t="s">
        <v>103</v>
      </c>
      <c r="AK31" s="47" t="s">
        <v>103</v>
      </c>
      <c r="AL31" s="47" t="s">
        <v>103</v>
      </c>
      <c r="AM31" s="47" t="s">
        <v>103</v>
      </c>
      <c r="AN31" s="47" t="s">
        <v>103</v>
      </c>
      <c r="AO31" s="47" t="s">
        <v>103</v>
      </c>
      <c r="AP31" s="47" t="s">
        <v>103</v>
      </c>
      <c r="AQ31" s="47" t="s">
        <v>103</v>
      </c>
      <c r="AR31" s="47" t="s">
        <v>103</v>
      </c>
      <c r="AS31" s="47" t="s">
        <v>103</v>
      </c>
      <c r="AT31" s="47" t="s">
        <v>103</v>
      </c>
      <c r="AU31" s="47" t="s">
        <v>103</v>
      </c>
      <c r="AV31" s="47" t="s">
        <v>103</v>
      </c>
      <c r="AW31" s="47" t="s">
        <v>103</v>
      </c>
      <c r="AX31" s="47" t="s">
        <v>103</v>
      </c>
      <c r="AY31" s="47" t="s">
        <v>103</v>
      </c>
      <c r="AZ31" s="47" t="s">
        <v>103</v>
      </c>
      <c r="BA31" s="47" t="s">
        <v>103</v>
      </c>
      <c r="BB31" s="47" t="s">
        <v>103</v>
      </c>
      <c r="BC31" s="47" t="s">
        <v>103</v>
      </c>
      <c r="BD31" s="47" t="s">
        <v>103</v>
      </c>
      <c r="BE31" s="47" t="s">
        <v>103</v>
      </c>
      <c r="BF31" s="47" t="s">
        <v>103</v>
      </c>
      <c r="BG31" s="47" t="s">
        <v>103</v>
      </c>
      <c r="BH31" s="47" t="s">
        <v>103</v>
      </c>
      <c r="BI31" s="47" t="s">
        <v>103</v>
      </c>
      <c r="BJ31" s="47" t="s">
        <v>103</v>
      </c>
      <c r="BK31" s="47" t="s">
        <v>103</v>
      </c>
      <c r="BL31" s="47" t="s">
        <v>103</v>
      </c>
      <c r="BM31" s="47" t="s">
        <v>103</v>
      </c>
    </row>
    <row r="32" spans="1:65" ht="15" customHeight="1" x14ac:dyDescent="0.25">
      <c r="A32" s="47" t="s">
        <v>109</v>
      </c>
      <c r="B32" s="47" t="s">
        <v>103</v>
      </c>
      <c r="C32" s="47" t="s">
        <v>103</v>
      </c>
      <c r="D32" s="47" t="s">
        <v>103</v>
      </c>
      <c r="E32" s="47" t="s">
        <v>103</v>
      </c>
      <c r="F32" s="47" t="s">
        <v>103</v>
      </c>
      <c r="G32" s="47" t="s">
        <v>103</v>
      </c>
      <c r="H32" s="47" t="s">
        <v>103</v>
      </c>
      <c r="I32" s="47" t="s">
        <v>103</v>
      </c>
      <c r="J32" s="47" t="s">
        <v>103</v>
      </c>
      <c r="K32" s="47" t="s">
        <v>103</v>
      </c>
      <c r="L32" s="47" t="s">
        <v>103</v>
      </c>
      <c r="M32" s="47" t="s">
        <v>103</v>
      </c>
      <c r="N32" s="47" t="s">
        <v>103</v>
      </c>
      <c r="O32" s="47" t="s">
        <v>103</v>
      </c>
      <c r="P32" s="47" t="s">
        <v>103</v>
      </c>
      <c r="Q32" s="47" t="s">
        <v>103</v>
      </c>
      <c r="R32" s="47" t="s">
        <v>103</v>
      </c>
      <c r="S32" s="47" t="s">
        <v>103</v>
      </c>
      <c r="T32" s="47" t="s">
        <v>103</v>
      </c>
      <c r="U32" s="47">
        <v>157</v>
      </c>
      <c r="V32" s="47" t="s">
        <v>103</v>
      </c>
      <c r="W32" s="47" t="s">
        <v>103</v>
      </c>
      <c r="X32" s="47" t="s">
        <v>103</v>
      </c>
      <c r="Y32" s="47" t="s">
        <v>103</v>
      </c>
      <c r="Z32" s="47" t="s">
        <v>103</v>
      </c>
      <c r="AA32" s="47" t="s">
        <v>103</v>
      </c>
      <c r="AB32" s="47" t="s">
        <v>103</v>
      </c>
      <c r="AC32" s="47" t="s">
        <v>103</v>
      </c>
      <c r="AD32" s="47" t="s">
        <v>103</v>
      </c>
      <c r="AE32" s="47" t="s">
        <v>103</v>
      </c>
      <c r="AF32" s="47" t="s">
        <v>103</v>
      </c>
      <c r="AG32" s="47" t="s">
        <v>103</v>
      </c>
      <c r="AH32" s="47" t="s">
        <v>103</v>
      </c>
      <c r="AI32" s="47">
        <v>45</v>
      </c>
      <c r="AJ32" s="47" t="s">
        <v>103</v>
      </c>
      <c r="AK32" s="47" t="s">
        <v>103</v>
      </c>
      <c r="AL32" s="47" t="s">
        <v>103</v>
      </c>
      <c r="AM32" s="47" t="s">
        <v>103</v>
      </c>
      <c r="AN32" s="47" t="s">
        <v>103</v>
      </c>
      <c r="AO32" s="47" t="s">
        <v>103</v>
      </c>
      <c r="AP32" s="47" t="s">
        <v>103</v>
      </c>
      <c r="AQ32" s="47" t="s">
        <v>103</v>
      </c>
      <c r="AR32" s="47" t="s">
        <v>103</v>
      </c>
      <c r="AS32" s="47" t="s">
        <v>103</v>
      </c>
      <c r="AT32" s="47" t="s">
        <v>103</v>
      </c>
      <c r="AU32" s="47" t="s">
        <v>103</v>
      </c>
      <c r="AV32" s="47" t="s">
        <v>103</v>
      </c>
      <c r="AW32" s="47" t="s">
        <v>103</v>
      </c>
      <c r="AX32" s="47" t="s">
        <v>103</v>
      </c>
      <c r="AY32" s="47" t="s">
        <v>103</v>
      </c>
      <c r="AZ32" s="47" t="s">
        <v>103</v>
      </c>
      <c r="BA32" s="47" t="s">
        <v>103</v>
      </c>
      <c r="BB32" s="47" t="s">
        <v>103</v>
      </c>
      <c r="BC32" s="47" t="s">
        <v>103</v>
      </c>
      <c r="BD32" s="47" t="s">
        <v>103</v>
      </c>
      <c r="BE32" s="47" t="s">
        <v>103</v>
      </c>
      <c r="BF32" s="47" t="s">
        <v>103</v>
      </c>
      <c r="BG32" s="47" t="s">
        <v>103</v>
      </c>
      <c r="BH32" s="47" t="s">
        <v>103</v>
      </c>
      <c r="BI32" s="47" t="s">
        <v>103</v>
      </c>
      <c r="BJ32" s="47" t="s">
        <v>103</v>
      </c>
      <c r="BK32" s="47" t="s">
        <v>103</v>
      </c>
      <c r="BL32" s="47" t="s">
        <v>103</v>
      </c>
      <c r="BM32" s="47" t="s">
        <v>103</v>
      </c>
    </row>
    <row r="33" spans="1:65" ht="15" customHeight="1" x14ac:dyDescent="0.25">
      <c r="A33" s="47" t="s">
        <v>108</v>
      </c>
      <c r="B33" s="47" t="s">
        <v>103</v>
      </c>
      <c r="C33" s="47" t="s">
        <v>103</v>
      </c>
      <c r="D33" s="47" t="s">
        <v>103</v>
      </c>
      <c r="E33" s="47" t="s">
        <v>103</v>
      </c>
      <c r="F33" s="47" t="s">
        <v>103</v>
      </c>
      <c r="G33" s="47" t="s">
        <v>103</v>
      </c>
      <c r="H33" s="47" t="s">
        <v>103</v>
      </c>
      <c r="I33" s="47" t="s">
        <v>103</v>
      </c>
      <c r="J33" s="47" t="s">
        <v>103</v>
      </c>
      <c r="K33" s="47" t="s">
        <v>103</v>
      </c>
      <c r="L33" s="47" t="s">
        <v>103</v>
      </c>
      <c r="M33" s="47" t="s">
        <v>103</v>
      </c>
      <c r="N33" s="47" t="s">
        <v>103</v>
      </c>
      <c r="O33" s="47" t="s">
        <v>103</v>
      </c>
      <c r="P33" s="47" t="s">
        <v>103</v>
      </c>
      <c r="Q33" s="47" t="s">
        <v>103</v>
      </c>
      <c r="R33" s="47" t="s">
        <v>103</v>
      </c>
      <c r="S33" s="47" t="s">
        <v>103</v>
      </c>
      <c r="T33" s="47" t="s">
        <v>103</v>
      </c>
      <c r="U33" s="47">
        <v>186</v>
      </c>
      <c r="V33" s="47" t="s">
        <v>103</v>
      </c>
      <c r="W33" s="47" t="s">
        <v>103</v>
      </c>
      <c r="X33" s="47" t="s">
        <v>103</v>
      </c>
      <c r="Y33" s="47" t="s">
        <v>103</v>
      </c>
      <c r="Z33" s="47" t="s">
        <v>103</v>
      </c>
      <c r="AA33" s="47" t="s">
        <v>103</v>
      </c>
      <c r="AB33" s="47" t="s">
        <v>103</v>
      </c>
      <c r="AC33" s="47" t="s">
        <v>103</v>
      </c>
      <c r="AD33" s="47" t="s">
        <v>103</v>
      </c>
      <c r="AE33" s="47" t="s">
        <v>103</v>
      </c>
      <c r="AF33" s="47" t="s">
        <v>103</v>
      </c>
      <c r="AG33" s="47" t="s">
        <v>103</v>
      </c>
      <c r="AH33" s="47" t="s">
        <v>103</v>
      </c>
      <c r="AI33" s="47">
        <v>42</v>
      </c>
      <c r="AJ33" s="47" t="s">
        <v>103</v>
      </c>
      <c r="AK33" s="47" t="s">
        <v>103</v>
      </c>
      <c r="AL33" s="47" t="s">
        <v>103</v>
      </c>
      <c r="AM33" s="47" t="s">
        <v>103</v>
      </c>
      <c r="AN33" s="47" t="s">
        <v>103</v>
      </c>
      <c r="AO33" s="47" t="s">
        <v>103</v>
      </c>
      <c r="AP33" s="47" t="s">
        <v>103</v>
      </c>
      <c r="AQ33" s="47" t="s">
        <v>103</v>
      </c>
      <c r="AR33" s="47" t="s">
        <v>103</v>
      </c>
      <c r="AS33" s="47" t="s">
        <v>103</v>
      </c>
      <c r="AT33" s="47" t="s">
        <v>103</v>
      </c>
      <c r="AU33" s="47" t="s">
        <v>103</v>
      </c>
      <c r="AV33" s="47" t="s">
        <v>103</v>
      </c>
      <c r="AW33" s="47" t="s">
        <v>103</v>
      </c>
      <c r="AX33" s="47" t="s">
        <v>103</v>
      </c>
      <c r="AY33" s="47" t="s">
        <v>103</v>
      </c>
      <c r="AZ33" s="47" t="s">
        <v>103</v>
      </c>
      <c r="BA33" s="47" t="s">
        <v>103</v>
      </c>
      <c r="BB33" s="47" t="s">
        <v>103</v>
      </c>
      <c r="BC33" s="47" t="s">
        <v>103</v>
      </c>
      <c r="BD33" s="47" t="s">
        <v>103</v>
      </c>
      <c r="BE33" s="47" t="s">
        <v>103</v>
      </c>
      <c r="BF33" s="47" t="s">
        <v>103</v>
      </c>
      <c r="BG33" s="47" t="s">
        <v>103</v>
      </c>
      <c r="BH33" s="47" t="s">
        <v>103</v>
      </c>
      <c r="BI33" s="47" t="s">
        <v>103</v>
      </c>
      <c r="BJ33" s="47" t="s">
        <v>103</v>
      </c>
      <c r="BK33" s="47" t="s">
        <v>103</v>
      </c>
      <c r="BL33" s="47" t="s">
        <v>103</v>
      </c>
      <c r="BM33" s="47" t="s">
        <v>103</v>
      </c>
    </row>
    <row r="34" spans="1:65" ht="15" customHeight="1" x14ac:dyDescent="0.25">
      <c r="A34" s="47" t="s">
        <v>107</v>
      </c>
      <c r="B34" s="47" t="s">
        <v>103</v>
      </c>
      <c r="C34" s="47" t="s">
        <v>103</v>
      </c>
      <c r="D34" s="47" t="s">
        <v>103</v>
      </c>
      <c r="E34" s="47" t="s">
        <v>103</v>
      </c>
      <c r="F34" s="47" t="s">
        <v>103</v>
      </c>
      <c r="G34" s="47" t="s">
        <v>103</v>
      </c>
      <c r="H34" s="47" t="s">
        <v>103</v>
      </c>
      <c r="I34" s="47" t="s">
        <v>103</v>
      </c>
      <c r="J34" s="47" t="s">
        <v>103</v>
      </c>
      <c r="K34" s="47" t="s">
        <v>103</v>
      </c>
      <c r="L34" s="47" t="s">
        <v>103</v>
      </c>
      <c r="M34" s="47" t="s">
        <v>103</v>
      </c>
      <c r="N34" s="47" t="s">
        <v>103</v>
      </c>
      <c r="O34" s="47" t="s">
        <v>103</v>
      </c>
      <c r="P34" s="47" t="s">
        <v>103</v>
      </c>
      <c r="Q34" s="47" t="s">
        <v>103</v>
      </c>
      <c r="R34" s="47" t="s">
        <v>103</v>
      </c>
      <c r="S34" s="47" t="s">
        <v>103</v>
      </c>
      <c r="T34" s="47" t="s">
        <v>103</v>
      </c>
      <c r="U34" s="47">
        <v>137</v>
      </c>
      <c r="V34" s="47" t="s">
        <v>103</v>
      </c>
      <c r="W34" s="47" t="s">
        <v>103</v>
      </c>
      <c r="X34" s="47" t="s">
        <v>103</v>
      </c>
      <c r="Y34" s="47" t="s">
        <v>103</v>
      </c>
      <c r="Z34" s="47" t="s">
        <v>103</v>
      </c>
      <c r="AA34" s="47" t="s">
        <v>103</v>
      </c>
      <c r="AB34" s="47" t="s">
        <v>103</v>
      </c>
      <c r="AC34" s="47" t="s">
        <v>103</v>
      </c>
      <c r="AD34" s="47" t="s">
        <v>103</v>
      </c>
      <c r="AE34" s="47" t="s">
        <v>103</v>
      </c>
      <c r="AF34" s="47" t="s">
        <v>103</v>
      </c>
      <c r="AG34" s="47" t="s">
        <v>103</v>
      </c>
      <c r="AH34" s="47" t="s">
        <v>103</v>
      </c>
      <c r="AI34" s="47">
        <v>36</v>
      </c>
      <c r="AJ34" s="47" t="s">
        <v>103</v>
      </c>
      <c r="AK34" s="47" t="s">
        <v>103</v>
      </c>
      <c r="AL34" s="47" t="s">
        <v>103</v>
      </c>
      <c r="AM34" s="47" t="s">
        <v>103</v>
      </c>
      <c r="AN34" s="47" t="s">
        <v>103</v>
      </c>
      <c r="AO34" s="47" t="s">
        <v>103</v>
      </c>
      <c r="AP34" s="47" t="s">
        <v>103</v>
      </c>
      <c r="AQ34" s="47" t="s">
        <v>103</v>
      </c>
      <c r="AR34" s="47" t="s">
        <v>103</v>
      </c>
      <c r="AS34" s="47" t="s">
        <v>103</v>
      </c>
      <c r="AT34" s="47" t="s">
        <v>103</v>
      </c>
      <c r="AU34" s="47" t="s">
        <v>103</v>
      </c>
      <c r="AV34" s="47" t="s">
        <v>103</v>
      </c>
      <c r="AW34" s="47" t="s">
        <v>103</v>
      </c>
      <c r="AX34" s="47" t="s">
        <v>103</v>
      </c>
      <c r="AY34" s="47" t="s">
        <v>103</v>
      </c>
      <c r="AZ34" s="47" t="s">
        <v>103</v>
      </c>
      <c r="BA34" s="47" t="s">
        <v>103</v>
      </c>
      <c r="BB34" s="47" t="s">
        <v>103</v>
      </c>
      <c r="BC34" s="47" t="s">
        <v>103</v>
      </c>
      <c r="BD34" s="47" t="s">
        <v>103</v>
      </c>
      <c r="BE34" s="47" t="s">
        <v>103</v>
      </c>
      <c r="BF34" s="47" t="s">
        <v>103</v>
      </c>
      <c r="BG34" s="47" t="s">
        <v>103</v>
      </c>
      <c r="BH34" s="47" t="s">
        <v>103</v>
      </c>
      <c r="BI34" s="47" t="s">
        <v>103</v>
      </c>
      <c r="BJ34" s="47" t="s">
        <v>103</v>
      </c>
      <c r="BK34" s="47" t="s">
        <v>103</v>
      </c>
      <c r="BL34" s="47" t="s">
        <v>103</v>
      </c>
      <c r="BM34" s="47" t="s">
        <v>103</v>
      </c>
    </row>
    <row r="35" spans="1:65" ht="15" customHeight="1" x14ac:dyDescent="0.25">
      <c r="A35" s="47" t="s">
        <v>106</v>
      </c>
      <c r="B35" s="47" t="s">
        <v>103</v>
      </c>
      <c r="C35" s="47" t="s">
        <v>103</v>
      </c>
      <c r="D35" s="47" t="s">
        <v>103</v>
      </c>
      <c r="E35" s="47" t="s">
        <v>103</v>
      </c>
      <c r="F35" s="47" t="s">
        <v>103</v>
      </c>
      <c r="G35" s="47" t="s">
        <v>103</v>
      </c>
      <c r="H35" s="47" t="s">
        <v>103</v>
      </c>
      <c r="I35" s="47" t="s">
        <v>103</v>
      </c>
      <c r="J35" s="47" t="s">
        <v>103</v>
      </c>
      <c r="K35" s="47" t="s">
        <v>103</v>
      </c>
      <c r="L35" s="47" t="s">
        <v>103</v>
      </c>
      <c r="M35" s="47" t="s">
        <v>103</v>
      </c>
      <c r="N35" s="47" t="s">
        <v>103</v>
      </c>
      <c r="O35" s="47" t="s">
        <v>103</v>
      </c>
      <c r="P35" s="47" t="s">
        <v>103</v>
      </c>
      <c r="Q35" s="47" t="s">
        <v>103</v>
      </c>
      <c r="R35" s="47" t="s">
        <v>103</v>
      </c>
      <c r="S35" s="47" t="s">
        <v>103</v>
      </c>
      <c r="T35" s="47" t="s">
        <v>103</v>
      </c>
      <c r="U35" s="47">
        <v>134</v>
      </c>
      <c r="V35" s="47" t="s">
        <v>103</v>
      </c>
      <c r="W35" s="47" t="s">
        <v>103</v>
      </c>
      <c r="X35" s="47" t="s">
        <v>103</v>
      </c>
      <c r="Y35" s="47" t="s">
        <v>103</v>
      </c>
      <c r="Z35" s="47" t="s">
        <v>103</v>
      </c>
      <c r="AA35" s="47" t="s">
        <v>103</v>
      </c>
      <c r="AB35" s="47" t="s">
        <v>103</v>
      </c>
      <c r="AC35" s="47" t="s">
        <v>103</v>
      </c>
      <c r="AD35" s="47" t="s">
        <v>103</v>
      </c>
      <c r="AE35" s="47" t="s">
        <v>103</v>
      </c>
      <c r="AF35" s="47" t="s">
        <v>103</v>
      </c>
      <c r="AG35" s="47" t="s">
        <v>103</v>
      </c>
      <c r="AH35" s="47" t="s">
        <v>103</v>
      </c>
      <c r="AI35" s="47">
        <v>39</v>
      </c>
      <c r="AJ35" s="47" t="s">
        <v>103</v>
      </c>
      <c r="AK35" s="47" t="s">
        <v>103</v>
      </c>
      <c r="AL35" s="47" t="s">
        <v>103</v>
      </c>
      <c r="AM35" s="47" t="s">
        <v>103</v>
      </c>
      <c r="AN35" s="47" t="s">
        <v>103</v>
      </c>
      <c r="AO35" s="47" t="s">
        <v>103</v>
      </c>
      <c r="AP35" s="47" t="s">
        <v>103</v>
      </c>
      <c r="AQ35" s="47" t="s">
        <v>103</v>
      </c>
      <c r="AR35" s="47" t="s">
        <v>103</v>
      </c>
      <c r="AS35" s="47" t="s">
        <v>103</v>
      </c>
      <c r="AT35" s="47" t="s">
        <v>103</v>
      </c>
      <c r="AU35" s="47" t="s">
        <v>103</v>
      </c>
      <c r="AV35" s="47" t="s">
        <v>103</v>
      </c>
      <c r="AW35" s="47" t="s">
        <v>103</v>
      </c>
      <c r="AX35" s="47" t="s">
        <v>103</v>
      </c>
      <c r="AY35" s="47" t="s">
        <v>103</v>
      </c>
      <c r="AZ35" s="47" t="s">
        <v>103</v>
      </c>
      <c r="BA35" s="47" t="s">
        <v>103</v>
      </c>
      <c r="BB35" s="47" t="s">
        <v>103</v>
      </c>
      <c r="BC35" s="47" t="s">
        <v>103</v>
      </c>
      <c r="BD35" s="47" t="s">
        <v>103</v>
      </c>
      <c r="BE35" s="47" t="s">
        <v>103</v>
      </c>
      <c r="BF35" s="47" t="s">
        <v>103</v>
      </c>
      <c r="BG35" s="47" t="s">
        <v>103</v>
      </c>
      <c r="BH35" s="47" t="s">
        <v>103</v>
      </c>
      <c r="BI35" s="47" t="s">
        <v>103</v>
      </c>
      <c r="BJ35" s="47" t="s">
        <v>103</v>
      </c>
      <c r="BK35" s="47" t="s">
        <v>103</v>
      </c>
      <c r="BL35" s="47" t="s">
        <v>103</v>
      </c>
      <c r="BM35" s="47" t="s">
        <v>103</v>
      </c>
    </row>
    <row r="36" spans="1:65" ht="15" customHeight="1" x14ac:dyDescent="0.25">
      <c r="A36" s="47" t="s">
        <v>105</v>
      </c>
      <c r="B36" s="47" t="s">
        <v>103</v>
      </c>
      <c r="C36" s="47" t="s">
        <v>103</v>
      </c>
      <c r="D36" s="47" t="s">
        <v>103</v>
      </c>
      <c r="E36" s="47" t="s">
        <v>103</v>
      </c>
      <c r="F36" s="47" t="s">
        <v>103</v>
      </c>
      <c r="G36" s="47" t="s">
        <v>103</v>
      </c>
      <c r="H36" s="47" t="s">
        <v>103</v>
      </c>
      <c r="I36" s="47" t="s">
        <v>103</v>
      </c>
      <c r="J36" s="47" t="s">
        <v>103</v>
      </c>
      <c r="K36" s="47" t="s">
        <v>103</v>
      </c>
      <c r="L36" s="47" t="s">
        <v>103</v>
      </c>
      <c r="M36" s="47" t="s">
        <v>103</v>
      </c>
      <c r="N36" s="47" t="s">
        <v>103</v>
      </c>
      <c r="O36" s="47" t="s">
        <v>103</v>
      </c>
      <c r="P36" s="47" t="s">
        <v>103</v>
      </c>
      <c r="Q36" s="47" t="s">
        <v>103</v>
      </c>
      <c r="R36" s="47" t="s">
        <v>103</v>
      </c>
      <c r="S36" s="47" t="s">
        <v>103</v>
      </c>
      <c r="T36" s="47" t="s">
        <v>103</v>
      </c>
      <c r="U36" s="47">
        <v>152</v>
      </c>
      <c r="V36" s="47" t="s">
        <v>103</v>
      </c>
      <c r="W36" s="47" t="s">
        <v>103</v>
      </c>
      <c r="X36" s="47" t="s">
        <v>103</v>
      </c>
      <c r="Y36" s="47" t="s">
        <v>103</v>
      </c>
      <c r="Z36" s="47" t="s">
        <v>103</v>
      </c>
      <c r="AA36" s="47" t="s">
        <v>103</v>
      </c>
      <c r="AB36" s="47" t="s">
        <v>103</v>
      </c>
      <c r="AC36" s="47" t="s">
        <v>103</v>
      </c>
      <c r="AD36" s="47" t="s">
        <v>103</v>
      </c>
      <c r="AE36" s="47" t="s">
        <v>103</v>
      </c>
      <c r="AF36" s="47" t="s">
        <v>103</v>
      </c>
      <c r="AG36" s="47" t="s">
        <v>103</v>
      </c>
      <c r="AH36" s="47" t="s">
        <v>103</v>
      </c>
      <c r="AI36" s="47">
        <v>30</v>
      </c>
      <c r="AJ36" s="47" t="s">
        <v>103</v>
      </c>
      <c r="AK36" s="47" t="s">
        <v>103</v>
      </c>
      <c r="AL36" s="47" t="s">
        <v>103</v>
      </c>
      <c r="AM36" s="47" t="s">
        <v>103</v>
      </c>
      <c r="AN36" s="47" t="s">
        <v>103</v>
      </c>
      <c r="AO36" s="47" t="s">
        <v>103</v>
      </c>
      <c r="AP36" s="47" t="s">
        <v>103</v>
      </c>
      <c r="AQ36" s="47" t="s">
        <v>103</v>
      </c>
      <c r="AR36" s="47" t="s">
        <v>103</v>
      </c>
      <c r="AS36" s="47" t="s">
        <v>103</v>
      </c>
      <c r="AT36" s="47" t="s">
        <v>103</v>
      </c>
      <c r="AU36" s="47" t="s">
        <v>103</v>
      </c>
      <c r="AV36" s="47" t="s">
        <v>103</v>
      </c>
      <c r="AW36" s="47" t="s">
        <v>103</v>
      </c>
      <c r="AX36" s="47" t="s">
        <v>103</v>
      </c>
      <c r="AY36" s="47" t="s">
        <v>103</v>
      </c>
      <c r="AZ36" s="47" t="s">
        <v>103</v>
      </c>
      <c r="BA36" s="47" t="s">
        <v>103</v>
      </c>
      <c r="BB36" s="47" t="s">
        <v>103</v>
      </c>
      <c r="BC36" s="47" t="s">
        <v>103</v>
      </c>
      <c r="BD36" s="47" t="s">
        <v>103</v>
      </c>
      <c r="BE36" s="47" t="s">
        <v>103</v>
      </c>
      <c r="BF36" s="47" t="s">
        <v>103</v>
      </c>
      <c r="BG36" s="47" t="s">
        <v>103</v>
      </c>
      <c r="BH36" s="47" t="s">
        <v>103</v>
      </c>
      <c r="BI36" s="47" t="s">
        <v>103</v>
      </c>
      <c r="BJ36" s="47" t="s">
        <v>103</v>
      </c>
      <c r="BK36" s="47" t="s">
        <v>103</v>
      </c>
      <c r="BL36" s="47" t="s">
        <v>103</v>
      </c>
      <c r="BM36" s="47" t="s">
        <v>103</v>
      </c>
    </row>
    <row r="37" spans="1:65" ht="15" customHeight="1" x14ac:dyDescent="0.25">
      <c r="A37" s="47" t="s">
        <v>104</v>
      </c>
      <c r="B37" s="47" t="s">
        <v>103</v>
      </c>
      <c r="C37" s="47" t="s">
        <v>103</v>
      </c>
      <c r="D37" s="47" t="s">
        <v>103</v>
      </c>
      <c r="E37" s="47" t="s">
        <v>103</v>
      </c>
      <c r="F37" s="47" t="s">
        <v>103</v>
      </c>
      <c r="G37" s="47" t="s">
        <v>103</v>
      </c>
      <c r="H37" s="47" t="s">
        <v>103</v>
      </c>
      <c r="I37" s="47" t="s">
        <v>103</v>
      </c>
      <c r="J37" s="47" t="s">
        <v>103</v>
      </c>
      <c r="K37" s="47" t="s">
        <v>103</v>
      </c>
      <c r="L37" s="47" t="s">
        <v>103</v>
      </c>
      <c r="M37" s="47" t="s">
        <v>103</v>
      </c>
      <c r="N37" s="47" t="s">
        <v>103</v>
      </c>
      <c r="O37" s="47" t="s">
        <v>103</v>
      </c>
      <c r="P37" s="47" t="s">
        <v>103</v>
      </c>
      <c r="Q37" s="47" t="s">
        <v>103</v>
      </c>
      <c r="R37" s="47" t="s">
        <v>103</v>
      </c>
      <c r="S37" s="47" t="s">
        <v>103</v>
      </c>
      <c r="T37" s="47" t="s">
        <v>103</v>
      </c>
      <c r="U37" s="47">
        <v>0</v>
      </c>
      <c r="V37" s="47" t="s">
        <v>103</v>
      </c>
      <c r="W37" s="47" t="s">
        <v>103</v>
      </c>
      <c r="X37" s="47" t="s">
        <v>103</v>
      </c>
      <c r="Y37" s="47" t="s">
        <v>103</v>
      </c>
      <c r="Z37" s="47" t="s">
        <v>103</v>
      </c>
      <c r="AA37" s="47" t="s">
        <v>103</v>
      </c>
      <c r="AB37" s="47" t="s">
        <v>103</v>
      </c>
      <c r="AC37" s="47" t="s">
        <v>103</v>
      </c>
      <c r="AD37" s="47" t="s">
        <v>103</v>
      </c>
      <c r="AE37" s="47" t="s">
        <v>103</v>
      </c>
      <c r="AF37" s="47" t="s">
        <v>103</v>
      </c>
      <c r="AG37" s="47" t="s">
        <v>103</v>
      </c>
      <c r="AH37" s="47" t="s">
        <v>103</v>
      </c>
      <c r="AI37" s="47">
        <v>0</v>
      </c>
      <c r="AJ37" s="47" t="s">
        <v>103</v>
      </c>
      <c r="AK37" s="47" t="s">
        <v>103</v>
      </c>
      <c r="AL37" s="47" t="s">
        <v>103</v>
      </c>
      <c r="AM37" s="47" t="s">
        <v>103</v>
      </c>
      <c r="AN37" s="47" t="s">
        <v>103</v>
      </c>
      <c r="AO37" s="47" t="s">
        <v>103</v>
      </c>
      <c r="AP37" s="47" t="s">
        <v>103</v>
      </c>
      <c r="AQ37" s="47" t="s">
        <v>103</v>
      </c>
      <c r="AR37" s="47" t="s">
        <v>103</v>
      </c>
      <c r="AS37" s="47" t="s">
        <v>103</v>
      </c>
      <c r="AT37" s="47" t="s">
        <v>103</v>
      </c>
      <c r="AU37" s="47" t="s">
        <v>103</v>
      </c>
      <c r="AV37" s="47" t="s">
        <v>103</v>
      </c>
      <c r="AW37" s="47" t="s">
        <v>103</v>
      </c>
      <c r="AX37" s="47" t="s">
        <v>103</v>
      </c>
      <c r="AY37" s="47" t="s">
        <v>103</v>
      </c>
      <c r="AZ37" s="47" t="s">
        <v>103</v>
      </c>
      <c r="BA37" s="47" t="s">
        <v>103</v>
      </c>
      <c r="BB37" s="47" t="s">
        <v>103</v>
      </c>
      <c r="BC37" s="47" t="s">
        <v>103</v>
      </c>
      <c r="BD37" s="47" t="s">
        <v>103</v>
      </c>
      <c r="BE37" s="47" t="s">
        <v>103</v>
      </c>
      <c r="BF37" s="47" t="s">
        <v>103</v>
      </c>
      <c r="BG37" s="47" t="s">
        <v>103</v>
      </c>
      <c r="BH37" s="47" t="s">
        <v>103</v>
      </c>
      <c r="BI37" s="47" t="s">
        <v>103</v>
      </c>
      <c r="BJ37" s="47" t="s">
        <v>103</v>
      </c>
      <c r="BK37" s="47" t="s">
        <v>103</v>
      </c>
      <c r="BL37" s="47" t="s">
        <v>103</v>
      </c>
      <c r="BM37" s="47" t="s">
        <v>103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2024-06-11T02:44:13Z</dcterms:modified>
</cp:coreProperties>
</file>