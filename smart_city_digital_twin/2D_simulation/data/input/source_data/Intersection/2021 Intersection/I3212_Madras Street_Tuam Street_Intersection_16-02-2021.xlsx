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068AB37B-6E39-47C7-BDB1-630A3E0BF4C1}" xr6:coauthVersionLast="46" xr6:coauthVersionMax="46" xr10:uidLastSave="{00000000-0000-0000-0000-000000000000}"/>
  <bookViews>
    <workbookView xWindow="-38520" yWindow="-198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6" i="4"/>
  <c r="I86" i="4"/>
  <c r="I166" i="4"/>
  <c r="I246" i="4"/>
  <c r="I26" i="4"/>
  <c r="I106" i="4"/>
  <c r="I186" i="4"/>
  <c r="I46" i="4"/>
  <c r="I126" i="4"/>
  <c r="I206" i="4"/>
  <c r="I266" i="4"/>
  <c r="I286" i="4"/>
  <c r="I346" i="4"/>
  <c r="I426" i="4"/>
  <c r="I506" i="4"/>
  <c r="I586" i="4"/>
  <c r="I646" i="4"/>
  <c r="I326" i="4"/>
  <c r="I366" i="4"/>
  <c r="I446" i="4"/>
  <c r="I526" i="4"/>
  <c r="I606" i="4"/>
  <c r="I666" i="4"/>
  <c r="I306" i="4"/>
  <c r="I386" i="4"/>
  <c r="I466" i="4"/>
  <c r="I546" i="4"/>
  <c r="I626" i="4"/>
  <c r="I686" i="4"/>
  <c r="I406" i="4"/>
  <c r="I486" i="4"/>
  <c r="I566" i="4"/>
  <c r="I706" i="4"/>
  <c r="I18" i="4"/>
  <c r="I98" i="4"/>
  <c r="I178" i="4"/>
  <c r="I38" i="4"/>
  <c r="I118" i="4"/>
  <c r="I198" i="4"/>
  <c r="I58" i="4"/>
  <c r="I138" i="4"/>
  <c r="I218" i="4"/>
  <c r="I78" i="4"/>
  <c r="I158" i="4"/>
  <c r="I238" i="4"/>
  <c r="I298" i="4"/>
  <c r="I338" i="4"/>
  <c r="I318" i="4"/>
  <c r="I378" i="4"/>
  <c r="I458" i="4"/>
  <c r="I538" i="4"/>
  <c r="I618" i="4"/>
  <c r="I678" i="4"/>
  <c r="I258" i="4"/>
  <c r="I398" i="4"/>
  <c r="I478" i="4"/>
  <c r="I558" i="4"/>
  <c r="I638" i="4"/>
  <c r="I698" i="4"/>
  <c r="I418" i="4"/>
  <c r="I498" i="4"/>
  <c r="I578" i="4"/>
  <c r="I718" i="4"/>
  <c r="I278" i="4"/>
  <c r="I358" i="4"/>
  <c r="I438" i="4"/>
  <c r="I518" i="4"/>
  <c r="I598" i="4"/>
  <c r="I658" i="4"/>
  <c r="I63" i="4"/>
  <c r="I143" i="4"/>
  <c r="I223" i="4"/>
  <c r="I303" i="4"/>
  <c r="I343" i="4"/>
  <c r="I423" i="4"/>
  <c r="I3" i="4"/>
  <c r="I83" i="4"/>
  <c r="I163" i="4"/>
  <c r="I243" i="4"/>
  <c r="I323" i="4"/>
  <c r="I363" i="4"/>
  <c r="I443" i="4"/>
  <c r="I523" i="4"/>
  <c r="I23" i="4"/>
  <c r="I103" i="4"/>
  <c r="I183" i="4"/>
  <c r="I263" i="4"/>
  <c r="I383" i="4"/>
  <c r="I463" i="4"/>
  <c r="I43" i="4"/>
  <c r="I123" i="4"/>
  <c r="I203" i="4"/>
  <c r="I283" i="4"/>
  <c r="I403" i="4"/>
  <c r="I483" i="4"/>
  <c r="I563" i="4"/>
  <c r="I503" i="4"/>
  <c r="I543" i="4"/>
  <c r="I663" i="4"/>
  <c r="I623" i="4"/>
  <c r="I603" i="4"/>
  <c r="I583" i="4"/>
  <c r="I703" i="4"/>
  <c r="I643" i="4"/>
  <c r="I683" i="4"/>
  <c r="I5" i="4"/>
  <c r="I85" i="4"/>
  <c r="I165" i="4"/>
  <c r="I245" i="4"/>
  <c r="I325" i="4"/>
  <c r="I25" i="4"/>
  <c r="I105" i="4"/>
  <c r="I185" i="4"/>
  <c r="I265" i="4"/>
  <c r="I45" i="4"/>
  <c r="I125" i="4"/>
  <c r="I205" i="4"/>
  <c r="I285" i="4"/>
  <c r="I65" i="4"/>
  <c r="I145" i="4"/>
  <c r="I225" i="4"/>
  <c r="I305" i="4"/>
  <c r="I405" i="4"/>
  <c r="I485" i="4"/>
  <c r="I565" i="4"/>
  <c r="I345" i="4"/>
  <c r="I425" i="4"/>
  <c r="I505" i="4"/>
  <c r="I585" i="4"/>
  <c r="I365" i="4"/>
  <c r="I445" i="4"/>
  <c r="I525" i="4"/>
  <c r="I605" i="4"/>
  <c r="I625" i="4"/>
  <c r="I665" i="4"/>
  <c r="I385" i="4"/>
  <c r="I465" i="4"/>
  <c r="I545" i="4"/>
  <c r="I685" i="4"/>
  <c r="I645" i="4"/>
  <c r="I705" i="4"/>
  <c r="I53" i="4"/>
  <c r="I133" i="4"/>
  <c r="I213" i="4"/>
  <c r="I293" i="4"/>
  <c r="I73" i="4"/>
  <c r="I153" i="4"/>
  <c r="I233" i="4"/>
  <c r="I313" i="4"/>
  <c r="I13" i="4"/>
  <c r="I93" i="4"/>
  <c r="I173" i="4"/>
  <c r="I253" i="4"/>
  <c r="I333" i="4"/>
  <c r="I33" i="4"/>
  <c r="I113" i="4"/>
  <c r="I193" i="4"/>
  <c r="I273" i="4"/>
  <c r="I373" i="4"/>
  <c r="I453" i="4"/>
  <c r="I533" i="4"/>
  <c r="I693" i="4"/>
  <c r="I653" i="4"/>
  <c r="I713" i="4"/>
  <c r="I393" i="4"/>
  <c r="I473" i="4"/>
  <c r="I553" i="4"/>
  <c r="I413" i="4"/>
  <c r="I493" i="4"/>
  <c r="I573" i="4"/>
  <c r="I353" i="4"/>
  <c r="I433" i="4"/>
  <c r="I513" i="4"/>
  <c r="I593" i="4"/>
  <c r="I613" i="4"/>
  <c r="I633" i="4"/>
  <c r="I673" i="4"/>
  <c r="I50" i="4"/>
  <c r="I130" i="4"/>
  <c r="I210" i="4"/>
  <c r="I70" i="4"/>
  <c r="I150" i="4"/>
  <c r="I230" i="4"/>
  <c r="I10" i="4"/>
  <c r="I90" i="4"/>
  <c r="I170" i="4"/>
  <c r="I30" i="4"/>
  <c r="I110" i="4"/>
  <c r="I190" i="4"/>
  <c r="I330" i="4"/>
  <c r="I410" i="4"/>
  <c r="I490" i="4"/>
  <c r="I570" i="4"/>
  <c r="I710" i="4"/>
  <c r="I290" i="4"/>
  <c r="I350" i="4"/>
  <c r="I430" i="4"/>
  <c r="I510" i="4"/>
  <c r="I590" i="4"/>
  <c r="I650" i="4"/>
  <c r="I270" i="4"/>
  <c r="I370" i="4"/>
  <c r="I450" i="4"/>
  <c r="I530" i="4"/>
  <c r="I610" i="4"/>
  <c r="I670" i="4"/>
  <c r="I250" i="4"/>
  <c r="I310" i="4"/>
  <c r="I390" i="4"/>
  <c r="I470" i="4"/>
  <c r="I550" i="4"/>
  <c r="I630" i="4"/>
  <c r="I690" i="4"/>
  <c r="I47" i="4"/>
  <c r="I127" i="4"/>
  <c r="I207" i="4"/>
  <c r="I287" i="4"/>
  <c r="I407" i="4"/>
  <c r="I67" i="4"/>
  <c r="I147" i="4"/>
  <c r="I227" i="4"/>
  <c r="I307" i="4"/>
  <c r="I347" i="4"/>
  <c r="I427" i="4"/>
  <c r="I507" i="4"/>
  <c r="I587" i="4"/>
  <c r="I7" i="4"/>
  <c r="I87" i="4"/>
  <c r="I167" i="4"/>
  <c r="I247" i="4"/>
  <c r="I327" i="4"/>
  <c r="I367" i="4"/>
  <c r="I447" i="4"/>
  <c r="I27" i="4"/>
  <c r="I107" i="4"/>
  <c r="I187" i="4"/>
  <c r="I267" i="4"/>
  <c r="I387" i="4"/>
  <c r="I467" i="4"/>
  <c r="I547" i="4"/>
  <c r="I567" i="4"/>
  <c r="I687" i="4"/>
  <c r="I627" i="4"/>
  <c r="I667" i="4"/>
  <c r="I487" i="4"/>
  <c r="I707" i="4"/>
  <c r="I527" i="4"/>
  <c r="I607" i="4"/>
  <c r="I647" i="4"/>
  <c r="I60" i="4"/>
  <c r="I140" i="4"/>
  <c r="I220" i="4"/>
  <c r="I280" i="4"/>
  <c r="I80" i="4"/>
  <c r="I160" i="4"/>
  <c r="I240" i="4"/>
  <c r="I320" i="4"/>
  <c r="I360" i="4"/>
  <c r="I440" i="4"/>
  <c r="I520" i="4"/>
  <c r="I20" i="4"/>
  <c r="I100" i="4"/>
  <c r="I180" i="4"/>
  <c r="I260" i="4"/>
  <c r="I40" i="4"/>
  <c r="I120" i="4"/>
  <c r="I200" i="4"/>
  <c r="I400" i="4"/>
  <c r="I480" i="4"/>
  <c r="I560" i="4"/>
  <c r="I500" i="4"/>
  <c r="I340" i="4"/>
  <c r="I640" i="4"/>
  <c r="I720" i="4"/>
  <c r="I380" i="4"/>
  <c r="I540" i="4"/>
  <c r="I600" i="4"/>
  <c r="I620" i="4"/>
  <c r="I660" i="4"/>
  <c r="I420" i="4"/>
  <c r="I580" i="4"/>
  <c r="I680" i="4"/>
  <c r="I460" i="4"/>
  <c r="I300" i="4"/>
  <c r="I700" i="4"/>
  <c r="I2" i="4"/>
  <c r="I82" i="4"/>
  <c r="I162" i="4"/>
  <c r="I242" i="4"/>
  <c r="I22" i="4"/>
  <c r="I102" i="4"/>
  <c r="I182" i="4"/>
  <c r="I282" i="4"/>
  <c r="I42" i="4"/>
  <c r="I122" i="4"/>
  <c r="I202" i="4"/>
  <c r="I262" i="4"/>
  <c r="I62" i="4"/>
  <c r="I142" i="4"/>
  <c r="I222" i="4"/>
  <c r="I362" i="4"/>
  <c r="I442" i="4"/>
  <c r="I522" i="4"/>
  <c r="I602" i="4"/>
  <c r="I662" i="4"/>
  <c r="I382" i="4"/>
  <c r="I462" i="4"/>
  <c r="I542" i="4"/>
  <c r="I622" i="4"/>
  <c r="I682" i="4"/>
  <c r="I302" i="4"/>
  <c r="I402" i="4"/>
  <c r="I482" i="4"/>
  <c r="I562" i="4"/>
  <c r="I702" i="4"/>
  <c r="I322" i="4"/>
  <c r="I342" i="4"/>
  <c r="I422" i="4"/>
  <c r="I502" i="4"/>
  <c r="I582" i="4"/>
  <c r="I642" i="4"/>
  <c r="I34" i="4"/>
  <c r="I114" i="4"/>
  <c r="I194" i="4"/>
  <c r="I54" i="4"/>
  <c r="I134" i="4"/>
  <c r="I214" i="4"/>
  <c r="I314" i="4"/>
  <c r="I74" i="4"/>
  <c r="I154" i="4"/>
  <c r="I234" i="4"/>
  <c r="I14" i="4"/>
  <c r="I94" i="4"/>
  <c r="I174" i="4"/>
  <c r="I274" i="4"/>
  <c r="I394" i="4"/>
  <c r="I474" i="4"/>
  <c r="I554" i="4"/>
  <c r="I634" i="4"/>
  <c r="I694" i="4"/>
  <c r="I294" i="4"/>
  <c r="I414" i="4"/>
  <c r="I494" i="4"/>
  <c r="I574" i="4"/>
  <c r="I714" i="4"/>
  <c r="I254" i="4"/>
  <c r="I334" i="4"/>
  <c r="I354" i="4"/>
  <c r="I434" i="4"/>
  <c r="I514" i="4"/>
  <c r="I594" i="4"/>
  <c r="I654" i="4"/>
  <c r="I374" i="4"/>
  <c r="I454" i="4"/>
  <c r="I534" i="4"/>
  <c r="I614" i="4"/>
  <c r="I674" i="4"/>
  <c r="I31" i="4"/>
  <c r="I111" i="4"/>
  <c r="I191" i="4"/>
  <c r="I271" i="4"/>
  <c r="I391" i="4"/>
  <c r="I51" i="4"/>
  <c r="I131" i="4"/>
  <c r="I211" i="4"/>
  <c r="I291" i="4"/>
  <c r="I411" i="4"/>
  <c r="I491" i="4"/>
  <c r="I571" i="4"/>
  <c r="I71" i="4"/>
  <c r="I151" i="4"/>
  <c r="I231" i="4"/>
  <c r="I311" i="4"/>
  <c r="I351" i="4"/>
  <c r="I431" i="4"/>
  <c r="I11" i="4"/>
  <c r="I91" i="4"/>
  <c r="I171" i="4"/>
  <c r="I251" i="4"/>
  <c r="I331" i="4"/>
  <c r="I371" i="4"/>
  <c r="I451" i="4"/>
  <c r="I531" i="4"/>
  <c r="I471" i="4"/>
  <c r="I711" i="4"/>
  <c r="I691" i="4"/>
  <c r="I511" i="4"/>
  <c r="I631" i="4"/>
  <c r="I551" i="4"/>
  <c r="I591" i="4"/>
  <c r="I671" i="4"/>
  <c r="I611" i="4"/>
  <c r="I651" i="4"/>
  <c r="I28" i="4"/>
  <c r="I108" i="4"/>
  <c r="I188" i="4"/>
  <c r="I48" i="4"/>
  <c r="I128" i="4"/>
  <c r="I208" i="4"/>
  <c r="I288" i="4"/>
  <c r="I408" i="4"/>
  <c r="I488" i="4"/>
  <c r="I568" i="4"/>
  <c r="I68" i="4"/>
  <c r="I148" i="4"/>
  <c r="I228" i="4"/>
  <c r="I328" i="4"/>
  <c r="I8" i="4"/>
  <c r="I88" i="4"/>
  <c r="I168" i="4"/>
  <c r="I248" i="4"/>
  <c r="I368" i="4"/>
  <c r="I448" i="4"/>
  <c r="I528" i="4"/>
  <c r="I608" i="4"/>
  <c r="I468" i="4"/>
  <c r="I308" i="4"/>
  <c r="I688" i="4"/>
  <c r="I348" i="4"/>
  <c r="I508" i="4"/>
  <c r="I708" i="4"/>
  <c r="I388" i="4"/>
  <c r="I548" i="4"/>
  <c r="I648" i="4"/>
  <c r="I428" i="4"/>
  <c r="I588" i="4"/>
  <c r="I628" i="4"/>
  <c r="I268" i="4"/>
  <c r="I668" i="4"/>
  <c r="I44" i="4"/>
  <c r="I124" i="4"/>
  <c r="I204" i="4"/>
  <c r="I64" i="4"/>
  <c r="I144" i="4"/>
  <c r="I224" i="4"/>
  <c r="I344" i="4"/>
  <c r="I424" i="4"/>
  <c r="I504" i="4"/>
  <c r="I584" i="4"/>
  <c r="I4" i="4"/>
  <c r="I84" i="4"/>
  <c r="I164" i="4"/>
  <c r="I244" i="4"/>
  <c r="I24" i="4"/>
  <c r="I104" i="4"/>
  <c r="I184" i="4"/>
  <c r="I264" i="4"/>
  <c r="I304" i="4"/>
  <c r="I384" i="4"/>
  <c r="I464" i="4"/>
  <c r="I544" i="4"/>
  <c r="I404" i="4"/>
  <c r="I564" i="4"/>
  <c r="I704" i="4"/>
  <c r="I444" i="4"/>
  <c r="I284" i="4"/>
  <c r="I644" i="4"/>
  <c r="I484" i="4"/>
  <c r="I604" i="4"/>
  <c r="I624" i="4"/>
  <c r="I324" i="4"/>
  <c r="I664" i="4"/>
  <c r="I364" i="4"/>
  <c r="I524" i="4"/>
  <c r="I684" i="4"/>
  <c r="I12" i="4"/>
  <c r="I92" i="4"/>
  <c r="I172" i="4"/>
  <c r="I252" i="4"/>
  <c r="I312" i="4"/>
  <c r="I32" i="4"/>
  <c r="I112" i="4"/>
  <c r="I192" i="4"/>
  <c r="I392" i="4"/>
  <c r="I472" i="4"/>
  <c r="I552" i="4"/>
  <c r="I52" i="4"/>
  <c r="I132" i="4"/>
  <c r="I212" i="4"/>
  <c r="I72" i="4"/>
  <c r="I152" i="4"/>
  <c r="I232" i="4"/>
  <c r="I272" i="4"/>
  <c r="I352" i="4"/>
  <c r="I432" i="4"/>
  <c r="I512" i="4"/>
  <c r="I592" i="4"/>
  <c r="I372" i="4"/>
  <c r="I532" i="4"/>
  <c r="I632" i="4"/>
  <c r="I672" i="4"/>
  <c r="I412" i="4"/>
  <c r="I572" i="4"/>
  <c r="I692" i="4"/>
  <c r="I452" i="4"/>
  <c r="I292" i="4"/>
  <c r="I712" i="4"/>
  <c r="I492" i="4"/>
  <c r="I612" i="4"/>
  <c r="I332" i="4"/>
  <c r="I652" i="4"/>
  <c r="I15" i="4"/>
  <c r="I95" i="4"/>
  <c r="I175" i="4"/>
  <c r="I255" i="4"/>
  <c r="I335" i="4"/>
  <c r="I375" i="4"/>
  <c r="I455" i="4"/>
  <c r="I35" i="4"/>
  <c r="I115" i="4"/>
  <c r="I195" i="4"/>
  <c r="I275" i="4"/>
  <c r="I395" i="4"/>
  <c r="I475" i="4"/>
  <c r="I555" i="4"/>
  <c r="I55" i="4"/>
  <c r="I135" i="4"/>
  <c r="I215" i="4"/>
  <c r="I295" i="4"/>
  <c r="I415" i="4"/>
  <c r="I75" i="4"/>
  <c r="I155" i="4"/>
  <c r="I235" i="4"/>
  <c r="I315" i="4"/>
  <c r="I355" i="4"/>
  <c r="I435" i="4"/>
  <c r="I515" i="4"/>
  <c r="I535" i="4"/>
  <c r="I615" i="4"/>
  <c r="I655" i="4"/>
  <c r="I575" i="4"/>
  <c r="I595" i="4"/>
  <c r="I695" i="4"/>
  <c r="I635" i="4"/>
  <c r="I675" i="4"/>
  <c r="I495" i="4"/>
  <c r="I715" i="4"/>
  <c r="I69" i="4"/>
  <c r="I149" i="4"/>
  <c r="I229" i="4"/>
  <c r="I309" i="4"/>
  <c r="I9" i="4"/>
  <c r="I89" i="4"/>
  <c r="I169" i="4"/>
  <c r="I249" i="4"/>
  <c r="I329" i="4"/>
  <c r="I29" i="4"/>
  <c r="I109" i="4"/>
  <c r="I189" i="4"/>
  <c r="I269" i="4"/>
  <c r="I49" i="4"/>
  <c r="I129" i="4"/>
  <c r="I209" i="4"/>
  <c r="I289" i="4"/>
  <c r="I389" i="4"/>
  <c r="I469" i="4"/>
  <c r="I549" i="4"/>
  <c r="I609" i="4"/>
  <c r="I409" i="4"/>
  <c r="I489" i="4"/>
  <c r="I569" i="4"/>
  <c r="I669" i="4"/>
  <c r="I629" i="4"/>
  <c r="I689" i="4"/>
  <c r="I349" i="4"/>
  <c r="I429" i="4"/>
  <c r="I509" i="4"/>
  <c r="I589" i="4"/>
  <c r="I709" i="4"/>
  <c r="I369" i="4"/>
  <c r="I449" i="4"/>
  <c r="I529" i="4"/>
  <c r="I649" i="4"/>
  <c r="I21" i="4"/>
  <c r="I101" i="4"/>
  <c r="I181" i="4"/>
  <c r="I261" i="4"/>
  <c r="I341" i="4"/>
  <c r="I41" i="4"/>
  <c r="I121" i="4"/>
  <c r="I201" i="4"/>
  <c r="I281" i="4"/>
  <c r="I61" i="4"/>
  <c r="I141" i="4"/>
  <c r="I221" i="4"/>
  <c r="I301" i="4"/>
  <c r="I81" i="4"/>
  <c r="I161" i="4"/>
  <c r="I241" i="4"/>
  <c r="I321" i="4"/>
  <c r="I421" i="4"/>
  <c r="I501" i="4"/>
  <c r="I581" i="4"/>
  <c r="I661" i="4"/>
  <c r="I621" i="4"/>
  <c r="I681" i="4"/>
  <c r="I361" i="4"/>
  <c r="I441" i="4"/>
  <c r="I521" i="4"/>
  <c r="I701" i="4"/>
  <c r="I721" i="4"/>
  <c r="I381" i="4"/>
  <c r="I461" i="4"/>
  <c r="I541" i="4"/>
  <c r="I641" i="4"/>
  <c r="I401" i="4"/>
  <c r="I481" i="4"/>
  <c r="I561" i="4"/>
  <c r="I601" i="4"/>
  <c r="I37" i="4"/>
  <c r="I117" i="4"/>
  <c r="I197" i="4"/>
  <c r="I277" i="4"/>
  <c r="I57" i="4"/>
  <c r="I137" i="4"/>
  <c r="I217" i="4"/>
  <c r="I297" i="4"/>
  <c r="I77" i="4"/>
  <c r="I157" i="4"/>
  <c r="I237" i="4"/>
  <c r="I317" i="4"/>
  <c r="I17" i="4"/>
  <c r="I97" i="4"/>
  <c r="I177" i="4"/>
  <c r="I257" i="4"/>
  <c r="I337" i="4"/>
  <c r="I357" i="4"/>
  <c r="I437" i="4"/>
  <c r="I517" i="4"/>
  <c r="I597" i="4"/>
  <c r="I377" i="4"/>
  <c r="I457" i="4"/>
  <c r="I537" i="4"/>
  <c r="I617" i="4"/>
  <c r="I657" i="4"/>
  <c r="I397" i="4"/>
  <c r="I477" i="4"/>
  <c r="I557" i="4"/>
  <c r="I677" i="4"/>
  <c r="I637" i="4"/>
  <c r="I697" i="4"/>
  <c r="I417" i="4"/>
  <c r="I497" i="4"/>
  <c r="I577" i="4"/>
  <c r="I717" i="4"/>
  <c r="I76" i="4"/>
  <c r="I156" i="4"/>
  <c r="I236" i="4"/>
  <c r="I16" i="4"/>
  <c r="I96" i="4"/>
  <c r="I176" i="4"/>
  <c r="I256" i="4"/>
  <c r="I376" i="4"/>
  <c r="I456" i="4"/>
  <c r="I536" i="4"/>
  <c r="I36" i="4"/>
  <c r="I116" i="4"/>
  <c r="I196" i="4"/>
  <c r="I296" i="4"/>
  <c r="I56" i="4"/>
  <c r="I136" i="4"/>
  <c r="I216" i="4"/>
  <c r="I336" i="4"/>
  <c r="I416" i="4"/>
  <c r="I496" i="4"/>
  <c r="I576" i="4"/>
  <c r="I436" i="4"/>
  <c r="I596" i="4"/>
  <c r="I616" i="4"/>
  <c r="I276" i="4"/>
  <c r="I656" i="4"/>
  <c r="I476" i="4"/>
  <c r="I636" i="4"/>
  <c r="I316" i="4"/>
  <c r="I676" i="4"/>
  <c r="I356" i="4"/>
  <c r="I516" i="4"/>
  <c r="I696" i="4"/>
  <c r="I396" i="4"/>
  <c r="I556" i="4"/>
  <c r="I716" i="4"/>
  <c r="I79" i="4"/>
  <c r="I159" i="4"/>
  <c r="I239" i="4"/>
  <c r="I319" i="4"/>
  <c r="I359" i="4"/>
  <c r="I439" i="4"/>
  <c r="I19" i="4"/>
  <c r="I99" i="4"/>
  <c r="I179" i="4"/>
  <c r="I259" i="4"/>
  <c r="I339" i="4"/>
  <c r="I379" i="4"/>
  <c r="I459" i="4"/>
  <c r="I539" i="4"/>
  <c r="I39" i="4"/>
  <c r="I119" i="4"/>
  <c r="I199" i="4"/>
  <c r="I279" i="4"/>
  <c r="I399" i="4"/>
  <c r="I59" i="4"/>
  <c r="I139" i="4"/>
  <c r="I219" i="4"/>
  <c r="I299" i="4"/>
  <c r="I419" i="4"/>
  <c r="I499" i="4"/>
  <c r="I579" i="4"/>
  <c r="I599" i="4"/>
  <c r="I659" i="4"/>
  <c r="I479" i="4"/>
  <c r="I699" i="4"/>
  <c r="I519" i="4"/>
  <c r="I639" i="4"/>
  <c r="I719" i="4"/>
  <c r="I559" i="4"/>
  <c r="I679" i="4"/>
  <c r="I6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<sst xmlns="http://schemas.openxmlformats.org/spreadsheetml/2006/main" count="8954" uniqueCount="182">
  <si>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</si>
  <si>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</si>
  <si>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</si>
  <si>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</si>
  <si>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</si>
  <si>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</si>
  <si>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</si>
  <si>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</si>
  <si>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</si>
  <si>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</si>
  <si>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</si>
  <si>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</si>
  <si>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</si>
  <si>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</si>
  <si>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</si>
  <si>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</si>
  <si>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</si>
  <si>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</si>
  <si>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</si>
  <si>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</si>
  <si>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</si>
  <si>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</si>
  <si>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</si>
  <si>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</si>
  <si>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</si>
  <si>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</si>
  <si>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</si>
  <si>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</si>
  <si>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</si>
  <si>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</si>
  <si>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</si>
  <si>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</si>
  <si>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</si>
  <si>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</si>
  <si>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</si>
  <si>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</si>
  <si>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</si>
  <si>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</si>
  <si>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</si>
  <si>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</si>
  <si>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</si>
  <si>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</si>
  <si>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</si>
  <si>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</si>
  <si>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</si>
  <si>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</si>
  <si>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</si>
  <si>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</si>
  <si>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</si>
  <si>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</si>
  <si>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</si>
  <si>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</si>
  <si>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</si>
  <si>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</si>
  <si>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</si>
  <si>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</si>
  <si>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</si>
  <si>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</si>
  <si>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</si>
  <si>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</si>
  <si>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</si>
  <si>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</si>
  <si>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</si>
  <si>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</si>
  <si>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</si>
  <si>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</si>
  <si>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</si>
  <si>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</si>
  <si>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</si>
  <si>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</si>
  <si>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</si>
  <si>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</si>
  <si>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</si>
  <si>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</si>
  <si>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</si>
  <si>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</si>
  <si>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</si>
  <si>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</si>
  <si>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</si>
  <si>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</si>
  <si>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</si>
  <si>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</si>
  <si>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</si>
  <si>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</si>
  <si>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</si>
  <si>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</si>
  <si>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</si>
  <si>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</si>
  <si>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</si>
  <si>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</si>
  <si>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</si>
  <si>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</si>
  <si>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Madras Street_Tuam Street_Intersection</t>
  </si>
  <si>
    <t>Madras Street South</t>
  </si>
  <si>
    <t>Tuam Street West</t>
  </si>
  <si>
    <t>Madras Street North</t>
  </si>
  <si>
    <t>Tuam Street East</t>
  </si>
  <si>
    <t>Left into Tuam Street East</t>
  </si>
  <si>
    <t>Right into Tuam Street West</t>
  </si>
  <si>
    <t>Thru to Madras Street South</t>
  </si>
  <si>
    <t>Left into Madras Street South</t>
  </si>
  <si>
    <t>Thru to Tuam Street West</t>
  </si>
  <si>
    <t>Right into Madras Street North</t>
  </si>
  <si>
    <t>Left into Tuam Street West</t>
  </si>
  <si>
    <t>Thru to Madras Street North</t>
  </si>
  <si>
    <t>Right into Tuam Street East</t>
  </si>
  <si>
    <t>Left into Madras Street North</t>
  </si>
  <si>
    <t>Thru to Tuam Street East</t>
  </si>
  <si>
    <t>Right into Madras Street South</t>
  </si>
  <si>
    <t>Madras Street_Tuam Street_Intersection      Fine      16/02/2020</t>
  </si>
  <si>
    <t>Madras Street North Total</t>
  </si>
  <si>
    <t>Tuam Street East Total</t>
  </si>
  <si>
    <t>Madras Street South Total</t>
  </si>
  <si>
    <t>Tuam Street West Total</t>
  </si>
  <si>
    <t>Left into Tuam Street East Total</t>
  </si>
  <si>
    <t>Thru to Madras Street South Total</t>
  </si>
  <si>
    <t>Right into Tuam Street West Total</t>
  </si>
  <si>
    <t>Left into Madras Street South Total</t>
  </si>
  <si>
    <t>Thru to Tuam Street West Total</t>
  </si>
  <si>
    <t>Right into Madras Street North Total</t>
  </si>
  <si>
    <t>Left into Tuam Street West Total</t>
  </si>
  <si>
    <t>Thru to Madras Street North Total</t>
  </si>
  <si>
    <t>Right into Tuam Street East Total</t>
  </si>
  <si>
    <t>Left into Madras Street North Total</t>
  </si>
  <si>
    <t>Thru to Tuam Street East Total</t>
  </si>
  <si>
    <t>Right into Madras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</si>
  <si>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</si>
  <si>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</si>
  <si>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</si>
  <si>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</si>
  <si>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</si>
  <si>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</si>
  <si>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</si>
  <si>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</si>
  <si>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</si>
  <si>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</si>
  <si>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</si>
  <si>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</si>
  <si>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</si>
  <si>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</si>
  <si>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</si>
  <si>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</si>
  <si>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</si>
  <si>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</si>
  <si>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</si>
  <si>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</si>
  <si>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</si>
  <si>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</si>
  <si>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</si>
  <si>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</si>
  <si>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</si>
  <si>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</si>
  <si>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</si>
  <si>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</si>
  <si>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</si>
  <si>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</si>
  <si>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</si>
  <si>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</si>
  <si>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</si>
  <si>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</si>
  <si>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</si>
  <si>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</si>
  <si>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</si>
  <si>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</si>
  <si>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</si>
  <si>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</si>
  <si>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</si>
  <si>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</si>
  <si>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</si>
  <si>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Madras St Northbound</t>
  </si>
  <si>
    <t>Lights</t>
  </si>
  <si>
    <t>Classification</t>
  </si>
  <si>
    <t>Road</t>
  </si>
  <si>
    <t>Type</t>
  </si>
  <si>
    <t>Project</t>
  </si>
  <si>
    <t>Site Code</t>
  </si>
  <si>
    <t>02/16/2021</t>
  </si>
  <si>
    <t>Start Date</t>
  </si>
  <si>
    <t>CCC I3212 Madras - Tuam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</si>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</sst>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03F1EC9-55CD-49C2-ABC0-A93E28955F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Madras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Madras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214</c:v>
                </c:pt>
                <c:pt idx="2">
                  <c:v>227</c:v>
                </c:pt>
                <c:pt idx="3">
                  <c:v>283</c:v>
                </c:pt>
                <c:pt idx="4">
                  <c:v>317</c:v>
                </c:pt>
                <c:pt idx="5">
                  <c:v>318</c:v>
                </c:pt>
                <c:pt idx="6">
                  <c:v>331</c:v>
                </c:pt>
                <c:pt idx="7">
                  <c:v>298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77</c:v>
                </c:pt>
                <c:pt idx="2">
                  <c:v>102</c:v>
                </c:pt>
                <c:pt idx="3">
                  <c:v>111</c:v>
                </c:pt>
                <c:pt idx="4">
                  <c:v>115</c:v>
                </c:pt>
                <c:pt idx="5">
                  <c:v>143</c:v>
                </c:pt>
                <c:pt idx="6">
                  <c:v>134</c:v>
                </c:pt>
                <c:pt idx="7">
                  <c:v>164</c:v>
                </c:pt>
              </c:numCache>
            </c:numRef>
          </c:val>
          <c:smooth val="0"/>
          <c:extLst>
            <c:ext xmlns:c16="http://schemas.microsoft.com/office/drawing/2014/chart" uri="{C3380CC4-5D6E-409C-BE32-E72D297353CC}">
              <c16:uniqueId val="{00000000-7631-460B-BE0B-B0A6BEB8C16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Madras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198</c:v>
                </c:pt>
                <c:pt idx="2">
                  <c:v>217</c:v>
                </c:pt>
                <c:pt idx="3">
                  <c:v>259</c:v>
                </c:pt>
                <c:pt idx="4">
                  <c:v>300</c:v>
                </c:pt>
                <c:pt idx="5">
                  <c:v>294</c:v>
                </c:pt>
                <c:pt idx="6">
                  <c:v>293</c:v>
                </c:pt>
                <c:pt idx="7">
                  <c:v>289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93</c:v>
                </c:pt>
                <c:pt idx="2">
                  <c:v>112</c:v>
                </c:pt>
                <c:pt idx="3">
                  <c:v>135</c:v>
                </c:pt>
                <c:pt idx="4">
                  <c:v>132</c:v>
                </c:pt>
                <c:pt idx="5">
                  <c:v>167</c:v>
                </c:pt>
                <c:pt idx="6">
                  <c:v>172</c:v>
                </c:pt>
                <c:pt idx="7">
                  <c:v>173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203</c:v>
                </c:pt>
                <c:pt idx="1">
                  <c:v>291</c:v>
                </c:pt>
                <c:pt idx="2">
                  <c:v>329</c:v>
                </c:pt>
                <c:pt idx="3">
                  <c:v>394</c:v>
                </c:pt>
                <c:pt idx="4">
                  <c:v>432</c:v>
                </c:pt>
                <c:pt idx="5">
                  <c:v>461</c:v>
                </c:pt>
                <c:pt idx="6">
                  <c:v>465</c:v>
                </c:pt>
                <c:pt idx="7">
                  <c:v>462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203</c:v>
                </c:pt>
                <c:pt idx="1">
                  <c:v>291</c:v>
                </c:pt>
                <c:pt idx="2">
                  <c:v>329</c:v>
                </c:pt>
                <c:pt idx="3">
                  <c:v>394</c:v>
                </c:pt>
                <c:pt idx="4">
                  <c:v>432</c:v>
                </c:pt>
                <c:pt idx="5">
                  <c:v>461</c:v>
                </c:pt>
                <c:pt idx="6">
                  <c:v>465</c:v>
                </c:pt>
                <c:pt idx="7">
                  <c:v>462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432</c:v>
                </c:pt>
                <c:pt idx="5">
                  <c:v>461</c:v>
                </c:pt>
                <c:pt idx="6">
                  <c:v>465</c:v>
                </c:pt>
                <c:pt idx="7">
                  <c:v>462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217009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332317</xdr:colOff>
      <xdr:row>5</xdr:row>
      <xdr:rowOff>3175</xdr:rowOff>
    </xdr:from>
    <xdr:to>
      <xdr:col>20</xdr:col>
      <xdr:colOff>811792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123824</xdr:colOff>
      <xdr:row>9</xdr:row>
      <xdr:rowOff>66673</xdr:rowOff>
    </xdr:from>
    <xdr:to>
      <xdr:col>20</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75225115739"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1"/>
    </cacheField>
    <cacheField name="Peak" numFmtId="0">
      <sharedItems containsSemiMixedTypes="0" containsString="0" containsNumber="1" containsInteger="1" minValue="0" maxValue="69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75423263886" createdVersion="5" refreshedVersion="6" minRefreshableVersion="3" recordCount="720" xr:uid="{00000000-000A-0000-FFFF-FFFF01000000}">
  <cacheSource type="worksheet">
    <worksheetSource name="tblPivotData"/>
  </cacheSource>
  <cacheFields count="9">
    <cacheField name="Approach" numFmtId="0">
      <sharedItems count="7">
        <s v="Madras Street North"/>
        <s v="Tuam Street East"/>
        <s v="Madras Street South"/>
        <s v="Tuam Street West"/>
        <s v="Great south Rd (North)" u="1"/>
        <s v="Great south Rd (South)" u="1"/>
        <s v="Grange Rd" u="1"/>
      </sharedItems>
    </cacheField>
    <cacheField name="Movement" numFmtId="0">
      <sharedItems count="20">
        <s v="Left into Tuam Street East"/>
        <s v="Thru to Madras Street South"/>
        <s v="Right into Tuam Street West"/>
        <s v="Left into Madras Street South"/>
        <s v="Thru to Tuam Street West"/>
        <s v="Right into Madras Street North"/>
        <s v="Left into Tuam Street West"/>
        <s v="Thru to Madras Street North"/>
        <s v="Right into Tuam Street East"/>
        <s v="Left into Madras Street North"/>
        <s v="Thru to Tuam Street East"/>
        <s v="Right into Madra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Madras Street South"/>
        <s v="Tuam Street West"/>
        <s v="Madra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4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3"/>
    <n v="0"/>
  </r>
  <r>
    <x v="0"/>
    <x v="1"/>
    <n v="291"/>
    <n v="0"/>
  </r>
  <r>
    <x v="0"/>
    <x v="2"/>
    <n v="329"/>
    <n v="0"/>
  </r>
  <r>
    <x v="0"/>
    <x v="3"/>
    <n v="394"/>
    <n v="0"/>
  </r>
  <r>
    <x v="0"/>
    <x v="4"/>
    <n v="432"/>
    <n v="432"/>
  </r>
  <r>
    <x v="0"/>
    <x v="5"/>
    <n v="461"/>
    <n v="461"/>
  </r>
  <r>
    <x v="0"/>
    <x v="6"/>
    <n v="465"/>
    <n v="465"/>
  </r>
  <r>
    <x v="0"/>
    <x v="7"/>
    <n v="462"/>
    <n v="462"/>
  </r>
  <r>
    <x v="1"/>
    <x v="8"/>
    <n v="357"/>
    <n v="357"/>
  </r>
  <r>
    <x v="1"/>
    <x v="9"/>
    <n v="328"/>
    <n v="328"/>
  </r>
  <r>
    <x v="1"/>
    <x v="10"/>
    <n v="357"/>
    <n v="357"/>
  </r>
  <r>
    <x v="1"/>
    <x v="11"/>
    <n v="391"/>
    <n v="391"/>
  </r>
  <r>
    <x v="2"/>
    <x v="12"/>
    <n v="541"/>
    <n v="0"/>
  </r>
  <r>
    <x v="2"/>
    <x v="13"/>
    <n v="565"/>
    <n v="0"/>
  </r>
  <r>
    <x v="2"/>
    <x v="14"/>
    <n v="627"/>
    <n v="627"/>
  </r>
  <r>
    <x v="2"/>
    <x v="15"/>
    <n v="571"/>
    <n v="571"/>
  </r>
  <r>
    <x v="2"/>
    <x v="16"/>
    <n v="691"/>
    <n v="691"/>
  </r>
  <r>
    <x v="2"/>
    <x v="17"/>
    <n v="666"/>
    <n v="666"/>
  </r>
  <r>
    <x v="2"/>
    <x v="18"/>
    <n v="557"/>
    <n v="0"/>
  </r>
  <r>
    <x v="2"/>
    <x v="19"/>
    <n v="4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0"/>
  </r>
  <r>
    <x v="1"/>
    <x v="3"/>
    <x v="1"/>
    <x v="0"/>
    <x v="0"/>
    <x v="4"/>
    <n v="0"/>
    <x v="4"/>
    <x v="1"/>
  </r>
  <r>
    <x v="1"/>
    <x v="3"/>
    <x v="1"/>
    <x v="0"/>
    <x v="0"/>
    <x v="5"/>
    <n v="0"/>
    <x v="5"/>
    <x v="1"/>
  </r>
  <r>
    <x v="1"/>
    <x v="3"/>
    <x v="1"/>
    <x v="0"/>
    <x v="0"/>
    <x v="6"/>
    <n v="0"/>
    <x v="6"/>
    <x v="1"/>
  </r>
  <r>
    <x v="1"/>
    <x v="3"/>
    <x v="1"/>
    <x v="0"/>
    <x v="0"/>
    <x v="7"/>
    <n v="0"/>
    <x v="7"/>
    <x v="1"/>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0"/>
    <x v="7"/>
    <x v="1"/>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1"/>
    <x v="17"/>
    <x v="1"/>
  </r>
  <r>
    <x v="2"/>
    <x v="6"/>
    <x v="2"/>
    <x v="2"/>
    <x v="2"/>
    <x v="18"/>
    <n v="0"/>
    <x v="18"/>
    <x v="0"/>
  </r>
  <r>
    <x v="2"/>
    <x v="6"/>
    <x v="2"/>
    <x v="2"/>
    <x v="2"/>
    <x v="19"/>
    <n v="0"/>
    <x v="19"/>
    <x v="0"/>
  </r>
  <r>
    <x v="2"/>
    <x v="7"/>
    <x v="3"/>
    <x v="0"/>
    <x v="0"/>
    <x v="0"/>
    <n v="121"/>
    <x v="0"/>
    <x v="0"/>
  </r>
  <r>
    <x v="2"/>
    <x v="7"/>
    <x v="3"/>
    <x v="0"/>
    <x v="0"/>
    <x v="1"/>
    <n v="171"/>
    <x v="1"/>
    <x v="0"/>
  </r>
  <r>
    <x v="2"/>
    <x v="7"/>
    <x v="3"/>
    <x v="0"/>
    <x v="0"/>
    <x v="2"/>
    <n v="181"/>
    <x v="2"/>
    <x v="0"/>
  </r>
  <r>
    <x v="2"/>
    <x v="7"/>
    <x v="3"/>
    <x v="0"/>
    <x v="0"/>
    <x v="3"/>
    <n v="221"/>
    <x v="3"/>
    <x v="0"/>
  </r>
  <r>
    <x v="2"/>
    <x v="7"/>
    <x v="3"/>
    <x v="0"/>
    <x v="0"/>
    <x v="4"/>
    <n v="256"/>
    <x v="4"/>
    <x v="1"/>
  </r>
  <r>
    <x v="2"/>
    <x v="7"/>
    <x v="3"/>
    <x v="0"/>
    <x v="0"/>
    <x v="5"/>
    <n v="249"/>
    <x v="5"/>
    <x v="1"/>
  </r>
  <r>
    <x v="2"/>
    <x v="7"/>
    <x v="3"/>
    <x v="0"/>
    <x v="0"/>
    <x v="6"/>
    <n v="254"/>
    <x v="6"/>
    <x v="1"/>
  </r>
  <r>
    <x v="2"/>
    <x v="7"/>
    <x v="3"/>
    <x v="0"/>
    <x v="0"/>
    <x v="7"/>
    <n v="226"/>
    <x v="7"/>
    <x v="1"/>
  </r>
  <r>
    <x v="2"/>
    <x v="7"/>
    <x v="3"/>
    <x v="0"/>
    <x v="1"/>
    <x v="8"/>
    <n v="175"/>
    <x v="8"/>
    <x v="1"/>
  </r>
  <r>
    <x v="2"/>
    <x v="7"/>
    <x v="3"/>
    <x v="0"/>
    <x v="1"/>
    <x v="9"/>
    <n v="194"/>
    <x v="9"/>
    <x v="1"/>
  </r>
  <r>
    <x v="2"/>
    <x v="7"/>
    <x v="3"/>
    <x v="0"/>
    <x v="1"/>
    <x v="10"/>
    <n v="178"/>
    <x v="10"/>
    <x v="1"/>
  </r>
  <r>
    <x v="2"/>
    <x v="7"/>
    <x v="3"/>
    <x v="0"/>
    <x v="1"/>
    <x v="11"/>
    <n v="208"/>
    <x v="11"/>
    <x v="1"/>
  </r>
  <r>
    <x v="2"/>
    <x v="7"/>
    <x v="3"/>
    <x v="0"/>
    <x v="2"/>
    <x v="12"/>
    <n v="299"/>
    <x v="12"/>
    <x v="0"/>
  </r>
  <r>
    <x v="2"/>
    <x v="7"/>
    <x v="3"/>
    <x v="0"/>
    <x v="2"/>
    <x v="13"/>
    <n v="294"/>
    <x v="13"/>
    <x v="0"/>
  </r>
  <r>
    <x v="2"/>
    <x v="7"/>
    <x v="3"/>
    <x v="0"/>
    <x v="2"/>
    <x v="14"/>
    <n v="342"/>
    <x v="14"/>
    <x v="1"/>
  </r>
  <r>
    <x v="2"/>
    <x v="7"/>
    <x v="3"/>
    <x v="0"/>
    <x v="2"/>
    <x v="15"/>
    <n v="270"/>
    <x v="15"/>
    <x v="1"/>
  </r>
  <r>
    <x v="2"/>
    <x v="7"/>
    <x v="3"/>
    <x v="0"/>
    <x v="2"/>
    <x v="16"/>
    <n v="325"/>
    <x v="16"/>
    <x v="1"/>
  </r>
  <r>
    <x v="2"/>
    <x v="7"/>
    <x v="3"/>
    <x v="0"/>
    <x v="2"/>
    <x v="17"/>
    <n v="310"/>
    <x v="17"/>
    <x v="1"/>
  </r>
  <r>
    <x v="2"/>
    <x v="7"/>
    <x v="3"/>
    <x v="0"/>
    <x v="2"/>
    <x v="18"/>
    <n v="298"/>
    <x v="18"/>
    <x v="0"/>
  </r>
  <r>
    <x v="2"/>
    <x v="7"/>
    <x v="3"/>
    <x v="0"/>
    <x v="2"/>
    <x v="19"/>
    <n v="256"/>
    <x v="19"/>
    <x v="0"/>
  </r>
  <r>
    <x v="2"/>
    <x v="7"/>
    <x v="3"/>
    <x v="1"/>
    <x v="0"/>
    <x v="0"/>
    <n v="6"/>
    <x v="0"/>
    <x v="0"/>
  </r>
  <r>
    <x v="2"/>
    <x v="7"/>
    <x v="3"/>
    <x v="1"/>
    <x v="0"/>
    <x v="1"/>
    <n v="7"/>
    <x v="1"/>
    <x v="0"/>
  </r>
  <r>
    <x v="2"/>
    <x v="7"/>
    <x v="3"/>
    <x v="1"/>
    <x v="0"/>
    <x v="2"/>
    <n v="6"/>
    <x v="2"/>
    <x v="0"/>
  </r>
  <r>
    <x v="2"/>
    <x v="7"/>
    <x v="3"/>
    <x v="1"/>
    <x v="0"/>
    <x v="3"/>
    <n v="3"/>
    <x v="3"/>
    <x v="0"/>
  </r>
  <r>
    <x v="2"/>
    <x v="7"/>
    <x v="3"/>
    <x v="1"/>
    <x v="0"/>
    <x v="4"/>
    <n v="8"/>
    <x v="4"/>
    <x v="1"/>
  </r>
  <r>
    <x v="2"/>
    <x v="7"/>
    <x v="3"/>
    <x v="1"/>
    <x v="0"/>
    <x v="5"/>
    <n v="5"/>
    <x v="5"/>
    <x v="1"/>
  </r>
  <r>
    <x v="2"/>
    <x v="7"/>
    <x v="3"/>
    <x v="1"/>
    <x v="0"/>
    <x v="6"/>
    <n v="5"/>
    <x v="6"/>
    <x v="1"/>
  </r>
  <r>
    <x v="2"/>
    <x v="7"/>
    <x v="3"/>
    <x v="1"/>
    <x v="0"/>
    <x v="7"/>
    <n v="4"/>
    <x v="7"/>
    <x v="1"/>
  </r>
  <r>
    <x v="2"/>
    <x v="7"/>
    <x v="3"/>
    <x v="1"/>
    <x v="1"/>
    <x v="8"/>
    <n v="6"/>
    <x v="8"/>
    <x v="1"/>
  </r>
  <r>
    <x v="2"/>
    <x v="7"/>
    <x v="3"/>
    <x v="1"/>
    <x v="1"/>
    <x v="9"/>
    <n v="3"/>
    <x v="9"/>
    <x v="1"/>
  </r>
  <r>
    <x v="2"/>
    <x v="7"/>
    <x v="3"/>
    <x v="1"/>
    <x v="1"/>
    <x v="10"/>
    <n v="4"/>
    <x v="10"/>
    <x v="1"/>
  </r>
  <r>
    <x v="2"/>
    <x v="7"/>
    <x v="3"/>
    <x v="1"/>
    <x v="1"/>
    <x v="11"/>
    <n v="4"/>
    <x v="11"/>
    <x v="1"/>
  </r>
  <r>
    <x v="2"/>
    <x v="7"/>
    <x v="3"/>
    <x v="1"/>
    <x v="2"/>
    <x v="12"/>
    <n v="3"/>
    <x v="12"/>
    <x v="0"/>
  </r>
  <r>
    <x v="2"/>
    <x v="7"/>
    <x v="3"/>
    <x v="1"/>
    <x v="2"/>
    <x v="13"/>
    <n v="2"/>
    <x v="13"/>
    <x v="0"/>
  </r>
  <r>
    <x v="2"/>
    <x v="7"/>
    <x v="3"/>
    <x v="1"/>
    <x v="2"/>
    <x v="14"/>
    <n v="6"/>
    <x v="14"/>
    <x v="1"/>
  </r>
  <r>
    <x v="2"/>
    <x v="7"/>
    <x v="3"/>
    <x v="1"/>
    <x v="2"/>
    <x v="15"/>
    <n v="2"/>
    <x v="15"/>
    <x v="1"/>
  </r>
  <r>
    <x v="2"/>
    <x v="7"/>
    <x v="3"/>
    <x v="1"/>
    <x v="2"/>
    <x v="16"/>
    <n v="4"/>
    <x v="16"/>
    <x v="1"/>
  </r>
  <r>
    <x v="2"/>
    <x v="7"/>
    <x v="3"/>
    <x v="1"/>
    <x v="2"/>
    <x v="17"/>
    <n v="0"/>
    <x v="17"/>
    <x v="1"/>
  </r>
  <r>
    <x v="2"/>
    <x v="7"/>
    <x v="3"/>
    <x v="1"/>
    <x v="2"/>
    <x v="18"/>
    <n v="1"/>
    <x v="18"/>
    <x v="0"/>
  </r>
  <r>
    <x v="2"/>
    <x v="7"/>
    <x v="3"/>
    <x v="1"/>
    <x v="2"/>
    <x v="19"/>
    <n v="1"/>
    <x v="19"/>
    <x v="0"/>
  </r>
  <r>
    <x v="2"/>
    <x v="7"/>
    <x v="3"/>
    <x v="2"/>
    <x v="0"/>
    <x v="0"/>
    <n v="1"/>
    <x v="0"/>
    <x v="0"/>
  </r>
  <r>
    <x v="2"/>
    <x v="7"/>
    <x v="3"/>
    <x v="2"/>
    <x v="0"/>
    <x v="1"/>
    <n v="2"/>
    <x v="1"/>
    <x v="0"/>
  </r>
  <r>
    <x v="2"/>
    <x v="7"/>
    <x v="3"/>
    <x v="2"/>
    <x v="0"/>
    <x v="2"/>
    <n v="4"/>
    <x v="2"/>
    <x v="0"/>
  </r>
  <r>
    <x v="2"/>
    <x v="7"/>
    <x v="3"/>
    <x v="2"/>
    <x v="0"/>
    <x v="3"/>
    <n v="6"/>
    <x v="3"/>
    <x v="0"/>
  </r>
  <r>
    <x v="2"/>
    <x v="7"/>
    <x v="3"/>
    <x v="2"/>
    <x v="0"/>
    <x v="4"/>
    <n v="8"/>
    <x v="4"/>
    <x v="1"/>
  </r>
  <r>
    <x v="2"/>
    <x v="7"/>
    <x v="3"/>
    <x v="2"/>
    <x v="0"/>
    <x v="5"/>
    <n v="5"/>
    <x v="5"/>
    <x v="1"/>
  </r>
  <r>
    <x v="2"/>
    <x v="7"/>
    <x v="3"/>
    <x v="2"/>
    <x v="0"/>
    <x v="6"/>
    <n v="5"/>
    <x v="6"/>
    <x v="1"/>
  </r>
  <r>
    <x v="2"/>
    <x v="7"/>
    <x v="3"/>
    <x v="2"/>
    <x v="0"/>
    <x v="7"/>
    <n v="7"/>
    <x v="7"/>
    <x v="1"/>
  </r>
  <r>
    <x v="2"/>
    <x v="7"/>
    <x v="3"/>
    <x v="2"/>
    <x v="1"/>
    <x v="8"/>
    <n v="3"/>
    <x v="8"/>
    <x v="1"/>
  </r>
  <r>
    <x v="2"/>
    <x v="7"/>
    <x v="3"/>
    <x v="2"/>
    <x v="1"/>
    <x v="9"/>
    <n v="0"/>
    <x v="9"/>
    <x v="1"/>
  </r>
  <r>
    <x v="2"/>
    <x v="7"/>
    <x v="3"/>
    <x v="2"/>
    <x v="1"/>
    <x v="10"/>
    <n v="2"/>
    <x v="10"/>
    <x v="1"/>
  </r>
  <r>
    <x v="2"/>
    <x v="7"/>
    <x v="3"/>
    <x v="2"/>
    <x v="1"/>
    <x v="11"/>
    <n v="2"/>
    <x v="11"/>
    <x v="1"/>
  </r>
  <r>
    <x v="2"/>
    <x v="7"/>
    <x v="3"/>
    <x v="2"/>
    <x v="2"/>
    <x v="12"/>
    <n v="5"/>
    <x v="12"/>
    <x v="0"/>
  </r>
  <r>
    <x v="2"/>
    <x v="7"/>
    <x v="3"/>
    <x v="2"/>
    <x v="2"/>
    <x v="13"/>
    <n v="5"/>
    <x v="13"/>
    <x v="0"/>
  </r>
  <r>
    <x v="2"/>
    <x v="7"/>
    <x v="3"/>
    <x v="2"/>
    <x v="2"/>
    <x v="14"/>
    <n v="2"/>
    <x v="14"/>
    <x v="1"/>
  </r>
  <r>
    <x v="2"/>
    <x v="7"/>
    <x v="3"/>
    <x v="2"/>
    <x v="2"/>
    <x v="15"/>
    <n v="6"/>
    <x v="15"/>
    <x v="1"/>
  </r>
  <r>
    <x v="2"/>
    <x v="7"/>
    <x v="3"/>
    <x v="2"/>
    <x v="2"/>
    <x v="16"/>
    <n v="2"/>
    <x v="16"/>
    <x v="1"/>
  </r>
  <r>
    <x v="2"/>
    <x v="7"/>
    <x v="3"/>
    <x v="2"/>
    <x v="2"/>
    <x v="17"/>
    <n v="3"/>
    <x v="17"/>
    <x v="1"/>
  </r>
  <r>
    <x v="2"/>
    <x v="7"/>
    <x v="3"/>
    <x v="2"/>
    <x v="2"/>
    <x v="18"/>
    <n v="6"/>
    <x v="18"/>
    <x v="0"/>
  </r>
  <r>
    <x v="2"/>
    <x v="7"/>
    <x v="3"/>
    <x v="2"/>
    <x v="2"/>
    <x v="19"/>
    <n v="7"/>
    <x v="19"/>
    <x v="0"/>
  </r>
  <r>
    <x v="2"/>
    <x v="8"/>
    <x v="0"/>
    <x v="0"/>
    <x v="0"/>
    <x v="0"/>
    <n v="16"/>
    <x v="0"/>
    <x v="0"/>
  </r>
  <r>
    <x v="2"/>
    <x v="8"/>
    <x v="0"/>
    <x v="0"/>
    <x v="0"/>
    <x v="1"/>
    <n v="34"/>
    <x v="1"/>
    <x v="0"/>
  </r>
  <r>
    <x v="2"/>
    <x v="8"/>
    <x v="0"/>
    <x v="0"/>
    <x v="0"/>
    <x v="2"/>
    <n v="36"/>
    <x v="2"/>
    <x v="0"/>
  </r>
  <r>
    <x v="2"/>
    <x v="8"/>
    <x v="0"/>
    <x v="0"/>
    <x v="0"/>
    <x v="3"/>
    <n v="53"/>
    <x v="3"/>
    <x v="0"/>
  </r>
  <r>
    <x v="2"/>
    <x v="8"/>
    <x v="0"/>
    <x v="0"/>
    <x v="0"/>
    <x v="4"/>
    <n v="44"/>
    <x v="4"/>
    <x v="1"/>
  </r>
  <r>
    <x v="2"/>
    <x v="8"/>
    <x v="0"/>
    <x v="0"/>
    <x v="0"/>
    <x v="5"/>
    <n v="56"/>
    <x v="5"/>
    <x v="1"/>
  </r>
  <r>
    <x v="2"/>
    <x v="8"/>
    <x v="0"/>
    <x v="0"/>
    <x v="0"/>
    <x v="6"/>
    <n v="63"/>
    <x v="6"/>
    <x v="1"/>
  </r>
  <r>
    <x v="2"/>
    <x v="8"/>
    <x v="0"/>
    <x v="0"/>
    <x v="0"/>
    <x v="7"/>
    <n v="57"/>
    <x v="7"/>
    <x v="1"/>
  </r>
  <r>
    <x v="2"/>
    <x v="8"/>
    <x v="0"/>
    <x v="0"/>
    <x v="1"/>
    <x v="8"/>
    <n v="45"/>
    <x v="8"/>
    <x v="1"/>
  </r>
  <r>
    <x v="2"/>
    <x v="8"/>
    <x v="0"/>
    <x v="0"/>
    <x v="1"/>
    <x v="9"/>
    <n v="31"/>
    <x v="9"/>
    <x v="1"/>
  </r>
  <r>
    <x v="2"/>
    <x v="8"/>
    <x v="0"/>
    <x v="0"/>
    <x v="1"/>
    <x v="10"/>
    <n v="34"/>
    <x v="10"/>
    <x v="1"/>
  </r>
  <r>
    <x v="2"/>
    <x v="8"/>
    <x v="0"/>
    <x v="0"/>
    <x v="1"/>
    <x v="11"/>
    <n v="46"/>
    <x v="11"/>
    <x v="1"/>
  </r>
  <r>
    <x v="2"/>
    <x v="8"/>
    <x v="0"/>
    <x v="0"/>
    <x v="2"/>
    <x v="12"/>
    <n v="49"/>
    <x v="12"/>
    <x v="0"/>
  </r>
  <r>
    <x v="2"/>
    <x v="8"/>
    <x v="0"/>
    <x v="0"/>
    <x v="2"/>
    <x v="13"/>
    <n v="48"/>
    <x v="13"/>
    <x v="0"/>
  </r>
  <r>
    <x v="2"/>
    <x v="8"/>
    <x v="0"/>
    <x v="0"/>
    <x v="2"/>
    <x v="14"/>
    <n v="51"/>
    <x v="14"/>
    <x v="1"/>
  </r>
  <r>
    <x v="2"/>
    <x v="8"/>
    <x v="0"/>
    <x v="0"/>
    <x v="2"/>
    <x v="15"/>
    <n v="43"/>
    <x v="15"/>
    <x v="1"/>
  </r>
  <r>
    <x v="2"/>
    <x v="8"/>
    <x v="0"/>
    <x v="0"/>
    <x v="2"/>
    <x v="16"/>
    <n v="67"/>
    <x v="16"/>
    <x v="1"/>
  </r>
  <r>
    <x v="2"/>
    <x v="8"/>
    <x v="0"/>
    <x v="0"/>
    <x v="2"/>
    <x v="17"/>
    <n v="61"/>
    <x v="17"/>
    <x v="1"/>
  </r>
  <r>
    <x v="2"/>
    <x v="8"/>
    <x v="0"/>
    <x v="0"/>
    <x v="2"/>
    <x v="18"/>
    <n v="44"/>
    <x v="18"/>
    <x v="0"/>
  </r>
  <r>
    <x v="2"/>
    <x v="8"/>
    <x v="0"/>
    <x v="0"/>
    <x v="2"/>
    <x v="19"/>
    <n v="29"/>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2"/>
    <x v="5"/>
    <x v="1"/>
  </r>
  <r>
    <x v="2"/>
    <x v="8"/>
    <x v="0"/>
    <x v="1"/>
    <x v="0"/>
    <x v="6"/>
    <n v="4"/>
    <x v="6"/>
    <x v="1"/>
  </r>
  <r>
    <x v="2"/>
    <x v="8"/>
    <x v="0"/>
    <x v="1"/>
    <x v="0"/>
    <x v="7"/>
    <n v="4"/>
    <x v="7"/>
    <x v="1"/>
  </r>
  <r>
    <x v="2"/>
    <x v="8"/>
    <x v="0"/>
    <x v="1"/>
    <x v="1"/>
    <x v="8"/>
    <n v="1"/>
    <x v="8"/>
    <x v="1"/>
  </r>
  <r>
    <x v="2"/>
    <x v="8"/>
    <x v="0"/>
    <x v="1"/>
    <x v="1"/>
    <x v="9"/>
    <n v="1"/>
    <x v="9"/>
    <x v="1"/>
  </r>
  <r>
    <x v="2"/>
    <x v="8"/>
    <x v="0"/>
    <x v="1"/>
    <x v="1"/>
    <x v="10"/>
    <n v="1"/>
    <x v="10"/>
    <x v="1"/>
  </r>
  <r>
    <x v="2"/>
    <x v="8"/>
    <x v="0"/>
    <x v="1"/>
    <x v="1"/>
    <x v="11"/>
    <n v="0"/>
    <x v="11"/>
    <x v="1"/>
  </r>
  <r>
    <x v="2"/>
    <x v="8"/>
    <x v="0"/>
    <x v="1"/>
    <x v="2"/>
    <x v="12"/>
    <n v="1"/>
    <x v="12"/>
    <x v="0"/>
  </r>
  <r>
    <x v="2"/>
    <x v="8"/>
    <x v="0"/>
    <x v="1"/>
    <x v="2"/>
    <x v="13"/>
    <n v="0"/>
    <x v="13"/>
    <x v="0"/>
  </r>
  <r>
    <x v="2"/>
    <x v="8"/>
    <x v="0"/>
    <x v="1"/>
    <x v="2"/>
    <x v="14"/>
    <n v="1"/>
    <x v="14"/>
    <x v="1"/>
  </r>
  <r>
    <x v="2"/>
    <x v="8"/>
    <x v="0"/>
    <x v="1"/>
    <x v="2"/>
    <x v="15"/>
    <n v="1"/>
    <x v="15"/>
    <x v="1"/>
  </r>
  <r>
    <x v="2"/>
    <x v="8"/>
    <x v="0"/>
    <x v="1"/>
    <x v="2"/>
    <x v="16"/>
    <n v="1"/>
    <x v="16"/>
    <x v="1"/>
  </r>
  <r>
    <x v="2"/>
    <x v="8"/>
    <x v="0"/>
    <x v="1"/>
    <x v="2"/>
    <x v="17"/>
    <n v="0"/>
    <x v="17"/>
    <x v="1"/>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1"/>
    <x v="4"/>
    <x v="1"/>
  </r>
  <r>
    <x v="2"/>
    <x v="8"/>
    <x v="0"/>
    <x v="2"/>
    <x v="0"/>
    <x v="5"/>
    <n v="1"/>
    <x v="5"/>
    <x v="1"/>
  </r>
  <r>
    <x v="2"/>
    <x v="8"/>
    <x v="0"/>
    <x v="2"/>
    <x v="0"/>
    <x v="6"/>
    <n v="0"/>
    <x v="6"/>
    <x v="1"/>
  </r>
  <r>
    <x v="2"/>
    <x v="8"/>
    <x v="0"/>
    <x v="2"/>
    <x v="0"/>
    <x v="7"/>
    <n v="0"/>
    <x v="7"/>
    <x v="1"/>
  </r>
  <r>
    <x v="2"/>
    <x v="8"/>
    <x v="0"/>
    <x v="2"/>
    <x v="1"/>
    <x v="8"/>
    <n v="0"/>
    <x v="8"/>
    <x v="1"/>
  </r>
  <r>
    <x v="2"/>
    <x v="8"/>
    <x v="0"/>
    <x v="2"/>
    <x v="1"/>
    <x v="9"/>
    <n v="1"/>
    <x v="9"/>
    <x v="1"/>
  </r>
  <r>
    <x v="2"/>
    <x v="8"/>
    <x v="0"/>
    <x v="2"/>
    <x v="1"/>
    <x v="10"/>
    <n v="0"/>
    <x v="10"/>
    <x v="1"/>
  </r>
  <r>
    <x v="2"/>
    <x v="8"/>
    <x v="0"/>
    <x v="2"/>
    <x v="1"/>
    <x v="11"/>
    <n v="0"/>
    <x v="11"/>
    <x v="1"/>
  </r>
  <r>
    <x v="2"/>
    <x v="8"/>
    <x v="0"/>
    <x v="2"/>
    <x v="2"/>
    <x v="12"/>
    <n v="0"/>
    <x v="12"/>
    <x v="0"/>
  </r>
  <r>
    <x v="2"/>
    <x v="8"/>
    <x v="0"/>
    <x v="2"/>
    <x v="2"/>
    <x v="13"/>
    <n v="0"/>
    <x v="13"/>
    <x v="0"/>
  </r>
  <r>
    <x v="2"/>
    <x v="8"/>
    <x v="0"/>
    <x v="2"/>
    <x v="2"/>
    <x v="14"/>
    <n v="1"/>
    <x v="14"/>
    <x v="1"/>
  </r>
  <r>
    <x v="2"/>
    <x v="8"/>
    <x v="0"/>
    <x v="2"/>
    <x v="2"/>
    <x v="15"/>
    <n v="0"/>
    <x v="15"/>
    <x v="1"/>
  </r>
  <r>
    <x v="2"/>
    <x v="8"/>
    <x v="0"/>
    <x v="2"/>
    <x v="2"/>
    <x v="16"/>
    <n v="1"/>
    <x v="16"/>
    <x v="1"/>
  </r>
  <r>
    <x v="2"/>
    <x v="8"/>
    <x v="0"/>
    <x v="2"/>
    <x v="2"/>
    <x v="17"/>
    <n v="0"/>
    <x v="17"/>
    <x v="1"/>
  </r>
  <r>
    <x v="2"/>
    <x v="8"/>
    <x v="0"/>
    <x v="2"/>
    <x v="2"/>
    <x v="18"/>
    <n v="1"/>
    <x v="18"/>
    <x v="0"/>
  </r>
  <r>
    <x v="2"/>
    <x v="8"/>
    <x v="0"/>
    <x v="2"/>
    <x v="2"/>
    <x v="19"/>
    <n v="0"/>
    <x v="19"/>
    <x v="0"/>
  </r>
  <r>
    <x v="3"/>
    <x v="9"/>
    <x v="3"/>
    <x v="0"/>
    <x v="0"/>
    <x v="0"/>
    <n v="11"/>
    <x v="0"/>
    <x v="0"/>
  </r>
  <r>
    <x v="3"/>
    <x v="9"/>
    <x v="3"/>
    <x v="0"/>
    <x v="0"/>
    <x v="1"/>
    <n v="16"/>
    <x v="1"/>
    <x v="0"/>
  </r>
  <r>
    <x v="3"/>
    <x v="9"/>
    <x v="3"/>
    <x v="0"/>
    <x v="0"/>
    <x v="2"/>
    <n v="25"/>
    <x v="2"/>
    <x v="0"/>
  </r>
  <r>
    <x v="3"/>
    <x v="9"/>
    <x v="3"/>
    <x v="0"/>
    <x v="0"/>
    <x v="3"/>
    <n v="28"/>
    <x v="3"/>
    <x v="0"/>
  </r>
  <r>
    <x v="3"/>
    <x v="9"/>
    <x v="3"/>
    <x v="0"/>
    <x v="0"/>
    <x v="4"/>
    <n v="27"/>
    <x v="4"/>
    <x v="1"/>
  </r>
  <r>
    <x v="3"/>
    <x v="9"/>
    <x v="3"/>
    <x v="0"/>
    <x v="0"/>
    <x v="5"/>
    <n v="33"/>
    <x v="5"/>
    <x v="1"/>
  </r>
  <r>
    <x v="3"/>
    <x v="9"/>
    <x v="3"/>
    <x v="0"/>
    <x v="0"/>
    <x v="6"/>
    <n v="29"/>
    <x v="6"/>
    <x v="1"/>
  </r>
  <r>
    <x v="3"/>
    <x v="9"/>
    <x v="3"/>
    <x v="0"/>
    <x v="0"/>
    <x v="7"/>
    <n v="50"/>
    <x v="7"/>
    <x v="1"/>
  </r>
  <r>
    <x v="3"/>
    <x v="9"/>
    <x v="3"/>
    <x v="0"/>
    <x v="1"/>
    <x v="8"/>
    <n v="31"/>
    <x v="8"/>
    <x v="1"/>
  </r>
  <r>
    <x v="3"/>
    <x v="9"/>
    <x v="3"/>
    <x v="0"/>
    <x v="1"/>
    <x v="9"/>
    <n v="26"/>
    <x v="9"/>
    <x v="1"/>
  </r>
  <r>
    <x v="3"/>
    <x v="9"/>
    <x v="3"/>
    <x v="0"/>
    <x v="1"/>
    <x v="10"/>
    <n v="24"/>
    <x v="10"/>
    <x v="1"/>
  </r>
  <r>
    <x v="3"/>
    <x v="9"/>
    <x v="3"/>
    <x v="0"/>
    <x v="1"/>
    <x v="11"/>
    <n v="29"/>
    <x v="11"/>
    <x v="1"/>
  </r>
  <r>
    <x v="3"/>
    <x v="9"/>
    <x v="3"/>
    <x v="0"/>
    <x v="2"/>
    <x v="12"/>
    <n v="38"/>
    <x v="12"/>
    <x v="0"/>
  </r>
  <r>
    <x v="3"/>
    <x v="9"/>
    <x v="3"/>
    <x v="0"/>
    <x v="2"/>
    <x v="13"/>
    <n v="53"/>
    <x v="13"/>
    <x v="0"/>
  </r>
  <r>
    <x v="3"/>
    <x v="9"/>
    <x v="3"/>
    <x v="0"/>
    <x v="2"/>
    <x v="14"/>
    <n v="63"/>
    <x v="14"/>
    <x v="1"/>
  </r>
  <r>
    <x v="3"/>
    <x v="9"/>
    <x v="3"/>
    <x v="0"/>
    <x v="2"/>
    <x v="15"/>
    <n v="68"/>
    <x v="15"/>
    <x v="1"/>
  </r>
  <r>
    <x v="3"/>
    <x v="9"/>
    <x v="3"/>
    <x v="0"/>
    <x v="2"/>
    <x v="16"/>
    <n v="65"/>
    <x v="16"/>
    <x v="1"/>
  </r>
  <r>
    <x v="3"/>
    <x v="9"/>
    <x v="3"/>
    <x v="0"/>
    <x v="2"/>
    <x v="17"/>
    <n v="78"/>
    <x v="17"/>
    <x v="1"/>
  </r>
  <r>
    <x v="3"/>
    <x v="9"/>
    <x v="3"/>
    <x v="0"/>
    <x v="2"/>
    <x v="18"/>
    <n v="54"/>
    <x v="18"/>
    <x v="0"/>
  </r>
  <r>
    <x v="3"/>
    <x v="9"/>
    <x v="3"/>
    <x v="0"/>
    <x v="2"/>
    <x v="19"/>
    <n v="35"/>
    <x v="19"/>
    <x v="0"/>
  </r>
  <r>
    <x v="3"/>
    <x v="9"/>
    <x v="3"/>
    <x v="1"/>
    <x v="0"/>
    <x v="0"/>
    <n v="1"/>
    <x v="0"/>
    <x v="0"/>
  </r>
  <r>
    <x v="3"/>
    <x v="9"/>
    <x v="3"/>
    <x v="1"/>
    <x v="0"/>
    <x v="1"/>
    <n v="2"/>
    <x v="1"/>
    <x v="0"/>
  </r>
  <r>
    <x v="3"/>
    <x v="9"/>
    <x v="3"/>
    <x v="1"/>
    <x v="0"/>
    <x v="2"/>
    <n v="1"/>
    <x v="2"/>
    <x v="0"/>
  </r>
  <r>
    <x v="3"/>
    <x v="9"/>
    <x v="3"/>
    <x v="1"/>
    <x v="0"/>
    <x v="3"/>
    <n v="1"/>
    <x v="3"/>
    <x v="0"/>
  </r>
  <r>
    <x v="3"/>
    <x v="9"/>
    <x v="3"/>
    <x v="1"/>
    <x v="0"/>
    <x v="4"/>
    <n v="0"/>
    <x v="4"/>
    <x v="1"/>
  </r>
  <r>
    <x v="3"/>
    <x v="9"/>
    <x v="3"/>
    <x v="1"/>
    <x v="0"/>
    <x v="5"/>
    <n v="2"/>
    <x v="5"/>
    <x v="1"/>
  </r>
  <r>
    <x v="3"/>
    <x v="9"/>
    <x v="3"/>
    <x v="1"/>
    <x v="0"/>
    <x v="6"/>
    <n v="0"/>
    <x v="6"/>
    <x v="1"/>
  </r>
  <r>
    <x v="3"/>
    <x v="9"/>
    <x v="3"/>
    <x v="1"/>
    <x v="0"/>
    <x v="7"/>
    <n v="2"/>
    <x v="7"/>
    <x v="1"/>
  </r>
  <r>
    <x v="3"/>
    <x v="9"/>
    <x v="3"/>
    <x v="1"/>
    <x v="1"/>
    <x v="8"/>
    <n v="2"/>
    <x v="8"/>
    <x v="1"/>
  </r>
  <r>
    <x v="3"/>
    <x v="9"/>
    <x v="3"/>
    <x v="1"/>
    <x v="1"/>
    <x v="9"/>
    <n v="0"/>
    <x v="9"/>
    <x v="1"/>
  </r>
  <r>
    <x v="3"/>
    <x v="9"/>
    <x v="3"/>
    <x v="1"/>
    <x v="1"/>
    <x v="10"/>
    <n v="1"/>
    <x v="10"/>
    <x v="1"/>
  </r>
  <r>
    <x v="3"/>
    <x v="9"/>
    <x v="3"/>
    <x v="1"/>
    <x v="1"/>
    <x v="11"/>
    <n v="0"/>
    <x v="11"/>
    <x v="1"/>
  </r>
  <r>
    <x v="3"/>
    <x v="9"/>
    <x v="3"/>
    <x v="1"/>
    <x v="2"/>
    <x v="12"/>
    <n v="1"/>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1"/>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1"/>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1"/>
    <x v="16"/>
    <x v="1"/>
  </r>
  <r>
    <x v="3"/>
    <x v="9"/>
    <x v="3"/>
    <x v="2"/>
    <x v="2"/>
    <x v="17"/>
    <n v="0"/>
    <x v="17"/>
    <x v="1"/>
  </r>
  <r>
    <x v="3"/>
    <x v="9"/>
    <x v="3"/>
    <x v="2"/>
    <x v="2"/>
    <x v="18"/>
    <n v="1"/>
    <x v="18"/>
    <x v="0"/>
  </r>
  <r>
    <x v="3"/>
    <x v="9"/>
    <x v="3"/>
    <x v="2"/>
    <x v="2"/>
    <x v="19"/>
    <n v="1"/>
    <x v="19"/>
    <x v="0"/>
  </r>
  <r>
    <x v="3"/>
    <x v="10"/>
    <x v="0"/>
    <x v="0"/>
    <x v="0"/>
    <x v="0"/>
    <n v="42"/>
    <x v="0"/>
    <x v="0"/>
  </r>
  <r>
    <x v="3"/>
    <x v="10"/>
    <x v="0"/>
    <x v="0"/>
    <x v="0"/>
    <x v="1"/>
    <n v="50"/>
    <x v="1"/>
    <x v="0"/>
  </r>
  <r>
    <x v="3"/>
    <x v="10"/>
    <x v="0"/>
    <x v="0"/>
    <x v="0"/>
    <x v="2"/>
    <n v="69"/>
    <x v="2"/>
    <x v="0"/>
  </r>
  <r>
    <x v="3"/>
    <x v="10"/>
    <x v="0"/>
    <x v="0"/>
    <x v="0"/>
    <x v="3"/>
    <n v="73"/>
    <x v="3"/>
    <x v="0"/>
  </r>
  <r>
    <x v="3"/>
    <x v="10"/>
    <x v="0"/>
    <x v="0"/>
    <x v="0"/>
    <x v="4"/>
    <n v="76"/>
    <x v="4"/>
    <x v="1"/>
  </r>
  <r>
    <x v="3"/>
    <x v="10"/>
    <x v="0"/>
    <x v="0"/>
    <x v="0"/>
    <x v="5"/>
    <n v="99"/>
    <x v="5"/>
    <x v="1"/>
  </r>
  <r>
    <x v="3"/>
    <x v="10"/>
    <x v="0"/>
    <x v="0"/>
    <x v="0"/>
    <x v="6"/>
    <n v="96"/>
    <x v="6"/>
    <x v="1"/>
  </r>
  <r>
    <x v="3"/>
    <x v="10"/>
    <x v="0"/>
    <x v="0"/>
    <x v="0"/>
    <x v="7"/>
    <n v="105"/>
    <x v="7"/>
    <x v="1"/>
  </r>
  <r>
    <x v="3"/>
    <x v="10"/>
    <x v="0"/>
    <x v="0"/>
    <x v="1"/>
    <x v="8"/>
    <n v="88"/>
    <x v="8"/>
    <x v="1"/>
  </r>
  <r>
    <x v="3"/>
    <x v="10"/>
    <x v="0"/>
    <x v="0"/>
    <x v="1"/>
    <x v="9"/>
    <n v="66"/>
    <x v="9"/>
    <x v="1"/>
  </r>
  <r>
    <x v="3"/>
    <x v="10"/>
    <x v="0"/>
    <x v="0"/>
    <x v="1"/>
    <x v="10"/>
    <n v="111"/>
    <x v="10"/>
    <x v="1"/>
  </r>
  <r>
    <x v="3"/>
    <x v="10"/>
    <x v="0"/>
    <x v="0"/>
    <x v="1"/>
    <x v="11"/>
    <n v="93"/>
    <x v="11"/>
    <x v="1"/>
  </r>
  <r>
    <x v="3"/>
    <x v="10"/>
    <x v="0"/>
    <x v="0"/>
    <x v="2"/>
    <x v="12"/>
    <n v="130"/>
    <x v="12"/>
    <x v="0"/>
  </r>
  <r>
    <x v="3"/>
    <x v="10"/>
    <x v="0"/>
    <x v="0"/>
    <x v="2"/>
    <x v="13"/>
    <n v="148"/>
    <x v="13"/>
    <x v="0"/>
  </r>
  <r>
    <x v="3"/>
    <x v="10"/>
    <x v="0"/>
    <x v="0"/>
    <x v="2"/>
    <x v="14"/>
    <n v="146"/>
    <x v="14"/>
    <x v="1"/>
  </r>
  <r>
    <x v="3"/>
    <x v="10"/>
    <x v="0"/>
    <x v="0"/>
    <x v="2"/>
    <x v="15"/>
    <n v="169"/>
    <x v="15"/>
    <x v="1"/>
  </r>
  <r>
    <x v="3"/>
    <x v="10"/>
    <x v="0"/>
    <x v="0"/>
    <x v="2"/>
    <x v="16"/>
    <n v="200"/>
    <x v="16"/>
    <x v="1"/>
  </r>
  <r>
    <x v="3"/>
    <x v="10"/>
    <x v="0"/>
    <x v="0"/>
    <x v="2"/>
    <x v="17"/>
    <n v="196"/>
    <x v="17"/>
    <x v="1"/>
  </r>
  <r>
    <x v="3"/>
    <x v="10"/>
    <x v="0"/>
    <x v="0"/>
    <x v="2"/>
    <x v="18"/>
    <n v="139"/>
    <x v="18"/>
    <x v="0"/>
  </r>
  <r>
    <x v="3"/>
    <x v="10"/>
    <x v="0"/>
    <x v="0"/>
    <x v="2"/>
    <x v="19"/>
    <n v="126"/>
    <x v="19"/>
    <x v="0"/>
  </r>
  <r>
    <x v="3"/>
    <x v="10"/>
    <x v="0"/>
    <x v="1"/>
    <x v="0"/>
    <x v="0"/>
    <n v="3"/>
    <x v="0"/>
    <x v="0"/>
  </r>
  <r>
    <x v="3"/>
    <x v="10"/>
    <x v="0"/>
    <x v="1"/>
    <x v="0"/>
    <x v="1"/>
    <n v="4"/>
    <x v="1"/>
    <x v="0"/>
  </r>
  <r>
    <x v="3"/>
    <x v="10"/>
    <x v="0"/>
    <x v="1"/>
    <x v="0"/>
    <x v="2"/>
    <n v="4"/>
    <x v="2"/>
    <x v="0"/>
  </r>
  <r>
    <x v="3"/>
    <x v="10"/>
    <x v="0"/>
    <x v="1"/>
    <x v="0"/>
    <x v="3"/>
    <n v="8"/>
    <x v="3"/>
    <x v="0"/>
  </r>
  <r>
    <x v="3"/>
    <x v="10"/>
    <x v="0"/>
    <x v="1"/>
    <x v="0"/>
    <x v="4"/>
    <n v="6"/>
    <x v="4"/>
    <x v="1"/>
  </r>
  <r>
    <x v="3"/>
    <x v="10"/>
    <x v="0"/>
    <x v="1"/>
    <x v="0"/>
    <x v="5"/>
    <n v="8"/>
    <x v="5"/>
    <x v="1"/>
  </r>
  <r>
    <x v="3"/>
    <x v="10"/>
    <x v="0"/>
    <x v="1"/>
    <x v="0"/>
    <x v="6"/>
    <n v="7"/>
    <x v="6"/>
    <x v="1"/>
  </r>
  <r>
    <x v="3"/>
    <x v="10"/>
    <x v="0"/>
    <x v="1"/>
    <x v="0"/>
    <x v="7"/>
    <n v="6"/>
    <x v="7"/>
    <x v="1"/>
  </r>
  <r>
    <x v="3"/>
    <x v="10"/>
    <x v="0"/>
    <x v="1"/>
    <x v="1"/>
    <x v="8"/>
    <n v="1"/>
    <x v="8"/>
    <x v="1"/>
  </r>
  <r>
    <x v="3"/>
    <x v="10"/>
    <x v="0"/>
    <x v="1"/>
    <x v="1"/>
    <x v="9"/>
    <n v="4"/>
    <x v="9"/>
    <x v="1"/>
  </r>
  <r>
    <x v="3"/>
    <x v="10"/>
    <x v="0"/>
    <x v="1"/>
    <x v="1"/>
    <x v="10"/>
    <n v="1"/>
    <x v="10"/>
    <x v="1"/>
  </r>
  <r>
    <x v="3"/>
    <x v="10"/>
    <x v="0"/>
    <x v="1"/>
    <x v="1"/>
    <x v="11"/>
    <n v="8"/>
    <x v="11"/>
    <x v="1"/>
  </r>
  <r>
    <x v="3"/>
    <x v="10"/>
    <x v="0"/>
    <x v="1"/>
    <x v="2"/>
    <x v="12"/>
    <n v="5"/>
    <x v="12"/>
    <x v="0"/>
  </r>
  <r>
    <x v="3"/>
    <x v="10"/>
    <x v="0"/>
    <x v="1"/>
    <x v="2"/>
    <x v="13"/>
    <n v="6"/>
    <x v="13"/>
    <x v="0"/>
  </r>
  <r>
    <x v="3"/>
    <x v="10"/>
    <x v="0"/>
    <x v="1"/>
    <x v="2"/>
    <x v="14"/>
    <n v="3"/>
    <x v="14"/>
    <x v="1"/>
  </r>
  <r>
    <x v="3"/>
    <x v="10"/>
    <x v="0"/>
    <x v="1"/>
    <x v="2"/>
    <x v="15"/>
    <n v="2"/>
    <x v="15"/>
    <x v="1"/>
  </r>
  <r>
    <x v="3"/>
    <x v="10"/>
    <x v="0"/>
    <x v="1"/>
    <x v="2"/>
    <x v="16"/>
    <n v="3"/>
    <x v="16"/>
    <x v="1"/>
  </r>
  <r>
    <x v="3"/>
    <x v="10"/>
    <x v="0"/>
    <x v="1"/>
    <x v="2"/>
    <x v="17"/>
    <n v="2"/>
    <x v="17"/>
    <x v="1"/>
  </r>
  <r>
    <x v="3"/>
    <x v="10"/>
    <x v="0"/>
    <x v="1"/>
    <x v="2"/>
    <x v="18"/>
    <n v="2"/>
    <x v="18"/>
    <x v="0"/>
  </r>
  <r>
    <x v="3"/>
    <x v="10"/>
    <x v="0"/>
    <x v="1"/>
    <x v="2"/>
    <x v="19"/>
    <n v="3"/>
    <x v="19"/>
    <x v="0"/>
  </r>
  <r>
    <x v="3"/>
    <x v="10"/>
    <x v="0"/>
    <x v="2"/>
    <x v="0"/>
    <x v="0"/>
    <n v="2"/>
    <x v="0"/>
    <x v="0"/>
  </r>
  <r>
    <x v="3"/>
    <x v="10"/>
    <x v="0"/>
    <x v="2"/>
    <x v="0"/>
    <x v="1"/>
    <n v="5"/>
    <x v="1"/>
    <x v="0"/>
  </r>
  <r>
    <x v="3"/>
    <x v="10"/>
    <x v="0"/>
    <x v="2"/>
    <x v="0"/>
    <x v="2"/>
    <n v="3"/>
    <x v="2"/>
    <x v="0"/>
  </r>
  <r>
    <x v="3"/>
    <x v="10"/>
    <x v="0"/>
    <x v="2"/>
    <x v="0"/>
    <x v="3"/>
    <n v="1"/>
    <x v="3"/>
    <x v="0"/>
  </r>
  <r>
    <x v="3"/>
    <x v="10"/>
    <x v="0"/>
    <x v="2"/>
    <x v="0"/>
    <x v="4"/>
    <n v="5"/>
    <x v="4"/>
    <x v="1"/>
  </r>
  <r>
    <x v="3"/>
    <x v="10"/>
    <x v="0"/>
    <x v="2"/>
    <x v="0"/>
    <x v="5"/>
    <n v="1"/>
    <x v="5"/>
    <x v="1"/>
  </r>
  <r>
    <x v="3"/>
    <x v="10"/>
    <x v="0"/>
    <x v="2"/>
    <x v="0"/>
    <x v="6"/>
    <n v="2"/>
    <x v="6"/>
    <x v="1"/>
  </r>
  <r>
    <x v="3"/>
    <x v="10"/>
    <x v="0"/>
    <x v="2"/>
    <x v="0"/>
    <x v="7"/>
    <n v="1"/>
    <x v="7"/>
    <x v="1"/>
  </r>
  <r>
    <x v="3"/>
    <x v="10"/>
    <x v="0"/>
    <x v="2"/>
    <x v="1"/>
    <x v="8"/>
    <n v="5"/>
    <x v="8"/>
    <x v="1"/>
  </r>
  <r>
    <x v="3"/>
    <x v="10"/>
    <x v="0"/>
    <x v="2"/>
    <x v="1"/>
    <x v="9"/>
    <n v="2"/>
    <x v="9"/>
    <x v="1"/>
  </r>
  <r>
    <x v="3"/>
    <x v="10"/>
    <x v="0"/>
    <x v="2"/>
    <x v="1"/>
    <x v="10"/>
    <n v="0"/>
    <x v="10"/>
    <x v="1"/>
  </r>
  <r>
    <x v="3"/>
    <x v="10"/>
    <x v="0"/>
    <x v="2"/>
    <x v="1"/>
    <x v="11"/>
    <n v="1"/>
    <x v="11"/>
    <x v="1"/>
  </r>
  <r>
    <x v="3"/>
    <x v="10"/>
    <x v="0"/>
    <x v="2"/>
    <x v="2"/>
    <x v="12"/>
    <n v="10"/>
    <x v="12"/>
    <x v="0"/>
  </r>
  <r>
    <x v="3"/>
    <x v="10"/>
    <x v="0"/>
    <x v="2"/>
    <x v="2"/>
    <x v="13"/>
    <n v="9"/>
    <x v="13"/>
    <x v="0"/>
  </r>
  <r>
    <x v="3"/>
    <x v="10"/>
    <x v="0"/>
    <x v="2"/>
    <x v="2"/>
    <x v="14"/>
    <n v="12"/>
    <x v="14"/>
    <x v="1"/>
  </r>
  <r>
    <x v="3"/>
    <x v="10"/>
    <x v="0"/>
    <x v="2"/>
    <x v="2"/>
    <x v="15"/>
    <n v="10"/>
    <x v="15"/>
    <x v="1"/>
  </r>
  <r>
    <x v="3"/>
    <x v="10"/>
    <x v="0"/>
    <x v="2"/>
    <x v="2"/>
    <x v="16"/>
    <n v="22"/>
    <x v="16"/>
    <x v="1"/>
  </r>
  <r>
    <x v="3"/>
    <x v="10"/>
    <x v="0"/>
    <x v="2"/>
    <x v="2"/>
    <x v="17"/>
    <n v="15"/>
    <x v="17"/>
    <x v="1"/>
  </r>
  <r>
    <x v="3"/>
    <x v="10"/>
    <x v="0"/>
    <x v="2"/>
    <x v="2"/>
    <x v="18"/>
    <n v="9"/>
    <x v="18"/>
    <x v="0"/>
  </r>
  <r>
    <x v="3"/>
    <x v="10"/>
    <x v="0"/>
    <x v="2"/>
    <x v="2"/>
    <x v="19"/>
    <n v="15"/>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1"/>
  </r>
  <r>
    <x v="3"/>
    <x v="11"/>
    <x v="1"/>
    <x v="0"/>
    <x v="2"/>
    <x v="15"/>
    <n v="0"/>
    <x v="15"/>
    <x v="1"/>
  </r>
  <r>
    <x v="3"/>
    <x v="11"/>
    <x v="1"/>
    <x v="0"/>
    <x v="2"/>
    <x v="16"/>
    <n v="0"/>
    <x v="16"/>
    <x v="1"/>
  </r>
  <r>
    <x v="3"/>
    <x v="11"/>
    <x v="1"/>
    <x v="0"/>
    <x v="2"/>
    <x v="17"/>
    <n v="0"/>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4" activePane="bottomLeft" state="frozen"/>
      <selection pane="bottomLeft" activeCell="G54" sqref="G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43877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97</v>
      </c>
      <c r="D22" t="s">
        <v>27</v>
      </c>
      <c r="E22" s="1" t="s">
        <v>96</v>
      </c>
    </row>
    <row r="23" spans="2:10" x14ac:dyDescent="0.25">
      <c r="B23" t="s">
        <v>21</v>
      </c>
      <c r="C23" s="1" t="s">
        <v>99</v>
      </c>
      <c r="D23" t="s">
        <v>27</v>
      </c>
      <c r="E23" s="1" t="s">
        <v>93</v>
      </c>
    </row>
    <row r="24" spans="2:10" x14ac:dyDescent="0.25">
      <c r="B24" t="s">
        <v>22</v>
      </c>
      <c r="C24" s="1" t="s">
        <v>98</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100</v>
      </c>
      <c r="D33" t="s">
        <v>27</v>
      </c>
      <c r="E33" s="1" t="s">
        <v>93</v>
      </c>
    </row>
    <row r="34" spans="2:5" x14ac:dyDescent="0.25">
      <c r="B34" t="s">
        <v>21</v>
      </c>
      <c r="C34" s="1" t="s">
        <v>101</v>
      </c>
      <c r="D34" t="s">
        <v>27</v>
      </c>
      <c r="E34" s="1" t="s">
        <v>94</v>
      </c>
    </row>
    <row r="35" spans="2:5" x14ac:dyDescent="0.25">
      <c r="B35" t="s">
        <v>22</v>
      </c>
      <c r="C35" s="1" t="s">
        <v>102</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103</v>
      </c>
      <c r="D44" t="s">
        <v>27</v>
      </c>
      <c r="E44" s="1" t="s">
        <v>94</v>
      </c>
    </row>
    <row r="45" spans="2:5" x14ac:dyDescent="0.25">
      <c r="B45" t="s">
        <v>21</v>
      </c>
      <c r="C45" s="1" t="s">
        <v>104</v>
      </c>
      <c r="D45" t="s">
        <v>27</v>
      </c>
      <c r="E45" s="1" t="s">
        <v>95</v>
      </c>
    </row>
    <row r="46" spans="2:5" x14ac:dyDescent="0.25">
      <c r="B46" t="s">
        <v>22</v>
      </c>
      <c r="C46" s="1" t="s">
        <v>105</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94</v>
      </c>
    </row>
    <row r="55" spans="2:5" x14ac:dyDescent="0.25">
      <c r="B55" t="s">
        <v>20</v>
      </c>
      <c r="C55" s="1" t="s">
        <v>106</v>
      </c>
      <c r="D55" t="s">
        <v>27</v>
      </c>
      <c r="E55" s="1" t="s">
        <v>95</v>
      </c>
    </row>
    <row r="56" spans="2:5" x14ac:dyDescent="0.25">
      <c r="B56" t="s">
        <v>21</v>
      </c>
      <c r="C56" s="1" t="s">
        <v>107</v>
      </c>
      <c r="D56" t="s">
        <v>27</v>
      </c>
      <c r="E56" s="1" t="s">
        <v>96</v>
      </c>
    </row>
    <row r="57" spans="2:5" x14ac:dyDescent="0.25">
      <c r="B57" t="s">
        <v>22</v>
      </c>
      <c r="C57" s="1" t="s">
        <v>108</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North</v>
      </c>
      <c r="C4" s="1" t="str">
        <f>Input!C31</f>
        <v>Tuam Street East</v>
      </c>
      <c r="D4" s="1" t="str">
        <f>Input!C42</f>
        <v>Madras Street South</v>
      </c>
      <c r="E4" s="1" t="str">
        <f>Input!C53</f>
        <v>Tuam Street West</v>
      </c>
      <c r="F4" s="1">
        <f>Input!C64</f>
        <v>0</v>
      </c>
      <c r="G4" s="1">
        <f>Input!C75</f>
        <v>0</v>
      </c>
      <c r="H4" s="1">
        <f>Input!C86</f>
        <v>0</v>
      </c>
    </row>
    <row r="6" spans="2:8" x14ac:dyDescent="0.25">
      <c r="B6" t="s">
        <v>18</v>
      </c>
    </row>
    <row r="8" spans="2:8" x14ac:dyDescent="0.25">
      <c r="B8" s="1" t="str">
        <f>Input!C22</f>
        <v>Left into Tuam Street East</v>
      </c>
      <c r="C8" s="1" t="str">
        <f>Input!C33</f>
        <v>Left into Madras Street South</v>
      </c>
      <c r="D8" s="1" t="str">
        <f>Input!C44</f>
        <v>Left into Tuam Street West</v>
      </c>
      <c r="E8" s="1" t="str">
        <f>Input!C55</f>
        <v>Left into Madras Street North</v>
      </c>
      <c r="F8" s="1">
        <f>Input!C66</f>
        <v>0</v>
      </c>
      <c r="G8" s="1">
        <f>Input!C77</f>
        <v>0</v>
      </c>
      <c r="H8" s="1">
        <f>Input!C88</f>
        <v>0</v>
      </c>
    </row>
    <row r="9" spans="2:8" x14ac:dyDescent="0.25">
      <c r="B9" s="1" t="str">
        <f>Input!C23</f>
        <v>Thru to Madras Street South</v>
      </c>
      <c r="C9" s="1" t="str">
        <f>Input!C34</f>
        <v>Thru to Tuam Street West</v>
      </c>
      <c r="D9" s="1" t="str">
        <f>Input!C45</f>
        <v>Thru to Madras Street North</v>
      </c>
      <c r="E9" s="1" t="str">
        <f>Input!C56</f>
        <v>Thru to Tuam Street East</v>
      </c>
      <c r="F9" s="1">
        <f>Input!C67</f>
        <v>0</v>
      </c>
      <c r="G9" s="1">
        <f>Input!C78</f>
        <v>0</v>
      </c>
      <c r="H9" s="1">
        <f>Input!C89</f>
        <v>0</v>
      </c>
    </row>
    <row r="10" spans="2:8" x14ac:dyDescent="0.25">
      <c r="B10" s="1" t="str">
        <f>Input!C24</f>
        <v>Right into Tuam Street West</v>
      </c>
      <c r="C10" s="1" t="str">
        <f>Input!C35</f>
        <v>Right into Madras Street North</v>
      </c>
      <c r="D10" s="1" t="str">
        <f>Input!C46</f>
        <v>Right into Tuam Street East</v>
      </c>
      <c r="E10" s="1" t="str">
        <f>Input!C57</f>
        <v>Right into Madras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Madras Street South</v>
      </c>
      <c r="D18" s="1" t="str">
        <f>Input!E44</f>
        <v>Tuam Street West</v>
      </c>
      <c r="E18" s="1" t="str">
        <f>Input!E55</f>
        <v>Madras Street North</v>
      </c>
      <c r="F18" s="1">
        <f>Input!E66</f>
        <v>0</v>
      </c>
      <c r="G18" s="1">
        <f>Input!E77</f>
        <v>0</v>
      </c>
      <c r="H18" s="1">
        <f>Input!E88</f>
        <v>0</v>
      </c>
    </row>
    <row r="19" spans="2:8" x14ac:dyDescent="0.25">
      <c r="B19" s="1" t="str">
        <f>Input!E23</f>
        <v>Madras Street South</v>
      </c>
      <c r="C19" s="1" t="str">
        <f>Input!E34</f>
        <v>Tuam Street West</v>
      </c>
      <c r="D19" s="1" t="str">
        <f>Input!E45</f>
        <v>Madras Street North</v>
      </c>
      <c r="E19" s="1" t="str">
        <f>Input!E56</f>
        <v>Tuam Street East</v>
      </c>
      <c r="F19" s="1">
        <f>Input!E67</f>
        <v>0</v>
      </c>
      <c r="G19" s="1">
        <f>Input!E78</f>
        <v>0</v>
      </c>
      <c r="H19" s="1">
        <f>Input!E89</f>
        <v>0</v>
      </c>
    </row>
    <row r="20" spans="2:8" x14ac:dyDescent="0.25">
      <c r="B20" s="1" t="str">
        <f>Input!E24</f>
        <v>Tuam Street West</v>
      </c>
      <c r="C20" s="1" t="str">
        <f>Input!E35</f>
        <v>Madras Street North</v>
      </c>
      <c r="D20" s="1" t="str">
        <f>Input!E46</f>
        <v>Tuam Street East</v>
      </c>
      <c r="E20" s="1" t="str">
        <f>Input!E57</f>
        <v>Madras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95</v>
      </c>
      <c r="D5" s="16"/>
      <c r="E5" s="18"/>
      <c r="F5" s="26"/>
      <c r="G5" s="16"/>
      <c r="H5" s="18"/>
      <c r="I5" s="26"/>
      <c r="J5" s="16"/>
      <c r="K5" s="18"/>
      <c r="L5" s="29" t="s">
        <v>96</v>
      </c>
      <c r="M5" s="16"/>
      <c r="N5" s="18"/>
      <c r="O5" s="26"/>
      <c r="P5" s="16"/>
      <c r="Q5" s="18"/>
      <c r="R5" s="26"/>
      <c r="S5" s="16"/>
      <c r="T5" s="18"/>
      <c r="U5" s="29" t="s">
        <v>93</v>
      </c>
      <c r="V5" s="16"/>
      <c r="W5" s="18"/>
      <c r="X5" s="26"/>
      <c r="Y5" s="16"/>
      <c r="Z5" s="18"/>
      <c r="AA5" s="26"/>
      <c r="AB5" s="16"/>
      <c r="AC5" s="18"/>
      <c r="AD5" s="29" t="s">
        <v>94</v>
      </c>
      <c r="AE5" s="16"/>
      <c r="AF5" s="18"/>
      <c r="AG5" s="26"/>
      <c r="AH5" s="16"/>
      <c r="AI5" s="18"/>
      <c r="AJ5" s="26"/>
      <c r="AK5" s="16"/>
      <c r="AL5" s="32"/>
    </row>
    <row r="6" spans="1:38" x14ac:dyDescent="0.25">
      <c r="C6" s="30" t="s">
        <v>97</v>
      </c>
      <c r="D6" s="17"/>
      <c r="E6" s="19"/>
      <c r="F6" s="27" t="s">
        <v>99</v>
      </c>
      <c r="G6" s="17"/>
      <c r="H6" s="19"/>
      <c r="I6" s="27" t="s">
        <v>98</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0</v>
      </c>
      <c r="D8">
        <v>0</v>
      </c>
      <c r="E8">
        <v>0</v>
      </c>
      <c r="F8" s="28">
        <v>0</v>
      </c>
      <c r="G8">
        <v>0</v>
      </c>
      <c r="H8">
        <v>0</v>
      </c>
      <c r="I8" s="28">
        <v>0</v>
      </c>
      <c r="J8">
        <v>0</v>
      </c>
      <c r="K8">
        <v>0</v>
      </c>
      <c r="L8" s="31">
        <v>0</v>
      </c>
      <c r="M8">
        <v>0</v>
      </c>
      <c r="N8">
        <v>0</v>
      </c>
      <c r="O8" s="28">
        <v>0</v>
      </c>
      <c r="P8">
        <v>0</v>
      </c>
      <c r="Q8">
        <v>0</v>
      </c>
      <c r="R8" s="28">
        <v>0</v>
      </c>
      <c r="S8">
        <v>0</v>
      </c>
      <c r="T8">
        <v>0</v>
      </c>
      <c r="U8" s="31">
        <v>0</v>
      </c>
      <c r="V8">
        <v>0</v>
      </c>
      <c r="W8">
        <v>0</v>
      </c>
      <c r="X8" s="28">
        <v>121</v>
      </c>
      <c r="Y8">
        <v>6</v>
      </c>
      <c r="Z8">
        <v>1</v>
      </c>
      <c r="AA8" s="28">
        <v>16</v>
      </c>
      <c r="AB8">
        <v>0</v>
      </c>
      <c r="AC8">
        <v>0</v>
      </c>
      <c r="AD8" s="31">
        <v>11</v>
      </c>
      <c r="AE8">
        <v>1</v>
      </c>
      <c r="AF8">
        <v>0</v>
      </c>
      <c r="AG8" s="28">
        <v>42</v>
      </c>
      <c r="AH8">
        <v>3</v>
      </c>
      <c r="AI8">
        <v>2</v>
      </c>
      <c r="AJ8" s="28">
        <v>0</v>
      </c>
      <c r="AK8">
        <v>0</v>
      </c>
      <c r="AL8" s="34">
        <v>0</v>
      </c>
    </row>
    <row r="9" spans="1:38" x14ac:dyDescent="0.25">
      <c r="A9" s="2" t="s">
        <v>43</v>
      </c>
      <c r="B9" s="7">
        <v>0.30208333333333331</v>
      </c>
      <c r="C9" s="31">
        <v>0</v>
      </c>
      <c r="D9">
        <v>0</v>
      </c>
      <c r="E9">
        <v>0</v>
      </c>
      <c r="F9" s="28">
        <v>0</v>
      </c>
      <c r="G9">
        <v>0</v>
      </c>
      <c r="H9">
        <v>0</v>
      </c>
      <c r="I9" s="28">
        <v>0</v>
      </c>
      <c r="J9">
        <v>0</v>
      </c>
      <c r="K9">
        <v>0</v>
      </c>
      <c r="L9" s="31">
        <v>0</v>
      </c>
      <c r="M9">
        <v>0</v>
      </c>
      <c r="N9">
        <v>0</v>
      </c>
      <c r="O9" s="28">
        <v>0</v>
      </c>
      <c r="P9">
        <v>0</v>
      </c>
      <c r="Q9">
        <v>0</v>
      </c>
      <c r="R9" s="28">
        <v>0</v>
      </c>
      <c r="S9">
        <v>0</v>
      </c>
      <c r="T9">
        <v>0</v>
      </c>
      <c r="U9" s="31">
        <v>0</v>
      </c>
      <c r="V9">
        <v>0</v>
      </c>
      <c r="W9">
        <v>0</v>
      </c>
      <c r="X9" s="28">
        <v>171</v>
      </c>
      <c r="Y9">
        <v>7</v>
      </c>
      <c r="Z9">
        <v>2</v>
      </c>
      <c r="AA9" s="28">
        <v>34</v>
      </c>
      <c r="AB9">
        <v>0</v>
      </c>
      <c r="AC9">
        <v>0</v>
      </c>
      <c r="AD9" s="31">
        <v>16</v>
      </c>
      <c r="AE9">
        <v>2</v>
      </c>
      <c r="AF9">
        <v>0</v>
      </c>
      <c r="AG9" s="28">
        <v>50</v>
      </c>
      <c r="AH9">
        <v>4</v>
      </c>
      <c r="AI9">
        <v>5</v>
      </c>
      <c r="AJ9" s="28">
        <v>0</v>
      </c>
      <c r="AK9">
        <v>0</v>
      </c>
      <c r="AL9" s="34">
        <v>0</v>
      </c>
    </row>
    <row r="10" spans="1:38" x14ac:dyDescent="0.25">
      <c r="A10" s="2" t="s">
        <v>43</v>
      </c>
      <c r="B10" s="7">
        <v>0.3125</v>
      </c>
      <c r="C10" s="31">
        <v>0</v>
      </c>
      <c r="D10">
        <v>0</v>
      </c>
      <c r="E10">
        <v>0</v>
      </c>
      <c r="F10" s="28">
        <v>0</v>
      </c>
      <c r="G10">
        <v>0</v>
      </c>
      <c r="H10">
        <v>0</v>
      </c>
      <c r="I10" s="28">
        <v>0</v>
      </c>
      <c r="J10">
        <v>0</v>
      </c>
      <c r="K10">
        <v>0</v>
      </c>
      <c r="L10" s="31">
        <v>0</v>
      </c>
      <c r="M10">
        <v>0</v>
      </c>
      <c r="N10">
        <v>0</v>
      </c>
      <c r="O10" s="28">
        <v>0</v>
      </c>
      <c r="P10">
        <v>0</v>
      </c>
      <c r="Q10">
        <v>0</v>
      </c>
      <c r="R10" s="28">
        <v>0</v>
      </c>
      <c r="S10">
        <v>0</v>
      </c>
      <c r="T10">
        <v>0</v>
      </c>
      <c r="U10" s="31">
        <v>0</v>
      </c>
      <c r="V10">
        <v>0</v>
      </c>
      <c r="W10">
        <v>0</v>
      </c>
      <c r="X10" s="28">
        <v>181</v>
      </c>
      <c r="Y10">
        <v>6</v>
      </c>
      <c r="Z10">
        <v>4</v>
      </c>
      <c r="AA10" s="28">
        <v>36</v>
      </c>
      <c r="AB10">
        <v>0</v>
      </c>
      <c r="AC10">
        <v>0</v>
      </c>
      <c r="AD10" s="31">
        <v>25</v>
      </c>
      <c r="AE10">
        <v>1</v>
      </c>
      <c r="AF10">
        <v>0</v>
      </c>
      <c r="AG10" s="28">
        <v>69</v>
      </c>
      <c r="AH10">
        <v>4</v>
      </c>
      <c r="AI10">
        <v>3</v>
      </c>
      <c r="AJ10" s="28">
        <v>0</v>
      </c>
      <c r="AK10">
        <v>0</v>
      </c>
      <c r="AL10" s="34">
        <v>0</v>
      </c>
    </row>
    <row r="11" spans="1:38" x14ac:dyDescent="0.25">
      <c r="A11" s="2" t="s">
        <v>43</v>
      </c>
      <c r="B11" s="7">
        <v>0.32291666666666669</v>
      </c>
      <c r="C11" s="31">
        <v>0</v>
      </c>
      <c r="D11">
        <v>0</v>
      </c>
      <c r="E11">
        <v>0</v>
      </c>
      <c r="F11" s="28">
        <v>0</v>
      </c>
      <c r="G11">
        <v>0</v>
      </c>
      <c r="H11">
        <v>0</v>
      </c>
      <c r="I11" s="28">
        <v>0</v>
      </c>
      <c r="J11">
        <v>0</v>
      </c>
      <c r="K11">
        <v>0</v>
      </c>
      <c r="L11" s="31">
        <v>0</v>
      </c>
      <c r="M11">
        <v>0</v>
      </c>
      <c r="N11">
        <v>0</v>
      </c>
      <c r="O11" s="28">
        <v>0</v>
      </c>
      <c r="P11">
        <v>0</v>
      </c>
      <c r="Q11">
        <v>0</v>
      </c>
      <c r="R11" s="28">
        <v>0</v>
      </c>
      <c r="S11">
        <v>0</v>
      </c>
      <c r="T11">
        <v>0</v>
      </c>
      <c r="U11" s="31">
        <v>0</v>
      </c>
      <c r="V11">
        <v>0</v>
      </c>
      <c r="W11">
        <v>0</v>
      </c>
      <c r="X11" s="28">
        <v>221</v>
      </c>
      <c r="Y11">
        <v>3</v>
      </c>
      <c r="Z11">
        <v>6</v>
      </c>
      <c r="AA11" s="28">
        <v>53</v>
      </c>
      <c r="AB11">
        <v>0</v>
      </c>
      <c r="AC11">
        <v>0</v>
      </c>
      <c r="AD11" s="31">
        <v>28</v>
      </c>
      <c r="AE11">
        <v>1</v>
      </c>
      <c r="AF11">
        <v>0</v>
      </c>
      <c r="AG11" s="28">
        <v>73</v>
      </c>
      <c r="AH11">
        <v>8</v>
      </c>
      <c r="AI11">
        <v>1</v>
      </c>
      <c r="AJ11" s="28">
        <v>0</v>
      </c>
      <c r="AK11">
        <v>0</v>
      </c>
      <c r="AL11" s="34">
        <v>0</v>
      </c>
    </row>
    <row r="12" spans="1:38" x14ac:dyDescent="0.25">
      <c r="A12" s="2" t="s">
        <v>43</v>
      </c>
      <c r="B12" s="7">
        <v>0.33333333333333331</v>
      </c>
      <c r="C12" s="31">
        <v>0</v>
      </c>
      <c r="D12">
        <v>0</v>
      </c>
      <c r="E12">
        <v>0</v>
      </c>
      <c r="F12" s="28">
        <v>0</v>
      </c>
      <c r="G12">
        <v>0</v>
      </c>
      <c r="H12">
        <v>0</v>
      </c>
      <c r="I12" s="28">
        <v>0</v>
      </c>
      <c r="J12">
        <v>0</v>
      </c>
      <c r="K12">
        <v>0</v>
      </c>
      <c r="L12" s="31">
        <v>0</v>
      </c>
      <c r="M12">
        <v>0</v>
      </c>
      <c r="N12">
        <v>0</v>
      </c>
      <c r="O12" s="28">
        <v>0</v>
      </c>
      <c r="P12">
        <v>0</v>
      </c>
      <c r="Q12">
        <v>0</v>
      </c>
      <c r="R12" s="28">
        <v>0</v>
      </c>
      <c r="S12">
        <v>0</v>
      </c>
      <c r="T12">
        <v>0</v>
      </c>
      <c r="U12" s="31">
        <v>0</v>
      </c>
      <c r="V12">
        <v>0</v>
      </c>
      <c r="W12">
        <v>0</v>
      </c>
      <c r="X12" s="28">
        <v>256</v>
      </c>
      <c r="Y12">
        <v>8</v>
      </c>
      <c r="Z12">
        <v>8</v>
      </c>
      <c r="AA12" s="28">
        <v>44</v>
      </c>
      <c r="AB12">
        <v>0</v>
      </c>
      <c r="AC12">
        <v>1</v>
      </c>
      <c r="AD12" s="31">
        <v>27</v>
      </c>
      <c r="AE12">
        <v>0</v>
      </c>
      <c r="AF12">
        <v>1</v>
      </c>
      <c r="AG12" s="28">
        <v>76</v>
      </c>
      <c r="AH12">
        <v>6</v>
      </c>
      <c r="AI12">
        <v>5</v>
      </c>
      <c r="AJ12" s="28">
        <v>0</v>
      </c>
      <c r="AK12">
        <v>0</v>
      </c>
      <c r="AL12" s="34">
        <v>0</v>
      </c>
    </row>
    <row r="13" spans="1:38" x14ac:dyDescent="0.25">
      <c r="A13" s="2" t="s">
        <v>43</v>
      </c>
      <c r="B13" s="7">
        <v>0.34375</v>
      </c>
      <c r="C13" s="31">
        <v>0</v>
      </c>
      <c r="D13">
        <v>0</v>
      </c>
      <c r="E13">
        <v>0</v>
      </c>
      <c r="F13" s="28">
        <v>0</v>
      </c>
      <c r="G13">
        <v>0</v>
      </c>
      <c r="H13">
        <v>0</v>
      </c>
      <c r="I13" s="28">
        <v>0</v>
      </c>
      <c r="J13">
        <v>0</v>
      </c>
      <c r="K13">
        <v>0</v>
      </c>
      <c r="L13" s="31">
        <v>0</v>
      </c>
      <c r="M13">
        <v>0</v>
      </c>
      <c r="N13">
        <v>0</v>
      </c>
      <c r="O13" s="28">
        <v>0</v>
      </c>
      <c r="P13">
        <v>0</v>
      </c>
      <c r="Q13">
        <v>0</v>
      </c>
      <c r="R13" s="28">
        <v>0</v>
      </c>
      <c r="S13">
        <v>0</v>
      </c>
      <c r="T13">
        <v>0</v>
      </c>
      <c r="U13" s="31">
        <v>0</v>
      </c>
      <c r="V13">
        <v>0</v>
      </c>
      <c r="W13">
        <v>0</v>
      </c>
      <c r="X13" s="28">
        <v>249</v>
      </c>
      <c r="Y13">
        <v>5</v>
      </c>
      <c r="Z13">
        <v>5</v>
      </c>
      <c r="AA13" s="28">
        <v>56</v>
      </c>
      <c r="AB13">
        <v>2</v>
      </c>
      <c r="AC13">
        <v>1</v>
      </c>
      <c r="AD13" s="31">
        <v>33</v>
      </c>
      <c r="AE13">
        <v>2</v>
      </c>
      <c r="AF13">
        <v>0</v>
      </c>
      <c r="AG13" s="28">
        <v>99</v>
      </c>
      <c r="AH13">
        <v>8</v>
      </c>
      <c r="AI13">
        <v>1</v>
      </c>
      <c r="AJ13" s="28">
        <v>0</v>
      </c>
      <c r="AK13">
        <v>0</v>
      </c>
      <c r="AL13" s="34">
        <v>0</v>
      </c>
    </row>
    <row r="14" spans="1:38" x14ac:dyDescent="0.25">
      <c r="A14" s="2" t="s">
        <v>43</v>
      </c>
      <c r="B14" s="7">
        <v>0.35416666666666669</v>
      </c>
      <c r="C14" s="31">
        <v>0</v>
      </c>
      <c r="D14">
        <v>0</v>
      </c>
      <c r="E14">
        <v>0</v>
      </c>
      <c r="F14" s="28">
        <v>0</v>
      </c>
      <c r="G14">
        <v>0</v>
      </c>
      <c r="H14">
        <v>0</v>
      </c>
      <c r="I14" s="28">
        <v>0</v>
      </c>
      <c r="J14">
        <v>0</v>
      </c>
      <c r="K14">
        <v>0</v>
      </c>
      <c r="L14" s="31">
        <v>0</v>
      </c>
      <c r="M14">
        <v>0</v>
      </c>
      <c r="N14">
        <v>0</v>
      </c>
      <c r="O14" s="28">
        <v>0</v>
      </c>
      <c r="P14">
        <v>0</v>
      </c>
      <c r="Q14">
        <v>0</v>
      </c>
      <c r="R14" s="28">
        <v>0</v>
      </c>
      <c r="S14">
        <v>0</v>
      </c>
      <c r="T14">
        <v>0</v>
      </c>
      <c r="U14" s="31">
        <v>0</v>
      </c>
      <c r="V14">
        <v>0</v>
      </c>
      <c r="W14">
        <v>0</v>
      </c>
      <c r="X14" s="28">
        <v>254</v>
      </c>
      <c r="Y14">
        <v>5</v>
      </c>
      <c r="Z14">
        <v>5</v>
      </c>
      <c r="AA14" s="28">
        <v>63</v>
      </c>
      <c r="AB14">
        <v>4</v>
      </c>
      <c r="AC14">
        <v>0</v>
      </c>
      <c r="AD14" s="31">
        <v>29</v>
      </c>
      <c r="AE14">
        <v>0</v>
      </c>
      <c r="AF14">
        <v>0</v>
      </c>
      <c r="AG14" s="28">
        <v>96</v>
      </c>
      <c r="AH14">
        <v>7</v>
      </c>
      <c r="AI14">
        <v>2</v>
      </c>
      <c r="AJ14" s="28">
        <v>0</v>
      </c>
      <c r="AK14">
        <v>0</v>
      </c>
      <c r="AL14" s="34">
        <v>0</v>
      </c>
    </row>
    <row r="15" spans="1:38" ht="15.75" thickBot="1" x14ac:dyDescent="0.3">
      <c r="A15" s="2" t="s">
        <v>43</v>
      </c>
      <c r="B15" s="7">
        <v>0.36458333333333331</v>
      </c>
      <c r="C15" s="31">
        <v>0</v>
      </c>
      <c r="D15">
        <v>0</v>
      </c>
      <c r="E15">
        <v>0</v>
      </c>
      <c r="F15" s="28">
        <v>0</v>
      </c>
      <c r="G15">
        <v>0</v>
      </c>
      <c r="H15">
        <v>0</v>
      </c>
      <c r="I15" s="28">
        <v>0</v>
      </c>
      <c r="J15">
        <v>0</v>
      </c>
      <c r="K15">
        <v>0</v>
      </c>
      <c r="L15" s="31">
        <v>0</v>
      </c>
      <c r="M15">
        <v>0</v>
      </c>
      <c r="N15">
        <v>0</v>
      </c>
      <c r="O15" s="28">
        <v>0</v>
      </c>
      <c r="P15">
        <v>0</v>
      </c>
      <c r="Q15">
        <v>0</v>
      </c>
      <c r="R15" s="28">
        <v>0</v>
      </c>
      <c r="S15">
        <v>0</v>
      </c>
      <c r="T15">
        <v>0</v>
      </c>
      <c r="U15" s="31">
        <v>0</v>
      </c>
      <c r="V15">
        <v>0</v>
      </c>
      <c r="W15">
        <v>0</v>
      </c>
      <c r="X15" s="28">
        <v>226</v>
      </c>
      <c r="Y15">
        <v>4</v>
      </c>
      <c r="Z15">
        <v>7</v>
      </c>
      <c r="AA15" s="28">
        <v>57</v>
      </c>
      <c r="AB15">
        <v>4</v>
      </c>
      <c r="AC15">
        <v>0</v>
      </c>
      <c r="AD15" s="31">
        <v>50</v>
      </c>
      <c r="AE15">
        <v>2</v>
      </c>
      <c r="AF15">
        <v>0</v>
      </c>
      <c r="AG15" s="28">
        <v>105</v>
      </c>
      <c r="AH15">
        <v>6</v>
      </c>
      <c r="AI15">
        <v>1</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0</v>
      </c>
      <c r="D17">
        <v>0</v>
      </c>
      <c r="E17">
        <v>0</v>
      </c>
      <c r="F17" s="28">
        <v>0</v>
      </c>
      <c r="G17">
        <v>0</v>
      </c>
      <c r="H17">
        <v>0</v>
      </c>
      <c r="I17" s="28">
        <v>0</v>
      </c>
      <c r="J17">
        <v>0</v>
      </c>
      <c r="K17">
        <v>0</v>
      </c>
      <c r="L17" s="31">
        <v>0</v>
      </c>
      <c r="M17">
        <v>0</v>
      </c>
      <c r="N17">
        <v>0</v>
      </c>
      <c r="O17" s="28">
        <v>0</v>
      </c>
      <c r="P17">
        <v>0</v>
      </c>
      <c r="Q17">
        <v>0</v>
      </c>
      <c r="R17" s="28">
        <v>0</v>
      </c>
      <c r="S17">
        <v>0</v>
      </c>
      <c r="T17">
        <v>0</v>
      </c>
      <c r="U17" s="31">
        <v>0</v>
      </c>
      <c r="V17">
        <v>0</v>
      </c>
      <c r="W17">
        <v>0</v>
      </c>
      <c r="X17" s="28">
        <v>175</v>
      </c>
      <c r="Y17">
        <v>6</v>
      </c>
      <c r="Z17">
        <v>3</v>
      </c>
      <c r="AA17" s="28">
        <v>45</v>
      </c>
      <c r="AB17">
        <v>1</v>
      </c>
      <c r="AC17">
        <v>0</v>
      </c>
      <c r="AD17" s="31">
        <v>31</v>
      </c>
      <c r="AE17">
        <v>2</v>
      </c>
      <c r="AF17">
        <v>0</v>
      </c>
      <c r="AG17" s="28">
        <v>88</v>
      </c>
      <c r="AH17">
        <v>1</v>
      </c>
      <c r="AI17">
        <v>5</v>
      </c>
      <c r="AJ17" s="28">
        <v>0</v>
      </c>
      <c r="AK17">
        <v>0</v>
      </c>
      <c r="AL17" s="34">
        <v>0</v>
      </c>
    </row>
    <row r="18" spans="1:38" x14ac:dyDescent="0.25">
      <c r="A18" s="2" t="s">
        <v>90</v>
      </c>
      <c r="B18" s="7">
        <v>0.55208333333333337</v>
      </c>
      <c r="C18" s="31">
        <v>0</v>
      </c>
      <c r="D18">
        <v>0</v>
      </c>
      <c r="E18">
        <v>0</v>
      </c>
      <c r="F18" s="28">
        <v>0</v>
      </c>
      <c r="G18">
        <v>0</v>
      </c>
      <c r="H18">
        <v>0</v>
      </c>
      <c r="I18" s="28">
        <v>0</v>
      </c>
      <c r="J18">
        <v>0</v>
      </c>
      <c r="K18">
        <v>0</v>
      </c>
      <c r="L18" s="31">
        <v>0</v>
      </c>
      <c r="M18">
        <v>0</v>
      </c>
      <c r="N18">
        <v>0</v>
      </c>
      <c r="O18" s="28">
        <v>0</v>
      </c>
      <c r="P18">
        <v>0</v>
      </c>
      <c r="Q18">
        <v>0</v>
      </c>
      <c r="R18" s="28">
        <v>0</v>
      </c>
      <c r="S18">
        <v>0</v>
      </c>
      <c r="T18">
        <v>0</v>
      </c>
      <c r="U18" s="31">
        <v>0</v>
      </c>
      <c r="V18">
        <v>0</v>
      </c>
      <c r="W18">
        <v>0</v>
      </c>
      <c r="X18" s="28">
        <v>194</v>
      </c>
      <c r="Y18">
        <v>3</v>
      </c>
      <c r="Z18">
        <v>0</v>
      </c>
      <c r="AA18" s="28">
        <v>31</v>
      </c>
      <c r="AB18">
        <v>1</v>
      </c>
      <c r="AC18">
        <v>1</v>
      </c>
      <c r="AD18" s="31">
        <v>26</v>
      </c>
      <c r="AE18">
        <v>0</v>
      </c>
      <c r="AF18">
        <v>0</v>
      </c>
      <c r="AG18" s="28">
        <v>66</v>
      </c>
      <c r="AH18">
        <v>4</v>
      </c>
      <c r="AI18">
        <v>2</v>
      </c>
      <c r="AJ18" s="28">
        <v>0</v>
      </c>
      <c r="AK18">
        <v>0</v>
      </c>
      <c r="AL18" s="34">
        <v>0</v>
      </c>
    </row>
    <row r="19" spans="1:38" x14ac:dyDescent="0.25">
      <c r="A19" s="2" t="s">
        <v>90</v>
      </c>
      <c r="B19" s="7">
        <v>0.5625</v>
      </c>
      <c r="C19" s="31">
        <v>0</v>
      </c>
      <c r="D19">
        <v>0</v>
      </c>
      <c r="E19">
        <v>0</v>
      </c>
      <c r="F19" s="28">
        <v>0</v>
      </c>
      <c r="G19">
        <v>0</v>
      </c>
      <c r="H19">
        <v>0</v>
      </c>
      <c r="I19" s="28">
        <v>0</v>
      </c>
      <c r="J19">
        <v>0</v>
      </c>
      <c r="K19">
        <v>0</v>
      </c>
      <c r="L19" s="31">
        <v>0</v>
      </c>
      <c r="M19">
        <v>0</v>
      </c>
      <c r="N19">
        <v>0</v>
      </c>
      <c r="O19" s="28">
        <v>0</v>
      </c>
      <c r="P19">
        <v>0</v>
      </c>
      <c r="Q19">
        <v>0</v>
      </c>
      <c r="R19" s="28">
        <v>0</v>
      </c>
      <c r="S19">
        <v>0</v>
      </c>
      <c r="T19">
        <v>0</v>
      </c>
      <c r="U19" s="31">
        <v>0</v>
      </c>
      <c r="V19">
        <v>0</v>
      </c>
      <c r="W19">
        <v>0</v>
      </c>
      <c r="X19" s="28">
        <v>178</v>
      </c>
      <c r="Y19">
        <v>4</v>
      </c>
      <c r="Z19">
        <v>2</v>
      </c>
      <c r="AA19" s="28">
        <v>34</v>
      </c>
      <c r="AB19">
        <v>1</v>
      </c>
      <c r="AC19">
        <v>0</v>
      </c>
      <c r="AD19" s="31">
        <v>24</v>
      </c>
      <c r="AE19">
        <v>1</v>
      </c>
      <c r="AF19">
        <v>1</v>
      </c>
      <c r="AG19" s="28">
        <v>111</v>
      </c>
      <c r="AH19">
        <v>1</v>
      </c>
      <c r="AI19">
        <v>0</v>
      </c>
      <c r="AJ19" s="28">
        <v>0</v>
      </c>
      <c r="AK19">
        <v>0</v>
      </c>
      <c r="AL19" s="34">
        <v>0</v>
      </c>
    </row>
    <row r="20" spans="1:38" ht="15.75" thickBot="1" x14ac:dyDescent="0.3">
      <c r="A20" s="2" t="s">
        <v>90</v>
      </c>
      <c r="B20" s="7">
        <v>0.57291666666666663</v>
      </c>
      <c r="C20" s="31">
        <v>0</v>
      </c>
      <c r="D20">
        <v>0</v>
      </c>
      <c r="E20">
        <v>0</v>
      </c>
      <c r="F20" s="28">
        <v>0</v>
      </c>
      <c r="G20">
        <v>0</v>
      </c>
      <c r="H20">
        <v>0</v>
      </c>
      <c r="I20" s="28">
        <v>0</v>
      </c>
      <c r="J20">
        <v>0</v>
      </c>
      <c r="K20">
        <v>0</v>
      </c>
      <c r="L20" s="31">
        <v>0</v>
      </c>
      <c r="M20">
        <v>0</v>
      </c>
      <c r="N20">
        <v>0</v>
      </c>
      <c r="O20" s="28">
        <v>0</v>
      </c>
      <c r="P20">
        <v>0</v>
      </c>
      <c r="Q20">
        <v>0</v>
      </c>
      <c r="R20" s="28">
        <v>0</v>
      </c>
      <c r="S20">
        <v>0</v>
      </c>
      <c r="T20">
        <v>0</v>
      </c>
      <c r="U20" s="31">
        <v>0</v>
      </c>
      <c r="V20">
        <v>0</v>
      </c>
      <c r="W20">
        <v>0</v>
      </c>
      <c r="X20" s="28">
        <v>208</v>
      </c>
      <c r="Y20">
        <v>4</v>
      </c>
      <c r="Z20">
        <v>2</v>
      </c>
      <c r="AA20" s="28">
        <v>46</v>
      </c>
      <c r="AB20">
        <v>0</v>
      </c>
      <c r="AC20">
        <v>0</v>
      </c>
      <c r="AD20" s="31">
        <v>29</v>
      </c>
      <c r="AE20">
        <v>0</v>
      </c>
      <c r="AF20">
        <v>0</v>
      </c>
      <c r="AG20" s="28">
        <v>93</v>
      </c>
      <c r="AH20">
        <v>8</v>
      </c>
      <c r="AI20">
        <v>1</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0</v>
      </c>
      <c r="G22">
        <v>0</v>
      </c>
      <c r="H22">
        <v>0</v>
      </c>
      <c r="I22" s="28">
        <v>0</v>
      </c>
      <c r="J22">
        <v>0</v>
      </c>
      <c r="K22">
        <v>0</v>
      </c>
      <c r="L22" s="31">
        <v>0</v>
      </c>
      <c r="M22">
        <v>0</v>
      </c>
      <c r="N22">
        <v>0</v>
      </c>
      <c r="O22" s="28">
        <v>0</v>
      </c>
      <c r="P22">
        <v>0</v>
      </c>
      <c r="Q22">
        <v>0</v>
      </c>
      <c r="R22" s="28">
        <v>0</v>
      </c>
      <c r="S22">
        <v>0</v>
      </c>
      <c r="T22">
        <v>0</v>
      </c>
      <c r="U22" s="31">
        <v>0</v>
      </c>
      <c r="V22">
        <v>0</v>
      </c>
      <c r="W22">
        <v>0</v>
      </c>
      <c r="X22" s="28">
        <v>299</v>
      </c>
      <c r="Y22">
        <v>3</v>
      </c>
      <c r="Z22">
        <v>5</v>
      </c>
      <c r="AA22" s="28">
        <v>49</v>
      </c>
      <c r="AB22">
        <v>1</v>
      </c>
      <c r="AC22">
        <v>0</v>
      </c>
      <c r="AD22" s="31">
        <v>38</v>
      </c>
      <c r="AE22">
        <v>1</v>
      </c>
      <c r="AF22">
        <v>0</v>
      </c>
      <c r="AG22" s="28">
        <v>130</v>
      </c>
      <c r="AH22">
        <v>5</v>
      </c>
      <c r="AI22">
        <v>10</v>
      </c>
      <c r="AJ22" s="28">
        <v>0</v>
      </c>
      <c r="AK22">
        <v>0</v>
      </c>
      <c r="AL22" s="34">
        <v>0</v>
      </c>
    </row>
    <row r="23" spans="1:38" x14ac:dyDescent="0.25">
      <c r="A23" s="2" t="s">
        <v>44</v>
      </c>
      <c r="B23" s="7">
        <v>0.67708333333333337</v>
      </c>
      <c r="C23" s="31">
        <v>0</v>
      </c>
      <c r="D23">
        <v>0</v>
      </c>
      <c r="E23">
        <v>0</v>
      </c>
      <c r="F23" s="28">
        <v>0</v>
      </c>
      <c r="G23">
        <v>0</v>
      </c>
      <c r="H23">
        <v>0</v>
      </c>
      <c r="I23" s="28">
        <v>0</v>
      </c>
      <c r="J23">
        <v>0</v>
      </c>
      <c r="K23">
        <v>0</v>
      </c>
      <c r="L23" s="31">
        <v>0</v>
      </c>
      <c r="M23">
        <v>0</v>
      </c>
      <c r="N23">
        <v>0</v>
      </c>
      <c r="O23" s="28">
        <v>0</v>
      </c>
      <c r="P23">
        <v>0</v>
      </c>
      <c r="Q23">
        <v>0</v>
      </c>
      <c r="R23" s="28">
        <v>0</v>
      </c>
      <c r="S23">
        <v>0</v>
      </c>
      <c r="T23">
        <v>0</v>
      </c>
      <c r="U23" s="31">
        <v>0</v>
      </c>
      <c r="V23">
        <v>0</v>
      </c>
      <c r="W23">
        <v>0</v>
      </c>
      <c r="X23" s="28">
        <v>294</v>
      </c>
      <c r="Y23">
        <v>2</v>
      </c>
      <c r="Z23">
        <v>5</v>
      </c>
      <c r="AA23" s="28">
        <v>48</v>
      </c>
      <c r="AB23">
        <v>0</v>
      </c>
      <c r="AC23">
        <v>0</v>
      </c>
      <c r="AD23" s="31">
        <v>53</v>
      </c>
      <c r="AE23">
        <v>0</v>
      </c>
      <c r="AF23">
        <v>0</v>
      </c>
      <c r="AG23" s="28">
        <v>148</v>
      </c>
      <c r="AH23">
        <v>6</v>
      </c>
      <c r="AI23">
        <v>9</v>
      </c>
      <c r="AJ23" s="28">
        <v>0</v>
      </c>
      <c r="AK23">
        <v>0</v>
      </c>
      <c r="AL23" s="34">
        <v>0</v>
      </c>
    </row>
    <row r="24" spans="1:38" x14ac:dyDescent="0.25">
      <c r="A24" s="2" t="s">
        <v>44</v>
      </c>
      <c r="B24" s="7">
        <v>0.6875</v>
      </c>
      <c r="C24" s="31">
        <v>0</v>
      </c>
      <c r="D24">
        <v>0</v>
      </c>
      <c r="E24">
        <v>0</v>
      </c>
      <c r="F24" s="28">
        <v>0</v>
      </c>
      <c r="G24">
        <v>0</v>
      </c>
      <c r="H24">
        <v>0</v>
      </c>
      <c r="I24" s="28">
        <v>0</v>
      </c>
      <c r="J24">
        <v>0</v>
      </c>
      <c r="K24">
        <v>0</v>
      </c>
      <c r="L24" s="31">
        <v>0</v>
      </c>
      <c r="M24">
        <v>0</v>
      </c>
      <c r="N24">
        <v>0</v>
      </c>
      <c r="O24" s="28">
        <v>0</v>
      </c>
      <c r="P24">
        <v>0</v>
      </c>
      <c r="Q24">
        <v>0</v>
      </c>
      <c r="R24" s="28">
        <v>0</v>
      </c>
      <c r="S24">
        <v>0</v>
      </c>
      <c r="T24">
        <v>0</v>
      </c>
      <c r="U24" s="31">
        <v>0</v>
      </c>
      <c r="V24">
        <v>0</v>
      </c>
      <c r="W24">
        <v>0</v>
      </c>
      <c r="X24" s="28">
        <v>342</v>
      </c>
      <c r="Y24">
        <v>6</v>
      </c>
      <c r="Z24">
        <v>2</v>
      </c>
      <c r="AA24" s="28">
        <v>51</v>
      </c>
      <c r="AB24">
        <v>1</v>
      </c>
      <c r="AC24">
        <v>1</v>
      </c>
      <c r="AD24" s="31">
        <v>63</v>
      </c>
      <c r="AE24">
        <v>0</v>
      </c>
      <c r="AF24">
        <v>0</v>
      </c>
      <c r="AG24" s="28">
        <v>146</v>
      </c>
      <c r="AH24">
        <v>3</v>
      </c>
      <c r="AI24">
        <v>12</v>
      </c>
      <c r="AJ24" s="28">
        <v>0</v>
      </c>
      <c r="AK24">
        <v>0</v>
      </c>
      <c r="AL24" s="34">
        <v>0</v>
      </c>
    </row>
    <row r="25" spans="1:38" x14ac:dyDescent="0.25">
      <c r="A25" s="2" t="s">
        <v>44</v>
      </c>
      <c r="B25" s="7">
        <v>0.69791666666666663</v>
      </c>
      <c r="C25" s="31">
        <v>0</v>
      </c>
      <c r="D25">
        <v>0</v>
      </c>
      <c r="E25">
        <v>0</v>
      </c>
      <c r="F25" s="28">
        <v>0</v>
      </c>
      <c r="G25">
        <v>0</v>
      </c>
      <c r="H25">
        <v>0</v>
      </c>
      <c r="I25" s="28">
        <v>0</v>
      </c>
      <c r="J25">
        <v>0</v>
      </c>
      <c r="K25">
        <v>0</v>
      </c>
      <c r="L25" s="31">
        <v>0</v>
      </c>
      <c r="M25">
        <v>0</v>
      </c>
      <c r="N25">
        <v>0</v>
      </c>
      <c r="O25" s="28">
        <v>0</v>
      </c>
      <c r="P25">
        <v>0</v>
      </c>
      <c r="Q25">
        <v>0</v>
      </c>
      <c r="R25" s="28">
        <v>0</v>
      </c>
      <c r="S25">
        <v>0</v>
      </c>
      <c r="T25">
        <v>0</v>
      </c>
      <c r="U25" s="31">
        <v>0</v>
      </c>
      <c r="V25">
        <v>0</v>
      </c>
      <c r="W25">
        <v>0</v>
      </c>
      <c r="X25" s="28">
        <v>270</v>
      </c>
      <c r="Y25">
        <v>2</v>
      </c>
      <c r="Z25">
        <v>6</v>
      </c>
      <c r="AA25" s="28">
        <v>43</v>
      </c>
      <c r="AB25">
        <v>1</v>
      </c>
      <c r="AC25">
        <v>0</v>
      </c>
      <c r="AD25" s="31">
        <v>68</v>
      </c>
      <c r="AE25">
        <v>0</v>
      </c>
      <c r="AF25">
        <v>0</v>
      </c>
      <c r="AG25" s="28">
        <v>169</v>
      </c>
      <c r="AH25">
        <v>2</v>
      </c>
      <c r="AI25">
        <v>10</v>
      </c>
      <c r="AJ25" s="28">
        <v>0</v>
      </c>
      <c r="AK25">
        <v>0</v>
      </c>
      <c r="AL25" s="34">
        <v>0</v>
      </c>
    </row>
    <row r="26" spans="1:38" x14ac:dyDescent="0.25">
      <c r="A26" s="2" t="s">
        <v>44</v>
      </c>
      <c r="B26" s="7">
        <v>0.70833333333333337</v>
      </c>
      <c r="C26" s="31">
        <v>0</v>
      </c>
      <c r="D26">
        <v>0</v>
      </c>
      <c r="E26">
        <v>0</v>
      </c>
      <c r="F26" s="28">
        <v>0</v>
      </c>
      <c r="G26">
        <v>0</v>
      </c>
      <c r="H26">
        <v>0</v>
      </c>
      <c r="I26" s="28">
        <v>0</v>
      </c>
      <c r="J26">
        <v>0</v>
      </c>
      <c r="K26">
        <v>0</v>
      </c>
      <c r="L26" s="31">
        <v>0</v>
      </c>
      <c r="M26">
        <v>0</v>
      </c>
      <c r="N26">
        <v>0</v>
      </c>
      <c r="O26" s="28">
        <v>0</v>
      </c>
      <c r="P26">
        <v>0</v>
      </c>
      <c r="Q26">
        <v>0</v>
      </c>
      <c r="R26" s="28">
        <v>0</v>
      </c>
      <c r="S26">
        <v>0</v>
      </c>
      <c r="T26">
        <v>0</v>
      </c>
      <c r="U26" s="31">
        <v>0</v>
      </c>
      <c r="V26">
        <v>0</v>
      </c>
      <c r="W26">
        <v>0</v>
      </c>
      <c r="X26" s="28">
        <v>325</v>
      </c>
      <c r="Y26">
        <v>4</v>
      </c>
      <c r="Z26">
        <v>2</v>
      </c>
      <c r="AA26" s="28">
        <v>67</v>
      </c>
      <c r="AB26">
        <v>1</v>
      </c>
      <c r="AC26">
        <v>1</v>
      </c>
      <c r="AD26" s="31">
        <v>65</v>
      </c>
      <c r="AE26">
        <v>0</v>
      </c>
      <c r="AF26">
        <v>1</v>
      </c>
      <c r="AG26" s="28">
        <v>200</v>
      </c>
      <c r="AH26">
        <v>3</v>
      </c>
      <c r="AI26">
        <v>22</v>
      </c>
      <c r="AJ26" s="28">
        <v>0</v>
      </c>
      <c r="AK26">
        <v>0</v>
      </c>
      <c r="AL26" s="34">
        <v>0</v>
      </c>
    </row>
    <row r="27" spans="1:38" x14ac:dyDescent="0.25">
      <c r="A27" s="2" t="s">
        <v>44</v>
      </c>
      <c r="B27" s="7">
        <v>0.71875</v>
      </c>
      <c r="C27" s="31">
        <v>0</v>
      </c>
      <c r="D27">
        <v>0</v>
      </c>
      <c r="E27">
        <v>0</v>
      </c>
      <c r="F27" s="28">
        <v>0</v>
      </c>
      <c r="G27">
        <v>0</v>
      </c>
      <c r="H27">
        <v>0</v>
      </c>
      <c r="I27" s="28">
        <v>0</v>
      </c>
      <c r="J27">
        <v>0</v>
      </c>
      <c r="K27">
        <v>0</v>
      </c>
      <c r="L27" s="31">
        <v>0</v>
      </c>
      <c r="M27">
        <v>0</v>
      </c>
      <c r="N27">
        <v>0</v>
      </c>
      <c r="O27" s="28">
        <v>0</v>
      </c>
      <c r="P27">
        <v>0</v>
      </c>
      <c r="Q27">
        <v>0</v>
      </c>
      <c r="R27" s="28">
        <v>0</v>
      </c>
      <c r="S27">
        <v>0</v>
      </c>
      <c r="T27">
        <v>0</v>
      </c>
      <c r="U27" s="31">
        <v>0</v>
      </c>
      <c r="V27">
        <v>0</v>
      </c>
      <c r="W27">
        <v>1</v>
      </c>
      <c r="X27" s="28">
        <v>310</v>
      </c>
      <c r="Y27">
        <v>0</v>
      </c>
      <c r="Z27">
        <v>3</v>
      </c>
      <c r="AA27" s="28">
        <v>61</v>
      </c>
      <c r="AB27">
        <v>0</v>
      </c>
      <c r="AC27">
        <v>0</v>
      </c>
      <c r="AD27" s="31">
        <v>78</v>
      </c>
      <c r="AE27">
        <v>0</v>
      </c>
      <c r="AF27">
        <v>0</v>
      </c>
      <c r="AG27" s="28">
        <v>196</v>
      </c>
      <c r="AH27">
        <v>2</v>
      </c>
      <c r="AI27">
        <v>15</v>
      </c>
      <c r="AJ27" s="28">
        <v>0</v>
      </c>
      <c r="AK27">
        <v>0</v>
      </c>
      <c r="AL27" s="34">
        <v>0</v>
      </c>
    </row>
    <row r="28" spans="1:38" x14ac:dyDescent="0.25">
      <c r="A28" s="2" t="s">
        <v>44</v>
      </c>
      <c r="B28" s="7">
        <v>0.72916666666666663</v>
      </c>
      <c r="C28" s="31">
        <v>0</v>
      </c>
      <c r="D28">
        <v>0</v>
      </c>
      <c r="E28">
        <v>0</v>
      </c>
      <c r="F28" s="28">
        <v>0</v>
      </c>
      <c r="G28">
        <v>0</v>
      </c>
      <c r="H28">
        <v>0</v>
      </c>
      <c r="I28" s="28">
        <v>0</v>
      </c>
      <c r="J28">
        <v>0</v>
      </c>
      <c r="K28">
        <v>0</v>
      </c>
      <c r="L28" s="31">
        <v>0</v>
      </c>
      <c r="M28">
        <v>0</v>
      </c>
      <c r="N28">
        <v>0</v>
      </c>
      <c r="O28" s="28">
        <v>0</v>
      </c>
      <c r="P28">
        <v>0</v>
      </c>
      <c r="Q28">
        <v>0</v>
      </c>
      <c r="R28" s="28">
        <v>0</v>
      </c>
      <c r="S28">
        <v>0</v>
      </c>
      <c r="T28">
        <v>0</v>
      </c>
      <c r="U28" s="31">
        <v>0</v>
      </c>
      <c r="V28">
        <v>0</v>
      </c>
      <c r="W28">
        <v>0</v>
      </c>
      <c r="X28" s="28">
        <v>298</v>
      </c>
      <c r="Y28">
        <v>1</v>
      </c>
      <c r="Z28">
        <v>6</v>
      </c>
      <c r="AA28" s="28">
        <v>44</v>
      </c>
      <c r="AB28">
        <v>1</v>
      </c>
      <c r="AC28">
        <v>1</v>
      </c>
      <c r="AD28" s="31">
        <v>54</v>
      </c>
      <c r="AE28">
        <v>1</v>
      </c>
      <c r="AF28">
        <v>1</v>
      </c>
      <c r="AG28" s="28">
        <v>139</v>
      </c>
      <c r="AH28">
        <v>2</v>
      </c>
      <c r="AI28">
        <v>9</v>
      </c>
      <c r="AJ28" s="28">
        <v>0</v>
      </c>
      <c r="AK28">
        <v>0</v>
      </c>
      <c r="AL28" s="34">
        <v>0</v>
      </c>
    </row>
    <row r="29" spans="1:38" ht="15.75" thickBot="1" x14ac:dyDescent="0.3">
      <c r="A29" s="21" t="s">
        <v>44</v>
      </c>
      <c r="B29" s="48">
        <v>0.73958333333333337</v>
      </c>
      <c r="C29" s="39">
        <v>0</v>
      </c>
      <c r="D29" s="38">
        <v>0</v>
      </c>
      <c r="E29" s="38">
        <v>0</v>
      </c>
      <c r="F29" s="40">
        <v>0</v>
      </c>
      <c r="G29" s="38">
        <v>0</v>
      </c>
      <c r="H29" s="38">
        <v>0</v>
      </c>
      <c r="I29" s="40">
        <v>0</v>
      </c>
      <c r="J29" s="38">
        <v>0</v>
      </c>
      <c r="K29" s="38">
        <v>0</v>
      </c>
      <c r="L29" s="39">
        <v>0</v>
      </c>
      <c r="M29" s="38">
        <v>0</v>
      </c>
      <c r="N29" s="38">
        <v>0</v>
      </c>
      <c r="O29" s="40">
        <v>0</v>
      </c>
      <c r="P29" s="38">
        <v>0</v>
      </c>
      <c r="Q29" s="38">
        <v>0</v>
      </c>
      <c r="R29" s="40">
        <v>0</v>
      </c>
      <c r="S29" s="38">
        <v>0</v>
      </c>
      <c r="T29" s="38">
        <v>0</v>
      </c>
      <c r="U29" s="39">
        <v>0</v>
      </c>
      <c r="V29" s="38">
        <v>0</v>
      </c>
      <c r="W29" s="38">
        <v>0</v>
      </c>
      <c r="X29" s="40">
        <v>256</v>
      </c>
      <c r="Y29" s="38">
        <v>1</v>
      </c>
      <c r="Z29" s="38">
        <v>7</v>
      </c>
      <c r="AA29" s="40">
        <v>29</v>
      </c>
      <c r="AB29" s="38">
        <v>0</v>
      </c>
      <c r="AC29" s="38">
        <v>0</v>
      </c>
      <c r="AD29" s="39">
        <v>35</v>
      </c>
      <c r="AE29" s="38">
        <v>0</v>
      </c>
      <c r="AF29" s="38">
        <v>1</v>
      </c>
      <c r="AG29" s="40">
        <v>126</v>
      </c>
      <c r="AH29" s="38">
        <v>3</v>
      </c>
      <c r="AI29" s="38">
        <v>15</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97</v>
      </c>
      <c r="C2" t="s">
        <v>96</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95</v>
      </c>
      <c r="B3" t="s">
        <v>97</v>
      </c>
      <c r="C3" t="s">
        <v>96</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95</v>
      </c>
      <c r="B4" t="s">
        <v>97</v>
      </c>
      <c r="C4" t="s">
        <v>96</v>
      </c>
      <c r="D4" t="s">
        <v>79</v>
      </c>
      <c r="E4" t="s">
        <v>43</v>
      </c>
      <c r="F4" s="6">
        <v>0.3125</v>
      </c>
      <c r="G4">
        <v>0</v>
      </c>
      <c r="H4" s="6">
        <f>FLOOR(tblPivotData[[#This Row],[Time]],Summary!$B$6/1440)</f>
        <v>0.3125</v>
      </c>
      <c r="I4" s="49">
        <f>INDEX(PeakCalc!$L$10:$L$303,MATCH(tblPivotData[[#This Row],[Time]],PeakCalc!$G$10:$G$303,0))</f>
        <v>0</v>
      </c>
    </row>
    <row r="5" spans="1:9" x14ac:dyDescent="0.25">
      <c r="A5" t="s">
        <v>95</v>
      </c>
      <c r="B5" t="s">
        <v>97</v>
      </c>
      <c r="C5" t="s">
        <v>96</v>
      </c>
      <c r="D5" t="s">
        <v>79</v>
      </c>
      <c r="E5" t="s">
        <v>43</v>
      </c>
      <c r="F5" s="6">
        <v>0.32291666666666669</v>
      </c>
      <c r="G5">
        <v>0</v>
      </c>
      <c r="H5" s="6">
        <f>FLOOR(tblPivotData[[#This Row],[Time]],Summary!$B$6/1440)</f>
        <v>0.32291666666666663</v>
      </c>
      <c r="I5" s="49">
        <f>INDEX(PeakCalc!$L$10:$L$303,MATCH(tblPivotData[[#This Row],[Time]],PeakCalc!$G$10:$G$303,0))</f>
        <v>0</v>
      </c>
    </row>
    <row r="6" spans="1:9" x14ac:dyDescent="0.25">
      <c r="A6" t="s">
        <v>95</v>
      </c>
      <c r="B6" t="s">
        <v>97</v>
      </c>
      <c r="C6" t="s">
        <v>96</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95</v>
      </c>
      <c r="B7" t="s">
        <v>97</v>
      </c>
      <c r="C7" t="s">
        <v>96</v>
      </c>
      <c r="D7" t="s">
        <v>79</v>
      </c>
      <c r="E7" t="s">
        <v>43</v>
      </c>
      <c r="F7" s="6">
        <v>0.34375</v>
      </c>
      <c r="G7">
        <v>0</v>
      </c>
      <c r="H7" s="6">
        <f>FLOOR(tblPivotData[[#This Row],[Time]],Summary!$B$6/1440)</f>
        <v>0.34375</v>
      </c>
      <c r="I7" s="49">
        <f>INDEX(PeakCalc!$L$10:$L$303,MATCH(tblPivotData[[#This Row],[Time]],PeakCalc!$G$10:$G$303,0))</f>
        <v>1</v>
      </c>
    </row>
    <row r="8" spans="1:9" x14ac:dyDescent="0.25">
      <c r="A8" t="s">
        <v>95</v>
      </c>
      <c r="B8" t="s">
        <v>97</v>
      </c>
      <c r="C8" t="s">
        <v>96</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95</v>
      </c>
      <c r="B9" t="s">
        <v>97</v>
      </c>
      <c r="C9" t="s">
        <v>96</v>
      </c>
      <c r="D9" t="s">
        <v>79</v>
      </c>
      <c r="E9" t="s">
        <v>43</v>
      </c>
      <c r="F9" s="6">
        <v>0.36458333333333331</v>
      </c>
      <c r="G9">
        <v>0</v>
      </c>
      <c r="H9" s="6">
        <f>FLOOR(tblPivotData[[#This Row],[Time]],Summary!$B$6/1440)</f>
        <v>0.36458333333333331</v>
      </c>
      <c r="I9" s="49">
        <f>INDEX(PeakCalc!$L$10:$L$303,MATCH(tblPivotData[[#This Row],[Time]],PeakCalc!$G$10:$G$303,0))</f>
        <v>1</v>
      </c>
    </row>
    <row r="10" spans="1:9" x14ac:dyDescent="0.25">
      <c r="A10" t="s">
        <v>95</v>
      </c>
      <c r="B10" t="s">
        <v>97</v>
      </c>
      <c r="C10" t="s">
        <v>96</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95</v>
      </c>
      <c r="B11" t="s">
        <v>97</v>
      </c>
      <c r="C11" t="s">
        <v>96</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95</v>
      </c>
      <c r="B12" t="s">
        <v>97</v>
      </c>
      <c r="C12" t="s">
        <v>96</v>
      </c>
      <c r="D12" t="s">
        <v>79</v>
      </c>
      <c r="E12" t="s">
        <v>90</v>
      </c>
      <c r="F12" s="6">
        <v>0.5625</v>
      </c>
      <c r="G12">
        <v>0</v>
      </c>
      <c r="H12" s="6">
        <f>FLOOR(tblPivotData[[#This Row],[Time]],Summary!$B$6/1440)</f>
        <v>0.5625</v>
      </c>
      <c r="I12" s="49">
        <f>INDEX(PeakCalc!$L$10:$L$303,MATCH(tblPivotData[[#This Row],[Time]],PeakCalc!$G$10:$G$303,0))</f>
        <v>1</v>
      </c>
    </row>
    <row r="13" spans="1:9" x14ac:dyDescent="0.25">
      <c r="A13" t="s">
        <v>95</v>
      </c>
      <c r="B13" t="s">
        <v>97</v>
      </c>
      <c r="C13" t="s">
        <v>96</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95</v>
      </c>
      <c r="B14" t="s">
        <v>97</v>
      </c>
      <c r="C14" t="s">
        <v>96</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95</v>
      </c>
      <c r="B15" t="s">
        <v>97</v>
      </c>
      <c r="C15" t="s">
        <v>96</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95</v>
      </c>
      <c r="B16" t="s">
        <v>97</v>
      </c>
      <c r="C16" t="s">
        <v>96</v>
      </c>
      <c r="D16" t="s">
        <v>79</v>
      </c>
      <c r="E16" t="s">
        <v>44</v>
      </c>
      <c r="F16" s="6">
        <v>0.6875</v>
      </c>
      <c r="G16">
        <v>0</v>
      </c>
      <c r="H16" s="6">
        <f>FLOOR(tblPivotData[[#This Row],[Time]],Summary!$B$6/1440)</f>
        <v>0.6875</v>
      </c>
      <c r="I16" s="49">
        <f>INDEX(PeakCalc!$L$10:$L$303,MATCH(tblPivotData[[#This Row],[Time]],PeakCalc!$G$10:$G$303,0))</f>
        <v>1</v>
      </c>
    </row>
    <row r="17" spans="1:9" x14ac:dyDescent="0.25">
      <c r="A17" t="s">
        <v>95</v>
      </c>
      <c r="B17" t="s">
        <v>97</v>
      </c>
      <c r="C17" t="s">
        <v>96</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95</v>
      </c>
      <c r="B18" t="s">
        <v>97</v>
      </c>
      <c r="C18" t="s">
        <v>96</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95</v>
      </c>
      <c r="B19" t="s">
        <v>97</v>
      </c>
      <c r="C19" t="s">
        <v>96</v>
      </c>
      <c r="D19" t="s">
        <v>79</v>
      </c>
      <c r="E19" t="s">
        <v>44</v>
      </c>
      <c r="F19" s="6">
        <v>0.71875</v>
      </c>
      <c r="G19">
        <v>0</v>
      </c>
      <c r="H19" s="6">
        <f>FLOOR(tblPivotData[[#This Row],[Time]],Summary!$B$6/1440)</f>
        <v>0.71875</v>
      </c>
      <c r="I19" s="49">
        <f>INDEX(PeakCalc!$L$10:$L$303,MATCH(tblPivotData[[#This Row],[Time]],PeakCalc!$G$10:$G$303,0))</f>
        <v>1</v>
      </c>
    </row>
    <row r="20" spans="1:9" x14ac:dyDescent="0.25">
      <c r="A20" t="s">
        <v>95</v>
      </c>
      <c r="B20" t="s">
        <v>97</v>
      </c>
      <c r="C20" t="s">
        <v>96</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95</v>
      </c>
      <c r="B21" t="s">
        <v>97</v>
      </c>
      <c r="C21" t="s">
        <v>96</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95</v>
      </c>
      <c r="B22" t="s">
        <v>97</v>
      </c>
      <c r="C22" t="s">
        <v>96</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95</v>
      </c>
      <c r="B23" t="s">
        <v>97</v>
      </c>
      <c r="C23" t="s">
        <v>96</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95</v>
      </c>
      <c r="B24" t="s">
        <v>97</v>
      </c>
      <c r="C24" t="s">
        <v>96</v>
      </c>
      <c r="D24" t="s">
        <v>89</v>
      </c>
      <c r="E24" t="s">
        <v>43</v>
      </c>
      <c r="F24" s="6">
        <v>0.3125</v>
      </c>
      <c r="G24">
        <v>0</v>
      </c>
      <c r="H24" s="6">
        <f>FLOOR(tblPivotData[[#This Row],[Time]],Summary!$B$6/1440)</f>
        <v>0.3125</v>
      </c>
      <c r="I24" s="49">
        <f>INDEX(PeakCalc!$L$10:$L$303,MATCH(tblPivotData[[#This Row],[Time]],PeakCalc!$G$10:$G$303,0))</f>
        <v>0</v>
      </c>
    </row>
    <row r="25" spans="1:9" x14ac:dyDescent="0.25">
      <c r="A25" t="s">
        <v>95</v>
      </c>
      <c r="B25" t="s">
        <v>97</v>
      </c>
      <c r="C25" t="s">
        <v>96</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95</v>
      </c>
      <c r="B26" t="s">
        <v>97</v>
      </c>
      <c r="C26" t="s">
        <v>96</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95</v>
      </c>
      <c r="B27" t="s">
        <v>97</v>
      </c>
      <c r="C27" t="s">
        <v>96</v>
      </c>
      <c r="D27" t="s">
        <v>89</v>
      </c>
      <c r="E27" t="s">
        <v>43</v>
      </c>
      <c r="F27" s="6">
        <v>0.34375</v>
      </c>
      <c r="G27">
        <v>0</v>
      </c>
      <c r="H27" s="6">
        <f>FLOOR(tblPivotData[[#This Row],[Time]],Summary!$B$6/1440)</f>
        <v>0.34375</v>
      </c>
      <c r="I27" s="49">
        <f>INDEX(PeakCalc!$L$10:$L$303,MATCH(tblPivotData[[#This Row],[Time]],PeakCalc!$G$10:$G$303,0))</f>
        <v>1</v>
      </c>
    </row>
    <row r="28" spans="1:9" x14ac:dyDescent="0.25">
      <c r="A28" t="s">
        <v>95</v>
      </c>
      <c r="B28" t="s">
        <v>97</v>
      </c>
      <c r="C28" t="s">
        <v>96</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95</v>
      </c>
      <c r="B29" t="s">
        <v>97</v>
      </c>
      <c r="C29" t="s">
        <v>96</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95</v>
      </c>
      <c r="B30" t="s">
        <v>97</v>
      </c>
      <c r="C30" t="s">
        <v>96</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97</v>
      </c>
      <c r="C31" t="s">
        <v>96</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95</v>
      </c>
      <c r="B32" t="s">
        <v>97</v>
      </c>
      <c r="C32" t="s">
        <v>96</v>
      </c>
      <c r="D32" t="s">
        <v>89</v>
      </c>
      <c r="E32" t="s">
        <v>90</v>
      </c>
      <c r="F32" s="6">
        <v>0.5625</v>
      </c>
      <c r="G32">
        <v>0</v>
      </c>
      <c r="H32" s="6">
        <f>FLOOR(tblPivotData[[#This Row],[Time]],Summary!$B$6/1440)</f>
        <v>0.5625</v>
      </c>
      <c r="I32" s="49">
        <f>INDEX(PeakCalc!$L$10:$L$303,MATCH(tblPivotData[[#This Row],[Time]],PeakCalc!$G$10:$G$303,0))</f>
        <v>1</v>
      </c>
    </row>
    <row r="33" spans="1:9" x14ac:dyDescent="0.25">
      <c r="A33" t="s">
        <v>95</v>
      </c>
      <c r="B33" t="s">
        <v>97</v>
      </c>
      <c r="C33" t="s">
        <v>96</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95</v>
      </c>
      <c r="B34" t="s">
        <v>97</v>
      </c>
      <c r="C34" t="s">
        <v>96</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95</v>
      </c>
      <c r="B35" t="s">
        <v>97</v>
      </c>
      <c r="C35" t="s">
        <v>96</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95</v>
      </c>
      <c r="B36" t="s">
        <v>97</v>
      </c>
      <c r="C36" t="s">
        <v>96</v>
      </c>
      <c r="D36" t="s">
        <v>89</v>
      </c>
      <c r="E36" t="s">
        <v>44</v>
      </c>
      <c r="F36" s="6">
        <v>0.6875</v>
      </c>
      <c r="G36">
        <v>0</v>
      </c>
      <c r="H36" s="6">
        <f>FLOOR(tblPivotData[[#This Row],[Time]],Summary!$B$6/1440)</f>
        <v>0.6875</v>
      </c>
      <c r="I36" s="49">
        <f>INDEX(PeakCalc!$L$10:$L$303,MATCH(tblPivotData[[#This Row],[Time]],PeakCalc!$G$10:$G$303,0))</f>
        <v>1</v>
      </c>
    </row>
    <row r="37" spans="1:9" x14ac:dyDescent="0.25">
      <c r="A37" t="s">
        <v>95</v>
      </c>
      <c r="B37" t="s">
        <v>97</v>
      </c>
      <c r="C37" t="s">
        <v>96</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95</v>
      </c>
      <c r="B38" t="s">
        <v>97</v>
      </c>
      <c r="C38" t="s">
        <v>96</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95</v>
      </c>
      <c r="B39" t="s">
        <v>97</v>
      </c>
      <c r="C39" t="s">
        <v>96</v>
      </c>
      <c r="D39" t="s">
        <v>89</v>
      </c>
      <c r="E39" t="s">
        <v>44</v>
      </c>
      <c r="F39" s="6">
        <v>0.71875</v>
      </c>
      <c r="G39">
        <v>0</v>
      </c>
      <c r="H39" s="6">
        <f>FLOOR(tblPivotData[[#This Row],[Time]],Summary!$B$6/1440)</f>
        <v>0.71875</v>
      </c>
      <c r="I39" s="49">
        <f>INDEX(PeakCalc!$L$10:$L$303,MATCH(tblPivotData[[#This Row],[Time]],PeakCalc!$G$10:$G$303,0))</f>
        <v>1</v>
      </c>
    </row>
    <row r="40" spans="1:9" x14ac:dyDescent="0.25">
      <c r="A40" t="s">
        <v>95</v>
      </c>
      <c r="B40" t="s">
        <v>97</v>
      </c>
      <c r="C40" t="s">
        <v>96</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95</v>
      </c>
      <c r="B41" t="s">
        <v>97</v>
      </c>
      <c r="C41" t="s">
        <v>96</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95</v>
      </c>
      <c r="B42" t="s">
        <v>97</v>
      </c>
      <c r="C42" t="s">
        <v>96</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97</v>
      </c>
      <c r="C43" t="s">
        <v>96</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97</v>
      </c>
      <c r="C44" t="s">
        <v>96</v>
      </c>
      <c r="D44" t="s">
        <v>91</v>
      </c>
      <c r="E44" t="s">
        <v>43</v>
      </c>
      <c r="F44" s="6">
        <v>0.3125</v>
      </c>
      <c r="G44">
        <v>0</v>
      </c>
      <c r="H44" s="6">
        <f>FLOOR(tblPivotData[[#This Row],[Time]],Summary!$B$6/1440)</f>
        <v>0.3125</v>
      </c>
      <c r="I44" s="49">
        <f>INDEX(PeakCalc!$L$10:$L$303,MATCH(tblPivotData[[#This Row],[Time]],PeakCalc!$G$10:$G$303,0))</f>
        <v>0</v>
      </c>
    </row>
    <row r="45" spans="1:9" x14ac:dyDescent="0.25">
      <c r="A45" t="s">
        <v>95</v>
      </c>
      <c r="B45" t="s">
        <v>97</v>
      </c>
      <c r="C45" t="s">
        <v>96</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95</v>
      </c>
      <c r="B46" t="s">
        <v>97</v>
      </c>
      <c r="C46" t="s">
        <v>96</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97</v>
      </c>
      <c r="C47" t="s">
        <v>96</v>
      </c>
      <c r="D47" t="s">
        <v>91</v>
      </c>
      <c r="E47" t="s">
        <v>43</v>
      </c>
      <c r="F47" s="6">
        <v>0.34375</v>
      </c>
      <c r="G47">
        <v>0</v>
      </c>
      <c r="H47" s="6">
        <f>FLOOR(tblPivotData[[#This Row],[Time]],Summary!$B$6/1440)</f>
        <v>0.34375</v>
      </c>
      <c r="I47" s="49">
        <f>INDEX(PeakCalc!$L$10:$L$303,MATCH(tblPivotData[[#This Row],[Time]],PeakCalc!$G$10:$G$303,0))</f>
        <v>1</v>
      </c>
    </row>
    <row r="48" spans="1:9" x14ac:dyDescent="0.25">
      <c r="A48" t="s">
        <v>95</v>
      </c>
      <c r="B48" t="s">
        <v>97</v>
      </c>
      <c r="C48" t="s">
        <v>96</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97</v>
      </c>
      <c r="C49" t="s">
        <v>96</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95</v>
      </c>
      <c r="B50" t="s">
        <v>97</v>
      </c>
      <c r="C50" t="s">
        <v>96</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95</v>
      </c>
      <c r="B51" t="s">
        <v>97</v>
      </c>
      <c r="C51" t="s">
        <v>96</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97</v>
      </c>
      <c r="C52" t="s">
        <v>96</v>
      </c>
      <c r="D52" t="s">
        <v>91</v>
      </c>
      <c r="E52" t="s">
        <v>90</v>
      </c>
      <c r="F52" s="6">
        <v>0.5625</v>
      </c>
      <c r="G52">
        <v>0</v>
      </c>
      <c r="H52" s="6">
        <f>FLOOR(tblPivotData[[#This Row],[Time]],Summary!$B$6/1440)</f>
        <v>0.5625</v>
      </c>
      <c r="I52" s="49">
        <f>INDEX(PeakCalc!$L$10:$L$303,MATCH(tblPivotData[[#This Row],[Time]],PeakCalc!$G$10:$G$303,0))</f>
        <v>1</v>
      </c>
    </row>
    <row r="53" spans="1:9" x14ac:dyDescent="0.25">
      <c r="A53" t="s">
        <v>95</v>
      </c>
      <c r="B53" t="s">
        <v>97</v>
      </c>
      <c r="C53" t="s">
        <v>96</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95</v>
      </c>
      <c r="B54" t="s">
        <v>97</v>
      </c>
      <c r="C54" t="s">
        <v>96</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95</v>
      </c>
      <c r="B55" t="s">
        <v>97</v>
      </c>
      <c r="C55" t="s">
        <v>96</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95</v>
      </c>
      <c r="B56" t="s">
        <v>97</v>
      </c>
      <c r="C56" t="s">
        <v>96</v>
      </c>
      <c r="D56" t="s">
        <v>91</v>
      </c>
      <c r="E56" t="s">
        <v>44</v>
      </c>
      <c r="F56" s="6">
        <v>0.6875</v>
      </c>
      <c r="G56">
        <v>0</v>
      </c>
      <c r="H56" s="6">
        <f>FLOOR(tblPivotData[[#This Row],[Time]],Summary!$B$6/1440)</f>
        <v>0.6875</v>
      </c>
      <c r="I56" s="49">
        <f>INDEX(PeakCalc!$L$10:$L$303,MATCH(tblPivotData[[#This Row],[Time]],PeakCalc!$G$10:$G$303,0))</f>
        <v>1</v>
      </c>
    </row>
    <row r="57" spans="1:9" x14ac:dyDescent="0.25">
      <c r="A57" t="s">
        <v>95</v>
      </c>
      <c r="B57" t="s">
        <v>97</v>
      </c>
      <c r="C57" t="s">
        <v>96</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97</v>
      </c>
      <c r="C58" t="s">
        <v>96</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95</v>
      </c>
      <c r="B59" t="s">
        <v>97</v>
      </c>
      <c r="C59" t="s">
        <v>96</v>
      </c>
      <c r="D59" t="s">
        <v>91</v>
      </c>
      <c r="E59" t="s">
        <v>44</v>
      </c>
      <c r="F59" s="6">
        <v>0.71875</v>
      </c>
      <c r="G59">
        <v>0</v>
      </c>
      <c r="H59" s="6">
        <f>FLOOR(tblPivotData[[#This Row],[Time]],Summary!$B$6/1440)</f>
        <v>0.71875</v>
      </c>
      <c r="I59" s="49">
        <f>INDEX(PeakCalc!$L$10:$L$303,MATCH(tblPivotData[[#This Row],[Time]],PeakCalc!$G$10:$G$303,0))</f>
        <v>1</v>
      </c>
    </row>
    <row r="60" spans="1:9" x14ac:dyDescent="0.25">
      <c r="A60" t="s">
        <v>95</v>
      </c>
      <c r="B60" t="s">
        <v>97</v>
      </c>
      <c r="C60" t="s">
        <v>96</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95</v>
      </c>
      <c r="B61" t="s">
        <v>97</v>
      </c>
      <c r="C61" t="s">
        <v>96</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99</v>
      </c>
      <c r="C62" t="s">
        <v>93</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95</v>
      </c>
      <c r="B63" t="s">
        <v>99</v>
      </c>
      <c r="C63" t="s">
        <v>93</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95</v>
      </c>
      <c r="B64" t="s">
        <v>99</v>
      </c>
      <c r="C64" t="s">
        <v>93</v>
      </c>
      <c r="D64" t="s">
        <v>79</v>
      </c>
      <c r="E64" t="s">
        <v>43</v>
      </c>
      <c r="F64" s="6">
        <v>0.3125</v>
      </c>
      <c r="G64">
        <v>0</v>
      </c>
      <c r="H64" s="6">
        <f>FLOOR(tblPivotData[[#This Row],[Time]],Summary!$B$6/1440)</f>
        <v>0.3125</v>
      </c>
      <c r="I64" s="49">
        <f>INDEX(PeakCalc!$L$10:$L$303,MATCH(tblPivotData[[#This Row],[Time]],PeakCalc!$G$10:$G$303,0))</f>
        <v>0</v>
      </c>
    </row>
    <row r="65" spans="1:9" x14ac:dyDescent="0.25">
      <c r="A65" t="s">
        <v>95</v>
      </c>
      <c r="B65" t="s">
        <v>99</v>
      </c>
      <c r="C65" t="s">
        <v>93</v>
      </c>
      <c r="D65" t="s">
        <v>79</v>
      </c>
      <c r="E65" t="s">
        <v>43</v>
      </c>
      <c r="F65" s="6">
        <v>0.32291666666666669</v>
      </c>
      <c r="G65">
        <v>0</v>
      </c>
      <c r="H65" s="6">
        <f>FLOOR(tblPivotData[[#This Row],[Time]],Summary!$B$6/1440)</f>
        <v>0.32291666666666663</v>
      </c>
      <c r="I65" s="49">
        <f>INDEX(PeakCalc!$L$10:$L$303,MATCH(tblPivotData[[#This Row],[Time]],PeakCalc!$G$10:$G$303,0))</f>
        <v>0</v>
      </c>
    </row>
    <row r="66" spans="1:9" x14ac:dyDescent="0.25">
      <c r="A66" t="s">
        <v>95</v>
      </c>
      <c r="B66" t="s">
        <v>99</v>
      </c>
      <c r="C66" t="s">
        <v>93</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95</v>
      </c>
      <c r="B67" t="s">
        <v>99</v>
      </c>
      <c r="C67" t="s">
        <v>93</v>
      </c>
      <c r="D67" t="s">
        <v>79</v>
      </c>
      <c r="E67" t="s">
        <v>43</v>
      </c>
      <c r="F67" s="6">
        <v>0.34375</v>
      </c>
      <c r="G67">
        <v>0</v>
      </c>
      <c r="H67" s="6">
        <f>FLOOR(tblPivotData[[#This Row],[Time]],Summary!$B$6/1440)</f>
        <v>0.34375</v>
      </c>
      <c r="I67" s="49">
        <f>INDEX(PeakCalc!$L$10:$L$303,MATCH(tblPivotData[[#This Row],[Time]],PeakCalc!$G$10:$G$303,0))</f>
        <v>1</v>
      </c>
    </row>
    <row r="68" spans="1:9" x14ac:dyDescent="0.25">
      <c r="A68" t="s">
        <v>95</v>
      </c>
      <c r="B68" t="s">
        <v>99</v>
      </c>
      <c r="C68" t="s">
        <v>93</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95</v>
      </c>
      <c r="B69" t="s">
        <v>99</v>
      </c>
      <c r="C69" t="s">
        <v>93</v>
      </c>
      <c r="D69" t="s">
        <v>79</v>
      </c>
      <c r="E69" t="s">
        <v>43</v>
      </c>
      <c r="F69" s="6">
        <v>0.36458333333333331</v>
      </c>
      <c r="G69">
        <v>0</v>
      </c>
      <c r="H69" s="6">
        <f>FLOOR(tblPivotData[[#This Row],[Time]],Summary!$B$6/1440)</f>
        <v>0.36458333333333331</v>
      </c>
      <c r="I69" s="49">
        <f>INDEX(PeakCalc!$L$10:$L$303,MATCH(tblPivotData[[#This Row],[Time]],PeakCalc!$G$10:$G$303,0))</f>
        <v>1</v>
      </c>
    </row>
    <row r="70" spans="1:9" x14ac:dyDescent="0.25">
      <c r="A70" t="s">
        <v>95</v>
      </c>
      <c r="B70" t="s">
        <v>99</v>
      </c>
      <c r="C70" t="s">
        <v>93</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95</v>
      </c>
      <c r="B71" t="s">
        <v>99</v>
      </c>
      <c r="C71" t="s">
        <v>93</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95</v>
      </c>
      <c r="B72" t="s">
        <v>99</v>
      </c>
      <c r="C72" t="s">
        <v>93</v>
      </c>
      <c r="D72" t="s">
        <v>79</v>
      </c>
      <c r="E72" t="s">
        <v>90</v>
      </c>
      <c r="F72" s="6">
        <v>0.5625</v>
      </c>
      <c r="G72">
        <v>0</v>
      </c>
      <c r="H72" s="6">
        <f>FLOOR(tblPivotData[[#This Row],[Time]],Summary!$B$6/1440)</f>
        <v>0.5625</v>
      </c>
      <c r="I72" s="49">
        <f>INDEX(PeakCalc!$L$10:$L$303,MATCH(tblPivotData[[#This Row],[Time]],PeakCalc!$G$10:$G$303,0))</f>
        <v>1</v>
      </c>
    </row>
    <row r="73" spans="1:9" x14ac:dyDescent="0.25">
      <c r="A73" t="s">
        <v>95</v>
      </c>
      <c r="B73" t="s">
        <v>99</v>
      </c>
      <c r="C73" t="s">
        <v>93</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95</v>
      </c>
      <c r="B74" t="s">
        <v>99</v>
      </c>
      <c r="C74" t="s">
        <v>93</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95</v>
      </c>
      <c r="B75" t="s">
        <v>99</v>
      </c>
      <c r="C75" t="s">
        <v>93</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95</v>
      </c>
      <c r="B76" t="s">
        <v>99</v>
      </c>
      <c r="C76" t="s">
        <v>93</v>
      </c>
      <c r="D76" t="s">
        <v>79</v>
      </c>
      <c r="E76" t="s">
        <v>44</v>
      </c>
      <c r="F76" s="6">
        <v>0.6875</v>
      </c>
      <c r="G76">
        <v>0</v>
      </c>
      <c r="H76" s="6">
        <f>FLOOR(tblPivotData[[#This Row],[Time]],Summary!$B$6/1440)</f>
        <v>0.6875</v>
      </c>
      <c r="I76" s="49">
        <f>INDEX(PeakCalc!$L$10:$L$303,MATCH(tblPivotData[[#This Row],[Time]],PeakCalc!$G$10:$G$303,0))</f>
        <v>1</v>
      </c>
    </row>
    <row r="77" spans="1:9" x14ac:dyDescent="0.25">
      <c r="A77" t="s">
        <v>95</v>
      </c>
      <c r="B77" t="s">
        <v>99</v>
      </c>
      <c r="C77" t="s">
        <v>93</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95</v>
      </c>
      <c r="B78" t="s">
        <v>99</v>
      </c>
      <c r="C78" t="s">
        <v>93</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95</v>
      </c>
      <c r="B79" t="s">
        <v>99</v>
      </c>
      <c r="C79" t="s">
        <v>93</v>
      </c>
      <c r="D79" t="s">
        <v>79</v>
      </c>
      <c r="E79" t="s">
        <v>44</v>
      </c>
      <c r="F79" s="6">
        <v>0.71875</v>
      </c>
      <c r="G79">
        <v>0</v>
      </c>
      <c r="H79" s="6">
        <f>FLOOR(tblPivotData[[#This Row],[Time]],Summary!$B$6/1440)</f>
        <v>0.71875</v>
      </c>
      <c r="I79" s="49">
        <f>INDEX(PeakCalc!$L$10:$L$303,MATCH(tblPivotData[[#This Row],[Time]],PeakCalc!$G$10:$G$303,0))</f>
        <v>1</v>
      </c>
    </row>
    <row r="80" spans="1:9" x14ac:dyDescent="0.25">
      <c r="A80" t="s">
        <v>95</v>
      </c>
      <c r="B80" t="s">
        <v>99</v>
      </c>
      <c r="C80" t="s">
        <v>93</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95</v>
      </c>
      <c r="B81" t="s">
        <v>99</v>
      </c>
      <c r="C81" t="s">
        <v>93</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95</v>
      </c>
      <c r="B82" t="s">
        <v>99</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95</v>
      </c>
      <c r="B83" t="s">
        <v>99</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95</v>
      </c>
      <c r="B84" t="s">
        <v>99</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95</v>
      </c>
      <c r="B85" t="s">
        <v>99</v>
      </c>
      <c r="C85" t="s">
        <v>93</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95</v>
      </c>
      <c r="B86" t="s">
        <v>99</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95</v>
      </c>
      <c r="B87" t="s">
        <v>99</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95</v>
      </c>
      <c r="B88" t="s">
        <v>99</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95</v>
      </c>
      <c r="B89" t="s">
        <v>99</v>
      </c>
      <c r="C89" t="s">
        <v>93</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95</v>
      </c>
      <c r="B90" t="s">
        <v>99</v>
      </c>
      <c r="C90" t="s">
        <v>93</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95</v>
      </c>
      <c r="B91" t="s">
        <v>99</v>
      </c>
      <c r="C91" t="s">
        <v>93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95</v>
      </c>
      <c r="B92" t="s">
        <v>99</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95</v>
      </c>
      <c r="B93" t="s">
        <v>99</v>
      </c>
      <c r="C93" t="s">
        <v>93</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95</v>
      </c>
      <c r="B94" t="s">
        <v>99</v>
      </c>
      <c r="C94" t="s">
        <v>93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95</v>
      </c>
      <c r="B95" t="s">
        <v>99</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95</v>
      </c>
      <c r="B96" t="s">
        <v>99</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95</v>
      </c>
      <c r="B97" t="s">
        <v>99</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95</v>
      </c>
      <c r="B98" t="s">
        <v>99</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95</v>
      </c>
      <c r="B99" t="s">
        <v>99</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95</v>
      </c>
      <c r="B100" t="s">
        <v>99</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95</v>
      </c>
      <c r="B101" t="s">
        <v>99</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95</v>
      </c>
      <c r="B102" t="s">
        <v>99</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95</v>
      </c>
      <c r="B103" t="s">
        <v>99</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95</v>
      </c>
      <c r="B104" t="s">
        <v>99</v>
      </c>
      <c r="C104" t="s">
        <v>93</v>
      </c>
      <c r="D104" t="s">
        <v>91</v>
      </c>
      <c r="E104" t="s">
        <v>43</v>
      </c>
      <c r="F104" s="6">
        <v>0.3125</v>
      </c>
      <c r="G104">
        <v>0</v>
      </c>
      <c r="H104" s="6">
        <f>FLOOR(tblPivotData[[#This Row],[Time]],Summary!$B$6/1440)</f>
        <v>0.3125</v>
      </c>
      <c r="I104" s="49">
        <f>INDEX(PeakCalc!$L$10:$L$303,MATCH(tblPivotData[[#This Row],[Time]],PeakCalc!$G$10:$G$303,0))</f>
        <v>0</v>
      </c>
    </row>
    <row r="105" spans="1:9" x14ac:dyDescent="0.25">
      <c r="A105" t="s">
        <v>95</v>
      </c>
      <c r="B105" t="s">
        <v>99</v>
      </c>
      <c r="C105" t="s">
        <v>93</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95</v>
      </c>
      <c r="B106" t="s">
        <v>99</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95</v>
      </c>
      <c r="B107" t="s">
        <v>99</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95</v>
      </c>
      <c r="B108" t="s">
        <v>99</v>
      </c>
      <c r="C108" t="s">
        <v>93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95</v>
      </c>
      <c r="B109" t="s">
        <v>99</v>
      </c>
      <c r="C109" t="s">
        <v>93</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95</v>
      </c>
      <c r="B110" t="s">
        <v>99</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99</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99</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95</v>
      </c>
      <c r="B113" t="s">
        <v>99</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95</v>
      </c>
      <c r="B114" t="s">
        <v>99</v>
      </c>
      <c r="C114" t="s">
        <v>93</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95</v>
      </c>
      <c r="B115" t="s">
        <v>99</v>
      </c>
      <c r="C115" t="s">
        <v>93</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95</v>
      </c>
      <c r="B116" t="s">
        <v>99</v>
      </c>
      <c r="C116" t="s">
        <v>93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95</v>
      </c>
      <c r="B117" t="s">
        <v>99</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95</v>
      </c>
      <c r="B118" t="s">
        <v>99</v>
      </c>
      <c r="C118" t="s">
        <v>93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95</v>
      </c>
      <c r="B119" t="s">
        <v>99</v>
      </c>
      <c r="C119" t="s">
        <v>93</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95</v>
      </c>
      <c r="B120" t="s">
        <v>99</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95</v>
      </c>
      <c r="B121" t="s">
        <v>99</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95</v>
      </c>
      <c r="B122" t="s">
        <v>98</v>
      </c>
      <c r="C122" t="s">
        <v>94</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95</v>
      </c>
      <c r="B123" t="s">
        <v>98</v>
      </c>
      <c r="C123" t="s">
        <v>94</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95</v>
      </c>
      <c r="B124" t="s">
        <v>98</v>
      </c>
      <c r="C124" t="s">
        <v>94</v>
      </c>
      <c r="D124" t="s">
        <v>79</v>
      </c>
      <c r="E124" t="s">
        <v>43</v>
      </c>
      <c r="F124" s="6">
        <v>0.3125</v>
      </c>
      <c r="G124">
        <v>0</v>
      </c>
      <c r="H124" s="6">
        <f>FLOOR(tblPivotData[[#This Row],[Time]],Summary!$B$6/1440)</f>
        <v>0.3125</v>
      </c>
      <c r="I124" s="49">
        <f>INDEX(PeakCalc!$L$10:$L$303,MATCH(tblPivotData[[#This Row],[Time]],PeakCalc!$G$10:$G$303,0))</f>
        <v>0</v>
      </c>
    </row>
    <row r="125" spans="1:9" x14ac:dyDescent="0.25">
      <c r="A125" t="s">
        <v>95</v>
      </c>
      <c r="B125" t="s">
        <v>98</v>
      </c>
      <c r="C125" t="s">
        <v>94</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95</v>
      </c>
      <c r="B126" t="s">
        <v>98</v>
      </c>
      <c r="C126" t="s">
        <v>94</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95</v>
      </c>
      <c r="B127" t="s">
        <v>98</v>
      </c>
      <c r="C127" t="s">
        <v>94</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95</v>
      </c>
      <c r="B128" t="s">
        <v>98</v>
      </c>
      <c r="C128" t="s">
        <v>94</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95</v>
      </c>
      <c r="B129" t="s">
        <v>98</v>
      </c>
      <c r="C129" t="s">
        <v>94</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95</v>
      </c>
      <c r="B130" t="s">
        <v>98</v>
      </c>
      <c r="C130" t="s">
        <v>94</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95</v>
      </c>
      <c r="B131" t="s">
        <v>98</v>
      </c>
      <c r="C131" t="s">
        <v>94</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95</v>
      </c>
      <c r="B132" t="s">
        <v>98</v>
      </c>
      <c r="C132" t="s">
        <v>94</v>
      </c>
      <c r="D132" t="s">
        <v>79</v>
      </c>
      <c r="E132" t="s">
        <v>90</v>
      </c>
      <c r="F132" s="6">
        <v>0.5625</v>
      </c>
      <c r="G132">
        <v>0</v>
      </c>
      <c r="H132" s="6">
        <f>FLOOR(tblPivotData[[#This Row],[Time]],Summary!$B$6/1440)</f>
        <v>0.5625</v>
      </c>
      <c r="I132" s="49">
        <f>INDEX(PeakCalc!$L$10:$L$303,MATCH(tblPivotData[[#This Row],[Time]],PeakCalc!$G$10:$G$303,0))</f>
        <v>1</v>
      </c>
    </row>
    <row r="133" spans="1:9" x14ac:dyDescent="0.25">
      <c r="A133" t="s">
        <v>95</v>
      </c>
      <c r="B133" t="s">
        <v>98</v>
      </c>
      <c r="C133" t="s">
        <v>94</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95</v>
      </c>
      <c r="B134" t="s">
        <v>98</v>
      </c>
      <c r="C134" t="s">
        <v>94</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95</v>
      </c>
      <c r="B135" t="s">
        <v>98</v>
      </c>
      <c r="C135" t="s">
        <v>94</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95</v>
      </c>
      <c r="B136" t="s">
        <v>98</v>
      </c>
      <c r="C136" t="s">
        <v>94</v>
      </c>
      <c r="D136" t="s">
        <v>79</v>
      </c>
      <c r="E136" t="s">
        <v>44</v>
      </c>
      <c r="F136" s="6">
        <v>0.6875</v>
      </c>
      <c r="G136">
        <v>0</v>
      </c>
      <c r="H136" s="6">
        <f>FLOOR(tblPivotData[[#This Row],[Time]],Summary!$B$6/1440)</f>
        <v>0.6875</v>
      </c>
      <c r="I136" s="49">
        <f>INDEX(PeakCalc!$L$10:$L$303,MATCH(tblPivotData[[#This Row],[Time]],PeakCalc!$G$10:$G$303,0))</f>
        <v>1</v>
      </c>
    </row>
    <row r="137" spans="1:9" x14ac:dyDescent="0.25">
      <c r="A137" t="s">
        <v>95</v>
      </c>
      <c r="B137" t="s">
        <v>98</v>
      </c>
      <c r="C137" t="s">
        <v>94</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95</v>
      </c>
      <c r="B138" t="s">
        <v>98</v>
      </c>
      <c r="C138" t="s">
        <v>94</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95</v>
      </c>
      <c r="B139" t="s">
        <v>98</v>
      </c>
      <c r="C139" t="s">
        <v>94</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95</v>
      </c>
      <c r="B140" t="s">
        <v>98</v>
      </c>
      <c r="C140" t="s">
        <v>94</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95</v>
      </c>
      <c r="B141" t="s">
        <v>98</v>
      </c>
      <c r="C141" t="s">
        <v>94</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95</v>
      </c>
      <c r="B142" t="s">
        <v>98</v>
      </c>
      <c r="C142" t="s">
        <v>94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95</v>
      </c>
      <c r="B143" t="s">
        <v>98</v>
      </c>
      <c r="C143" t="s">
        <v>94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95</v>
      </c>
      <c r="B144" t="s">
        <v>98</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95</v>
      </c>
      <c r="B145" t="s">
        <v>98</v>
      </c>
      <c r="C145" t="s">
        <v>94</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95</v>
      </c>
      <c r="B146" t="s">
        <v>98</v>
      </c>
      <c r="C146" t="s">
        <v>94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95</v>
      </c>
      <c r="B147" t="s">
        <v>98</v>
      </c>
      <c r="C147" t="s">
        <v>94</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95</v>
      </c>
      <c r="B148" t="s">
        <v>98</v>
      </c>
      <c r="C148" t="s">
        <v>94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95</v>
      </c>
      <c r="B149" t="s">
        <v>98</v>
      </c>
      <c r="C149" t="s">
        <v>94</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95</v>
      </c>
      <c r="B150" t="s">
        <v>98</v>
      </c>
      <c r="C150" t="s">
        <v>94</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95</v>
      </c>
      <c r="B151" t="s">
        <v>98</v>
      </c>
      <c r="C151" t="s">
        <v>94</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95</v>
      </c>
      <c r="B152" t="s">
        <v>98</v>
      </c>
      <c r="C152" t="s">
        <v>94</v>
      </c>
      <c r="D152" t="s">
        <v>89</v>
      </c>
      <c r="E152" t="s">
        <v>90</v>
      </c>
      <c r="F152" s="6">
        <v>0.5625</v>
      </c>
      <c r="G152">
        <v>0</v>
      </c>
      <c r="H152" s="6">
        <f>FLOOR(tblPivotData[[#This Row],[Time]],Summary!$B$6/1440)</f>
        <v>0.5625</v>
      </c>
      <c r="I152" s="49">
        <f>INDEX(PeakCalc!$L$10:$L$303,MATCH(tblPivotData[[#This Row],[Time]],PeakCalc!$G$10:$G$303,0))</f>
        <v>1</v>
      </c>
    </row>
    <row r="153" spans="1:9" x14ac:dyDescent="0.25">
      <c r="A153" t="s">
        <v>95</v>
      </c>
      <c r="B153" t="s">
        <v>98</v>
      </c>
      <c r="C153" t="s">
        <v>94</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95</v>
      </c>
      <c r="B154" t="s">
        <v>98</v>
      </c>
      <c r="C154" t="s">
        <v>94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95</v>
      </c>
      <c r="B155" t="s">
        <v>98</v>
      </c>
      <c r="C155" t="s">
        <v>94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95</v>
      </c>
      <c r="B156" t="s">
        <v>98</v>
      </c>
      <c r="C156" t="s">
        <v>94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95</v>
      </c>
      <c r="B157" t="s">
        <v>98</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95</v>
      </c>
      <c r="B158" t="s">
        <v>98</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95</v>
      </c>
      <c r="B159" t="s">
        <v>98</v>
      </c>
      <c r="C159" t="s">
        <v>94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95</v>
      </c>
      <c r="B160" t="s">
        <v>98</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95</v>
      </c>
      <c r="B161" t="s">
        <v>98</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95</v>
      </c>
      <c r="B162" t="s">
        <v>98</v>
      </c>
      <c r="C162" t="s">
        <v>94</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98</v>
      </c>
      <c r="C163" t="s">
        <v>94</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95</v>
      </c>
      <c r="B164" t="s">
        <v>98</v>
      </c>
      <c r="C164" t="s">
        <v>94</v>
      </c>
      <c r="D164" t="s">
        <v>91</v>
      </c>
      <c r="E164" t="s">
        <v>43</v>
      </c>
      <c r="F164" s="6">
        <v>0.3125</v>
      </c>
      <c r="G164">
        <v>0</v>
      </c>
      <c r="H164" s="6">
        <f>FLOOR(tblPivotData[[#This Row],[Time]],Summary!$B$6/1440)</f>
        <v>0.3125</v>
      </c>
      <c r="I164" s="49">
        <f>INDEX(PeakCalc!$L$10:$L$303,MATCH(tblPivotData[[#This Row],[Time]],PeakCalc!$G$10:$G$303,0))</f>
        <v>0</v>
      </c>
    </row>
    <row r="165" spans="1:9" x14ac:dyDescent="0.25">
      <c r="A165" t="s">
        <v>95</v>
      </c>
      <c r="B165" t="s">
        <v>98</v>
      </c>
      <c r="C165" t="s">
        <v>94</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95</v>
      </c>
      <c r="B166" t="s">
        <v>98</v>
      </c>
      <c r="C166" t="s">
        <v>94</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95</v>
      </c>
      <c r="B167" t="s">
        <v>98</v>
      </c>
      <c r="C167" t="s">
        <v>94</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95</v>
      </c>
      <c r="B168" t="s">
        <v>98</v>
      </c>
      <c r="C168" t="s">
        <v>94</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95</v>
      </c>
      <c r="B169" t="s">
        <v>98</v>
      </c>
      <c r="C169" t="s">
        <v>94</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95</v>
      </c>
      <c r="B170" t="s">
        <v>98</v>
      </c>
      <c r="C170" t="s">
        <v>94</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98</v>
      </c>
      <c r="C171" t="s">
        <v>94</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95</v>
      </c>
      <c r="B172" t="s">
        <v>98</v>
      </c>
      <c r="C172" t="s">
        <v>94</v>
      </c>
      <c r="D172" t="s">
        <v>91</v>
      </c>
      <c r="E172" t="s">
        <v>90</v>
      </c>
      <c r="F172" s="6">
        <v>0.5625</v>
      </c>
      <c r="G172">
        <v>0</v>
      </c>
      <c r="H172" s="6">
        <f>FLOOR(tblPivotData[[#This Row],[Time]],Summary!$B$6/1440)</f>
        <v>0.5625</v>
      </c>
      <c r="I172" s="49">
        <f>INDEX(PeakCalc!$L$10:$L$303,MATCH(tblPivotData[[#This Row],[Time]],PeakCalc!$G$10:$G$303,0))</f>
        <v>1</v>
      </c>
    </row>
    <row r="173" spans="1:9" x14ac:dyDescent="0.25">
      <c r="A173" t="s">
        <v>95</v>
      </c>
      <c r="B173" t="s">
        <v>98</v>
      </c>
      <c r="C173" t="s">
        <v>94</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98</v>
      </c>
      <c r="C174" t="s">
        <v>94</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95</v>
      </c>
      <c r="B175" t="s">
        <v>98</v>
      </c>
      <c r="C175" t="s">
        <v>94</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95</v>
      </c>
      <c r="B176" t="s">
        <v>98</v>
      </c>
      <c r="C176" t="s">
        <v>94</v>
      </c>
      <c r="D176" t="s">
        <v>91</v>
      </c>
      <c r="E176" t="s">
        <v>44</v>
      </c>
      <c r="F176" s="6">
        <v>0.6875</v>
      </c>
      <c r="G176">
        <v>0</v>
      </c>
      <c r="H176" s="6">
        <f>FLOOR(tblPivotData[[#This Row],[Time]],Summary!$B$6/1440)</f>
        <v>0.6875</v>
      </c>
      <c r="I176" s="49">
        <f>INDEX(PeakCalc!$L$10:$L$303,MATCH(tblPivotData[[#This Row],[Time]],PeakCalc!$G$10:$G$303,0))</f>
        <v>1</v>
      </c>
    </row>
    <row r="177" spans="1:9" x14ac:dyDescent="0.25">
      <c r="A177" t="s">
        <v>95</v>
      </c>
      <c r="B177" t="s">
        <v>98</v>
      </c>
      <c r="C177" t="s">
        <v>94</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95</v>
      </c>
      <c r="B178" t="s">
        <v>98</v>
      </c>
      <c r="C178" t="s">
        <v>94</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95</v>
      </c>
      <c r="B179" t="s">
        <v>98</v>
      </c>
      <c r="C179" t="s">
        <v>94</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95</v>
      </c>
      <c r="B180" t="s">
        <v>98</v>
      </c>
      <c r="C180" t="s">
        <v>94</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95</v>
      </c>
      <c r="B181" t="s">
        <v>98</v>
      </c>
      <c r="C181" t="s">
        <v>94</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96</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96</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96</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96</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96</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96</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96</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96</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96</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96</v>
      </c>
      <c r="B191" t="s">
        <v>100</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96</v>
      </c>
      <c r="B192" t="s">
        <v>100</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96</v>
      </c>
      <c r="B193" t="s">
        <v>100</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96</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96</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96</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96</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96</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96</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96</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96</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96</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96</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96</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96</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96</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96</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96</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96</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96</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96</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96</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96</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96</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96</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96</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96</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96</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96</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96</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96</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96</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96</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96</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96</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96</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96</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96</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96</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96</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96</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96</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96</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96</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96</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96</v>
      </c>
      <c r="B242" t="s">
        <v>101</v>
      </c>
      <c r="C242" t="s">
        <v>94</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96</v>
      </c>
      <c r="B243" t="s">
        <v>101</v>
      </c>
      <c r="C243" t="s">
        <v>94</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96</v>
      </c>
      <c r="B244" t="s">
        <v>101</v>
      </c>
      <c r="C244" t="s">
        <v>94</v>
      </c>
      <c r="D244" t="s">
        <v>79</v>
      </c>
      <c r="E244" t="s">
        <v>43</v>
      </c>
      <c r="F244" s="6">
        <v>0.3125</v>
      </c>
      <c r="G244">
        <v>0</v>
      </c>
      <c r="H244" s="6">
        <f>FLOOR(tblPivotData[[#This Row],[Time]],Summary!$B$6/1440)</f>
        <v>0.3125</v>
      </c>
      <c r="I244" s="49">
        <f>INDEX(PeakCalc!$L$10:$L$303,MATCH(tblPivotData[[#This Row],[Time]],PeakCalc!$G$10:$G$303,0))</f>
        <v>0</v>
      </c>
    </row>
    <row r="245" spans="1:9" x14ac:dyDescent="0.25">
      <c r="A245" t="s">
        <v>96</v>
      </c>
      <c r="B245" t="s">
        <v>101</v>
      </c>
      <c r="C245" t="s">
        <v>94</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96</v>
      </c>
      <c r="B246" t="s">
        <v>101</v>
      </c>
      <c r="C246" t="s">
        <v>94</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96</v>
      </c>
      <c r="B247" t="s">
        <v>101</v>
      </c>
      <c r="C247" t="s">
        <v>94</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96</v>
      </c>
      <c r="B248" t="s">
        <v>101</v>
      </c>
      <c r="C248" t="s">
        <v>94</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96</v>
      </c>
      <c r="B249" t="s">
        <v>101</v>
      </c>
      <c r="C249" t="s">
        <v>94</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96</v>
      </c>
      <c r="B250" t="s">
        <v>101</v>
      </c>
      <c r="C250" t="s">
        <v>94</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96</v>
      </c>
      <c r="B251" t="s">
        <v>101</v>
      </c>
      <c r="C251" t="s">
        <v>94</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96</v>
      </c>
      <c r="B252" t="s">
        <v>101</v>
      </c>
      <c r="C252" t="s">
        <v>94</v>
      </c>
      <c r="D252" t="s">
        <v>79</v>
      </c>
      <c r="E252" t="s">
        <v>90</v>
      </c>
      <c r="F252" s="6">
        <v>0.5625</v>
      </c>
      <c r="G252">
        <v>0</v>
      </c>
      <c r="H252" s="6">
        <f>FLOOR(tblPivotData[[#This Row],[Time]],Summary!$B$6/1440)</f>
        <v>0.5625</v>
      </c>
      <c r="I252" s="49">
        <f>INDEX(PeakCalc!$L$10:$L$303,MATCH(tblPivotData[[#This Row],[Time]],PeakCalc!$G$10:$G$303,0))</f>
        <v>1</v>
      </c>
    </row>
    <row r="253" spans="1:9" x14ac:dyDescent="0.25">
      <c r="A253" t="s">
        <v>96</v>
      </c>
      <c r="B253" t="s">
        <v>101</v>
      </c>
      <c r="C253" t="s">
        <v>94</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96</v>
      </c>
      <c r="B254" t="s">
        <v>101</v>
      </c>
      <c r="C254" t="s">
        <v>94</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96</v>
      </c>
      <c r="B255" t="s">
        <v>101</v>
      </c>
      <c r="C255" t="s">
        <v>94</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96</v>
      </c>
      <c r="B256" t="s">
        <v>101</v>
      </c>
      <c r="C256" t="s">
        <v>94</v>
      </c>
      <c r="D256" t="s">
        <v>79</v>
      </c>
      <c r="E256" t="s">
        <v>44</v>
      </c>
      <c r="F256" s="6">
        <v>0.6875</v>
      </c>
      <c r="G256">
        <v>0</v>
      </c>
      <c r="H256" s="6">
        <f>FLOOR(tblPivotData[[#This Row],[Time]],Summary!$B$6/1440)</f>
        <v>0.6875</v>
      </c>
      <c r="I256" s="49">
        <f>INDEX(PeakCalc!$L$10:$L$303,MATCH(tblPivotData[[#This Row],[Time]],PeakCalc!$G$10:$G$303,0))</f>
        <v>1</v>
      </c>
    </row>
    <row r="257" spans="1:9" x14ac:dyDescent="0.25">
      <c r="A257" t="s">
        <v>96</v>
      </c>
      <c r="B257" t="s">
        <v>101</v>
      </c>
      <c r="C257" t="s">
        <v>94</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96</v>
      </c>
      <c r="B258" t="s">
        <v>101</v>
      </c>
      <c r="C258" t="s">
        <v>94</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96</v>
      </c>
      <c r="B259" t="s">
        <v>101</v>
      </c>
      <c r="C259" t="s">
        <v>94</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96</v>
      </c>
      <c r="B260" t="s">
        <v>101</v>
      </c>
      <c r="C260" t="s">
        <v>94</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96</v>
      </c>
      <c r="B261" t="s">
        <v>101</v>
      </c>
      <c r="C261" t="s">
        <v>94</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96</v>
      </c>
      <c r="B262" t="s">
        <v>101</v>
      </c>
      <c r="C262" t="s">
        <v>94</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96</v>
      </c>
      <c r="B263" t="s">
        <v>101</v>
      </c>
      <c r="C263" t="s">
        <v>94</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96</v>
      </c>
      <c r="B264" t="s">
        <v>101</v>
      </c>
      <c r="C264" t="s">
        <v>94</v>
      </c>
      <c r="D264" t="s">
        <v>89</v>
      </c>
      <c r="E264" t="s">
        <v>43</v>
      </c>
      <c r="F264" s="6">
        <v>0.3125</v>
      </c>
      <c r="G264">
        <v>0</v>
      </c>
      <c r="H264" s="6">
        <f>FLOOR(tblPivotData[[#This Row],[Time]],Summary!$B$6/1440)</f>
        <v>0.3125</v>
      </c>
      <c r="I264" s="49">
        <f>INDEX(PeakCalc!$L$10:$L$303,MATCH(tblPivotData[[#This Row],[Time]],PeakCalc!$G$10:$G$303,0))</f>
        <v>0</v>
      </c>
    </row>
    <row r="265" spans="1:9" x14ac:dyDescent="0.25">
      <c r="A265" t="s">
        <v>96</v>
      </c>
      <c r="B265" t="s">
        <v>101</v>
      </c>
      <c r="C265" t="s">
        <v>94</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96</v>
      </c>
      <c r="B266" t="s">
        <v>101</v>
      </c>
      <c r="C266" t="s">
        <v>94</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96</v>
      </c>
      <c r="B267" t="s">
        <v>101</v>
      </c>
      <c r="C267" t="s">
        <v>94</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96</v>
      </c>
      <c r="B268" t="s">
        <v>101</v>
      </c>
      <c r="C268" t="s">
        <v>94</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96</v>
      </c>
      <c r="B269" t="s">
        <v>101</v>
      </c>
      <c r="C269" t="s">
        <v>94</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96</v>
      </c>
      <c r="B270" t="s">
        <v>101</v>
      </c>
      <c r="C270" t="s">
        <v>94</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96</v>
      </c>
      <c r="B271" t="s">
        <v>101</v>
      </c>
      <c r="C271" t="s">
        <v>94</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96</v>
      </c>
      <c r="B272" t="s">
        <v>101</v>
      </c>
      <c r="C272" t="s">
        <v>94</v>
      </c>
      <c r="D272" t="s">
        <v>89</v>
      </c>
      <c r="E272" t="s">
        <v>90</v>
      </c>
      <c r="F272" s="6">
        <v>0.5625</v>
      </c>
      <c r="G272">
        <v>0</v>
      </c>
      <c r="H272" s="6">
        <f>FLOOR(tblPivotData[[#This Row],[Time]],Summary!$B$6/1440)</f>
        <v>0.5625</v>
      </c>
      <c r="I272" s="49">
        <f>INDEX(PeakCalc!$L$10:$L$303,MATCH(tblPivotData[[#This Row],[Time]],PeakCalc!$G$10:$G$303,0))</f>
        <v>1</v>
      </c>
    </row>
    <row r="273" spans="1:9" x14ac:dyDescent="0.25">
      <c r="A273" t="s">
        <v>96</v>
      </c>
      <c r="B273" t="s">
        <v>101</v>
      </c>
      <c r="C273" t="s">
        <v>94</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96</v>
      </c>
      <c r="B274" t="s">
        <v>101</v>
      </c>
      <c r="C274" t="s">
        <v>94</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96</v>
      </c>
      <c r="B275" t="s">
        <v>101</v>
      </c>
      <c r="C275" t="s">
        <v>94</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96</v>
      </c>
      <c r="B276" t="s">
        <v>101</v>
      </c>
      <c r="C276" t="s">
        <v>94</v>
      </c>
      <c r="D276" t="s">
        <v>89</v>
      </c>
      <c r="E276" t="s">
        <v>44</v>
      </c>
      <c r="F276" s="6">
        <v>0.6875</v>
      </c>
      <c r="G276">
        <v>0</v>
      </c>
      <c r="H276" s="6">
        <f>FLOOR(tblPivotData[[#This Row],[Time]],Summary!$B$6/1440)</f>
        <v>0.6875</v>
      </c>
      <c r="I276" s="49">
        <f>INDEX(PeakCalc!$L$10:$L$303,MATCH(tblPivotData[[#This Row],[Time]],PeakCalc!$G$10:$G$303,0))</f>
        <v>1</v>
      </c>
    </row>
    <row r="277" spans="1:9" x14ac:dyDescent="0.25">
      <c r="A277" t="s">
        <v>96</v>
      </c>
      <c r="B277" t="s">
        <v>101</v>
      </c>
      <c r="C277" t="s">
        <v>94</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96</v>
      </c>
      <c r="B278" t="s">
        <v>101</v>
      </c>
      <c r="C278" t="s">
        <v>94</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96</v>
      </c>
      <c r="B279" t="s">
        <v>101</v>
      </c>
      <c r="C279" t="s">
        <v>94</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96</v>
      </c>
      <c r="B280" t="s">
        <v>101</v>
      </c>
      <c r="C280" t="s">
        <v>94</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96</v>
      </c>
      <c r="B281" t="s">
        <v>101</v>
      </c>
      <c r="C281" t="s">
        <v>94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96</v>
      </c>
      <c r="B282" t="s">
        <v>101</v>
      </c>
      <c r="C282" t="s">
        <v>94</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96</v>
      </c>
      <c r="B283" t="s">
        <v>101</v>
      </c>
      <c r="C283" t="s">
        <v>94</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96</v>
      </c>
      <c r="B284" t="s">
        <v>101</v>
      </c>
      <c r="C284" t="s">
        <v>94</v>
      </c>
      <c r="D284" t="s">
        <v>91</v>
      </c>
      <c r="E284" t="s">
        <v>43</v>
      </c>
      <c r="F284" s="6">
        <v>0.3125</v>
      </c>
      <c r="G284">
        <v>0</v>
      </c>
      <c r="H284" s="6">
        <f>FLOOR(tblPivotData[[#This Row],[Time]],Summary!$B$6/1440)</f>
        <v>0.3125</v>
      </c>
      <c r="I284" s="49">
        <f>INDEX(PeakCalc!$L$10:$L$303,MATCH(tblPivotData[[#This Row],[Time]],PeakCalc!$G$10:$G$303,0))</f>
        <v>0</v>
      </c>
    </row>
    <row r="285" spans="1:9" x14ac:dyDescent="0.25">
      <c r="A285" t="s">
        <v>96</v>
      </c>
      <c r="B285" t="s">
        <v>101</v>
      </c>
      <c r="C285" t="s">
        <v>94</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96</v>
      </c>
      <c r="B286" t="s">
        <v>101</v>
      </c>
      <c r="C286" t="s">
        <v>94</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96</v>
      </c>
      <c r="B287" t="s">
        <v>101</v>
      </c>
      <c r="C287" t="s">
        <v>94</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96</v>
      </c>
      <c r="B288" t="s">
        <v>101</v>
      </c>
      <c r="C288" t="s">
        <v>94</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96</v>
      </c>
      <c r="B289" t="s">
        <v>101</v>
      </c>
      <c r="C289" t="s">
        <v>94</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96</v>
      </c>
      <c r="B290" t="s">
        <v>101</v>
      </c>
      <c r="C290" t="s">
        <v>94</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96</v>
      </c>
      <c r="B291" t="s">
        <v>101</v>
      </c>
      <c r="C291" t="s">
        <v>94</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96</v>
      </c>
      <c r="B292" t="s">
        <v>101</v>
      </c>
      <c r="C292" t="s">
        <v>94</v>
      </c>
      <c r="D292" t="s">
        <v>91</v>
      </c>
      <c r="E292" t="s">
        <v>90</v>
      </c>
      <c r="F292" s="6">
        <v>0.5625</v>
      </c>
      <c r="G292">
        <v>0</v>
      </c>
      <c r="H292" s="6">
        <f>FLOOR(tblPivotData[[#This Row],[Time]],Summary!$B$6/1440)</f>
        <v>0.5625</v>
      </c>
      <c r="I292" s="49">
        <f>INDEX(PeakCalc!$L$10:$L$303,MATCH(tblPivotData[[#This Row],[Time]],PeakCalc!$G$10:$G$303,0))</f>
        <v>1</v>
      </c>
    </row>
    <row r="293" spans="1:9" x14ac:dyDescent="0.25">
      <c r="A293" t="s">
        <v>96</v>
      </c>
      <c r="B293" t="s">
        <v>101</v>
      </c>
      <c r="C293" t="s">
        <v>94</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96</v>
      </c>
      <c r="B294" t="s">
        <v>101</v>
      </c>
      <c r="C294" t="s">
        <v>94</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96</v>
      </c>
      <c r="B295" t="s">
        <v>101</v>
      </c>
      <c r="C295" t="s">
        <v>94</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96</v>
      </c>
      <c r="B296" t="s">
        <v>101</v>
      </c>
      <c r="C296" t="s">
        <v>94</v>
      </c>
      <c r="D296" t="s">
        <v>91</v>
      </c>
      <c r="E296" t="s">
        <v>44</v>
      </c>
      <c r="F296" s="6">
        <v>0.6875</v>
      </c>
      <c r="G296">
        <v>0</v>
      </c>
      <c r="H296" s="6">
        <f>FLOOR(tblPivotData[[#This Row],[Time]],Summary!$B$6/1440)</f>
        <v>0.6875</v>
      </c>
      <c r="I296" s="49">
        <f>INDEX(PeakCalc!$L$10:$L$303,MATCH(tblPivotData[[#This Row],[Time]],PeakCalc!$G$10:$G$303,0))</f>
        <v>1</v>
      </c>
    </row>
    <row r="297" spans="1:9" x14ac:dyDescent="0.25">
      <c r="A297" t="s">
        <v>96</v>
      </c>
      <c r="B297" t="s">
        <v>101</v>
      </c>
      <c r="C297" t="s">
        <v>94</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96</v>
      </c>
      <c r="B298" t="s">
        <v>101</v>
      </c>
      <c r="C298" t="s">
        <v>94</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96</v>
      </c>
      <c r="B299" t="s">
        <v>101</v>
      </c>
      <c r="C299" t="s">
        <v>94</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96</v>
      </c>
      <c r="B300" t="s">
        <v>101</v>
      </c>
      <c r="C300" t="s">
        <v>94</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96</v>
      </c>
      <c r="B301" t="s">
        <v>101</v>
      </c>
      <c r="C301" t="s">
        <v>94</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96</v>
      </c>
      <c r="B302" t="s">
        <v>102</v>
      </c>
      <c r="C302" t="s">
        <v>95</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96</v>
      </c>
      <c r="B303" t="s">
        <v>102</v>
      </c>
      <c r="C303" t="s">
        <v>95</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96</v>
      </c>
      <c r="B304" t="s">
        <v>102</v>
      </c>
      <c r="C304" t="s">
        <v>95</v>
      </c>
      <c r="D304" t="s">
        <v>79</v>
      </c>
      <c r="E304" t="s">
        <v>43</v>
      </c>
      <c r="F304" s="6">
        <v>0.3125</v>
      </c>
      <c r="G304">
        <v>0</v>
      </c>
      <c r="H304" s="6">
        <f>FLOOR(tblPivotData[[#This Row],[Time]],Summary!$B$6/1440)</f>
        <v>0.3125</v>
      </c>
      <c r="I304" s="49">
        <f>INDEX(PeakCalc!$L$10:$L$303,MATCH(tblPivotData[[#This Row],[Time]],PeakCalc!$G$10:$G$303,0))</f>
        <v>0</v>
      </c>
    </row>
    <row r="305" spans="1:9" x14ac:dyDescent="0.25">
      <c r="A305" t="s">
        <v>96</v>
      </c>
      <c r="B305" t="s">
        <v>102</v>
      </c>
      <c r="C305" t="s">
        <v>95</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96</v>
      </c>
      <c r="B306" t="s">
        <v>102</v>
      </c>
      <c r="C306" t="s">
        <v>95</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96</v>
      </c>
      <c r="B307" t="s">
        <v>102</v>
      </c>
      <c r="C307" t="s">
        <v>95</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96</v>
      </c>
      <c r="B308" t="s">
        <v>102</v>
      </c>
      <c r="C308" t="s">
        <v>95</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96</v>
      </c>
      <c r="B309" t="s">
        <v>102</v>
      </c>
      <c r="C309" t="s">
        <v>95</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96</v>
      </c>
      <c r="B310" t="s">
        <v>102</v>
      </c>
      <c r="C310" t="s">
        <v>95</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96</v>
      </c>
      <c r="B311" t="s">
        <v>102</v>
      </c>
      <c r="C311" t="s">
        <v>95</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96</v>
      </c>
      <c r="B312" t="s">
        <v>102</v>
      </c>
      <c r="C312" t="s">
        <v>95</v>
      </c>
      <c r="D312" t="s">
        <v>79</v>
      </c>
      <c r="E312" t="s">
        <v>90</v>
      </c>
      <c r="F312" s="6">
        <v>0.5625</v>
      </c>
      <c r="G312">
        <v>0</v>
      </c>
      <c r="H312" s="6">
        <f>FLOOR(tblPivotData[[#This Row],[Time]],Summary!$B$6/1440)</f>
        <v>0.5625</v>
      </c>
      <c r="I312" s="49">
        <f>INDEX(PeakCalc!$L$10:$L$303,MATCH(tblPivotData[[#This Row],[Time]],PeakCalc!$G$10:$G$303,0))</f>
        <v>1</v>
      </c>
    </row>
    <row r="313" spans="1:9" x14ac:dyDescent="0.25">
      <c r="A313" t="s">
        <v>96</v>
      </c>
      <c r="B313" t="s">
        <v>102</v>
      </c>
      <c r="C313" t="s">
        <v>95</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96</v>
      </c>
      <c r="B314" t="s">
        <v>102</v>
      </c>
      <c r="C314" t="s">
        <v>95</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96</v>
      </c>
      <c r="B315" t="s">
        <v>102</v>
      </c>
      <c r="C315" t="s">
        <v>95</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96</v>
      </c>
      <c r="B316" t="s">
        <v>102</v>
      </c>
      <c r="C316" t="s">
        <v>95</v>
      </c>
      <c r="D316" t="s">
        <v>79</v>
      </c>
      <c r="E316" t="s">
        <v>44</v>
      </c>
      <c r="F316" s="6">
        <v>0.6875</v>
      </c>
      <c r="G316">
        <v>0</v>
      </c>
      <c r="H316" s="6">
        <f>FLOOR(tblPivotData[[#This Row],[Time]],Summary!$B$6/1440)</f>
        <v>0.6875</v>
      </c>
      <c r="I316" s="49">
        <f>INDEX(PeakCalc!$L$10:$L$303,MATCH(tblPivotData[[#This Row],[Time]],PeakCalc!$G$10:$G$303,0))</f>
        <v>1</v>
      </c>
    </row>
    <row r="317" spans="1:9" x14ac:dyDescent="0.25">
      <c r="A317" t="s">
        <v>96</v>
      </c>
      <c r="B317" t="s">
        <v>102</v>
      </c>
      <c r="C317" t="s">
        <v>95</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96</v>
      </c>
      <c r="B318" t="s">
        <v>102</v>
      </c>
      <c r="C318" t="s">
        <v>95</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96</v>
      </c>
      <c r="B319" t="s">
        <v>102</v>
      </c>
      <c r="C319" t="s">
        <v>95</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96</v>
      </c>
      <c r="B320" t="s">
        <v>102</v>
      </c>
      <c r="C320" t="s">
        <v>95</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96</v>
      </c>
      <c r="B321" t="s">
        <v>102</v>
      </c>
      <c r="C321" t="s">
        <v>95</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96</v>
      </c>
      <c r="B322" t="s">
        <v>102</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96</v>
      </c>
      <c r="B323" t="s">
        <v>102</v>
      </c>
      <c r="C323" t="s">
        <v>95</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96</v>
      </c>
      <c r="B324" t="s">
        <v>102</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96</v>
      </c>
      <c r="B325" t="s">
        <v>102</v>
      </c>
      <c r="C325" t="s">
        <v>95</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96</v>
      </c>
      <c r="B326" t="s">
        <v>102</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96</v>
      </c>
      <c r="B327" t="s">
        <v>102</v>
      </c>
      <c r="C327" t="s">
        <v>95</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96</v>
      </c>
      <c r="B328" t="s">
        <v>102</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96</v>
      </c>
      <c r="B329" t="s">
        <v>102</v>
      </c>
      <c r="C329" t="s">
        <v>95</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96</v>
      </c>
      <c r="B330" t="s">
        <v>102</v>
      </c>
      <c r="C330" t="s">
        <v>95</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96</v>
      </c>
      <c r="B331" t="s">
        <v>102</v>
      </c>
      <c r="C331" t="s">
        <v>95</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96</v>
      </c>
      <c r="B332" t="s">
        <v>102</v>
      </c>
      <c r="C332" t="s">
        <v>95</v>
      </c>
      <c r="D332" t="s">
        <v>89</v>
      </c>
      <c r="E332" t="s">
        <v>90</v>
      </c>
      <c r="F332" s="6">
        <v>0.5625</v>
      </c>
      <c r="G332">
        <v>0</v>
      </c>
      <c r="H332" s="6">
        <f>FLOOR(tblPivotData[[#This Row],[Time]],Summary!$B$6/1440)</f>
        <v>0.5625</v>
      </c>
      <c r="I332" s="49">
        <f>INDEX(PeakCalc!$L$10:$L$303,MATCH(tblPivotData[[#This Row],[Time]],PeakCalc!$G$10:$G$303,0))</f>
        <v>1</v>
      </c>
    </row>
    <row r="333" spans="1:9" x14ac:dyDescent="0.25">
      <c r="A333" t="s">
        <v>96</v>
      </c>
      <c r="B333" t="s">
        <v>102</v>
      </c>
      <c r="C333" t="s">
        <v>95</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96</v>
      </c>
      <c r="B334" t="s">
        <v>102</v>
      </c>
      <c r="C334" t="s">
        <v>95</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96</v>
      </c>
      <c r="B335" t="s">
        <v>102</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96</v>
      </c>
      <c r="B336" t="s">
        <v>102</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96</v>
      </c>
      <c r="B337" t="s">
        <v>102</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96</v>
      </c>
      <c r="B338" t="s">
        <v>102</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96</v>
      </c>
      <c r="B339" t="s">
        <v>102</v>
      </c>
      <c r="C339" t="s">
        <v>95</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96</v>
      </c>
      <c r="B340" t="s">
        <v>102</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96</v>
      </c>
      <c r="B341" t="s">
        <v>102</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96</v>
      </c>
      <c r="B342" t="s">
        <v>102</v>
      </c>
      <c r="C342" t="s">
        <v>95</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96</v>
      </c>
      <c r="B343" t="s">
        <v>102</v>
      </c>
      <c r="C343" t="s">
        <v>95</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96</v>
      </c>
      <c r="B344" t="s">
        <v>102</v>
      </c>
      <c r="C344" t="s">
        <v>95</v>
      </c>
      <c r="D344" t="s">
        <v>91</v>
      </c>
      <c r="E344" t="s">
        <v>43</v>
      </c>
      <c r="F344" s="6">
        <v>0.3125</v>
      </c>
      <c r="G344">
        <v>0</v>
      </c>
      <c r="H344" s="6">
        <f>FLOOR(tblPivotData[[#This Row],[Time]],Summary!$B$6/1440)</f>
        <v>0.3125</v>
      </c>
      <c r="I344" s="49">
        <f>INDEX(PeakCalc!$L$10:$L$303,MATCH(tblPivotData[[#This Row],[Time]],PeakCalc!$G$10:$G$303,0))</f>
        <v>0</v>
      </c>
    </row>
    <row r="345" spans="1:9" x14ac:dyDescent="0.25">
      <c r="A345" t="s">
        <v>96</v>
      </c>
      <c r="B345" t="s">
        <v>102</v>
      </c>
      <c r="C345" t="s">
        <v>95</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96</v>
      </c>
      <c r="B346" t="s">
        <v>102</v>
      </c>
      <c r="C346" t="s">
        <v>95</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96</v>
      </c>
      <c r="B347" t="s">
        <v>102</v>
      </c>
      <c r="C347" t="s">
        <v>95</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96</v>
      </c>
      <c r="B348" t="s">
        <v>102</v>
      </c>
      <c r="C348" t="s">
        <v>95</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96</v>
      </c>
      <c r="B349" t="s">
        <v>102</v>
      </c>
      <c r="C349" t="s">
        <v>95</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96</v>
      </c>
      <c r="B350" t="s">
        <v>102</v>
      </c>
      <c r="C350" t="s">
        <v>95</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96</v>
      </c>
      <c r="B351" t="s">
        <v>102</v>
      </c>
      <c r="C351" t="s">
        <v>95</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96</v>
      </c>
      <c r="B352" t="s">
        <v>102</v>
      </c>
      <c r="C352" t="s">
        <v>95</v>
      </c>
      <c r="D352" t="s">
        <v>91</v>
      </c>
      <c r="E352" t="s">
        <v>90</v>
      </c>
      <c r="F352" s="6">
        <v>0.5625</v>
      </c>
      <c r="G352">
        <v>0</v>
      </c>
      <c r="H352" s="6">
        <f>FLOOR(tblPivotData[[#This Row],[Time]],Summary!$B$6/1440)</f>
        <v>0.5625</v>
      </c>
      <c r="I352" s="49">
        <f>INDEX(PeakCalc!$L$10:$L$303,MATCH(tblPivotData[[#This Row],[Time]],PeakCalc!$G$10:$G$303,0))</f>
        <v>1</v>
      </c>
    </row>
    <row r="353" spans="1:9" x14ac:dyDescent="0.25">
      <c r="A353" t="s">
        <v>96</v>
      </c>
      <c r="B353" t="s">
        <v>102</v>
      </c>
      <c r="C353" t="s">
        <v>95</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96</v>
      </c>
      <c r="B354" t="s">
        <v>102</v>
      </c>
      <c r="C354" t="s">
        <v>95</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96</v>
      </c>
      <c r="B355" t="s">
        <v>102</v>
      </c>
      <c r="C355" t="s">
        <v>95</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96</v>
      </c>
      <c r="B356" t="s">
        <v>102</v>
      </c>
      <c r="C356" t="s">
        <v>95</v>
      </c>
      <c r="D356" t="s">
        <v>91</v>
      </c>
      <c r="E356" t="s">
        <v>44</v>
      </c>
      <c r="F356" s="6">
        <v>0.6875</v>
      </c>
      <c r="G356">
        <v>0</v>
      </c>
      <c r="H356" s="6">
        <f>FLOOR(tblPivotData[[#This Row],[Time]],Summary!$B$6/1440)</f>
        <v>0.6875</v>
      </c>
      <c r="I356" s="49">
        <f>INDEX(PeakCalc!$L$10:$L$303,MATCH(tblPivotData[[#This Row],[Time]],PeakCalc!$G$10:$G$303,0))</f>
        <v>1</v>
      </c>
    </row>
    <row r="357" spans="1:9" x14ac:dyDescent="0.25">
      <c r="A357" t="s">
        <v>96</v>
      </c>
      <c r="B357" t="s">
        <v>102</v>
      </c>
      <c r="C357" t="s">
        <v>95</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96</v>
      </c>
      <c r="B358" t="s">
        <v>102</v>
      </c>
      <c r="C358" t="s">
        <v>95</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96</v>
      </c>
      <c r="B359" t="s">
        <v>102</v>
      </c>
      <c r="C359" t="s">
        <v>95</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96</v>
      </c>
      <c r="B360" t="s">
        <v>102</v>
      </c>
      <c r="C360" t="s">
        <v>95</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96</v>
      </c>
      <c r="B361" t="s">
        <v>102</v>
      </c>
      <c r="C361" t="s">
        <v>95</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103</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93</v>
      </c>
      <c r="B363" t="s">
        <v>103</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93</v>
      </c>
      <c r="B364" t="s">
        <v>103</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93</v>
      </c>
      <c r="B365" t="s">
        <v>103</v>
      </c>
      <c r="C365" t="s">
        <v>94</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93</v>
      </c>
      <c r="B366" t="s">
        <v>103</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93</v>
      </c>
      <c r="B367" t="s">
        <v>103</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93</v>
      </c>
      <c r="B368" t="s">
        <v>103</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93</v>
      </c>
      <c r="B369" t="s">
        <v>103</v>
      </c>
      <c r="C369" t="s">
        <v>94</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93</v>
      </c>
      <c r="B370" t="s">
        <v>103</v>
      </c>
      <c r="C370" t="s">
        <v>94</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93</v>
      </c>
      <c r="B371" t="s">
        <v>103</v>
      </c>
      <c r="C371" t="s">
        <v>94</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93</v>
      </c>
      <c r="B372" t="s">
        <v>103</v>
      </c>
      <c r="C372" t="s">
        <v>94</v>
      </c>
      <c r="D372" t="s">
        <v>79</v>
      </c>
      <c r="E372" t="s">
        <v>90</v>
      </c>
      <c r="F372" s="6">
        <v>0.5625</v>
      </c>
      <c r="G372">
        <v>0</v>
      </c>
      <c r="H372" s="6">
        <f>FLOOR(tblPivotData[[#This Row],[Time]],Summary!$B$6/1440)</f>
        <v>0.5625</v>
      </c>
      <c r="I372" s="49">
        <f>INDEX(PeakCalc!$L$10:$L$303,MATCH(tblPivotData[[#This Row],[Time]],PeakCalc!$G$10:$G$303,0))</f>
        <v>1</v>
      </c>
    </row>
    <row r="373" spans="1:9" x14ac:dyDescent="0.25">
      <c r="A373" t="s">
        <v>93</v>
      </c>
      <c r="B373" t="s">
        <v>103</v>
      </c>
      <c r="C373" t="s">
        <v>94</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93</v>
      </c>
      <c r="B374" t="s">
        <v>103</v>
      </c>
      <c r="C374" t="s">
        <v>94</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93</v>
      </c>
      <c r="B375" t="s">
        <v>103</v>
      </c>
      <c r="C375" t="s">
        <v>94</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93</v>
      </c>
      <c r="B376" t="s">
        <v>103</v>
      </c>
      <c r="C376" t="s">
        <v>94</v>
      </c>
      <c r="D376" t="s">
        <v>79</v>
      </c>
      <c r="E376" t="s">
        <v>44</v>
      </c>
      <c r="F376" s="6">
        <v>0.6875</v>
      </c>
      <c r="G376">
        <v>0</v>
      </c>
      <c r="H376" s="6">
        <f>FLOOR(tblPivotData[[#This Row],[Time]],Summary!$B$6/1440)</f>
        <v>0.6875</v>
      </c>
      <c r="I376" s="49">
        <f>INDEX(PeakCalc!$L$10:$L$303,MATCH(tblPivotData[[#This Row],[Time]],PeakCalc!$G$10:$G$303,0))</f>
        <v>1</v>
      </c>
    </row>
    <row r="377" spans="1:9" x14ac:dyDescent="0.25">
      <c r="A377" t="s">
        <v>93</v>
      </c>
      <c r="B377" t="s">
        <v>103</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93</v>
      </c>
      <c r="B378" t="s">
        <v>103</v>
      </c>
      <c r="C378" t="s">
        <v>94</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93</v>
      </c>
      <c r="B379" t="s">
        <v>103</v>
      </c>
      <c r="C379" t="s">
        <v>94</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93</v>
      </c>
      <c r="B380" t="s">
        <v>103</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93</v>
      </c>
      <c r="B381" t="s">
        <v>103</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93</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93</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93</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93</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93</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93</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103</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93</v>
      </c>
      <c r="B390" t="s">
        <v>103</v>
      </c>
      <c r="C390" t="s">
        <v>94</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103</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103</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93</v>
      </c>
      <c r="B393" t="s">
        <v>103</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93</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93</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93</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103</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103</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103</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103</v>
      </c>
      <c r="C405" t="s">
        <v>94</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93</v>
      </c>
      <c r="B406" t="s">
        <v>103</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103</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103</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103</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103</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103</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103</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93</v>
      </c>
      <c r="B413" t="s">
        <v>103</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103</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103</v>
      </c>
      <c r="C415" t="s">
        <v>94</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103</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103</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103</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103</v>
      </c>
      <c r="C419" t="s">
        <v>94</v>
      </c>
      <c r="D419" t="s">
        <v>91</v>
      </c>
      <c r="E419" t="s">
        <v>44</v>
      </c>
      <c r="F419" s="6">
        <v>0.71875</v>
      </c>
      <c r="G419">
        <v>1</v>
      </c>
      <c r="H419" s="6">
        <f>FLOOR(tblPivotData[[#This Row],[Time]],Summary!$B$6/1440)</f>
        <v>0.71875</v>
      </c>
      <c r="I419" s="49">
        <f>INDEX(PeakCalc!$L$10:$L$303,MATCH(tblPivotData[[#This Row],[Time]],PeakCalc!$G$10:$G$303,0))</f>
        <v>1</v>
      </c>
    </row>
    <row r="420" spans="1:9" x14ac:dyDescent="0.25">
      <c r="A420" t="s">
        <v>93</v>
      </c>
      <c r="B420" t="s">
        <v>103</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103</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104</v>
      </c>
      <c r="C422" t="s">
        <v>95</v>
      </c>
      <c r="D422" t="s">
        <v>79</v>
      </c>
      <c r="E422" t="s">
        <v>43</v>
      </c>
      <c r="F422" s="6">
        <v>0.29166666666666669</v>
      </c>
      <c r="G422">
        <v>121</v>
      </c>
      <c r="H422" s="6">
        <f>FLOOR(tblPivotData[[#This Row],[Time]],Summary!$B$6/1440)</f>
        <v>0.29166666666666663</v>
      </c>
      <c r="I422" s="49">
        <f>INDEX(PeakCalc!$L$10:$L$303,MATCH(tblPivotData[[#This Row],[Time]],PeakCalc!$G$10:$G$303,0))</f>
        <v>0</v>
      </c>
    </row>
    <row r="423" spans="1:9" x14ac:dyDescent="0.25">
      <c r="A423" t="s">
        <v>93</v>
      </c>
      <c r="B423" t="s">
        <v>104</v>
      </c>
      <c r="C423" t="s">
        <v>95</v>
      </c>
      <c r="D423" t="s">
        <v>79</v>
      </c>
      <c r="E423" t="s">
        <v>43</v>
      </c>
      <c r="F423" s="6">
        <v>0.30208333333333331</v>
      </c>
      <c r="G423">
        <v>171</v>
      </c>
      <c r="H423" s="6">
        <f>FLOOR(tblPivotData[[#This Row],[Time]],Summary!$B$6/1440)</f>
        <v>0.30208333333333331</v>
      </c>
      <c r="I423" s="49">
        <f>INDEX(PeakCalc!$L$10:$L$303,MATCH(tblPivotData[[#This Row],[Time]],PeakCalc!$G$10:$G$303,0))</f>
        <v>0</v>
      </c>
    </row>
    <row r="424" spans="1:9" x14ac:dyDescent="0.25">
      <c r="A424" t="s">
        <v>93</v>
      </c>
      <c r="B424" t="s">
        <v>104</v>
      </c>
      <c r="C424" t="s">
        <v>95</v>
      </c>
      <c r="D424" t="s">
        <v>79</v>
      </c>
      <c r="E424" t="s">
        <v>43</v>
      </c>
      <c r="F424" s="6">
        <v>0.3125</v>
      </c>
      <c r="G424">
        <v>181</v>
      </c>
      <c r="H424" s="6">
        <f>FLOOR(tblPivotData[[#This Row],[Time]],Summary!$B$6/1440)</f>
        <v>0.3125</v>
      </c>
      <c r="I424" s="49">
        <f>INDEX(PeakCalc!$L$10:$L$303,MATCH(tblPivotData[[#This Row],[Time]],PeakCalc!$G$10:$G$303,0))</f>
        <v>0</v>
      </c>
    </row>
    <row r="425" spans="1:9" x14ac:dyDescent="0.25">
      <c r="A425" t="s">
        <v>93</v>
      </c>
      <c r="B425" t="s">
        <v>104</v>
      </c>
      <c r="C425" t="s">
        <v>95</v>
      </c>
      <c r="D425" t="s">
        <v>79</v>
      </c>
      <c r="E425" t="s">
        <v>43</v>
      </c>
      <c r="F425" s="6">
        <v>0.32291666666666669</v>
      </c>
      <c r="G425">
        <v>221</v>
      </c>
      <c r="H425" s="6">
        <f>FLOOR(tblPivotData[[#This Row],[Time]],Summary!$B$6/1440)</f>
        <v>0.32291666666666663</v>
      </c>
      <c r="I425" s="49">
        <f>INDEX(PeakCalc!$L$10:$L$303,MATCH(tblPivotData[[#This Row],[Time]],PeakCalc!$G$10:$G$303,0))</f>
        <v>0</v>
      </c>
    </row>
    <row r="426" spans="1:9" x14ac:dyDescent="0.25">
      <c r="A426" t="s">
        <v>93</v>
      </c>
      <c r="B426" t="s">
        <v>104</v>
      </c>
      <c r="C426" t="s">
        <v>95</v>
      </c>
      <c r="D426" t="s">
        <v>79</v>
      </c>
      <c r="E426" t="s">
        <v>43</v>
      </c>
      <c r="F426" s="6">
        <v>0.33333333333333331</v>
      </c>
      <c r="G426">
        <v>256</v>
      </c>
      <c r="H426" s="6">
        <f>FLOOR(tblPivotData[[#This Row],[Time]],Summary!$B$6/1440)</f>
        <v>0.33333333333333331</v>
      </c>
      <c r="I426" s="49">
        <f>INDEX(PeakCalc!$L$10:$L$303,MATCH(tblPivotData[[#This Row],[Time]],PeakCalc!$G$10:$G$303,0))</f>
        <v>1</v>
      </c>
    </row>
    <row r="427" spans="1:9" x14ac:dyDescent="0.25">
      <c r="A427" t="s">
        <v>93</v>
      </c>
      <c r="B427" t="s">
        <v>104</v>
      </c>
      <c r="C427" t="s">
        <v>95</v>
      </c>
      <c r="D427" t="s">
        <v>79</v>
      </c>
      <c r="E427" t="s">
        <v>43</v>
      </c>
      <c r="F427" s="6">
        <v>0.34375</v>
      </c>
      <c r="G427">
        <v>249</v>
      </c>
      <c r="H427" s="6">
        <f>FLOOR(tblPivotData[[#This Row],[Time]],Summary!$B$6/1440)</f>
        <v>0.34375</v>
      </c>
      <c r="I427" s="49">
        <f>INDEX(PeakCalc!$L$10:$L$303,MATCH(tblPivotData[[#This Row],[Time]],PeakCalc!$G$10:$G$303,0))</f>
        <v>1</v>
      </c>
    </row>
    <row r="428" spans="1:9" x14ac:dyDescent="0.25">
      <c r="A428" t="s">
        <v>93</v>
      </c>
      <c r="B428" t="s">
        <v>104</v>
      </c>
      <c r="C428" t="s">
        <v>95</v>
      </c>
      <c r="D428" t="s">
        <v>79</v>
      </c>
      <c r="E428" t="s">
        <v>43</v>
      </c>
      <c r="F428" s="6">
        <v>0.35416666666666669</v>
      </c>
      <c r="G428">
        <v>254</v>
      </c>
      <c r="H428" s="6">
        <f>FLOOR(tblPivotData[[#This Row],[Time]],Summary!$B$6/1440)</f>
        <v>0.35416666666666663</v>
      </c>
      <c r="I428" s="49">
        <f>INDEX(PeakCalc!$L$10:$L$303,MATCH(tblPivotData[[#This Row],[Time]],PeakCalc!$G$10:$G$303,0))</f>
        <v>1</v>
      </c>
    </row>
    <row r="429" spans="1:9" x14ac:dyDescent="0.25">
      <c r="A429" t="s">
        <v>93</v>
      </c>
      <c r="B429" t="s">
        <v>104</v>
      </c>
      <c r="C429" t="s">
        <v>95</v>
      </c>
      <c r="D429" t="s">
        <v>79</v>
      </c>
      <c r="E429" t="s">
        <v>43</v>
      </c>
      <c r="F429" s="6">
        <v>0.36458333333333331</v>
      </c>
      <c r="G429">
        <v>226</v>
      </c>
      <c r="H429" s="6">
        <f>FLOOR(tblPivotData[[#This Row],[Time]],Summary!$B$6/1440)</f>
        <v>0.36458333333333331</v>
      </c>
      <c r="I429" s="49">
        <f>INDEX(PeakCalc!$L$10:$L$303,MATCH(tblPivotData[[#This Row],[Time]],PeakCalc!$G$10:$G$303,0))</f>
        <v>1</v>
      </c>
    </row>
    <row r="430" spans="1:9" x14ac:dyDescent="0.25">
      <c r="A430" t="s">
        <v>93</v>
      </c>
      <c r="B430" t="s">
        <v>104</v>
      </c>
      <c r="C430" t="s">
        <v>95</v>
      </c>
      <c r="D430" t="s">
        <v>79</v>
      </c>
      <c r="E430" t="s">
        <v>90</v>
      </c>
      <c r="F430" s="6">
        <v>0.54166666666666663</v>
      </c>
      <c r="G430">
        <v>175</v>
      </c>
      <c r="H430" s="6">
        <f>FLOOR(tblPivotData[[#This Row],[Time]],Summary!$B$6/1440)</f>
        <v>0.54166666666666663</v>
      </c>
      <c r="I430" s="49">
        <f>INDEX(PeakCalc!$L$10:$L$303,MATCH(tblPivotData[[#This Row],[Time]],PeakCalc!$G$10:$G$303,0))</f>
        <v>1</v>
      </c>
    </row>
    <row r="431" spans="1:9" x14ac:dyDescent="0.25">
      <c r="A431" t="s">
        <v>93</v>
      </c>
      <c r="B431" t="s">
        <v>104</v>
      </c>
      <c r="C431" t="s">
        <v>95</v>
      </c>
      <c r="D431" t="s">
        <v>79</v>
      </c>
      <c r="E431" t="s">
        <v>90</v>
      </c>
      <c r="F431" s="6">
        <v>0.55208333333333337</v>
      </c>
      <c r="G431">
        <v>194</v>
      </c>
      <c r="H431" s="6">
        <f>FLOOR(tblPivotData[[#This Row],[Time]],Summary!$B$6/1440)</f>
        <v>0.55208333333333326</v>
      </c>
      <c r="I431" s="49">
        <f>INDEX(PeakCalc!$L$10:$L$303,MATCH(tblPivotData[[#This Row],[Time]],PeakCalc!$G$10:$G$303,0))</f>
        <v>1</v>
      </c>
    </row>
    <row r="432" spans="1:9" x14ac:dyDescent="0.25">
      <c r="A432" t="s">
        <v>93</v>
      </c>
      <c r="B432" t="s">
        <v>104</v>
      </c>
      <c r="C432" t="s">
        <v>95</v>
      </c>
      <c r="D432" t="s">
        <v>79</v>
      </c>
      <c r="E432" t="s">
        <v>90</v>
      </c>
      <c r="F432" s="6">
        <v>0.5625</v>
      </c>
      <c r="G432">
        <v>178</v>
      </c>
      <c r="H432" s="6">
        <f>FLOOR(tblPivotData[[#This Row],[Time]],Summary!$B$6/1440)</f>
        <v>0.5625</v>
      </c>
      <c r="I432" s="49">
        <f>INDEX(PeakCalc!$L$10:$L$303,MATCH(tblPivotData[[#This Row],[Time]],PeakCalc!$G$10:$G$303,0))</f>
        <v>1</v>
      </c>
    </row>
    <row r="433" spans="1:9" x14ac:dyDescent="0.25">
      <c r="A433" t="s">
        <v>93</v>
      </c>
      <c r="B433" t="s">
        <v>104</v>
      </c>
      <c r="C433" t="s">
        <v>95</v>
      </c>
      <c r="D433" t="s">
        <v>79</v>
      </c>
      <c r="E433" t="s">
        <v>90</v>
      </c>
      <c r="F433" s="6">
        <v>0.57291666666666663</v>
      </c>
      <c r="G433">
        <v>208</v>
      </c>
      <c r="H433" s="6">
        <f>FLOOR(tblPivotData[[#This Row],[Time]],Summary!$B$6/1440)</f>
        <v>0.57291666666666663</v>
      </c>
      <c r="I433" s="49">
        <f>INDEX(PeakCalc!$L$10:$L$303,MATCH(tblPivotData[[#This Row],[Time]],PeakCalc!$G$10:$G$303,0))</f>
        <v>1</v>
      </c>
    </row>
    <row r="434" spans="1:9" x14ac:dyDescent="0.25">
      <c r="A434" t="s">
        <v>93</v>
      </c>
      <c r="B434" t="s">
        <v>104</v>
      </c>
      <c r="C434" t="s">
        <v>95</v>
      </c>
      <c r="D434" t="s">
        <v>79</v>
      </c>
      <c r="E434" t="s">
        <v>44</v>
      </c>
      <c r="F434" s="6">
        <v>0.66666666666666663</v>
      </c>
      <c r="G434">
        <v>299</v>
      </c>
      <c r="H434" s="6">
        <f>FLOOR(tblPivotData[[#This Row],[Time]],Summary!$B$6/1440)</f>
        <v>0.66666666666666663</v>
      </c>
      <c r="I434" s="49">
        <f>INDEX(PeakCalc!$L$10:$L$303,MATCH(tblPivotData[[#This Row],[Time]],PeakCalc!$G$10:$G$303,0))</f>
        <v>0</v>
      </c>
    </row>
    <row r="435" spans="1:9" x14ac:dyDescent="0.25">
      <c r="A435" t="s">
        <v>93</v>
      </c>
      <c r="B435" t="s">
        <v>104</v>
      </c>
      <c r="C435" t="s">
        <v>95</v>
      </c>
      <c r="D435" t="s">
        <v>79</v>
      </c>
      <c r="E435" t="s">
        <v>44</v>
      </c>
      <c r="F435" s="6">
        <v>0.67708333333333337</v>
      </c>
      <c r="G435">
        <v>294</v>
      </c>
      <c r="H435" s="6">
        <f>FLOOR(tblPivotData[[#This Row],[Time]],Summary!$B$6/1440)</f>
        <v>0.67708333333333326</v>
      </c>
      <c r="I435" s="49">
        <f>INDEX(PeakCalc!$L$10:$L$303,MATCH(tblPivotData[[#This Row],[Time]],PeakCalc!$G$10:$G$303,0))</f>
        <v>0</v>
      </c>
    </row>
    <row r="436" spans="1:9" x14ac:dyDescent="0.25">
      <c r="A436" t="s">
        <v>93</v>
      </c>
      <c r="B436" t="s">
        <v>104</v>
      </c>
      <c r="C436" t="s">
        <v>95</v>
      </c>
      <c r="D436" t="s">
        <v>79</v>
      </c>
      <c r="E436" t="s">
        <v>44</v>
      </c>
      <c r="F436" s="6">
        <v>0.6875</v>
      </c>
      <c r="G436">
        <v>342</v>
      </c>
      <c r="H436" s="6">
        <f>FLOOR(tblPivotData[[#This Row],[Time]],Summary!$B$6/1440)</f>
        <v>0.6875</v>
      </c>
      <c r="I436" s="49">
        <f>INDEX(PeakCalc!$L$10:$L$303,MATCH(tblPivotData[[#This Row],[Time]],PeakCalc!$G$10:$G$303,0))</f>
        <v>1</v>
      </c>
    </row>
    <row r="437" spans="1:9" x14ac:dyDescent="0.25">
      <c r="A437" t="s">
        <v>93</v>
      </c>
      <c r="B437" t="s">
        <v>104</v>
      </c>
      <c r="C437" t="s">
        <v>95</v>
      </c>
      <c r="D437" t="s">
        <v>79</v>
      </c>
      <c r="E437" t="s">
        <v>44</v>
      </c>
      <c r="F437" s="6">
        <v>0.69791666666666663</v>
      </c>
      <c r="G437">
        <v>270</v>
      </c>
      <c r="H437" s="6">
        <f>FLOOR(tblPivotData[[#This Row],[Time]],Summary!$B$6/1440)</f>
        <v>0.69791666666666663</v>
      </c>
      <c r="I437" s="49">
        <f>INDEX(PeakCalc!$L$10:$L$303,MATCH(tblPivotData[[#This Row],[Time]],PeakCalc!$G$10:$G$303,0))</f>
        <v>1</v>
      </c>
    </row>
    <row r="438" spans="1:9" x14ac:dyDescent="0.25">
      <c r="A438" t="s">
        <v>93</v>
      </c>
      <c r="B438" t="s">
        <v>104</v>
      </c>
      <c r="C438" t="s">
        <v>95</v>
      </c>
      <c r="D438" t="s">
        <v>79</v>
      </c>
      <c r="E438" t="s">
        <v>44</v>
      </c>
      <c r="F438" s="6">
        <v>0.70833333333333337</v>
      </c>
      <c r="G438">
        <v>325</v>
      </c>
      <c r="H438" s="6">
        <f>FLOOR(tblPivotData[[#This Row],[Time]],Summary!$B$6/1440)</f>
        <v>0.70833333333333326</v>
      </c>
      <c r="I438" s="49">
        <f>INDEX(PeakCalc!$L$10:$L$303,MATCH(tblPivotData[[#This Row],[Time]],PeakCalc!$G$10:$G$303,0))</f>
        <v>1</v>
      </c>
    </row>
    <row r="439" spans="1:9" x14ac:dyDescent="0.25">
      <c r="A439" t="s">
        <v>93</v>
      </c>
      <c r="B439" t="s">
        <v>104</v>
      </c>
      <c r="C439" t="s">
        <v>95</v>
      </c>
      <c r="D439" t="s">
        <v>79</v>
      </c>
      <c r="E439" t="s">
        <v>44</v>
      </c>
      <c r="F439" s="6">
        <v>0.71875</v>
      </c>
      <c r="G439">
        <v>310</v>
      </c>
      <c r="H439" s="6">
        <f>FLOOR(tblPivotData[[#This Row],[Time]],Summary!$B$6/1440)</f>
        <v>0.71875</v>
      </c>
      <c r="I439" s="49">
        <f>INDEX(PeakCalc!$L$10:$L$303,MATCH(tblPivotData[[#This Row],[Time]],PeakCalc!$G$10:$G$303,0))</f>
        <v>1</v>
      </c>
    </row>
    <row r="440" spans="1:9" x14ac:dyDescent="0.25">
      <c r="A440" t="s">
        <v>93</v>
      </c>
      <c r="B440" t="s">
        <v>104</v>
      </c>
      <c r="C440" t="s">
        <v>95</v>
      </c>
      <c r="D440" t="s">
        <v>79</v>
      </c>
      <c r="E440" t="s">
        <v>44</v>
      </c>
      <c r="F440" s="6">
        <v>0.72916666666666663</v>
      </c>
      <c r="G440">
        <v>298</v>
      </c>
      <c r="H440" s="6">
        <f>FLOOR(tblPivotData[[#This Row],[Time]],Summary!$B$6/1440)</f>
        <v>0.72916666666666663</v>
      </c>
      <c r="I440" s="49">
        <f>INDEX(PeakCalc!$L$10:$L$303,MATCH(tblPivotData[[#This Row],[Time]],PeakCalc!$G$10:$G$303,0))</f>
        <v>0</v>
      </c>
    </row>
    <row r="441" spans="1:9" x14ac:dyDescent="0.25">
      <c r="A441" t="s">
        <v>93</v>
      </c>
      <c r="B441" t="s">
        <v>104</v>
      </c>
      <c r="C441" t="s">
        <v>95</v>
      </c>
      <c r="D441" t="s">
        <v>79</v>
      </c>
      <c r="E441" t="s">
        <v>44</v>
      </c>
      <c r="F441" s="6">
        <v>0.73958333333333337</v>
      </c>
      <c r="G441">
        <v>256</v>
      </c>
      <c r="H441" s="6">
        <f>FLOOR(tblPivotData[[#This Row],[Time]],Summary!$B$6/1440)</f>
        <v>0.73958333333333326</v>
      </c>
      <c r="I441" s="49">
        <f>INDEX(PeakCalc!$L$10:$L$303,MATCH(tblPivotData[[#This Row],[Time]],PeakCalc!$G$10:$G$303,0))</f>
        <v>0</v>
      </c>
    </row>
    <row r="442" spans="1:9" x14ac:dyDescent="0.25">
      <c r="A442" t="s">
        <v>93</v>
      </c>
      <c r="B442" t="s">
        <v>104</v>
      </c>
      <c r="C442" t="s">
        <v>95</v>
      </c>
      <c r="D442" t="s">
        <v>89</v>
      </c>
      <c r="E442" t="s">
        <v>43</v>
      </c>
      <c r="F442" s="6">
        <v>0.29166666666666669</v>
      </c>
      <c r="G442">
        <v>6</v>
      </c>
      <c r="H442" s="6">
        <f>FLOOR(tblPivotData[[#This Row],[Time]],Summary!$B$6/1440)</f>
        <v>0.29166666666666663</v>
      </c>
      <c r="I442" s="49">
        <f>INDEX(PeakCalc!$L$10:$L$303,MATCH(tblPivotData[[#This Row],[Time]],PeakCalc!$G$10:$G$303,0))</f>
        <v>0</v>
      </c>
    </row>
    <row r="443" spans="1:9" x14ac:dyDescent="0.25">
      <c r="A443" t="s">
        <v>93</v>
      </c>
      <c r="B443" t="s">
        <v>104</v>
      </c>
      <c r="C443" t="s">
        <v>95</v>
      </c>
      <c r="D443" t="s">
        <v>89</v>
      </c>
      <c r="E443" t="s">
        <v>43</v>
      </c>
      <c r="F443" s="6">
        <v>0.30208333333333331</v>
      </c>
      <c r="G443">
        <v>7</v>
      </c>
      <c r="H443" s="6">
        <f>FLOOR(tblPivotData[[#This Row],[Time]],Summary!$B$6/1440)</f>
        <v>0.30208333333333331</v>
      </c>
      <c r="I443" s="49">
        <f>INDEX(PeakCalc!$L$10:$L$303,MATCH(tblPivotData[[#This Row],[Time]],PeakCalc!$G$10:$G$303,0))</f>
        <v>0</v>
      </c>
    </row>
    <row r="444" spans="1:9" x14ac:dyDescent="0.25">
      <c r="A444" t="s">
        <v>93</v>
      </c>
      <c r="B444" t="s">
        <v>104</v>
      </c>
      <c r="C444" t="s">
        <v>95</v>
      </c>
      <c r="D444" t="s">
        <v>89</v>
      </c>
      <c r="E444" t="s">
        <v>43</v>
      </c>
      <c r="F444" s="6">
        <v>0.3125</v>
      </c>
      <c r="G444">
        <v>6</v>
      </c>
      <c r="H444" s="6">
        <f>FLOOR(tblPivotData[[#This Row],[Time]],Summary!$B$6/1440)</f>
        <v>0.3125</v>
      </c>
      <c r="I444" s="49">
        <f>INDEX(PeakCalc!$L$10:$L$303,MATCH(tblPivotData[[#This Row],[Time]],PeakCalc!$G$10:$G$303,0))</f>
        <v>0</v>
      </c>
    </row>
    <row r="445" spans="1:9" x14ac:dyDescent="0.25">
      <c r="A445" t="s">
        <v>93</v>
      </c>
      <c r="B445" t="s">
        <v>104</v>
      </c>
      <c r="C445" t="s">
        <v>95</v>
      </c>
      <c r="D445" t="s">
        <v>89</v>
      </c>
      <c r="E445" t="s">
        <v>43</v>
      </c>
      <c r="F445" s="6">
        <v>0.32291666666666669</v>
      </c>
      <c r="G445">
        <v>3</v>
      </c>
      <c r="H445" s="6">
        <f>FLOOR(tblPivotData[[#This Row],[Time]],Summary!$B$6/1440)</f>
        <v>0.32291666666666663</v>
      </c>
      <c r="I445" s="49">
        <f>INDEX(PeakCalc!$L$10:$L$303,MATCH(tblPivotData[[#This Row],[Time]],PeakCalc!$G$10:$G$303,0))</f>
        <v>0</v>
      </c>
    </row>
    <row r="446" spans="1:9" x14ac:dyDescent="0.25">
      <c r="A446" t="s">
        <v>93</v>
      </c>
      <c r="B446" t="s">
        <v>104</v>
      </c>
      <c r="C446" t="s">
        <v>95</v>
      </c>
      <c r="D446" t="s">
        <v>89</v>
      </c>
      <c r="E446" t="s">
        <v>43</v>
      </c>
      <c r="F446" s="6">
        <v>0.33333333333333331</v>
      </c>
      <c r="G446">
        <v>8</v>
      </c>
      <c r="H446" s="6">
        <f>FLOOR(tblPivotData[[#This Row],[Time]],Summary!$B$6/1440)</f>
        <v>0.33333333333333331</v>
      </c>
      <c r="I446" s="49">
        <f>INDEX(PeakCalc!$L$10:$L$303,MATCH(tblPivotData[[#This Row],[Time]],PeakCalc!$G$10:$G$303,0))</f>
        <v>1</v>
      </c>
    </row>
    <row r="447" spans="1:9" x14ac:dyDescent="0.25">
      <c r="A447" t="s">
        <v>93</v>
      </c>
      <c r="B447" t="s">
        <v>104</v>
      </c>
      <c r="C447" t="s">
        <v>95</v>
      </c>
      <c r="D447" t="s">
        <v>89</v>
      </c>
      <c r="E447" t="s">
        <v>43</v>
      </c>
      <c r="F447" s="6">
        <v>0.34375</v>
      </c>
      <c r="G447">
        <v>5</v>
      </c>
      <c r="H447" s="6">
        <f>FLOOR(tblPivotData[[#This Row],[Time]],Summary!$B$6/1440)</f>
        <v>0.34375</v>
      </c>
      <c r="I447" s="49">
        <f>INDEX(PeakCalc!$L$10:$L$303,MATCH(tblPivotData[[#This Row],[Time]],PeakCalc!$G$10:$G$303,0))</f>
        <v>1</v>
      </c>
    </row>
    <row r="448" spans="1:9" x14ac:dyDescent="0.25">
      <c r="A448" t="s">
        <v>93</v>
      </c>
      <c r="B448" t="s">
        <v>104</v>
      </c>
      <c r="C448" t="s">
        <v>95</v>
      </c>
      <c r="D448" t="s">
        <v>89</v>
      </c>
      <c r="E448" t="s">
        <v>43</v>
      </c>
      <c r="F448" s="6">
        <v>0.35416666666666669</v>
      </c>
      <c r="G448">
        <v>5</v>
      </c>
      <c r="H448" s="6">
        <f>FLOOR(tblPivotData[[#This Row],[Time]],Summary!$B$6/1440)</f>
        <v>0.35416666666666663</v>
      </c>
      <c r="I448" s="49">
        <f>INDEX(PeakCalc!$L$10:$L$303,MATCH(tblPivotData[[#This Row],[Time]],PeakCalc!$G$10:$G$303,0))</f>
        <v>1</v>
      </c>
    </row>
    <row r="449" spans="1:9" x14ac:dyDescent="0.25">
      <c r="A449" t="s">
        <v>93</v>
      </c>
      <c r="B449" t="s">
        <v>104</v>
      </c>
      <c r="C449" t="s">
        <v>95</v>
      </c>
      <c r="D449" t="s">
        <v>89</v>
      </c>
      <c r="E449" t="s">
        <v>43</v>
      </c>
      <c r="F449" s="6">
        <v>0.36458333333333331</v>
      </c>
      <c r="G449">
        <v>4</v>
      </c>
      <c r="H449" s="6">
        <f>FLOOR(tblPivotData[[#This Row],[Time]],Summary!$B$6/1440)</f>
        <v>0.36458333333333331</v>
      </c>
      <c r="I449" s="49">
        <f>INDEX(PeakCalc!$L$10:$L$303,MATCH(tblPivotData[[#This Row],[Time]],PeakCalc!$G$10:$G$303,0))</f>
        <v>1</v>
      </c>
    </row>
    <row r="450" spans="1:9" x14ac:dyDescent="0.25">
      <c r="A450" t="s">
        <v>93</v>
      </c>
      <c r="B450" t="s">
        <v>104</v>
      </c>
      <c r="C450" t="s">
        <v>95</v>
      </c>
      <c r="D450" t="s">
        <v>89</v>
      </c>
      <c r="E450" t="s">
        <v>90</v>
      </c>
      <c r="F450" s="6">
        <v>0.54166666666666663</v>
      </c>
      <c r="G450">
        <v>6</v>
      </c>
      <c r="H450" s="6">
        <f>FLOOR(tblPivotData[[#This Row],[Time]],Summary!$B$6/1440)</f>
        <v>0.54166666666666663</v>
      </c>
      <c r="I450" s="49">
        <f>INDEX(PeakCalc!$L$10:$L$303,MATCH(tblPivotData[[#This Row],[Time]],PeakCalc!$G$10:$G$303,0))</f>
        <v>1</v>
      </c>
    </row>
    <row r="451" spans="1:9" x14ac:dyDescent="0.25">
      <c r="A451" t="s">
        <v>93</v>
      </c>
      <c r="B451" t="s">
        <v>104</v>
      </c>
      <c r="C451" t="s">
        <v>95</v>
      </c>
      <c r="D451" t="s">
        <v>89</v>
      </c>
      <c r="E451" t="s">
        <v>90</v>
      </c>
      <c r="F451" s="6">
        <v>0.55208333333333337</v>
      </c>
      <c r="G451">
        <v>3</v>
      </c>
      <c r="H451" s="6">
        <f>FLOOR(tblPivotData[[#This Row],[Time]],Summary!$B$6/1440)</f>
        <v>0.55208333333333326</v>
      </c>
      <c r="I451" s="49">
        <f>INDEX(PeakCalc!$L$10:$L$303,MATCH(tblPivotData[[#This Row],[Time]],PeakCalc!$G$10:$G$303,0))</f>
        <v>1</v>
      </c>
    </row>
    <row r="452" spans="1:9" x14ac:dyDescent="0.25">
      <c r="A452" t="s">
        <v>93</v>
      </c>
      <c r="B452" t="s">
        <v>104</v>
      </c>
      <c r="C452" t="s">
        <v>95</v>
      </c>
      <c r="D452" t="s">
        <v>89</v>
      </c>
      <c r="E452" t="s">
        <v>90</v>
      </c>
      <c r="F452" s="6">
        <v>0.5625</v>
      </c>
      <c r="G452">
        <v>4</v>
      </c>
      <c r="H452" s="6">
        <f>FLOOR(tblPivotData[[#This Row],[Time]],Summary!$B$6/1440)</f>
        <v>0.5625</v>
      </c>
      <c r="I452" s="49">
        <f>INDEX(PeakCalc!$L$10:$L$303,MATCH(tblPivotData[[#This Row],[Time]],PeakCalc!$G$10:$G$303,0))</f>
        <v>1</v>
      </c>
    </row>
    <row r="453" spans="1:9" x14ac:dyDescent="0.25">
      <c r="A453" t="s">
        <v>93</v>
      </c>
      <c r="B453" t="s">
        <v>104</v>
      </c>
      <c r="C453" t="s">
        <v>95</v>
      </c>
      <c r="D453" t="s">
        <v>89</v>
      </c>
      <c r="E453" t="s">
        <v>90</v>
      </c>
      <c r="F453" s="6">
        <v>0.57291666666666663</v>
      </c>
      <c r="G453">
        <v>4</v>
      </c>
      <c r="H453" s="6">
        <f>FLOOR(tblPivotData[[#This Row],[Time]],Summary!$B$6/1440)</f>
        <v>0.57291666666666663</v>
      </c>
      <c r="I453" s="49">
        <f>INDEX(PeakCalc!$L$10:$L$303,MATCH(tblPivotData[[#This Row],[Time]],PeakCalc!$G$10:$G$303,0))</f>
        <v>1</v>
      </c>
    </row>
    <row r="454" spans="1:9" x14ac:dyDescent="0.25">
      <c r="A454" t="s">
        <v>93</v>
      </c>
      <c r="B454" t="s">
        <v>104</v>
      </c>
      <c r="C454" t="s">
        <v>95</v>
      </c>
      <c r="D454" t="s">
        <v>89</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93</v>
      </c>
      <c r="B455" t="s">
        <v>104</v>
      </c>
      <c r="C455" t="s">
        <v>95</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93</v>
      </c>
      <c r="B456" t="s">
        <v>104</v>
      </c>
      <c r="C456" t="s">
        <v>95</v>
      </c>
      <c r="D456" t="s">
        <v>89</v>
      </c>
      <c r="E456" t="s">
        <v>44</v>
      </c>
      <c r="F456" s="6">
        <v>0.6875</v>
      </c>
      <c r="G456">
        <v>6</v>
      </c>
      <c r="H456" s="6">
        <f>FLOOR(tblPivotData[[#This Row],[Time]],Summary!$B$6/1440)</f>
        <v>0.6875</v>
      </c>
      <c r="I456" s="49">
        <f>INDEX(PeakCalc!$L$10:$L$303,MATCH(tblPivotData[[#This Row],[Time]],PeakCalc!$G$10:$G$303,0))</f>
        <v>1</v>
      </c>
    </row>
    <row r="457" spans="1:9" x14ac:dyDescent="0.25">
      <c r="A457" t="s">
        <v>93</v>
      </c>
      <c r="B457" t="s">
        <v>104</v>
      </c>
      <c r="C457" t="s">
        <v>95</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93</v>
      </c>
      <c r="B458" t="s">
        <v>104</v>
      </c>
      <c r="C458" t="s">
        <v>95</v>
      </c>
      <c r="D458" t="s">
        <v>89</v>
      </c>
      <c r="E458" t="s">
        <v>44</v>
      </c>
      <c r="F458" s="6">
        <v>0.70833333333333337</v>
      </c>
      <c r="G458">
        <v>4</v>
      </c>
      <c r="H458" s="6">
        <f>FLOOR(tblPivotData[[#This Row],[Time]],Summary!$B$6/1440)</f>
        <v>0.70833333333333326</v>
      </c>
      <c r="I458" s="49">
        <f>INDEX(PeakCalc!$L$10:$L$303,MATCH(tblPivotData[[#This Row],[Time]],PeakCalc!$G$10:$G$303,0))</f>
        <v>1</v>
      </c>
    </row>
    <row r="459" spans="1:9" x14ac:dyDescent="0.25">
      <c r="A459" t="s">
        <v>93</v>
      </c>
      <c r="B459" t="s">
        <v>104</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93</v>
      </c>
      <c r="B460" t="s">
        <v>104</v>
      </c>
      <c r="C460" t="s">
        <v>95</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93</v>
      </c>
      <c r="B461" t="s">
        <v>104</v>
      </c>
      <c r="C461" t="s">
        <v>95</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93</v>
      </c>
      <c r="B462" t="s">
        <v>104</v>
      </c>
      <c r="C462" t="s">
        <v>95</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93</v>
      </c>
      <c r="B463" t="s">
        <v>104</v>
      </c>
      <c r="C463" t="s">
        <v>95</v>
      </c>
      <c r="D463" t="s">
        <v>91</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93</v>
      </c>
      <c r="B464" t="s">
        <v>104</v>
      </c>
      <c r="C464" t="s">
        <v>95</v>
      </c>
      <c r="D464" t="s">
        <v>91</v>
      </c>
      <c r="E464" t="s">
        <v>43</v>
      </c>
      <c r="F464" s="6">
        <v>0.3125</v>
      </c>
      <c r="G464">
        <v>4</v>
      </c>
      <c r="H464" s="6">
        <f>FLOOR(tblPivotData[[#This Row],[Time]],Summary!$B$6/1440)</f>
        <v>0.3125</v>
      </c>
      <c r="I464" s="49">
        <f>INDEX(PeakCalc!$L$10:$L$303,MATCH(tblPivotData[[#This Row],[Time]],PeakCalc!$G$10:$G$303,0))</f>
        <v>0</v>
      </c>
    </row>
    <row r="465" spans="1:9" x14ac:dyDescent="0.25">
      <c r="A465" t="s">
        <v>93</v>
      </c>
      <c r="B465" t="s">
        <v>104</v>
      </c>
      <c r="C465" t="s">
        <v>95</v>
      </c>
      <c r="D465" t="s">
        <v>91</v>
      </c>
      <c r="E465" t="s">
        <v>43</v>
      </c>
      <c r="F465" s="6">
        <v>0.32291666666666669</v>
      </c>
      <c r="G465">
        <v>6</v>
      </c>
      <c r="H465" s="6">
        <f>FLOOR(tblPivotData[[#This Row],[Time]],Summary!$B$6/1440)</f>
        <v>0.32291666666666663</v>
      </c>
      <c r="I465" s="49">
        <f>INDEX(PeakCalc!$L$10:$L$303,MATCH(tblPivotData[[#This Row],[Time]],PeakCalc!$G$10:$G$303,0))</f>
        <v>0</v>
      </c>
    </row>
    <row r="466" spans="1:9" x14ac:dyDescent="0.25">
      <c r="A466" t="s">
        <v>93</v>
      </c>
      <c r="B466" t="s">
        <v>104</v>
      </c>
      <c r="C466" t="s">
        <v>95</v>
      </c>
      <c r="D466" t="s">
        <v>91</v>
      </c>
      <c r="E466" t="s">
        <v>43</v>
      </c>
      <c r="F466" s="6">
        <v>0.33333333333333331</v>
      </c>
      <c r="G466">
        <v>8</v>
      </c>
      <c r="H466" s="6">
        <f>FLOOR(tblPivotData[[#This Row],[Time]],Summary!$B$6/1440)</f>
        <v>0.33333333333333331</v>
      </c>
      <c r="I466" s="49">
        <f>INDEX(PeakCalc!$L$10:$L$303,MATCH(tblPivotData[[#This Row],[Time]],PeakCalc!$G$10:$G$303,0))</f>
        <v>1</v>
      </c>
    </row>
    <row r="467" spans="1:9" x14ac:dyDescent="0.25">
      <c r="A467" t="s">
        <v>93</v>
      </c>
      <c r="B467" t="s">
        <v>104</v>
      </c>
      <c r="C467" t="s">
        <v>95</v>
      </c>
      <c r="D467" t="s">
        <v>91</v>
      </c>
      <c r="E467" t="s">
        <v>43</v>
      </c>
      <c r="F467" s="6">
        <v>0.34375</v>
      </c>
      <c r="G467">
        <v>5</v>
      </c>
      <c r="H467" s="6">
        <f>FLOOR(tblPivotData[[#This Row],[Time]],Summary!$B$6/1440)</f>
        <v>0.34375</v>
      </c>
      <c r="I467" s="49">
        <f>INDEX(PeakCalc!$L$10:$L$303,MATCH(tblPivotData[[#This Row],[Time]],PeakCalc!$G$10:$G$303,0))</f>
        <v>1</v>
      </c>
    </row>
    <row r="468" spans="1:9" x14ac:dyDescent="0.25">
      <c r="A468" t="s">
        <v>93</v>
      </c>
      <c r="B468" t="s">
        <v>104</v>
      </c>
      <c r="C468" t="s">
        <v>95</v>
      </c>
      <c r="D468" t="s">
        <v>91</v>
      </c>
      <c r="E468" t="s">
        <v>43</v>
      </c>
      <c r="F468" s="6">
        <v>0.35416666666666669</v>
      </c>
      <c r="G468">
        <v>5</v>
      </c>
      <c r="H468" s="6">
        <f>FLOOR(tblPivotData[[#This Row],[Time]],Summary!$B$6/1440)</f>
        <v>0.35416666666666663</v>
      </c>
      <c r="I468" s="49">
        <f>INDEX(PeakCalc!$L$10:$L$303,MATCH(tblPivotData[[#This Row],[Time]],PeakCalc!$G$10:$G$303,0))</f>
        <v>1</v>
      </c>
    </row>
    <row r="469" spans="1:9" x14ac:dyDescent="0.25">
      <c r="A469" t="s">
        <v>93</v>
      </c>
      <c r="B469" t="s">
        <v>104</v>
      </c>
      <c r="C469" t="s">
        <v>95</v>
      </c>
      <c r="D469" t="s">
        <v>91</v>
      </c>
      <c r="E469" t="s">
        <v>43</v>
      </c>
      <c r="F469" s="6">
        <v>0.36458333333333331</v>
      </c>
      <c r="G469">
        <v>7</v>
      </c>
      <c r="H469" s="6">
        <f>FLOOR(tblPivotData[[#This Row],[Time]],Summary!$B$6/1440)</f>
        <v>0.36458333333333331</v>
      </c>
      <c r="I469" s="49">
        <f>INDEX(PeakCalc!$L$10:$L$303,MATCH(tblPivotData[[#This Row],[Time]],PeakCalc!$G$10:$G$303,0))</f>
        <v>1</v>
      </c>
    </row>
    <row r="470" spans="1:9" x14ac:dyDescent="0.25">
      <c r="A470" t="s">
        <v>93</v>
      </c>
      <c r="B470" t="s">
        <v>104</v>
      </c>
      <c r="C470" t="s">
        <v>95</v>
      </c>
      <c r="D470" t="s">
        <v>91</v>
      </c>
      <c r="E470" t="s">
        <v>90</v>
      </c>
      <c r="F470" s="6">
        <v>0.54166666666666663</v>
      </c>
      <c r="G470">
        <v>3</v>
      </c>
      <c r="H470" s="6">
        <f>FLOOR(tblPivotData[[#This Row],[Time]],Summary!$B$6/1440)</f>
        <v>0.54166666666666663</v>
      </c>
      <c r="I470" s="49">
        <f>INDEX(PeakCalc!$L$10:$L$303,MATCH(tblPivotData[[#This Row],[Time]],PeakCalc!$G$10:$G$303,0))</f>
        <v>1</v>
      </c>
    </row>
    <row r="471" spans="1:9" x14ac:dyDescent="0.25">
      <c r="A471" t="s">
        <v>93</v>
      </c>
      <c r="B471" t="s">
        <v>104</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104</v>
      </c>
      <c r="C472" t="s">
        <v>95</v>
      </c>
      <c r="D472" t="s">
        <v>91</v>
      </c>
      <c r="E472" t="s">
        <v>90</v>
      </c>
      <c r="F472" s="6">
        <v>0.5625</v>
      </c>
      <c r="G472">
        <v>2</v>
      </c>
      <c r="H472" s="6">
        <f>FLOOR(tblPivotData[[#This Row],[Time]],Summary!$B$6/1440)</f>
        <v>0.5625</v>
      </c>
      <c r="I472" s="49">
        <f>INDEX(PeakCalc!$L$10:$L$303,MATCH(tblPivotData[[#This Row],[Time]],PeakCalc!$G$10:$G$303,0))</f>
        <v>1</v>
      </c>
    </row>
    <row r="473" spans="1:9" x14ac:dyDescent="0.25">
      <c r="A473" t="s">
        <v>93</v>
      </c>
      <c r="B473" t="s">
        <v>104</v>
      </c>
      <c r="C473" t="s">
        <v>95</v>
      </c>
      <c r="D473" t="s">
        <v>91</v>
      </c>
      <c r="E473" t="s">
        <v>90</v>
      </c>
      <c r="F473" s="6">
        <v>0.57291666666666663</v>
      </c>
      <c r="G473">
        <v>2</v>
      </c>
      <c r="H473" s="6">
        <f>FLOOR(tblPivotData[[#This Row],[Time]],Summary!$B$6/1440)</f>
        <v>0.57291666666666663</v>
      </c>
      <c r="I473" s="49">
        <f>INDEX(PeakCalc!$L$10:$L$303,MATCH(tblPivotData[[#This Row],[Time]],PeakCalc!$G$10:$G$303,0))</f>
        <v>1</v>
      </c>
    </row>
    <row r="474" spans="1:9" x14ac:dyDescent="0.25">
      <c r="A474" t="s">
        <v>93</v>
      </c>
      <c r="B474" t="s">
        <v>104</v>
      </c>
      <c r="C474" t="s">
        <v>95</v>
      </c>
      <c r="D474" t="s">
        <v>91</v>
      </c>
      <c r="E474" t="s">
        <v>44</v>
      </c>
      <c r="F474" s="6">
        <v>0.66666666666666663</v>
      </c>
      <c r="G474">
        <v>5</v>
      </c>
      <c r="H474" s="6">
        <f>FLOOR(tblPivotData[[#This Row],[Time]],Summary!$B$6/1440)</f>
        <v>0.66666666666666663</v>
      </c>
      <c r="I474" s="49">
        <f>INDEX(PeakCalc!$L$10:$L$303,MATCH(tblPivotData[[#This Row],[Time]],PeakCalc!$G$10:$G$303,0))</f>
        <v>0</v>
      </c>
    </row>
    <row r="475" spans="1:9" x14ac:dyDescent="0.25">
      <c r="A475" t="s">
        <v>93</v>
      </c>
      <c r="B475" t="s">
        <v>104</v>
      </c>
      <c r="C475" t="s">
        <v>95</v>
      </c>
      <c r="D475" t="s">
        <v>91</v>
      </c>
      <c r="E475" t="s">
        <v>44</v>
      </c>
      <c r="F475" s="6">
        <v>0.67708333333333337</v>
      </c>
      <c r="G475">
        <v>5</v>
      </c>
      <c r="H475" s="6">
        <f>FLOOR(tblPivotData[[#This Row],[Time]],Summary!$B$6/1440)</f>
        <v>0.67708333333333326</v>
      </c>
      <c r="I475" s="49">
        <f>INDEX(PeakCalc!$L$10:$L$303,MATCH(tblPivotData[[#This Row],[Time]],PeakCalc!$G$10:$G$303,0))</f>
        <v>0</v>
      </c>
    </row>
    <row r="476" spans="1:9" x14ac:dyDescent="0.25">
      <c r="A476" t="s">
        <v>93</v>
      </c>
      <c r="B476" t="s">
        <v>104</v>
      </c>
      <c r="C476" t="s">
        <v>95</v>
      </c>
      <c r="D476" t="s">
        <v>91</v>
      </c>
      <c r="E476" t="s">
        <v>44</v>
      </c>
      <c r="F476" s="6">
        <v>0.6875</v>
      </c>
      <c r="G476">
        <v>2</v>
      </c>
      <c r="H476" s="6">
        <f>FLOOR(tblPivotData[[#This Row],[Time]],Summary!$B$6/1440)</f>
        <v>0.6875</v>
      </c>
      <c r="I476" s="49">
        <f>INDEX(PeakCalc!$L$10:$L$303,MATCH(tblPivotData[[#This Row],[Time]],PeakCalc!$G$10:$G$303,0))</f>
        <v>1</v>
      </c>
    </row>
    <row r="477" spans="1:9" x14ac:dyDescent="0.25">
      <c r="A477" t="s">
        <v>93</v>
      </c>
      <c r="B477" t="s">
        <v>104</v>
      </c>
      <c r="C477" t="s">
        <v>95</v>
      </c>
      <c r="D477" t="s">
        <v>91</v>
      </c>
      <c r="E477" t="s">
        <v>44</v>
      </c>
      <c r="F477" s="6">
        <v>0.69791666666666663</v>
      </c>
      <c r="G477">
        <v>6</v>
      </c>
      <c r="H477" s="6">
        <f>FLOOR(tblPivotData[[#This Row],[Time]],Summary!$B$6/1440)</f>
        <v>0.69791666666666663</v>
      </c>
      <c r="I477" s="49">
        <f>INDEX(PeakCalc!$L$10:$L$303,MATCH(tblPivotData[[#This Row],[Time]],PeakCalc!$G$10:$G$303,0))</f>
        <v>1</v>
      </c>
    </row>
    <row r="478" spans="1:9" x14ac:dyDescent="0.25">
      <c r="A478" t="s">
        <v>93</v>
      </c>
      <c r="B478" t="s">
        <v>104</v>
      </c>
      <c r="C478" t="s">
        <v>95</v>
      </c>
      <c r="D478" t="s">
        <v>91</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93</v>
      </c>
      <c r="B479" t="s">
        <v>104</v>
      </c>
      <c r="C479" t="s">
        <v>95</v>
      </c>
      <c r="D479" t="s">
        <v>91</v>
      </c>
      <c r="E479" t="s">
        <v>44</v>
      </c>
      <c r="F479" s="6">
        <v>0.71875</v>
      </c>
      <c r="G479">
        <v>3</v>
      </c>
      <c r="H479" s="6">
        <f>FLOOR(tblPivotData[[#This Row],[Time]],Summary!$B$6/1440)</f>
        <v>0.71875</v>
      </c>
      <c r="I479" s="49">
        <f>INDEX(PeakCalc!$L$10:$L$303,MATCH(tblPivotData[[#This Row],[Time]],PeakCalc!$G$10:$G$303,0))</f>
        <v>1</v>
      </c>
    </row>
    <row r="480" spans="1:9" x14ac:dyDescent="0.25">
      <c r="A480" t="s">
        <v>93</v>
      </c>
      <c r="B480" t="s">
        <v>104</v>
      </c>
      <c r="C480" t="s">
        <v>95</v>
      </c>
      <c r="D480" t="s">
        <v>91</v>
      </c>
      <c r="E480" t="s">
        <v>44</v>
      </c>
      <c r="F480" s="6">
        <v>0.72916666666666663</v>
      </c>
      <c r="G480">
        <v>6</v>
      </c>
      <c r="H480" s="6">
        <f>FLOOR(tblPivotData[[#This Row],[Time]],Summary!$B$6/1440)</f>
        <v>0.72916666666666663</v>
      </c>
      <c r="I480" s="49">
        <f>INDEX(PeakCalc!$L$10:$L$303,MATCH(tblPivotData[[#This Row],[Time]],PeakCalc!$G$10:$G$303,0))</f>
        <v>0</v>
      </c>
    </row>
    <row r="481" spans="1:9" x14ac:dyDescent="0.25">
      <c r="A481" t="s">
        <v>93</v>
      </c>
      <c r="B481" t="s">
        <v>104</v>
      </c>
      <c r="C481" t="s">
        <v>95</v>
      </c>
      <c r="D481" t="s">
        <v>91</v>
      </c>
      <c r="E481" t="s">
        <v>44</v>
      </c>
      <c r="F481" s="6">
        <v>0.73958333333333337</v>
      </c>
      <c r="G481">
        <v>7</v>
      </c>
      <c r="H481" s="6">
        <f>FLOOR(tblPivotData[[#This Row],[Time]],Summary!$B$6/1440)</f>
        <v>0.73958333333333326</v>
      </c>
      <c r="I481" s="49">
        <f>INDEX(PeakCalc!$L$10:$L$303,MATCH(tblPivotData[[#This Row],[Time]],PeakCalc!$G$10:$G$303,0))</f>
        <v>0</v>
      </c>
    </row>
    <row r="482" spans="1:9" x14ac:dyDescent="0.25">
      <c r="A482" t="s">
        <v>93</v>
      </c>
      <c r="B482" t="s">
        <v>105</v>
      </c>
      <c r="C482" t="s">
        <v>96</v>
      </c>
      <c r="D482" t="s">
        <v>79</v>
      </c>
      <c r="E482" t="s">
        <v>43</v>
      </c>
      <c r="F482" s="6">
        <v>0.29166666666666669</v>
      </c>
      <c r="G482">
        <v>16</v>
      </c>
      <c r="H482" s="6">
        <f>FLOOR(tblPivotData[[#This Row],[Time]],Summary!$B$6/1440)</f>
        <v>0.29166666666666663</v>
      </c>
      <c r="I482" s="49">
        <f>INDEX(PeakCalc!$L$10:$L$303,MATCH(tblPivotData[[#This Row],[Time]],PeakCalc!$G$10:$G$303,0))</f>
        <v>0</v>
      </c>
    </row>
    <row r="483" spans="1:9" x14ac:dyDescent="0.25">
      <c r="A483" t="s">
        <v>93</v>
      </c>
      <c r="B483" t="s">
        <v>105</v>
      </c>
      <c r="C483" t="s">
        <v>96</v>
      </c>
      <c r="D483" t="s">
        <v>79</v>
      </c>
      <c r="E483" t="s">
        <v>43</v>
      </c>
      <c r="F483" s="6">
        <v>0.30208333333333331</v>
      </c>
      <c r="G483">
        <v>34</v>
      </c>
      <c r="H483" s="6">
        <f>FLOOR(tblPivotData[[#This Row],[Time]],Summary!$B$6/1440)</f>
        <v>0.30208333333333331</v>
      </c>
      <c r="I483" s="49">
        <f>INDEX(PeakCalc!$L$10:$L$303,MATCH(tblPivotData[[#This Row],[Time]],PeakCalc!$G$10:$G$303,0))</f>
        <v>0</v>
      </c>
    </row>
    <row r="484" spans="1:9" x14ac:dyDescent="0.25">
      <c r="A484" t="s">
        <v>93</v>
      </c>
      <c r="B484" t="s">
        <v>105</v>
      </c>
      <c r="C484" t="s">
        <v>96</v>
      </c>
      <c r="D484" t="s">
        <v>79</v>
      </c>
      <c r="E484" t="s">
        <v>43</v>
      </c>
      <c r="F484" s="6">
        <v>0.3125</v>
      </c>
      <c r="G484">
        <v>36</v>
      </c>
      <c r="H484" s="6">
        <f>FLOOR(tblPivotData[[#This Row],[Time]],Summary!$B$6/1440)</f>
        <v>0.3125</v>
      </c>
      <c r="I484" s="49">
        <f>INDEX(PeakCalc!$L$10:$L$303,MATCH(tblPivotData[[#This Row],[Time]],PeakCalc!$G$10:$G$303,0))</f>
        <v>0</v>
      </c>
    </row>
    <row r="485" spans="1:9" x14ac:dyDescent="0.25">
      <c r="A485" t="s">
        <v>93</v>
      </c>
      <c r="B485" t="s">
        <v>105</v>
      </c>
      <c r="C485" t="s">
        <v>96</v>
      </c>
      <c r="D485" t="s">
        <v>79</v>
      </c>
      <c r="E485" t="s">
        <v>43</v>
      </c>
      <c r="F485" s="6">
        <v>0.32291666666666669</v>
      </c>
      <c r="G485">
        <v>53</v>
      </c>
      <c r="H485" s="6">
        <f>FLOOR(tblPivotData[[#This Row],[Time]],Summary!$B$6/1440)</f>
        <v>0.32291666666666663</v>
      </c>
      <c r="I485" s="49">
        <f>INDEX(PeakCalc!$L$10:$L$303,MATCH(tblPivotData[[#This Row],[Time]],PeakCalc!$G$10:$G$303,0))</f>
        <v>0</v>
      </c>
    </row>
    <row r="486" spans="1:9" x14ac:dyDescent="0.25">
      <c r="A486" t="s">
        <v>93</v>
      </c>
      <c r="B486" t="s">
        <v>105</v>
      </c>
      <c r="C486" t="s">
        <v>96</v>
      </c>
      <c r="D486" t="s">
        <v>79</v>
      </c>
      <c r="E486" t="s">
        <v>43</v>
      </c>
      <c r="F486" s="6">
        <v>0.33333333333333331</v>
      </c>
      <c r="G486">
        <v>44</v>
      </c>
      <c r="H486" s="6">
        <f>FLOOR(tblPivotData[[#This Row],[Time]],Summary!$B$6/1440)</f>
        <v>0.33333333333333331</v>
      </c>
      <c r="I486" s="49">
        <f>INDEX(PeakCalc!$L$10:$L$303,MATCH(tblPivotData[[#This Row],[Time]],PeakCalc!$G$10:$G$303,0))</f>
        <v>1</v>
      </c>
    </row>
    <row r="487" spans="1:9" x14ac:dyDescent="0.25">
      <c r="A487" t="s">
        <v>93</v>
      </c>
      <c r="B487" t="s">
        <v>105</v>
      </c>
      <c r="C487" t="s">
        <v>96</v>
      </c>
      <c r="D487" t="s">
        <v>79</v>
      </c>
      <c r="E487" t="s">
        <v>43</v>
      </c>
      <c r="F487" s="6">
        <v>0.34375</v>
      </c>
      <c r="G487">
        <v>56</v>
      </c>
      <c r="H487" s="6">
        <f>FLOOR(tblPivotData[[#This Row],[Time]],Summary!$B$6/1440)</f>
        <v>0.34375</v>
      </c>
      <c r="I487" s="49">
        <f>INDEX(PeakCalc!$L$10:$L$303,MATCH(tblPivotData[[#This Row],[Time]],PeakCalc!$G$10:$G$303,0))</f>
        <v>1</v>
      </c>
    </row>
    <row r="488" spans="1:9" x14ac:dyDescent="0.25">
      <c r="A488" t="s">
        <v>93</v>
      </c>
      <c r="B488" t="s">
        <v>105</v>
      </c>
      <c r="C488" t="s">
        <v>96</v>
      </c>
      <c r="D488" t="s">
        <v>79</v>
      </c>
      <c r="E488" t="s">
        <v>43</v>
      </c>
      <c r="F488" s="6">
        <v>0.35416666666666669</v>
      </c>
      <c r="G488">
        <v>63</v>
      </c>
      <c r="H488" s="6">
        <f>FLOOR(tblPivotData[[#This Row],[Time]],Summary!$B$6/1440)</f>
        <v>0.35416666666666663</v>
      </c>
      <c r="I488" s="49">
        <f>INDEX(PeakCalc!$L$10:$L$303,MATCH(tblPivotData[[#This Row],[Time]],PeakCalc!$G$10:$G$303,0))</f>
        <v>1</v>
      </c>
    </row>
    <row r="489" spans="1:9" x14ac:dyDescent="0.25">
      <c r="A489" t="s">
        <v>93</v>
      </c>
      <c r="B489" t="s">
        <v>105</v>
      </c>
      <c r="C489" t="s">
        <v>96</v>
      </c>
      <c r="D489" t="s">
        <v>79</v>
      </c>
      <c r="E489" t="s">
        <v>43</v>
      </c>
      <c r="F489" s="6">
        <v>0.36458333333333331</v>
      </c>
      <c r="G489">
        <v>57</v>
      </c>
      <c r="H489" s="6">
        <f>FLOOR(tblPivotData[[#This Row],[Time]],Summary!$B$6/1440)</f>
        <v>0.36458333333333331</v>
      </c>
      <c r="I489" s="49">
        <f>INDEX(PeakCalc!$L$10:$L$303,MATCH(tblPivotData[[#This Row],[Time]],PeakCalc!$G$10:$G$303,0))</f>
        <v>1</v>
      </c>
    </row>
    <row r="490" spans="1:9" x14ac:dyDescent="0.25">
      <c r="A490" t="s">
        <v>93</v>
      </c>
      <c r="B490" t="s">
        <v>105</v>
      </c>
      <c r="C490" t="s">
        <v>96</v>
      </c>
      <c r="D490" t="s">
        <v>79</v>
      </c>
      <c r="E490" t="s">
        <v>90</v>
      </c>
      <c r="F490" s="6">
        <v>0.54166666666666663</v>
      </c>
      <c r="G490">
        <v>45</v>
      </c>
      <c r="H490" s="6">
        <f>FLOOR(tblPivotData[[#This Row],[Time]],Summary!$B$6/1440)</f>
        <v>0.54166666666666663</v>
      </c>
      <c r="I490" s="49">
        <f>INDEX(PeakCalc!$L$10:$L$303,MATCH(tblPivotData[[#This Row],[Time]],PeakCalc!$G$10:$G$303,0))</f>
        <v>1</v>
      </c>
    </row>
    <row r="491" spans="1:9" x14ac:dyDescent="0.25">
      <c r="A491" t="s">
        <v>93</v>
      </c>
      <c r="B491" t="s">
        <v>105</v>
      </c>
      <c r="C491" t="s">
        <v>96</v>
      </c>
      <c r="D491" t="s">
        <v>79</v>
      </c>
      <c r="E491" t="s">
        <v>90</v>
      </c>
      <c r="F491" s="6">
        <v>0.55208333333333337</v>
      </c>
      <c r="G491">
        <v>31</v>
      </c>
      <c r="H491" s="6">
        <f>FLOOR(tblPivotData[[#This Row],[Time]],Summary!$B$6/1440)</f>
        <v>0.55208333333333326</v>
      </c>
      <c r="I491" s="49">
        <f>INDEX(PeakCalc!$L$10:$L$303,MATCH(tblPivotData[[#This Row],[Time]],PeakCalc!$G$10:$G$303,0))</f>
        <v>1</v>
      </c>
    </row>
    <row r="492" spans="1:9" x14ac:dyDescent="0.25">
      <c r="A492" t="s">
        <v>93</v>
      </c>
      <c r="B492" t="s">
        <v>105</v>
      </c>
      <c r="C492" t="s">
        <v>96</v>
      </c>
      <c r="D492" t="s">
        <v>79</v>
      </c>
      <c r="E492" t="s">
        <v>90</v>
      </c>
      <c r="F492" s="6">
        <v>0.5625</v>
      </c>
      <c r="G492">
        <v>34</v>
      </c>
      <c r="H492" s="6">
        <f>FLOOR(tblPivotData[[#This Row],[Time]],Summary!$B$6/1440)</f>
        <v>0.5625</v>
      </c>
      <c r="I492" s="49">
        <f>INDEX(PeakCalc!$L$10:$L$303,MATCH(tblPivotData[[#This Row],[Time]],PeakCalc!$G$10:$G$303,0))</f>
        <v>1</v>
      </c>
    </row>
    <row r="493" spans="1:9" x14ac:dyDescent="0.25">
      <c r="A493" t="s">
        <v>93</v>
      </c>
      <c r="B493" t="s">
        <v>105</v>
      </c>
      <c r="C493" t="s">
        <v>96</v>
      </c>
      <c r="D493" t="s">
        <v>79</v>
      </c>
      <c r="E493" t="s">
        <v>90</v>
      </c>
      <c r="F493" s="6">
        <v>0.57291666666666663</v>
      </c>
      <c r="G493">
        <v>46</v>
      </c>
      <c r="H493" s="6">
        <f>FLOOR(tblPivotData[[#This Row],[Time]],Summary!$B$6/1440)</f>
        <v>0.57291666666666663</v>
      </c>
      <c r="I493" s="49">
        <f>INDEX(PeakCalc!$L$10:$L$303,MATCH(tblPivotData[[#This Row],[Time]],PeakCalc!$G$10:$G$303,0))</f>
        <v>1</v>
      </c>
    </row>
    <row r="494" spans="1:9" x14ac:dyDescent="0.25">
      <c r="A494" t="s">
        <v>93</v>
      </c>
      <c r="B494" t="s">
        <v>105</v>
      </c>
      <c r="C494" t="s">
        <v>96</v>
      </c>
      <c r="D494" t="s">
        <v>79</v>
      </c>
      <c r="E494" t="s">
        <v>44</v>
      </c>
      <c r="F494" s="6">
        <v>0.66666666666666663</v>
      </c>
      <c r="G494">
        <v>49</v>
      </c>
      <c r="H494" s="6">
        <f>FLOOR(tblPivotData[[#This Row],[Time]],Summary!$B$6/1440)</f>
        <v>0.66666666666666663</v>
      </c>
      <c r="I494" s="49">
        <f>INDEX(PeakCalc!$L$10:$L$303,MATCH(tblPivotData[[#This Row],[Time]],PeakCalc!$G$10:$G$303,0))</f>
        <v>0</v>
      </c>
    </row>
    <row r="495" spans="1:9" x14ac:dyDescent="0.25">
      <c r="A495" t="s">
        <v>93</v>
      </c>
      <c r="B495" t="s">
        <v>105</v>
      </c>
      <c r="C495" t="s">
        <v>96</v>
      </c>
      <c r="D495" t="s">
        <v>79</v>
      </c>
      <c r="E495" t="s">
        <v>44</v>
      </c>
      <c r="F495" s="6">
        <v>0.67708333333333337</v>
      </c>
      <c r="G495">
        <v>48</v>
      </c>
      <c r="H495" s="6">
        <f>FLOOR(tblPivotData[[#This Row],[Time]],Summary!$B$6/1440)</f>
        <v>0.67708333333333326</v>
      </c>
      <c r="I495" s="49">
        <f>INDEX(PeakCalc!$L$10:$L$303,MATCH(tblPivotData[[#This Row],[Time]],PeakCalc!$G$10:$G$303,0))</f>
        <v>0</v>
      </c>
    </row>
    <row r="496" spans="1:9" x14ac:dyDescent="0.25">
      <c r="A496" t="s">
        <v>93</v>
      </c>
      <c r="B496" t="s">
        <v>105</v>
      </c>
      <c r="C496" t="s">
        <v>96</v>
      </c>
      <c r="D496" t="s">
        <v>79</v>
      </c>
      <c r="E496" t="s">
        <v>44</v>
      </c>
      <c r="F496" s="6">
        <v>0.6875</v>
      </c>
      <c r="G496">
        <v>51</v>
      </c>
      <c r="H496" s="6">
        <f>FLOOR(tblPivotData[[#This Row],[Time]],Summary!$B$6/1440)</f>
        <v>0.6875</v>
      </c>
      <c r="I496" s="49">
        <f>INDEX(PeakCalc!$L$10:$L$303,MATCH(tblPivotData[[#This Row],[Time]],PeakCalc!$G$10:$G$303,0))</f>
        <v>1</v>
      </c>
    </row>
    <row r="497" spans="1:9" x14ac:dyDescent="0.25">
      <c r="A497" t="s">
        <v>93</v>
      </c>
      <c r="B497" t="s">
        <v>105</v>
      </c>
      <c r="C497" t="s">
        <v>96</v>
      </c>
      <c r="D497" t="s">
        <v>79</v>
      </c>
      <c r="E497" t="s">
        <v>44</v>
      </c>
      <c r="F497" s="6">
        <v>0.69791666666666663</v>
      </c>
      <c r="G497">
        <v>43</v>
      </c>
      <c r="H497" s="6">
        <f>FLOOR(tblPivotData[[#This Row],[Time]],Summary!$B$6/1440)</f>
        <v>0.69791666666666663</v>
      </c>
      <c r="I497" s="49">
        <f>INDEX(PeakCalc!$L$10:$L$303,MATCH(tblPivotData[[#This Row],[Time]],PeakCalc!$G$10:$G$303,0))</f>
        <v>1</v>
      </c>
    </row>
    <row r="498" spans="1:9" x14ac:dyDescent="0.25">
      <c r="A498" t="s">
        <v>93</v>
      </c>
      <c r="B498" t="s">
        <v>105</v>
      </c>
      <c r="C498" t="s">
        <v>96</v>
      </c>
      <c r="D498" t="s">
        <v>79</v>
      </c>
      <c r="E498" t="s">
        <v>44</v>
      </c>
      <c r="F498" s="6">
        <v>0.70833333333333337</v>
      </c>
      <c r="G498">
        <v>67</v>
      </c>
      <c r="H498" s="6">
        <f>FLOOR(tblPivotData[[#This Row],[Time]],Summary!$B$6/1440)</f>
        <v>0.70833333333333326</v>
      </c>
      <c r="I498" s="49">
        <f>INDEX(PeakCalc!$L$10:$L$303,MATCH(tblPivotData[[#This Row],[Time]],PeakCalc!$G$10:$G$303,0))</f>
        <v>1</v>
      </c>
    </row>
    <row r="499" spans="1:9" x14ac:dyDescent="0.25">
      <c r="A499" t="s">
        <v>93</v>
      </c>
      <c r="B499" t="s">
        <v>105</v>
      </c>
      <c r="C499" t="s">
        <v>96</v>
      </c>
      <c r="D499" t="s">
        <v>79</v>
      </c>
      <c r="E499" t="s">
        <v>44</v>
      </c>
      <c r="F499" s="6">
        <v>0.71875</v>
      </c>
      <c r="G499">
        <v>61</v>
      </c>
      <c r="H499" s="6">
        <f>FLOOR(tblPivotData[[#This Row],[Time]],Summary!$B$6/1440)</f>
        <v>0.71875</v>
      </c>
      <c r="I499" s="49">
        <f>INDEX(PeakCalc!$L$10:$L$303,MATCH(tblPivotData[[#This Row],[Time]],PeakCalc!$G$10:$G$303,0))</f>
        <v>1</v>
      </c>
    </row>
    <row r="500" spans="1:9" x14ac:dyDescent="0.25">
      <c r="A500" t="s">
        <v>93</v>
      </c>
      <c r="B500" t="s">
        <v>105</v>
      </c>
      <c r="C500" t="s">
        <v>96</v>
      </c>
      <c r="D500" t="s">
        <v>79</v>
      </c>
      <c r="E500" t="s">
        <v>44</v>
      </c>
      <c r="F500" s="6">
        <v>0.72916666666666663</v>
      </c>
      <c r="G500">
        <v>44</v>
      </c>
      <c r="H500" s="6">
        <f>FLOOR(tblPivotData[[#This Row],[Time]],Summary!$B$6/1440)</f>
        <v>0.72916666666666663</v>
      </c>
      <c r="I500" s="49">
        <f>INDEX(PeakCalc!$L$10:$L$303,MATCH(tblPivotData[[#This Row],[Time]],PeakCalc!$G$10:$G$303,0))</f>
        <v>0</v>
      </c>
    </row>
    <row r="501" spans="1:9" x14ac:dyDescent="0.25">
      <c r="A501" t="s">
        <v>93</v>
      </c>
      <c r="B501" t="s">
        <v>105</v>
      </c>
      <c r="C501" t="s">
        <v>96</v>
      </c>
      <c r="D501" t="s">
        <v>79</v>
      </c>
      <c r="E501" t="s">
        <v>44</v>
      </c>
      <c r="F501" s="6">
        <v>0.73958333333333337</v>
      </c>
      <c r="G501">
        <v>29</v>
      </c>
      <c r="H501" s="6">
        <f>FLOOR(tblPivotData[[#This Row],[Time]],Summary!$B$6/1440)</f>
        <v>0.73958333333333326</v>
      </c>
      <c r="I501" s="49">
        <f>INDEX(PeakCalc!$L$10:$L$303,MATCH(tblPivotData[[#This Row],[Time]],PeakCalc!$G$10:$G$303,0))</f>
        <v>0</v>
      </c>
    </row>
    <row r="502" spans="1:9" x14ac:dyDescent="0.25">
      <c r="A502" t="s">
        <v>93</v>
      </c>
      <c r="B502" t="s">
        <v>105</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105</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105</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93</v>
      </c>
      <c r="B505" t="s">
        <v>105</v>
      </c>
      <c r="C505" t="s">
        <v>96</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93</v>
      </c>
      <c r="B506" t="s">
        <v>105</v>
      </c>
      <c r="C506" t="s">
        <v>96</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105</v>
      </c>
      <c r="C507" t="s">
        <v>96</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93</v>
      </c>
      <c r="B508" t="s">
        <v>105</v>
      </c>
      <c r="C508" t="s">
        <v>96</v>
      </c>
      <c r="D508" t="s">
        <v>89</v>
      </c>
      <c r="E508" t="s">
        <v>43</v>
      </c>
      <c r="F508" s="6">
        <v>0.35416666666666669</v>
      </c>
      <c r="G508">
        <v>4</v>
      </c>
      <c r="H508" s="6">
        <f>FLOOR(tblPivotData[[#This Row],[Time]],Summary!$B$6/1440)</f>
        <v>0.35416666666666663</v>
      </c>
      <c r="I508" s="49">
        <f>INDEX(PeakCalc!$L$10:$L$303,MATCH(tblPivotData[[#This Row],[Time]],PeakCalc!$G$10:$G$303,0))</f>
        <v>1</v>
      </c>
    </row>
    <row r="509" spans="1:9" x14ac:dyDescent="0.25">
      <c r="A509" t="s">
        <v>93</v>
      </c>
      <c r="B509" t="s">
        <v>105</v>
      </c>
      <c r="C509" t="s">
        <v>96</v>
      </c>
      <c r="D509" t="s">
        <v>89</v>
      </c>
      <c r="E509" t="s">
        <v>43</v>
      </c>
      <c r="F509" s="6">
        <v>0.36458333333333331</v>
      </c>
      <c r="G509">
        <v>4</v>
      </c>
      <c r="H509" s="6">
        <f>FLOOR(tblPivotData[[#This Row],[Time]],Summary!$B$6/1440)</f>
        <v>0.36458333333333331</v>
      </c>
      <c r="I509" s="49">
        <f>INDEX(PeakCalc!$L$10:$L$303,MATCH(tblPivotData[[#This Row],[Time]],PeakCalc!$G$10:$G$303,0))</f>
        <v>1</v>
      </c>
    </row>
    <row r="510" spans="1:9" x14ac:dyDescent="0.25">
      <c r="A510" t="s">
        <v>93</v>
      </c>
      <c r="B510" t="s">
        <v>105</v>
      </c>
      <c r="C510" t="s">
        <v>96</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93</v>
      </c>
      <c r="B511" t="s">
        <v>105</v>
      </c>
      <c r="C511" t="s">
        <v>96</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93</v>
      </c>
      <c r="B512" t="s">
        <v>105</v>
      </c>
      <c r="C512" t="s">
        <v>96</v>
      </c>
      <c r="D512" t="s">
        <v>89</v>
      </c>
      <c r="E512" t="s">
        <v>90</v>
      </c>
      <c r="F512" s="6">
        <v>0.5625</v>
      </c>
      <c r="G512">
        <v>1</v>
      </c>
      <c r="H512" s="6">
        <f>FLOOR(tblPivotData[[#This Row],[Time]],Summary!$B$6/1440)</f>
        <v>0.5625</v>
      </c>
      <c r="I512" s="49">
        <f>INDEX(PeakCalc!$L$10:$L$303,MATCH(tblPivotData[[#This Row],[Time]],PeakCalc!$G$10:$G$303,0))</f>
        <v>1</v>
      </c>
    </row>
    <row r="513" spans="1:9" x14ac:dyDescent="0.25">
      <c r="A513" t="s">
        <v>93</v>
      </c>
      <c r="B513" t="s">
        <v>105</v>
      </c>
      <c r="C513" t="s">
        <v>96</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105</v>
      </c>
      <c r="C514" t="s">
        <v>96</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93</v>
      </c>
      <c r="B515" t="s">
        <v>105</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105</v>
      </c>
      <c r="C516" t="s">
        <v>96</v>
      </c>
      <c r="D516" t="s">
        <v>89</v>
      </c>
      <c r="E516" t="s">
        <v>44</v>
      </c>
      <c r="F516" s="6">
        <v>0.6875</v>
      </c>
      <c r="G516">
        <v>1</v>
      </c>
      <c r="H516" s="6">
        <f>FLOOR(tblPivotData[[#This Row],[Time]],Summary!$B$6/1440)</f>
        <v>0.6875</v>
      </c>
      <c r="I516" s="49">
        <f>INDEX(PeakCalc!$L$10:$L$303,MATCH(tblPivotData[[#This Row],[Time]],PeakCalc!$G$10:$G$303,0))</f>
        <v>1</v>
      </c>
    </row>
    <row r="517" spans="1:9" x14ac:dyDescent="0.25">
      <c r="A517" t="s">
        <v>93</v>
      </c>
      <c r="B517" t="s">
        <v>105</v>
      </c>
      <c r="C517" t="s">
        <v>96</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93</v>
      </c>
      <c r="B518" t="s">
        <v>105</v>
      </c>
      <c r="C518" t="s">
        <v>96</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93</v>
      </c>
      <c r="B519" t="s">
        <v>105</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93</v>
      </c>
      <c r="B520" t="s">
        <v>105</v>
      </c>
      <c r="C520" t="s">
        <v>96</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93</v>
      </c>
      <c r="B521" t="s">
        <v>105</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105</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105</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105</v>
      </c>
      <c r="C524" t="s">
        <v>96</v>
      </c>
      <c r="D524" t="s">
        <v>91</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105</v>
      </c>
      <c r="C525" t="s">
        <v>96</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93</v>
      </c>
      <c r="B526" t="s">
        <v>105</v>
      </c>
      <c r="C526" t="s">
        <v>96</v>
      </c>
      <c r="D526" t="s">
        <v>91</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93</v>
      </c>
      <c r="B527" t="s">
        <v>105</v>
      </c>
      <c r="C527" t="s">
        <v>96</v>
      </c>
      <c r="D527" t="s">
        <v>91</v>
      </c>
      <c r="E527" t="s">
        <v>43</v>
      </c>
      <c r="F527" s="6">
        <v>0.34375</v>
      </c>
      <c r="G527">
        <v>1</v>
      </c>
      <c r="H527" s="6">
        <f>FLOOR(tblPivotData[[#This Row],[Time]],Summary!$B$6/1440)</f>
        <v>0.34375</v>
      </c>
      <c r="I527" s="49">
        <f>INDEX(PeakCalc!$L$10:$L$303,MATCH(tblPivotData[[#This Row],[Time]],PeakCalc!$G$10:$G$303,0))</f>
        <v>1</v>
      </c>
    </row>
    <row r="528" spans="1:9" x14ac:dyDescent="0.25">
      <c r="A528" t="s">
        <v>93</v>
      </c>
      <c r="B528" t="s">
        <v>105</v>
      </c>
      <c r="C528" t="s">
        <v>96</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105</v>
      </c>
      <c r="C529" t="s">
        <v>96</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93</v>
      </c>
      <c r="B530" t="s">
        <v>105</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105</v>
      </c>
      <c r="C531" t="s">
        <v>96</v>
      </c>
      <c r="D531" t="s">
        <v>91</v>
      </c>
      <c r="E531" t="s">
        <v>90</v>
      </c>
      <c r="F531" s="6">
        <v>0.55208333333333337</v>
      </c>
      <c r="G531">
        <v>1</v>
      </c>
      <c r="H531" s="6">
        <f>FLOOR(tblPivotData[[#This Row],[Time]],Summary!$B$6/1440)</f>
        <v>0.55208333333333326</v>
      </c>
      <c r="I531" s="49">
        <f>INDEX(PeakCalc!$L$10:$L$303,MATCH(tblPivotData[[#This Row],[Time]],PeakCalc!$G$10:$G$303,0))</f>
        <v>1</v>
      </c>
    </row>
    <row r="532" spans="1:9" x14ac:dyDescent="0.25">
      <c r="A532" t="s">
        <v>93</v>
      </c>
      <c r="B532" t="s">
        <v>105</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93</v>
      </c>
      <c r="B533" t="s">
        <v>105</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105</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105</v>
      </c>
      <c r="C535" t="s">
        <v>96</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105</v>
      </c>
      <c r="C536" t="s">
        <v>96</v>
      </c>
      <c r="D536" t="s">
        <v>91</v>
      </c>
      <c r="E536" t="s">
        <v>44</v>
      </c>
      <c r="F536" s="6">
        <v>0.6875</v>
      </c>
      <c r="G536">
        <v>1</v>
      </c>
      <c r="H536" s="6">
        <f>FLOOR(tblPivotData[[#This Row],[Time]],Summary!$B$6/1440)</f>
        <v>0.6875</v>
      </c>
      <c r="I536" s="49">
        <f>INDEX(PeakCalc!$L$10:$L$303,MATCH(tblPivotData[[#This Row],[Time]],PeakCalc!$G$10:$G$303,0))</f>
        <v>1</v>
      </c>
    </row>
    <row r="537" spans="1:9" x14ac:dyDescent="0.25">
      <c r="A537" t="s">
        <v>93</v>
      </c>
      <c r="B537" t="s">
        <v>105</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105</v>
      </c>
      <c r="C538" t="s">
        <v>96</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93</v>
      </c>
      <c r="B539" t="s">
        <v>105</v>
      </c>
      <c r="C539" t="s">
        <v>96</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105</v>
      </c>
      <c r="C540" t="s">
        <v>96</v>
      </c>
      <c r="D540" t="s">
        <v>91</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93</v>
      </c>
      <c r="B541" t="s">
        <v>105</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94</v>
      </c>
      <c r="B542" t="s">
        <v>106</v>
      </c>
      <c r="C542" t="s">
        <v>95</v>
      </c>
      <c r="D542" t="s">
        <v>79</v>
      </c>
      <c r="E542" t="s">
        <v>43</v>
      </c>
      <c r="F542" s="6">
        <v>0.29166666666666669</v>
      </c>
      <c r="G542">
        <v>11</v>
      </c>
      <c r="H542" s="6">
        <f>FLOOR(tblPivotData[[#This Row],[Time]],Summary!$B$6/1440)</f>
        <v>0.29166666666666663</v>
      </c>
      <c r="I542" s="49">
        <f>INDEX(PeakCalc!$L$10:$L$303,MATCH(tblPivotData[[#This Row],[Time]],PeakCalc!$G$10:$G$303,0))</f>
        <v>0</v>
      </c>
    </row>
    <row r="543" spans="1:9" x14ac:dyDescent="0.25">
      <c r="A543" t="s">
        <v>94</v>
      </c>
      <c r="B543" t="s">
        <v>106</v>
      </c>
      <c r="C543" t="s">
        <v>95</v>
      </c>
      <c r="D543" t="s">
        <v>79</v>
      </c>
      <c r="E543" t="s">
        <v>43</v>
      </c>
      <c r="F543" s="6">
        <v>0.30208333333333331</v>
      </c>
      <c r="G543">
        <v>16</v>
      </c>
      <c r="H543" s="6">
        <f>FLOOR(tblPivotData[[#This Row],[Time]],Summary!$B$6/1440)</f>
        <v>0.30208333333333331</v>
      </c>
      <c r="I543" s="49">
        <f>INDEX(PeakCalc!$L$10:$L$303,MATCH(tblPivotData[[#This Row],[Time]],PeakCalc!$G$10:$G$303,0))</f>
        <v>0</v>
      </c>
    </row>
    <row r="544" spans="1:9" x14ac:dyDescent="0.25">
      <c r="A544" t="s">
        <v>94</v>
      </c>
      <c r="B544" t="s">
        <v>106</v>
      </c>
      <c r="C544" t="s">
        <v>95</v>
      </c>
      <c r="D544" t="s">
        <v>79</v>
      </c>
      <c r="E544" t="s">
        <v>43</v>
      </c>
      <c r="F544" s="6">
        <v>0.3125</v>
      </c>
      <c r="G544">
        <v>25</v>
      </c>
      <c r="H544" s="6">
        <f>FLOOR(tblPivotData[[#This Row],[Time]],Summary!$B$6/1440)</f>
        <v>0.3125</v>
      </c>
      <c r="I544" s="49">
        <f>INDEX(PeakCalc!$L$10:$L$303,MATCH(tblPivotData[[#This Row],[Time]],PeakCalc!$G$10:$G$303,0))</f>
        <v>0</v>
      </c>
    </row>
    <row r="545" spans="1:9" x14ac:dyDescent="0.25">
      <c r="A545" t="s">
        <v>94</v>
      </c>
      <c r="B545" t="s">
        <v>106</v>
      </c>
      <c r="C545" t="s">
        <v>95</v>
      </c>
      <c r="D545" t="s">
        <v>79</v>
      </c>
      <c r="E545" t="s">
        <v>43</v>
      </c>
      <c r="F545" s="6">
        <v>0.32291666666666669</v>
      </c>
      <c r="G545">
        <v>28</v>
      </c>
      <c r="H545" s="6">
        <f>FLOOR(tblPivotData[[#This Row],[Time]],Summary!$B$6/1440)</f>
        <v>0.32291666666666663</v>
      </c>
      <c r="I545" s="49">
        <f>INDEX(PeakCalc!$L$10:$L$303,MATCH(tblPivotData[[#This Row],[Time]],PeakCalc!$G$10:$G$303,0))</f>
        <v>0</v>
      </c>
    </row>
    <row r="546" spans="1:9" x14ac:dyDescent="0.25">
      <c r="A546" t="s">
        <v>94</v>
      </c>
      <c r="B546" t="s">
        <v>106</v>
      </c>
      <c r="C546" t="s">
        <v>95</v>
      </c>
      <c r="D546" t="s">
        <v>79</v>
      </c>
      <c r="E546" t="s">
        <v>43</v>
      </c>
      <c r="F546" s="6">
        <v>0.33333333333333331</v>
      </c>
      <c r="G546">
        <v>27</v>
      </c>
      <c r="H546" s="6">
        <f>FLOOR(tblPivotData[[#This Row],[Time]],Summary!$B$6/1440)</f>
        <v>0.33333333333333331</v>
      </c>
      <c r="I546" s="49">
        <f>INDEX(PeakCalc!$L$10:$L$303,MATCH(tblPivotData[[#This Row],[Time]],PeakCalc!$G$10:$G$303,0))</f>
        <v>1</v>
      </c>
    </row>
    <row r="547" spans="1:9" x14ac:dyDescent="0.25">
      <c r="A547" t="s">
        <v>94</v>
      </c>
      <c r="B547" t="s">
        <v>106</v>
      </c>
      <c r="C547" t="s">
        <v>95</v>
      </c>
      <c r="D547" t="s">
        <v>79</v>
      </c>
      <c r="E547" t="s">
        <v>43</v>
      </c>
      <c r="F547" s="6">
        <v>0.34375</v>
      </c>
      <c r="G547">
        <v>33</v>
      </c>
      <c r="H547" s="6">
        <f>FLOOR(tblPivotData[[#This Row],[Time]],Summary!$B$6/1440)</f>
        <v>0.34375</v>
      </c>
      <c r="I547" s="49">
        <f>INDEX(PeakCalc!$L$10:$L$303,MATCH(tblPivotData[[#This Row],[Time]],PeakCalc!$G$10:$G$303,0))</f>
        <v>1</v>
      </c>
    </row>
    <row r="548" spans="1:9" x14ac:dyDescent="0.25">
      <c r="A548" t="s">
        <v>94</v>
      </c>
      <c r="B548" t="s">
        <v>106</v>
      </c>
      <c r="C548" t="s">
        <v>95</v>
      </c>
      <c r="D548" t="s">
        <v>79</v>
      </c>
      <c r="E548" t="s">
        <v>43</v>
      </c>
      <c r="F548" s="6">
        <v>0.35416666666666669</v>
      </c>
      <c r="G548">
        <v>29</v>
      </c>
      <c r="H548" s="6">
        <f>FLOOR(tblPivotData[[#This Row],[Time]],Summary!$B$6/1440)</f>
        <v>0.35416666666666663</v>
      </c>
      <c r="I548" s="49">
        <f>INDEX(PeakCalc!$L$10:$L$303,MATCH(tblPivotData[[#This Row],[Time]],PeakCalc!$G$10:$G$303,0))</f>
        <v>1</v>
      </c>
    </row>
    <row r="549" spans="1:9" x14ac:dyDescent="0.25">
      <c r="A549" t="s">
        <v>94</v>
      </c>
      <c r="B549" t="s">
        <v>106</v>
      </c>
      <c r="C549" t="s">
        <v>95</v>
      </c>
      <c r="D549" t="s">
        <v>79</v>
      </c>
      <c r="E549" t="s">
        <v>43</v>
      </c>
      <c r="F549" s="6">
        <v>0.36458333333333331</v>
      </c>
      <c r="G549">
        <v>50</v>
      </c>
      <c r="H549" s="6">
        <f>FLOOR(tblPivotData[[#This Row],[Time]],Summary!$B$6/1440)</f>
        <v>0.36458333333333331</v>
      </c>
      <c r="I549" s="49">
        <f>INDEX(PeakCalc!$L$10:$L$303,MATCH(tblPivotData[[#This Row],[Time]],PeakCalc!$G$10:$G$303,0))</f>
        <v>1</v>
      </c>
    </row>
    <row r="550" spans="1:9" x14ac:dyDescent="0.25">
      <c r="A550" t="s">
        <v>94</v>
      </c>
      <c r="B550" t="s">
        <v>106</v>
      </c>
      <c r="C550" t="s">
        <v>95</v>
      </c>
      <c r="D550" t="s">
        <v>79</v>
      </c>
      <c r="E550" t="s">
        <v>90</v>
      </c>
      <c r="F550" s="6">
        <v>0.54166666666666663</v>
      </c>
      <c r="G550">
        <v>31</v>
      </c>
      <c r="H550" s="6">
        <f>FLOOR(tblPivotData[[#This Row],[Time]],Summary!$B$6/1440)</f>
        <v>0.54166666666666663</v>
      </c>
      <c r="I550" s="49">
        <f>INDEX(PeakCalc!$L$10:$L$303,MATCH(tblPivotData[[#This Row],[Time]],PeakCalc!$G$10:$G$303,0))</f>
        <v>1</v>
      </c>
    </row>
    <row r="551" spans="1:9" x14ac:dyDescent="0.25">
      <c r="A551" t="s">
        <v>94</v>
      </c>
      <c r="B551" t="s">
        <v>106</v>
      </c>
      <c r="C551" t="s">
        <v>95</v>
      </c>
      <c r="D551" t="s">
        <v>79</v>
      </c>
      <c r="E551" t="s">
        <v>90</v>
      </c>
      <c r="F551" s="6">
        <v>0.55208333333333337</v>
      </c>
      <c r="G551">
        <v>26</v>
      </c>
      <c r="H551" s="6">
        <f>FLOOR(tblPivotData[[#This Row],[Time]],Summary!$B$6/1440)</f>
        <v>0.55208333333333326</v>
      </c>
      <c r="I551" s="49">
        <f>INDEX(PeakCalc!$L$10:$L$303,MATCH(tblPivotData[[#This Row],[Time]],PeakCalc!$G$10:$G$303,0))</f>
        <v>1</v>
      </c>
    </row>
    <row r="552" spans="1:9" x14ac:dyDescent="0.25">
      <c r="A552" t="s">
        <v>94</v>
      </c>
      <c r="B552" t="s">
        <v>106</v>
      </c>
      <c r="C552" t="s">
        <v>95</v>
      </c>
      <c r="D552" t="s">
        <v>79</v>
      </c>
      <c r="E552" t="s">
        <v>90</v>
      </c>
      <c r="F552" s="6">
        <v>0.5625</v>
      </c>
      <c r="G552">
        <v>24</v>
      </c>
      <c r="H552" s="6">
        <f>FLOOR(tblPivotData[[#This Row],[Time]],Summary!$B$6/1440)</f>
        <v>0.5625</v>
      </c>
      <c r="I552" s="49">
        <f>INDEX(PeakCalc!$L$10:$L$303,MATCH(tblPivotData[[#This Row],[Time]],PeakCalc!$G$10:$G$303,0))</f>
        <v>1</v>
      </c>
    </row>
    <row r="553" spans="1:9" x14ac:dyDescent="0.25">
      <c r="A553" t="s">
        <v>94</v>
      </c>
      <c r="B553" t="s">
        <v>106</v>
      </c>
      <c r="C553" t="s">
        <v>95</v>
      </c>
      <c r="D553" t="s">
        <v>79</v>
      </c>
      <c r="E553" t="s">
        <v>90</v>
      </c>
      <c r="F553" s="6">
        <v>0.57291666666666663</v>
      </c>
      <c r="G553">
        <v>29</v>
      </c>
      <c r="H553" s="6">
        <f>FLOOR(tblPivotData[[#This Row],[Time]],Summary!$B$6/1440)</f>
        <v>0.57291666666666663</v>
      </c>
      <c r="I553" s="49">
        <f>INDEX(PeakCalc!$L$10:$L$303,MATCH(tblPivotData[[#This Row],[Time]],PeakCalc!$G$10:$G$303,0))</f>
        <v>1</v>
      </c>
    </row>
    <row r="554" spans="1:9" x14ac:dyDescent="0.25">
      <c r="A554" t="s">
        <v>94</v>
      </c>
      <c r="B554" t="s">
        <v>106</v>
      </c>
      <c r="C554" t="s">
        <v>95</v>
      </c>
      <c r="D554" t="s">
        <v>79</v>
      </c>
      <c r="E554" t="s">
        <v>44</v>
      </c>
      <c r="F554" s="6">
        <v>0.66666666666666663</v>
      </c>
      <c r="G554">
        <v>38</v>
      </c>
      <c r="H554" s="6">
        <f>FLOOR(tblPivotData[[#This Row],[Time]],Summary!$B$6/1440)</f>
        <v>0.66666666666666663</v>
      </c>
      <c r="I554" s="49">
        <f>INDEX(PeakCalc!$L$10:$L$303,MATCH(tblPivotData[[#This Row],[Time]],PeakCalc!$G$10:$G$303,0))</f>
        <v>0</v>
      </c>
    </row>
    <row r="555" spans="1:9" x14ac:dyDescent="0.25">
      <c r="A555" t="s">
        <v>94</v>
      </c>
      <c r="B555" t="s">
        <v>106</v>
      </c>
      <c r="C555" t="s">
        <v>95</v>
      </c>
      <c r="D555" t="s">
        <v>79</v>
      </c>
      <c r="E555" t="s">
        <v>44</v>
      </c>
      <c r="F555" s="6">
        <v>0.67708333333333337</v>
      </c>
      <c r="G555">
        <v>53</v>
      </c>
      <c r="H555" s="6">
        <f>FLOOR(tblPivotData[[#This Row],[Time]],Summary!$B$6/1440)</f>
        <v>0.67708333333333326</v>
      </c>
      <c r="I555" s="49">
        <f>INDEX(PeakCalc!$L$10:$L$303,MATCH(tblPivotData[[#This Row],[Time]],PeakCalc!$G$10:$G$303,0))</f>
        <v>0</v>
      </c>
    </row>
    <row r="556" spans="1:9" x14ac:dyDescent="0.25">
      <c r="A556" t="s">
        <v>94</v>
      </c>
      <c r="B556" t="s">
        <v>106</v>
      </c>
      <c r="C556" t="s">
        <v>95</v>
      </c>
      <c r="D556" t="s">
        <v>79</v>
      </c>
      <c r="E556" t="s">
        <v>44</v>
      </c>
      <c r="F556" s="6">
        <v>0.6875</v>
      </c>
      <c r="G556">
        <v>63</v>
      </c>
      <c r="H556" s="6">
        <f>FLOOR(tblPivotData[[#This Row],[Time]],Summary!$B$6/1440)</f>
        <v>0.6875</v>
      </c>
      <c r="I556" s="49">
        <f>INDEX(PeakCalc!$L$10:$L$303,MATCH(tblPivotData[[#This Row],[Time]],PeakCalc!$G$10:$G$303,0))</f>
        <v>1</v>
      </c>
    </row>
    <row r="557" spans="1:9" x14ac:dyDescent="0.25">
      <c r="A557" t="s">
        <v>94</v>
      </c>
      <c r="B557" t="s">
        <v>106</v>
      </c>
      <c r="C557" t="s">
        <v>95</v>
      </c>
      <c r="D557" t="s">
        <v>79</v>
      </c>
      <c r="E557" t="s">
        <v>44</v>
      </c>
      <c r="F557" s="6">
        <v>0.69791666666666663</v>
      </c>
      <c r="G557">
        <v>68</v>
      </c>
      <c r="H557" s="6">
        <f>FLOOR(tblPivotData[[#This Row],[Time]],Summary!$B$6/1440)</f>
        <v>0.69791666666666663</v>
      </c>
      <c r="I557" s="49">
        <f>INDEX(PeakCalc!$L$10:$L$303,MATCH(tblPivotData[[#This Row],[Time]],PeakCalc!$G$10:$G$303,0))</f>
        <v>1</v>
      </c>
    </row>
    <row r="558" spans="1:9" x14ac:dyDescent="0.25">
      <c r="A558" t="s">
        <v>94</v>
      </c>
      <c r="B558" t="s">
        <v>106</v>
      </c>
      <c r="C558" t="s">
        <v>95</v>
      </c>
      <c r="D558" t="s">
        <v>79</v>
      </c>
      <c r="E558" t="s">
        <v>44</v>
      </c>
      <c r="F558" s="6">
        <v>0.70833333333333337</v>
      </c>
      <c r="G558">
        <v>65</v>
      </c>
      <c r="H558" s="6">
        <f>FLOOR(tblPivotData[[#This Row],[Time]],Summary!$B$6/1440)</f>
        <v>0.70833333333333326</v>
      </c>
      <c r="I558" s="49">
        <f>INDEX(PeakCalc!$L$10:$L$303,MATCH(tblPivotData[[#This Row],[Time]],PeakCalc!$G$10:$G$303,0))</f>
        <v>1</v>
      </c>
    </row>
    <row r="559" spans="1:9" x14ac:dyDescent="0.25">
      <c r="A559" t="s">
        <v>94</v>
      </c>
      <c r="B559" t="s">
        <v>106</v>
      </c>
      <c r="C559" t="s">
        <v>95</v>
      </c>
      <c r="D559" t="s">
        <v>79</v>
      </c>
      <c r="E559" t="s">
        <v>44</v>
      </c>
      <c r="F559" s="6">
        <v>0.71875</v>
      </c>
      <c r="G559">
        <v>78</v>
      </c>
      <c r="H559" s="6">
        <f>FLOOR(tblPivotData[[#This Row],[Time]],Summary!$B$6/1440)</f>
        <v>0.71875</v>
      </c>
      <c r="I559" s="49">
        <f>INDEX(PeakCalc!$L$10:$L$303,MATCH(tblPivotData[[#This Row],[Time]],PeakCalc!$G$10:$G$303,0))</f>
        <v>1</v>
      </c>
    </row>
    <row r="560" spans="1:9" x14ac:dyDescent="0.25">
      <c r="A560" t="s">
        <v>94</v>
      </c>
      <c r="B560" t="s">
        <v>106</v>
      </c>
      <c r="C560" t="s">
        <v>95</v>
      </c>
      <c r="D560" t="s">
        <v>79</v>
      </c>
      <c r="E560" t="s">
        <v>44</v>
      </c>
      <c r="F560" s="6">
        <v>0.72916666666666663</v>
      </c>
      <c r="G560">
        <v>54</v>
      </c>
      <c r="H560" s="6">
        <f>FLOOR(tblPivotData[[#This Row],[Time]],Summary!$B$6/1440)</f>
        <v>0.72916666666666663</v>
      </c>
      <c r="I560" s="49">
        <f>INDEX(PeakCalc!$L$10:$L$303,MATCH(tblPivotData[[#This Row],[Time]],PeakCalc!$G$10:$G$303,0))</f>
        <v>0</v>
      </c>
    </row>
    <row r="561" spans="1:9" x14ac:dyDescent="0.25">
      <c r="A561" t="s">
        <v>94</v>
      </c>
      <c r="B561" t="s">
        <v>106</v>
      </c>
      <c r="C561" t="s">
        <v>95</v>
      </c>
      <c r="D561" t="s">
        <v>79</v>
      </c>
      <c r="E561" t="s">
        <v>44</v>
      </c>
      <c r="F561" s="6">
        <v>0.73958333333333337</v>
      </c>
      <c r="G561">
        <v>35</v>
      </c>
      <c r="H561" s="6">
        <f>FLOOR(tblPivotData[[#This Row],[Time]],Summary!$B$6/1440)</f>
        <v>0.73958333333333326</v>
      </c>
      <c r="I561" s="49">
        <f>INDEX(PeakCalc!$L$10:$L$303,MATCH(tblPivotData[[#This Row],[Time]],PeakCalc!$G$10:$G$303,0))</f>
        <v>0</v>
      </c>
    </row>
    <row r="562" spans="1:9" x14ac:dyDescent="0.25">
      <c r="A562" t="s">
        <v>94</v>
      </c>
      <c r="B562" t="s">
        <v>106</v>
      </c>
      <c r="C562" t="s">
        <v>95</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94</v>
      </c>
      <c r="B563" t="s">
        <v>106</v>
      </c>
      <c r="C563" t="s">
        <v>95</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94</v>
      </c>
      <c r="B564" t="s">
        <v>106</v>
      </c>
      <c r="C564" t="s">
        <v>95</v>
      </c>
      <c r="D564" t="s">
        <v>89</v>
      </c>
      <c r="E564" t="s">
        <v>43</v>
      </c>
      <c r="F564" s="6">
        <v>0.3125</v>
      </c>
      <c r="G564">
        <v>1</v>
      </c>
      <c r="H564" s="6">
        <f>FLOOR(tblPivotData[[#This Row],[Time]],Summary!$B$6/1440)</f>
        <v>0.3125</v>
      </c>
      <c r="I564" s="49">
        <f>INDEX(PeakCalc!$L$10:$L$303,MATCH(tblPivotData[[#This Row],[Time]],PeakCalc!$G$10:$G$303,0))</f>
        <v>0</v>
      </c>
    </row>
    <row r="565" spans="1:9" x14ac:dyDescent="0.25">
      <c r="A565" t="s">
        <v>94</v>
      </c>
      <c r="B565" t="s">
        <v>106</v>
      </c>
      <c r="C565" t="s">
        <v>95</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94</v>
      </c>
      <c r="B566" t="s">
        <v>106</v>
      </c>
      <c r="C566" t="s">
        <v>95</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94</v>
      </c>
      <c r="B567" t="s">
        <v>106</v>
      </c>
      <c r="C567" t="s">
        <v>95</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94</v>
      </c>
      <c r="B568" t="s">
        <v>106</v>
      </c>
      <c r="C568" t="s">
        <v>95</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94</v>
      </c>
      <c r="B569" t="s">
        <v>106</v>
      </c>
      <c r="C569" t="s">
        <v>95</v>
      </c>
      <c r="D569" t="s">
        <v>89</v>
      </c>
      <c r="E569" t="s">
        <v>43</v>
      </c>
      <c r="F569" s="6">
        <v>0.36458333333333331</v>
      </c>
      <c r="G569">
        <v>2</v>
      </c>
      <c r="H569" s="6">
        <f>FLOOR(tblPivotData[[#This Row],[Time]],Summary!$B$6/1440)</f>
        <v>0.36458333333333331</v>
      </c>
      <c r="I569" s="49">
        <f>INDEX(PeakCalc!$L$10:$L$303,MATCH(tblPivotData[[#This Row],[Time]],PeakCalc!$G$10:$G$303,0))</f>
        <v>1</v>
      </c>
    </row>
    <row r="570" spans="1:9" x14ac:dyDescent="0.25">
      <c r="A570" t="s">
        <v>94</v>
      </c>
      <c r="B570" t="s">
        <v>106</v>
      </c>
      <c r="C570" t="s">
        <v>95</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94</v>
      </c>
      <c r="B571" t="s">
        <v>106</v>
      </c>
      <c r="C571" t="s">
        <v>95</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94</v>
      </c>
      <c r="B572" t="s">
        <v>106</v>
      </c>
      <c r="C572" t="s">
        <v>95</v>
      </c>
      <c r="D572" t="s">
        <v>89</v>
      </c>
      <c r="E572" t="s">
        <v>90</v>
      </c>
      <c r="F572" s="6">
        <v>0.5625</v>
      </c>
      <c r="G572">
        <v>1</v>
      </c>
      <c r="H572" s="6">
        <f>FLOOR(tblPivotData[[#This Row],[Time]],Summary!$B$6/1440)</f>
        <v>0.5625</v>
      </c>
      <c r="I572" s="49">
        <f>INDEX(PeakCalc!$L$10:$L$303,MATCH(tblPivotData[[#This Row],[Time]],PeakCalc!$G$10:$G$303,0))</f>
        <v>1</v>
      </c>
    </row>
    <row r="573" spans="1:9" x14ac:dyDescent="0.25">
      <c r="A573" t="s">
        <v>94</v>
      </c>
      <c r="B573" t="s">
        <v>106</v>
      </c>
      <c r="C573" t="s">
        <v>95</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94</v>
      </c>
      <c r="B574" t="s">
        <v>106</v>
      </c>
      <c r="C574" t="s">
        <v>95</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94</v>
      </c>
      <c r="B575" t="s">
        <v>106</v>
      </c>
      <c r="C575" t="s">
        <v>95</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94</v>
      </c>
      <c r="B576" t="s">
        <v>106</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94</v>
      </c>
      <c r="B577" t="s">
        <v>106</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94</v>
      </c>
      <c r="B578" t="s">
        <v>106</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94</v>
      </c>
      <c r="B579" t="s">
        <v>106</v>
      </c>
      <c r="C579" t="s">
        <v>95</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94</v>
      </c>
      <c r="B580" t="s">
        <v>106</v>
      </c>
      <c r="C580" t="s">
        <v>95</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94</v>
      </c>
      <c r="B581" t="s">
        <v>106</v>
      </c>
      <c r="C581" t="s">
        <v>95</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94</v>
      </c>
      <c r="B582" t="s">
        <v>106</v>
      </c>
      <c r="C582" t="s">
        <v>95</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94</v>
      </c>
      <c r="B583" t="s">
        <v>106</v>
      </c>
      <c r="C583" t="s">
        <v>95</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94</v>
      </c>
      <c r="B584" t="s">
        <v>106</v>
      </c>
      <c r="C584" t="s">
        <v>95</v>
      </c>
      <c r="D584" t="s">
        <v>91</v>
      </c>
      <c r="E584" t="s">
        <v>43</v>
      </c>
      <c r="F584" s="6">
        <v>0.3125</v>
      </c>
      <c r="G584">
        <v>0</v>
      </c>
      <c r="H584" s="6">
        <f>FLOOR(tblPivotData[[#This Row],[Time]],Summary!$B$6/1440)</f>
        <v>0.3125</v>
      </c>
      <c r="I584" s="49">
        <f>INDEX(PeakCalc!$L$10:$L$303,MATCH(tblPivotData[[#This Row],[Time]],PeakCalc!$G$10:$G$303,0))</f>
        <v>0</v>
      </c>
    </row>
    <row r="585" spans="1:9" x14ac:dyDescent="0.25">
      <c r="A585" t="s">
        <v>94</v>
      </c>
      <c r="B585" t="s">
        <v>106</v>
      </c>
      <c r="C585" t="s">
        <v>95</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94</v>
      </c>
      <c r="B586" t="s">
        <v>106</v>
      </c>
      <c r="C586" t="s">
        <v>95</v>
      </c>
      <c r="D586" t="s">
        <v>91</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94</v>
      </c>
      <c r="B587" t="s">
        <v>106</v>
      </c>
      <c r="C587" t="s">
        <v>95</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94</v>
      </c>
      <c r="B588" t="s">
        <v>106</v>
      </c>
      <c r="C588" t="s">
        <v>95</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94</v>
      </c>
      <c r="B589" t="s">
        <v>106</v>
      </c>
      <c r="C589" t="s">
        <v>95</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94</v>
      </c>
      <c r="B590" t="s">
        <v>106</v>
      </c>
      <c r="C590" t="s">
        <v>95</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94</v>
      </c>
      <c r="B591" t="s">
        <v>106</v>
      </c>
      <c r="C591" t="s">
        <v>95</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94</v>
      </c>
      <c r="B592" t="s">
        <v>106</v>
      </c>
      <c r="C592" t="s">
        <v>95</v>
      </c>
      <c r="D592" t="s">
        <v>91</v>
      </c>
      <c r="E592" t="s">
        <v>90</v>
      </c>
      <c r="F592" s="6">
        <v>0.5625</v>
      </c>
      <c r="G592">
        <v>1</v>
      </c>
      <c r="H592" s="6">
        <f>FLOOR(tblPivotData[[#This Row],[Time]],Summary!$B$6/1440)</f>
        <v>0.5625</v>
      </c>
      <c r="I592" s="49">
        <f>INDEX(PeakCalc!$L$10:$L$303,MATCH(tblPivotData[[#This Row],[Time]],PeakCalc!$G$10:$G$303,0))</f>
        <v>1</v>
      </c>
    </row>
    <row r="593" spans="1:9" x14ac:dyDescent="0.25">
      <c r="A593" t="s">
        <v>94</v>
      </c>
      <c r="B593" t="s">
        <v>106</v>
      </c>
      <c r="C593" t="s">
        <v>95</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94</v>
      </c>
      <c r="B594" t="s">
        <v>106</v>
      </c>
      <c r="C594" t="s">
        <v>95</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94</v>
      </c>
      <c r="B595" t="s">
        <v>106</v>
      </c>
      <c r="C595" t="s">
        <v>95</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94</v>
      </c>
      <c r="B596" t="s">
        <v>106</v>
      </c>
      <c r="C596" t="s">
        <v>95</v>
      </c>
      <c r="D596" t="s">
        <v>91</v>
      </c>
      <c r="E596" t="s">
        <v>44</v>
      </c>
      <c r="F596" s="6">
        <v>0.6875</v>
      </c>
      <c r="G596">
        <v>0</v>
      </c>
      <c r="H596" s="6">
        <f>FLOOR(tblPivotData[[#This Row],[Time]],Summary!$B$6/1440)</f>
        <v>0.6875</v>
      </c>
      <c r="I596" s="49">
        <f>INDEX(PeakCalc!$L$10:$L$303,MATCH(tblPivotData[[#This Row],[Time]],PeakCalc!$G$10:$G$303,0))</f>
        <v>1</v>
      </c>
    </row>
    <row r="597" spans="1:9" x14ac:dyDescent="0.25">
      <c r="A597" t="s">
        <v>94</v>
      </c>
      <c r="B597" t="s">
        <v>106</v>
      </c>
      <c r="C597" t="s">
        <v>95</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94</v>
      </c>
      <c r="B598" t="s">
        <v>106</v>
      </c>
      <c r="C598" t="s">
        <v>95</v>
      </c>
      <c r="D598" t="s">
        <v>91</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94</v>
      </c>
      <c r="B599" t="s">
        <v>106</v>
      </c>
      <c r="C599" t="s">
        <v>95</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94</v>
      </c>
      <c r="B600" t="s">
        <v>106</v>
      </c>
      <c r="C600" t="s">
        <v>95</v>
      </c>
      <c r="D600" t="s">
        <v>91</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94</v>
      </c>
      <c r="B601" t="s">
        <v>106</v>
      </c>
      <c r="C601" t="s">
        <v>95</v>
      </c>
      <c r="D601" t="s">
        <v>91</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94</v>
      </c>
      <c r="B602" t="s">
        <v>107</v>
      </c>
      <c r="C602" t="s">
        <v>96</v>
      </c>
      <c r="D602" t="s">
        <v>79</v>
      </c>
      <c r="E602" t="s">
        <v>43</v>
      </c>
      <c r="F602" s="6">
        <v>0.29166666666666669</v>
      </c>
      <c r="G602">
        <v>42</v>
      </c>
      <c r="H602" s="6">
        <f>FLOOR(tblPivotData[[#This Row],[Time]],Summary!$B$6/1440)</f>
        <v>0.29166666666666663</v>
      </c>
      <c r="I602" s="49">
        <f>INDEX(PeakCalc!$L$10:$L$303,MATCH(tblPivotData[[#This Row],[Time]],PeakCalc!$G$10:$G$303,0))</f>
        <v>0</v>
      </c>
    </row>
    <row r="603" spans="1:9" x14ac:dyDescent="0.25">
      <c r="A603" t="s">
        <v>94</v>
      </c>
      <c r="B603" t="s">
        <v>107</v>
      </c>
      <c r="C603" t="s">
        <v>96</v>
      </c>
      <c r="D603" t="s">
        <v>79</v>
      </c>
      <c r="E603" t="s">
        <v>43</v>
      </c>
      <c r="F603" s="6">
        <v>0.30208333333333331</v>
      </c>
      <c r="G603">
        <v>50</v>
      </c>
      <c r="H603" s="6">
        <f>FLOOR(tblPivotData[[#This Row],[Time]],Summary!$B$6/1440)</f>
        <v>0.30208333333333331</v>
      </c>
      <c r="I603" s="49">
        <f>INDEX(PeakCalc!$L$10:$L$303,MATCH(tblPivotData[[#This Row],[Time]],PeakCalc!$G$10:$G$303,0))</f>
        <v>0</v>
      </c>
    </row>
    <row r="604" spans="1:9" x14ac:dyDescent="0.25">
      <c r="A604" t="s">
        <v>94</v>
      </c>
      <c r="B604" t="s">
        <v>107</v>
      </c>
      <c r="C604" t="s">
        <v>96</v>
      </c>
      <c r="D604" t="s">
        <v>79</v>
      </c>
      <c r="E604" t="s">
        <v>43</v>
      </c>
      <c r="F604" s="6">
        <v>0.3125</v>
      </c>
      <c r="G604">
        <v>69</v>
      </c>
      <c r="H604" s="6">
        <f>FLOOR(tblPivotData[[#This Row],[Time]],Summary!$B$6/1440)</f>
        <v>0.3125</v>
      </c>
      <c r="I604" s="49">
        <f>INDEX(PeakCalc!$L$10:$L$303,MATCH(tblPivotData[[#This Row],[Time]],PeakCalc!$G$10:$G$303,0))</f>
        <v>0</v>
      </c>
    </row>
    <row r="605" spans="1:9" x14ac:dyDescent="0.25">
      <c r="A605" t="s">
        <v>94</v>
      </c>
      <c r="B605" t="s">
        <v>107</v>
      </c>
      <c r="C605" t="s">
        <v>96</v>
      </c>
      <c r="D605" t="s">
        <v>79</v>
      </c>
      <c r="E605" t="s">
        <v>43</v>
      </c>
      <c r="F605" s="6">
        <v>0.32291666666666669</v>
      </c>
      <c r="G605">
        <v>73</v>
      </c>
      <c r="H605" s="6">
        <f>FLOOR(tblPivotData[[#This Row],[Time]],Summary!$B$6/1440)</f>
        <v>0.32291666666666663</v>
      </c>
      <c r="I605" s="49">
        <f>INDEX(PeakCalc!$L$10:$L$303,MATCH(tblPivotData[[#This Row],[Time]],PeakCalc!$G$10:$G$303,0))</f>
        <v>0</v>
      </c>
    </row>
    <row r="606" spans="1:9" x14ac:dyDescent="0.25">
      <c r="A606" t="s">
        <v>94</v>
      </c>
      <c r="B606" t="s">
        <v>107</v>
      </c>
      <c r="C606" t="s">
        <v>96</v>
      </c>
      <c r="D606" t="s">
        <v>79</v>
      </c>
      <c r="E606" t="s">
        <v>43</v>
      </c>
      <c r="F606" s="6">
        <v>0.33333333333333331</v>
      </c>
      <c r="G606">
        <v>76</v>
      </c>
      <c r="H606" s="6">
        <f>FLOOR(tblPivotData[[#This Row],[Time]],Summary!$B$6/1440)</f>
        <v>0.33333333333333331</v>
      </c>
      <c r="I606" s="49">
        <f>INDEX(PeakCalc!$L$10:$L$303,MATCH(tblPivotData[[#This Row],[Time]],PeakCalc!$G$10:$G$303,0))</f>
        <v>1</v>
      </c>
    </row>
    <row r="607" spans="1:9" x14ac:dyDescent="0.25">
      <c r="A607" t="s">
        <v>94</v>
      </c>
      <c r="B607" t="s">
        <v>107</v>
      </c>
      <c r="C607" t="s">
        <v>96</v>
      </c>
      <c r="D607" t="s">
        <v>79</v>
      </c>
      <c r="E607" t="s">
        <v>43</v>
      </c>
      <c r="F607" s="6">
        <v>0.34375</v>
      </c>
      <c r="G607">
        <v>99</v>
      </c>
      <c r="H607" s="6">
        <f>FLOOR(tblPivotData[[#This Row],[Time]],Summary!$B$6/1440)</f>
        <v>0.34375</v>
      </c>
      <c r="I607" s="49">
        <f>INDEX(PeakCalc!$L$10:$L$303,MATCH(tblPivotData[[#This Row],[Time]],PeakCalc!$G$10:$G$303,0))</f>
        <v>1</v>
      </c>
    </row>
    <row r="608" spans="1:9" x14ac:dyDescent="0.25">
      <c r="A608" t="s">
        <v>94</v>
      </c>
      <c r="B608" t="s">
        <v>107</v>
      </c>
      <c r="C608" t="s">
        <v>96</v>
      </c>
      <c r="D608" t="s">
        <v>79</v>
      </c>
      <c r="E608" t="s">
        <v>43</v>
      </c>
      <c r="F608" s="6">
        <v>0.35416666666666669</v>
      </c>
      <c r="G608">
        <v>96</v>
      </c>
      <c r="H608" s="6">
        <f>FLOOR(tblPivotData[[#This Row],[Time]],Summary!$B$6/1440)</f>
        <v>0.35416666666666663</v>
      </c>
      <c r="I608" s="49">
        <f>INDEX(PeakCalc!$L$10:$L$303,MATCH(tblPivotData[[#This Row],[Time]],PeakCalc!$G$10:$G$303,0))</f>
        <v>1</v>
      </c>
    </row>
    <row r="609" spans="1:9" x14ac:dyDescent="0.25">
      <c r="A609" t="s">
        <v>94</v>
      </c>
      <c r="B609" t="s">
        <v>107</v>
      </c>
      <c r="C609" t="s">
        <v>96</v>
      </c>
      <c r="D609" t="s">
        <v>79</v>
      </c>
      <c r="E609" t="s">
        <v>43</v>
      </c>
      <c r="F609" s="6">
        <v>0.36458333333333331</v>
      </c>
      <c r="G609">
        <v>105</v>
      </c>
      <c r="H609" s="6">
        <f>FLOOR(tblPivotData[[#This Row],[Time]],Summary!$B$6/1440)</f>
        <v>0.36458333333333331</v>
      </c>
      <c r="I609" s="49">
        <f>INDEX(PeakCalc!$L$10:$L$303,MATCH(tblPivotData[[#This Row],[Time]],PeakCalc!$G$10:$G$303,0))</f>
        <v>1</v>
      </c>
    </row>
    <row r="610" spans="1:9" x14ac:dyDescent="0.25">
      <c r="A610" t="s">
        <v>94</v>
      </c>
      <c r="B610" t="s">
        <v>107</v>
      </c>
      <c r="C610" t="s">
        <v>96</v>
      </c>
      <c r="D610" t="s">
        <v>79</v>
      </c>
      <c r="E610" t="s">
        <v>90</v>
      </c>
      <c r="F610" s="6">
        <v>0.54166666666666663</v>
      </c>
      <c r="G610">
        <v>88</v>
      </c>
      <c r="H610" s="6">
        <f>FLOOR(tblPivotData[[#This Row],[Time]],Summary!$B$6/1440)</f>
        <v>0.54166666666666663</v>
      </c>
      <c r="I610" s="49">
        <f>INDEX(PeakCalc!$L$10:$L$303,MATCH(tblPivotData[[#This Row],[Time]],PeakCalc!$G$10:$G$303,0))</f>
        <v>1</v>
      </c>
    </row>
    <row r="611" spans="1:9" x14ac:dyDescent="0.25">
      <c r="A611" t="s">
        <v>94</v>
      </c>
      <c r="B611" t="s">
        <v>107</v>
      </c>
      <c r="C611" t="s">
        <v>96</v>
      </c>
      <c r="D611" t="s">
        <v>79</v>
      </c>
      <c r="E611" t="s">
        <v>90</v>
      </c>
      <c r="F611" s="6">
        <v>0.55208333333333337</v>
      </c>
      <c r="G611">
        <v>66</v>
      </c>
      <c r="H611" s="6">
        <f>FLOOR(tblPivotData[[#This Row],[Time]],Summary!$B$6/1440)</f>
        <v>0.55208333333333326</v>
      </c>
      <c r="I611" s="49">
        <f>INDEX(PeakCalc!$L$10:$L$303,MATCH(tblPivotData[[#This Row],[Time]],PeakCalc!$G$10:$G$303,0))</f>
        <v>1</v>
      </c>
    </row>
    <row r="612" spans="1:9" x14ac:dyDescent="0.25">
      <c r="A612" t="s">
        <v>94</v>
      </c>
      <c r="B612" t="s">
        <v>107</v>
      </c>
      <c r="C612" t="s">
        <v>96</v>
      </c>
      <c r="D612" t="s">
        <v>79</v>
      </c>
      <c r="E612" t="s">
        <v>90</v>
      </c>
      <c r="F612" s="6">
        <v>0.5625</v>
      </c>
      <c r="G612">
        <v>111</v>
      </c>
      <c r="H612" s="6">
        <f>FLOOR(tblPivotData[[#This Row],[Time]],Summary!$B$6/1440)</f>
        <v>0.5625</v>
      </c>
      <c r="I612" s="49">
        <f>INDEX(PeakCalc!$L$10:$L$303,MATCH(tblPivotData[[#This Row],[Time]],PeakCalc!$G$10:$G$303,0))</f>
        <v>1</v>
      </c>
    </row>
    <row r="613" spans="1:9" x14ac:dyDescent="0.25">
      <c r="A613" t="s">
        <v>94</v>
      </c>
      <c r="B613" t="s">
        <v>107</v>
      </c>
      <c r="C613" t="s">
        <v>96</v>
      </c>
      <c r="D613" t="s">
        <v>79</v>
      </c>
      <c r="E613" t="s">
        <v>90</v>
      </c>
      <c r="F613" s="6">
        <v>0.57291666666666663</v>
      </c>
      <c r="G613">
        <v>93</v>
      </c>
      <c r="H613" s="6">
        <f>FLOOR(tblPivotData[[#This Row],[Time]],Summary!$B$6/1440)</f>
        <v>0.57291666666666663</v>
      </c>
      <c r="I613" s="49">
        <f>INDEX(PeakCalc!$L$10:$L$303,MATCH(tblPivotData[[#This Row],[Time]],PeakCalc!$G$10:$G$303,0))</f>
        <v>1</v>
      </c>
    </row>
    <row r="614" spans="1:9" x14ac:dyDescent="0.25">
      <c r="A614" t="s">
        <v>94</v>
      </c>
      <c r="B614" t="s">
        <v>107</v>
      </c>
      <c r="C614" t="s">
        <v>96</v>
      </c>
      <c r="D614" t="s">
        <v>79</v>
      </c>
      <c r="E614" t="s">
        <v>44</v>
      </c>
      <c r="F614" s="6">
        <v>0.66666666666666663</v>
      </c>
      <c r="G614">
        <v>130</v>
      </c>
      <c r="H614" s="6">
        <f>FLOOR(tblPivotData[[#This Row],[Time]],Summary!$B$6/1440)</f>
        <v>0.66666666666666663</v>
      </c>
      <c r="I614" s="49">
        <f>INDEX(PeakCalc!$L$10:$L$303,MATCH(tblPivotData[[#This Row],[Time]],PeakCalc!$G$10:$G$303,0))</f>
        <v>0</v>
      </c>
    </row>
    <row r="615" spans="1:9" x14ac:dyDescent="0.25">
      <c r="A615" t="s">
        <v>94</v>
      </c>
      <c r="B615" t="s">
        <v>107</v>
      </c>
      <c r="C615" t="s">
        <v>96</v>
      </c>
      <c r="D615" t="s">
        <v>79</v>
      </c>
      <c r="E615" t="s">
        <v>44</v>
      </c>
      <c r="F615" s="6">
        <v>0.67708333333333337</v>
      </c>
      <c r="G615">
        <v>148</v>
      </c>
      <c r="H615" s="6">
        <f>FLOOR(tblPivotData[[#This Row],[Time]],Summary!$B$6/1440)</f>
        <v>0.67708333333333326</v>
      </c>
      <c r="I615" s="49">
        <f>INDEX(PeakCalc!$L$10:$L$303,MATCH(tblPivotData[[#This Row],[Time]],PeakCalc!$G$10:$G$303,0))</f>
        <v>0</v>
      </c>
    </row>
    <row r="616" spans="1:9" x14ac:dyDescent="0.25">
      <c r="A616" t="s">
        <v>94</v>
      </c>
      <c r="B616" t="s">
        <v>107</v>
      </c>
      <c r="C616" t="s">
        <v>96</v>
      </c>
      <c r="D616" t="s">
        <v>79</v>
      </c>
      <c r="E616" t="s">
        <v>44</v>
      </c>
      <c r="F616" s="6">
        <v>0.6875</v>
      </c>
      <c r="G616">
        <v>146</v>
      </c>
      <c r="H616" s="6">
        <f>FLOOR(tblPivotData[[#This Row],[Time]],Summary!$B$6/1440)</f>
        <v>0.6875</v>
      </c>
      <c r="I616" s="49">
        <f>INDEX(PeakCalc!$L$10:$L$303,MATCH(tblPivotData[[#This Row],[Time]],PeakCalc!$G$10:$G$303,0))</f>
        <v>1</v>
      </c>
    </row>
    <row r="617" spans="1:9" x14ac:dyDescent="0.25">
      <c r="A617" t="s">
        <v>94</v>
      </c>
      <c r="B617" t="s">
        <v>107</v>
      </c>
      <c r="C617" t="s">
        <v>96</v>
      </c>
      <c r="D617" t="s">
        <v>79</v>
      </c>
      <c r="E617" t="s">
        <v>44</v>
      </c>
      <c r="F617" s="6">
        <v>0.69791666666666663</v>
      </c>
      <c r="G617">
        <v>169</v>
      </c>
      <c r="H617" s="6">
        <f>FLOOR(tblPivotData[[#This Row],[Time]],Summary!$B$6/1440)</f>
        <v>0.69791666666666663</v>
      </c>
      <c r="I617" s="49">
        <f>INDEX(PeakCalc!$L$10:$L$303,MATCH(tblPivotData[[#This Row],[Time]],PeakCalc!$G$10:$G$303,0))</f>
        <v>1</v>
      </c>
    </row>
    <row r="618" spans="1:9" x14ac:dyDescent="0.25">
      <c r="A618" t="s">
        <v>94</v>
      </c>
      <c r="B618" t="s">
        <v>107</v>
      </c>
      <c r="C618" t="s">
        <v>96</v>
      </c>
      <c r="D618" t="s">
        <v>79</v>
      </c>
      <c r="E618" t="s">
        <v>44</v>
      </c>
      <c r="F618" s="6">
        <v>0.70833333333333337</v>
      </c>
      <c r="G618">
        <v>200</v>
      </c>
      <c r="H618" s="6">
        <f>FLOOR(tblPivotData[[#This Row],[Time]],Summary!$B$6/1440)</f>
        <v>0.70833333333333326</v>
      </c>
      <c r="I618" s="49">
        <f>INDEX(PeakCalc!$L$10:$L$303,MATCH(tblPivotData[[#This Row],[Time]],PeakCalc!$G$10:$G$303,0))</f>
        <v>1</v>
      </c>
    </row>
    <row r="619" spans="1:9" x14ac:dyDescent="0.25">
      <c r="A619" t="s">
        <v>94</v>
      </c>
      <c r="B619" t="s">
        <v>107</v>
      </c>
      <c r="C619" t="s">
        <v>96</v>
      </c>
      <c r="D619" t="s">
        <v>79</v>
      </c>
      <c r="E619" t="s">
        <v>44</v>
      </c>
      <c r="F619" s="6">
        <v>0.71875</v>
      </c>
      <c r="G619">
        <v>196</v>
      </c>
      <c r="H619" s="6">
        <f>FLOOR(tblPivotData[[#This Row],[Time]],Summary!$B$6/1440)</f>
        <v>0.71875</v>
      </c>
      <c r="I619" s="49">
        <f>INDEX(PeakCalc!$L$10:$L$303,MATCH(tblPivotData[[#This Row],[Time]],PeakCalc!$G$10:$G$303,0))</f>
        <v>1</v>
      </c>
    </row>
    <row r="620" spans="1:9" x14ac:dyDescent="0.25">
      <c r="A620" t="s">
        <v>94</v>
      </c>
      <c r="B620" t="s">
        <v>107</v>
      </c>
      <c r="C620" t="s">
        <v>96</v>
      </c>
      <c r="D620" t="s">
        <v>79</v>
      </c>
      <c r="E620" t="s">
        <v>44</v>
      </c>
      <c r="F620" s="6">
        <v>0.72916666666666663</v>
      </c>
      <c r="G620">
        <v>139</v>
      </c>
      <c r="H620" s="6">
        <f>FLOOR(tblPivotData[[#This Row],[Time]],Summary!$B$6/1440)</f>
        <v>0.72916666666666663</v>
      </c>
      <c r="I620" s="49">
        <f>INDEX(PeakCalc!$L$10:$L$303,MATCH(tblPivotData[[#This Row],[Time]],PeakCalc!$G$10:$G$303,0))</f>
        <v>0</v>
      </c>
    </row>
    <row r="621" spans="1:9" x14ac:dyDescent="0.25">
      <c r="A621" t="s">
        <v>94</v>
      </c>
      <c r="B621" t="s">
        <v>107</v>
      </c>
      <c r="C621" t="s">
        <v>96</v>
      </c>
      <c r="D621" t="s">
        <v>79</v>
      </c>
      <c r="E621" t="s">
        <v>44</v>
      </c>
      <c r="F621" s="6">
        <v>0.73958333333333337</v>
      </c>
      <c r="G621">
        <v>126</v>
      </c>
      <c r="H621" s="6">
        <f>FLOOR(tblPivotData[[#This Row],[Time]],Summary!$B$6/1440)</f>
        <v>0.73958333333333326</v>
      </c>
      <c r="I621" s="49">
        <f>INDEX(PeakCalc!$L$10:$L$303,MATCH(tblPivotData[[#This Row],[Time]],PeakCalc!$G$10:$G$303,0))</f>
        <v>0</v>
      </c>
    </row>
    <row r="622" spans="1:9" x14ac:dyDescent="0.25">
      <c r="A622" t="s">
        <v>94</v>
      </c>
      <c r="B622" t="s">
        <v>107</v>
      </c>
      <c r="C622" t="s">
        <v>96</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94</v>
      </c>
      <c r="B623" t="s">
        <v>107</v>
      </c>
      <c r="C623" t="s">
        <v>96</v>
      </c>
      <c r="D623" t="s">
        <v>89</v>
      </c>
      <c r="E623" t="s">
        <v>43</v>
      </c>
      <c r="F623" s="6">
        <v>0.30208333333333331</v>
      </c>
      <c r="G623">
        <v>4</v>
      </c>
      <c r="H623" s="6">
        <f>FLOOR(tblPivotData[[#This Row],[Time]],Summary!$B$6/1440)</f>
        <v>0.30208333333333331</v>
      </c>
      <c r="I623" s="49">
        <f>INDEX(PeakCalc!$L$10:$L$303,MATCH(tblPivotData[[#This Row],[Time]],PeakCalc!$G$10:$G$303,0))</f>
        <v>0</v>
      </c>
    </row>
    <row r="624" spans="1:9" x14ac:dyDescent="0.25">
      <c r="A624" t="s">
        <v>94</v>
      </c>
      <c r="B624" t="s">
        <v>107</v>
      </c>
      <c r="C624" t="s">
        <v>96</v>
      </c>
      <c r="D624" t="s">
        <v>89</v>
      </c>
      <c r="E624" t="s">
        <v>43</v>
      </c>
      <c r="F624" s="6">
        <v>0.3125</v>
      </c>
      <c r="G624">
        <v>4</v>
      </c>
      <c r="H624" s="6">
        <f>FLOOR(tblPivotData[[#This Row],[Time]],Summary!$B$6/1440)</f>
        <v>0.3125</v>
      </c>
      <c r="I624" s="49">
        <f>INDEX(PeakCalc!$L$10:$L$303,MATCH(tblPivotData[[#This Row],[Time]],PeakCalc!$G$10:$G$303,0))</f>
        <v>0</v>
      </c>
    </row>
    <row r="625" spans="1:9" x14ac:dyDescent="0.25">
      <c r="A625" t="s">
        <v>94</v>
      </c>
      <c r="B625" t="s">
        <v>107</v>
      </c>
      <c r="C625" t="s">
        <v>96</v>
      </c>
      <c r="D625" t="s">
        <v>89</v>
      </c>
      <c r="E625" t="s">
        <v>43</v>
      </c>
      <c r="F625" s="6">
        <v>0.32291666666666669</v>
      </c>
      <c r="G625">
        <v>8</v>
      </c>
      <c r="H625" s="6">
        <f>FLOOR(tblPivotData[[#This Row],[Time]],Summary!$B$6/1440)</f>
        <v>0.32291666666666663</v>
      </c>
      <c r="I625" s="49">
        <f>INDEX(PeakCalc!$L$10:$L$303,MATCH(tblPivotData[[#This Row],[Time]],PeakCalc!$G$10:$G$303,0))</f>
        <v>0</v>
      </c>
    </row>
    <row r="626" spans="1:9" x14ac:dyDescent="0.25">
      <c r="A626" t="s">
        <v>94</v>
      </c>
      <c r="B626" t="s">
        <v>107</v>
      </c>
      <c r="C626" t="s">
        <v>96</v>
      </c>
      <c r="D626" t="s">
        <v>89</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94</v>
      </c>
      <c r="B627" t="s">
        <v>107</v>
      </c>
      <c r="C627" t="s">
        <v>96</v>
      </c>
      <c r="D627" t="s">
        <v>89</v>
      </c>
      <c r="E627" t="s">
        <v>43</v>
      </c>
      <c r="F627" s="6">
        <v>0.34375</v>
      </c>
      <c r="G627">
        <v>8</v>
      </c>
      <c r="H627" s="6">
        <f>FLOOR(tblPivotData[[#This Row],[Time]],Summary!$B$6/1440)</f>
        <v>0.34375</v>
      </c>
      <c r="I627" s="49">
        <f>INDEX(PeakCalc!$L$10:$L$303,MATCH(tblPivotData[[#This Row],[Time]],PeakCalc!$G$10:$G$303,0))</f>
        <v>1</v>
      </c>
    </row>
    <row r="628" spans="1:9" x14ac:dyDescent="0.25">
      <c r="A628" t="s">
        <v>94</v>
      </c>
      <c r="B628" t="s">
        <v>107</v>
      </c>
      <c r="C628" t="s">
        <v>96</v>
      </c>
      <c r="D628" t="s">
        <v>89</v>
      </c>
      <c r="E628" t="s">
        <v>43</v>
      </c>
      <c r="F628" s="6">
        <v>0.35416666666666669</v>
      </c>
      <c r="G628">
        <v>7</v>
      </c>
      <c r="H628" s="6">
        <f>FLOOR(tblPivotData[[#This Row],[Time]],Summary!$B$6/1440)</f>
        <v>0.35416666666666663</v>
      </c>
      <c r="I628" s="49">
        <f>INDEX(PeakCalc!$L$10:$L$303,MATCH(tblPivotData[[#This Row],[Time]],PeakCalc!$G$10:$G$303,0))</f>
        <v>1</v>
      </c>
    </row>
    <row r="629" spans="1:9" x14ac:dyDescent="0.25">
      <c r="A629" t="s">
        <v>94</v>
      </c>
      <c r="B629" t="s">
        <v>107</v>
      </c>
      <c r="C629" t="s">
        <v>96</v>
      </c>
      <c r="D629" t="s">
        <v>89</v>
      </c>
      <c r="E629" t="s">
        <v>43</v>
      </c>
      <c r="F629" s="6">
        <v>0.36458333333333331</v>
      </c>
      <c r="G629">
        <v>6</v>
      </c>
      <c r="H629" s="6">
        <f>FLOOR(tblPivotData[[#This Row],[Time]],Summary!$B$6/1440)</f>
        <v>0.36458333333333331</v>
      </c>
      <c r="I629" s="49">
        <f>INDEX(PeakCalc!$L$10:$L$303,MATCH(tblPivotData[[#This Row],[Time]],PeakCalc!$G$10:$G$303,0))</f>
        <v>1</v>
      </c>
    </row>
    <row r="630" spans="1:9" x14ac:dyDescent="0.25">
      <c r="A630" t="s">
        <v>94</v>
      </c>
      <c r="B630" t="s">
        <v>107</v>
      </c>
      <c r="C630" t="s">
        <v>96</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94</v>
      </c>
      <c r="B631" t="s">
        <v>107</v>
      </c>
      <c r="C631" t="s">
        <v>96</v>
      </c>
      <c r="D631" t="s">
        <v>89</v>
      </c>
      <c r="E631" t="s">
        <v>90</v>
      </c>
      <c r="F631" s="6">
        <v>0.55208333333333337</v>
      </c>
      <c r="G631">
        <v>4</v>
      </c>
      <c r="H631" s="6">
        <f>FLOOR(tblPivotData[[#This Row],[Time]],Summary!$B$6/1440)</f>
        <v>0.55208333333333326</v>
      </c>
      <c r="I631" s="49">
        <f>INDEX(PeakCalc!$L$10:$L$303,MATCH(tblPivotData[[#This Row],[Time]],PeakCalc!$G$10:$G$303,0))</f>
        <v>1</v>
      </c>
    </row>
    <row r="632" spans="1:9" x14ac:dyDescent="0.25">
      <c r="A632" t="s">
        <v>94</v>
      </c>
      <c r="B632" t="s">
        <v>107</v>
      </c>
      <c r="C632" t="s">
        <v>96</v>
      </c>
      <c r="D632" t="s">
        <v>89</v>
      </c>
      <c r="E632" t="s">
        <v>90</v>
      </c>
      <c r="F632" s="6">
        <v>0.5625</v>
      </c>
      <c r="G632">
        <v>1</v>
      </c>
      <c r="H632" s="6">
        <f>FLOOR(tblPivotData[[#This Row],[Time]],Summary!$B$6/1440)</f>
        <v>0.5625</v>
      </c>
      <c r="I632" s="49">
        <f>INDEX(PeakCalc!$L$10:$L$303,MATCH(tblPivotData[[#This Row],[Time]],PeakCalc!$G$10:$G$303,0))</f>
        <v>1</v>
      </c>
    </row>
    <row r="633" spans="1:9" x14ac:dyDescent="0.25">
      <c r="A633" t="s">
        <v>94</v>
      </c>
      <c r="B633" t="s">
        <v>107</v>
      </c>
      <c r="C633" t="s">
        <v>96</v>
      </c>
      <c r="D633" t="s">
        <v>89</v>
      </c>
      <c r="E633" t="s">
        <v>90</v>
      </c>
      <c r="F633" s="6">
        <v>0.57291666666666663</v>
      </c>
      <c r="G633">
        <v>8</v>
      </c>
      <c r="H633" s="6">
        <f>FLOOR(tblPivotData[[#This Row],[Time]],Summary!$B$6/1440)</f>
        <v>0.57291666666666663</v>
      </c>
      <c r="I633" s="49">
        <f>INDEX(PeakCalc!$L$10:$L$303,MATCH(tblPivotData[[#This Row],[Time]],PeakCalc!$G$10:$G$303,0))</f>
        <v>1</v>
      </c>
    </row>
    <row r="634" spans="1:9" x14ac:dyDescent="0.25">
      <c r="A634" t="s">
        <v>94</v>
      </c>
      <c r="B634" t="s">
        <v>107</v>
      </c>
      <c r="C634" t="s">
        <v>96</v>
      </c>
      <c r="D634" t="s">
        <v>89</v>
      </c>
      <c r="E634" t="s">
        <v>44</v>
      </c>
      <c r="F634" s="6">
        <v>0.66666666666666663</v>
      </c>
      <c r="G634">
        <v>5</v>
      </c>
      <c r="H634" s="6">
        <f>FLOOR(tblPivotData[[#This Row],[Time]],Summary!$B$6/1440)</f>
        <v>0.66666666666666663</v>
      </c>
      <c r="I634" s="49">
        <f>INDEX(PeakCalc!$L$10:$L$303,MATCH(tblPivotData[[#This Row],[Time]],PeakCalc!$G$10:$G$303,0))</f>
        <v>0</v>
      </c>
    </row>
    <row r="635" spans="1:9" x14ac:dyDescent="0.25">
      <c r="A635" t="s">
        <v>94</v>
      </c>
      <c r="B635" t="s">
        <v>107</v>
      </c>
      <c r="C635" t="s">
        <v>96</v>
      </c>
      <c r="D635" t="s">
        <v>89</v>
      </c>
      <c r="E635" t="s">
        <v>44</v>
      </c>
      <c r="F635" s="6">
        <v>0.67708333333333337</v>
      </c>
      <c r="G635">
        <v>6</v>
      </c>
      <c r="H635" s="6">
        <f>FLOOR(tblPivotData[[#This Row],[Time]],Summary!$B$6/1440)</f>
        <v>0.67708333333333326</v>
      </c>
      <c r="I635" s="49">
        <f>INDEX(PeakCalc!$L$10:$L$303,MATCH(tblPivotData[[#This Row],[Time]],PeakCalc!$G$10:$G$303,0))</f>
        <v>0</v>
      </c>
    </row>
    <row r="636" spans="1:9" x14ac:dyDescent="0.25">
      <c r="A636" t="s">
        <v>94</v>
      </c>
      <c r="B636" t="s">
        <v>107</v>
      </c>
      <c r="C636" t="s">
        <v>96</v>
      </c>
      <c r="D636" t="s">
        <v>89</v>
      </c>
      <c r="E636" t="s">
        <v>44</v>
      </c>
      <c r="F636" s="6">
        <v>0.6875</v>
      </c>
      <c r="G636">
        <v>3</v>
      </c>
      <c r="H636" s="6">
        <f>FLOOR(tblPivotData[[#This Row],[Time]],Summary!$B$6/1440)</f>
        <v>0.6875</v>
      </c>
      <c r="I636" s="49">
        <f>INDEX(PeakCalc!$L$10:$L$303,MATCH(tblPivotData[[#This Row],[Time]],PeakCalc!$G$10:$G$303,0))</f>
        <v>1</v>
      </c>
    </row>
    <row r="637" spans="1:9" x14ac:dyDescent="0.25">
      <c r="A637" t="s">
        <v>94</v>
      </c>
      <c r="B637" t="s">
        <v>107</v>
      </c>
      <c r="C637" t="s">
        <v>96</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94</v>
      </c>
      <c r="B638" t="s">
        <v>107</v>
      </c>
      <c r="C638" t="s">
        <v>96</v>
      </c>
      <c r="D638" t="s">
        <v>89</v>
      </c>
      <c r="E638" t="s">
        <v>44</v>
      </c>
      <c r="F638" s="6">
        <v>0.70833333333333337</v>
      </c>
      <c r="G638">
        <v>3</v>
      </c>
      <c r="H638" s="6">
        <f>FLOOR(tblPivotData[[#This Row],[Time]],Summary!$B$6/1440)</f>
        <v>0.70833333333333326</v>
      </c>
      <c r="I638" s="49">
        <f>INDEX(PeakCalc!$L$10:$L$303,MATCH(tblPivotData[[#This Row],[Time]],PeakCalc!$G$10:$G$303,0))</f>
        <v>1</v>
      </c>
    </row>
    <row r="639" spans="1:9" x14ac:dyDescent="0.25">
      <c r="A639" t="s">
        <v>94</v>
      </c>
      <c r="B639" t="s">
        <v>107</v>
      </c>
      <c r="C639" t="s">
        <v>96</v>
      </c>
      <c r="D639" t="s">
        <v>89</v>
      </c>
      <c r="E639" t="s">
        <v>44</v>
      </c>
      <c r="F639" s="6">
        <v>0.71875</v>
      </c>
      <c r="G639">
        <v>2</v>
      </c>
      <c r="H639" s="6">
        <f>FLOOR(tblPivotData[[#This Row],[Time]],Summary!$B$6/1440)</f>
        <v>0.71875</v>
      </c>
      <c r="I639" s="49">
        <f>INDEX(PeakCalc!$L$10:$L$303,MATCH(tblPivotData[[#This Row],[Time]],PeakCalc!$G$10:$G$303,0))</f>
        <v>1</v>
      </c>
    </row>
    <row r="640" spans="1:9" x14ac:dyDescent="0.25">
      <c r="A640" t="s">
        <v>94</v>
      </c>
      <c r="B640" t="s">
        <v>107</v>
      </c>
      <c r="C640" t="s">
        <v>96</v>
      </c>
      <c r="D640" t="s">
        <v>89</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94</v>
      </c>
      <c r="B641" t="s">
        <v>107</v>
      </c>
      <c r="C641" t="s">
        <v>96</v>
      </c>
      <c r="D641" t="s">
        <v>89</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94</v>
      </c>
      <c r="B642" t="s">
        <v>107</v>
      </c>
      <c r="C642" t="s">
        <v>96</v>
      </c>
      <c r="D642" t="s">
        <v>91</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94</v>
      </c>
      <c r="B643" t="s">
        <v>107</v>
      </c>
      <c r="C643" t="s">
        <v>96</v>
      </c>
      <c r="D643" t="s">
        <v>91</v>
      </c>
      <c r="E643" t="s">
        <v>43</v>
      </c>
      <c r="F643" s="6">
        <v>0.30208333333333331</v>
      </c>
      <c r="G643">
        <v>5</v>
      </c>
      <c r="H643" s="6">
        <f>FLOOR(tblPivotData[[#This Row],[Time]],Summary!$B$6/1440)</f>
        <v>0.30208333333333331</v>
      </c>
      <c r="I643" s="49">
        <f>INDEX(PeakCalc!$L$10:$L$303,MATCH(tblPivotData[[#This Row],[Time]],PeakCalc!$G$10:$G$303,0))</f>
        <v>0</v>
      </c>
    </row>
    <row r="644" spans="1:9" x14ac:dyDescent="0.25">
      <c r="A644" t="s">
        <v>94</v>
      </c>
      <c r="B644" t="s">
        <v>107</v>
      </c>
      <c r="C644" t="s">
        <v>96</v>
      </c>
      <c r="D644" t="s">
        <v>91</v>
      </c>
      <c r="E644" t="s">
        <v>43</v>
      </c>
      <c r="F644" s="6">
        <v>0.3125</v>
      </c>
      <c r="G644">
        <v>3</v>
      </c>
      <c r="H644" s="6">
        <f>FLOOR(tblPivotData[[#This Row],[Time]],Summary!$B$6/1440)</f>
        <v>0.3125</v>
      </c>
      <c r="I644" s="49">
        <f>INDEX(PeakCalc!$L$10:$L$303,MATCH(tblPivotData[[#This Row],[Time]],PeakCalc!$G$10:$G$303,0))</f>
        <v>0</v>
      </c>
    </row>
    <row r="645" spans="1:9" x14ac:dyDescent="0.25">
      <c r="A645" t="s">
        <v>94</v>
      </c>
      <c r="B645" t="s">
        <v>107</v>
      </c>
      <c r="C645" t="s">
        <v>96</v>
      </c>
      <c r="D645" t="s">
        <v>91</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94</v>
      </c>
      <c r="B646" t="s">
        <v>107</v>
      </c>
      <c r="C646" t="s">
        <v>96</v>
      </c>
      <c r="D646" t="s">
        <v>91</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94</v>
      </c>
      <c r="B647" t="s">
        <v>107</v>
      </c>
      <c r="C647" t="s">
        <v>96</v>
      </c>
      <c r="D647" t="s">
        <v>91</v>
      </c>
      <c r="E647" t="s">
        <v>43</v>
      </c>
      <c r="F647" s="6">
        <v>0.34375</v>
      </c>
      <c r="G647">
        <v>1</v>
      </c>
      <c r="H647" s="6">
        <f>FLOOR(tblPivotData[[#This Row],[Time]],Summary!$B$6/1440)</f>
        <v>0.34375</v>
      </c>
      <c r="I647" s="49">
        <f>INDEX(PeakCalc!$L$10:$L$303,MATCH(tblPivotData[[#This Row],[Time]],PeakCalc!$G$10:$G$303,0))</f>
        <v>1</v>
      </c>
    </row>
    <row r="648" spans="1:9" x14ac:dyDescent="0.25">
      <c r="A648" t="s">
        <v>94</v>
      </c>
      <c r="B648" t="s">
        <v>107</v>
      </c>
      <c r="C648" t="s">
        <v>96</v>
      </c>
      <c r="D648" t="s">
        <v>91</v>
      </c>
      <c r="E648" t="s">
        <v>43</v>
      </c>
      <c r="F648" s="6">
        <v>0.35416666666666669</v>
      </c>
      <c r="G648">
        <v>2</v>
      </c>
      <c r="H648" s="6">
        <f>FLOOR(tblPivotData[[#This Row],[Time]],Summary!$B$6/1440)</f>
        <v>0.35416666666666663</v>
      </c>
      <c r="I648" s="49">
        <f>INDEX(PeakCalc!$L$10:$L$303,MATCH(tblPivotData[[#This Row],[Time]],PeakCalc!$G$10:$G$303,0))</f>
        <v>1</v>
      </c>
    </row>
    <row r="649" spans="1:9" x14ac:dyDescent="0.25">
      <c r="A649" t="s">
        <v>94</v>
      </c>
      <c r="B649" t="s">
        <v>107</v>
      </c>
      <c r="C649" t="s">
        <v>96</v>
      </c>
      <c r="D649" t="s">
        <v>91</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94</v>
      </c>
      <c r="B650" t="s">
        <v>107</v>
      </c>
      <c r="C650" t="s">
        <v>96</v>
      </c>
      <c r="D650" t="s">
        <v>91</v>
      </c>
      <c r="E650" t="s">
        <v>90</v>
      </c>
      <c r="F650" s="6">
        <v>0.54166666666666663</v>
      </c>
      <c r="G650">
        <v>5</v>
      </c>
      <c r="H650" s="6">
        <f>FLOOR(tblPivotData[[#This Row],[Time]],Summary!$B$6/1440)</f>
        <v>0.54166666666666663</v>
      </c>
      <c r="I650" s="49">
        <f>INDEX(PeakCalc!$L$10:$L$303,MATCH(tblPivotData[[#This Row],[Time]],PeakCalc!$G$10:$G$303,0))</f>
        <v>1</v>
      </c>
    </row>
    <row r="651" spans="1:9" x14ac:dyDescent="0.25">
      <c r="A651" t="s">
        <v>94</v>
      </c>
      <c r="B651" t="s">
        <v>107</v>
      </c>
      <c r="C651" t="s">
        <v>96</v>
      </c>
      <c r="D651" t="s">
        <v>91</v>
      </c>
      <c r="E651" t="s">
        <v>90</v>
      </c>
      <c r="F651" s="6">
        <v>0.55208333333333337</v>
      </c>
      <c r="G651">
        <v>2</v>
      </c>
      <c r="H651" s="6">
        <f>FLOOR(tblPivotData[[#This Row],[Time]],Summary!$B$6/1440)</f>
        <v>0.55208333333333326</v>
      </c>
      <c r="I651" s="49">
        <f>INDEX(PeakCalc!$L$10:$L$303,MATCH(tblPivotData[[#This Row],[Time]],PeakCalc!$G$10:$G$303,0))</f>
        <v>1</v>
      </c>
    </row>
    <row r="652" spans="1:9" x14ac:dyDescent="0.25">
      <c r="A652" t="s">
        <v>94</v>
      </c>
      <c r="B652" t="s">
        <v>107</v>
      </c>
      <c r="C652" t="s">
        <v>96</v>
      </c>
      <c r="D652" t="s">
        <v>91</v>
      </c>
      <c r="E652" t="s">
        <v>90</v>
      </c>
      <c r="F652" s="6">
        <v>0.5625</v>
      </c>
      <c r="G652">
        <v>0</v>
      </c>
      <c r="H652" s="6">
        <f>FLOOR(tblPivotData[[#This Row],[Time]],Summary!$B$6/1440)</f>
        <v>0.5625</v>
      </c>
      <c r="I652" s="49">
        <f>INDEX(PeakCalc!$L$10:$L$303,MATCH(tblPivotData[[#This Row],[Time]],PeakCalc!$G$10:$G$303,0))</f>
        <v>1</v>
      </c>
    </row>
    <row r="653" spans="1:9" x14ac:dyDescent="0.25">
      <c r="A653" t="s">
        <v>94</v>
      </c>
      <c r="B653" t="s">
        <v>107</v>
      </c>
      <c r="C653" t="s">
        <v>96</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94</v>
      </c>
      <c r="B654" t="s">
        <v>107</v>
      </c>
      <c r="C654" t="s">
        <v>96</v>
      </c>
      <c r="D654" t="s">
        <v>91</v>
      </c>
      <c r="E654" t="s">
        <v>44</v>
      </c>
      <c r="F654" s="6">
        <v>0.66666666666666663</v>
      </c>
      <c r="G654">
        <v>10</v>
      </c>
      <c r="H654" s="6">
        <f>FLOOR(tblPivotData[[#This Row],[Time]],Summary!$B$6/1440)</f>
        <v>0.66666666666666663</v>
      </c>
      <c r="I654" s="49">
        <f>INDEX(PeakCalc!$L$10:$L$303,MATCH(tblPivotData[[#This Row],[Time]],PeakCalc!$G$10:$G$303,0))</f>
        <v>0</v>
      </c>
    </row>
    <row r="655" spans="1:9" x14ac:dyDescent="0.25">
      <c r="A655" t="s">
        <v>94</v>
      </c>
      <c r="B655" t="s">
        <v>107</v>
      </c>
      <c r="C655" t="s">
        <v>96</v>
      </c>
      <c r="D655" t="s">
        <v>91</v>
      </c>
      <c r="E655" t="s">
        <v>44</v>
      </c>
      <c r="F655" s="6">
        <v>0.67708333333333337</v>
      </c>
      <c r="G655">
        <v>9</v>
      </c>
      <c r="H655" s="6">
        <f>FLOOR(tblPivotData[[#This Row],[Time]],Summary!$B$6/1440)</f>
        <v>0.67708333333333326</v>
      </c>
      <c r="I655" s="49">
        <f>INDEX(PeakCalc!$L$10:$L$303,MATCH(tblPivotData[[#This Row],[Time]],PeakCalc!$G$10:$G$303,0))</f>
        <v>0</v>
      </c>
    </row>
    <row r="656" spans="1:9" x14ac:dyDescent="0.25">
      <c r="A656" t="s">
        <v>94</v>
      </c>
      <c r="B656" t="s">
        <v>107</v>
      </c>
      <c r="C656" t="s">
        <v>96</v>
      </c>
      <c r="D656" t="s">
        <v>91</v>
      </c>
      <c r="E656" t="s">
        <v>44</v>
      </c>
      <c r="F656" s="6">
        <v>0.6875</v>
      </c>
      <c r="G656">
        <v>12</v>
      </c>
      <c r="H656" s="6">
        <f>FLOOR(tblPivotData[[#This Row],[Time]],Summary!$B$6/1440)</f>
        <v>0.6875</v>
      </c>
      <c r="I656" s="49">
        <f>INDEX(PeakCalc!$L$10:$L$303,MATCH(tblPivotData[[#This Row],[Time]],PeakCalc!$G$10:$G$303,0))</f>
        <v>1</v>
      </c>
    </row>
    <row r="657" spans="1:9" x14ac:dyDescent="0.25">
      <c r="A657" t="s">
        <v>94</v>
      </c>
      <c r="B657" t="s">
        <v>107</v>
      </c>
      <c r="C657" t="s">
        <v>96</v>
      </c>
      <c r="D657" t="s">
        <v>91</v>
      </c>
      <c r="E657" t="s">
        <v>44</v>
      </c>
      <c r="F657" s="6">
        <v>0.69791666666666663</v>
      </c>
      <c r="G657">
        <v>10</v>
      </c>
      <c r="H657" s="6">
        <f>FLOOR(tblPivotData[[#This Row],[Time]],Summary!$B$6/1440)</f>
        <v>0.69791666666666663</v>
      </c>
      <c r="I657" s="49">
        <f>INDEX(PeakCalc!$L$10:$L$303,MATCH(tblPivotData[[#This Row],[Time]],PeakCalc!$G$10:$G$303,0))</f>
        <v>1</v>
      </c>
    </row>
    <row r="658" spans="1:9" x14ac:dyDescent="0.25">
      <c r="A658" t="s">
        <v>94</v>
      </c>
      <c r="B658" t="s">
        <v>107</v>
      </c>
      <c r="C658" t="s">
        <v>96</v>
      </c>
      <c r="D658" t="s">
        <v>91</v>
      </c>
      <c r="E658" t="s">
        <v>44</v>
      </c>
      <c r="F658" s="6">
        <v>0.70833333333333337</v>
      </c>
      <c r="G658">
        <v>22</v>
      </c>
      <c r="H658" s="6">
        <f>FLOOR(tblPivotData[[#This Row],[Time]],Summary!$B$6/1440)</f>
        <v>0.70833333333333326</v>
      </c>
      <c r="I658" s="49">
        <f>INDEX(PeakCalc!$L$10:$L$303,MATCH(tblPivotData[[#This Row],[Time]],PeakCalc!$G$10:$G$303,0))</f>
        <v>1</v>
      </c>
    </row>
    <row r="659" spans="1:9" x14ac:dyDescent="0.25">
      <c r="A659" t="s">
        <v>94</v>
      </c>
      <c r="B659" t="s">
        <v>107</v>
      </c>
      <c r="C659" t="s">
        <v>96</v>
      </c>
      <c r="D659" t="s">
        <v>91</v>
      </c>
      <c r="E659" t="s">
        <v>44</v>
      </c>
      <c r="F659" s="6">
        <v>0.71875</v>
      </c>
      <c r="G659">
        <v>15</v>
      </c>
      <c r="H659" s="6">
        <f>FLOOR(tblPivotData[[#This Row],[Time]],Summary!$B$6/1440)</f>
        <v>0.71875</v>
      </c>
      <c r="I659" s="49">
        <f>INDEX(PeakCalc!$L$10:$L$303,MATCH(tblPivotData[[#This Row],[Time]],PeakCalc!$G$10:$G$303,0))</f>
        <v>1</v>
      </c>
    </row>
    <row r="660" spans="1:9" x14ac:dyDescent="0.25">
      <c r="A660" t="s">
        <v>94</v>
      </c>
      <c r="B660" t="s">
        <v>107</v>
      </c>
      <c r="C660" t="s">
        <v>96</v>
      </c>
      <c r="D660" t="s">
        <v>91</v>
      </c>
      <c r="E660" t="s">
        <v>44</v>
      </c>
      <c r="F660" s="6">
        <v>0.72916666666666663</v>
      </c>
      <c r="G660">
        <v>9</v>
      </c>
      <c r="H660" s="6">
        <f>FLOOR(tblPivotData[[#This Row],[Time]],Summary!$B$6/1440)</f>
        <v>0.72916666666666663</v>
      </c>
      <c r="I660" s="49">
        <f>INDEX(PeakCalc!$L$10:$L$303,MATCH(tblPivotData[[#This Row],[Time]],PeakCalc!$G$10:$G$303,0))</f>
        <v>0</v>
      </c>
    </row>
    <row r="661" spans="1:9" x14ac:dyDescent="0.25">
      <c r="A661" t="s">
        <v>94</v>
      </c>
      <c r="B661" t="s">
        <v>107</v>
      </c>
      <c r="C661" t="s">
        <v>96</v>
      </c>
      <c r="D661" t="s">
        <v>91</v>
      </c>
      <c r="E661" t="s">
        <v>44</v>
      </c>
      <c r="F661" s="6">
        <v>0.73958333333333337</v>
      </c>
      <c r="G661">
        <v>15</v>
      </c>
      <c r="H661" s="6">
        <f>FLOOR(tblPivotData[[#This Row],[Time]],Summary!$B$6/1440)</f>
        <v>0.73958333333333326</v>
      </c>
      <c r="I661" s="49">
        <f>INDEX(PeakCalc!$L$10:$L$303,MATCH(tblPivotData[[#This Row],[Time]],PeakCalc!$G$10:$G$303,0))</f>
        <v>0</v>
      </c>
    </row>
    <row r="662" spans="1:9" x14ac:dyDescent="0.25">
      <c r="A662" t="s">
        <v>94</v>
      </c>
      <c r="B662" t="s">
        <v>108</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94</v>
      </c>
      <c r="B663" t="s">
        <v>108</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94</v>
      </c>
      <c r="B664" t="s">
        <v>108</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94</v>
      </c>
      <c r="B665" t="s">
        <v>108</v>
      </c>
      <c r="C665" t="s">
        <v>93</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94</v>
      </c>
      <c r="B666" t="s">
        <v>108</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94</v>
      </c>
      <c r="B667" t="s">
        <v>108</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94</v>
      </c>
      <c r="B668" t="s">
        <v>108</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94</v>
      </c>
      <c r="B669" t="s">
        <v>108</v>
      </c>
      <c r="C669" t="s">
        <v>93</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94</v>
      </c>
      <c r="B670" t="s">
        <v>108</v>
      </c>
      <c r="C670" t="s">
        <v>93</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94</v>
      </c>
      <c r="B671" t="s">
        <v>108</v>
      </c>
      <c r="C671" t="s">
        <v>93</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94</v>
      </c>
      <c r="B672" t="s">
        <v>108</v>
      </c>
      <c r="C672" t="s">
        <v>93</v>
      </c>
      <c r="D672" t="s">
        <v>79</v>
      </c>
      <c r="E672" t="s">
        <v>90</v>
      </c>
      <c r="F672" s="6">
        <v>0.5625</v>
      </c>
      <c r="G672">
        <v>0</v>
      </c>
      <c r="H672" s="6">
        <f>FLOOR(tblPivotData[[#This Row],[Time]],Summary!$B$6/1440)</f>
        <v>0.5625</v>
      </c>
      <c r="I672" s="49">
        <f>INDEX(PeakCalc!$L$10:$L$303,MATCH(tblPivotData[[#This Row],[Time]],PeakCalc!$G$10:$G$303,0))</f>
        <v>1</v>
      </c>
    </row>
    <row r="673" spans="1:9" x14ac:dyDescent="0.25">
      <c r="A673" t="s">
        <v>94</v>
      </c>
      <c r="B673" t="s">
        <v>108</v>
      </c>
      <c r="C673" t="s">
        <v>93</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94</v>
      </c>
      <c r="B674" t="s">
        <v>108</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94</v>
      </c>
      <c r="B675" t="s">
        <v>108</v>
      </c>
      <c r="C675" t="s">
        <v>93</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94</v>
      </c>
      <c r="B676" t="s">
        <v>108</v>
      </c>
      <c r="C676" t="s">
        <v>93</v>
      </c>
      <c r="D676" t="s">
        <v>79</v>
      </c>
      <c r="E676" t="s">
        <v>44</v>
      </c>
      <c r="F676" s="6">
        <v>0.6875</v>
      </c>
      <c r="G676">
        <v>0</v>
      </c>
      <c r="H676" s="6">
        <f>FLOOR(tblPivotData[[#This Row],[Time]],Summary!$B$6/1440)</f>
        <v>0.6875</v>
      </c>
      <c r="I676" s="49">
        <f>INDEX(PeakCalc!$L$10:$L$303,MATCH(tblPivotData[[#This Row],[Time]],PeakCalc!$G$10:$G$303,0))</f>
        <v>1</v>
      </c>
    </row>
    <row r="677" spans="1:9" x14ac:dyDescent="0.25">
      <c r="A677" t="s">
        <v>94</v>
      </c>
      <c r="B677" t="s">
        <v>108</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94</v>
      </c>
      <c r="B678" t="s">
        <v>108</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94</v>
      </c>
      <c r="B679" t="s">
        <v>108</v>
      </c>
      <c r="C679" t="s">
        <v>93</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94</v>
      </c>
      <c r="B680" t="s">
        <v>108</v>
      </c>
      <c r="C680" t="s">
        <v>93</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94</v>
      </c>
      <c r="B681" t="s">
        <v>108</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94</v>
      </c>
      <c r="B682" t="s">
        <v>108</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94</v>
      </c>
      <c r="B683" t="s">
        <v>108</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94</v>
      </c>
      <c r="B684" t="s">
        <v>108</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94</v>
      </c>
      <c r="B685" t="s">
        <v>108</v>
      </c>
      <c r="C685" t="s">
        <v>93</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94</v>
      </c>
      <c r="B686" t="s">
        <v>108</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94</v>
      </c>
      <c r="B687" t="s">
        <v>108</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94</v>
      </c>
      <c r="B688" t="s">
        <v>108</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94</v>
      </c>
      <c r="B689" t="s">
        <v>108</v>
      </c>
      <c r="C689" t="s">
        <v>93</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94</v>
      </c>
      <c r="B690" t="s">
        <v>108</v>
      </c>
      <c r="C690" t="s">
        <v>93</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94</v>
      </c>
      <c r="B691" t="s">
        <v>108</v>
      </c>
      <c r="C691" t="s">
        <v>93</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94</v>
      </c>
      <c r="B692" t="s">
        <v>108</v>
      </c>
      <c r="C692" t="s">
        <v>93</v>
      </c>
      <c r="D692" t="s">
        <v>89</v>
      </c>
      <c r="E692" t="s">
        <v>90</v>
      </c>
      <c r="F692" s="6">
        <v>0.5625</v>
      </c>
      <c r="G692">
        <v>0</v>
      </c>
      <c r="H692" s="6">
        <f>FLOOR(tblPivotData[[#This Row],[Time]],Summary!$B$6/1440)</f>
        <v>0.5625</v>
      </c>
      <c r="I692" s="49">
        <f>INDEX(PeakCalc!$L$10:$L$303,MATCH(tblPivotData[[#This Row],[Time]],PeakCalc!$G$10:$G$303,0))</f>
        <v>1</v>
      </c>
    </row>
    <row r="693" spans="1:9" x14ac:dyDescent="0.25">
      <c r="A693" t="s">
        <v>94</v>
      </c>
      <c r="B693" t="s">
        <v>108</v>
      </c>
      <c r="C693" t="s">
        <v>93</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94</v>
      </c>
      <c r="B694" t="s">
        <v>108</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94</v>
      </c>
      <c r="B695" t="s">
        <v>108</v>
      </c>
      <c r="C695" t="s">
        <v>93</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94</v>
      </c>
      <c r="B696" t="s">
        <v>108</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94</v>
      </c>
      <c r="B697" t="s">
        <v>108</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94</v>
      </c>
      <c r="B698" t="s">
        <v>108</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94</v>
      </c>
      <c r="B699" t="s">
        <v>108</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94</v>
      </c>
      <c r="B700" t="s">
        <v>108</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94</v>
      </c>
      <c r="B701" t="s">
        <v>108</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94</v>
      </c>
      <c r="B702" t="s">
        <v>108</v>
      </c>
      <c r="C702" t="s">
        <v>93</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94</v>
      </c>
      <c r="B703" t="s">
        <v>108</v>
      </c>
      <c r="C703" t="s">
        <v>93</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94</v>
      </c>
      <c r="B704" t="s">
        <v>108</v>
      </c>
      <c r="C704" t="s">
        <v>93</v>
      </c>
      <c r="D704" t="s">
        <v>91</v>
      </c>
      <c r="E704" t="s">
        <v>43</v>
      </c>
      <c r="F704" s="6">
        <v>0.3125</v>
      </c>
      <c r="G704">
        <v>0</v>
      </c>
      <c r="H704" s="6">
        <f>FLOOR(tblPivotData[[#This Row],[Time]],Summary!$B$6/1440)</f>
        <v>0.3125</v>
      </c>
      <c r="I704" s="49">
        <f>INDEX(PeakCalc!$L$10:$L$303,MATCH(tblPivotData[[#This Row],[Time]],PeakCalc!$G$10:$G$303,0))</f>
        <v>0</v>
      </c>
    </row>
    <row r="705" spans="1:9" x14ac:dyDescent="0.25">
      <c r="A705" t="s">
        <v>94</v>
      </c>
      <c r="B705" t="s">
        <v>108</v>
      </c>
      <c r="C705" t="s">
        <v>93</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94</v>
      </c>
      <c r="B706" t="s">
        <v>108</v>
      </c>
      <c r="C706" t="s">
        <v>93</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94</v>
      </c>
      <c r="B707" t="s">
        <v>108</v>
      </c>
      <c r="C707" t="s">
        <v>93</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94</v>
      </c>
      <c r="B708" t="s">
        <v>108</v>
      </c>
      <c r="C708" t="s">
        <v>93</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94</v>
      </c>
      <c r="B709" t="s">
        <v>108</v>
      </c>
      <c r="C709" t="s">
        <v>93</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94</v>
      </c>
      <c r="B710" t="s">
        <v>108</v>
      </c>
      <c r="C710" t="s">
        <v>93</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94</v>
      </c>
      <c r="B711" t="s">
        <v>108</v>
      </c>
      <c r="C711" t="s">
        <v>93</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94</v>
      </c>
      <c r="B712" t="s">
        <v>108</v>
      </c>
      <c r="C712" t="s">
        <v>93</v>
      </c>
      <c r="D712" t="s">
        <v>91</v>
      </c>
      <c r="E712" t="s">
        <v>90</v>
      </c>
      <c r="F712" s="6">
        <v>0.5625</v>
      </c>
      <c r="G712">
        <v>0</v>
      </c>
      <c r="H712" s="6">
        <f>FLOOR(tblPivotData[[#This Row],[Time]],Summary!$B$6/1440)</f>
        <v>0.5625</v>
      </c>
      <c r="I712" s="49">
        <f>INDEX(PeakCalc!$L$10:$L$303,MATCH(tblPivotData[[#This Row],[Time]],PeakCalc!$G$10:$G$303,0))</f>
        <v>1</v>
      </c>
    </row>
    <row r="713" spans="1:9" x14ac:dyDescent="0.25">
      <c r="A713" t="s">
        <v>94</v>
      </c>
      <c r="B713" t="s">
        <v>108</v>
      </c>
      <c r="C713" t="s">
        <v>93</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94</v>
      </c>
      <c r="B714" t="s">
        <v>108</v>
      </c>
      <c r="C714" t="s">
        <v>93</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94</v>
      </c>
      <c r="B715" t="s">
        <v>108</v>
      </c>
      <c r="C715" t="s">
        <v>93</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94</v>
      </c>
      <c r="B716" t="s">
        <v>108</v>
      </c>
      <c r="C716" t="s">
        <v>93</v>
      </c>
      <c r="D716" t="s">
        <v>91</v>
      </c>
      <c r="E716" t="s">
        <v>44</v>
      </c>
      <c r="F716" s="6">
        <v>0.6875</v>
      </c>
      <c r="G716">
        <v>0</v>
      </c>
      <c r="H716" s="6">
        <f>FLOOR(tblPivotData[[#This Row],[Time]],Summary!$B$6/1440)</f>
        <v>0.6875</v>
      </c>
      <c r="I716" s="49">
        <f>INDEX(PeakCalc!$L$10:$L$303,MATCH(tblPivotData[[#This Row],[Time]],PeakCalc!$G$10:$G$303,0))</f>
        <v>1</v>
      </c>
    </row>
    <row r="717" spans="1:9" x14ac:dyDescent="0.25">
      <c r="A717" t="s">
        <v>94</v>
      </c>
      <c r="B717" t="s">
        <v>108</v>
      </c>
      <c r="C717" t="s">
        <v>93</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94</v>
      </c>
      <c r="B718" t="s">
        <v>108</v>
      </c>
      <c r="C718" t="s">
        <v>93</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94</v>
      </c>
      <c r="B719" t="s">
        <v>108</v>
      </c>
      <c r="C719" t="s">
        <v>93</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94</v>
      </c>
      <c r="B720" t="s">
        <v>108</v>
      </c>
      <c r="C720" t="s">
        <v>93</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94</v>
      </c>
      <c r="B721" t="s">
        <v>108</v>
      </c>
      <c r="C721" t="s">
        <v>93</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95</v>
      </c>
      <c r="D11" s="54"/>
      <c r="E11" s="54"/>
      <c r="F11" s="54"/>
      <c r="G11" s="54"/>
      <c r="H11" s="54"/>
      <c r="I11" s="54"/>
      <c r="J11" s="54"/>
      <c r="K11" s="54"/>
      <c r="L11" s="54"/>
      <c r="M11" s="54"/>
      <c r="N11" s="54"/>
      <c r="O11" s="51" t="s">
        <v>110</v>
      </c>
      <c r="P11" s="53" t="s">
        <v>96</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94</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99</v>
      </c>
      <c r="H12" s="52"/>
      <c r="I12" s="52"/>
      <c r="J12" s="51" t="s">
        <v>115</v>
      </c>
      <c r="K12" s="51" t="s">
        <v>98</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0</v>
      </c>
      <c r="D14" s="49">
        <v>0</v>
      </c>
      <c r="E14" s="49">
        <v>0</v>
      </c>
      <c r="F14" s="49">
        <v>0</v>
      </c>
      <c r="G14" s="49">
        <v>0</v>
      </c>
      <c r="H14" s="49">
        <v>0</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1679</v>
      </c>
      <c r="AH14" s="49">
        <v>44</v>
      </c>
      <c r="AI14" s="49">
        <v>38</v>
      </c>
      <c r="AJ14" s="49">
        <v>1761</v>
      </c>
      <c r="AK14" s="49">
        <v>359</v>
      </c>
      <c r="AL14" s="49">
        <v>10</v>
      </c>
      <c r="AM14" s="49">
        <v>2</v>
      </c>
      <c r="AN14" s="49">
        <v>371</v>
      </c>
      <c r="AO14" s="49">
        <v>2132</v>
      </c>
      <c r="AP14" s="49">
        <v>219</v>
      </c>
      <c r="AQ14" s="49">
        <v>9</v>
      </c>
      <c r="AR14" s="49">
        <v>1</v>
      </c>
      <c r="AS14" s="49">
        <v>229</v>
      </c>
      <c r="AT14" s="49">
        <v>610</v>
      </c>
      <c r="AU14" s="49">
        <v>46</v>
      </c>
      <c r="AV14" s="49">
        <v>20</v>
      </c>
      <c r="AW14" s="49">
        <v>676</v>
      </c>
      <c r="AX14" s="49">
        <v>0</v>
      </c>
      <c r="AY14" s="49">
        <v>0</v>
      </c>
      <c r="AZ14" s="49">
        <v>0</v>
      </c>
      <c r="BA14" s="49">
        <v>0</v>
      </c>
      <c r="BB14" s="49">
        <v>905</v>
      </c>
      <c r="BC14" s="49">
        <v>3037</v>
      </c>
    </row>
    <row r="15" spans="2:55" x14ac:dyDescent="0.25">
      <c r="B15" s="11">
        <v>0.29166666666666669</v>
      </c>
      <c r="C15" s="49">
        <v>0</v>
      </c>
      <c r="D15" s="49">
        <v>0</v>
      </c>
      <c r="E15" s="49">
        <v>0</v>
      </c>
      <c r="F15" s="49">
        <v>0</v>
      </c>
      <c r="G15" s="49">
        <v>0</v>
      </c>
      <c r="H15" s="49">
        <v>0</v>
      </c>
      <c r="I15" s="49">
        <v>0</v>
      </c>
      <c r="J15" s="49">
        <v>0</v>
      </c>
      <c r="K15" s="49">
        <v>0</v>
      </c>
      <c r="L15" s="49">
        <v>0</v>
      </c>
      <c r="M15" s="49">
        <v>0</v>
      </c>
      <c r="N15" s="49">
        <v>0</v>
      </c>
      <c r="O15" s="49">
        <v>0</v>
      </c>
      <c r="P15" s="49">
        <v>0</v>
      </c>
      <c r="Q15" s="49">
        <v>0</v>
      </c>
      <c r="R15" s="49">
        <v>0</v>
      </c>
      <c r="S15" s="49">
        <v>0</v>
      </c>
      <c r="T15" s="49">
        <v>0</v>
      </c>
      <c r="U15" s="49">
        <v>0</v>
      </c>
      <c r="V15" s="49">
        <v>0</v>
      </c>
      <c r="W15" s="49">
        <v>0</v>
      </c>
      <c r="X15" s="49">
        <v>0</v>
      </c>
      <c r="Y15" s="49">
        <v>0</v>
      </c>
      <c r="Z15" s="49">
        <v>0</v>
      </c>
      <c r="AA15" s="49">
        <v>0</v>
      </c>
      <c r="AB15" s="49">
        <v>0</v>
      </c>
      <c r="AC15" s="49">
        <v>0</v>
      </c>
      <c r="AD15" s="49">
        <v>0</v>
      </c>
      <c r="AE15" s="49">
        <v>0</v>
      </c>
      <c r="AF15" s="49">
        <v>0</v>
      </c>
      <c r="AG15" s="49">
        <v>121</v>
      </c>
      <c r="AH15" s="49">
        <v>6</v>
      </c>
      <c r="AI15" s="49">
        <v>1</v>
      </c>
      <c r="AJ15" s="49">
        <v>128</v>
      </c>
      <c r="AK15" s="49">
        <v>16</v>
      </c>
      <c r="AL15" s="49">
        <v>0</v>
      </c>
      <c r="AM15" s="49">
        <v>0</v>
      </c>
      <c r="AN15" s="49">
        <v>16</v>
      </c>
      <c r="AO15" s="49">
        <v>144</v>
      </c>
      <c r="AP15" s="49">
        <v>11</v>
      </c>
      <c r="AQ15" s="49">
        <v>1</v>
      </c>
      <c r="AR15" s="49">
        <v>0</v>
      </c>
      <c r="AS15" s="49">
        <v>12</v>
      </c>
      <c r="AT15" s="49">
        <v>42</v>
      </c>
      <c r="AU15" s="49">
        <v>3</v>
      </c>
      <c r="AV15" s="49">
        <v>2</v>
      </c>
      <c r="AW15" s="49">
        <v>47</v>
      </c>
      <c r="AX15" s="49">
        <v>0</v>
      </c>
      <c r="AY15" s="49">
        <v>0</v>
      </c>
      <c r="AZ15" s="49">
        <v>0</v>
      </c>
      <c r="BA15" s="49">
        <v>0</v>
      </c>
      <c r="BB15" s="49">
        <v>59</v>
      </c>
      <c r="BC15" s="49">
        <v>203</v>
      </c>
    </row>
    <row r="16" spans="2:55" x14ac:dyDescent="0.25">
      <c r="B16" s="11">
        <v>0.30208333333333331</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171</v>
      </c>
      <c r="AH16" s="49">
        <v>7</v>
      </c>
      <c r="AI16" s="49">
        <v>2</v>
      </c>
      <c r="AJ16" s="49">
        <v>180</v>
      </c>
      <c r="AK16" s="49">
        <v>34</v>
      </c>
      <c r="AL16" s="49">
        <v>0</v>
      </c>
      <c r="AM16" s="49">
        <v>0</v>
      </c>
      <c r="AN16" s="49">
        <v>34</v>
      </c>
      <c r="AO16" s="49">
        <v>214</v>
      </c>
      <c r="AP16" s="49">
        <v>16</v>
      </c>
      <c r="AQ16" s="49">
        <v>2</v>
      </c>
      <c r="AR16" s="49">
        <v>0</v>
      </c>
      <c r="AS16" s="49">
        <v>18</v>
      </c>
      <c r="AT16" s="49">
        <v>50</v>
      </c>
      <c r="AU16" s="49">
        <v>4</v>
      </c>
      <c r="AV16" s="49">
        <v>5</v>
      </c>
      <c r="AW16" s="49">
        <v>59</v>
      </c>
      <c r="AX16" s="49">
        <v>0</v>
      </c>
      <c r="AY16" s="49">
        <v>0</v>
      </c>
      <c r="AZ16" s="49">
        <v>0</v>
      </c>
      <c r="BA16" s="49">
        <v>0</v>
      </c>
      <c r="BB16" s="49">
        <v>77</v>
      </c>
      <c r="BC16" s="49">
        <v>291</v>
      </c>
    </row>
    <row r="17" spans="2:55" x14ac:dyDescent="0.25">
      <c r="B17" s="11">
        <v>0.3125</v>
      </c>
      <c r="C17" s="49">
        <v>0</v>
      </c>
      <c r="D17" s="49">
        <v>0</v>
      </c>
      <c r="E17" s="49">
        <v>0</v>
      </c>
      <c r="F17" s="49">
        <v>0</v>
      </c>
      <c r="G17" s="49">
        <v>0</v>
      </c>
      <c r="H17" s="49">
        <v>0</v>
      </c>
      <c r="I17" s="49">
        <v>0</v>
      </c>
      <c r="J17" s="49">
        <v>0</v>
      </c>
      <c r="K17" s="49">
        <v>0</v>
      </c>
      <c r="L17" s="49">
        <v>0</v>
      </c>
      <c r="M17" s="49">
        <v>0</v>
      </c>
      <c r="N17" s="49">
        <v>0</v>
      </c>
      <c r="O17" s="49">
        <v>0</v>
      </c>
      <c r="P17" s="49">
        <v>0</v>
      </c>
      <c r="Q17" s="49">
        <v>0</v>
      </c>
      <c r="R17" s="49">
        <v>0</v>
      </c>
      <c r="S17" s="49">
        <v>0</v>
      </c>
      <c r="T17" s="49">
        <v>0</v>
      </c>
      <c r="U17" s="49">
        <v>0</v>
      </c>
      <c r="V17" s="49">
        <v>0</v>
      </c>
      <c r="W17" s="49">
        <v>0</v>
      </c>
      <c r="X17" s="49">
        <v>0</v>
      </c>
      <c r="Y17" s="49">
        <v>0</v>
      </c>
      <c r="Z17" s="49">
        <v>0</v>
      </c>
      <c r="AA17" s="49">
        <v>0</v>
      </c>
      <c r="AB17" s="49">
        <v>0</v>
      </c>
      <c r="AC17" s="49">
        <v>0</v>
      </c>
      <c r="AD17" s="49">
        <v>0</v>
      </c>
      <c r="AE17" s="49">
        <v>0</v>
      </c>
      <c r="AF17" s="49">
        <v>0</v>
      </c>
      <c r="AG17" s="49">
        <v>181</v>
      </c>
      <c r="AH17" s="49">
        <v>6</v>
      </c>
      <c r="AI17" s="49">
        <v>4</v>
      </c>
      <c r="AJ17" s="49">
        <v>191</v>
      </c>
      <c r="AK17" s="49">
        <v>36</v>
      </c>
      <c r="AL17" s="49">
        <v>0</v>
      </c>
      <c r="AM17" s="49">
        <v>0</v>
      </c>
      <c r="AN17" s="49">
        <v>36</v>
      </c>
      <c r="AO17" s="49">
        <v>227</v>
      </c>
      <c r="AP17" s="49">
        <v>25</v>
      </c>
      <c r="AQ17" s="49">
        <v>1</v>
      </c>
      <c r="AR17" s="49">
        <v>0</v>
      </c>
      <c r="AS17" s="49">
        <v>26</v>
      </c>
      <c r="AT17" s="49">
        <v>69</v>
      </c>
      <c r="AU17" s="49">
        <v>4</v>
      </c>
      <c r="AV17" s="49">
        <v>3</v>
      </c>
      <c r="AW17" s="49">
        <v>76</v>
      </c>
      <c r="AX17" s="49">
        <v>0</v>
      </c>
      <c r="AY17" s="49">
        <v>0</v>
      </c>
      <c r="AZ17" s="49">
        <v>0</v>
      </c>
      <c r="BA17" s="49">
        <v>0</v>
      </c>
      <c r="BB17" s="49">
        <v>102</v>
      </c>
      <c r="BC17" s="49">
        <v>329</v>
      </c>
    </row>
    <row r="18" spans="2:55" x14ac:dyDescent="0.25">
      <c r="B18" s="11">
        <v>0.32291666666666669</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0</v>
      </c>
      <c r="U18" s="49">
        <v>0</v>
      </c>
      <c r="V18" s="49">
        <v>0</v>
      </c>
      <c r="W18" s="49">
        <v>0</v>
      </c>
      <c r="X18" s="49">
        <v>0</v>
      </c>
      <c r="Y18" s="49">
        <v>0</v>
      </c>
      <c r="Z18" s="49">
        <v>0</v>
      </c>
      <c r="AA18" s="49">
        <v>0</v>
      </c>
      <c r="AB18" s="49">
        <v>0</v>
      </c>
      <c r="AC18" s="49">
        <v>0</v>
      </c>
      <c r="AD18" s="49">
        <v>0</v>
      </c>
      <c r="AE18" s="49">
        <v>0</v>
      </c>
      <c r="AF18" s="49">
        <v>0</v>
      </c>
      <c r="AG18" s="49">
        <v>221</v>
      </c>
      <c r="AH18" s="49">
        <v>3</v>
      </c>
      <c r="AI18" s="49">
        <v>6</v>
      </c>
      <c r="AJ18" s="49">
        <v>230</v>
      </c>
      <c r="AK18" s="49">
        <v>53</v>
      </c>
      <c r="AL18" s="49">
        <v>0</v>
      </c>
      <c r="AM18" s="49">
        <v>0</v>
      </c>
      <c r="AN18" s="49">
        <v>53</v>
      </c>
      <c r="AO18" s="49">
        <v>283</v>
      </c>
      <c r="AP18" s="49">
        <v>28</v>
      </c>
      <c r="AQ18" s="49">
        <v>1</v>
      </c>
      <c r="AR18" s="49">
        <v>0</v>
      </c>
      <c r="AS18" s="49">
        <v>29</v>
      </c>
      <c r="AT18" s="49">
        <v>73</v>
      </c>
      <c r="AU18" s="49">
        <v>8</v>
      </c>
      <c r="AV18" s="49">
        <v>1</v>
      </c>
      <c r="AW18" s="49">
        <v>82</v>
      </c>
      <c r="AX18" s="49">
        <v>0</v>
      </c>
      <c r="AY18" s="49">
        <v>0</v>
      </c>
      <c r="AZ18" s="49">
        <v>0</v>
      </c>
      <c r="BA18" s="49">
        <v>0</v>
      </c>
      <c r="BB18" s="49">
        <v>111</v>
      </c>
      <c r="BC18" s="49">
        <v>394</v>
      </c>
    </row>
    <row r="19" spans="2:55" x14ac:dyDescent="0.25">
      <c r="B19" s="11">
        <v>0.33333333333333331</v>
      </c>
      <c r="C19" s="49">
        <v>0</v>
      </c>
      <c r="D19" s="49">
        <v>0</v>
      </c>
      <c r="E19" s="49">
        <v>0</v>
      </c>
      <c r="F19" s="49">
        <v>0</v>
      </c>
      <c r="G19" s="49">
        <v>0</v>
      </c>
      <c r="H19" s="49">
        <v>0</v>
      </c>
      <c r="I19" s="49">
        <v>0</v>
      </c>
      <c r="J19" s="49">
        <v>0</v>
      </c>
      <c r="K19" s="49">
        <v>0</v>
      </c>
      <c r="L19" s="49">
        <v>0</v>
      </c>
      <c r="M19" s="49">
        <v>0</v>
      </c>
      <c r="N19" s="49">
        <v>0</v>
      </c>
      <c r="O19" s="49">
        <v>0</v>
      </c>
      <c r="P19" s="49">
        <v>0</v>
      </c>
      <c r="Q19" s="49">
        <v>0</v>
      </c>
      <c r="R19" s="49">
        <v>0</v>
      </c>
      <c r="S19" s="49">
        <v>0</v>
      </c>
      <c r="T19" s="49">
        <v>0</v>
      </c>
      <c r="U19" s="49">
        <v>0</v>
      </c>
      <c r="V19" s="49">
        <v>0</v>
      </c>
      <c r="W19" s="49">
        <v>0</v>
      </c>
      <c r="X19" s="49">
        <v>0</v>
      </c>
      <c r="Y19" s="49">
        <v>0</v>
      </c>
      <c r="Z19" s="49">
        <v>0</v>
      </c>
      <c r="AA19" s="49">
        <v>0</v>
      </c>
      <c r="AB19" s="49">
        <v>0</v>
      </c>
      <c r="AC19" s="49">
        <v>0</v>
      </c>
      <c r="AD19" s="49">
        <v>0</v>
      </c>
      <c r="AE19" s="49">
        <v>0</v>
      </c>
      <c r="AF19" s="49">
        <v>0</v>
      </c>
      <c r="AG19" s="49">
        <v>256</v>
      </c>
      <c r="AH19" s="49">
        <v>8</v>
      </c>
      <c r="AI19" s="49">
        <v>8</v>
      </c>
      <c r="AJ19" s="49">
        <v>272</v>
      </c>
      <c r="AK19" s="49">
        <v>44</v>
      </c>
      <c r="AL19" s="49">
        <v>0</v>
      </c>
      <c r="AM19" s="49">
        <v>1</v>
      </c>
      <c r="AN19" s="49">
        <v>45</v>
      </c>
      <c r="AO19" s="49">
        <v>317</v>
      </c>
      <c r="AP19" s="49">
        <v>27</v>
      </c>
      <c r="AQ19" s="49">
        <v>0</v>
      </c>
      <c r="AR19" s="49">
        <v>1</v>
      </c>
      <c r="AS19" s="49">
        <v>28</v>
      </c>
      <c r="AT19" s="49">
        <v>76</v>
      </c>
      <c r="AU19" s="49">
        <v>6</v>
      </c>
      <c r="AV19" s="49">
        <v>5</v>
      </c>
      <c r="AW19" s="49">
        <v>87</v>
      </c>
      <c r="AX19" s="49">
        <v>0</v>
      </c>
      <c r="AY19" s="49">
        <v>0</v>
      </c>
      <c r="AZ19" s="49">
        <v>0</v>
      </c>
      <c r="BA19" s="49">
        <v>0</v>
      </c>
      <c r="BB19" s="49">
        <v>115</v>
      </c>
      <c r="BC19" s="49">
        <v>432</v>
      </c>
    </row>
    <row r="20" spans="2:55" x14ac:dyDescent="0.25">
      <c r="B20" s="11">
        <v>0.34375</v>
      </c>
      <c r="C20" s="49">
        <v>0</v>
      </c>
      <c r="D20" s="49">
        <v>0</v>
      </c>
      <c r="E20" s="49">
        <v>0</v>
      </c>
      <c r="F20" s="49">
        <v>0</v>
      </c>
      <c r="G20" s="49">
        <v>0</v>
      </c>
      <c r="H20" s="49">
        <v>0</v>
      </c>
      <c r="I20" s="49">
        <v>0</v>
      </c>
      <c r="J20" s="49">
        <v>0</v>
      </c>
      <c r="K20" s="49">
        <v>0</v>
      </c>
      <c r="L20" s="49">
        <v>0</v>
      </c>
      <c r="M20" s="49">
        <v>0</v>
      </c>
      <c r="N20" s="49">
        <v>0</v>
      </c>
      <c r="O20" s="49">
        <v>0</v>
      </c>
      <c r="P20" s="49">
        <v>0</v>
      </c>
      <c r="Q20" s="49">
        <v>0</v>
      </c>
      <c r="R20" s="49">
        <v>0</v>
      </c>
      <c r="S20" s="49">
        <v>0</v>
      </c>
      <c r="T20" s="49">
        <v>0</v>
      </c>
      <c r="U20" s="49">
        <v>0</v>
      </c>
      <c r="V20" s="49">
        <v>0</v>
      </c>
      <c r="W20" s="49">
        <v>0</v>
      </c>
      <c r="X20" s="49">
        <v>0</v>
      </c>
      <c r="Y20" s="49">
        <v>0</v>
      </c>
      <c r="Z20" s="49">
        <v>0</v>
      </c>
      <c r="AA20" s="49">
        <v>0</v>
      </c>
      <c r="AB20" s="49">
        <v>0</v>
      </c>
      <c r="AC20" s="49">
        <v>0</v>
      </c>
      <c r="AD20" s="49">
        <v>0</v>
      </c>
      <c r="AE20" s="49">
        <v>0</v>
      </c>
      <c r="AF20" s="49">
        <v>0</v>
      </c>
      <c r="AG20" s="49">
        <v>249</v>
      </c>
      <c r="AH20" s="49">
        <v>5</v>
      </c>
      <c r="AI20" s="49">
        <v>5</v>
      </c>
      <c r="AJ20" s="49">
        <v>259</v>
      </c>
      <c r="AK20" s="49">
        <v>56</v>
      </c>
      <c r="AL20" s="49">
        <v>2</v>
      </c>
      <c r="AM20" s="49">
        <v>1</v>
      </c>
      <c r="AN20" s="49">
        <v>59</v>
      </c>
      <c r="AO20" s="49">
        <v>318</v>
      </c>
      <c r="AP20" s="49">
        <v>33</v>
      </c>
      <c r="AQ20" s="49">
        <v>2</v>
      </c>
      <c r="AR20" s="49">
        <v>0</v>
      </c>
      <c r="AS20" s="49">
        <v>35</v>
      </c>
      <c r="AT20" s="49">
        <v>99</v>
      </c>
      <c r="AU20" s="49">
        <v>8</v>
      </c>
      <c r="AV20" s="49">
        <v>1</v>
      </c>
      <c r="AW20" s="49">
        <v>108</v>
      </c>
      <c r="AX20" s="49">
        <v>0</v>
      </c>
      <c r="AY20" s="49">
        <v>0</v>
      </c>
      <c r="AZ20" s="49">
        <v>0</v>
      </c>
      <c r="BA20" s="49">
        <v>0</v>
      </c>
      <c r="BB20" s="49">
        <v>143</v>
      </c>
      <c r="BC20" s="49">
        <v>461</v>
      </c>
    </row>
    <row r="21" spans="2:55" x14ac:dyDescent="0.25">
      <c r="B21" s="11">
        <v>0.35416666666666669</v>
      </c>
      <c r="C21" s="49">
        <v>0</v>
      </c>
      <c r="D21" s="49">
        <v>0</v>
      </c>
      <c r="E21" s="49">
        <v>0</v>
      </c>
      <c r="F21" s="49">
        <v>0</v>
      </c>
      <c r="G21" s="49">
        <v>0</v>
      </c>
      <c r="H21" s="49">
        <v>0</v>
      </c>
      <c r="I21" s="49">
        <v>0</v>
      </c>
      <c r="J21" s="49">
        <v>0</v>
      </c>
      <c r="K21" s="49">
        <v>0</v>
      </c>
      <c r="L21" s="49">
        <v>0</v>
      </c>
      <c r="M21" s="49">
        <v>0</v>
      </c>
      <c r="N21" s="49">
        <v>0</v>
      </c>
      <c r="O21" s="49">
        <v>0</v>
      </c>
      <c r="P21" s="49">
        <v>0</v>
      </c>
      <c r="Q21" s="49">
        <v>0</v>
      </c>
      <c r="R21" s="49">
        <v>0</v>
      </c>
      <c r="S21" s="49">
        <v>0</v>
      </c>
      <c r="T21" s="49">
        <v>0</v>
      </c>
      <c r="U21" s="49">
        <v>0</v>
      </c>
      <c r="V21" s="49">
        <v>0</v>
      </c>
      <c r="W21" s="49">
        <v>0</v>
      </c>
      <c r="X21" s="49">
        <v>0</v>
      </c>
      <c r="Y21" s="49">
        <v>0</v>
      </c>
      <c r="Z21" s="49">
        <v>0</v>
      </c>
      <c r="AA21" s="49">
        <v>0</v>
      </c>
      <c r="AB21" s="49">
        <v>0</v>
      </c>
      <c r="AC21" s="49">
        <v>0</v>
      </c>
      <c r="AD21" s="49">
        <v>0</v>
      </c>
      <c r="AE21" s="49">
        <v>0</v>
      </c>
      <c r="AF21" s="49">
        <v>0</v>
      </c>
      <c r="AG21" s="49">
        <v>254</v>
      </c>
      <c r="AH21" s="49">
        <v>5</v>
      </c>
      <c r="AI21" s="49">
        <v>5</v>
      </c>
      <c r="AJ21" s="49">
        <v>264</v>
      </c>
      <c r="AK21" s="49">
        <v>63</v>
      </c>
      <c r="AL21" s="49">
        <v>4</v>
      </c>
      <c r="AM21" s="49">
        <v>0</v>
      </c>
      <c r="AN21" s="49">
        <v>67</v>
      </c>
      <c r="AO21" s="49">
        <v>331</v>
      </c>
      <c r="AP21" s="49">
        <v>29</v>
      </c>
      <c r="AQ21" s="49">
        <v>0</v>
      </c>
      <c r="AR21" s="49">
        <v>0</v>
      </c>
      <c r="AS21" s="49">
        <v>29</v>
      </c>
      <c r="AT21" s="49">
        <v>96</v>
      </c>
      <c r="AU21" s="49">
        <v>7</v>
      </c>
      <c r="AV21" s="49">
        <v>2</v>
      </c>
      <c r="AW21" s="49">
        <v>105</v>
      </c>
      <c r="AX21" s="49">
        <v>0</v>
      </c>
      <c r="AY21" s="49">
        <v>0</v>
      </c>
      <c r="AZ21" s="49">
        <v>0</v>
      </c>
      <c r="BA21" s="49">
        <v>0</v>
      </c>
      <c r="BB21" s="49">
        <v>134</v>
      </c>
      <c r="BC21" s="49">
        <v>465</v>
      </c>
    </row>
    <row r="22" spans="2:55" x14ac:dyDescent="0.25">
      <c r="B22" s="11">
        <v>0.36458333333333331</v>
      </c>
      <c r="C22" s="49">
        <v>0</v>
      </c>
      <c r="D22" s="49">
        <v>0</v>
      </c>
      <c r="E22" s="49">
        <v>0</v>
      </c>
      <c r="F22" s="49">
        <v>0</v>
      </c>
      <c r="G22" s="49">
        <v>0</v>
      </c>
      <c r="H22" s="49">
        <v>0</v>
      </c>
      <c r="I22" s="49">
        <v>0</v>
      </c>
      <c r="J22" s="49">
        <v>0</v>
      </c>
      <c r="K22" s="49">
        <v>0</v>
      </c>
      <c r="L22" s="49">
        <v>0</v>
      </c>
      <c r="M22" s="49">
        <v>0</v>
      </c>
      <c r="N22" s="49">
        <v>0</v>
      </c>
      <c r="O22" s="49">
        <v>0</v>
      </c>
      <c r="P22" s="49">
        <v>0</v>
      </c>
      <c r="Q22" s="49">
        <v>0</v>
      </c>
      <c r="R22" s="49">
        <v>0</v>
      </c>
      <c r="S22" s="49">
        <v>0</v>
      </c>
      <c r="T22" s="49">
        <v>0</v>
      </c>
      <c r="U22" s="49">
        <v>0</v>
      </c>
      <c r="V22" s="49">
        <v>0</v>
      </c>
      <c r="W22" s="49">
        <v>0</v>
      </c>
      <c r="X22" s="49">
        <v>0</v>
      </c>
      <c r="Y22" s="49">
        <v>0</v>
      </c>
      <c r="Z22" s="49">
        <v>0</v>
      </c>
      <c r="AA22" s="49">
        <v>0</v>
      </c>
      <c r="AB22" s="49">
        <v>0</v>
      </c>
      <c r="AC22" s="49">
        <v>0</v>
      </c>
      <c r="AD22" s="49">
        <v>0</v>
      </c>
      <c r="AE22" s="49">
        <v>0</v>
      </c>
      <c r="AF22" s="49">
        <v>0</v>
      </c>
      <c r="AG22" s="49">
        <v>226</v>
      </c>
      <c r="AH22" s="49">
        <v>4</v>
      </c>
      <c r="AI22" s="49">
        <v>7</v>
      </c>
      <c r="AJ22" s="49">
        <v>237</v>
      </c>
      <c r="AK22" s="49">
        <v>57</v>
      </c>
      <c r="AL22" s="49">
        <v>4</v>
      </c>
      <c r="AM22" s="49">
        <v>0</v>
      </c>
      <c r="AN22" s="49">
        <v>61</v>
      </c>
      <c r="AO22" s="49">
        <v>298</v>
      </c>
      <c r="AP22" s="49">
        <v>50</v>
      </c>
      <c r="AQ22" s="49">
        <v>2</v>
      </c>
      <c r="AR22" s="49">
        <v>0</v>
      </c>
      <c r="AS22" s="49">
        <v>52</v>
      </c>
      <c r="AT22" s="49">
        <v>105</v>
      </c>
      <c r="AU22" s="49">
        <v>6</v>
      </c>
      <c r="AV22" s="49">
        <v>1</v>
      </c>
      <c r="AW22" s="49">
        <v>112</v>
      </c>
      <c r="AX22" s="49">
        <v>0</v>
      </c>
      <c r="AY22" s="49">
        <v>0</v>
      </c>
      <c r="AZ22" s="49">
        <v>0</v>
      </c>
      <c r="BA22" s="49">
        <v>0</v>
      </c>
      <c r="BB22" s="49">
        <v>164</v>
      </c>
      <c r="BC22" s="49">
        <v>462</v>
      </c>
    </row>
    <row r="23" spans="2:55" x14ac:dyDescent="0.25">
      <c r="B23" s="10" t="s">
        <v>44</v>
      </c>
      <c r="C23" s="49">
        <v>0</v>
      </c>
      <c r="D23" s="49">
        <v>0</v>
      </c>
      <c r="E23" s="49">
        <v>0</v>
      </c>
      <c r="F23" s="49">
        <v>0</v>
      </c>
      <c r="G23" s="49">
        <v>0</v>
      </c>
      <c r="H23" s="49">
        <v>0</v>
      </c>
      <c r="I23" s="49">
        <v>0</v>
      </c>
      <c r="J23" s="49">
        <v>0</v>
      </c>
      <c r="K23" s="49">
        <v>0</v>
      </c>
      <c r="L23" s="49">
        <v>0</v>
      </c>
      <c r="M23" s="49">
        <v>0</v>
      </c>
      <c r="N23" s="49">
        <v>0</v>
      </c>
      <c r="O23" s="49">
        <v>0</v>
      </c>
      <c r="P23" s="49">
        <v>0</v>
      </c>
      <c r="Q23" s="49">
        <v>0</v>
      </c>
      <c r="R23" s="49">
        <v>0</v>
      </c>
      <c r="S23" s="49">
        <v>0</v>
      </c>
      <c r="T23" s="49">
        <v>0</v>
      </c>
      <c r="U23" s="49">
        <v>0</v>
      </c>
      <c r="V23" s="49">
        <v>0</v>
      </c>
      <c r="W23" s="49">
        <v>0</v>
      </c>
      <c r="X23" s="49">
        <v>0</v>
      </c>
      <c r="Y23" s="49">
        <v>0</v>
      </c>
      <c r="Z23" s="49">
        <v>0</v>
      </c>
      <c r="AA23" s="49">
        <v>0</v>
      </c>
      <c r="AB23" s="49">
        <v>0</v>
      </c>
      <c r="AC23" s="49">
        <v>0</v>
      </c>
      <c r="AD23" s="49">
        <v>0</v>
      </c>
      <c r="AE23" s="49">
        <v>1</v>
      </c>
      <c r="AF23" s="49">
        <v>1</v>
      </c>
      <c r="AG23" s="49">
        <v>2394</v>
      </c>
      <c r="AH23" s="49">
        <v>19</v>
      </c>
      <c r="AI23" s="49">
        <v>36</v>
      </c>
      <c r="AJ23" s="49">
        <v>2449</v>
      </c>
      <c r="AK23" s="49">
        <v>392</v>
      </c>
      <c r="AL23" s="49">
        <v>5</v>
      </c>
      <c r="AM23" s="49">
        <v>3</v>
      </c>
      <c r="AN23" s="49">
        <v>400</v>
      </c>
      <c r="AO23" s="49">
        <v>2850</v>
      </c>
      <c r="AP23" s="49">
        <v>454</v>
      </c>
      <c r="AQ23" s="49">
        <v>2</v>
      </c>
      <c r="AR23" s="49">
        <v>3</v>
      </c>
      <c r="AS23" s="49">
        <v>459</v>
      </c>
      <c r="AT23" s="49">
        <v>1254</v>
      </c>
      <c r="AU23" s="49">
        <v>26</v>
      </c>
      <c r="AV23" s="49">
        <v>102</v>
      </c>
      <c r="AW23" s="49">
        <v>1382</v>
      </c>
      <c r="AX23" s="49">
        <v>0</v>
      </c>
      <c r="AY23" s="49">
        <v>0</v>
      </c>
      <c r="AZ23" s="49">
        <v>0</v>
      </c>
      <c r="BA23" s="49">
        <v>0</v>
      </c>
      <c r="BB23" s="49">
        <v>1841</v>
      </c>
      <c r="BC23" s="49">
        <v>4691</v>
      </c>
    </row>
    <row r="24" spans="2:55" x14ac:dyDescent="0.25">
      <c r="B24" s="11">
        <v>0.66666666666666663</v>
      </c>
      <c r="C24" s="49">
        <v>0</v>
      </c>
      <c r="D24" s="49">
        <v>0</v>
      </c>
      <c r="E24" s="49">
        <v>0</v>
      </c>
      <c r="F24" s="49">
        <v>0</v>
      </c>
      <c r="G24" s="49">
        <v>0</v>
      </c>
      <c r="H24" s="49">
        <v>0</v>
      </c>
      <c r="I24" s="49">
        <v>0</v>
      </c>
      <c r="J24" s="49">
        <v>0</v>
      </c>
      <c r="K24" s="49">
        <v>0</v>
      </c>
      <c r="L24" s="49">
        <v>0</v>
      </c>
      <c r="M24" s="49">
        <v>0</v>
      </c>
      <c r="N24" s="49">
        <v>0</v>
      </c>
      <c r="O24" s="49">
        <v>0</v>
      </c>
      <c r="P24" s="49">
        <v>0</v>
      </c>
      <c r="Q24" s="49">
        <v>0</v>
      </c>
      <c r="R24" s="49">
        <v>0</v>
      </c>
      <c r="S24" s="49">
        <v>0</v>
      </c>
      <c r="T24" s="49">
        <v>0</v>
      </c>
      <c r="U24" s="49">
        <v>0</v>
      </c>
      <c r="V24" s="49">
        <v>0</v>
      </c>
      <c r="W24" s="49">
        <v>0</v>
      </c>
      <c r="X24" s="49">
        <v>0</v>
      </c>
      <c r="Y24" s="49">
        <v>0</v>
      </c>
      <c r="Z24" s="49">
        <v>0</v>
      </c>
      <c r="AA24" s="49">
        <v>0</v>
      </c>
      <c r="AB24" s="49">
        <v>0</v>
      </c>
      <c r="AC24" s="49">
        <v>0</v>
      </c>
      <c r="AD24" s="49">
        <v>0</v>
      </c>
      <c r="AE24" s="49">
        <v>0</v>
      </c>
      <c r="AF24" s="49">
        <v>0</v>
      </c>
      <c r="AG24" s="49">
        <v>299</v>
      </c>
      <c r="AH24" s="49">
        <v>3</v>
      </c>
      <c r="AI24" s="49">
        <v>5</v>
      </c>
      <c r="AJ24" s="49">
        <v>307</v>
      </c>
      <c r="AK24" s="49">
        <v>49</v>
      </c>
      <c r="AL24" s="49">
        <v>1</v>
      </c>
      <c r="AM24" s="49">
        <v>0</v>
      </c>
      <c r="AN24" s="49">
        <v>50</v>
      </c>
      <c r="AO24" s="49">
        <v>357</v>
      </c>
      <c r="AP24" s="49">
        <v>38</v>
      </c>
      <c r="AQ24" s="49">
        <v>1</v>
      </c>
      <c r="AR24" s="49">
        <v>0</v>
      </c>
      <c r="AS24" s="49">
        <v>39</v>
      </c>
      <c r="AT24" s="49">
        <v>130</v>
      </c>
      <c r="AU24" s="49">
        <v>5</v>
      </c>
      <c r="AV24" s="49">
        <v>10</v>
      </c>
      <c r="AW24" s="49">
        <v>145</v>
      </c>
      <c r="AX24" s="49">
        <v>0</v>
      </c>
      <c r="AY24" s="49">
        <v>0</v>
      </c>
      <c r="AZ24" s="49">
        <v>0</v>
      </c>
      <c r="BA24" s="49">
        <v>0</v>
      </c>
      <c r="BB24" s="49">
        <v>184</v>
      </c>
      <c r="BC24" s="49">
        <v>541</v>
      </c>
    </row>
    <row r="25" spans="2:55" x14ac:dyDescent="0.25">
      <c r="B25" s="11">
        <v>0.67708333333333337</v>
      </c>
      <c r="C25" s="49">
        <v>0</v>
      </c>
      <c r="D25" s="49">
        <v>0</v>
      </c>
      <c r="E25" s="49">
        <v>0</v>
      </c>
      <c r="F25" s="49">
        <v>0</v>
      </c>
      <c r="G25" s="49">
        <v>0</v>
      </c>
      <c r="H25" s="49">
        <v>0</v>
      </c>
      <c r="I25" s="49">
        <v>0</v>
      </c>
      <c r="J25" s="49">
        <v>0</v>
      </c>
      <c r="K25" s="49">
        <v>0</v>
      </c>
      <c r="L25" s="49">
        <v>0</v>
      </c>
      <c r="M25" s="49">
        <v>0</v>
      </c>
      <c r="N25" s="49">
        <v>0</v>
      </c>
      <c r="O25" s="49">
        <v>0</v>
      </c>
      <c r="P25" s="49">
        <v>0</v>
      </c>
      <c r="Q25" s="49">
        <v>0</v>
      </c>
      <c r="R25" s="49">
        <v>0</v>
      </c>
      <c r="S25" s="49">
        <v>0</v>
      </c>
      <c r="T25" s="49">
        <v>0</v>
      </c>
      <c r="U25" s="49">
        <v>0</v>
      </c>
      <c r="V25" s="49">
        <v>0</v>
      </c>
      <c r="W25" s="49">
        <v>0</v>
      </c>
      <c r="X25" s="49">
        <v>0</v>
      </c>
      <c r="Y25" s="49">
        <v>0</v>
      </c>
      <c r="Z25" s="49">
        <v>0</v>
      </c>
      <c r="AA25" s="49">
        <v>0</v>
      </c>
      <c r="AB25" s="49">
        <v>0</v>
      </c>
      <c r="AC25" s="49">
        <v>0</v>
      </c>
      <c r="AD25" s="49">
        <v>0</v>
      </c>
      <c r="AE25" s="49">
        <v>0</v>
      </c>
      <c r="AF25" s="49">
        <v>0</v>
      </c>
      <c r="AG25" s="49">
        <v>294</v>
      </c>
      <c r="AH25" s="49">
        <v>2</v>
      </c>
      <c r="AI25" s="49">
        <v>5</v>
      </c>
      <c r="AJ25" s="49">
        <v>301</v>
      </c>
      <c r="AK25" s="49">
        <v>48</v>
      </c>
      <c r="AL25" s="49">
        <v>0</v>
      </c>
      <c r="AM25" s="49">
        <v>0</v>
      </c>
      <c r="AN25" s="49">
        <v>48</v>
      </c>
      <c r="AO25" s="49">
        <v>349</v>
      </c>
      <c r="AP25" s="49">
        <v>53</v>
      </c>
      <c r="AQ25" s="49">
        <v>0</v>
      </c>
      <c r="AR25" s="49">
        <v>0</v>
      </c>
      <c r="AS25" s="49">
        <v>53</v>
      </c>
      <c r="AT25" s="49">
        <v>148</v>
      </c>
      <c r="AU25" s="49">
        <v>6</v>
      </c>
      <c r="AV25" s="49">
        <v>9</v>
      </c>
      <c r="AW25" s="49">
        <v>163</v>
      </c>
      <c r="AX25" s="49">
        <v>0</v>
      </c>
      <c r="AY25" s="49">
        <v>0</v>
      </c>
      <c r="AZ25" s="49">
        <v>0</v>
      </c>
      <c r="BA25" s="49">
        <v>0</v>
      </c>
      <c r="BB25" s="49">
        <v>216</v>
      </c>
      <c r="BC25" s="49">
        <v>565</v>
      </c>
    </row>
    <row r="26" spans="2:55" x14ac:dyDescent="0.25">
      <c r="B26" s="11">
        <v>0.6875</v>
      </c>
      <c r="C26" s="49">
        <v>0</v>
      </c>
      <c r="D26" s="49">
        <v>0</v>
      </c>
      <c r="E26" s="49">
        <v>0</v>
      </c>
      <c r="F26" s="49">
        <v>0</v>
      </c>
      <c r="G26" s="49">
        <v>0</v>
      </c>
      <c r="H26" s="49">
        <v>0</v>
      </c>
      <c r="I26" s="49">
        <v>0</v>
      </c>
      <c r="J26" s="49">
        <v>0</v>
      </c>
      <c r="K26" s="49">
        <v>0</v>
      </c>
      <c r="L26" s="49">
        <v>0</v>
      </c>
      <c r="M26" s="49">
        <v>0</v>
      </c>
      <c r="N26" s="49">
        <v>0</v>
      </c>
      <c r="O26" s="49">
        <v>0</v>
      </c>
      <c r="P26" s="49">
        <v>0</v>
      </c>
      <c r="Q26" s="49">
        <v>0</v>
      </c>
      <c r="R26" s="49">
        <v>0</v>
      </c>
      <c r="S26" s="49">
        <v>0</v>
      </c>
      <c r="T26" s="49">
        <v>0</v>
      </c>
      <c r="U26" s="49">
        <v>0</v>
      </c>
      <c r="V26" s="49">
        <v>0</v>
      </c>
      <c r="W26" s="49">
        <v>0</v>
      </c>
      <c r="X26" s="49">
        <v>0</v>
      </c>
      <c r="Y26" s="49">
        <v>0</v>
      </c>
      <c r="Z26" s="49">
        <v>0</v>
      </c>
      <c r="AA26" s="49">
        <v>0</v>
      </c>
      <c r="AB26" s="49">
        <v>0</v>
      </c>
      <c r="AC26" s="49">
        <v>0</v>
      </c>
      <c r="AD26" s="49">
        <v>0</v>
      </c>
      <c r="AE26" s="49">
        <v>0</v>
      </c>
      <c r="AF26" s="49">
        <v>0</v>
      </c>
      <c r="AG26" s="49">
        <v>342</v>
      </c>
      <c r="AH26" s="49">
        <v>6</v>
      </c>
      <c r="AI26" s="49">
        <v>2</v>
      </c>
      <c r="AJ26" s="49">
        <v>350</v>
      </c>
      <c r="AK26" s="49">
        <v>51</v>
      </c>
      <c r="AL26" s="49">
        <v>1</v>
      </c>
      <c r="AM26" s="49">
        <v>1</v>
      </c>
      <c r="AN26" s="49">
        <v>53</v>
      </c>
      <c r="AO26" s="49">
        <v>403</v>
      </c>
      <c r="AP26" s="49">
        <v>63</v>
      </c>
      <c r="AQ26" s="49">
        <v>0</v>
      </c>
      <c r="AR26" s="49">
        <v>0</v>
      </c>
      <c r="AS26" s="49">
        <v>63</v>
      </c>
      <c r="AT26" s="49">
        <v>146</v>
      </c>
      <c r="AU26" s="49">
        <v>3</v>
      </c>
      <c r="AV26" s="49">
        <v>12</v>
      </c>
      <c r="AW26" s="49">
        <v>161</v>
      </c>
      <c r="AX26" s="49">
        <v>0</v>
      </c>
      <c r="AY26" s="49">
        <v>0</v>
      </c>
      <c r="AZ26" s="49">
        <v>0</v>
      </c>
      <c r="BA26" s="49">
        <v>0</v>
      </c>
      <c r="BB26" s="49">
        <v>224</v>
      </c>
      <c r="BC26" s="49">
        <v>627</v>
      </c>
    </row>
    <row r="27" spans="2:55" x14ac:dyDescent="0.25">
      <c r="B27" s="11">
        <v>0.69791666666666663</v>
      </c>
      <c r="C27" s="49">
        <v>0</v>
      </c>
      <c r="D27" s="49">
        <v>0</v>
      </c>
      <c r="E27" s="49">
        <v>0</v>
      </c>
      <c r="F27" s="49">
        <v>0</v>
      </c>
      <c r="G27" s="49">
        <v>0</v>
      </c>
      <c r="H27" s="49">
        <v>0</v>
      </c>
      <c r="I27" s="49">
        <v>0</v>
      </c>
      <c r="J27" s="49">
        <v>0</v>
      </c>
      <c r="K27" s="49">
        <v>0</v>
      </c>
      <c r="L27" s="49">
        <v>0</v>
      </c>
      <c r="M27" s="49">
        <v>0</v>
      </c>
      <c r="N27" s="49">
        <v>0</v>
      </c>
      <c r="O27" s="49">
        <v>0</v>
      </c>
      <c r="P27" s="49">
        <v>0</v>
      </c>
      <c r="Q27" s="49">
        <v>0</v>
      </c>
      <c r="R27" s="49">
        <v>0</v>
      </c>
      <c r="S27" s="49">
        <v>0</v>
      </c>
      <c r="T27" s="49">
        <v>0</v>
      </c>
      <c r="U27" s="49">
        <v>0</v>
      </c>
      <c r="V27" s="49">
        <v>0</v>
      </c>
      <c r="W27" s="49">
        <v>0</v>
      </c>
      <c r="X27" s="49">
        <v>0</v>
      </c>
      <c r="Y27" s="49">
        <v>0</v>
      </c>
      <c r="Z27" s="49">
        <v>0</v>
      </c>
      <c r="AA27" s="49">
        <v>0</v>
      </c>
      <c r="AB27" s="49">
        <v>0</v>
      </c>
      <c r="AC27" s="49">
        <v>0</v>
      </c>
      <c r="AD27" s="49">
        <v>0</v>
      </c>
      <c r="AE27" s="49">
        <v>0</v>
      </c>
      <c r="AF27" s="49">
        <v>0</v>
      </c>
      <c r="AG27" s="49">
        <v>270</v>
      </c>
      <c r="AH27" s="49">
        <v>2</v>
      </c>
      <c r="AI27" s="49">
        <v>6</v>
      </c>
      <c r="AJ27" s="49">
        <v>278</v>
      </c>
      <c r="AK27" s="49">
        <v>43</v>
      </c>
      <c r="AL27" s="49">
        <v>1</v>
      </c>
      <c r="AM27" s="49">
        <v>0</v>
      </c>
      <c r="AN27" s="49">
        <v>44</v>
      </c>
      <c r="AO27" s="49">
        <v>322</v>
      </c>
      <c r="AP27" s="49">
        <v>68</v>
      </c>
      <c r="AQ27" s="49">
        <v>0</v>
      </c>
      <c r="AR27" s="49">
        <v>0</v>
      </c>
      <c r="AS27" s="49">
        <v>68</v>
      </c>
      <c r="AT27" s="49">
        <v>169</v>
      </c>
      <c r="AU27" s="49">
        <v>2</v>
      </c>
      <c r="AV27" s="49">
        <v>10</v>
      </c>
      <c r="AW27" s="49">
        <v>181</v>
      </c>
      <c r="AX27" s="49">
        <v>0</v>
      </c>
      <c r="AY27" s="49">
        <v>0</v>
      </c>
      <c r="AZ27" s="49">
        <v>0</v>
      </c>
      <c r="BA27" s="49">
        <v>0</v>
      </c>
      <c r="BB27" s="49">
        <v>249</v>
      </c>
      <c r="BC27" s="49">
        <v>571</v>
      </c>
    </row>
    <row r="28" spans="2:55" x14ac:dyDescent="0.25">
      <c r="B28" s="11">
        <v>0.70833333333333337</v>
      </c>
      <c r="C28" s="49">
        <v>0</v>
      </c>
      <c r="D28" s="49">
        <v>0</v>
      </c>
      <c r="E28" s="49">
        <v>0</v>
      </c>
      <c r="F28" s="49">
        <v>0</v>
      </c>
      <c r="G28" s="49">
        <v>0</v>
      </c>
      <c r="H28" s="49">
        <v>0</v>
      </c>
      <c r="I28" s="49">
        <v>0</v>
      </c>
      <c r="J28" s="49">
        <v>0</v>
      </c>
      <c r="K28" s="49">
        <v>0</v>
      </c>
      <c r="L28" s="49">
        <v>0</v>
      </c>
      <c r="M28" s="49">
        <v>0</v>
      </c>
      <c r="N28" s="49">
        <v>0</v>
      </c>
      <c r="O28" s="49">
        <v>0</v>
      </c>
      <c r="P28" s="49">
        <v>0</v>
      </c>
      <c r="Q28" s="49">
        <v>0</v>
      </c>
      <c r="R28" s="49">
        <v>0</v>
      </c>
      <c r="S28" s="49">
        <v>0</v>
      </c>
      <c r="T28" s="49">
        <v>0</v>
      </c>
      <c r="U28" s="49">
        <v>0</v>
      </c>
      <c r="V28" s="49">
        <v>0</v>
      </c>
      <c r="W28" s="49">
        <v>0</v>
      </c>
      <c r="X28" s="49">
        <v>0</v>
      </c>
      <c r="Y28" s="49">
        <v>0</v>
      </c>
      <c r="Z28" s="49">
        <v>0</v>
      </c>
      <c r="AA28" s="49">
        <v>0</v>
      </c>
      <c r="AB28" s="49">
        <v>0</v>
      </c>
      <c r="AC28" s="49">
        <v>0</v>
      </c>
      <c r="AD28" s="49">
        <v>0</v>
      </c>
      <c r="AE28" s="49">
        <v>0</v>
      </c>
      <c r="AF28" s="49">
        <v>0</v>
      </c>
      <c r="AG28" s="49">
        <v>325</v>
      </c>
      <c r="AH28" s="49">
        <v>4</v>
      </c>
      <c r="AI28" s="49">
        <v>2</v>
      </c>
      <c r="AJ28" s="49">
        <v>331</v>
      </c>
      <c r="AK28" s="49">
        <v>67</v>
      </c>
      <c r="AL28" s="49">
        <v>1</v>
      </c>
      <c r="AM28" s="49">
        <v>1</v>
      </c>
      <c r="AN28" s="49">
        <v>69</v>
      </c>
      <c r="AO28" s="49">
        <v>400</v>
      </c>
      <c r="AP28" s="49">
        <v>65</v>
      </c>
      <c r="AQ28" s="49">
        <v>0</v>
      </c>
      <c r="AR28" s="49">
        <v>1</v>
      </c>
      <c r="AS28" s="49">
        <v>66</v>
      </c>
      <c r="AT28" s="49">
        <v>200</v>
      </c>
      <c r="AU28" s="49">
        <v>3</v>
      </c>
      <c r="AV28" s="49">
        <v>22</v>
      </c>
      <c r="AW28" s="49">
        <v>225</v>
      </c>
      <c r="AX28" s="49">
        <v>0</v>
      </c>
      <c r="AY28" s="49">
        <v>0</v>
      </c>
      <c r="AZ28" s="49">
        <v>0</v>
      </c>
      <c r="BA28" s="49">
        <v>0</v>
      </c>
      <c r="BB28" s="49">
        <v>291</v>
      </c>
      <c r="BC28" s="49">
        <v>691</v>
      </c>
    </row>
    <row r="29" spans="2:55" x14ac:dyDescent="0.25">
      <c r="B29" s="11">
        <v>0.71875</v>
      </c>
      <c r="C29" s="49">
        <v>0</v>
      </c>
      <c r="D29" s="49">
        <v>0</v>
      </c>
      <c r="E29" s="49">
        <v>0</v>
      </c>
      <c r="F29" s="49">
        <v>0</v>
      </c>
      <c r="G29" s="49">
        <v>0</v>
      </c>
      <c r="H29" s="49">
        <v>0</v>
      </c>
      <c r="I29" s="49">
        <v>0</v>
      </c>
      <c r="J29" s="49">
        <v>0</v>
      </c>
      <c r="K29" s="49">
        <v>0</v>
      </c>
      <c r="L29" s="49">
        <v>0</v>
      </c>
      <c r="M29" s="49">
        <v>0</v>
      </c>
      <c r="N29" s="49">
        <v>0</v>
      </c>
      <c r="O29" s="49">
        <v>0</v>
      </c>
      <c r="P29" s="49">
        <v>0</v>
      </c>
      <c r="Q29" s="49">
        <v>0</v>
      </c>
      <c r="R29" s="49">
        <v>0</v>
      </c>
      <c r="S29" s="49">
        <v>0</v>
      </c>
      <c r="T29" s="49">
        <v>0</v>
      </c>
      <c r="U29" s="49">
        <v>0</v>
      </c>
      <c r="V29" s="49">
        <v>0</v>
      </c>
      <c r="W29" s="49">
        <v>0</v>
      </c>
      <c r="X29" s="49">
        <v>0</v>
      </c>
      <c r="Y29" s="49">
        <v>0</v>
      </c>
      <c r="Z29" s="49">
        <v>0</v>
      </c>
      <c r="AA29" s="49">
        <v>0</v>
      </c>
      <c r="AB29" s="49">
        <v>0</v>
      </c>
      <c r="AC29" s="49">
        <v>0</v>
      </c>
      <c r="AD29" s="49">
        <v>0</v>
      </c>
      <c r="AE29" s="49">
        <v>1</v>
      </c>
      <c r="AF29" s="49">
        <v>1</v>
      </c>
      <c r="AG29" s="49">
        <v>310</v>
      </c>
      <c r="AH29" s="49">
        <v>0</v>
      </c>
      <c r="AI29" s="49">
        <v>3</v>
      </c>
      <c r="AJ29" s="49">
        <v>313</v>
      </c>
      <c r="AK29" s="49">
        <v>61</v>
      </c>
      <c r="AL29" s="49">
        <v>0</v>
      </c>
      <c r="AM29" s="49">
        <v>0</v>
      </c>
      <c r="AN29" s="49">
        <v>61</v>
      </c>
      <c r="AO29" s="49">
        <v>375</v>
      </c>
      <c r="AP29" s="49">
        <v>78</v>
      </c>
      <c r="AQ29" s="49">
        <v>0</v>
      </c>
      <c r="AR29" s="49">
        <v>0</v>
      </c>
      <c r="AS29" s="49">
        <v>78</v>
      </c>
      <c r="AT29" s="49">
        <v>196</v>
      </c>
      <c r="AU29" s="49">
        <v>2</v>
      </c>
      <c r="AV29" s="49">
        <v>15</v>
      </c>
      <c r="AW29" s="49">
        <v>213</v>
      </c>
      <c r="AX29" s="49">
        <v>0</v>
      </c>
      <c r="AY29" s="49">
        <v>0</v>
      </c>
      <c r="AZ29" s="49">
        <v>0</v>
      </c>
      <c r="BA29" s="49">
        <v>0</v>
      </c>
      <c r="BB29" s="49">
        <v>291</v>
      </c>
      <c r="BC29" s="49">
        <v>666</v>
      </c>
    </row>
    <row r="30" spans="2:55" x14ac:dyDescent="0.25">
      <c r="B30" s="11">
        <v>0.72916666666666663</v>
      </c>
      <c r="C30" s="49">
        <v>0</v>
      </c>
      <c r="D30" s="49">
        <v>0</v>
      </c>
      <c r="E30" s="49">
        <v>0</v>
      </c>
      <c r="F30" s="49">
        <v>0</v>
      </c>
      <c r="G30" s="49">
        <v>0</v>
      </c>
      <c r="H30" s="49">
        <v>0</v>
      </c>
      <c r="I30" s="49">
        <v>0</v>
      </c>
      <c r="J30" s="49">
        <v>0</v>
      </c>
      <c r="K30" s="49">
        <v>0</v>
      </c>
      <c r="L30" s="49">
        <v>0</v>
      </c>
      <c r="M30" s="49">
        <v>0</v>
      </c>
      <c r="N30" s="49">
        <v>0</v>
      </c>
      <c r="O30" s="49">
        <v>0</v>
      </c>
      <c r="P30" s="49">
        <v>0</v>
      </c>
      <c r="Q30" s="49">
        <v>0</v>
      </c>
      <c r="R30" s="49">
        <v>0</v>
      </c>
      <c r="S30" s="49">
        <v>0</v>
      </c>
      <c r="T30" s="49">
        <v>0</v>
      </c>
      <c r="U30" s="49">
        <v>0</v>
      </c>
      <c r="V30" s="49">
        <v>0</v>
      </c>
      <c r="W30" s="49">
        <v>0</v>
      </c>
      <c r="X30" s="49">
        <v>0</v>
      </c>
      <c r="Y30" s="49">
        <v>0</v>
      </c>
      <c r="Z30" s="49">
        <v>0</v>
      </c>
      <c r="AA30" s="49">
        <v>0</v>
      </c>
      <c r="AB30" s="49">
        <v>0</v>
      </c>
      <c r="AC30" s="49">
        <v>0</v>
      </c>
      <c r="AD30" s="49">
        <v>0</v>
      </c>
      <c r="AE30" s="49">
        <v>0</v>
      </c>
      <c r="AF30" s="49">
        <v>0</v>
      </c>
      <c r="AG30" s="49">
        <v>298</v>
      </c>
      <c r="AH30" s="49">
        <v>1</v>
      </c>
      <c r="AI30" s="49">
        <v>6</v>
      </c>
      <c r="AJ30" s="49">
        <v>305</v>
      </c>
      <c r="AK30" s="49">
        <v>44</v>
      </c>
      <c r="AL30" s="49">
        <v>1</v>
      </c>
      <c r="AM30" s="49">
        <v>1</v>
      </c>
      <c r="AN30" s="49">
        <v>46</v>
      </c>
      <c r="AO30" s="49">
        <v>351</v>
      </c>
      <c r="AP30" s="49">
        <v>54</v>
      </c>
      <c r="AQ30" s="49">
        <v>1</v>
      </c>
      <c r="AR30" s="49">
        <v>1</v>
      </c>
      <c r="AS30" s="49">
        <v>56</v>
      </c>
      <c r="AT30" s="49">
        <v>139</v>
      </c>
      <c r="AU30" s="49">
        <v>2</v>
      </c>
      <c r="AV30" s="49">
        <v>9</v>
      </c>
      <c r="AW30" s="49">
        <v>150</v>
      </c>
      <c r="AX30" s="49">
        <v>0</v>
      </c>
      <c r="AY30" s="49">
        <v>0</v>
      </c>
      <c r="AZ30" s="49">
        <v>0</v>
      </c>
      <c r="BA30" s="49">
        <v>0</v>
      </c>
      <c r="BB30" s="49">
        <v>206</v>
      </c>
      <c r="BC30" s="49">
        <v>557</v>
      </c>
    </row>
    <row r="31" spans="2:55" x14ac:dyDescent="0.25">
      <c r="B31" s="11">
        <v>0.73958333333333337</v>
      </c>
      <c r="C31" s="49">
        <v>0</v>
      </c>
      <c r="D31" s="49">
        <v>0</v>
      </c>
      <c r="E31" s="49">
        <v>0</v>
      </c>
      <c r="F31" s="49">
        <v>0</v>
      </c>
      <c r="G31" s="49">
        <v>0</v>
      </c>
      <c r="H31" s="49">
        <v>0</v>
      </c>
      <c r="I31" s="49">
        <v>0</v>
      </c>
      <c r="J31" s="49">
        <v>0</v>
      </c>
      <c r="K31" s="49">
        <v>0</v>
      </c>
      <c r="L31" s="49">
        <v>0</v>
      </c>
      <c r="M31" s="49">
        <v>0</v>
      </c>
      <c r="N31" s="49">
        <v>0</v>
      </c>
      <c r="O31" s="49">
        <v>0</v>
      </c>
      <c r="P31" s="49">
        <v>0</v>
      </c>
      <c r="Q31" s="49">
        <v>0</v>
      </c>
      <c r="R31" s="49">
        <v>0</v>
      </c>
      <c r="S31" s="49">
        <v>0</v>
      </c>
      <c r="T31" s="49">
        <v>0</v>
      </c>
      <c r="U31" s="49">
        <v>0</v>
      </c>
      <c r="V31" s="49">
        <v>0</v>
      </c>
      <c r="W31" s="49">
        <v>0</v>
      </c>
      <c r="X31" s="49">
        <v>0</v>
      </c>
      <c r="Y31" s="49">
        <v>0</v>
      </c>
      <c r="Z31" s="49">
        <v>0</v>
      </c>
      <c r="AA31" s="49">
        <v>0</v>
      </c>
      <c r="AB31" s="49">
        <v>0</v>
      </c>
      <c r="AC31" s="49">
        <v>0</v>
      </c>
      <c r="AD31" s="49">
        <v>0</v>
      </c>
      <c r="AE31" s="49">
        <v>0</v>
      </c>
      <c r="AF31" s="49">
        <v>0</v>
      </c>
      <c r="AG31" s="49">
        <v>256</v>
      </c>
      <c r="AH31" s="49">
        <v>1</v>
      </c>
      <c r="AI31" s="49">
        <v>7</v>
      </c>
      <c r="AJ31" s="49">
        <v>264</v>
      </c>
      <c r="AK31" s="49">
        <v>29</v>
      </c>
      <c r="AL31" s="49">
        <v>0</v>
      </c>
      <c r="AM31" s="49">
        <v>0</v>
      </c>
      <c r="AN31" s="49">
        <v>29</v>
      </c>
      <c r="AO31" s="49">
        <v>293</v>
      </c>
      <c r="AP31" s="49">
        <v>35</v>
      </c>
      <c r="AQ31" s="49">
        <v>0</v>
      </c>
      <c r="AR31" s="49">
        <v>1</v>
      </c>
      <c r="AS31" s="49">
        <v>36</v>
      </c>
      <c r="AT31" s="49">
        <v>126</v>
      </c>
      <c r="AU31" s="49">
        <v>3</v>
      </c>
      <c r="AV31" s="49">
        <v>15</v>
      </c>
      <c r="AW31" s="49">
        <v>144</v>
      </c>
      <c r="AX31" s="49">
        <v>0</v>
      </c>
      <c r="AY31" s="49">
        <v>0</v>
      </c>
      <c r="AZ31" s="49">
        <v>0</v>
      </c>
      <c r="BA31" s="49">
        <v>0</v>
      </c>
      <c r="BB31" s="49">
        <v>180</v>
      </c>
      <c r="BC31" s="49">
        <v>473</v>
      </c>
    </row>
    <row r="32" spans="2:55" x14ac:dyDescent="0.25">
      <c r="B32" s="10" t="s">
        <v>90</v>
      </c>
      <c r="C32" s="49">
        <v>0</v>
      </c>
      <c r="D32" s="49">
        <v>0</v>
      </c>
      <c r="E32" s="49">
        <v>0</v>
      </c>
      <c r="F32" s="49">
        <v>0</v>
      </c>
      <c r="G32" s="49">
        <v>0</v>
      </c>
      <c r="H32" s="49">
        <v>0</v>
      </c>
      <c r="I32" s="49">
        <v>0</v>
      </c>
      <c r="J32" s="49">
        <v>0</v>
      </c>
      <c r="K32" s="49">
        <v>0</v>
      </c>
      <c r="L32" s="49">
        <v>0</v>
      </c>
      <c r="M32" s="49">
        <v>0</v>
      </c>
      <c r="N32" s="49">
        <v>0</v>
      </c>
      <c r="O32" s="49">
        <v>0</v>
      </c>
      <c r="P32" s="49">
        <v>0</v>
      </c>
      <c r="Q32" s="49">
        <v>0</v>
      </c>
      <c r="R32" s="49">
        <v>0</v>
      </c>
      <c r="S32" s="49">
        <v>0</v>
      </c>
      <c r="T32" s="49">
        <v>0</v>
      </c>
      <c r="U32" s="49">
        <v>0</v>
      </c>
      <c r="V32" s="49">
        <v>0</v>
      </c>
      <c r="W32" s="49">
        <v>0</v>
      </c>
      <c r="X32" s="49">
        <v>0</v>
      </c>
      <c r="Y32" s="49">
        <v>0</v>
      </c>
      <c r="Z32" s="49">
        <v>0</v>
      </c>
      <c r="AA32" s="49">
        <v>0</v>
      </c>
      <c r="AB32" s="49">
        <v>0</v>
      </c>
      <c r="AC32" s="49">
        <v>0</v>
      </c>
      <c r="AD32" s="49">
        <v>0</v>
      </c>
      <c r="AE32" s="49">
        <v>0</v>
      </c>
      <c r="AF32" s="49">
        <v>0</v>
      </c>
      <c r="AG32" s="49">
        <v>755</v>
      </c>
      <c r="AH32" s="49">
        <v>17</v>
      </c>
      <c r="AI32" s="49">
        <v>7</v>
      </c>
      <c r="AJ32" s="49">
        <v>779</v>
      </c>
      <c r="AK32" s="49">
        <v>156</v>
      </c>
      <c r="AL32" s="49">
        <v>3</v>
      </c>
      <c r="AM32" s="49">
        <v>1</v>
      </c>
      <c r="AN32" s="49">
        <v>160</v>
      </c>
      <c r="AO32" s="49">
        <v>939</v>
      </c>
      <c r="AP32" s="49">
        <v>110</v>
      </c>
      <c r="AQ32" s="49">
        <v>3</v>
      </c>
      <c r="AR32" s="49">
        <v>1</v>
      </c>
      <c r="AS32" s="49">
        <v>114</v>
      </c>
      <c r="AT32" s="49">
        <v>358</v>
      </c>
      <c r="AU32" s="49">
        <v>14</v>
      </c>
      <c r="AV32" s="49">
        <v>8</v>
      </c>
      <c r="AW32" s="49">
        <v>380</v>
      </c>
      <c r="AX32" s="49">
        <v>0</v>
      </c>
      <c r="AY32" s="49">
        <v>0</v>
      </c>
      <c r="AZ32" s="49">
        <v>0</v>
      </c>
      <c r="BA32" s="49">
        <v>0</v>
      </c>
      <c r="BB32" s="49">
        <v>494</v>
      </c>
      <c r="BC32" s="49">
        <v>1433</v>
      </c>
    </row>
    <row r="33" spans="2:55" x14ac:dyDescent="0.25">
      <c r="B33" s="11">
        <v>0.54166666666666663</v>
      </c>
      <c r="C33" s="49">
        <v>0</v>
      </c>
      <c r="D33" s="49">
        <v>0</v>
      </c>
      <c r="E33" s="49">
        <v>0</v>
      </c>
      <c r="F33" s="49">
        <v>0</v>
      </c>
      <c r="G33" s="49">
        <v>0</v>
      </c>
      <c r="H33" s="49">
        <v>0</v>
      </c>
      <c r="I33" s="49">
        <v>0</v>
      </c>
      <c r="J33" s="49">
        <v>0</v>
      </c>
      <c r="K33" s="49">
        <v>0</v>
      </c>
      <c r="L33" s="49">
        <v>0</v>
      </c>
      <c r="M33" s="49">
        <v>0</v>
      </c>
      <c r="N33" s="49">
        <v>0</v>
      </c>
      <c r="O33" s="49">
        <v>0</v>
      </c>
      <c r="P33" s="49">
        <v>0</v>
      </c>
      <c r="Q33" s="49">
        <v>0</v>
      </c>
      <c r="R33" s="49">
        <v>0</v>
      </c>
      <c r="S33" s="49">
        <v>0</v>
      </c>
      <c r="T33" s="49">
        <v>0</v>
      </c>
      <c r="U33" s="49">
        <v>0</v>
      </c>
      <c r="V33" s="49">
        <v>0</v>
      </c>
      <c r="W33" s="49">
        <v>0</v>
      </c>
      <c r="X33" s="49">
        <v>0</v>
      </c>
      <c r="Y33" s="49">
        <v>0</v>
      </c>
      <c r="Z33" s="49">
        <v>0</v>
      </c>
      <c r="AA33" s="49">
        <v>0</v>
      </c>
      <c r="AB33" s="49">
        <v>0</v>
      </c>
      <c r="AC33" s="49">
        <v>0</v>
      </c>
      <c r="AD33" s="49">
        <v>0</v>
      </c>
      <c r="AE33" s="49">
        <v>0</v>
      </c>
      <c r="AF33" s="49">
        <v>0</v>
      </c>
      <c r="AG33" s="49">
        <v>175</v>
      </c>
      <c r="AH33" s="49">
        <v>6</v>
      </c>
      <c r="AI33" s="49">
        <v>3</v>
      </c>
      <c r="AJ33" s="49">
        <v>184</v>
      </c>
      <c r="AK33" s="49">
        <v>45</v>
      </c>
      <c r="AL33" s="49">
        <v>1</v>
      </c>
      <c r="AM33" s="49">
        <v>0</v>
      </c>
      <c r="AN33" s="49">
        <v>46</v>
      </c>
      <c r="AO33" s="49">
        <v>230</v>
      </c>
      <c r="AP33" s="49">
        <v>31</v>
      </c>
      <c r="AQ33" s="49">
        <v>2</v>
      </c>
      <c r="AR33" s="49">
        <v>0</v>
      </c>
      <c r="AS33" s="49">
        <v>33</v>
      </c>
      <c r="AT33" s="49">
        <v>88</v>
      </c>
      <c r="AU33" s="49">
        <v>1</v>
      </c>
      <c r="AV33" s="49">
        <v>5</v>
      </c>
      <c r="AW33" s="49">
        <v>94</v>
      </c>
      <c r="AX33" s="49">
        <v>0</v>
      </c>
      <c r="AY33" s="49">
        <v>0</v>
      </c>
      <c r="AZ33" s="49">
        <v>0</v>
      </c>
      <c r="BA33" s="49">
        <v>0</v>
      </c>
      <c r="BB33" s="49">
        <v>127</v>
      </c>
      <c r="BC33" s="49">
        <v>357</v>
      </c>
    </row>
    <row r="34" spans="2:55" x14ac:dyDescent="0.25">
      <c r="B34" s="11">
        <v>0.55208333333333337</v>
      </c>
      <c r="C34" s="49">
        <v>0</v>
      </c>
      <c r="D34" s="49">
        <v>0</v>
      </c>
      <c r="E34" s="49">
        <v>0</v>
      </c>
      <c r="F34" s="49">
        <v>0</v>
      </c>
      <c r="G34" s="49">
        <v>0</v>
      </c>
      <c r="H34" s="49">
        <v>0</v>
      </c>
      <c r="I34" s="49">
        <v>0</v>
      </c>
      <c r="J34" s="49">
        <v>0</v>
      </c>
      <c r="K34" s="49">
        <v>0</v>
      </c>
      <c r="L34" s="49">
        <v>0</v>
      </c>
      <c r="M34" s="49">
        <v>0</v>
      </c>
      <c r="N34" s="49">
        <v>0</v>
      </c>
      <c r="O34" s="49">
        <v>0</v>
      </c>
      <c r="P34" s="49">
        <v>0</v>
      </c>
      <c r="Q34" s="49">
        <v>0</v>
      </c>
      <c r="R34" s="49">
        <v>0</v>
      </c>
      <c r="S34" s="49">
        <v>0</v>
      </c>
      <c r="T34" s="49">
        <v>0</v>
      </c>
      <c r="U34" s="49">
        <v>0</v>
      </c>
      <c r="V34" s="49">
        <v>0</v>
      </c>
      <c r="W34" s="49">
        <v>0</v>
      </c>
      <c r="X34" s="49">
        <v>0</v>
      </c>
      <c r="Y34" s="49">
        <v>0</v>
      </c>
      <c r="Z34" s="49">
        <v>0</v>
      </c>
      <c r="AA34" s="49">
        <v>0</v>
      </c>
      <c r="AB34" s="49">
        <v>0</v>
      </c>
      <c r="AC34" s="49">
        <v>0</v>
      </c>
      <c r="AD34" s="49">
        <v>0</v>
      </c>
      <c r="AE34" s="49">
        <v>0</v>
      </c>
      <c r="AF34" s="49">
        <v>0</v>
      </c>
      <c r="AG34" s="49">
        <v>194</v>
      </c>
      <c r="AH34" s="49">
        <v>3</v>
      </c>
      <c r="AI34" s="49">
        <v>0</v>
      </c>
      <c r="AJ34" s="49">
        <v>197</v>
      </c>
      <c r="AK34" s="49">
        <v>31</v>
      </c>
      <c r="AL34" s="49">
        <v>1</v>
      </c>
      <c r="AM34" s="49">
        <v>1</v>
      </c>
      <c r="AN34" s="49">
        <v>33</v>
      </c>
      <c r="AO34" s="49">
        <v>230</v>
      </c>
      <c r="AP34" s="49">
        <v>26</v>
      </c>
      <c r="AQ34" s="49">
        <v>0</v>
      </c>
      <c r="AR34" s="49">
        <v>0</v>
      </c>
      <c r="AS34" s="49">
        <v>26</v>
      </c>
      <c r="AT34" s="49">
        <v>66</v>
      </c>
      <c r="AU34" s="49">
        <v>4</v>
      </c>
      <c r="AV34" s="49">
        <v>2</v>
      </c>
      <c r="AW34" s="49">
        <v>72</v>
      </c>
      <c r="AX34" s="49">
        <v>0</v>
      </c>
      <c r="AY34" s="49">
        <v>0</v>
      </c>
      <c r="AZ34" s="49">
        <v>0</v>
      </c>
      <c r="BA34" s="49">
        <v>0</v>
      </c>
      <c r="BB34" s="49">
        <v>98</v>
      </c>
      <c r="BC34" s="49">
        <v>328</v>
      </c>
    </row>
    <row r="35" spans="2:55" x14ac:dyDescent="0.25">
      <c r="B35" s="11">
        <v>0.5625</v>
      </c>
      <c r="C35" s="49">
        <v>0</v>
      </c>
      <c r="D35" s="49">
        <v>0</v>
      </c>
      <c r="E35" s="49">
        <v>0</v>
      </c>
      <c r="F35" s="49">
        <v>0</v>
      </c>
      <c r="G35" s="49">
        <v>0</v>
      </c>
      <c r="H35" s="49">
        <v>0</v>
      </c>
      <c r="I35" s="49">
        <v>0</v>
      </c>
      <c r="J35" s="49">
        <v>0</v>
      </c>
      <c r="K35" s="49">
        <v>0</v>
      </c>
      <c r="L35" s="49">
        <v>0</v>
      </c>
      <c r="M35" s="49">
        <v>0</v>
      </c>
      <c r="N35" s="49">
        <v>0</v>
      </c>
      <c r="O35" s="49">
        <v>0</v>
      </c>
      <c r="P35" s="49">
        <v>0</v>
      </c>
      <c r="Q35" s="49">
        <v>0</v>
      </c>
      <c r="R35" s="49">
        <v>0</v>
      </c>
      <c r="S35" s="49">
        <v>0</v>
      </c>
      <c r="T35" s="49">
        <v>0</v>
      </c>
      <c r="U35" s="49">
        <v>0</v>
      </c>
      <c r="V35" s="49">
        <v>0</v>
      </c>
      <c r="W35" s="49">
        <v>0</v>
      </c>
      <c r="X35" s="49">
        <v>0</v>
      </c>
      <c r="Y35" s="49">
        <v>0</v>
      </c>
      <c r="Z35" s="49">
        <v>0</v>
      </c>
      <c r="AA35" s="49">
        <v>0</v>
      </c>
      <c r="AB35" s="49">
        <v>0</v>
      </c>
      <c r="AC35" s="49">
        <v>0</v>
      </c>
      <c r="AD35" s="49">
        <v>0</v>
      </c>
      <c r="AE35" s="49">
        <v>0</v>
      </c>
      <c r="AF35" s="49">
        <v>0</v>
      </c>
      <c r="AG35" s="49">
        <v>178</v>
      </c>
      <c r="AH35" s="49">
        <v>4</v>
      </c>
      <c r="AI35" s="49">
        <v>2</v>
      </c>
      <c r="AJ35" s="49">
        <v>184</v>
      </c>
      <c r="AK35" s="49">
        <v>34</v>
      </c>
      <c r="AL35" s="49">
        <v>1</v>
      </c>
      <c r="AM35" s="49">
        <v>0</v>
      </c>
      <c r="AN35" s="49">
        <v>35</v>
      </c>
      <c r="AO35" s="49">
        <v>219</v>
      </c>
      <c r="AP35" s="49">
        <v>24</v>
      </c>
      <c r="AQ35" s="49">
        <v>1</v>
      </c>
      <c r="AR35" s="49">
        <v>1</v>
      </c>
      <c r="AS35" s="49">
        <v>26</v>
      </c>
      <c r="AT35" s="49">
        <v>111</v>
      </c>
      <c r="AU35" s="49">
        <v>1</v>
      </c>
      <c r="AV35" s="49">
        <v>0</v>
      </c>
      <c r="AW35" s="49">
        <v>112</v>
      </c>
      <c r="AX35" s="49">
        <v>0</v>
      </c>
      <c r="AY35" s="49">
        <v>0</v>
      </c>
      <c r="AZ35" s="49">
        <v>0</v>
      </c>
      <c r="BA35" s="49">
        <v>0</v>
      </c>
      <c r="BB35" s="49">
        <v>138</v>
      </c>
      <c r="BC35" s="49">
        <v>357</v>
      </c>
    </row>
    <row r="36" spans="2:55" x14ac:dyDescent="0.25">
      <c r="B36" s="11">
        <v>0.57291666666666663</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0</v>
      </c>
      <c r="U36" s="49">
        <v>0</v>
      </c>
      <c r="V36" s="49">
        <v>0</v>
      </c>
      <c r="W36" s="49">
        <v>0</v>
      </c>
      <c r="X36" s="49">
        <v>0</v>
      </c>
      <c r="Y36" s="49">
        <v>0</v>
      </c>
      <c r="Z36" s="49">
        <v>0</v>
      </c>
      <c r="AA36" s="49">
        <v>0</v>
      </c>
      <c r="AB36" s="49">
        <v>0</v>
      </c>
      <c r="AC36" s="49">
        <v>0</v>
      </c>
      <c r="AD36" s="49">
        <v>0</v>
      </c>
      <c r="AE36" s="49">
        <v>0</v>
      </c>
      <c r="AF36" s="49">
        <v>0</v>
      </c>
      <c r="AG36" s="49">
        <v>208</v>
      </c>
      <c r="AH36" s="49">
        <v>4</v>
      </c>
      <c r="AI36" s="49">
        <v>2</v>
      </c>
      <c r="AJ36" s="49">
        <v>214</v>
      </c>
      <c r="AK36" s="49">
        <v>46</v>
      </c>
      <c r="AL36" s="49">
        <v>0</v>
      </c>
      <c r="AM36" s="49">
        <v>0</v>
      </c>
      <c r="AN36" s="49">
        <v>46</v>
      </c>
      <c r="AO36" s="49">
        <v>260</v>
      </c>
      <c r="AP36" s="49">
        <v>29</v>
      </c>
      <c r="AQ36" s="49">
        <v>0</v>
      </c>
      <c r="AR36" s="49">
        <v>0</v>
      </c>
      <c r="AS36" s="49">
        <v>29</v>
      </c>
      <c r="AT36" s="49">
        <v>93</v>
      </c>
      <c r="AU36" s="49">
        <v>8</v>
      </c>
      <c r="AV36" s="49">
        <v>1</v>
      </c>
      <c r="AW36" s="49">
        <v>102</v>
      </c>
      <c r="AX36" s="49">
        <v>0</v>
      </c>
      <c r="AY36" s="49">
        <v>0</v>
      </c>
      <c r="AZ36" s="49">
        <v>0</v>
      </c>
      <c r="BA36" s="49">
        <v>0</v>
      </c>
      <c r="BB36" s="49">
        <v>131</v>
      </c>
      <c r="BC36" s="49">
        <v>391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1820</v>
      </c>
      <c r="I5">
        <f>MAX(I11:I303)</f>
        <v>1433</v>
      </c>
      <c r="J5">
        <f>MAX(J11:J303)</f>
        <v>2555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1820 vehicles between 08:00 and 09:00</v>
      </c>
      <c r="I8" s="6" t="str">
        <f>IF(I5=0,"","The peak hour for " &amp;I10&amp;" is "&amp;I5&amp;" vehicles between " &amp; TEXT(I6, "hh:mm")&amp; " and " &amp;TEXT(I7,"hh:mm"))</f>
        <v>The peak hour for INT is 1433 vehicles between 13:00 and 14:00</v>
      </c>
      <c r="J8" s="6" t="str">
        <f>IF(J5=0,"","The peak hour for " &amp;J10&amp;" is "&amp;J5&amp;" vehicles between " &amp; TEXT(J6, "hh:mm")&amp; " and " &amp;TEXT(J7,"hh:mm"))</f>
        <v>The peak hour for PM is 2555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203</v>
      </c>
      <c r="C11" s="49"/>
      <c r="D11" s="49"/>
      <c r="G11" s="7">
        <f>A11</f>
        <v>0.29166666666666669</v>
      </c>
      <c r="H11">
        <f>IF(B11&lt;&gt;0,SUMIF($G$11:$G11,"&gt;"&amp;$G11-1/24,B$11:B11),0)</f>
        <v>203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203</v>
      </c>
      <c r="Q11">
        <f>P11*L11</f>
        <v>0</v>
      </c>
      <c r="S11" s="9">
        <v>0.29166666666666669</v>
      </c>
      <c r="T11" s="49">
        <v>203</v>
      </c>
      <c r="U11" s="49">
        <v>0</v>
      </c>
    </row>
    <row r="12" spans="1:21" x14ac:dyDescent="0.25">
      <c r="A12" s="9">
        <v>0.30208333333333331</v>
      </c>
      <c r="B12" s="49">
        <v>291</v>
      </c>
      <c r="C12" s="49"/>
      <c r="D12" s="49"/>
      <c r="G12" s="7">
        <f t="shared" ref="G12:G26" si="3">A12</f>
        <v>0.30208333333333331</v>
      </c>
      <c r="H12">
        <f>IF(B12&lt;&gt;0,SUMIF($G$11:$G12,"&gt;"&amp;$G12-1/24,B$11:B12),0)</f>
        <v>494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291</v>
      </c>
      <c r="Q12">
        <f t="shared" ref="Q12:Q75" si="7">P12*L12</f>
        <v>0</v>
      </c>
      <c r="S12" s="9">
        <v>0.30208333333333331</v>
      </c>
      <c r="T12" s="49">
        <v>291</v>
      </c>
      <c r="U12" s="49">
        <v>0</v>
      </c>
    </row>
    <row r="13" spans="1:21" x14ac:dyDescent="0.25">
      <c r="A13" s="9">
        <v>0.3125</v>
      </c>
      <c r="B13" s="49">
        <v>329</v>
      </c>
      <c r="C13" s="49"/>
      <c r="D13" s="49"/>
      <c r="G13" s="7">
        <f t="shared" si="3"/>
        <v>0.3125</v>
      </c>
      <c r="H13">
        <f>IF(B13&lt;&gt;0,SUMIF($G$11:$G13,"&gt;"&amp;$G13-1/24,B$11:B13),0)</f>
        <v>823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329</v>
      </c>
      <c r="Q13">
        <f t="shared" si="7"/>
        <v>0</v>
      </c>
      <c r="S13" s="9">
        <v>0.3125</v>
      </c>
      <c r="T13" s="49">
        <v>329</v>
      </c>
      <c r="U13" s="49">
        <v>0</v>
      </c>
    </row>
    <row r="14" spans="1:21" x14ac:dyDescent="0.25">
      <c r="A14" s="9">
        <v>0.32291666666666669</v>
      </c>
      <c r="B14" s="49">
        <v>394</v>
      </c>
      <c r="C14" s="49"/>
      <c r="D14" s="49"/>
      <c r="G14" s="7">
        <f t="shared" si="3"/>
        <v>0.32291666666666669</v>
      </c>
      <c r="H14">
        <f>IF(B14&lt;&gt;0,SUMIF($G$11:$G14,"&gt;"&amp;$G14-1/24,B$11:B14),0)</f>
        <v>1217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394</v>
      </c>
      <c r="Q14">
        <f t="shared" si="7"/>
        <v>0</v>
      </c>
      <c r="S14" s="9">
        <v>0.32291666666666669</v>
      </c>
      <c r="T14" s="49">
        <v>394</v>
      </c>
      <c r="U14" s="49">
        <v>0</v>
      </c>
    </row>
    <row r="15" spans="1:21" x14ac:dyDescent="0.25">
      <c r="A15" s="9">
        <v>0.33333333333333331</v>
      </c>
      <c r="B15" s="49">
        <v>432</v>
      </c>
      <c r="C15" s="49"/>
      <c r="D15" s="49"/>
      <c r="G15" s="7">
        <f t="shared" si="3"/>
        <v>0.33333333333333331</v>
      </c>
      <c r="H15">
        <f>IF(B15&lt;&gt;0,SUMIF($G$11:$G15,"&gt;"&amp;$G15-1/24,B$11:B15),0)</f>
        <v>1446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432</v>
      </c>
      <c r="Q15">
        <f t="shared" si="7"/>
        <v>432</v>
      </c>
      <c r="S15" s="9">
        <v>0.33333333333333331</v>
      </c>
      <c r="T15" s="49">
        <v>432</v>
      </c>
      <c r="U15" s="49">
        <v>432</v>
      </c>
    </row>
    <row r="16" spans="1:21" x14ac:dyDescent="0.25">
      <c r="A16" s="9">
        <v>0.34375</v>
      </c>
      <c r="B16" s="49">
        <v>461</v>
      </c>
      <c r="C16" s="49"/>
      <c r="D16" s="49"/>
      <c r="G16" s="7">
        <f t="shared" si="3"/>
        <v>0.34375</v>
      </c>
      <c r="H16">
        <f>IF(B16&lt;&gt;0,SUMIF($G$11:$G16,"&gt;"&amp;$G16-1/24,B$11:B16),0)</f>
        <v>1616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461</v>
      </c>
      <c r="Q16">
        <f t="shared" si="7"/>
        <v>461</v>
      </c>
      <c r="S16" s="9">
        <v>0.34375</v>
      </c>
      <c r="T16" s="49">
        <v>461</v>
      </c>
      <c r="U16" s="49">
        <v>461</v>
      </c>
    </row>
    <row r="17" spans="1:21" x14ac:dyDescent="0.25">
      <c r="A17" s="9">
        <v>0.35416666666666669</v>
      </c>
      <c r="B17" s="49">
        <v>465</v>
      </c>
      <c r="C17" s="49"/>
      <c r="D17" s="49"/>
      <c r="G17" s="7">
        <f t="shared" si="3"/>
        <v>0.35416666666666669</v>
      </c>
      <c r="H17">
        <f>IF(B17&lt;&gt;0,SUMIF($G$11:$G17,"&gt;"&amp;$G17-1/24,B$11:B17),0)</f>
        <v>1752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465</v>
      </c>
      <c r="Q17">
        <f t="shared" si="7"/>
        <v>465</v>
      </c>
      <c r="S17" s="9">
        <v>0.35416666666666669</v>
      </c>
      <c r="T17" s="49">
        <v>465</v>
      </c>
      <c r="U17" s="49">
        <v>465</v>
      </c>
    </row>
    <row r="18" spans="1:21" x14ac:dyDescent="0.25">
      <c r="A18" s="9">
        <v>0.36458333333333331</v>
      </c>
      <c r="B18" s="49">
        <v>462</v>
      </c>
      <c r="C18" s="49"/>
      <c r="D18" s="49"/>
      <c r="G18" s="7">
        <f t="shared" si="3"/>
        <v>0.36458333333333331</v>
      </c>
      <c r="H18">
        <f>IF(B18&lt;&gt;0,SUMIF($G$11:$G18,"&gt;"&amp;$G18-1/24,B$11:B18),0)</f>
        <v>1820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462</v>
      </c>
      <c r="Q18">
        <f t="shared" si="7"/>
        <v>462</v>
      </c>
      <c r="S18" s="9">
        <v>0.36458333333333331</v>
      </c>
      <c r="T18" s="49">
        <v>462</v>
      </c>
      <c r="U18" s="49">
        <v>462</v>
      </c>
    </row>
    <row r="19" spans="1:21" x14ac:dyDescent="0.25">
      <c r="A19" s="9">
        <v>0.54166666666666663</v>
      </c>
      <c r="B19" s="49"/>
      <c r="C19" s="49">
        <v>357</v>
      </c>
      <c r="D19" s="49"/>
      <c r="G19" s="7">
        <f t="shared" si="3"/>
        <v>0.54166666666666663</v>
      </c>
      <c r="H19">
        <f>IF(B19&lt;&gt;0,SUMIF($G$11:$G19,"&gt;"&amp;$G19-1/24,B$11:B19),0)</f>
        <v>0</v>
      </c>
      <c r="I19">
        <f>IF(C19&lt;&gt;0,SUMIF($G$11:$G19,"&gt;"&amp;$G19-1/24,C$11:C19),0)</f>
        <v>357</v>
      </c>
      <c r="J19">
        <f>IF(D19&lt;&gt;0,SUMIF($G$11:$G19,"&gt;"&amp;$G19-1/24,D$11:D19),0)</f>
        <v>0</v>
      </c>
      <c r="K19">
        <f>IF(E19&lt;&gt;0,SUMIF($G$11:$G19,"&gt;"&amp;$G19-1/24,E$11:E19),0)</f>
        <v>0</v>
      </c>
      <c r="L19">
        <f t="shared" si="4"/>
        <v>1</v>
      </c>
      <c r="N19" t="str">
        <f t="shared" si="5"/>
        <v>INT</v>
      </c>
      <c r="O19" s="7">
        <f t="shared" si="2"/>
        <v>0.54166666666666663</v>
      </c>
      <c r="P19">
        <f t="shared" si="6"/>
        <v>357</v>
      </c>
      <c r="Q19">
        <f t="shared" si="7"/>
        <v>357</v>
      </c>
      <c r="S19" s="9" t="s">
        <v>49</v>
      </c>
      <c r="T19" s="49">
        <v>3037</v>
      </c>
      <c r="U19" s="49">
        <v>1820</v>
      </c>
    </row>
    <row r="20" spans="1:21" x14ac:dyDescent="0.25">
      <c r="A20" s="9">
        <v>0.55208333333333337</v>
      </c>
      <c r="B20" s="49"/>
      <c r="C20" s="49">
        <v>328</v>
      </c>
      <c r="D20" s="49"/>
      <c r="G20" s="7">
        <f t="shared" si="3"/>
        <v>0.55208333333333337</v>
      </c>
      <c r="H20">
        <f>IF(B20&lt;&gt;0,SUMIF($G$11:$G20,"&gt;"&amp;$G20-1/24,B$11:B20),0)</f>
        <v>0</v>
      </c>
      <c r="I20">
        <f>IF(C20&lt;&gt;0,SUMIF($G$11:$G20,"&gt;"&amp;$G20-1/24,C$11:C20),0)</f>
        <v>685</v>
      </c>
      <c r="J20">
        <f>IF(D20&lt;&gt;0,SUMIF($G$11:$G20,"&gt;"&amp;$G20-1/24,D$11:D20),0)</f>
        <v>0</v>
      </c>
      <c r="K20">
        <f>IF(E20&lt;&gt;0,SUMIF($G$11:$G20,"&gt;"&amp;$G20-1/24,E$11:E20),0)</f>
        <v>0</v>
      </c>
      <c r="L20">
        <f t="shared" si="4"/>
        <v>1</v>
      </c>
      <c r="N20" t="str">
        <f t="shared" si="5"/>
        <v>INT</v>
      </c>
      <c r="O20" s="7">
        <f t="shared" si="2"/>
        <v>0.55208333333333337</v>
      </c>
      <c r="P20">
        <f t="shared" si="6"/>
        <v>328</v>
      </c>
      <c r="Q20">
        <f t="shared" si="7"/>
        <v>328</v>
      </c>
    </row>
    <row r="21" spans="1:21" x14ac:dyDescent="0.25">
      <c r="A21" s="9">
        <v>0.5625</v>
      </c>
      <c r="B21" s="49"/>
      <c r="C21" s="49">
        <v>357</v>
      </c>
      <c r="D21" s="49"/>
      <c r="G21" s="7">
        <f t="shared" si="3"/>
        <v>0.5625</v>
      </c>
      <c r="H21">
        <f>IF(B21&lt;&gt;0,SUMIF($G$11:$G21,"&gt;"&amp;$G21-1/24,B$11:B21),0)</f>
        <v>0</v>
      </c>
      <c r="I21">
        <f>IF(C21&lt;&gt;0,SUMIF($G$11:$G21,"&gt;"&amp;$G21-1/24,C$11:C21),0)</f>
        <v>1042</v>
      </c>
      <c r="J21">
        <f>IF(D21&lt;&gt;0,SUMIF($G$11:$G21,"&gt;"&amp;$G21-1/24,D$11:D21),0)</f>
        <v>0</v>
      </c>
      <c r="K21">
        <f>IF(E21&lt;&gt;0,SUMIF($G$11:$G21,"&gt;"&amp;$G21-1/24,E$11:E21),0)</f>
        <v>0</v>
      </c>
      <c r="L21">
        <f t="shared" si="4"/>
        <v>1</v>
      </c>
      <c r="N21" t="str">
        <f t="shared" si="5"/>
        <v>INT</v>
      </c>
      <c r="O21" s="7">
        <f t="shared" si="2"/>
        <v>0.5625</v>
      </c>
      <c r="P21">
        <f t="shared" si="6"/>
        <v>357</v>
      </c>
      <c r="Q21">
        <f t="shared" si="7"/>
        <v>357</v>
      </c>
    </row>
    <row r="22" spans="1:21" x14ac:dyDescent="0.25">
      <c r="A22" s="9">
        <v>0.57291666666666663</v>
      </c>
      <c r="B22" s="49"/>
      <c r="C22" s="49">
        <v>391</v>
      </c>
      <c r="D22" s="49"/>
      <c r="G22" s="7">
        <f t="shared" si="3"/>
        <v>0.57291666666666663</v>
      </c>
      <c r="H22">
        <f>IF(B22&lt;&gt;0,SUMIF($G$11:$G22,"&gt;"&amp;$G22-1/24,B$11:B22),0)</f>
        <v>0</v>
      </c>
      <c r="I22">
        <f>IF(C22&lt;&gt;0,SUMIF($G$11:$G22,"&gt;"&amp;$G22-1/24,C$11:C22),0)</f>
        <v>1433</v>
      </c>
      <c r="J22">
        <f>IF(D22&lt;&gt;0,SUMIF($G$11:$G22,"&gt;"&amp;$G22-1/24,D$11:D22),0)</f>
        <v>0</v>
      </c>
      <c r="K22">
        <f>IF(E22&lt;&gt;0,SUMIF($G$11:$G22,"&gt;"&amp;$G22-1/24,E$11:E22),0)</f>
        <v>0</v>
      </c>
      <c r="L22">
        <f t="shared" si="4"/>
        <v>1</v>
      </c>
      <c r="N22" t="str">
        <f t="shared" si="5"/>
        <v>INT</v>
      </c>
      <c r="O22" s="7">
        <f t="shared" si="2"/>
        <v>0.57291666666666663</v>
      </c>
      <c r="P22">
        <f t="shared" si="6"/>
        <v>391</v>
      </c>
      <c r="Q22">
        <f t="shared" si="7"/>
        <v>391</v>
      </c>
    </row>
    <row r="23" spans="1:21" x14ac:dyDescent="0.25">
      <c r="A23" s="9">
        <v>0.66666666666666663</v>
      </c>
      <c r="B23" s="49"/>
      <c r="C23" s="49"/>
      <c r="D23" s="49">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0</v>
      </c>
      <c r="N23" t="str">
        <f t="shared" si="5"/>
        <v>PM</v>
      </c>
      <c r="O23" s="7">
        <f t="shared" si="2"/>
        <v>0.66666666666666663</v>
      </c>
      <c r="P23">
        <f t="shared" si="6"/>
        <v>541</v>
      </c>
      <c r="Q23">
        <f t="shared" si="7"/>
        <v>0</v>
      </c>
    </row>
    <row r="24" spans="1:21" x14ac:dyDescent="0.25">
      <c r="A24" s="9">
        <v>0.67708333333333337</v>
      </c>
      <c r="B24" s="49"/>
      <c r="C24" s="49"/>
      <c r="D24" s="49">
        <v>565</v>
      </c>
      <c r="G24" s="7">
        <f t="shared" si="3"/>
        <v>0.67708333333333337</v>
      </c>
      <c r="H24">
        <f>IF(B24&lt;&gt;0,SUMIF($G$11:$G24,"&gt;"&amp;$G24-1/24,B$11:B24),0)</f>
        <v>0</v>
      </c>
      <c r="I24">
        <f>IF(C24&lt;&gt;0,SUMIF($G$11:$G24,"&gt;"&amp;$G24-1/24,C$11:C24),0)</f>
        <v>0</v>
      </c>
      <c r="J24">
        <f>IF(D24&lt;&gt;0,SUMIF($G$11:$G24,"&gt;"&amp;$G24-1/24,D$11:D24),0)</f>
        <v>1106</v>
      </c>
      <c r="K24">
        <f>IF(E24&lt;&gt;0,SUMIF($G$11:$G24,"&gt;"&amp;$G24-1/24,E$11:E24),0)</f>
        <v>0</v>
      </c>
      <c r="L24">
        <f t="shared" si="4"/>
        <v>0</v>
      </c>
      <c r="N24" t="str">
        <f t="shared" si="5"/>
        <v>PM</v>
      </c>
      <c r="O24" s="7">
        <f t="shared" si="2"/>
        <v>0.67708333333333337</v>
      </c>
      <c r="P24">
        <f t="shared" si="6"/>
        <v>565</v>
      </c>
      <c r="Q24">
        <f t="shared" si="7"/>
        <v>0</v>
      </c>
    </row>
    <row r="25" spans="1:21" x14ac:dyDescent="0.25">
      <c r="A25" s="9">
        <v>0.6875</v>
      </c>
      <c r="B25" s="49"/>
      <c r="C25" s="49"/>
      <c r="D25" s="49">
        <v>627</v>
      </c>
      <c r="G25" s="7">
        <f t="shared" si="3"/>
        <v>0.6875</v>
      </c>
      <c r="H25">
        <f>IF(B25&lt;&gt;0,SUMIF($G$11:$G25,"&gt;"&amp;$G25-1/24,B$11:B25),0)</f>
        <v>0</v>
      </c>
      <c r="I25">
        <f>IF(C25&lt;&gt;0,SUMIF($G$11:$G25,"&gt;"&amp;$G25-1/24,C$11:C25),0)</f>
        <v>0</v>
      </c>
      <c r="J25">
        <f>IF(D25&lt;&gt;0,SUMIF($G$11:$G25,"&gt;"&amp;$G25-1/24,D$11:D25),0)</f>
        <v>1733</v>
      </c>
      <c r="K25">
        <f>IF(E25&lt;&gt;0,SUMIF($G$11:$G25,"&gt;"&amp;$G25-1/24,E$11:E25),0)</f>
        <v>0</v>
      </c>
      <c r="L25">
        <f t="shared" si="4"/>
        <v>1</v>
      </c>
      <c r="N25" t="str">
        <f t="shared" si="5"/>
        <v>PM</v>
      </c>
      <c r="O25" s="7">
        <f t="shared" si="2"/>
        <v>0.6875</v>
      </c>
      <c r="P25">
        <f t="shared" si="6"/>
        <v>627</v>
      </c>
      <c r="Q25">
        <f t="shared" si="7"/>
        <v>627</v>
      </c>
    </row>
    <row r="26" spans="1:21" x14ac:dyDescent="0.25">
      <c r="A26" s="9">
        <v>0.69791666666666663</v>
      </c>
      <c r="B26" s="49"/>
      <c r="C26" s="49"/>
      <c r="D26" s="49">
        <v>571</v>
      </c>
      <c r="G26" s="7">
        <f t="shared" si="3"/>
        <v>0.69791666666666663</v>
      </c>
      <c r="H26">
        <f>IF(B26&lt;&gt;0,SUMIF($G$11:$G26,"&gt;"&amp;$G26-1/24,B$11:B26),0)</f>
        <v>0</v>
      </c>
      <c r="I26">
        <f>IF(C26&lt;&gt;0,SUMIF($G$11:$G26,"&gt;"&amp;$G26-1/24,C$11:C26),0)</f>
        <v>0</v>
      </c>
      <c r="J26">
        <f>IF(D26&lt;&gt;0,SUMIF($G$11:$G26,"&gt;"&amp;$G26-1/24,D$11:D26),0)</f>
        <v>2304</v>
      </c>
      <c r="K26">
        <f>IF(E26&lt;&gt;0,SUMIF($G$11:$G26,"&gt;"&amp;$G26-1/24,E$11:E26),0)</f>
        <v>0</v>
      </c>
      <c r="L26">
        <f t="shared" si="4"/>
        <v>1</v>
      </c>
      <c r="N26" t="str">
        <f t="shared" si="5"/>
        <v>PM</v>
      </c>
      <c r="O26" s="7">
        <f t="shared" si="2"/>
        <v>0.69791666666666663</v>
      </c>
      <c r="P26">
        <f t="shared" si="6"/>
        <v>571</v>
      </c>
      <c r="Q26">
        <f t="shared" si="7"/>
        <v>571</v>
      </c>
    </row>
    <row r="27" spans="1:21" x14ac:dyDescent="0.25">
      <c r="A27" s="9">
        <v>0.70833333333333337</v>
      </c>
      <c r="B27" s="49"/>
      <c r="C27" s="49"/>
      <c r="D27" s="49">
        <v>691</v>
      </c>
      <c r="G27" s="7">
        <f t="shared" ref="G27:G90" si="8">A27</f>
        <v>0.70833333333333337</v>
      </c>
      <c r="H27">
        <f>IF(B27&lt;&gt;0,SUMIF($G$11:$G27,"&gt;"&amp;$G27-1/24,B$11:B27),0)</f>
        <v>0</v>
      </c>
      <c r="I27">
        <f>IF(C27&lt;&gt;0,SUMIF($G$11:$G27,"&gt;"&amp;$G27-1/24,C$11:C27),0)</f>
        <v>0</v>
      </c>
      <c r="J27">
        <f>IF(D27&lt;&gt;0,SUMIF($G$11:$G27,"&gt;"&amp;$G27-1/24,D$11:D27),0)</f>
        <v>2454</v>
      </c>
      <c r="K27">
        <f>IF(E27&lt;&gt;0,SUMIF($G$11:$G27,"&gt;"&amp;$G27-1/24,E$11:E27),0)</f>
        <v>0</v>
      </c>
      <c r="L27">
        <f t="shared" si="4"/>
        <v>1</v>
      </c>
      <c r="N27" t="str">
        <f t="shared" si="5"/>
        <v>PM</v>
      </c>
      <c r="O27" s="7">
        <f t="shared" si="2"/>
        <v>0.70833333333333337</v>
      </c>
      <c r="P27">
        <f t="shared" si="6"/>
        <v>691</v>
      </c>
      <c r="Q27">
        <f t="shared" si="7"/>
        <v>691</v>
      </c>
    </row>
    <row r="28" spans="1:21" x14ac:dyDescent="0.25">
      <c r="A28" s="9">
        <v>0.71875</v>
      </c>
      <c r="B28" s="49"/>
      <c r="C28" s="49"/>
      <c r="D28" s="49">
        <v>666</v>
      </c>
      <c r="G28" s="7">
        <f t="shared" si="8"/>
        <v>0.71875</v>
      </c>
      <c r="H28">
        <f>IF(B28&lt;&gt;0,SUMIF($G$11:$G28,"&gt;"&amp;$G28-1/24,B$11:B28),0)</f>
        <v>0</v>
      </c>
      <c r="I28">
        <f>IF(C28&lt;&gt;0,SUMIF($G$11:$G28,"&gt;"&amp;$G28-1/24,C$11:C28),0)</f>
        <v>0</v>
      </c>
      <c r="J28">
        <f>IF(D28&lt;&gt;0,SUMIF($G$11:$G28,"&gt;"&amp;$G28-1/24,D$11:D28),0)</f>
        <v>2555</v>
      </c>
      <c r="K28">
        <f>IF(E28&lt;&gt;0,SUMIF($G$11:$G28,"&gt;"&amp;$G28-1/24,E$11:E28),0)</f>
        <v>0</v>
      </c>
      <c r="L28">
        <f t="shared" si="4"/>
        <v>1</v>
      </c>
      <c r="N28" t="str">
        <f t="shared" si="5"/>
        <v>PM</v>
      </c>
      <c r="O28" s="7">
        <f t="shared" si="2"/>
        <v>0.71875</v>
      </c>
      <c r="P28">
        <f t="shared" si="6"/>
        <v>666</v>
      </c>
      <c r="Q28">
        <f t="shared" si="7"/>
        <v>666</v>
      </c>
    </row>
    <row r="29" spans="1:21" x14ac:dyDescent="0.25">
      <c r="A29" s="9">
        <v>0.72916666666666663</v>
      </c>
      <c r="B29" s="49"/>
      <c r="C29" s="49"/>
      <c r="D29" s="49">
        <v>557</v>
      </c>
      <c r="G29" s="7">
        <f t="shared" si="8"/>
        <v>0.72916666666666663</v>
      </c>
      <c r="H29">
        <f>IF(B29&lt;&gt;0,SUMIF($G$11:$G29,"&gt;"&amp;$G29-1/24,B$11:B29),0)</f>
        <v>0</v>
      </c>
      <c r="I29">
        <f>IF(C29&lt;&gt;0,SUMIF($G$11:$G29,"&gt;"&amp;$G29-1/24,C$11:C29),0)</f>
        <v>0</v>
      </c>
      <c r="J29">
        <f>IF(D29&lt;&gt;0,SUMIF($G$11:$G29,"&gt;"&amp;$G29-1/24,D$11:D29),0)</f>
        <v>2485</v>
      </c>
      <c r="K29">
        <f>IF(E29&lt;&gt;0,SUMIF($G$11:$G29,"&gt;"&amp;$G29-1/24,E$11:E29),0)</f>
        <v>0</v>
      </c>
      <c r="L29">
        <f t="shared" si="4"/>
        <v>0</v>
      </c>
      <c r="N29" t="str">
        <f t="shared" si="5"/>
        <v>PM</v>
      </c>
      <c r="O29" s="7">
        <f t="shared" si="2"/>
        <v>0.72916666666666663</v>
      </c>
      <c r="P29">
        <f t="shared" si="6"/>
        <v>557</v>
      </c>
      <c r="Q29">
        <f t="shared" si="7"/>
        <v>0</v>
      </c>
    </row>
    <row r="30" spans="1:21" x14ac:dyDescent="0.25">
      <c r="A30" s="9">
        <v>0.73958333333333337</v>
      </c>
      <c r="B30" s="49"/>
      <c r="C30" s="49"/>
      <c r="D30" s="49">
        <v>473</v>
      </c>
      <c r="G30" s="7">
        <f t="shared" si="8"/>
        <v>0.73958333333333337</v>
      </c>
      <c r="H30">
        <f>IF(B30&lt;&gt;0,SUMIF($G$11:$G30,"&gt;"&amp;$G30-1/24,B$11:B30),0)</f>
        <v>0</v>
      </c>
      <c r="I30">
        <f>IF(C30&lt;&gt;0,SUMIF($G$11:$G30,"&gt;"&amp;$G30-1/24,C$11:C30),0)</f>
        <v>0</v>
      </c>
      <c r="J30">
        <f>IF(D30&lt;&gt;0,SUMIF($G$11:$G30,"&gt;"&amp;$G30-1/24,D$11:D30),0)</f>
        <v>2387</v>
      </c>
      <c r="K30">
        <f>IF(E30&lt;&gt;0,SUMIF($G$11:$G30,"&gt;"&amp;$G30-1/24,E$11:E30),0)</f>
        <v>0</v>
      </c>
      <c r="L30">
        <f t="shared" si="4"/>
        <v>0</v>
      </c>
      <c r="N30" t="str">
        <f t="shared" si="5"/>
        <v>PM</v>
      </c>
      <c r="O30" s="7">
        <f t="shared" si="2"/>
        <v>0.73958333333333337</v>
      </c>
      <c r="P30">
        <f t="shared" si="6"/>
        <v>473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203</v>
      </c>
      <c r="E5" t="str">
        <f>"Vehicle Count by Exit Leg for "&amp;C2&amp;" Period"</f>
        <v>Vehicle Count by Exit Leg for AM Period</v>
      </c>
    </row>
    <row r="6" spans="2:5" x14ac:dyDescent="0.25">
      <c r="B6" s="9">
        <v>0.30208333333333331</v>
      </c>
      <c r="C6" s="49">
        <v>291</v>
      </c>
    </row>
    <row r="7" spans="2:5" x14ac:dyDescent="0.25">
      <c r="B7" s="9">
        <v>0.3125</v>
      </c>
      <c r="C7" s="49">
        <v>329</v>
      </c>
    </row>
    <row r="8" spans="2:5" x14ac:dyDescent="0.25">
      <c r="B8" s="9">
        <v>0.32291666666666669</v>
      </c>
      <c r="C8" s="49">
        <v>394</v>
      </c>
    </row>
    <row r="9" spans="2:5" x14ac:dyDescent="0.25">
      <c r="B9" s="9">
        <v>0.33333333333333331</v>
      </c>
      <c r="C9" s="49">
        <v>432</v>
      </c>
    </row>
    <row r="10" spans="2:5" x14ac:dyDescent="0.25">
      <c r="B10" s="9">
        <v>0.34375</v>
      </c>
      <c r="C10" s="49">
        <v>461</v>
      </c>
    </row>
    <row r="11" spans="2:5" x14ac:dyDescent="0.25">
      <c r="B11" s="9">
        <v>0.35416666666666669</v>
      </c>
      <c r="C11" s="49">
        <v>465</v>
      </c>
    </row>
    <row r="12" spans="2:5" x14ac:dyDescent="0.25">
      <c r="B12" s="9">
        <v>0.36458333333333331</v>
      </c>
      <c r="C12" s="49">
        <v>462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28515625" bestFit="1" customWidth="1"/>
    <col min="13" max="13" width="15.85546875" bestFit="1" customWidth="1"/>
    <col min="14" max="14" width="17" bestFit="1" customWidth="1"/>
    <col min="15" max="15" width="5.5703125" customWidth="1"/>
    <col min="16" max="18" width="3.28515625" customWidth="1"/>
    <col min="19" max="19" width="11.28515625" bestFit="1" customWidth="1"/>
    <col min="20" max="21" width="19.28515625" bestFit="1" customWidth="1"/>
    <col min="22" max="22" width="15.85546875" bestFit="1" customWidth="1"/>
    <col min="23" max="23" width="17"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96</v>
      </c>
      <c r="N25" s="25" t="s">
        <v>94</v>
      </c>
      <c r="T25" s="25" t="s">
        <v>95</v>
      </c>
      <c r="U25" s="25" t="s">
        <v>93</v>
      </c>
      <c r="V25" s="25" t="s">
        <v>96</v>
      </c>
      <c r="W25" s="25" t="s">
        <v>94</v>
      </c>
      <c r="X25" s="13"/>
    </row>
    <row r="26" spans="2:24" x14ac:dyDescent="0.25">
      <c r="B26" s="9">
        <v>0.29166666666666669</v>
      </c>
      <c r="C26" s="50">
        <v>203</v>
      </c>
      <c r="J26" s="9">
        <v>0.29166666666666669</v>
      </c>
      <c r="K26" s="50">
        <v>0</v>
      </c>
      <c r="L26" s="50">
        <v>144</v>
      </c>
      <c r="M26" s="50">
        <v>0</v>
      </c>
      <c r="N26" s="50">
        <v>59</v>
      </c>
      <c r="S26" s="9">
        <v>0.29166666666666669</v>
      </c>
      <c r="T26" s="50">
        <v>140</v>
      </c>
      <c r="U26" s="50">
        <v>0</v>
      </c>
      <c r="V26" s="50">
        <v>63</v>
      </c>
      <c r="W26" s="50">
        <v>0</v>
      </c>
    </row>
    <row r="27" spans="2:24" x14ac:dyDescent="0.25">
      <c r="B27" s="9">
        <v>0.30208333333333331</v>
      </c>
      <c r="C27" s="50">
        <v>291</v>
      </c>
      <c r="J27" s="9">
        <v>0.30208333333333331</v>
      </c>
      <c r="K27" s="50">
        <v>0</v>
      </c>
      <c r="L27" s="50">
        <v>214</v>
      </c>
      <c r="M27" s="50">
        <v>0</v>
      </c>
      <c r="N27" s="50">
        <v>77</v>
      </c>
      <c r="S27" s="9">
        <v>0.30208333333333331</v>
      </c>
      <c r="T27" s="50">
        <v>198</v>
      </c>
      <c r="U27" s="50">
        <v>0</v>
      </c>
      <c r="V27" s="50">
        <v>93</v>
      </c>
      <c r="W27" s="50">
        <v>0</v>
      </c>
    </row>
    <row r="28" spans="2:24" x14ac:dyDescent="0.25">
      <c r="B28" s="9">
        <v>0.3125</v>
      </c>
      <c r="C28" s="50">
        <v>329</v>
      </c>
      <c r="J28" s="9">
        <v>0.3125</v>
      </c>
      <c r="K28" s="50">
        <v>0</v>
      </c>
      <c r="L28" s="50">
        <v>227</v>
      </c>
      <c r="M28" s="50">
        <v>0</v>
      </c>
      <c r="N28" s="50">
        <v>102</v>
      </c>
      <c r="S28" s="9">
        <v>0.3125</v>
      </c>
      <c r="T28" s="50">
        <v>217</v>
      </c>
      <c r="U28" s="50">
        <v>0</v>
      </c>
      <c r="V28" s="50">
        <v>112</v>
      </c>
      <c r="W28" s="50">
        <v>0</v>
      </c>
    </row>
    <row r="29" spans="2:24" x14ac:dyDescent="0.25">
      <c r="B29" s="9">
        <v>0.32291666666666669</v>
      </c>
      <c r="C29" s="50">
        <v>394</v>
      </c>
      <c r="J29" s="9">
        <v>0.32291666666666669</v>
      </c>
      <c r="K29" s="50">
        <v>0</v>
      </c>
      <c r="L29" s="50">
        <v>283</v>
      </c>
      <c r="M29" s="50">
        <v>0</v>
      </c>
      <c r="N29" s="50">
        <v>111</v>
      </c>
      <c r="S29" s="9">
        <v>0.32291666666666669</v>
      </c>
      <c r="T29" s="50">
        <v>259</v>
      </c>
      <c r="U29" s="50">
        <v>0</v>
      </c>
      <c r="V29" s="50">
        <v>135</v>
      </c>
      <c r="W29" s="50">
        <v>0</v>
      </c>
    </row>
    <row r="30" spans="2:24" x14ac:dyDescent="0.25">
      <c r="B30" s="9">
        <v>0.33333333333333331</v>
      </c>
      <c r="C30" s="50">
        <v>432</v>
      </c>
      <c r="J30" s="9">
        <v>0.33333333333333331</v>
      </c>
      <c r="K30" s="50">
        <v>0</v>
      </c>
      <c r="L30" s="50">
        <v>317</v>
      </c>
      <c r="M30" s="50">
        <v>0</v>
      </c>
      <c r="N30" s="50">
        <v>115</v>
      </c>
      <c r="S30" s="9">
        <v>0.33333333333333331</v>
      </c>
      <c r="T30" s="50">
        <v>300</v>
      </c>
      <c r="U30" s="50">
        <v>0</v>
      </c>
      <c r="V30" s="50">
        <v>132</v>
      </c>
      <c r="W30" s="50">
        <v>0</v>
      </c>
    </row>
    <row r="31" spans="2:24" x14ac:dyDescent="0.25">
      <c r="B31" s="9">
        <v>0.34375</v>
      </c>
      <c r="C31" s="50">
        <v>461</v>
      </c>
      <c r="J31" s="9">
        <v>0.34375</v>
      </c>
      <c r="K31" s="50">
        <v>0</v>
      </c>
      <c r="L31" s="50">
        <v>318</v>
      </c>
      <c r="M31" s="50">
        <v>0</v>
      </c>
      <c r="N31" s="50">
        <v>143</v>
      </c>
      <c r="S31" s="9">
        <v>0.34375</v>
      </c>
      <c r="T31" s="50">
        <v>294</v>
      </c>
      <c r="U31" s="50">
        <v>0</v>
      </c>
      <c r="V31" s="50">
        <v>167</v>
      </c>
      <c r="W31" s="50">
        <v>0</v>
      </c>
    </row>
    <row r="32" spans="2:24" x14ac:dyDescent="0.25">
      <c r="B32" s="9">
        <v>0.35416666666666669</v>
      </c>
      <c r="C32" s="50">
        <v>465</v>
      </c>
      <c r="J32" s="9">
        <v>0.35416666666666669</v>
      </c>
      <c r="K32" s="50">
        <v>0</v>
      </c>
      <c r="L32" s="50">
        <v>331</v>
      </c>
      <c r="M32" s="50">
        <v>0</v>
      </c>
      <c r="N32" s="50">
        <v>134</v>
      </c>
      <c r="S32" s="9">
        <v>0.35416666666666669</v>
      </c>
      <c r="T32" s="50">
        <v>293</v>
      </c>
      <c r="U32" s="50">
        <v>0</v>
      </c>
      <c r="V32" s="50">
        <v>172</v>
      </c>
      <c r="W32" s="50">
        <v>0</v>
      </c>
    </row>
    <row r="33" spans="2:23" x14ac:dyDescent="0.25">
      <c r="B33" s="9">
        <v>0.36458333333333331</v>
      </c>
      <c r="C33" s="50">
        <v>462</v>
      </c>
      <c r="J33" s="9">
        <v>0.36458333333333331</v>
      </c>
      <c r="K33" s="50">
        <v>0</v>
      </c>
      <c r="L33" s="50">
        <v>298</v>
      </c>
      <c r="M33" s="50">
        <v>0</v>
      </c>
      <c r="N33" s="50">
        <v>164</v>
      </c>
      <c r="S33" s="9">
        <v>0.36458333333333331</v>
      </c>
      <c r="T33" s="50">
        <v>289</v>
      </c>
      <c r="U33" s="50">
        <v>0</v>
      </c>
      <c r="V33" s="50">
        <v>173</v>
      </c>
      <c r="W33" s="50">
        <v>0</v>
      </c>
    </row>
    <row r="34" spans="2:23" x14ac:dyDescent="0.25">
      <c r="B34" s="9" t="s">
        <v>49</v>
      </c>
      <c r="C34" s="50">
        <v>3037</v>
      </c>
      <c r="J34" s="9" t="s">
        <v>49</v>
      </c>
      <c r="K34" s="50">
        <v>0</v>
      </c>
      <c r="L34" s="50">
        <v>2132</v>
      </c>
      <c r="M34" s="50">
        <v>0</v>
      </c>
      <c r="N34" s="50">
        <v>905</v>
      </c>
      <c r="S34" s="9" t="s">
        <v>49</v>
      </c>
      <c r="T34" s="50">
        <v>1990</v>
      </c>
      <c r="U34" s="50">
        <v>0</v>
      </c>
      <c r="V34" s="50">
        <v>1047</v>
      </c>
      <c r="W34" s="50">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9.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1820 vehicles between 08:00 and 09:00</v>
      </c>
    </row>
    <row r="5" spans="2:2" x14ac:dyDescent="0.25">
      <c r="B5" s="6" t="str">
        <f>PeakCalc!I8</f>
        <v>The peak hour for INT is 1433 vehicles between 13:00 and 14:00</v>
      </c>
    </row>
    <row r="6" spans="2:2" x14ac:dyDescent="0.25">
      <c r="B6" s="6" t="str">
        <f>PeakCalc!J8</f>
        <v>The peak hour for PM is 2555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95</v>
      </c>
      <c r="C32" s="49">
        <v>0</v>
      </c>
      <c r="D32" s="49">
        <v>0</v>
      </c>
      <c r="E32" s="49">
        <v>0</v>
      </c>
      <c r="F32" s="49">
        <v>0</v>
      </c>
      <c r="G32" s="49">
        <v>0</v>
      </c>
      <c r="H32" s="49">
        <v>0</v>
      </c>
      <c r="I32" s="49">
        <v>0</v>
      </c>
      <c r="J32" s="49">
        <v>0</v>
      </c>
      <c r="K32" s="49">
        <v>0</v>
      </c>
      <c r="L32" s="49">
        <v>0</v>
      </c>
      <c r="M32" s="49">
        <v>0</v>
      </c>
      <c r="N32" s="49">
        <v>0</v>
      </c>
    </row>
    <row r="33" spans="2:14" x14ac:dyDescent="0.25">
      <c r="B33" s="14" t="s">
        <v>97</v>
      </c>
      <c r="C33" s="49">
        <v>0</v>
      </c>
      <c r="D33" s="49">
        <v>0</v>
      </c>
      <c r="E33" s="49">
        <v>0</v>
      </c>
      <c r="F33" s="49">
        <v>0</v>
      </c>
      <c r="G33" s="49">
        <v>0</v>
      </c>
      <c r="H33" s="49">
        <v>0</v>
      </c>
      <c r="I33" s="49">
        <v>0</v>
      </c>
      <c r="J33" s="49">
        <v>0</v>
      </c>
      <c r="K33" s="49">
        <v>0</v>
      </c>
      <c r="L33" s="49">
        <v>0</v>
      </c>
      <c r="M33" s="49">
        <v>0</v>
      </c>
      <c r="N33" s="49">
        <v>0</v>
      </c>
    </row>
    <row r="34" spans="2:14" x14ac:dyDescent="0.25">
      <c r="B34" s="14" t="s">
        <v>99</v>
      </c>
      <c r="C34" s="49">
        <v>0</v>
      </c>
      <c r="D34" s="49">
        <v>0</v>
      </c>
      <c r="E34" s="49">
        <v>0</v>
      </c>
      <c r="F34" s="49">
        <v>0</v>
      </c>
      <c r="G34" s="49">
        <v>0</v>
      </c>
      <c r="H34" s="49">
        <v>0</v>
      </c>
      <c r="I34" s="49">
        <v>0</v>
      </c>
      <c r="J34" s="49">
        <v>0</v>
      </c>
      <c r="K34" s="49">
        <v>0</v>
      </c>
      <c r="L34" s="49">
        <v>0</v>
      </c>
      <c r="M34" s="49">
        <v>0</v>
      </c>
      <c r="N34" s="49">
        <v>0</v>
      </c>
    </row>
    <row r="35" spans="2:14" x14ac:dyDescent="0.25">
      <c r="B35" s="14" t="s">
        <v>98</v>
      </c>
      <c r="C35" s="49">
        <v>0</v>
      </c>
      <c r="D35" s="49">
        <v>0</v>
      </c>
      <c r="E35" s="49">
        <v>0</v>
      </c>
      <c r="F35" s="49">
        <v>0</v>
      </c>
      <c r="G35" s="49">
        <v>0</v>
      </c>
      <c r="H35" s="49">
        <v>0</v>
      </c>
      <c r="I35" s="49">
        <v>0</v>
      </c>
      <c r="J35" s="49">
        <v>0</v>
      </c>
      <c r="K35" s="49">
        <v>0</v>
      </c>
      <c r="L35" s="49">
        <v>0</v>
      </c>
      <c r="M35" s="49">
        <v>0</v>
      </c>
      <c r="N35" s="49">
        <v>0</v>
      </c>
    </row>
    <row r="36" spans="2:14" x14ac:dyDescent="0.25">
      <c r="B36" s="10" t="s">
        <v>96</v>
      </c>
      <c r="C36" s="49">
        <v>0</v>
      </c>
      <c r="D36" s="49">
        <v>0</v>
      </c>
      <c r="E36" s="49">
        <v>0</v>
      </c>
      <c r="F36" s="49">
        <v>0</v>
      </c>
      <c r="G36" s="49">
        <v>0</v>
      </c>
      <c r="H36" s="49">
        <v>0</v>
      </c>
      <c r="I36" s="49">
        <v>0</v>
      </c>
      <c r="J36" s="49">
        <v>0</v>
      </c>
      <c r="K36" s="49">
        <v>0</v>
      </c>
      <c r="L36" s="49">
        <v>0</v>
      </c>
      <c r="M36" s="49">
        <v>0</v>
      </c>
      <c r="N36" s="49">
        <v>0</v>
      </c>
    </row>
    <row r="37" spans="2:14" x14ac:dyDescent="0.25">
      <c r="B37" s="14" t="s">
        <v>100</v>
      </c>
      <c r="C37" s="49">
        <v>0</v>
      </c>
      <c r="D37" s="49">
        <v>0</v>
      </c>
      <c r="E37" s="49">
        <v>0</v>
      </c>
      <c r="F37" s="49">
        <v>0</v>
      </c>
      <c r="G37" s="49">
        <v>0</v>
      </c>
      <c r="H37" s="49">
        <v>0</v>
      </c>
      <c r="I37" s="49">
        <v>0</v>
      </c>
      <c r="J37" s="49">
        <v>0</v>
      </c>
      <c r="K37" s="49">
        <v>0</v>
      </c>
      <c r="L37" s="49">
        <v>0</v>
      </c>
      <c r="M37" s="49">
        <v>0</v>
      </c>
      <c r="N37" s="49">
        <v>0</v>
      </c>
    </row>
    <row r="38" spans="2:14" x14ac:dyDescent="0.25">
      <c r="B38" s="14" t="s">
        <v>101</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93</v>
      </c>
      <c r="C40" s="49">
        <v>1205</v>
      </c>
      <c r="D40" s="49">
        <v>32</v>
      </c>
      <c r="E40" s="49">
        <v>27</v>
      </c>
      <c r="F40" s="49">
        <v>1264</v>
      </c>
      <c r="G40" s="49">
        <v>1469</v>
      </c>
      <c r="H40" s="49">
        <v>15</v>
      </c>
      <c r="I40" s="49">
        <v>16</v>
      </c>
      <c r="J40" s="49">
        <v>1500</v>
      </c>
      <c r="K40" s="49">
        <v>911</v>
      </c>
      <c r="L40" s="49">
        <v>20</v>
      </c>
      <c r="M40" s="49">
        <v>8</v>
      </c>
      <c r="N40" s="49">
        <v>939</v>
      </c>
    </row>
    <row r="41" spans="2:14" x14ac:dyDescent="0.25">
      <c r="B41" s="14" t="s">
        <v>103</v>
      </c>
      <c r="C41" s="49">
        <v>0</v>
      </c>
      <c r="D41" s="49">
        <v>0</v>
      </c>
      <c r="E41" s="49">
        <v>0</v>
      </c>
      <c r="F41" s="49">
        <v>0</v>
      </c>
      <c r="G41" s="49">
        <v>0</v>
      </c>
      <c r="H41" s="49">
        <v>0</v>
      </c>
      <c r="I41" s="49">
        <v>1</v>
      </c>
      <c r="J41" s="49">
        <v>1</v>
      </c>
      <c r="K41" s="49">
        <v>0</v>
      </c>
      <c r="L41" s="49">
        <v>0</v>
      </c>
      <c r="M41" s="49">
        <v>0</v>
      </c>
      <c r="N41" s="49">
        <v>0</v>
      </c>
    </row>
    <row r="42" spans="2:14" x14ac:dyDescent="0.25">
      <c r="B42" s="14" t="s">
        <v>104</v>
      </c>
      <c r="C42" s="49">
        <v>985</v>
      </c>
      <c r="D42" s="49">
        <v>22</v>
      </c>
      <c r="E42" s="49">
        <v>25</v>
      </c>
      <c r="F42" s="49">
        <v>1032</v>
      </c>
      <c r="G42" s="49">
        <v>1247</v>
      </c>
      <c r="H42" s="49">
        <v>12</v>
      </c>
      <c r="I42" s="49">
        <v>13</v>
      </c>
      <c r="J42" s="49">
        <v>1272</v>
      </c>
      <c r="K42" s="49">
        <v>755</v>
      </c>
      <c r="L42" s="49">
        <v>17</v>
      </c>
      <c r="M42" s="49">
        <v>7</v>
      </c>
      <c r="N42" s="49">
        <v>779</v>
      </c>
    </row>
    <row r="43" spans="2:14" x14ac:dyDescent="0.25">
      <c r="B43" s="14" t="s">
        <v>105</v>
      </c>
      <c r="C43" s="49">
        <v>220</v>
      </c>
      <c r="D43" s="49">
        <v>10</v>
      </c>
      <c r="E43" s="49">
        <v>2</v>
      </c>
      <c r="F43" s="49">
        <v>232</v>
      </c>
      <c r="G43" s="49">
        <v>222</v>
      </c>
      <c r="H43" s="49">
        <v>3</v>
      </c>
      <c r="I43" s="49">
        <v>2</v>
      </c>
      <c r="J43" s="49">
        <v>227</v>
      </c>
      <c r="K43" s="49">
        <v>156</v>
      </c>
      <c r="L43" s="49">
        <v>3</v>
      </c>
      <c r="M43" s="49">
        <v>1</v>
      </c>
      <c r="N43" s="49">
        <v>160</v>
      </c>
    </row>
    <row r="44" spans="2:14" x14ac:dyDescent="0.25">
      <c r="B44" s="10" t="s">
        <v>94</v>
      </c>
      <c r="C44" s="49">
        <v>515</v>
      </c>
      <c r="D44" s="49">
        <v>31</v>
      </c>
      <c r="E44" s="49">
        <v>10</v>
      </c>
      <c r="F44" s="49">
        <v>556</v>
      </c>
      <c r="G44" s="49">
        <v>985</v>
      </c>
      <c r="H44" s="49">
        <v>10</v>
      </c>
      <c r="I44" s="49">
        <v>60</v>
      </c>
      <c r="J44" s="49">
        <v>1055</v>
      </c>
      <c r="K44" s="49">
        <v>468</v>
      </c>
      <c r="L44" s="49">
        <v>17</v>
      </c>
      <c r="M44" s="49">
        <v>9</v>
      </c>
      <c r="N44" s="49">
        <v>494</v>
      </c>
    </row>
    <row r="45" spans="2:14" x14ac:dyDescent="0.25">
      <c r="B45" s="14" t="s">
        <v>106</v>
      </c>
      <c r="C45" s="49">
        <v>139</v>
      </c>
      <c r="D45" s="49">
        <v>4</v>
      </c>
      <c r="E45" s="49">
        <v>1</v>
      </c>
      <c r="F45" s="49">
        <v>144</v>
      </c>
      <c r="G45" s="49">
        <v>274</v>
      </c>
      <c r="H45" s="49">
        <v>0</v>
      </c>
      <c r="I45" s="49">
        <v>1</v>
      </c>
      <c r="J45" s="49">
        <v>275</v>
      </c>
      <c r="K45" s="49">
        <v>110</v>
      </c>
      <c r="L45" s="49">
        <v>3</v>
      </c>
      <c r="M45" s="49">
        <v>1</v>
      </c>
      <c r="N45" s="49">
        <v>114</v>
      </c>
    </row>
    <row r="46" spans="2:14" x14ac:dyDescent="0.25">
      <c r="B46" s="14" t="s">
        <v>107</v>
      </c>
      <c r="C46" s="49">
        <v>376</v>
      </c>
      <c r="D46" s="49">
        <v>27</v>
      </c>
      <c r="E46" s="49">
        <v>9</v>
      </c>
      <c r="F46" s="49">
        <v>412</v>
      </c>
      <c r="G46" s="49">
        <v>711</v>
      </c>
      <c r="H46" s="49">
        <v>10</v>
      </c>
      <c r="I46" s="49">
        <v>59</v>
      </c>
      <c r="J46" s="49">
        <v>780</v>
      </c>
      <c r="K46" s="49">
        <v>358</v>
      </c>
      <c r="L46" s="49">
        <v>14</v>
      </c>
      <c r="M46" s="49">
        <v>8</v>
      </c>
      <c r="N46" s="49">
        <v>380</v>
      </c>
    </row>
    <row r="47" spans="2:14" x14ac:dyDescent="0.25">
      <c r="B47" s="14" t="s">
        <v>108</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1720</v>
      </c>
      <c r="D48" s="49">
        <v>63</v>
      </c>
      <c r="E48" s="49">
        <v>37</v>
      </c>
      <c r="F48" s="49">
        <v>1820</v>
      </c>
      <c r="G48" s="49">
        <v>2454</v>
      </c>
      <c r="H48" s="49">
        <v>25</v>
      </c>
      <c r="I48" s="49">
        <v>76</v>
      </c>
      <c r="J48" s="49">
        <v>2555</v>
      </c>
      <c r="K48" s="49">
        <v>1379</v>
      </c>
      <c r="L48" s="49">
        <v>37</v>
      </c>
      <c r="M48" s="49">
        <v>17</v>
      </c>
      <c r="N48" s="49">
        <v>1433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9247-2767-4944-B7D3-D51845817B5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121</v>
      </c>
      <c r="AL15" s="55" t="s">
        <v>127</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v>11</v>
      </c>
      <c r="AZ15" s="55" t="s">
        <v>127</v>
      </c>
      <c r="BA15" s="55">
        <v>42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171</v>
      </c>
      <c r="AL16" s="55" t="s">
        <v>127</v>
      </c>
      <c r="AM16" s="55">
        <v>34</v>
      </c>
      <c r="AN16" s="55" t="s">
        <v>127</v>
      </c>
      <c r="AO16" s="55">
        <v>0</v>
      </c>
      <c r="AP16" s="55" t="s">
        <v>127</v>
      </c>
      <c r="AQ16" s="55" t="s">
        <v>127</v>
      </c>
      <c r="AR16" s="55" t="s">
        <v>127</v>
      </c>
      <c r="AS16" s="55" t="s">
        <v>127</v>
      </c>
      <c r="AT16" s="55" t="s">
        <v>127</v>
      </c>
      <c r="AU16" s="55" t="s">
        <v>127</v>
      </c>
      <c r="AV16" s="55" t="s">
        <v>127</v>
      </c>
      <c r="AW16" s="55" t="s">
        <v>127</v>
      </c>
      <c r="AX16" s="55" t="s">
        <v>127</v>
      </c>
      <c r="AY16" s="55">
        <v>16</v>
      </c>
      <c r="AZ16" s="55" t="s">
        <v>127</v>
      </c>
      <c r="BA16" s="55">
        <v>50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181</v>
      </c>
      <c r="AL17" s="55" t="s">
        <v>127</v>
      </c>
      <c r="AM17" s="55">
        <v>36</v>
      </c>
      <c r="AN17" s="55" t="s">
        <v>127</v>
      </c>
      <c r="AO17" s="55">
        <v>0</v>
      </c>
      <c r="AP17" s="55" t="s">
        <v>127</v>
      </c>
      <c r="AQ17" s="55" t="s">
        <v>127</v>
      </c>
      <c r="AR17" s="55" t="s">
        <v>127</v>
      </c>
      <c r="AS17" s="55" t="s">
        <v>127</v>
      </c>
      <c r="AT17" s="55" t="s">
        <v>127</v>
      </c>
      <c r="AU17" s="55" t="s">
        <v>127</v>
      </c>
      <c r="AV17" s="55" t="s">
        <v>127</v>
      </c>
      <c r="AW17" s="55" t="s">
        <v>127</v>
      </c>
      <c r="AX17" s="55" t="s">
        <v>127</v>
      </c>
      <c r="AY17" s="55">
        <v>25</v>
      </c>
      <c r="AZ17" s="55" t="s">
        <v>127</v>
      </c>
      <c r="BA17" s="55">
        <v>69</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221</v>
      </c>
      <c r="AL18" s="55" t="s">
        <v>127</v>
      </c>
      <c r="AM18" s="55">
        <v>53</v>
      </c>
      <c r="AN18" s="55" t="s">
        <v>127</v>
      </c>
      <c r="AO18" s="55">
        <v>0</v>
      </c>
      <c r="AP18" s="55" t="s">
        <v>127</v>
      </c>
      <c r="AQ18" s="55" t="s">
        <v>127</v>
      </c>
      <c r="AR18" s="55" t="s">
        <v>127</v>
      </c>
      <c r="AS18" s="55" t="s">
        <v>127</v>
      </c>
      <c r="AT18" s="55" t="s">
        <v>127</v>
      </c>
      <c r="AU18" s="55" t="s">
        <v>127</v>
      </c>
      <c r="AV18" s="55" t="s">
        <v>127</v>
      </c>
      <c r="AW18" s="55" t="s">
        <v>127</v>
      </c>
      <c r="AX18" s="55" t="s">
        <v>127</v>
      </c>
      <c r="AY18" s="55">
        <v>28</v>
      </c>
      <c r="AZ18" s="55" t="s">
        <v>127</v>
      </c>
      <c r="BA18" s="55">
        <v>73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256</v>
      </c>
      <c r="AL19" s="55" t="s">
        <v>127</v>
      </c>
      <c r="AM19" s="55">
        <v>44</v>
      </c>
      <c r="AN19" s="55" t="s">
        <v>127</v>
      </c>
      <c r="AO19" s="55">
        <v>0</v>
      </c>
      <c r="AP19" s="55" t="s">
        <v>127</v>
      </c>
      <c r="AQ19" s="55" t="s">
        <v>127</v>
      </c>
      <c r="AR19" s="55" t="s">
        <v>127</v>
      </c>
      <c r="AS19" s="55" t="s">
        <v>127</v>
      </c>
      <c r="AT19" s="55" t="s">
        <v>127</v>
      </c>
      <c r="AU19" s="55" t="s">
        <v>127</v>
      </c>
      <c r="AV19" s="55" t="s">
        <v>127</v>
      </c>
      <c r="AW19" s="55" t="s">
        <v>127</v>
      </c>
      <c r="AX19" s="55" t="s">
        <v>127</v>
      </c>
      <c r="AY19" s="55">
        <v>27</v>
      </c>
      <c r="AZ19" s="55" t="s">
        <v>127</v>
      </c>
      <c r="BA19" s="55">
        <v>76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249</v>
      </c>
      <c r="AL20" s="55" t="s">
        <v>127</v>
      </c>
      <c r="AM20" s="55">
        <v>56</v>
      </c>
      <c r="AN20" s="55" t="s">
        <v>127</v>
      </c>
      <c r="AO20" s="55">
        <v>0</v>
      </c>
      <c r="AP20" s="55" t="s">
        <v>127</v>
      </c>
      <c r="AQ20" s="55" t="s">
        <v>127</v>
      </c>
      <c r="AR20" s="55" t="s">
        <v>127</v>
      </c>
      <c r="AS20" s="55" t="s">
        <v>127</v>
      </c>
      <c r="AT20" s="55" t="s">
        <v>127</v>
      </c>
      <c r="AU20" s="55" t="s">
        <v>127</v>
      </c>
      <c r="AV20" s="55" t="s">
        <v>127</v>
      </c>
      <c r="AW20" s="55" t="s">
        <v>127</v>
      </c>
      <c r="AX20" s="55" t="s">
        <v>127</v>
      </c>
      <c r="AY20" s="55">
        <v>33</v>
      </c>
      <c r="AZ20" s="55" t="s">
        <v>127</v>
      </c>
      <c r="BA20" s="55">
        <v>99</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254</v>
      </c>
      <c r="AL21" s="55" t="s">
        <v>127</v>
      </c>
      <c r="AM21" s="55">
        <v>63</v>
      </c>
      <c r="AN21" s="55" t="s">
        <v>127</v>
      </c>
      <c r="AO21" s="55">
        <v>0</v>
      </c>
      <c r="AP21" s="55" t="s">
        <v>127</v>
      </c>
      <c r="AQ21" s="55" t="s">
        <v>127</v>
      </c>
      <c r="AR21" s="55" t="s">
        <v>127</v>
      </c>
      <c r="AS21" s="55" t="s">
        <v>127</v>
      </c>
      <c r="AT21" s="55" t="s">
        <v>127</v>
      </c>
      <c r="AU21" s="55" t="s">
        <v>127</v>
      </c>
      <c r="AV21" s="55" t="s">
        <v>127</v>
      </c>
      <c r="AW21" s="55" t="s">
        <v>127</v>
      </c>
      <c r="AX21" s="55" t="s">
        <v>127</v>
      </c>
      <c r="AY21" s="55">
        <v>29</v>
      </c>
      <c r="AZ21" s="55" t="s">
        <v>127</v>
      </c>
      <c r="BA21" s="55">
        <v>96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226</v>
      </c>
      <c r="AL22" s="55" t="s">
        <v>127</v>
      </c>
      <c r="AM22" s="55">
        <v>57</v>
      </c>
      <c r="AN22" s="55" t="s">
        <v>127</v>
      </c>
      <c r="AO22" s="55">
        <v>0</v>
      </c>
      <c r="AP22" s="55" t="s">
        <v>127</v>
      </c>
      <c r="AQ22" s="55" t="s">
        <v>127</v>
      </c>
      <c r="AR22" s="55" t="s">
        <v>127</v>
      </c>
      <c r="AS22" s="55" t="s">
        <v>127</v>
      </c>
      <c r="AT22" s="55" t="s">
        <v>127</v>
      </c>
      <c r="AU22" s="55" t="s">
        <v>127</v>
      </c>
      <c r="AV22" s="55" t="s">
        <v>127</v>
      </c>
      <c r="AW22" s="55" t="s">
        <v>127</v>
      </c>
      <c r="AX22" s="55" t="s">
        <v>127</v>
      </c>
      <c r="AY22" s="55">
        <v>50</v>
      </c>
      <c r="AZ22" s="55" t="s">
        <v>127</v>
      </c>
      <c r="BA22" s="55">
        <v>105</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175</v>
      </c>
      <c r="AL24" s="55" t="s">
        <v>127</v>
      </c>
      <c r="AM24" s="55">
        <v>45</v>
      </c>
      <c r="AN24" s="55" t="s">
        <v>127</v>
      </c>
      <c r="AO24" s="55">
        <v>0</v>
      </c>
      <c r="AP24" s="55" t="s">
        <v>127</v>
      </c>
      <c r="AQ24" s="55" t="s">
        <v>127</v>
      </c>
      <c r="AR24" s="55" t="s">
        <v>127</v>
      </c>
      <c r="AS24" s="55" t="s">
        <v>127</v>
      </c>
      <c r="AT24" s="55" t="s">
        <v>127</v>
      </c>
      <c r="AU24" s="55" t="s">
        <v>127</v>
      </c>
      <c r="AV24" s="55" t="s">
        <v>127</v>
      </c>
      <c r="AW24" s="55" t="s">
        <v>127</v>
      </c>
      <c r="AX24" s="55" t="s">
        <v>127</v>
      </c>
      <c r="AY24" s="55">
        <v>31</v>
      </c>
      <c r="AZ24" s="55" t="s">
        <v>127</v>
      </c>
      <c r="BA24" s="55">
        <v>88</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194</v>
      </c>
      <c r="AL25" s="55" t="s">
        <v>127</v>
      </c>
      <c r="AM25" s="55">
        <v>31</v>
      </c>
      <c r="AN25" s="55" t="s">
        <v>127</v>
      </c>
      <c r="AO25" s="55">
        <v>0</v>
      </c>
      <c r="AP25" s="55" t="s">
        <v>127</v>
      </c>
      <c r="AQ25" s="55" t="s">
        <v>127</v>
      </c>
      <c r="AR25" s="55" t="s">
        <v>127</v>
      </c>
      <c r="AS25" s="55" t="s">
        <v>127</v>
      </c>
      <c r="AT25" s="55" t="s">
        <v>127</v>
      </c>
      <c r="AU25" s="55" t="s">
        <v>127</v>
      </c>
      <c r="AV25" s="55" t="s">
        <v>127</v>
      </c>
      <c r="AW25" s="55" t="s">
        <v>127</v>
      </c>
      <c r="AX25" s="55" t="s">
        <v>127</v>
      </c>
      <c r="AY25" s="55">
        <v>26</v>
      </c>
      <c r="AZ25" s="55" t="s">
        <v>127</v>
      </c>
      <c r="BA25" s="55">
        <v>66</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178</v>
      </c>
      <c r="AL26" s="55" t="s">
        <v>127</v>
      </c>
      <c r="AM26" s="55">
        <v>34</v>
      </c>
      <c r="AN26" s="55" t="s">
        <v>127</v>
      </c>
      <c r="AO26" s="55">
        <v>0</v>
      </c>
      <c r="AP26" s="55" t="s">
        <v>127</v>
      </c>
      <c r="AQ26" s="55" t="s">
        <v>127</v>
      </c>
      <c r="AR26" s="55" t="s">
        <v>127</v>
      </c>
      <c r="AS26" s="55" t="s">
        <v>127</v>
      </c>
      <c r="AT26" s="55" t="s">
        <v>127</v>
      </c>
      <c r="AU26" s="55" t="s">
        <v>127</v>
      </c>
      <c r="AV26" s="55" t="s">
        <v>127</v>
      </c>
      <c r="AW26" s="55" t="s">
        <v>127</v>
      </c>
      <c r="AX26" s="55" t="s">
        <v>127</v>
      </c>
      <c r="AY26" s="55">
        <v>24</v>
      </c>
      <c r="AZ26" s="55" t="s">
        <v>127</v>
      </c>
      <c r="BA26" s="55">
        <v>111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208</v>
      </c>
      <c r="AL27" s="55" t="s">
        <v>127</v>
      </c>
      <c r="AM27" s="55">
        <v>46</v>
      </c>
      <c r="AN27" s="55" t="s">
        <v>127</v>
      </c>
      <c r="AO27" s="55">
        <v>0</v>
      </c>
      <c r="AP27" s="55" t="s">
        <v>127</v>
      </c>
      <c r="AQ27" s="55" t="s">
        <v>127</v>
      </c>
      <c r="AR27" s="55" t="s">
        <v>127</v>
      </c>
      <c r="AS27" s="55" t="s">
        <v>127</v>
      </c>
      <c r="AT27" s="55" t="s">
        <v>127</v>
      </c>
      <c r="AU27" s="55" t="s">
        <v>127</v>
      </c>
      <c r="AV27" s="55" t="s">
        <v>127</v>
      </c>
      <c r="AW27" s="55" t="s">
        <v>127</v>
      </c>
      <c r="AX27" s="55" t="s">
        <v>127</v>
      </c>
      <c r="AY27" s="55">
        <v>29</v>
      </c>
      <c r="AZ27" s="55" t="s">
        <v>127</v>
      </c>
      <c r="BA27" s="55">
        <v>93</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299</v>
      </c>
      <c r="AL29" s="55" t="s">
        <v>127</v>
      </c>
      <c r="AM29" s="55">
        <v>49</v>
      </c>
      <c r="AN29" s="55" t="s">
        <v>127</v>
      </c>
      <c r="AO29" s="55">
        <v>0</v>
      </c>
      <c r="AP29" s="55" t="s">
        <v>127</v>
      </c>
      <c r="AQ29" s="55" t="s">
        <v>127</v>
      </c>
      <c r="AR29" s="55" t="s">
        <v>127</v>
      </c>
      <c r="AS29" s="55" t="s">
        <v>127</v>
      </c>
      <c r="AT29" s="55" t="s">
        <v>127</v>
      </c>
      <c r="AU29" s="55" t="s">
        <v>127</v>
      </c>
      <c r="AV29" s="55" t="s">
        <v>127</v>
      </c>
      <c r="AW29" s="55" t="s">
        <v>127</v>
      </c>
      <c r="AX29" s="55" t="s">
        <v>127</v>
      </c>
      <c r="AY29" s="55">
        <v>38</v>
      </c>
      <c r="AZ29" s="55" t="s">
        <v>127</v>
      </c>
      <c r="BA29" s="55">
        <v>130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294</v>
      </c>
      <c r="AL30" s="55" t="s">
        <v>127</v>
      </c>
      <c r="AM30" s="55">
        <v>48</v>
      </c>
      <c r="AN30" s="55" t="s">
        <v>127</v>
      </c>
      <c r="AO30" s="55">
        <v>0</v>
      </c>
      <c r="AP30" s="55" t="s">
        <v>127</v>
      </c>
      <c r="AQ30" s="55" t="s">
        <v>127</v>
      </c>
      <c r="AR30" s="55" t="s">
        <v>127</v>
      </c>
      <c r="AS30" s="55" t="s">
        <v>127</v>
      </c>
      <c r="AT30" s="55" t="s">
        <v>127</v>
      </c>
      <c r="AU30" s="55" t="s">
        <v>127</v>
      </c>
      <c r="AV30" s="55" t="s">
        <v>127</v>
      </c>
      <c r="AW30" s="55" t="s">
        <v>127</v>
      </c>
      <c r="AX30" s="55" t="s">
        <v>127</v>
      </c>
      <c r="AY30" s="55">
        <v>53</v>
      </c>
      <c r="AZ30" s="55" t="s">
        <v>127</v>
      </c>
      <c r="BA30" s="55">
        <v>148</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342</v>
      </c>
      <c r="AL31" s="55" t="s">
        <v>127</v>
      </c>
      <c r="AM31" s="55">
        <v>51</v>
      </c>
      <c r="AN31" s="55" t="s">
        <v>127</v>
      </c>
      <c r="AO31" s="55">
        <v>0</v>
      </c>
      <c r="AP31" s="55" t="s">
        <v>127</v>
      </c>
      <c r="AQ31" s="55" t="s">
        <v>127</v>
      </c>
      <c r="AR31" s="55" t="s">
        <v>127</v>
      </c>
      <c r="AS31" s="55" t="s">
        <v>127</v>
      </c>
      <c r="AT31" s="55" t="s">
        <v>127</v>
      </c>
      <c r="AU31" s="55" t="s">
        <v>127</v>
      </c>
      <c r="AV31" s="55" t="s">
        <v>127</v>
      </c>
      <c r="AW31" s="55" t="s">
        <v>127</v>
      </c>
      <c r="AX31" s="55" t="s">
        <v>127</v>
      </c>
      <c r="AY31" s="55">
        <v>63</v>
      </c>
      <c r="AZ31" s="55" t="s">
        <v>127</v>
      </c>
      <c r="BA31" s="55">
        <v>146</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270</v>
      </c>
      <c r="AL32" s="55" t="s">
        <v>127</v>
      </c>
      <c r="AM32" s="55">
        <v>43</v>
      </c>
      <c r="AN32" s="55" t="s">
        <v>127</v>
      </c>
      <c r="AO32" s="55">
        <v>0</v>
      </c>
      <c r="AP32" s="55" t="s">
        <v>127</v>
      </c>
      <c r="AQ32" s="55" t="s">
        <v>127</v>
      </c>
      <c r="AR32" s="55" t="s">
        <v>127</v>
      </c>
      <c r="AS32" s="55" t="s">
        <v>127</v>
      </c>
      <c r="AT32" s="55" t="s">
        <v>127</v>
      </c>
      <c r="AU32" s="55" t="s">
        <v>127</v>
      </c>
      <c r="AV32" s="55" t="s">
        <v>127</v>
      </c>
      <c r="AW32" s="55" t="s">
        <v>127</v>
      </c>
      <c r="AX32" s="55" t="s">
        <v>127</v>
      </c>
      <c r="AY32" s="55">
        <v>68</v>
      </c>
      <c r="AZ32" s="55" t="s">
        <v>127</v>
      </c>
      <c r="BA32" s="55">
        <v>169</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325</v>
      </c>
      <c r="AL33" s="55" t="s">
        <v>127</v>
      </c>
      <c r="AM33" s="55">
        <v>67</v>
      </c>
      <c r="AN33" s="55" t="s">
        <v>127</v>
      </c>
      <c r="AO33" s="55">
        <v>0</v>
      </c>
      <c r="AP33" s="55" t="s">
        <v>127</v>
      </c>
      <c r="AQ33" s="55" t="s">
        <v>127</v>
      </c>
      <c r="AR33" s="55" t="s">
        <v>127</v>
      </c>
      <c r="AS33" s="55" t="s">
        <v>127</v>
      </c>
      <c r="AT33" s="55" t="s">
        <v>127</v>
      </c>
      <c r="AU33" s="55" t="s">
        <v>127</v>
      </c>
      <c r="AV33" s="55" t="s">
        <v>127</v>
      </c>
      <c r="AW33" s="55" t="s">
        <v>127</v>
      </c>
      <c r="AX33" s="55" t="s">
        <v>127</v>
      </c>
      <c r="AY33" s="55">
        <v>65</v>
      </c>
      <c r="AZ33" s="55" t="s">
        <v>127</v>
      </c>
      <c r="BA33" s="55">
        <v>200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310</v>
      </c>
      <c r="AL34" s="55" t="s">
        <v>127</v>
      </c>
      <c r="AM34" s="55">
        <v>61</v>
      </c>
      <c r="AN34" s="55" t="s">
        <v>127</v>
      </c>
      <c r="AO34" s="55">
        <v>0</v>
      </c>
      <c r="AP34" s="55" t="s">
        <v>127</v>
      </c>
      <c r="AQ34" s="55" t="s">
        <v>127</v>
      </c>
      <c r="AR34" s="55" t="s">
        <v>127</v>
      </c>
      <c r="AS34" s="55" t="s">
        <v>127</v>
      </c>
      <c r="AT34" s="55" t="s">
        <v>127</v>
      </c>
      <c r="AU34" s="55" t="s">
        <v>127</v>
      </c>
      <c r="AV34" s="55" t="s">
        <v>127</v>
      </c>
      <c r="AW34" s="55" t="s">
        <v>127</v>
      </c>
      <c r="AX34" s="55" t="s">
        <v>127</v>
      </c>
      <c r="AY34" s="55">
        <v>78</v>
      </c>
      <c r="AZ34" s="55" t="s">
        <v>127</v>
      </c>
      <c r="BA34" s="55">
        <v>196</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298</v>
      </c>
      <c r="AL35" s="55" t="s">
        <v>127</v>
      </c>
      <c r="AM35" s="55">
        <v>44</v>
      </c>
      <c r="AN35" s="55" t="s">
        <v>127</v>
      </c>
      <c r="AO35" s="55">
        <v>0</v>
      </c>
      <c r="AP35" s="55" t="s">
        <v>127</v>
      </c>
      <c r="AQ35" s="55" t="s">
        <v>127</v>
      </c>
      <c r="AR35" s="55" t="s">
        <v>127</v>
      </c>
      <c r="AS35" s="55" t="s">
        <v>127</v>
      </c>
      <c r="AT35" s="55" t="s">
        <v>127</v>
      </c>
      <c r="AU35" s="55" t="s">
        <v>127</v>
      </c>
      <c r="AV35" s="55" t="s">
        <v>127</v>
      </c>
      <c r="AW35" s="55" t="s">
        <v>127</v>
      </c>
      <c r="AX35" s="55" t="s">
        <v>127</v>
      </c>
      <c r="AY35" s="55">
        <v>54</v>
      </c>
      <c r="AZ35" s="55" t="s">
        <v>127</v>
      </c>
      <c r="BA35" s="55">
        <v>139</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256</v>
      </c>
      <c r="AL36" s="55" t="s">
        <v>127</v>
      </c>
      <c r="AM36" s="55">
        <v>29</v>
      </c>
      <c r="AN36" s="55" t="s">
        <v>127</v>
      </c>
      <c r="AO36" s="55">
        <v>0</v>
      </c>
      <c r="AP36" s="55" t="s">
        <v>127</v>
      </c>
      <c r="AQ36" s="55" t="s">
        <v>127</v>
      </c>
      <c r="AR36" s="55" t="s">
        <v>127</v>
      </c>
      <c r="AS36" s="55" t="s">
        <v>127</v>
      </c>
      <c r="AT36" s="55" t="s">
        <v>127</v>
      </c>
      <c r="AU36" s="55" t="s">
        <v>127</v>
      </c>
      <c r="AV36" s="55" t="s">
        <v>127</v>
      </c>
      <c r="AW36" s="55" t="s">
        <v>127</v>
      </c>
      <c r="AX36" s="55" t="s">
        <v>127</v>
      </c>
      <c r="AY36" s="55">
        <v>35</v>
      </c>
      <c r="AZ36" s="55" t="s">
        <v>127</v>
      </c>
      <c r="BA36" s="55">
        <v>126</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8E36-F6D8-48B3-A52F-846FABC8CE0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6</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7</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4</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6</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4</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3</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8</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8</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5</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2</v>
      </c>
      <c r="AZ20" s="55" t="s">
        <v>127</v>
      </c>
      <c r="BA20" s="55">
        <v>8</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5</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4</v>
      </c>
      <c r="AL22" s="55" t="s">
        <v>127</v>
      </c>
      <c r="AM22" s="55">
        <v>4</v>
      </c>
      <c r="AN22" s="55" t="s">
        <v>127</v>
      </c>
      <c r="AO22" s="55">
        <v>0</v>
      </c>
      <c r="AP22" s="55" t="s">
        <v>127</v>
      </c>
      <c r="AQ22" s="55" t="s">
        <v>127</v>
      </c>
      <c r="AR22" s="55" t="s">
        <v>127</v>
      </c>
      <c r="AS22" s="55" t="s">
        <v>127</v>
      </c>
      <c r="AT22" s="55" t="s">
        <v>127</v>
      </c>
      <c r="AU22" s="55" t="s">
        <v>127</v>
      </c>
      <c r="AV22" s="55" t="s">
        <v>127</v>
      </c>
      <c r="AW22" s="55" t="s">
        <v>127</v>
      </c>
      <c r="AX22" s="55" t="s">
        <v>127</v>
      </c>
      <c r="AY22" s="55">
        <v>2</v>
      </c>
      <c r="AZ22" s="55" t="s">
        <v>127</v>
      </c>
      <c r="BA22" s="55">
        <v>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6</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2</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4</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4</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4</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8</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3</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5</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6</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6</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3</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E687-7B30-4657-8E32-5686CDE6A3D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5</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4</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6</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8</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5</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5</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5</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7</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5</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5</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9</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6</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22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1</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3</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15</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6</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9</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7</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15</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70B4-DCC7-45D4-8E02-AED9DD39D6F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128</v>
      </c>
      <c r="AL15" s="55" t="s">
        <v>127</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v>12</v>
      </c>
      <c r="AZ15" s="55" t="s">
        <v>127</v>
      </c>
      <c r="BA15" s="55">
        <v>47</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180</v>
      </c>
      <c r="AL16" s="55" t="s">
        <v>127</v>
      </c>
      <c r="AM16" s="55">
        <v>34</v>
      </c>
      <c r="AN16" s="55" t="s">
        <v>127</v>
      </c>
      <c r="AO16" s="55">
        <v>0</v>
      </c>
      <c r="AP16" s="55" t="s">
        <v>127</v>
      </c>
      <c r="AQ16" s="55" t="s">
        <v>127</v>
      </c>
      <c r="AR16" s="55" t="s">
        <v>127</v>
      </c>
      <c r="AS16" s="55" t="s">
        <v>127</v>
      </c>
      <c r="AT16" s="55" t="s">
        <v>127</v>
      </c>
      <c r="AU16" s="55" t="s">
        <v>127</v>
      </c>
      <c r="AV16" s="55" t="s">
        <v>127</v>
      </c>
      <c r="AW16" s="55" t="s">
        <v>127</v>
      </c>
      <c r="AX16" s="55" t="s">
        <v>127</v>
      </c>
      <c r="AY16" s="55">
        <v>18</v>
      </c>
      <c r="AZ16" s="55" t="s">
        <v>127</v>
      </c>
      <c r="BA16" s="55">
        <v>59</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191</v>
      </c>
      <c r="AL17" s="55" t="s">
        <v>127</v>
      </c>
      <c r="AM17" s="55">
        <v>36</v>
      </c>
      <c r="AN17" s="55" t="s">
        <v>127</v>
      </c>
      <c r="AO17" s="55">
        <v>0</v>
      </c>
      <c r="AP17" s="55" t="s">
        <v>127</v>
      </c>
      <c r="AQ17" s="55" t="s">
        <v>127</v>
      </c>
      <c r="AR17" s="55" t="s">
        <v>127</v>
      </c>
      <c r="AS17" s="55" t="s">
        <v>127</v>
      </c>
      <c r="AT17" s="55" t="s">
        <v>127</v>
      </c>
      <c r="AU17" s="55" t="s">
        <v>127</v>
      </c>
      <c r="AV17" s="55" t="s">
        <v>127</v>
      </c>
      <c r="AW17" s="55" t="s">
        <v>127</v>
      </c>
      <c r="AX17" s="55" t="s">
        <v>127</v>
      </c>
      <c r="AY17" s="55">
        <v>26</v>
      </c>
      <c r="AZ17" s="55" t="s">
        <v>127</v>
      </c>
      <c r="BA17" s="55">
        <v>76</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230</v>
      </c>
      <c r="AL18" s="55" t="s">
        <v>127</v>
      </c>
      <c r="AM18" s="55">
        <v>53</v>
      </c>
      <c r="AN18" s="55" t="s">
        <v>127</v>
      </c>
      <c r="AO18" s="55">
        <v>0</v>
      </c>
      <c r="AP18" s="55" t="s">
        <v>127</v>
      </c>
      <c r="AQ18" s="55" t="s">
        <v>127</v>
      </c>
      <c r="AR18" s="55" t="s">
        <v>127</v>
      </c>
      <c r="AS18" s="55" t="s">
        <v>127</v>
      </c>
      <c r="AT18" s="55" t="s">
        <v>127</v>
      </c>
      <c r="AU18" s="55" t="s">
        <v>127</v>
      </c>
      <c r="AV18" s="55" t="s">
        <v>127</v>
      </c>
      <c r="AW18" s="55" t="s">
        <v>127</v>
      </c>
      <c r="AX18" s="55" t="s">
        <v>127</v>
      </c>
      <c r="AY18" s="55">
        <v>29</v>
      </c>
      <c r="AZ18" s="55" t="s">
        <v>127</v>
      </c>
      <c r="BA18" s="55">
        <v>82</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272</v>
      </c>
      <c r="AL19" s="55" t="s">
        <v>127</v>
      </c>
      <c r="AM19" s="55">
        <v>45</v>
      </c>
      <c r="AN19" s="55" t="s">
        <v>127</v>
      </c>
      <c r="AO19" s="55">
        <v>0</v>
      </c>
      <c r="AP19" s="55" t="s">
        <v>127</v>
      </c>
      <c r="AQ19" s="55" t="s">
        <v>127</v>
      </c>
      <c r="AR19" s="55" t="s">
        <v>127</v>
      </c>
      <c r="AS19" s="55" t="s">
        <v>127</v>
      </c>
      <c r="AT19" s="55" t="s">
        <v>127</v>
      </c>
      <c r="AU19" s="55" t="s">
        <v>127</v>
      </c>
      <c r="AV19" s="55" t="s">
        <v>127</v>
      </c>
      <c r="AW19" s="55" t="s">
        <v>127</v>
      </c>
      <c r="AX19" s="55" t="s">
        <v>127</v>
      </c>
      <c r="AY19" s="55">
        <v>28</v>
      </c>
      <c r="AZ19" s="55" t="s">
        <v>127</v>
      </c>
      <c r="BA19" s="55">
        <v>87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259</v>
      </c>
      <c r="AL20" s="55" t="s">
        <v>127</v>
      </c>
      <c r="AM20" s="55">
        <v>59</v>
      </c>
      <c r="AN20" s="55" t="s">
        <v>127</v>
      </c>
      <c r="AO20" s="55">
        <v>0</v>
      </c>
      <c r="AP20" s="55" t="s">
        <v>127</v>
      </c>
      <c r="AQ20" s="55" t="s">
        <v>127</v>
      </c>
      <c r="AR20" s="55" t="s">
        <v>127</v>
      </c>
      <c r="AS20" s="55" t="s">
        <v>127</v>
      </c>
      <c r="AT20" s="55" t="s">
        <v>127</v>
      </c>
      <c r="AU20" s="55" t="s">
        <v>127</v>
      </c>
      <c r="AV20" s="55" t="s">
        <v>127</v>
      </c>
      <c r="AW20" s="55" t="s">
        <v>127</v>
      </c>
      <c r="AX20" s="55" t="s">
        <v>127</v>
      </c>
      <c r="AY20" s="55">
        <v>35</v>
      </c>
      <c r="AZ20" s="55" t="s">
        <v>127</v>
      </c>
      <c r="BA20" s="55">
        <v>108</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264</v>
      </c>
      <c r="AL21" s="55" t="s">
        <v>127</v>
      </c>
      <c r="AM21" s="55">
        <v>67</v>
      </c>
      <c r="AN21" s="55" t="s">
        <v>127</v>
      </c>
      <c r="AO21" s="55">
        <v>0</v>
      </c>
      <c r="AP21" s="55" t="s">
        <v>127</v>
      </c>
      <c r="AQ21" s="55" t="s">
        <v>127</v>
      </c>
      <c r="AR21" s="55" t="s">
        <v>127</v>
      </c>
      <c r="AS21" s="55" t="s">
        <v>127</v>
      </c>
      <c r="AT21" s="55" t="s">
        <v>127</v>
      </c>
      <c r="AU21" s="55" t="s">
        <v>127</v>
      </c>
      <c r="AV21" s="55" t="s">
        <v>127</v>
      </c>
      <c r="AW21" s="55" t="s">
        <v>127</v>
      </c>
      <c r="AX21" s="55" t="s">
        <v>127</v>
      </c>
      <c r="AY21" s="55">
        <v>29</v>
      </c>
      <c r="AZ21" s="55" t="s">
        <v>127</v>
      </c>
      <c r="BA21" s="55">
        <v>105</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237</v>
      </c>
      <c r="AL22" s="55" t="s">
        <v>127</v>
      </c>
      <c r="AM22" s="55">
        <v>61</v>
      </c>
      <c r="AN22" s="55" t="s">
        <v>127</v>
      </c>
      <c r="AO22" s="55">
        <v>0</v>
      </c>
      <c r="AP22" s="55" t="s">
        <v>127</v>
      </c>
      <c r="AQ22" s="55" t="s">
        <v>127</v>
      </c>
      <c r="AR22" s="55" t="s">
        <v>127</v>
      </c>
      <c r="AS22" s="55" t="s">
        <v>127</v>
      </c>
      <c r="AT22" s="55" t="s">
        <v>127</v>
      </c>
      <c r="AU22" s="55" t="s">
        <v>127</v>
      </c>
      <c r="AV22" s="55" t="s">
        <v>127</v>
      </c>
      <c r="AW22" s="55" t="s">
        <v>127</v>
      </c>
      <c r="AX22" s="55" t="s">
        <v>127</v>
      </c>
      <c r="AY22" s="55">
        <v>52</v>
      </c>
      <c r="AZ22" s="55" t="s">
        <v>127</v>
      </c>
      <c r="BA22" s="55">
        <v>112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184</v>
      </c>
      <c r="AL24" s="55" t="s">
        <v>127</v>
      </c>
      <c r="AM24" s="55">
        <v>46</v>
      </c>
      <c r="AN24" s="55" t="s">
        <v>127</v>
      </c>
      <c r="AO24" s="55">
        <v>0</v>
      </c>
      <c r="AP24" s="55" t="s">
        <v>127</v>
      </c>
      <c r="AQ24" s="55" t="s">
        <v>127</v>
      </c>
      <c r="AR24" s="55" t="s">
        <v>127</v>
      </c>
      <c r="AS24" s="55" t="s">
        <v>127</v>
      </c>
      <c r="AT24" s="55" t="s">
        <v>127</v>
      </c>
      <c r="AU24" s="55" t="s">
        <v>127</v>
      </c>
      <c r="AV24" s="55" t="s">
        <v>127</v>
      </c>
      <c r="AW24" s="55" t="s">
        <v>127</v>
      </c>
      <c r="AX24" s="55" t="s">
        <v>127</v>
      </c>
      <c r="AY24" s="55">
        <v>33</v>
      </c>
      <c r="AZ24" s="55" t="s">
        <v>127</v>
      </c>
      <c r="BA24" s="55">
        <v>94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197</v>
      </c>
      <c r="AL25" s="55" t="s">
        <v>127</v>
      </c>
      <c r="AM25" s="55">
        <v>33</v>
      </c>
      <c r="AN25" s="55" t="s">
        <v>127</v>
      </c>
      <c r="AO25" s="55">
        <v>0</v>
      </c>
      <c r="AP25" s="55" t="s">
        <v>127</v>
      </c>
      <c r="AQ25" s="55" t="s">
        <v>127</v>
      </c>
      <c r="AR25" s="55" t="s">
        <v>127</v>
      </c>
      <c r="AS25" s="55" t="s">
        <v>127</v>
      </c>
      <c r="AT25" s="55" t="s">
        <v>127</v>
      </c>
      <c r="AU25" s="55" t="s">
        <v>127</v>
      </c>
      <c r="AV25" s="55" t="s">
        <v>127</v>
      </c>
      <c r="AW25" s="55" t="s">
        <v>127</v>
      </c>
      <c r="AX25" s="55" t="s">
        <v>127</v>
      </c>
      <c r="AY25" s="55">
        <v>26</v>
      </c>
      <c r="AZ25" s="55" t="s">
        <v>127</v>
      </c>
      <c r="BA25" s="55">
        <v>72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184</v>
      </c>
      <c r="AL26" s="55" t="s">
        <v>127</v>
      </c>
      <c r="AM26" s="55">
        <v>35</v>
      </c>
      <c r="AN26" s="55" t="s">
        <v>127</v>
      </c>
      <c r="AO26" s="55">
        <v>0</v>
      </c>
      <c r="AP26" s="55" t="s">
        <v>127</v>
      </c>
      <c r="AQ26" s="55" t="s">
        <v>127</v>
      </c>
      <c r="AR26" s="55" t="s">
        <v>127</v>
      </c>
      <c r="AS26" s="55" t="s">
        <v>127</v>
      </c>
      <c r="AT26" s="55" t="s">
        <v>127</v>
      </c>
      <c r="AU26" s="55" t="s">
        <v>127</v>
      </c>
      <c r="AV26" s="55" t="s">
        <v>127</v>
      </c>
      <c r="AW26" s="55" t="s">
        <v>127</v>
      </c>
      <c r="AX26" s="55" t="s">
        <v>127</v>
      </c>
      <c r="AY26" s="55">
        <v>26</v>
      </c>
      <c r="AZ26" s="55" t="s">
        <v>127</v>
      </c>
      <c r="BA26" s="55">
        <v>112</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214</v>
      </c>
      <c r="AL27" s="55" t="s">
        <v>127</v>
      </c>
      <c r="AM27" s="55">
        <v>46</v>
      </c>
      <c r="AN27" s="55" t="s">
        <v>127</v>
      </c>
      <c r="AO27" s="55">
        <v>0</v>
      </c>
      <c r="AP27" s="55" t="s">
        <v>127</v>
      </c>
      <c r="AQ27" s="55" t="s">
        <v>127</v>
      </c>
      <c r="AR27" s="55" t="s">
        <v>127</v>
      </c>
      <c r="AS27" s="55" t="s">
        <v>127</v>
      </c>
      <c r="AT27" s="55" t="s">
        <v>127</v>
      </c>
      <c r="AU27" s="55" t="s">
        <v>127</v>
      </c>
      <c r="AV27" s="55" t="s">
        <v>127</v>
      </c>
      <c r="AW27" s="55" t="s">
        <v>127</v>
      </c>
      <c r="AX27" s="55" t="s">
        <v>127</v>
      </c>
      <c r="AY27" s="55">
        <v>29</v>
      </c>
      <c r="AZ27" s="55" t="s">
        <v>127</v>
      </c>
      <c r="BA27" s="55">
        <v>102</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307</v>
      </c>
      <c r="AL29" s="55" t="s">
        <v>127</v>
      </c>
      <c r="AM29" s="55">
        <v>50</v>
      </c>
      <c r="AN29" s="55" t="s">
        <v>127</v>
      </c>
      <c r="AO29" s="55">
        <v>0</v>
      </c>
      <c r="AP29" s="55" t="s">
        <v>127</v>
      </c>
      <c r="AQ29" s="55" t="s">
        <v>127</v>
      </c>
      <c r="AR29" s="55" t="s">
        <v>127</v>
      </c>
      <c r="AS29" s="55" t="s">
        <v>127</v>
      </c>
      <c r="AT29" s="55" t="s">
        <v>127</v>
      </c>
      <c r="AU29" s="55" t="s">
        <v>127</v>
      </c>
      <c r="AV29" s="55" t="s">
        <v>127</v>
      </c>
      <c r="AW29" s="55" t="s">
        <v>127</v>
      </c>
      <c r="AX29" s="55" t="s">
        <v>127</v>
      </c>
      <c r="AY29" s="55">
        <v>39</v>
      </c>
      <c r="AZ29" s="55" t="s">
        <v>127</v>
      </c>
      <c r="BA29" s="55">
        <v>145</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301</v>
      </c>
      <c r="AL30" s="55" t="s">
        <v>127</v>
      </c>
      <c r="AM30" s="55">
        <v>48</v>
      </c>
      <c r="AN30" s="55" t="s">
        <v>127</v>
      </c>
      <c r="AO30" s="55">
        <v>0</v>
      </c>
      <c r="AP30" s="55" t="s">
        <v>127</v>
      </c>
      <c r="AQ30" s="55" t="s">
        <v>127</v>
      </c>
      <c r="AR30" s="55" t="s">
        <v>127</v>
      </c>
      <c r="AS30" s="55" t="s">
        <v>127</v>
      </c>
      <c r="AT30" s="55" t="s">
        <v>127</v>
      </c>
      <c r="AU30" s="55" t="s">
        <v>127</v>
      </c>
      <c r="AV30" s="55" t="s">
        <v>127</v>
      </c>
      <c r="AW30" s="55" t="s">
        <v>127</v>
      </c>
      <c r="AX30" s="55" t="s">
        <v>127</v>
      </c>
      <c r="AY30" s="55">
        <v>53</v>
      </c>
      <c r="AZ30" s="55" t="s">
        <v>127</v>
      </c>
      <c r="BA30" s="55">
        <v>163</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350</v>
      </c>
      <c r="AL31" s="55" t="s">
        <v>127</v>
      </c>
      <c r="AM31" s="55">
        <v>53</v>
      </c>
      <c r="AN31" s="55" t="s">
        <v>127</v>
      </c>
      <c r="AO31" s="55">
        <v>0</v>
      </c>
      <c r="AP31" s="55" t="s">
        <v>127</v>
      </c>
      <c r="AQ31" s="55" t="s">
        <v>127</v>
      </c>
      <c r="AR31" s="55" t="s">
        <v>127</v>
      </c>
      <c r="AS31" s="55" t="s">
        <v>127</v>
      </c>
      <c r="AT31" s="55" t="s">
        <v>127</v>
      </c>
      <c r="AU31" s="55" t="s">
        <v>127</v>
      </c>
      <c r="AV31" s="55" t="s">
        <v>127</v>
      </c>
      <c r="AW31" s="55" t="s">
        <v>127</v>
      </c>
      <c r="AX31" s="55" t="s">
        <v>127</v>
      </c>
      <c r="AY31" s="55">
        <v>63</v>
      </c>
      <c r="AZ31" s="55" t="s">
        <v>127</v>
      </c>
      <c r="BA31" s="55">
        <v>161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278</v>
      </c>
      <c r="AL32" s="55" t="s">
        <v>127</v>
      </c>
      <c r="AM32" s="55">
        <v>44</v>
      </c>
      <c r="AN32" s="55" t="s">
        <v>127</v>
      </c>
      <c r="AO32" s="55">
        <v>0</v>
      </c>
      <c r="AP32" s="55" t="s">
        <v>127</v>
      </c>
      <c r="AQ32" s="55" t="s">
        <v>127</v>
      </c>
      <c r="AR32" s="55" t="s">
        <v>127</v>
      </c>
      <c r="AS32" s="55" t="s">
        <v>127</v>
      </c>
      <c r="AT32" s="55" t="s">
        <v>127</v>
      </c>
      <c r="AU32" s="55" t="s">
        <v>127</v>
      </c>
      <c r="AV32" s="55" t="s">
        <v>127</v>
      </c>
      <c r="AW32" s="55" t="s">
        <v>127</v>
      </c>
      <c r="AX32" s="55" t="s">
        <v>127</v>
      </c>
      <c r="AY32" s="55">
        <v>68</v>
      </c>
      <c r="AZ32" s="55" t="s">
        <v>127</v>
      </c>
      <c r="BA32" s="55">
        <v>181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331</v>
      </c>
      <c r="AL33" s="55" t="s">
        <v>127</v>
      </c>
      <c r="AM33" s="55">
        <v>69</v>
      </c>
      <c r="AN33" s="55" t="s">
        <v>127</v>
      </c>
      <c r="AO33" s="55">
        <v>0</v>
      </c>
      <c r="AP33" s="55" t="s">
        <v>127</v>
      </c>
      <c r="AQ33" s="55" t="s">
        <v>127</v>
      </c>
      <c r="AR33" s="55" t="s">
        <v>127</v>
      </c>
      <c r="AS33" s="55" t="s">
        <v>127</v>
      </c>
      <c r="AT33" s="55" t="s">
        <v>127</v>
      </c>
      <c r="AU33" s="55" t="s">
        <v>127</v>
      </c>
      <c r="AV33" s="55" t="s">
        <v>127</v>
      </c>
      <c r="AW33" s="55" t="s">
        <v>127</v>
      </c>
      <c r="AX33" s="55" t="s">
        <v>127</v>
      </c>
      <c r="AY33" s="55">
        <v>66</v>
      </c>
      <c r="AZ33" s="55" t="s">
        <v>127</v>
      </c>
      <c r="BA33" s="55">
        <v>225</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1</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313</v>
      </c>
      <c r="AL34" s="55" t="s">
        <v>127</v>
      </c>
      <c r="AM34" s="55">
        <v>61</v>
      </c>
      <c r="AN34" s="55" t="s">
        <v>127</v>
      </c>
      <c r="AO34" s="55">
        <v>0</v>
      </c>
      <c r="AP34" s="55" t="s">
        <v>127</v>
      </c>
      <c r="AQ34" s="55" t="s">
        <v>127</v>
      </c>
      <c r="AR34" s="55" t="s">
        <v>127</v>
      </c>
      <c r="AS34" s="55" t="s">
        <v>127</v>
      </c>
      <c r="AT34" s="55" t="s">
        <v>127</v>
      </c>
      <c r="AU34" s="55" t="s">
        <v>127</v>
      </c>
      <c r="AV34" s="55" t="s">
        <v>127</v>
      </c>
      <c r="AW34" s="55" t="s">
        <v>127</v>
      </c>
      <c r="AX34" s="55" t="s">
        <v>127</v>
      </c>
      <c r="AY34" s="55">
        <v>78</v>
      </c>
      <c r="AZ34" s="55" t="s">
        <v>127</v>
      </c>
      <c r="BA34" s="55">
        <v>213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305</v>
      </c>
      <c r="AL35" s="55" t="s">
        <v>127</v>
      </c>
      <c r="AM35" s="55">
        <v>46</v>
      </c>
      <c r="AN35" s="55" t="s">
        <v>127</v>
      </c>
      <c r="AO35" s="55">
        <v>0</v>
      </c>
      <c r="AP35" s="55" t="s">
        <v>127</v>
      </c>
      <c r="AQ35" s="55" t="s">
        <v>127</v>
      </c>
      <c r="AR35" s="55" t="s">
        <v>127</v>
      </c>
      <c r="AS35" s="55" t="s">
        <v>127</v>
      </c>
      <c r="AT35" s="55" t="s">
        <v>127</v>
      </c>
      <c r="AU35" s="55" t="s">
        <v>127</v>
      </c>
      <c r="AV35" s="55" t="s">
        <v>127</v>
      </c>
      <c r="AW35" s="55" t="s">
        <v>127</v>
      </c>
      <c r="AX35" s="55" t="s">
        <v>127</v>
      </c>
      <c r="AY35" s="55">
        <v>56</v>
      </c>
      <c r="AZ35" s="55" t="s">
        <v>127</v>
      </c>
      <c r="BA35" s="55">
        <v>150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264</v>
      </c>
      <c r="AL36" s="55" t="s">
        <v>127</v>
      </c>
      <c r="AM36" s="55">
        <v>29</v>
      </c>
      <c r="AN36" s="55" t="s">
        <v>127</v>
      </c>
      <c r="AO36" s="55">
        <v>0</v>
      </c>
      <c r="AP36" s="55" t="s">
        <v>127</v>
      </c>
      <c r="AQ36" s="55" t="s">
        <v>127</v>
      </c>
      <c r="AR36" s="55" t="s">
        <v>127</v>
      </c>
      <c r="AS36" s="55" t="s">
        <v>127</v>
      </c>
      <c r="AT36" s="55" t="s">
        <v>127</v>
      </c>
      <c r="AU36" s="55" t="s">
        <v>127</v>
      </c>
      <c r="AV36" s="55" t="s">
        <v>127</v>
      </c>
      <c r="AW36" s="55" t="s">
        <v>127</v>
      </c>
      <c r="AX36" s="55" t="s">
        <v>127</v>
      </c>
      <c r="AY36" s="55">
        <v>36</v>
      </c>
      <c r="AZ36" s="55" t="s">
        <v>127</v>
      </c>
      <c r="BA36" s="55">
        <v>144</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2021-03-18T01:26:11Z</dcterms:modified>
</cp:coreProperties>
</file>