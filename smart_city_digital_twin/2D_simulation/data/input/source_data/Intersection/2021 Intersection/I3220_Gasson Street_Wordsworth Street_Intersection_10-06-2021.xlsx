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6D4C7504-C15C-47D4-B744-051CE6FC893A}"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L272" i="6"/>
  <c r="L200" i="6"/>
  <c r="L303" i="6"/>
  <c r="L271" i="6"/>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Q140" i="6" s="1"/>
  <c r="L115" i="6"/>
  <c r="L155" i="6"/>
  <c r="L98" i="6"/>
  <c r="Q98" i="6" s="1"/>
  <c r="L185" i="6"/>
  <c r="Q185" i="6" s="1"/>
  <c r="L102" i="6"/>
  <c r="Q102" i="6" s="1"/>
  <c r="L104" i="6"/>
  <c r="L269" i="6"/>
  <c r="L132" i="6"/>
  <c r="Q132" i="6" s="1"/>
  <c r="L35" i="6"/>
  <c r="L282" i="6"/>
  <c r="L230" i="6"/>
  <c r="Q230" i="6" s="1"/>
  <c r="L94" i="6"/>
  <c r="Q94" i="6" s="1"/>
  <c r="L297" i="6"/>
  <c r="Q297" i="6" s="1"/>
  <c r="L233" i="6"/>
  <c r="L169" i="6"/>
  <c r="Q169" i="6" s="1"/>
  <c r="L105" i="6"/>
  <c r="Q105" i="6" s="1"/>
  <c r="L41" i="6"/>
  <c r="L222" i="6"/>
  <c r="Q222" i="6" s="1"/>
  <c r="L62" i="6"/>
  <c r="Q62" i="6" s="1"/>
  <c r="L168" i="6"/>
  <c r="L136" i="6"/>
  <c r="Q136" i="6" s="1"/>
  <c r="L96" i="6"/>
  <c r="L64" i="6"/>
  <c r="L256" i="6"/>
  <c r="Q256" i="6" s="1"/>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L33" i="6"/>
  <c r="L224" i="6"/>
  <c r="L206" i="6"/>
  <c r="L78" i="6"/>
  <c r="Q78" i="6" s="1"/>
  <c r="L240" i="6"/>
  <c r="Q240" i="6" s="1"/>
  <c r="L176" i="6"/>
  <c r="Q176" i="6" s="1"/>
  <c r="L295" i="6"/>
  <c r="Q295" i="6" s="1"/>
  <c r="L263" i="6"/>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53" i="6"/>
  <c r="Q237" i="6"/>
  <c r="Q229" i="6"/>
  <c r="Q173" i="6"/>
  <c r="Q117" i="6"/>
  <c r="Q109" i="6"/>
  <c r="Q53" i="6"/>
  <c r="Q259" i="6"/>
  <c r="Q243" i="6"/>
  <c r="Q219" i="6"/>
  <c r="Q187" i="6"/>
  <c r="Q163" i="6"/>
  <c r="Q155" i="6"/>
  <c r="Q139" i="6"/>
  <c r="Q115" i="6"/>
  <c r="Q107" i="6"/>
  <c r="Q75" i="6"/>
  <c r="Q67" i="6"/>
  <c r="Q282" i="6"/>
  <c r="Q226" i="6"/>
  <c r="Q218" i="6"/>
  <c r="Q202" i="6"/>
  <c r="Q162" i="6"/>
  <c r="Q106" i="6"/>
  <c r="Q90" i="6"/>
  <c r="Q50" i="6"/>
  <c r="Q280" i="6"/>
  <c r="Q177" i="6"/>
  <c r="Q88" i="6"/>
  <c r="Q41" i="6"/>
  <c r="Q71" i="6"/>
  <c r="Q254" i="6"/>
  <c r="Q215" i="6"/>
  <c r="Q190" i="6"/>
  <c r="Q73" i="6"/>
  <c r="Q302" i="6"/>
  <c r="Q263" i="6"/>
  <c r="Q199" i="6"/>
  <c r="Q96" i="6"/>
  <c r="Q287" i="6"/>
  <c r="Q248" i="6"/>
  <c r="Q303" i="6"/>
  <c r="Q278" i="6"/>
  <c r="Q239" i="6"/>
  <c r="Q225" i="6"/>
  <c r="Q200" i="6"/>
  <c r="Q150" i="6"/>
  <c r="Q111" i="6"/>
  <c r="Q97" i="6"/>
  <c r="Q288" i="6"/>
  <c r="Q224" i="6"/>
  <c r="Q272" i="6"/>
  <c r="Q244" i="6"/>
  <c r="Q81" i="6"/>
  <c r="Q271" i="6"/>
  <c r="Q233" i="6"/>
  <c r="Q286" i="6"/>
  <c r="Q168" i="6"/>
  <c r="Q118" i="6"/>
  <c r="Q116" i="6"/>
  <c r="Q64" i="6"/>
  <c r="Q95" i="6"/>
  <c r="Q296" i="6"/>
  <c r="Q206" i="6"/>
  <c r="Q128" i="6"/>
  <c r="Q54" i="6"/>
  <c r="Q180" i="6"/>
  <c r="Q104" i="6"/>
  <c r="H8" i="6"/>
  <c r="B4" i="7" s="1"/>
  <c r="O6" i="6"/>
  <c r="I31" i="4" l="1"/>
  <c r="I111" i="4"/>
  <c r="I191" i="4"/>
  <c r="I271" i="4"/>
  <c r="I491" i="4"/>
  <c r="I571" i="4"/>
  <c r="I51" i="4"/>
  <c r="I131" i="4"/>
  <c r="I211" i="4"/>
  <c r="I291" i="4"/>
  <c r="I391" i="4"/>
  <c r="I451" i="4"/>
  <c r="I351" i="4"/>
  <c r="I511" i="4"/>
  <c r="I591" i="4"/>
  <c r="I671" i="4"/>
  <c r="I71" i="4"/>
  <c r="I151" i="4"/>
  <c r="I231" i="4"/>
  <c r="I311" i="4"/>
  <c r="I471" i="4"/>
  <c r="I431" i="4"/>
  <c r="I531" i="4"/>
  <c r="I611" i="4"/>
  <c r="I691" i="4"/>
  <c r="I371" i="4"/>
  <c r="I11" i="4"/>
  <c r="I331" i="4"/>
  <c r="I411" i="4"/>
  <c r="I711" i="4"/>
  <c r="I91" i="4"/>
  <c r="I651" i="4"/>
  <c r="I171" i="4"/>
  <c r="I551" i="4"/>
  <c r="I631" i="4"/>
  <c r="I251" i="4"/>
  <c r="I44" i="4"/>
  <c r="I124" i="4"/>
  <c r="I204" i="4"/>
  <c r="I284" i="4"/>
  <c r="I364" i="4"/>
  <c r="I444" i="4"/>
  <c r="I64" i="4"/>
  <c r="I144" i="4"/>
  <c r="I224" i="4"/>
  <c r="I304" i="4"/>
  <c r="I384" i="4"/>
  <c r="I464" i="4"/>
  <c r="I524" i="4"/>
  <c r="I504" i="4"/>
  <c r="I4" i="4"/>
  <c r="I84" i="4"/>
  <c r="I164" i="4"/>
  <c r="I244" i="4"/>
  <c r="I404" i="4"/>
  <c r="I484" i="4"/>
  <c r="I564" i="4"/>
  <c r="I184" i="4"/>
  <c r="I424" i="4"/>
  <c r="I704" i="4"/>
  <c r="I624" i="4"/>
  <c r="I264" i="4"/>
  <c r="I584" i="4"/>
  <c r="I604" i="4"/>
  <c r="I24" i="4"/>
  <c r="I324" i="4"/>
  <c r="I644" i="4"/>
  <c r="I664" i="4"/>
  <c r="I684" i="4"/>
  <c r="I104" i="4"/>
  <c r="I344" i="4"/>
  <c r="I544" i="4"/>
  <c r="I12" i="4"/>
  <c r="I92" i="4"/>
  <c r="I172" i="4"/>
  <c r="I252" i="4"/>
  <c r="I412" i="4"/>
  <c r="I492" i="4"/>
  <c r="I332" i="4"/>
  <c r="I512" i="4"/>
  <c r="I32" i="4"/>
  <c r="I112" i="4"/>
  <c r="I192" i="4"/>
  <c r="I272" i="4"/>
  <c r="I352" i="4"/>
  <c r="I432" i="4"/>
  <c r="I612" i="4"/>
  <c r="I52" i="4"/>
  <c r="I132" i="4"/>
  <c r="I212" i="4"/>
  <c r="I292" i="4"/>
  <c r="I372" i="4"/>
  <c r="I452" i="4"/>
  <c r="I312" i="4"/>
  <c r="I712" i="4"/>
  <c r="I632" i="4"/>
  <c r="I652" i="4"/>
  <c r="I72" i="4"/>
  <c r="I692" i="4"/>
  <c r="I672" i="4"/>
  <c r="I152" i="4"/>
  <c r="I392" i="4"/>
  <c r="I592" i="4"/>
  <c r="I232" i="4"/>
  <c r="I472" i="4"/>
  <c r="I532" i="4"/>
  <c r="I552" i="4"/>
  <c r="I572" i="4"/>
  <c r="I126" i="4"/>
  <c r="I286" i="4"/>
  <c r="I366" i="4"/>
  <c r="I446" i="4"/>
  <c r="I66" i="4"/>
  <c r="I146" i="4"/>
  <c r="I546" i="4"/>
  <c r="I626" i="4"/>
  <c r="I706" i="4"/>
  <c r="I6" i="4"/>
  <c r="I166" i="4"/>
  <c r="I386" i="4"/>
  <c r="I466" i="4"/>
  <c r="I306" i="4"/>
  <c r="I566" i="4"/>
  <c r="I646" i="4"/>
  <c r="I46" i="4"/>
  <c r="I206" i="4"/>
  <c r="I406" i="4"/>
  <c r="I486" i="4"/>
  <c r="I106" i="4"/>
  <c r="I506" i="4"/>
  <c r="I586" i="4"/>
  <c r="I666" i="4"/>
  <c r="I26" i="4"/>
  <c r="I246" i="4"/>
  <c r="I326" i="4"/>
  <c r="I606" i="4"/>
  <c r="I346" i="4"/>
  <c r="I266" i="4"/>
  <c r="I686" i="4"/>
  <c r="I426" i="4"/>
  <c r="I86" i="4"/>
  <c r="I526" i="4"/>
  <c r="I186" i="4"/>
  <c r="I226" i="4"/>
  <c r="I158" i="4"/>
  <c r="I398" i="4"/>
  <c r="I478" i="4"/>
  <c r="I298" i="4"/>
  <c r="I18" i="4"/>
  <c r="I578" i="4"/>
  <c r="I658" i="4"/>
  <c r="I218" i="4"/>
  <c r="I38" i="4"/>
  <c r="I198" i="4"/>
  <c r="I418" i="4"/>
  <c r="I498" i="4"/>
  <c r="I178" i="4"/>
  <c r="I518" i="4"/>
  <c r="I598" i="4"/>
  <c r="I678" i="4"/>
  <c r="I318" i="4"/>
  <c r="I78" i="4"/>
  <c r="I238" i="4"/>
  <c r="I358" i="4"/>
  <c r="I438" i="4"/>
  <c r="I538" i="4"/>
  <c r="I618" i="4"/>
  <c r="I698" i="4"/>
  <c r="I258" i="4"/>
  <c r="I98" i="4"/>
  <c r="I118" i="4"/>
  <c r="I458" i="4"/>
  <c r="I138" i="4"/>
  <c r="I338" i="4"/>
  <c r="I278" i="4"/>
  <c r="I558" i="4"/>
  <c r="I638" i="4"/>
  <c r="I58" i="4"/>
  <c r="I378" i="4"/>
  <c r="I718" i="4"/>
  <c r="I63" i="4"/>
  <c r="I143" i="4"/>
  <c r="I223" i="4"/>
  <c r="I303" i="4"/>
  <c r="I403" i="4"/>
  <c r="I363" i="4"/>
  <c r="I463" i="4"/>
  <c r="I523" i="4"/>
  <c r="I3" i="4"/>
  <c r="I83" i="4"/>
  <c r="I163" i="4"/>
  <c r="I243" i="4"/>
  <c r="I323" i="4"/>
  <c r="I443" i="4"/>
  <c r="I543" i="4"/>
  <c r="I623" i="4"/>
  <c r="I703" i="4"/>
  <c r="I23" i="4"/>
  <c r="I103" i="4"/>
  <c r="I183" i="4"/>
  <c r="I263" i="4"/>
  <c r="I343" i="4"/>
  <c r="I483" i="4"/>
  <c r="I563" i="4"/>
  <c r="I643" i="4"/>
  <c r="I203" i="4"/>
  <c r="I583" i="4"/>
  <c r="I283" i="4"/>
  <c r="I383" i="4"/>
  <c r="I683" i="4"/>
  <c r="I43" i="4"/>
  <c r="I663" i="4"/>
  <c r="I123" i="4"/>
  <c r="I423" i="4"/>
  <c r="I503" i="4"/>
  <c r="I603" i="4"/>
  <c r="I85" i="4"/>
  <c r="I245" i="4"/>
  <c r="I385" i="4"/>
  <c r="I465" i="4"/>
  <c r="I25" i="4"/>
  <c r="I185" i="4"/>
  <c r="I565" i="4"/>
  <c r="I645" i="4"/>
  <c r="I125" i="4"/>
  <c r="I285" i="4"/>
  <c r="I405" i="4"/>
  <c r="I485" i="4"/>
  <c r="I65" i="4"/>
  <c r="I225" i="4"/>
  <c r="I505" i="4"/>
  <c r="I585" i="4"/>
  <c r="I665" i="4"/>
  <c r="I5" i="4"/>
  <c r="I165" i="4"/>
  <c r="I325" i="4"/>
  <c r="I345" i="4"/>
  <c r="I425" i="4"/>
  <c r="I105" i="4"/>
  <c r="I265" i="4"/>
  <c r="I525" i="4"/>
  <c r="I605" i="4"/>
  <c r="I685" i="4"/>
  <c r="I625" i="4"/>
  <c r="I45" i="4"/>
  <c r="I365" i="4"/>
  <c r="I705" i="4"/>
  <c r="I205" i="4"/>
  <c r="I445" i="4"/>
  <c r="I145" i="4"/>
  <c r="I305" i="4"/>
  <c r="I545" i="4"/>
  <c r="I53" i="4"/>
  <c r="I213" i="4"/>
  <c r="I353" i="4"/>
  <c r="I433" i="4"/>
  <c r="I153" i="4"/>
  <c r="I533" i="4"/>
  <c r="I613" i="4"/>
  <c r="I693" i="4"/>
  <c r="I333" i="4"/>
  <c r="I93" i="4"/>
  <c r="I253" i="4"/>
  <c r="I313" i="4"/>
  <c r="I373" i="4"/>
  <c r="I453" i="4"/>
  <c r="I33" i="4"/>
  <c r="I193" i="4"/>
  <c r="I553" i="4"/>
  <c r="I633" i="4"/>
  <c r="I713" i="4"/>
  <c r="I133" i="4"/>
  <c r="I293" i="4"/>
  <c r="I393" i="4"/>
  <c r="I473" i="4"/>
  <c r="I73" i="4"/>
  <c r="I233" i="4"/>
  <c r="I573" i="4"/>
  <c r="I653" i="4"/>
  <c r="I13" i="4"/>
  <c r="I413" i="4"/>
  <c r="I173" i="4"/>
  <c r="I493" i="4"/>
  <c r="I113" i="4"/>
  <c r="I513" i="4"/>
  <c r="I273" i="4"/>
  <c r="I593" i="4"/>
  <c r="I673" i="4"/>
  <c r="I30" i="4"/>
  <c r="I190" i="4"/>
  <c r="I310" i="4"/>
  <c r="I350" i="4"/>
  <c r="I430" i="4"/>
  <c r="I170" i="4"/>
  <c r="I530" i="4"/>
  <c r="I610" i="4"/>
  <c r="I690" i="4"/>
  <c r="I90" i="4"/>
  <c r="I70" i="4"/>
  <c r="I230" i="4"/>
  <c r="I370" i="4"/>
  <c r="I450" i="4"/>
  <c r="I50" i="4"/>
  <c r="I550" i="4"/>
  <c r="I630" i="4"/>
  <c r="I710" i="4"/>
  <c r="I130" i="4"/>
  <c r="I250" i="4"/>
  <c r="I110" i="4"/>
  <c r="I270" i="4"/>
  <c r="I390" i="4"/>
  <c r="I470" i="4"/>
  <c r="I290" i="4"/>
  <c r="I210" i="4"/>
  <c r="I570" i="4"/>
  <c r="I650" i="4"/>
  <c r="I670" i="4"/>
  <c r="I150" i="4"/>
  <c r="I410" i="4"/>
  <c r="I490" i="4"/>
  <c r="I510" i="4"/>
  <c r="I330" i="4"/>
  <c r="I10" i="4"/>
  <c r="I590" i="4"/>
  <c r="I47" i="4"/>
  <c r="I127" i="4"/>
  <c r="I207" i="4"/>
  <c r="I287" i="4"/>
  <c r="I427" i="4"/>
  <c r="I387" i="4"/>
  <c r="I507" i="4"/>
  <c r="I67" i="4"/>
  <c r="I147" i="4"/>
  <c r="I227" i="4"/>
  <c r="I307" i="4"/>
  <c r="I527" i="4"/>
  <c r="I607" i="4"/>
  <c r="I687" i="4"/>
  <c r="I7" i="4"/>
  <c r="I87" i="4"/>
  <c r="I167" i="4"/>
  <c r="I247" i="4"/>
  <c r="I327" i="4"/>
  <c r="I407" i="4"/>
  <c r="I367" i="4"/>
  <c r="I547" i="4"/>
  <c r="I627" i="4"/>
  <c r="I707" i="4"/>
  <c r="I267" i="4"/>
  <c r="I487" i="4"/>
  <c r="I647" i="4"/>
  <c r="I27" i="4"/>
  <c r="I587" i="4"/>
  <c r="I467" i="4"/>
  <c r="I107" i="4"/>
  <c r="I447" i="4"/>
  <c r="I187" i="4"/>
  <c r="I347" i="4"/>
  <c r="I567" i="4"/>
  <c r="I667" i="4"/>
  <c r="I60" i="4"/>
  <c r="I140" i="4"/>
  <c r="I220" i="4"/>
  <c r="I300" i="4"/>
  <c r="I380" i="4"/>
  <c r="I460" i="4"/>
  <c r="I80" i="4"/>
  <c r="I160" i="4"/>
  <c r="I240" i="4"/>
  <c r="I400" i="4"/>
  <c r="I480" i="4"/>
  <c r="I320" i="4"/>
  <c r="I500" i="4"/>
  <c r="I20" i="4"/>
  <c r="I100" i="4"/>
  <c r="I180" i="4"/>
  <c r="I260" i="4"/>
  <c r="I340" i="4"/>
  <c r="I420" i="4"/>
  <c r="I520" i="4"/>
  <c r="I120" i="4"/>
  <c r="I360" i="4"/>
  <c r="I580" i="4"/>
  <c r="I640" i="4"/>
  <c r="I700" i="4"/>
  <c r="I200" i="4"/>
  <c r="I440" i="4"/>
  <c r="I560" i="4"/>
  <c r="I540" i="4"/>
  <c r="I280" i="4"/>
  <c r="I600" i="4"/>
  <c r="I620" i="4"/>
  <c r="I720" i="4"/>
  <c r="I40" i="4"/>
  <c r="I660" i="4"/>
  <c r="I680" i="4"/>
  <c r="I28" i="4"/>
  <c r="I108" i="4"/>
  <c r="I188" i="4"/>
  <c r="I268" i="4"/>
  <c r="I308" i="4"/>
  <c r="I348" i="4"/>
  <c r="I428" i="4"/>
  <c r="I48" i="4"/>
  <c r="I128" i="4"/>
  <c r="I208" i="4"/>
  <c r="I288" i="4"/>
  <c r="I368" i="4"/>
  <c r="I448" i="4"/>
  <c r="I548" i="4"/>
  <c r="I68" i="4"/>
  <c r="I148" i="4"/>
  <c r="I228" i="4"/>
  <c r="I388" i="4"/>
  <c r="I468" i="4"/>
  <c r="I328" i="4"/>
  <c r="I628" i="4"/>
  <c r="I248" i="4"/>
  <c r="I488" i="4"/>
  <c r="I568" i="4"/>
  <c r="I588" i="4"/>
  <c r="I8" i="4"/>
  <c r="I508" i="4"/>
  <c r="I688" i="4"/>
  <c r="I648" i="4"/>
  <c r="I668" i="4"/>
  <c r="I88" i="4"/>
  <c r="I528" i="4"/>
  <c r="I708" i="4"/>
  <c r="I168" i="4"/>
  <c r="I408" i="4"/>
  <c r="I608" i="4"/>
  <c r="I15" i="4"/>
  <c r="I95" i="4"/>
  <c r="I175" i="4"/>
  <c r="I255" i="4"/>
  <c r="I335" i="4"/>
  <c r="I375" i="4"/>
  <c r="I555" i="4"/>
  <c r="I35" i="4"/>
  <c r="I115" i="4"/>
  <c r="I195" i="4"/>
  <c r="I275" i="4"/>
  <c r="I455" i="4"/>
  <c r="I435" i="4"/>
  <c r="I415" i="4"/>
  <c r="I575" i="4"/>
  <c r="I655" i="4"/>
  <c r="I55" i="4"/>
  <c r="I135" i="4"/>
  <c r="I215" i="4"/>
  <c r="I295" i="4"/>
  <c r="I395" i="4"/>
  <c r="I495" i="4"/>
  <c r="I515" i="4"/>
  <c r="I595" i="4"/>
  <c r="I675" i="4"/>
  <c r="I75" i="4"/>
  <c r="I615" i="4"/>
  <c r="I155" i="4"/>
  <c r="I475" i="4"/>
  <c r="I535" i="4"/>
  <c r="I715" i="4"/>
  <c r="I235" i="4"/>
  <c r="I695" i="4"/>
  <c r="I315" i="4"/>
  <c r="I355" i="4"/>
  <c r="I635" i="4"/>
  <c r="I149" i="4"/>
  <c r="I329" i="4"/>
  <c r="I369" i="4"/>
  <c r="I449" i="4"/>
  <c r="I89" i="4"/>
  <c r="I249" i="4"/>
  <c r="I549" i="4"/>
  <c r="I629" i="4"/>
  <c r="I709" i="4"/>
  <c r="I29" i="4"/>
  <c r="I189" i="4"/>
  <c r="I389" i="4"/>
  <c r="I469" i="4"/>
  <c r="I129" i="4"/>
  <c r="I289" i="4"/>
  <c r="I569" i="4"/>
  <c r="I649" i="4"/>
  <c r="I69" i="4"/>
  <c r="I229" i="4"/>
  <c r="I409" i="4"/>
  <c r="I489" i="4"/>
  <c r="I9" i="4"/>
  <c r="I169" i="4"/>
  <c r="I509" i="4"/>
  <c r="I589" i="4"/>
  <c r="I669" i="4"/>
  <c r="I269" i="4"/>
  <c r="I349" i="4"/>
  <c r="I209" i="4"/>
  <c r="I689" i="4"/>
  <c r="I429" i="4"/>
  <c r="I309" i="4"/>
  <c r="I529" i="4"/>
  <c r="I109" i="4"/>
  <c r="I49" i="4"/>
  <c r="I609" i="4"/>
  <c r="I21" i="4"/>
  <c r="I181" i="4"/>
  <c r="I401" i="4"/>
  <c r="I481" i="4"/>
  <c r="I121" i="4"/>
  <c r="I281" i="4"/>
  <c r="I581" i="4"/>
  <c r="I661" i="4"/>
  <c r="I61" i="4"/>
  <c r="I221" i="4"/>
  <c r="I341" i="4"/>
  <c r="I421" i="4"/>
  <c r="I501" i="4"/>
  <c r="I161" i="4"/>
  <c r="I521" i="4"/>
  <c r="I601" i="4"/>
  <c r="I681" i="4"/>
  <c r="I101" i="4"/>
  <c r="I261" i="4"/>
  <c r="I361" i="4"/>
  <c r="I441" i="4"/>
  <c r="I41" i="4"/>
  <c r="I201" i="4"/>
  <c r="I321" i="4"/>
  <c r="I541" i="4"/>
  <c r="I621" i="4"/>
  <c r="I701" i="4"/>
  <c r="I141" i="4"/>
  <c r="I81" i="4"/>
  <c r="I561" i="4"/>
  <c r="I301" i="4"/>
  <c r="I241" i="4"/>
  <c r="I641" i="4"/>
  <c r="I381" i="4"/>
  <c r="I721" i="4"/>
  <c r="I461" i="4"/>
  <c r="I117" i="4"/>
  <c r="I277" i="4"/>
  <c r="I417" i="4"/>
  <c r="I497" i="4"/>
  <c r="I57" i="4"/>
  <c r="I217" i="4"/>
  <c r="I517" i="4"/>
  <c r="I597" i="4"/>
  <c r="I677" i="4"/>
  <c r="I157" i="4"/>
  <c r="I357" i="4"/>
  <c r="I437" i="4"/>
  <c r="I97" i="4"/>
  <c r="I257" i="4"/>
  <c r="I337" i="4"/>
  <c r="I537" i="4"/>
  <c r="I617" i="4"/>
  <c r="I697" i="4"/>
  <c r="I317" i="4"/>
  <c r="I37" i="4"/>
  <c r="I197" i="4"/>
  <c r="I377" i="4"/>
  <c r="I457" i="4"/>
  <c r="I137" i="4"/>
  <c r="I297" i="4"/>
  <c r="I557" i="4"/>
  <c r="I637" i="4"/>
  <c r="I717" i="4"/>
  <c r="I477" i="4"/>
  <c r="I577" i="4"/>
  <c r="I77" i="4"/>
  <c r="I17" i="4"/>
  <c r="I657" i="4"/>
  <c r="I237" i="4"/>
  <c r="I397" i="4"/>
  <c r="I177" i="4"/>
  <c r="I2" i="4"/>
  <c r="I62" i="4"/>
  <c r="I222" i="4"/>
  <c r="I382" i="4"/>
  <c r="I462" i="4"/>
  <c r="I42" i="4"/>
  <c r="I562" i="4"/>
  <c r="I642" i="4"/>
  <c r="I102" i="4"/>
  <c r="I262" i="4"/>
  <c r="I402" i="4"/>
  <c r="I482" i="4"/>
  <c r="I202" i="4"/>
  <c r="I322" i="4"/>
  <c r="I582" i="4"/>
  <c r="I662" i="4"/>
  <c r="I122" i="4"/>
  <c r="I142" i="4"/>
  <c r="I302" i="4"/>
  <c r="I342" i="4"/>
  <c r="I422" i="4"/>
  <c r="I502" i="4"/>
  <c r="I82" i="4"/>
  <c r="I522" i="4"/>
  <c r="I602" i="4"/>
  <c r="I682" i="4"/>
  <c r="I282" i="4"/>
  <c r="I542" i="4"/>
  <c r="I22" i="4"/>
  <c r="I622" i="4"/>
  <c r="I182" i="4"/>
  <c r="I362" i="4"/>
  <c r="I242" i="4"/>
  <c r="I702" i="4"/>
  <c r="I162" i="4"/>
  <c r="I442" i="4"/>
  <c r="I94" i="4"/>
  <c r="I254" i="4"/>
  <c r="I314" i="4"/>
  <c r="I414" i="4"/>
  <c r="I494" i="4"/>
  <c r="I274" i="4"/>
  <c r="I514" i="4"/>
  <c r="I594" i="4"/>
  <c r="I674" i="4"/>
  <c r="I34" i="4"/>
  <c r="I334" i="4"/>
  <c r="I134" i="4"/>
  <c r="I294" i="4"/>
  <c r="I354" i="4"/>
  <c r="I434" i="4"/>
  <c r="I74" i="4"/>
  <c r="I194" i="4"/>
  <c r="I534" i="4"/>
  <c r="I614" i="4"/>
  <c r="I694" i="4"/>
  <c r="I14" i="4"/>
  <c r="I174" i="4"/>
  <c r="I374" i="4"/>
  <c r="I454" i="4"/>
  <c r="I234" i="4"/>
  <c r="I554" i="4"/>
  <c r="I634" i="4"/>
  <c r="I714" i="4"/>
  <c r="I154" i="4"/>
  <c r="I394" i="4"/>
  <c r="I474" i="4"/>
  <c r="I114" i="4"/>
  <c r="I54" i="4"/>
  <c r="I574" i="4"/>
  <c r="I214" i="4"/>
  <c r="I654" i="4"/>
  <c r="I76" i="4"/>
  <c r="I156" i="4"/>
  <c r="I236" i="4"/>
  <c r="I396" i="4"/>
  <c r="I476" i="4"/>
  <c r="I336" i="4"/>
  <c r="I16" i="4"/>
  <c r="I96" i="4"/>
  <c r="I176" i="4"/>
  <c r="I256" i="4"/>
  <c r="I416" i="4"/>
  <c r="I316" i="4"/>
  <c r="I36" i="4"/>
  <c r="I116" i="4"/>
  <c r="I196" i="4"/>
  <c r="I276" i="4"/>
  <c r="I356" i="4"/>
  <c r="I436" i="4"/>
  <c r="I496" i="4"/>
  <c r="I56" i="4"/>
  <c r="I516" i="4"/>
  <c r="I676" i="4"/>
  <c r="I136" i="4"/>
  <c r="I376" i="4"/>
  <c r="I596" i="4"/>
  <c r="I716" i="4"/>
  <c r="I216" i="4"/>
  <c r="I456" i="4"/>
  <c r="I576" i="4"/>
  <c r="I536" i="4"/>
  <c r="I556" i="4"/>
  <c r="I296" i="4"/>
  <c r="I616" i="4"/>
  <c r="I696" i="4"/>
  <c r="I656" i="4"/>
  <c r="I636" i="4"/>
  <c r="I79" i="4"/>
  <c r="I159" i="4"/>
  <c r="I239" i="4"/>
  <c r="I319" i="4"/>
  <c r="I439" i="4"/>
  <c r="I499" i="4"/>
  <c r="I399" i="4"/>
  <c r="I539" i="4"/>
  <c r="I19" i="4"/>
  <c r="I99" i="4"/>
  <c r="I179" i="4"/>
  <c r="I259" i="4"/>
  <c r="I339" i="4"/>
  <c r="I379" i="4"/>
  <c r="I479" i="4"/>
  <c r="I559" i="4"/>
  <c r="I639" i="4"/>
  <c r="I719" i="4"/>
  <c r="I39" i="4"/>
  <c r="I119" i="4"/>
  <c r="I199" i="4"/>
  <c r="I279" i="4"/>
  <c r="I459" i="4"/>
  <c r="I579" i="4"/>
  <c r="I659" i="4"/>
  <c r="I139" i="4"/>
  <c r="I519" i="4"/>
  <c r="I679" i="4"/>
  <c r="I419" i="4"/>
  <c r="I219" i="4"/>
  <c r="I619" i="4"/>
  <c r="I299" i="4"/>
  <c r="I359" i="4"/>
  <c r="I599" i="4"/>
  <c r="I59" i="4"/>
  <c r="I6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<sst xmlns="http://schemas.openxmlformats.org/spreadsheetml/2006/main" count="8758" uniqueCount="183">
  <si>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</si>
  <si>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</si>
  <si>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</si>
  <si>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</si>
  <si>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</si>
  <si>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</si>
  <si>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</si>
  <si>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</si>
  <si>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</si>
  <si>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</si>
  <si>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</si>
  <si>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</si>
  <si>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</si>
  <si>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</si>
  <si>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</si>
  <si>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</si>
  <si>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</si>
  <si>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</si>
  <si>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</si>
  <si>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</si>
  <si>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</si>
  <si>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</si>
  <si>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</si>
  <si>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</si>
  <si>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</si>
  <si>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</si>
  <si>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</si>
  <si>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</si>
  <si>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</si>
  <si>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</si>
  <si>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</si>
  <si>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</si>
  <si>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</si>
  <si>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</si>
  <si>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</si>
  <si>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</si>
  <si>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</si>
  <si>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</si>
  <si>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</si>
  <si>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</si>
  <si>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</si>
  <si>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</si>
  <si>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</si>
  <si>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</si>
  <si>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</si>
  <si>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</si>
  <si>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</si>
  <si>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</si>
  <si>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</si>
  <si>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</si>
  <si>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</si>
  <si>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</si>
  <si>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</si>
  <si>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</si>
  <si>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</si>
  <si>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</si>
  <si>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</si>
  <si>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</si>
  <si>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</si>
  <si>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</si>
  <si>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</si>
  <si>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</si>
  <si>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</si>
  <si>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</si>
  <si>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</si>
  <si>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</si>
  <si>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</si>
  <si>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</si>
  <si>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</si>
  <si>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</si>
  <si>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</si>
  <si>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</si>
  <si>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</si>
  <si>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</si>
  <si>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</si>
  <si>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</si>
  <si>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</si>
  <si>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</si>
  <si>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</si>
  <si>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</si>
  <si>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</si>
  <si>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</si>
  <si>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</si>
  <si>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</si>
  <si>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</si>
  <si>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</si>
  <si>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</si>
  <si>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</si>
  <si>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</si>
  <si>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</si>
  <si>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</si>
  <si>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</si>
  <si>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Gasson Street_Wordsworth Street_Intersection</t>
  </si>
  <si>
    <t>Gasson Street North</t>
  </si>
  <si>
    <t>Wordsworth Street East</t>
  </si>
  <si>
    <t>Gasson Street South</t>
  </si>
  <si>
    <t>Wordsworth Street West</t>
  </si>
  <si>
    <t>Left into Wordsworth Street East</t>
  </si>
  <si>
    <t>Thru to Gasson Street South</t>
  </si>
  <si>
    <t>Right into Wordsworth Street West</t>
  </si>
  <si>
    <t>Left into Gasson Street South</t>
  </si>
  <si>
    <t>Thru to Wordsworth Street West</t>
  </si>
  <si>
    <t>Right into Gasson Street North</t>
  </si>
  <si>
    <t>Left into Wordsworth Street West</t>
  </si>
  <si>
    <t>Thru to Gasson Street North</t>
  </si>
  <si>
    <t>Right into Wordsworth Street East</t>
  </si>
  <si>
    <t>Left into Gasson Street North</t>
  </si>
  <si>
    <t>Thru to Wordsworth Street East</t>
  </si>
  <si>
    <t>Right into Gasson Street South</t>
  </si>
  <si>
    <t>Gasson Street_Wordsworth Street_Intersection      Fine      10/06/2021</t>
  </si>
  <si>
    <t>Gasson Street North Total</t>
  </si>
  <si>
    <t>Wordsworth Street East Total</t>
  </si>
  <si>
    <t>Gasson Street South Total</t>
  </si>
  <si>
    <t>Wordsworth Street West Total</t>
  </si>
  <si>
    <t>Left into Wordsworth Street East Total</t>
  </si>
  <si>
    <t>Thru to Gasson Street South Total</t>
  </si>
  <si>
    <t>Right into Wordsworth Street West Total</t>
  </si>
  <si>
    <t>Left into Gasson Street South Total</t>
  </si>
  <si>
    <t>Thru to Wordsworth Street West Total</t>
  </si>
  <si>
    <t>Right into Gasson Street North Total</t>
  </si>
  <si>
    <t>Left into Wordsworth Street West Total</t>
  </si>
  <si>
    <t>Thru to Gasson Street North Total</t>
  </si>
  <si>
    <t>Right into Wordsworth Street East Total</t>
  </si>
  <si>
    <t>Left into Gasson Street North Total</t>
  </si>
  <si>
    <t>Thru to Wordsworth Street East Total</t>
  </si>
  <si>
    <t>Right into Gasson Street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</si>
  <si>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</si>
  <si>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</si>
  <si>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</si>
  <si>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</si>
  <si>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</si>
  <si>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</si>
  <si>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</si>
  <si>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</si>
  <si>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</si>
  <si>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</si>
  <si>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</si>
  <si>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</si>
  <si>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</si>
  <si>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</si>
  <si>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</si>
  <si>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</si>
  <si>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</si>
  <si>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</si>
  <si>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</si>
  <si>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</si>
  <si>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</si>
  <si>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</si>
  <si>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</si>
  <si>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</si>
  <si>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</si>
  <si>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</si>
  <si>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</si>
  <si>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</si>
  <si>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</si>
  <si>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</si>
  <si>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</si>
  <si>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</si>
  <si>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</si>
  <si>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</si>
  <si>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</si>
  <si>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</si>
  <si>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</si>
  <si>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</si>
  <si>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</si>
  <si>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</si>
  <si>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</si>
  <si>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Wordsworth St Eastbound</t>
  </si>
  <si>
    <t>Gasson St Northbound</t>
  </si>
  <si>
    <t>WOrdsworth St Westbound</t>
  </si>
  <si>
    <t>Gasson St Southbound</t>
  </si>
  <si>
    <t>Lights</t>
  </si>
  <si>
    <t>Classification</t>
  </si>
  <si>
    <t>Road</t>
  </si>
  <si>
    <t>Type</t>
  </si>
  <si>
    <t>Project</t>
  </si>
  <si>
    <t>Site Code</t>
  </si>
  <si>
    <t>06/10/2021</t>
  </si>
  <si>
    <t>Start Date</t>
  </si>
  <si>
    <t>CCC I3220 Gasson - Wordsworth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</si>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</sst>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3399C4E-3F0B-45A8-A4EA-76705A9172B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Gasson Street_Wordsworth Street_Intersection.xlsx]Graphs!pvtGraphApproach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Gasson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57</c:v>
                </c:pt>
                <c:pt idx="1">
                  <c:v>88</c:v>
                </c:pt>
                <c:pt idx="2">
                  <c:v>82</c:v>
                </c:pt>
                <c:pt idx="3">
                  <c:v>84</c:v>
                </c:pt>
                <c:pt idx="4">
                  <c:v>80</c:v>
                </c:pt>
                <c:pt idx="5">
                  <c:v>80</c:v>
                </c:pt>
                <c:pt idx="6">
                  <c:v>77</c:v>
                </c:pt>
                <c:pt idx="7">
                  <c:v>94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Gasson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168</c:v>
                </c:pt>
                <c:pt idx="1">
                  <c:v>239</c:v>
                </c:pt>
                <c:pt idx="2">
                  <c:v>247</c:v>
                </c:pt>
                <c:pt idx="3">
                  <c:v>303</c:v>
                </c:pt>
                <c:pt idx="4">
                  <c:v>309</c:v>
                </c:pt>
                <c:pt idx="5">
                  <c:v>296</c:v>
                </c:pt>
                <c:pt idx="6">
                  <c:v>287</c:v>
                </c:pt>
                <c:pt idx="7">
                  <c:v>268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58</c:v>
                </c:pt>
                <c:pt idx="2">
                  <c:v>89</c:v>
                </c:pt>
                <c:pt idx="3">
                  <c:v>173</c:v>
                </c:pt>
                <c:pt idx="4">
                  <c:v>127</c:v>
                </c:pt>
                <c:pt idx="5">
                  <c:v>122</c:v>
                </c:pt>
                <c:pt idx="6">
                  <c:v>129</c:v>
                </c:pt>
                <c:pt idx="7">
                  <c:v>106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21</c:v>
                </c:pt>
                <c:pt idx="2">
                  <c:v>31</c:v>
                </c:pt>
                <c:pt idx="3">
                  <c:v>45</c:v>
                </c:pt>
                <c:pt idx="4">
                  <c:v>43</c:v>
                </c:pt>
                <c:pt idx="5">
                  <c:v>34</c:v>
                </c:pt>
                <c:pt idx="6">
                  <c:v>52</c:v>
                </c:pt>
                <c:pt idx="7">
                  <c:v>43</c:v>
                </c:pt>
              </c:numCache>
            </c:numRef>
          </c:val>
          <c:smooth val="0"/>
          <c:extLst>
            <c:ext xmlns:c16="http://schemas.microsoft.com/office/drawing/2014/chart" uri="{C3380CC4-5D6E-409C-BE32-E72D297353CC}">
              <c16:uniqueId val="{00000000-BFC4-49A8-A591-238B927C1E7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Gasson Street_Wordsworth Street_Intersection.xlsx]Graphs!pvtGraphExit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Gasson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175</c:v>
                </c:pt>
                <c:pt idx="1">
                  <c:v>239</c:v>
                </c:pt>
                <c:pt idx="2">
                  <c:v>276</c:v>
                </c:pt>
                <c:pt idx="3">
                  <c:v>346</c:v>
                </c:pt>
                <c:pt idx="4">
                  <c:v>357</c:v>
                </c:pt>
                <c:pt idx="5">
                  <c:v>324</c:v>
                </c:pt>
                <c:pt idx="6">
                  <c:v>329</c:v>
                </c:pt>
                <c:pt idx="7">
                  <c:v>285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Gasson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51</c:v>
                </c:pt>
                <c:pt idx="1">
                  <c:v>80</c:v>
                </c:pt>
                <c:pt idx="2">
                  <c:v>75</c:v>
                </c:pt>
                <c:pt idx="3">
                  <c:v>73</c:v>
                </c:pt>
                <c:pt idx="4">
                  <c:v>74</c:v>
                </c:pt>
                <c:pt idx="5">
                  <c:v>64</c:v>
                </c:pt>
                <c:pt idx="6">
                  <c:v>62</c:v>
                </c:pt>
                <c:pt idx="7">
                  <c:v>81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Wordsworth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c:v>
                </c:pt>
                <c:pt idx="1">
                  <c:v>45</c:v>
                </c:pt>
                <c:pt idx="2">
                  <c:v>43</c:v>
                </c:pt>
                <c:pt idx="3">
                  <c:v>61</c:v>
                </c:pt>
                <c:pt idx="4">
                  <c:v>46</c:v>
                </c:pt>
                <c:pt idx="5">
                  <c:v>46</c:v>
                </c:pt>
                <c:pt idx="6">
                  <c:v>64</c:v>
                </c:pt>
                <c:pt idx="7">
                  <c:v>63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Wordsworth Street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25</c:v>
                </c:pt>
                <c:pt idx="1">
                  <c:v>42</c:v>
                </c:pt>
                <c:pt idx="2">
                  <c:v>55</c:v>
                </c:pt>
                <c:pt idx="3">
                  <c:v>125</c:v>
                </c:pt>
                <c:pt idx="4">
                  <c:v>82</c:v>
                </c:pt>
                <c:pt idx="5">
                  <c:v>98</c:v>
                </c:pt>
                <c:pt idx="6">
                  <c:v>90</c:v>
                </c:pt>
                <c:pt idx="7">
                  <c:v>82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Gasson Street_Wordsworth Street_Intersection.xlsx]GraphData!PivotTable2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273</c:v>
                </c:pt>
                <c:pt idx="1">
                  <c:v>406</c:v>
                </c:pt>
                <c:pt idx="2">
                  <c:v>449</c:v>
                </c:pt>
                <c:pt idx="3">
                  <c:v>605</c:v>
                </c:pt>
                <c:pt idx="4">
                  <c:v>559</c:v>
                </c:pt>
                <c:pt idx="5">
                  <c:v>532</c:v>
                </c:pt>
                <c:pt idx="6">
                  <c:v>545</c:v>
                </c:pt>
                <c:pt idx="7">
                  <c:v>511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Gasson Street_Wordsworth Street_Intersection.xlsx]PeakCalc!pvtPeak2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273</c:v>
                </c:pt>
                <c:pt idx="1">
                  <c:v>406</c:v>
                </c:pt>
                <c:pt idx="2">
                  <c:v>449</c:v>
                </c:pt>
                <c:pt idx="3">
                  <c:v>605</c:v>
                </c:pt>
                <c:pt idx="4">
                  <c:v>559</c:v>
                </c:pt>
                <c:pt idx="5">
                  <c:v>532</c:v>
                </c:pt>
                <c:pt idx="6">
                  <c:v>545</c:v>
                </c:pt>
                <c:pt idx="7">
                  <c:v>511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605</c:v>
                </c:pt>
                <c:pt idx="4">
                  <c:v>559</c:v>
                </c:pt>
                <c:pt idx="5">
                  <c:v>532</c:v>
                </c:pt>
                <c:pt idx="6">
                  <c:v>545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1408642</xdr:colOff>
      <xdr:row>5</xdr:row>
      <xdr:rowOff>3175</xdr:rowOff>
    </xdr:from>
    <xdr:to>
      <xdr:col>19</xdr:col>
      <xdr:colOff>1240417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561974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246299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1.658670370372"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5"/>
    </cacheField>
    <cacheField name="Peak" numFmtId="0">
      <sharedItems containsSemiMixedTypes="0" containsString="0" containsNumber="1" containsInteger="1" minValue="0" maxValue="6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371.658743402775" createdVersion="5" refreshedVersion="7" minRefreshableVersion="3" recordCount="720" xr:uid="{00000000-000A-0000-FFFF-FFFF01000000}">
  <cacheSource type="worksheet">
    <worksheetSource name="tblPivotData"/>
  </cacheSource>
  <cacheFields count="9">
    <cacheField name="Approach" numFmtId="0">
      <sharedItems count="7">
        <s v="Gasson Street North"/>
        <s v="Wordsworth Street East"/>
        <s v="Gasson Street South"/>
        <s v="Wordsworth Street West"/>
        <s v="Great south Rd (North)" u="1"/>
        <s v="Great south Rd (South)" u="1"/>
        <s v="Grange Rd" u="1"/>
      </sharedItems>
    </cacheField>
    <cacheField name="Movement" numFmtId="0">
      <sharedItems count="20">
        <s v="Left into Wordsworth Street East"/>
        <s v="Thru to Gasson Street South"/>
        <s v="Right into Wordsworth Street West"/>
        <s v="Left into Gasson Street South"/>
        <s v="Thru to Wordsworth Street West"/>
        <s v="Right into Gasson Street North"/>
        <s v="Left into Wordsworth Street West"/>
        <s v="Thru to Gasson Street North"/>
        <s v="Right into Wordsworth Street East"/>
        <s v="Left into Gasson Street North"/>
        <s v="Thru to Wordsworth Street East"/>
        <s v="Right into Gasson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ordsworth Street East"/>
        <s v="Gasson Street South"/>
        <s v="Wordsworth Street West"/>
        <s v="Gasson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8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73"/>
    <n v="0"/>
  </r>
  <r>
    <x v="0"/>
    <x v="1"/>
    <n v="406"/>
    <n v="0"/>
  </r>
  <r>
    <x v="0"/>
    <x v="2"/>
    <n v="449"/>
    <n v="0"/>
  </r>
  <r>
    <x v="0"/>
    <x v="3"/>
    <n v="605"/>
    <n v="605"/>
  </r>
  <r>
    <x v="0"/>
    <x v="4"/>
    <n v="559"/>
    <n v="559"/>
  </r>
  <r>
    <x v="0"/>
    <x v="5"/>
    <n v="532"/>
    <n v="532"/>
  </r>
  <r>
    <x v="0"/>
    <x v="6"/>
    <n v="545"/>
    <n v="545"/>
  </r>
  <r>
    <x v="0"/>
    <x v="7"/>
    <n v="511"/>
    <n v="0"/>
  </r>
  <r>
    <x v="1"/>
    <x v="8"/>
    <n v="454"/>
    <n v="454"/>
  </r>
  <r>
    <x v="1"/>
    <x v="9"/>
    <n v="429"/>
    <n v="429"/>
  </r>
  <r>
    <x v="1"/>
    <x v="10"/>
    <n v="388"/>
    <n v="388"/>
  </r>
  <r>
    <x v="1"/>
    <x v="11"/>
    <n v="420"/>
    <n v="420"/>
  </r>
  <r>
    <x v="2"/>
    <x v="12"/>
    <n v="524"/>
    <n v="524"/>
  </r>
  <r>
    <x v="2"/>
    <x v="13"/>
    <n v="491"/>
    <n v="491"/>
  </r>
  <r>
    <x v="2"/>
    <x v="14"/>
    <n v="522"/>
    <n v="522"/>
  </r>
  <r>
    <x v="2"/>
    <x v="15"/>
    <n v="465"/>
    <n v="465"/>
  </r>
  <r>
    <x v="2"/>
    <x v="16"/>
    <n v="442"/>
    <n v="0"/>
  </r>
  <r>
    <x v="2"/>
    <x v="17"/>
    <n v="410"/>
    <n v="0"/>
  </r>
  <r>
    <x v="2"/>
    <x v="18"/>
    <n v="391"/>
    <n v="0"/>
  </r>
  <r>
    <x v="2"/>
    <x v="19"/>
    <n v="37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7"/>
    <x v="0"/>
    <x v="0"/>
  </r>
  <r>
    <x v="0"/>
    <x v="0"/>
    <x v="0"/>
    <x v="0"/>
    <x v="0"/>
    <x v="1"/>
    <n v="8"/>
    <x v="1"/>
    <x v="0"/>
  </r>
  <r>
    <x v="0"/>
    <x v="0"/>
    <x v="0"/>
    <x v="0"/>
    <x v="0"/>
    <x v="2"/>
    <n v="4"/>
    <x v="2"/>
    <x v="0"/>
  </r>
  <r>
    <x v="0"/>
    <x v="0"/>
    <x v="0"/>
    <x v="0"/>
    <x v="0"/>
    <x v="3"/>
    <n v="12"/>
    <x v="3"/>
    <x v="1"/>
  </r>
  <r>
    <x v="0"/>
    <x v="0"/>
    <x v="0"/>
    <x v="0"/>
    <x v="0"/>
    <x v="4"/>
    <n v="8"/>
    <x v="4"/>
    <x v="1"/>
  </r>
  <r>
    <x v="0"/>
    <x v="0"/>
    <x v="0"/>
    <x v="0"/>
    <x v="0"/>
    <x v="5"/>
    <n v="7"/>
    <x v="5"/>
    <x v="1"/>
  </r>
  <r>
    <x v="0"/>
    <x v="0"/>
    <x v="0"/>
    <x v="0"/>
    <x v="0"/>
    <x v="6"/>
    <n v="16"/>
    <x v="6"/>
    <x v="1"/>
  </r>
  <r>
    <x v="0"/>
    <x v="0"/>
    <x v="0"/>
    <x v="0"/>
    <x v="0"/>
    <x v="7"/>
    <n v="12"/>
    <x v="7"/>
    <x v="0"/>
  </r>
  <r>
    <x v="0"/>
    <x v="0"/>
    <x v="0"/>
    <x v="0"/>
    <x v="1"/>
    <x v="8"/>
    <n v="16"/>
    <x v="8"/>
    <x v="1"/>
  </r>
  <r>
    <x v="0"/>
    <x v="0"/>
    <x v="0"/>
    <x v="0"/>
    <x v="1"/>
    <x v="9"/>
    <n v="16"/>
    <x v="9"/>
    <x v="1"/>
  </r>
  <r>
    <x v="0"/>
    <x v="0"/>
    <x v="0"/>
    <x v="0"/>
    <x v="1"/>
    <x v="10"/>
    <n v="15"/>
    <x v="10"/>
    <x v="1"/>
  </r>
  <r>
    <x v="0"/>
    <x v="0"/>
    <x v="0"/>
    <x v="0"/>
    <x v="1"/>
    <x v="11"/>
    <n v="15"/>
    <x v="11"/>
    <x v="1"/>
  </r>
  <r>
    <x v="0"/>
    <x v="0"/>
    <x v="0"/>
    <x v="0"/>
    <x v="2"/>
    <x v="12"/>
    <n v="20"/>
    <x v="12"/>
    <x v="1"/>
  </r>
  <r>
    <x v="0"/>
    <x v="0"/>
    <x v="0"/>
    <x v="0"/>
    <x v="2"/>
    <x v="13"/>
    <n v="28"/>
    <x v="13"/>
    <x v="1"/>
  </r>
  <r>
    <x v="0"/>
    <x v="0"/>
    <x v="0"/>
    <x v="0"/>
    <x v="2"/>
    <x v="14"/>
    <n v="20"/>
    <x v="14"/>
    <x v="1"/>
  </r>
  <r>
    <x v="0"/>
    <x v="0"/>
    <x v="0"/>
    <x v="0"/>
    <x v="2"/>
    <x v="15"/>
    <n v="15"/>
    <x v="15"/>
    <x v="1"/>
  </r>
  <r>
    <x v="0"/>
    <x v="0"/>
    <x v="0"/>
    <x v="0"/>
    <x v="2"/>
    <x v="16"/>
    <n v="7"/>
    <x v="16"/>
    <x v="0"/>
  </r>
  <r>
    <x v="0"/>
    <x v="0"/>
    <x v="0"/>
    <x v="0"/>
    <x v="2"/>
    <x v="17"/>
    <n v="3"/>
    <x v="17"/>
    <x v="0"/>
  </r>
  <r>
    <x v="0"/>
    <x v="0"/>
    <x v="0"/>
    <x v="0"/>
    <x v="2"/>
    <x v="18"/>
    <n v="7"/>
    <x v="18"/>
    <x v="0"/>
  </r>
  <r>
    <x v="0"/>
    <x v="0"/>
    <x v="0"/>
    <x v="0"/>
    <x v="2"/>
    <x v="19"/>
    <n v="12"/>
    <x v="19"/>
    <x v="0"/>
  </r>
  <r>
    <x v="0"/>
    <x v="0"/>
    <x v="0"/>
    <x v="1"/>
    <x v="0"/>
    <x v="0"/>
    <n v="0"/>
    <x v="0"/>
    <x v="0"/>
  </r>
  <r>
    <x v="0"/>
    <x v="0"/>
    <x v="0"/>
    <x v="1"/>
    <x v="0"/>
    <x v="1"/>
    <n v="1"/>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0"/>
    <x v="7"/>
    <x v="0"/>
  </r>
  <r>
    <x v="0"/>
    <x v="0"/>
    <x v="0"/>
    <x v="1"/>
    <x v="1"/>
    <x v="8"/>
    <n v="0"/>
    <x v="8"/>
    <x v="1"/>
  </r>
  <r>
    <x v="0"/>
    <x v="0"/>
    <x v="0"/>
    <x v="1"/>
    <x v="1"/>
    <x v="9"/>
    <n v="2"/>
    <x v="9"/>
    <x v="1"/>
  </r>
  <r>
    <x v="0"/>
    <x v="0"/>
    <x v="0"/>
    <x v="1"/>
    <x v="1"/>
    <x v="10"/>
    <n v="4"/>
    <x v="10"/>
    <x v="1"/>
  </r>
  <r>
    <x v="0"/>
    <x v="0"/>
    <x v="0"/>
    <x v="1"/>
    <x v="1"/>
    <x v="11"/>
    <n v="2"/>
    <x v="11"/>
    <x v="1"/>
  </r>
  <r>
    <x v="0"/>
    <x v="0"/>
    <x v="0"/>
    <x v="1"/>
    <x v="2"/>
    <x v="12"/>
    <n v="0"/>
    <x v="12"/>
    <x v="1"/>
  </r>
  <r>
    <x v="0"/>
    <x v="0"/>
    <x v="0"/>
    <x v="1"/>
    <x v="2"/>
    <x v="13"/>
    <n v="0"/>
    <x v="13"/>
    <x v="1"/>
  </r>
  <r>
    <x v="0"/>
    <x v="0"/>
    <x v="0"/>
    <x v="1"/>
    <x v="2"/>
    <x v="14"/>
    <n v="0"/>
    <x v="14"/>
    <x v="1"/>
  </r>
  <r>
    <x v="0"/>
    <x v="0"/>
    <x v="0"/>
    <x v="1"/>
    <x v="2"/>
    <x v="15"/>
    <n v="0"/>
    <x v="15"/>
    <x v="1"/>
  </r>
  <r>
    <x v="0"/>
    <x v="0"/>
    <x v="0"/>
    <x v="1"/>
    <x v="2"/>
    <x v="16"/>
    <n v="0"/>
    <x v="16"/>
    <x v="0"/>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1"/>
    <x v="9"/>
    <x v="1"/>
  </r>
  <r>
    <x v="0"/>
    <x v="0"/>
    <x v="0"/>
    <x v="2"/>
    <x v="1"/>
    <x v="10"/>
    <n v="0"/>
    <x v="10"/>
    <x v="1"/>
  </r>
  <r>
    <x v="0"/>
    <x v="0"/>
    <x v="0"/>
    <x v="2"/>
    <x v="1"/>
    <x v="11"/>
    <n v="0"/>
    <x v="11"/>
    <x v="1"/>
  </r>
  <r>
    <x v="0"/>
    <x v="0"/>
    <x v="0"/>
    <x v="2"/>
    <x v="2"/>
    <x v="12"/>
    <n v="1"/>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47"/>
    <x v="0"/>
    <x v="0"/>
  </r>
  <r>
    <x v="0"/>
    <x v="1"/>
    <x v="1"/>
    <x v="0"/>
    <x v="0"/>
    <x v="1"/>
    <n v="70"/>
    <x v="1"/>
    <x v="0"/>
  </r>
  <r>
    <x v="0"/>
    <x v="1"/>
    <x v="1"/>
    <x v="0"/>
    <x v="0"/>
    <x v="2"/>
    <n v="67"/>
    <x v="2"/>
    <x v="0"/>
  </r>
  <r>
    <x v="0"/>
    <x v="1"/>
    <x v="1"/>
    <x v="0"/>
    <x v="0"/>
    <x v="3"/>
    <n v="62"/>
    <x v="3"/>
    <x v="1"/>
  </r>
  <r>
    <x v="0"/>
    <x v="1"/>
    <x v="1"/>
    <x v="0"/>
    <x v="0"/>
    <x v="4"/>
    <n v="65"/>
    <x v="4"/>
    <x v="1"/>
  </r>
  <r>
    <x v="0"/>
    <x v="1"/>
    <x v="1"/>
    <x v="0"/>
    <x v="0"/>
    <x v="5"/>
    <n v="57"/>
    <x v="5"/>
    <x v="1"/>
  </r>
  <r>
    <x v="0"/>
    <x v="1"/>
    <x v="1"/>
    <x v="0"/>
    <x v="0"/>
    <x v="6"/>
    <n v="48"/>
    <x v="6"/>
    <x v="1"/>
  </r>
  <r>
    <x v="0"/>
    <x v="1"/>
    <x v="1"/>
    <x v="0"/>
    <x v="0"/>
    <x v="7"/>
    <n v="67"/>
    <x v="7"/>
    <x v="0"/>
  </r>
  <r>
    <x v="0"/>
    <x v="1"/>
    <x v="1"/>
    <x v="0"/>
    <x v="1"/>
    <x v="8"/>
    <n v="94"/>
    <x v="8"/>
    <x v="1"/>
  </r>
  <r>
    <x v="0"/>
    <x v="1"/>
    <x v="1"/>
    <x v="0"/>
    <x v="1"/>
    <x v="9"/>
    <n v="71"/>
    <x v="9"/>
    <x v="1"/>
  </r>
  <r>
    <x v="0"/>
    <x v="1"/>
    <x v="1"/>
    <x v="0"/>
    <x v="1"/>
    <x v="10"/>
    <n v="62"/>
    <x v="10"/>
    <x v="1"/>
  </r>
  <r>
    <x v="0"/>
    <x v="1"/>
    <x v="1"/>
    <x v="0"/>
    <x v="1"/>
    <x v="11"/>
    <n v="81"/>
    <x v="11"/>
    <x v="1"/>
  </r>
  <r>
    <x v="0"/>
    <x v="1"/>
    <x v="1"/>
    <x v="0"/>
    <x v="2"/>
    <x v="12"/>
    <n v="93"/>
    <x v="12"/>
    <x v="1"/>
  </r>
  <r>
    <x v="0"/>
    <x v="1"/>
    <x v="1"/>
    <x v="0"/>
    <x v="2"/>
    <x v="13"/>
    <n v="78"/>
    <x v="13"/>
    <x v="1"/>
  </r>
  <r>
    <x v="0"/>
    <x v="1"/>
    <x v="1"/>
    <x v="0"/>
    <x v="2"/>
    <x v="14"/>
    <n v="79"/>
    <x v="14"/>
    <x v="1"/>
  </r>
  <r>
    <x v="0"/>
    <x v="1"/>
    <x v="1"/>
    <x v="0"/>
    <x v="2"/>
    <x v="15"/>
    <n v="64"/>
    <x v="15"/>
    <x v="1"/>
  </r>
  <r>
    <x v="0"/>
    <x v="1"/>
    <x v="1"/>
    <x v="0"/>
    <x v="2"/>
    <x v="16"/>
    <n v="54"/>
    <x v="16"/>
    <x v="0"/>
  </r>
  <r>
    <x v="0"/>
    <x v="1"/>
    <x v="1"/>
    <x v="0"/>
    <x v="2"/>
    <x v="17"/>
    <n v="46"/>
    <x v="17"/>
    <x v="0"/>
  </r>
  <r>
    <x v="0"/>
    <x v="1"/>
    <x v="1"/>
    <x v="0"/>
    <x v="2"/>
    <x v="18"/>
    <n v="82"/>
    <x v="18"/>
    <x v="0"/>
  </r>
  <r>
    <x v="0"/>
    <x v="1"/>
    <x v="1"/>
    <x v="0"/>
    <x v="2"/>
    <x v="19"/>
    <n v="84"/>
    <x v="19"/>
    <x v="0"/>
  </r>
  <r>
    <x v="0"/>
    <x v="1"/>
    <x v="1"/>
    <x v="1"/>
    <x v="0"/>
    <x v="0"/>
    <n v="1"/>
    <x v="0"/>
    <x v="0"/>
  </r>
  <r>
    <x v="0"/>
    <x v="1"/>
    <x v="1"/>
    <x v="1"/>
    <x v="0"/>
    <x v="1"/>
    <n v="4"/>
    <x v="1"/>
    <x v="0"/>
  </r>
  <r>
    <x v="0"/>
    <x v="1"/>
    <x v="1"/>
    <x v="1"/>
    <x v="0"/>
    <x v="2"/>
    <n v="3"/>
    <x v="2"/>
    <x v="0"/>
  </r>
  <r>
    <x v="0"/>
    <x v="1"/>
    <x v="1"/>
    <x v="1"/>
    <x v="0"/>
    <x v="3"/>
    <n v="2"/>
    <x v="3"/>
    <x v="1"/>
  </r>
  <r>
    <x v="0"/>
    <x v="1"/>
    <x v="1"/>
    <x v="1"/>
    <x v="0"/>
    <x v="4"/>
    <n v="1"/>
    <x v="4"/>
    <x v="1"/>
  </r>
  <r>
    <x v="0"/>
    <x v="1"/>
    <x v="1"/>
    <x v="1"/>
    <x v="0"/>
    <x v="5"/>
    <n v="1"/>
    <x v="5"/>
    <x v="1"/>
  </r>
  <r>
    <x v="0"/>
    <x v="1"/>
    <x v="1"/>
    <x v="1"/>
    <x v="0"/>
    <x v="6"/>
    <n v="3"/>
    <x v="6"/>
    <x v="1"/>
  </r>
  <r>
    <x v="0"/>
    <x v="1"/>
    <x v="1"/>
    <x v="1"/>
    <x v="0"/>
    <x v="7"/>
    <n v="3"/>
    <x v="7"/>
    <x v="0"/>
  </r>
  <r>
    <x v="0"/>
    <x v="1"/>
    <x v="1"/>
    <x v="1"/>
    <x v="1"/>
    <x v="8"/>
    <n v="7"/>
    <x v="8"/>
    <x v="1"/>
  </r>
  <r>
    <x v="0"/>
    <x v="1"/>
    <x v="1"/>
    <x v="1"/>
    <x v="1"/>
    <x v="9"/>
    <n v="2"/>
    <x v="9"/>
    <x v="1"/>
  </r>
  <r>
    <x v="0"/>
    <x v="1"/>
    <x v="1"/>
    <x v="1"/>
    <x v="1"/>
    <x v="10"/>
    <n v="5"/>
    <x v="10"/>
    <x v="1"/>
  </r>
  <r>
    <x v="0"/>
    <x v="1"/>
    <x v="1"/>
    <x v="1"/>
    <x v="1"/>
    <x v="11"/>
    <n v="3"/>
    <x v="11"/>
    <x v="1"/>
  </r>
  <r>
    <x v="0"/>
    <x v="1"/>
    <x v="1"/>
    <x v="1"/>
    <x v="2"/>
    <x v="12"/>
    <n v="0"/>
    <x v="12"/>
    <x v="1"/>
  </r>
  <r>
    <x v="0"/>
    <x v="1"/>
    <x v="1"/>
    <x v="1"/>
    <x v="2"/>
    <x v="13"/>
    <n v="0"/>
    <x v="13"/>
    <x v="1"/>
  </r>
  <r>
    <x v="0"/>
    <x v="1"/>
    <x v="1"/>
    <x v="1"/>
    <x v="2"/>
    <x v="14"/>
    <n v="2"/>
    <x v="14"/>
    <x v="1"/>
  </r>
  <r>
    <x v="0"/>
    <x v="1"/>
    <x v="1"/>
    <x v="1"/>
    <x v="2"/>
    <x v="15"/>
    <n v="2"/>
    <x v="15"/>
    <x v="1"/>
  </r>
  <r>
    <x v="0"/>
    <x v="1"/>
    <x v="1"/>
    <x v="1"/>
    <x v="2"/>
    <x v="16"/>
    <n v="1"/>
    <x v="16"/>
    <x v="0"/>
  </r>
  <r>
    <x v="0"/>
    <x v="1"/>
    <x v="1"/>
    <x v="1"/>
    <x v="2"/>
    <x v="17"/>
    <n v="1"/>
    <x v="17"/>
    <x v="0"/>
  </r>
  <r>
    <x v="0"/>
    <x v="1"/>
    <x v="1"/>
    <x v="1"/>
    <x v="2"/>
    <x v="18"/>
    <n v="2"/>
    <x v="18"/>
    <x v="0"/>
  </r>
  <r>
    <x v="0"/>
    <x v="1"/>
    <x v="1"/>
    <x v="1"/>
    <x v="2"/>
    <x v="19"/>
    <n v="0"/>
    <x v="19"/>
    <x v="0"/>
  </r>
  <r>
    <x v="0"/>
    <x v="1"/>
    <x v="1"/>
    <x v="2"/>
    <x v="0"/>
    <x v="0"/>
    <n v="1"/>
    <x v="0"/>
    <x v="0"/>
  </r>
  <r>
    <x v="0"/>
    <x v="1"/>
    <x v="1"/>
    <x v="2"/>
    <x v="0"/>
    <x v="1"/>
    <n v="2"/>
    <x v="1"/>
    <x v="0"/>
  </r>
  <r>
    <x v="0"/>
    <x v="1"/>
    <x v="1"/>
    <x v="2"/>
    <x v="0"/>
    <x v="2"/>
    <n v="1"/>
    <x v="2"/>
    <x v="0"/>
  </r>
  <r>
    <x v="0"/>
    <x v="1"/>
    <x v="1"/>
    <x v="2"/>
    <x v="0"/>
    <x v="3"/>
    <n v="0"/>
    <x v="3"/>
    <x v="1"/>
  </r>
  <r>
    <x v="0"/>
    <x v="1"/>
    <x v="1"/>
    <x v="2"/>
    <x v="0"/>
    <x v="4"/>
    <n v="0"/>
    <x v="4"/>
    <x v="1"/>
  </r>
  <r>
    <x v="0"/>
    <x v="1"/>
    <x v="1"/>
    <x v="2"/>
    <x v="0"/>
    <x v="5"/>
    <n v="1"/>
    <x v="5"/>
    <x v="1"/>
  </r>
  <r>
    <x v="0"/>
    <x v="1"/>
    <x v="1"/>
    <x v="2"/>
    <x v="0"/>
    <x v="6"/>
    <n v="0"/>
    <x v="6"/>
    <x v="1"/>
  </r>
  <r>
    <x v="0"/>
    <x v="1"/>
    <x v="1"/>
    <x v="2"/>
    <x v="0"/>
    <x v="7"/>
    <n v="0"/>
    <x v="7"/>
    <x v="0"/>
  </r>
  <r>
    <x v="0"/>
    <x v="1"/>
    <x v="1"/>
    <x v="2"/>
    <x v="1"/>
    <x v="8"/>
    <n v="1"/>
    <x v="8"/>
    <x v="1"/>
  </r>
  <r>
    <x v="0"/>
    <x v="1"/>
    <x v="1"/>
    <x v="2"/>
    <x v="1"/>
    <x v="9"/>
    <n v="0"/>
    <x v="9"/>
    <x v="1"/>
  </r>
  <r>
    <x v="0"/>
    <x v="1"/>
    <x v="1"/>
    <x v="2"/>
    <x v="1"/>
    <x v="10"/>
    <n v="1"/>
    <x v="10"/>
    <x v="1"/>
  </r>
  <r>
    <x v="0"/>
    <x v="1"/>
    <x v="1"/>
    <x v="2"/>
    <x v="1"/>
    <x v="11"/>
    <n v="3"/>
    <x v="11"/>
    <x v="1"/>
  </r>
  <r>
    <x v="0"/>
    <x v="1"/>
    <x v="1"/>
    <x v="2"/>
    <x v="2"/>
    <x v="12"/>
    <n v="7"/>
    <x v="12"/>
    <x v="1"/>
  </r>
  <r>
    <x v="0"/>
    <x v="1"/>
    <x v="1"/>
    <x v="2"/>
    <x v="2"/>
    <x v="13"/>
    <n v="5"/>
    <x v="13"/>
    <x v="1"/>
  </r>
  <r>
    <x v="0"/>
    <x v="1"/>
    <x v="1"/>
    <x v="2"/>
    <x v="2"/>
    <x v="14"/>
    <n v="0"/>
    <x v="14"/>
    <x v="1"/>
  </r>
  <r>
    <x v="0"/>
    <x v="1"/>
    <x v="1"/>
    <x v="2"/>
    <x v="2"/>
    <x v="15"/>
    <n v="7"/>
    <x v="15"/>
    <x v="1"/>
  </r>
  <r>
    <x v="0"/>
    <x v="1"/>
    <x v="1"/>
    <x v="2"/>
    <x v="2"/>
    <x v="16"/>
    <n v="2"/>
    <x v="16"/>
    <x v="0"/>
  </r>
  <r>
    <x v="0"/>
    <x v="1"/>
    <x v="1"/>
    <x v="2"/>
    <x v="2"/>
    <x v="17"/>
    <n v="5"/>
    <x v="17"/>
    <x v="0"/>
  </r>
  <r>
    <x v="0"/>
    <x v="1"/>
    <x v="1"/>
    <x v="2"/>
    <x v="2"/>
    <x v="18"/>
    <n v="5"/>
    <x v="18"/>
    <x v="0"/>
  </r>
  <r>
    <x v="0"/>
    <x v="1"/>
    <x v="1"/>
    <x v="2"/>
    <x v="2"/>
    <x v="19"/>
    <n v="5"/>
    <x v="19"/>
    <x v="0"/>
  </r>
  <r>
    <x v="0"/>
    <x v="2"/>
    <x v="2"/>
    <x v="0"/>
    <x v="0"/>
    <x v="0"/>
    <n v="1"/>
    <x v="0"/>
    <x v="0"/>
  </r>
  <r>
    <x v="0"/>
    <x v="2"/>
    <x v="2"/>
    <x v="0"/>
    <x v="0"/>
    <x v="1"/>
    <n v="3"/>
    <x v="1"/>
    <x v="0"/>
  </r>
  <r>
    <x v="0"/>
    <x v="2"/>
    <x v="2"/>
    <x v="0"/>
    <x v="0"/>
    <x v="2"/>
    <n v="7"/>
    <x v="2"/>
    <x v="0"/>
  </r>
  <r>
    <x v="0"/>
    <x v="2"/>
    <x v="2"/>
    <x v="0"/>
    <x v="0"/>
    <x v="3"/>
    <n v="8"/>
    <x v="3"/>
    <x v="1"/>
  </r>
  <r>
    <x v="0"/>
    <x v="2"/>
    <x v="2"/>
    <x v="0"/>
    <x v="0"/>
    <x v="4"/>
    <n v="5"/>
    <x v="4"/>
    <x v="1"/>
  </r>
  <r>
    <x v="0"/>
    <x v="2"/>
    <x v="2"/>
    <x v="0"/>
    <x v="0"/>
    <x v="5"/>
    <n v="13"/>
    <x v="5"/>
    <x v="1"/>
  </r>
  <r>
    <x v="0"/>
    <x v="2"/>
    <x v="2"/>
    <x v="0"/>
    <x v="0"/>
    <x v="6"/>
    <n v="10"/>
    <x v="6"/>
    <x v="1"/>
  </r>
  <r>
    <x v="0"/>
    <x v="2"/>
    <x v="2"/>
    <x v="0"/>
    <x v="0"/>
    <x v="7"/>
    <n v="10"/>
    <x v="7"/>
    <x v="0"/>
  </r>
  <r>
    <x v="0"/>
    <x v="2"/>
    <x v="2"/>
    <x v="0"/>
    <x v="1"/>
    <x v="8"/>
    <n v="5"/>
    <x v="8"/>
    <x v="1"/>
  </r>
  <r>
    <x v="0"/>
    <x v="2"/>
    <x v="2"/>
    <x v="0"/>
    <x v="1"/>
    <x v="9"/>
    <n v="13"/>
    <x v="9"/>
    <x v="1"/>
  </r>
  <r>
    <x v="0"/>
    <x v="2"/>
    <x v="2"/>
    <x v="0"/>
    <x v="1"/>
    <x v="10"/>
    <n v="3"/>
    <x v="10"/>
    <x v="1"/>
  </r>
  <r>
    <x v="0"/>
    <x v="2"/>
    <x v="2"/>
    <x v="0"/>
    <x v="1"/>
    <x v="11"/>
    <n v="6"/>
    <x v="11"/>
    <x v="1"/>
  </r>
  <r>
    <x v="0"/>
    <x v="2"/>
    <x v="2"/>
    <x v="0"/>
    <x v="2"/>
    <x v="12"/>
    <n v="9"/>
    <x v="12"/>
    <x v="1"/>
  </r>
  <r>
    <x v="0"/>
    <x v="2"/>
    <x v="2"/>
    <x v="0"/>
    <x v="2"/>
    <x v="13"/>
    <n v="16"/>
    <x v="13"/>
    <x v="1"/>
  </r>
  <r>
    <x v="0"/>
    <x v="2"/>
    <x v="2"/>
    <x v="0"/>
    <x v="2"/>
    <x v="14"/>
    <n v="9"/>
    <x v="14"/>
    <x v="1"/>
  </r>
  <r>
    <x v="0"/>
    <x v="2"/>
    <x v="2"/>
    <x v="0"/>
    <x v="2"/>
    <x v="15"/>
    <n v="7"/>
    <x v="15"/>
    <x v="1"/>
  </r>
  <r>
    <x v="0"/>
    <x v="2"/>
    <x v="2"/>
    <x v="0"/>
    <x v="2"/>
    <x v="16"/>
    <n v="3"/>
    <x v="16"/>
    <x v="0"/>
  </r>
  <r>
    <x v="0"/>
    <x v="2"/>
    <x v="2"/>
    <x v="0"/>
    <x v="2"/>
    <x v="17"/>
    <n v="8"/>
    <x v="17"/>
    <x v="0"/>
  </r>
  <r>
    <x v="0"/>
    <x v="2"/>
    <x v="2"/>
    <x v="0"/>
    <x v="2"/>
    <x v="18"/>
    <n v="3"/>
    <x v="18"/>
    <x v="0"/>
  </r>
  <r>
    <x v="0"/>
    <x v="2"/>
    <x v="2"/>
    <x v="0"/>
    <x v="2"/>
    <x v="19"/>
    <n v="3"/>
    <x v="19"/>
    <x v="0"/>
  </r>
  <r>
    <x v="0"/>
    <x v="2"/>
    <x v="2"/>
    <x v="1"/>
    <x v="0"/>
    <x v="0"/>
    <n v="0"/>
    <x v="0"/>
    <x v="0"/>
  </r>
  <r>
    <x v="0"/>
    <x v="2"/>
    <x v="2"/>
    <x v="1"/>
    <x v="0"/>
    <x v="1"/>
    <n v="0"/>
    <x v="1"/>
    <x v="0"/>
  </r>
  <r>
    <x v="0"/>
    <x v="2"/>
    <x v="2"/>
    <x v="1"/>
    <x v="0"/>
    <x v="2"/>
    <n v="0"/>
    <x v="2"/>
    <x v="0"/>
  </r>
  <r>
    <x v="0"/>
    <x v="2"/>
    <x v="2"/>
    <x v="1"/>
    <x v="0"/>
    <x v="3"/>
    <n v="0"/>
    <x v="3"/>
    <x v="1"/>
  </r>
  <r>
    <x v="0"/>
    <x v="2"/>
    <x v="2"/>
    <x v="1"/>
    <x v="0"/>
    <x v="4"/>
    <n v="1"/>
    <x v="4"/>
    <x v="1"/>
  </r>
  <r>
    <x v="0"/>
    <x v="2"/>
    <x v="2"/>
    <x v="1"/>
    <x v="0"/>
    <x v="5"/>
    <n v="0"/>
    <x v="5"/>
    <x v="1"/>
  </r>
  <r>
    <x v="0"/>
    <x v="2"/>
    <x v="2"/>
    <x v="1"/>
    <x v="0"/>
    <x v="6"/>
    <n v="0"/>
    <x v="6"/>
    <x v="1"/>
  </r>
  <r>
    <x v="0"/>
    <x v="2"/>
    <x v="2"/>
    <x v="1"/>
    <x v="0"/>
    <x v="7"/>
    <n v="2"/>
    <x v="7"/>
    <x v="0"/>
  </r>
  <r>
    <x v="0"/>
    <x v="2"/>
    <x v="2"/>
    <x v="1"/>
    <x v="1"/>
    <x v="8"/>
    <n v="0"/>
    <x v="8"/>
    <x v="1"/>
  </r>
  <r>
    <x v="0"/>
    <x v="2"/>
    <x v="2"/>
    <x v="1"/>
    <x v="1"/>
    <x v="9"/>
    <n v="0"/>
    <x v="9"/>
    <x v="1"/>
  </r>
  <r>
    <x v="0"/>
    <x v="2"/>
    <x v="2"/>
    <x v="1"/>
    <x v="1"/>
    <x v="10"/>
    <n v="2"/>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1"/>
    <x v="0"/>
    <x v="0"/>
  </r>
  <r>
    <x v="1"/>
    <x v="3"/>
    <x v="1"/>
    <x v="0"/>
    <x v="0"/>
    <x v="1"/>
    <n v="3"/>
    <x v="1"/>
    <x v="0"/>
  </r>
  <r>
    <x v="1"/>
    <x v="3"/>
    <x v="1"/>
    <x v="0"/>
    <x v="0"/>
    <x v="2"/>
    <n v="3"/>
    <x v="2"/>
    <x v="0"/>
  </r>
  <r>
    <x v="1"/>
    <x v="3"/>
    <x v="1"/>
    <x v="0"/>
    <x v="0"/>
    <x v="3"/>
    <n v="5"/>
    <x v="3"/>
    <x v="1"/>
  </r>
  <r>
    <x v="1"/>
    <x v="3"/>
    <x v="1"/>
    <x v="0"/>
    <x v="0"/>
    <x v="4"/>
    <n v="5"/>
    <x v="4"/>
    <x v="1"/>
  </r>
  <r>
    <x v="1"/>
    <x v="3"/>
    <x v="1"/>
    <x v="0"/>
    <x v="0"/>
    <x v="5"/>
    <n v="1"/>
    <x v="5"/>
    <x v="1"/>
  </r>
  <r>
    <x v="1"/>
    <x v="3"/>
    <x v="1"/>
    <x v="0"/>
    <x v="0"/>
    <x v="6"/>
    <n v="7"/>
    <x v="6"/>
    <x v="1"/>
  </r>
  <r>
    <x v="1"/>
    <x v="3"/>
    <x v="1"/>
    <x v="0"/>
    <x v="0"/>
    <x v="7"/>
    <n v="7"/>
    <x v="7"/>
    <x v="0"/>
  </r>
  <r>
    <x v="1"/>
    <x v="3"/>
    <x v="1"/>
    <x v="0"/>
    <x v="1"/>
    <x v="8"/>
    <n v="16"/>
    <x v="8"/>
    <x v="1"/>
  </r>
  <r>
    <x v="1"/>
    <x v="3"/>
    <x v="1"/>
    <x v="0"/>
    <x v="1"/>
    <x v="9"/>
    <n v="9"/>
    <x v="9"/>
    <x v="1"/>
  </r>
  <r>
    <x v="1"/>
    <x v="3"/>
    <x v="1"/>
    <x v="0"/>
    <x v="1"/>
    <x v="10"/>
    <n v="8"/>
    <x v="10"/>
    <x v="1"/>
  </r>
  <r>
    <x v="1"/>
    <x v="3"/>
    <x v="1"/>
    <x v="0"/>
    <x v="1"/>
    <x v="11"/>
    <n v="7"/>
    <x v="11"/>
    <x v="1"/>
  </r>
  <r>
    <x v="1"/>
    <x v="3"/>
    <x v="1"/>
    <x v="0"/>
    <x v="2"/>
    <x v="12"/>
    <n v="7"/>
    <x v="12"/>
    <x v="1"/>
  </r>
  <r>
    <x v="1"/>
    <x v="3"/>
    <x v="1"/>
    <x v="0"/>
    <x v="2"/>
    <x v="13"/>
    <n v="3"/>
    <x v="13"/>
    <x v="1"/>
  </r>
  <r>
    <x v="1"/>
    <x v="3"/>
    <x v="1"/>
    <x v="0"/>
    <x v="2"/>
    <x v="14"/>
    <n v="7"/>
    <x v="14"/>
    <x v="1"/>
  </r>
  <r>
    <x v="1"/>
    <x v="3"/>
    <x v="1"/>
    <x v="0"/>
    <x v="2"/>
    <x v="15"/>
    <n v="7"/>
    <x v="15"/>
    <x v="1"/>
  </r>
  <r>
    <x v="1"/>
    <x v="3"/>
    <x v="1"/>
    <x v="0"/>
    <x v="2"/>
    <x v="16"/>
    <n v="6"/>
    <x v="16"/>
    <x v="0"/>
  </r>
  <r>
    <x v="1"/>
    <x v="3"/>
    <x v="1"/>
    <x v="0"/>
    <x v="2"/>
    <x v="17"/>
    <n v="5"/>
    <x v="17"/>
    <x v="0"/>
  </r>
  <r>
    <x v="1"/>
    <x v="3"/>
    <x v="1"/>
    <x v="0"/>
    <x v="2"/>
    <x v="18"/>
    <n v="6"/>
    <x v="18"/>
    <x v="0"/>
  </r>
  <r>
    <x v="1"/>
    <x v="3"/>
    <x v="1"/>
    <x v="0"/>
    <x v="2"/>
    <x v="19"/>
    <n v="2"/>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1"/>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20"/>
    <x v="0"/>
    <x v="0"/>
  </r>
  <r>
    <x v="1"/>
    <x v="4"/>
    <x v="2"/>
    <x v="0"/>
    <x v="0"/>
    <x v="1"/>
    <n v="36"/>
    <x v="1"/>
    <x v="0"/>
  </r>
  <r>
    <x v="1"/>
    <x v="4"/>
    <x v="2"/>
    <x v="0"/>
    <x v="0"/>
    <x v="2"/>
    <n v="44"/>
    <x v="2"/>
    <x v="0"/>
  </r>
  <r>
    <x v="1"/>
    <x v="4"/>
    <x v="2"/>
    <x v="0"/>
    <x v="0"/>
    <x v="3"/>
    <n v="111"/>
    <x v="3"/>
    <x v="1"/>
  </r>
  <r>
    <x v="1"/>
    <x v="4"/>
    <x v="2"/>
    <x v="0"/>
    <x v="0"/>
    <x v="4"/>
    <n v="74"/>
    <x v="4"/>
    <x v="1"/>
  </r>
  <r>
    <x v="1"/>
    <x v="4"/>
    <x v="2"/>
    <x v="0"/>
    <x v="0"/>
    <x v="5"/>
    <n v="71"/>
    <x v="5"/>
    <x v="1"/>
  </r>
  <r>
    <x v="1"/>
    <x v="4"/>
    <x v="2"/>
    <x v="0"/>
    <x v="0"/>
    <x v="6"/>
    <n v="67"/>
    <x v="6"/>
    <x v="1"/>
  </r>
  <r>
    <x v="1"/>
    <x v="4"/>
    <x v="2"/>
    <x v="0"/>
    <x v="0"/>
    <x v="7"/>
    <n v="58"/>
    <x v="7"/>
    <x v="0"/>
  </r>
  <r>
    <x v="1"/>
    <x v="4"/>
    <x v="2"/>
    <x v="0"/>
    <x v="1"/>
    <x v="8"/>
    <n v="33"/>
    <x v="8"/>
    <x v="1"/>
  </r>
  <r>
    <x v="1"/>
    <x v="4"/>
    <x v="2"/>
    <x v="0"/>
    <x v="1"/>
    <x v="9"/>
    <n v="44"/>
    <x v="9"/>
    <x v="1"/>
  </r>
  <r>
    <x v="1"/>
    <x v="4"/>
    <x v="2"/>
    <x v="0"/>
    <x v="1"/>
    <x v="10"/>
    <n v="35"/>
    <x v="10"/>
    <x v="1"/>
  </r>
  <r>
    <x v="1"/>
    <x v="4"/>
    <x v="2"/>
    <x v="0"/>
    <x v="1"/>
    <x v="11"/>
    <n v="40"/>
    <x v="11"/>
    <x v="1"/>
  </r>
  <r>
    <x v="1"/>
    <x v="4"/>
    <x v="2"/>
    <x v="0"/>
    <x v="2"/>
    <x v="12"/>
    <n v="47"/>
    <x v="12"/>
    <x v="1"/>
  </r>
  <r>
    <x v="1"/>
    <x v="4"/>
    <x v="2"/>
    <x v="0"/>
    <x v="2"/>
    <x v="13"/>
    <n v="28"/>
    <x v="13"/>
    <x v="1"/>
  </r>
  <r>
    <x v="1"/>
    <x v="4"/>
    <x v="2"/>
    <x v="0"/>
    <x v="2"/>
    <x v="14"/>
    <n v="47"/>
    <x v="14"/>
    <x v="1"/>
  </r>
  <r>
    <x v="1"/>
    <x v="4"/>
    <x v="2"/>
    <x v="0"/>
    <x v="2"/>
    <x v="15"/>
    <n v="40"/>
    <x v="15"/>
    <x v="1"/>
  </r>
  <r>
    <x v="1"/>
    <x v="4"/>
    <x v="2"/>
    <x v="0"/>
    <x v="2"/>
    <x v="16"/>
    <n v="34"/>
    <x v="16"/>
    <x v="0"/>
  </r>
  <r>
    <x v="1"/>
    <x v="4"/>
    <x v="2"/>
    <x v="0"/>
    <x v="2"/>
    <x v="17"/>
    <n v="37"/>
    <x v="17"/>
    <x v="0"/>
  </r>
  <r>
    <x v="1"/>
    <x v="4"/>
    <x v="2"/>
    <x v="0"/>
    <x v="2"/>
    <x v="18"/>
    <n v="35"/>
    <x v="18"/>
    <x v="0"/>
  </r>
  <r>
    <x v="1"/>
    <x v="4"/>
    <x v="2"/>
    <x v="0"/>
    <x v="2"/>
    <x v="19"/>
    <n v="16"/>
    <x v="19"/>
    <x v="0"/>
  </r>
  <r>
    <x v="1"/>
    <x v="4"/>
    <x v="2"/>
    <x v="1"/>
    <x v="0"/>
    <x v="0"/>
    <n v="2"/>
    <x v="0"/>
    <x v="0"/>
  </r>
  <r>
    <x v="1"/>
    <x v="4"/>
    <x v="2"/>
    <x v="1"/>
    <x v="0"/>
    <x v="1"/>
    <n v="0"/>
    <x v="1"/>
    <x v="0"/>
  </r>
  <r>
    <x v="1"/>
    <x v="4"/>
    <x v="2"/>
    <x v="1"/>
    <x v="0"/>
    <x v="2"/>
    <n v="0"/>
    <x v="2"/>
    <x v="0"/>
  </r>
  <r>
    <x v="1"/>
    <x v="4"/>
    <x v="2"/>
    <x v="1"/>
    <x v="0"/>
    <x v="3"/>
    <n v="1"/>
    <x v="3"/>
    <x v="1"/>
  </r>
  <r>
    <x v="1"/>
    <x v="4"/>
    <x v="2"/>
    <x v="1"/>
    <x v="0"/>
    <x v="4"/>
    <n v="1"/>
    <x v="4"/>
    <x v="1"/>
  </r>
  <r>
    <x v="1"/>
    <x v="4"/>
    <x v="2"/>
    <x v="1"/>
    <x v="0"/>
    <x v="5"/>
    <n v="1"/>
    <x v="5"/>
    <x v="1"/>
  </r>
  <r>
    <x v="1"/>
    <x v="4"/>
    <x v="2"/>
    <x v="1"/>
    <x v="0"/>
    <x v="6"/>
    <n v="3"/>
    <x v="6"/>
    <x v="1"/>
  </r>
  <r>
    <x v="1"/>
    <x v="4"/>
    <x v="2"/>
    <x v="1"/>
    <x v="0"/>
    <x v="7"/>
    <n v="1"/>
    <x v="7"/>
    <x v="0"/>
  </r>
  <r>
    <x v="1"/>
    <x v="4"/>
    <x v="2"/>
    <x v="1"/>
    <x v="1"/>
    <x v="8"/>
    <n v="2"/>
    <x v="8"/>
    <x v="1"/>
  </r>
  <r>
    <x v="1"/>
    <x v="4"/>
    <x v="2"/>
    <x v="1"/>
    <x v="1"/>
    <x v="9"/>
    <n v="0"/>
    <x v="9"/>
    <x v="1"/>
  </r>
  <r>
    <x v="1"/>
    <x v="4"/>
    <x v="2"/>
    <x v="1"/>
    <x v="1"/>
    <x v="10"/>
    <n v="0"/>
    <x v="10"/>
    <x v="1"/>
  </r>
  <r>
    <x v="1"/>
    <x v="4"/>
    <x v="2"/>
    <x v="1"/>
    <x v="1"/>
    <x v="11"/>
    <n v="0"/>
    <x v="11"/>
    <x v="1"/>
  </r>
  <r>
    <x v="1"/>
    <x v="4"/>
    <x v="2"/>
    <x v="1"/>
    <x v="2"/>
    <x v="12"/>
    <n v="0"/>
    <x v="12"/>
    <x v="1"/>
  </r>
  <r>
    <x v="1"/>
    <x v="4"/>
    <x v="2"/>
    <x v="1"/>
    <x v="2"/>
    <x v="13"/>
    <n v="1"/>
    <x v="13"/>
    <x v="1"/>
  </r>
  <r>
    <x v="1"/>
    <x v="4"/>
    <x v="2"/>
    <x v="1"/>
    <x v="2"/>
    <x v="14"/>
    <n v="0"/>
    <x v="14"/>
    <x v="1"/>
  </r>
  <r>
    <x v="1"/>
    <x v="4"/>
    <x v="2"/>
    <x v="1"/>
    <x v="2"/>
    <x v="15"/>
    <n v="1"/>
    <x v="15"/>
    <x v="1"/>
  </r>
  <r>
    <x v="1"/>
    <x v="4"/>
    <x v="2"/>
    <x v="1"/>
    <x v="2"/>
    <x v="16"/>
    <n v="1"/>
    <x v="16"/>
    <x v="0"/>
  </r>
  <r>
    <x v="1"/>
    <x v="4"/>
    <x v="2"/>
    <x v="1"/>
    <x v="2"/>
    <x v="17"/>
    <n v="0"/>
    <x v="17"/>
    <x v="0"/>
  </r>
  <r>
    <x v="1"/>
    <x v="4"/>
    <x v="2"/>
    <x v="1"/>
    <x v="2"/>
    <x v="18"/>
    <n v="0"/>
    <x v="18"/>
    <x v="0"/>
  </r>
  <r>
    <x v="1"/>
    <x v="4"/>
    <x v="2"/>
    <x v="1"/>
    <x v="2"/>
    <x v="19"/>
    <n v="0"/>
    <x v="19"/>
    <x v="0"/>
  </r>
  <r>
    <x v="1"/>
    <x v="4"/>
    <x v="2"/>
    <x v="2"/>
    <x v="0"/>
    <x v="0"/>
    <n v="0"/>
    <x v="0"/>
    <x v="0"/>
  </r>
  <r>
    <x v="1"/>
    <x v="4"/>
    <x v="2"/>
    <x v="2"/>
    <x v="0"/>
    <x v="1"/>
    <n v="1"/>
    <x v="1"/>
    <x v="0"/>
  </r>
  <r>
    <x v="1"/>
    <x v="4"/>
    <x v="2"/>
    <x v="2"/>
    <x v="0"/>
    <x v="2"/>
    <n v="2"/>
    <x v="2"/>
    <x v="0"/>
  </r>
  <r>
    <x v="1"/>
    <x v="4"/>
    <x v="2"/>
    <x v="2"/>
    <x v="0"/>
    <x v="3"/>
    <n v="1"/>
    <x v="3"/>
    <x v="1"/>
  </r>
  <r>
    <x v="1"/>
    <x v="4"/>
    <x v="2"/>
    <x v="2"/>
    <x v="0"/>
    <x v="4"/>
    <n v="0"/>
    <x v="4"/>
    <x v="1"/>
  </r>
  <r>
    <x v="1"/>
    <x v="4"/>
    <x v="2"/>
    <x v="2"/>
    <x v="0"/>
    <x v="5"/>
    <n v="3"/>
    <x v="5"/>
    <x v="1"/>
  </r>
  <r>
    <x v="1"/>
    <x v="4"/>
    <x v="2"/>
    <x v="2"/>
    <x v="0"/>
    <x v="6"/>
    <n v="0"/>
    <x v="6"/>
    <x v="1"/>
  </r>
  <r>
    <x v="1"/>
    <x v="4"/>
    <x v="2"/>
    <x v="2"/>
    <x v="0"/>
    <x v="7"/>
    <n v="3"/>
    <x v="7"/>
    <x v="0"/>
  </r>
  <r>
    <x v="1"/>
    <x v="4"/>
    <x v="2"/>
    <x v="2"/>
    <x v="1"/>
    <x v="8"/>
    <n v="0"/>
    <x v="8"/>
    <x v="1"/>
  </r>
  <r>
    <x v="1"/>
    <x v="4"/>
    <x v="2"/>
    <x v="2"/>
    <x v="1"/>
    <x v="9"/>
    <n v="2"/>
    <x v="9"/>
    <x v="1"/>
  </r>
  <r>
    <x v="1"/>
    <x v="4"/>
    <x v="2"/>
    <x v="2"/>
    <x v="1"/>
    <x v="10"/>
    <n v="0"/>
    <x v="10"/>
    <x v="1"/>
  </r>
  <r>
    <x v="1"/>
    <x v="4"/>
    <x v="2"/>
    <x v="2"/>
    <x v="1"/>
    <x v="11"/>
    <n v="1"/>
    <x v="11"/>
    <x v="1"/>
  </r>
  <r>
    <x v="1"/>
    <x v="4"/>
    <x v="2"/>
    <x v="2"/>
    <x v="2"/>
    <x v="12"/>
    <n v="0"/>
    <x v="12"/>
    <x v="1"/>
  </r>
  <r>
    <x v="1"/>
    <x v="4"/>
    <x v="2"/>
    <x v="2"/>
    <x v="2"/>
    <x v="13"/>
    <n v="0"/>
    <x v="13"/>
    <x v="1"/>
  </r>
  <r>
    <x v="1"/>
    <x v="4"/>
    <x v="2"/>
    <x v="2"/>
    <x v="2"/>
    <x v="14"/>
    <n v="0"/>
    <x v="14"/>
    <x v="1"/>
  </r>
  <r>
    <x v="1"/>
    <x v="4"/>
    <x v="2"/>
    <x v="2"/>
    <x v="2"/>
    <x v="15"/>
    <n v="0"/>
    <x v="15"/>
    <x v="1"/>
  </r>
  <r>
    <x v="1"/>
    <x v="4"/>
    <x v="2"/>
    <x v="2"/>
    <x v="2"/>
    <x v="16"/>
    <n v="1"/>
    <x v="16"/>
    <x v="0"/>
  </r>
  <r>
    <x v="1"/>
    <x v="4"/>
    <x v="2"/>
    <x v="2"/>
    <x v="2"/>
    <x v="17"/>
    <n v="0"/>
    <x v="17"/>
    <x v="0"/>
  </r>
  <r>
    <x v="1"/>
    <x v="4"/>
    <x v="2"/>
    <x v="2"/>
    <x v="2"/>
    <x v="18"/>
    <n v="1"/>
    <x v="18"/>
    <x v="0"/>
  </r>
  <r>
    <x v="1"/>
    <x v="4"/>
    <x v="2"/>
    <x v="2"/>
    <x v="2"/>
    <x v="19"/>
    <n v="0"/>
    <x v="19"/>
    <x v="0"/>
  </r>
  <r>
    <x v="1"/>
    <x v="5"/>
    <x v="3"/>
    <x v="0"/>
    <x v="0"/>
    <x v="0"/>
    <n v="12"/>
    <x v="0"/>
    <x v="0"/>
  </r>
  <r>
    <x v="1"/>
    <x v="5"/>
    <x v="3"/>
    <x v="0"/>
    <x v="0"/>
    <x v="1"/>
    <n v="16"/>
    <x v="1"/>
    <x v="0"/>
  </r>
  <r>
    <x v="1"/>
    <x v="5"/>
    <x v="3"/>
    <x v="0"/>
    <x v="0"/>
    <x v="2"/>
    <n v="34"/>
    <x v="2"/>
    <x v="0"/>
  </r>
  <r>
    <x v="1"/>
    <x v="5"/>
    <x v="3"/>
    <x v="0"/>
    <x v="0"/>
    <x v="3"/>
    <n v="51"/>
    <x v="3"/>
    <x v="1"/>
  </r>
  <r>
    <x v="1"/>
    <x v="5"/>
    <x v="3"/>
    <x v="0"/>
    <x v="0"/>
    <x v="4"/>
    <n v="44"/>
    <x v="4"/>
    <x v="1"/>
  </r>
  <r>
    <x v="1"/>
    <x v="5"/>
    <x v="3"/>
    <x v="0"/>
    <x v="0"/>
    <x v="5"/>
    <n v="35"/>
    <x v="5"/>
    <x v="1"/>
  </r>
  <r>
    <x v="1"/>
    <x v="5"/>
    <x v="3"/>
    <x v="0"/>
    <x v="0"/>
    <x v="6"/>
    <n v="47"/>
    <x v="6"/>
    <x v="1"/>
  </r>
  <r>
    <x v="1"/>
    <x v="5"/>
    <x v="3"/>
    <x v="0"/>
    <x v="0"/>
    <x v="7"/>
    <n v="37"/>
    <x v="7"/>
    <x v="0"/>
  </r>
  <r>
    <x v="1"/>
    <x v="5"/>
    <x v="3"/>
    <x v="0"/>
    <x v="1"/>
    <x v="8"/>
    <n v="28"/>
    <x v="8"/>
    <x v="1"/>
  </r>
  <r>
    <x v="1"/>
    <x v="5"/>
    <x v="3"/>
    <x v="0"/>
    <x v="1"/>
    <x v="9"/>
    <n v="8"/>
    <x v="9"/>
    <x v="1"/>
  </r>
  <r>
    <x v="1"/>
    <x v="5"/>
    <x v="3"/>
    <x v="0"/>
    <x v="1"/>
    <x v="10"/>
    <n v="15"/>
    <x v="10"/>
    <x v="1"/>
  </r>
  <r>
    <x v="1"/>
    <x v="5"/>
    <x v="3"/>
    <x v="0"/>
    <x v="1"/>
    <x v="11"/>
    <n v="14"/>
    <x v="11"/>
    <x v="1"/>
  </r>
  <r>
    <x v="1"/>
    <x v="5"/>
    <x v="3"/>
    <x v="0"/>
    <x v="2"/>
    <x v="12"/>
    <n v="24"/>
    <x v="12"/>
    <x v="1"/>
  </r>
  <r>
    <x v="1"/>
    <x v="5"/>
    <x v="3"/>
    <x v="0"/>
    <x v="2"/>
    <x v="13"/>
    <n v="26"/>
    <x v="13"/>
    <x v="1"/>
  </r>
  <r>
    <x v="1"/>
    <x v="5"/>
    <x v="3"/>
    <x v="0"/>
    <x v="2"/>
    <x v="14"/>
    <n v="25"/>
    <x v="14"/>
    <x v="1"/>
  </r>
  <r>
    <x v="1"/>
    <x v="5"/>
    <x v="3"/>
    <x v="0"/>
    <x v="2"/>
    <x v="15"/>
    <n v="24"/>
    <x v="15"/>
    <x v="1"/>
  </r>
  <r>
    <x v="1"/>
    <x v="5"/>
    <x v="3"/>
    <x v="0"/>
    <x v="2"/>
    <x v="16"/>
    <n v="14"/>
    <x v="16"/>
    <x v="0"/>
  </r>
  <r>
    <x v="1"/>
    <x v="5"/>
    <x v="3"/>
    <x v="0"/>
    <x v="2"/>
    <x v="17"/>
    <n v="12"/>
    <x v="17"/>
    <x v="0"/>
  </r>
  <r>
    <x v="1"/>
    <x v="5"/>
    <x v="3"/>
    <x v="0"/>
    <x v="2"/>
    <x v="18"/>
    <n v="9"/>
    <x v="18"/>
    <x v="0"/>
  </r>
  <r>
    <x v="1"/>
    <x v="5"/>
    <x v="3"/>
    <x v="0"/>
    <x v="2"/>
    <x v="19"/>
    <n v="12"/>
    <x v="19"/>
    <x v="0"/>
  </r>
  <r>
    <x v="1"/>
    <x v="5"/>
    <x v="3"/>
    <x v="1"/>
    <x v="0"/>
    <x v="0"/>
    <n v="0"/>
    <x v="0"/>
    <x v="0"/>
  </r>
  <r>
    <x v="1"/>
    <x v="5"/>
    <x v="3"/>
    <x v="1"/>
    <x v="0"/>
    <x v="1"/>
    <n v="1"/>
    <x v="1"/>
    <x v="0"/>
  </r>
  <r>
    <x v="1"/>
    <x v="5"/>
    <x v="3"/>
    <x v="1"/>
    <x v="0"/>
    <x v="2"/>
    <n v="2"/>
    <x v="2"/>
    <x v="0"/>
  </r>
  <r>
    <x v="1"/>
    <x v="5"/>
    <x v="3"/>
    <x v="1"/>
    <x v="0"/>
    <x v="3"/>
    <n v="1"/>
    <x v="3"/>
    <x v="1"/>
  </r>
  <r>
    <x v="1"/>
    <x v="5"/>
    <x v="3"/>
    <x v="1"/>
    <x v="0"/>
    <x v="4"/>
    <n v="1"/>
    <x v="4"/>
    <x v="1"/>
  </r>
  <r>
    <x v="1"/>
    <x v="5"/>
    <x v="3"/>
    <x v="1"/>
    <x v="0"/>
    <x v="5"/>
    <n v="4"/>
    <x v="5"/>
    <x v="1"/>
  </r>
  <r>
    <x v="1"/>
    <x v="5"/>
    <x v="3"/>
    <x v="1"/>
    <x v="0"/>
    <x v="6"/>
    <n v="2"/>
    <x v="6"/>
    <x v="1"/>
  </r>
  <r>
    <x v="1"/>
    <x v="5"/>
    <x v="3"/>
    <x v="1"/>
    <x v="0"/>
    <x v="7"/>
    <n v="0"/>
    <x v="7"/>
    <x v="0"/>
  </r>
  <r>
    <x v="1"/>
    <x v="5"/>
    <x v="3"/>
    <x v="1"/>
    <x v="1"/>
    <x v="8"/>
    <n v="1"/>
    <x v="8"/>
    <x v="1"/>
  </r>
  <r>
    <x v="1"/>
    <x v="5"/>
    <x v="3"/>
    <x v="1"/>
    <x v="1"/>
    <x v="9"/>
    <n v="1"/>
    <x v="9"/>
    <x v="1"/>
  </r>
  <r>
    <x v="1"/>
    <x v="5"/>
    <x v="3"/>
    <x v="1"/>
    <x v="1"/>
    <x v="10"/>
    <n v="1"/>
    <x v="10"/>
    <x v="1"/>
  </r>
  <r>
    <x v="1"/>
    <x v="5"/>
    <x v="3"/>
    <x v="1"/>
    <x v="1"/>
    <x v="11"/>
    <n v="3"/>
    <x v="11"/>
    <x v="1"/>
  </r>
  <r>
    <x v="1"/>
    <x v="5"/>
    <x v="3"/>
    <x v="1"/>
    <x v="2"/>
    <x v="12"/>
    <n v="1"/>
    <x v="12"/>
    <x v="1"/>
  </r>
  <r>
    <x v="1"/>
    <x v="5"/>
    <x v="3"/>
    <x v="1"/>
    <x v="2"/>
    <x v="13"/>
    <n v="0"/>
    <x v="13"/>
    <x v="1"/>
  </r>
  <r>
    <x v="1"/>
    <x v="5"/>
    <x v="3"/>
    <x v="1"/>
    <x v="2"/>
    <x v="14"/>
    <n v="0"/>
    <x v="14"/>
    <x v="1"/>
  </r>
  <r>
    <x v="1"/>
    <x v="5"/>
    <x v="3"/>
    <x v="1"/>
    <x v="2"/>
    <x v="15"/>
    <n v="0"/>
    <x v="15"/>
    <x v="1"/>
  </r>
  <r>
    <x v="1"/>
    <x v="5"/>
    <x v="3"/>
    <x v="1"/>
    <x v="2"/>
    <x v="16"/>
    <n v="1"/>
    <x v="16"/>
    <x v="0"/>
  </r>
  <r>
    <x v="1"/>
    <x v="5"/>
    <x v="3"/>
    <x v="1"/>
    <x v="2"/>
    <x v="17"/>
    <n v="0"/>
    <x v="17"/>
    <x v="0"/>
  </r>
  <r>
    <x v="1"/>
    <x v="5"/>
    <x v="3"/>
    <x v="1"/>
    <x v="2"/>
    <x v="18"/>
    <n v="0"/>
    <x v="18"/>
    <x v="0"/>
  </r>
  <r>
    <x v="1"/>
    <x v="5"/>
    <x v="3"/>
    <x v="1"/>
    <x v="2"/>
    <x v="19"/>
    <n v="0"/>
    <x v="19"/>
    <x v="0"/>
  </r>
  <r>
    <x v="1"/>
    <x v="5"/>
    <x v="3"/>
    <x v="2"/>
    <x v="0"/>
    <x v="0"/>
    <n v="2"/>
    <x v="0"/>
    <x v="0"/>
  </r>
  <r>
    <x v="1"/>
    <x v="5"/>
    <x v="3"/>
    <x v="2"/>
    <x v="0"/>
    <x v="1"/>
    <n v="1"/>
    <x v="1"/>
    <x v="0"/>
  </r>
  <r>
    <x v="1"/>
    <x v="5"/>
    <x v="3"/>
    <x v="2"/>
    <x v="0"/>
    <x v="2"/>
    <n v="4"/>
    <x v="2"/>
    <x v="0"/>
  </r>
  <r>
    <x v="1"/>
    <x v="5"/>
    <x v="3"/>
    <x v="2"/>
    <x v="0"/>
    <x v="3"/>
    <n v="3"/>
    <x v="3"/>
    <x v="1"/>
  </r>
  <r>
    <x v="1"/>
    <x v="5"/>
    <x v="3"/>
    <x v="2"/>
    <x v="0"/>
    <x v="4"/>
    <n v="2"/>
    <x v="4"/>
    <x v="1"/>
  </r>
  <r>
    <x v="1"/>
    <x v="5"/>
    <x v="3"/>
    <x v="2"/>
    <x v="0"/>
    <x v="5"/>
    <n v="7"/>
    <x v="5"/>
    <x v="1"/>
  </r>
  <r>
    <x v="1"/>
    <x v="5"/>
    <x v="3"/>
    <x v="2"/>
    <x v="0"/>
    <x v="6"/>
    <n v="3"/>
    <x v="6"/>
    <x v="1"/>
  </r>
  <r>
    <x v="1"/>
    <x v="5"/>
    <x v="3"/>
    <x v="2"/>
    <x v="0"/>
    <x v="7"/>
    <n v="0"/>
    <x v="7"/>
    <x v="0"/>
  </r>
  <r>
    <x v="1"/>
    <x v="5"/>
    <x v="3"/>
    <x v="2"/>
    <x v="1"/>
    <x v="8"/>
    <n v="0"/>
    <x v="8"/>
    <x v="1"/>
  </r>
  <r>
    <x v="1"/>
    <x v="5"/>
    <x v="3"/>
    <x v="2"/>
    <x v="1"/>
    <x v="9"/>
    <n v="1"/>
    <x v="9"/>
    <x v="1"/>
  </r>
  <r>
    <x v="1"/>
    <x v="5"/>
    <x v="3"/>
    <x v="2"/>
    <x v="1"/>
    <x v="10"/>
    <n v="0"/>
    <x v="10"/>
    <x v="1"/>
  </r>
  <r>
    <x v="1"/>
    <x v="5"/>
    <x v="3"/>
    <x v="2"/>
    <x v="1"/>
    <x v="11"/>
    <n v="1"/>
    <x v="11"/>
    <x v="1"/>
  </r>
  <r>
    <x v="1"/>
    <x v="5"/>
    <x v="3"/>
    <x v="2"/>
    <x v="2"/>
    <x v="12"/>
    <n v="0"/>
    <x v="12"/>
    <x v="1"/>
  </r>
  <r>
    <x v="1"/>
    <x v="5"/>
    <x v="3"/>
    <x v="2"/>
    <x v="2"/>
    <x v="13"/>
    <n v="0"/>
    <x v="13"/>
    <x v="1"/>
  </r>
  <r>
    <x v="1"/>
    <x v="5"/>
    <x v="3"/>
    <x v="2"/>
    <x v="2"/>
    <x v="14"/>
    <n v="2"/>
    <x v="14"/>
    <x v="1"/>
  </r>
  <r>
    <x v="1"/>
    <x v="5"/>
    <x v="3"/>
    <x v="2"/>
    <x v="2"/>
    <x v="15"/>
    <n v="2"/>
    <x v="15"/>
    <x v="1"/>
  </r>
  <r>
    <x v="1"/>
    <x v="5"/>
    <x v="3"/>
    <x v="2"/>
    <x v="2"/>
    <x v="16"/>
    <n v="0"/>
    <x v="16"/>
    <x v="0"/>
  </r>
  <r>
    <x v="1"/>
    <x v="5"/>
    <x v="3"/>
    <x v="2"/>
    <x v="2"/>
    <x v="17"/>
    <n v="0"/>
    <x v="17"/>
    <x v="0"/>
  </r>
  <r>
    <x v="1"/>
    <x v="5"/>
    <x v="3"/>
    <x v="2"/>
    <x v="2"/>
    <x v="18"/>
    <n v="0"/>
    <x v="18"/>
    <x v="0"/>
  </r>
  <r>
    <x v="1"/>
    <x v="5"/>
    <x v="3"/>
    <x v="2"/>
    <x v="2"/>
    <x v="19"/>
    <n v="0"/>
    <x v="19"/>
    <x v="0"/>
  </r>
  <r>
    <x v="2"/>
    <x v="6"/>
    <x v="2"/>
    <x v="0"/>
    <x v="0"/>
    <x v="0"/>
    <n v="2"/>
    <x v="0"/>
    <x v="0"/>
  </r>
  <r>
    <x v="2"/>
    <x v="6"/>
    <x v="2"/>
    <x v="0"/>
    <x v="0"/>
    <x v="1"/>
    <n v="2"/>
    <x v="1"/>
    <x v="0"/>
  </r>
  <r>
    <x v="2"/>
    <x v="6"/>
    <x v="2"/>
    <x v="0"/>
    <x v="0"/>
    <x v="2"/>
    <n v="2"/>
    <x v="2"/>
    <x v="0"/>
  </r>
  <r>
    <x v="2"/>
    <x v="6"/>
    <x v="2"/>
    <x v="0"/>
    <x v="0"/>
    <x v="3"/>
    <n v="4"/>
    <x v="3"/>
    <x v="1"/>
  </r>
  <r>
    <x v="2"/>
    <x v="6"/>
    <x v="2"/>
    <x v="0"/>
    <x v="0"/>
    <x v="4"/>
    <n v="1"/>
    <x v="4"/>
    <x v="1"/>
  </r>
  <r>
    <x v="2"/>
    <x v="6"/>
    <x v="2"/>
    <x v="0"/>
    <x v="0"/>
    <x v="5"/>
    <n v="10"/>
    <x v="5"/>
    <x v="1"/>
  </r>
  <r>
    <x v="2"/>
    <x v="6"/>
    <x v="2"/>
    <x v="0"/>
    <x v="0"/>
    <x v="6"/>
    <n v="10"/>
    <x v="6"/>
    <x v="1"/>
  </r>
  <r>
    <x v="2"/>
    <x v="6"/>
    <x v="2"/>
    <x v="0"/>
    <x v="0"/>
    <x v="7"/>
    <n v="7"/>
    <x v="7"/>
    <x v="0"/>
  </r>
  <r>
    <x v="2"/>
    <x v="6"/>
    <x v="2"/>
    <x v="0"/>
    <x v="1"/>
    <x v="8"/>
    <n v="9"/>
    <x v="8"/>
    <x v="1"/>
  </r>
  <r>
    <x v="2"/>
    <x v="6"/>
    <x v="2"/>
    <x v="0"/>
    <x v="1"/>
    <x v="9"/>
    <n v="8"/>
    <x v="9"/>
    <x v="1"/>
  </r>
  <r>
    <x v="2"/>
    <x v="6"/>
    <x v="2"/>
    <x v="0"/>
    <x v="1"/>
    <x v="10"/>
    <n v="5"/>
    <x v="10"/>
    <x v="1"/>
  </r>
  <r>
    <x v="2"/>
    <x v="6"/>
    <x v="2"/>
    <x v="0"/>
    <x v="1"/>
    <x v="11"/>
    <n v="7"/>
    <x v="11"/>
    <x v="1"/>
  </r>
  <r>
    <x v="2"/>
    <x v="6"/>
    <x v="2"/>
    <x v="0"/>
    <x v="2"/>
    <x v="12"/>
    <n v="10"/>
    <x v="12"/>
    <x v="1"/>
  </r>
  <r>
    <x v="2"/>
    <x v="6"/>
    <x v="2"/>
    <x v="0"/>
    <x v="2"/>
    <x v="13"/>
    <n v="5"/>
    <x v="13"/>
    <x v="1"/>
  </r>
  <r>
    <x v="2"/>
    <x v="6"/>
    <x v="2"/>
    <x v="0"/>
    <x v="2"/>
    <x v="14"/>
    <n v="0"/>
    <x v="14"/>
    <x v="1"/>
  </r>
  <r>
    <x v="2"/>
    <x v="6"/>
    <x v="2"/>
    <x v="0"/>
    <x v="2"/>
    <x v="15"/>
    <n v="1"/>
    <x v="15"/>
    <x v="1"/>
  </r>
  <r>
    <x v="2"/>
    <x v="6"/>
    <x v="2"/>
    <x v="0"/>
    <x v="2"/>
    <x v="16"/>
    <n v="6"/>
    <x v="16"/>
    <x v="0"/>
  </r>
  <r>
    <x v="2"/>
    <x v="6"/>
    <x v="2"/>
    <x v="0"/>
    <x v="2"/>
    <x v="17"/>
    <n v="1"/>
    <x v="17"/>
    <x v="0"/>
  </r>
  <r>
    <x v="2"/>
    <x v="6"/>
    <x v="2"/>
    <x v="0"/>
    <x v="2"/>
    <x v="18"/>
    <n v="2"/>
    <x v="18"/>
    <x v="0"/>
  </r>
  <r>
    <x v="2"/>
    <x v="6"/>
    <x v="2"/>
    <x v="0"/>
    <x v="2"/>
    <x v="19"/>
    <n v="1"/>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1"/>
    <x v="7"/>
    <x v="0"/>
  </r>
  <r>
    <x v="2"/>
    <x v="6"/>
    <x v="2"/>
    <x v="1"/>
    <x v="1"/>
    <x v="8"/>
    <n v="1"/>
    <x v="8"/>
    <x v="1"/>
  </r>
  <r>
    <x v="2"/>
    <x v="6"/>
    <x v="2"/>
    <x v="1"/>
    <x v="1"/>
    <x v="9"/>
    <n v="0"/>
    <x v="9"/>
    <x v="1"/>
  </r>
  <r>
    <x v="2"/>
    <x v="6"/>
    <x v="2"/>
    <x v="1"/>
    <x v="1"/>
    <x v="10"/>
    <n v="0"/>
    <x v="10"/>
    <x v="1"/>
  </r>
  <r>
    <x v="2"/>
    <x v="6"/>
    <x v="2"/>
    <x v="1"/>
    <x v="1"/>
    <x v="11"/>
    <n v="1"/>
    <x v="11"/>
    <x v="1"/>
  </r>
  <r>
    <x v="2"/>
    <x v="6"/>
    <x v="2"/>
    <x v="1"/>
    <x v="2"/>
    <x v="12"/>
    <n v="1"/>
    <x v="12"/>
    <x v="1"/>
  </r>
  <r>
    <x v="2"/>
    <x v="6"/>
    <x v="2"/>
    <x v="1"/>
    <x v="2"/>
    <x v="13"/>
    <n v="2"/>
    <x v="13"/>
    <x v="1"/>
  </r>
  <r>
    <x v="2"/>
    <x v="6"/>
    <x v="2"/>
    <x v="1"/>
    <x v="2"/>
    <x v="14"/>
    <n v="0"/>
    <x v="14"/>
    <x v="1"/>
  </r>
  <r>
    <x v="2"/>
    <x v="6"/>
    <x v="2"/>
    <x v="1"/>
    <x v="2"/>
    <x v="15"/>
    <n v="0"/>
    <x v="15"/>
    <x v="1"/>
  </r>
  <r>
    <x v="2"/>
    <x v="6"/>
    <x v="2"/>
    <x v="1"/>
    <x v="2"/>
    <x v="16"/>
    <n v="0"/>
    <x v="16"/>
    <x v="0"/>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2"/>
    <x v="9"/>
    <x v="1"/>
  </r>
  <r>
    <x v="2"/>
    <x v="6"/>
    <x v="2"/>
    <x v="2"/>
    <x v="1"/>
    <x v="10"/>
    <n v="0"/>
    <x v="10"/>
    <x v="1"/>
  </r>
  <r>
    <x v="2"/>
    <x v="6"/>
    <x v="2"/>
    <x v="2"/>
    <x v="1"/>
    <x v="11"/>
    <n v="1"/>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0"/>
    <x v="17"/>
    <x v="0"/>
  </r>
  <r>
    <x v="2"/>
    <x v="6"/>
    <x v="2"/>
    <x v="2"/>
    <x v="2"/>
    <x v="18"/>
    <n v="0"/>
    <x v="18"/>
    <x v="0"/>
  </r>
  <r>
    <x v="2"/>
    <x v="6"/>
    <x v="2"/>
    <x v="2"/>
    <x v="2"/>
    <x v="19"/>
    <n v="0"/>
    <x v="19"/>
    <x v="0"/>
  </r>
  <r>
    <x v="2"/>
    <x v="7"/>
    <x v="3"/>
    <x v="0"/>
    <x v="0"/>
    <x v="0"/>
    <n v="158"/>
    <x v="0"/>
    <x v="0"/>
  </r>
  <r>
    <x v="2"/>
    <x v="7"/>
    <x v="3"/>
    <x v="0"/>
    <x v="0"/>
    <x v="1"/>
    <n v="216"/>
    <x v="1"/>
    <x v="0"/>
  </r>
  <r>
    <x v="2"/>
    <x v="7"/>
    <x v="3"/>
    <x v="0"/>
    <x v="0"/>
    <x v="2"/>
    <n v="219"/>
    <x v="2"/>
    <x v="0"/>
  </r>
  <r>
    <x v="2"/>
    <x v="7"/>
    <x v="3"/>
    <x v="0"/>
    <x v="0"/>
    <x v="3"/>
    <n v="274"/>
    <x v="3"/>
    <x v="1"/>
  </r>
  <r>
    <x v="2"/>
    <x v="7"/>
    <x v="3"/>
    <x v="0"/>
    <x v="0"/>
    <x v="4"/>
    <n v="284"/>
    <x v="4"/>
    <x v="1"/>
  </r>
  <r>
    <x v="2"/>
    <x v="7"/>
    <x v="3"/>
    <x v="0"/>
    <x v="0"/>
    <x v="5"/>
    <n v="248"/>
    <x v="5"/>
    <x v="1"/>
  </r>
  <r>
    <x v="2"/>
    <x v="7"/>
    <x v="3"/>
    <x v="0"/>
    <x v="0"/>
    <x v="6"/>
    <n v="252"/>
    <x v="6"/>
    <x v="1"/>
  </r>
  <r>
    <x v="2"/>
    <x v="7"/>
    <x v="3"/>
    <x v="0"/>
    <x v="0"/>
    <x v="7"/>
    <n v="229"/>
    <x v="7"/>
    <x v="0"/>
  </r>
  <r>
    <x v="2"/>
    <x v="7"/>
    <x v="3"/>
    <x v="0"/>
    <x v="1"/>
    <x v="8"/>
    <n v="144"/>
    <x v="8"/>
    <x v="1"/>
  </r>
  <r>
    <x v="2"/>
    <x v="7"/>
    <x v="3"/>
    <x v="0"/>
    <x v="1"/>
    <x v="9"/>
    <n v="168"/>
    <x v="9"/>
    <x v="1"/>
  </r>
  <r>
    <x v="2"/>
    <x v="7"/>
    <x v="3"/>
    <x v="0"/>
    <x v="1"/>
    <x v="10"/>
    <n v="144"/>
    <x v="10"/>
    <x v="1"/>
  </r>
  <r>
    <x v="2"/>
    <x v="7"/>
    <x v="3"/>
    <x v="0"/>
    <x v="1"/>
    <x v="11"/>
    <n v="142"/>
    <x v="11"/>
    <x v="1"/>
  </r>
  <r>
    <x v="2"/>
    <x v="7"/>
    <x v="3"/>
    <x v="0"/>
    <x v="2"/>
    <x v="12"/>
    <n v="168"/>
    <x v="12"/>
    <x v="1"/>
  </r>
  <r>
    <x v="2"/>
    <x v="7"/>
    <x v="3"/>
    <x v="0"/>
    <x v="2"/>
    <x v="13"/>
    <n v="173"/>
    <x v="13"/>
    <x v="1"/>
  </r>
  <r>
    <x v="2"/>
    <x v="7"/>
    <x v="3"/>
    <x v="0"/>
    <x v="2"/>
    <x v="14"/>
    <n v="169"/>
    <x v="14"/>
    <x v="1"/>
  </r>
  <r>
    <x v="2"/>
    <x v="7"/>
    <x v="3"/>
    <x v="0"/>
    <x v="2"/>
    <x v="15"/>
    <n v="166"/>
    <x v="15"/>
    <x v="1"/>
  </r>
  <r>
    <x v="2"/>
    <x v="7"/>
    <x v="3"/>
    <x v="0"/>
    <x v="2"/>
    <x v="16"/>
    <n v="155"/>
    <x v="16"/>
    <x v="0"/>
  </r>
  <r>
    <x v="2"/>
    <x v="7"/>
    <x v="3"/>
    <x v="0"/>
    <x v="2"/>
    <x v="17"/>
    <n v="156"/>
    <x v="17"/>
    <x v="0"/>
  </r>
  <r>
    <x v="2"/>
    <x v="7"/>
    <x v="3"/>
    <x v="0"/>
    <x v="2"/>
    <x v="18"/>
    <n v="137"/>
    <x v="18"/>
    <x v="0"/>
  </r>
  <r>
    <x v="2"/>
    <x v="7"/>
    <x v="3"/>
    <x v="0"/>
    <x v="2"/>
    <x v="19"/>
    <n v="157"/>
    <x v="19"/>
    <x v="0"/>
  </r>
  <r>
    <x v="2"/>
    <x v="7"/>
    <x v="3"/>
    <x v="1"/>
    <x v="0"/>
    <x v="0"/>
    <n v="1"/>
    <x v="0"/>
    <x v="0"/>
  </r>
  <r>
    <x v="2"/>
    <x v="7"/>
    <x v="3"/>
    <x v="1"/>
    <x v="0"/>
    <x v="1"/>
    <n v="2"/>
    <x v="1"/>
    <x v="0"/>
  </r>
  <r>
    <x v="2"/>
    <x v="7"/>
    <x v="3"/>
    <x v="1"/>
    <x v="0"/>
    <x v="2"/>
    <n v="6"/>
    <x v="2"/>
    <x v="0"/>
  </r>
  <r>
    <x v="2"/>
    <x v="7"/>
    <x v="3"/>
    <x v="1"/>
    <x v="0"/>
    <x v="3"/>
    <n v="5"/>
    <x v="3"/>
    <x v="1"/>
  </r>
  <r>
    <x v="2"/>
    <x v="7"/>
    <x v="3"/>
    <x v="1"/>
    <x v="0"/>
    <x v="4"/>
    <n v="7"/>
    <x v="4"/>
    <x v="1"/>
  </r>
  <r>
    <x v="2"/>
    <x v="7"/>
    <x v="3"/>
    <x v="1"/>
    <x v="0"/>
    <x v="5"/>
    <n v="4"/>
    <x v="5"/>
    <x v="1"/>
  </r>
  <r>
    <x v="2"/>
    <x v="7"/>
    <x v="3"/>
    <x v="1"/>
    <x v="0"/>
    <x v="6"/>
    <n v="7"/>
    <x v="6"/>
    <x v="1"/>
  </r>
  <r>
    <x v="2"/>
    <x v="7"/>
    <x v="3"/>
    <x v="1"/>
    <x v="0"/>
    <x v="7"/>
    <n v="3"/>
    <x v="7"/>
    <x v="0"/>
  </r>
  <r>
    <x v="2"/>
    <x v="7"/>
    <x v="3"/>
    <x v="1"/>
    <x v="1"/>
    <x v="8"/>
    <n v="3"/>
    <x v="8"/>
    <x v="1"/>
  </r>
  <r>
    <x v="2"/>
    <x v="7"/>
    <x v="3"/>
    <x v="1"/>
    <x v="1"/>
    <x v="9"/>
    <n v="4"/>
    <x v="9"/>
    <x v="1"/>
  </r>
  <r>
    <x v="2"/>
    <x v="7"/>
    <x v="3"/>
    <x v="1"/>
    <x v="1"/>
    <x v="10"/>
    <n v="3"/>
    <x v="10"/>
    <x v="1"/>
  </r>
  <r>
    <x v="2"/>
    <x v="7"/>
    <x v="3"/>
    <x v="1"/>
    <x v="1"/>
    <x v="11"/>
    <n v="5"/>
    <x v="11"/>
    <x v="1"/>
  </r>
  <r>
    <x v="2"/>
    <x v="7"/>
    <x v="3"/>
    <x v="1"/>
    <x v="2"/>
    <x v="12"/>
    <n v="3"/>
    <x v="12"/>
    <x v="1"/>
  </r>
  <r>
    <x v="2"/>
    <x v="7"/>
    <x v="3"/>
    <x v="1"/>
    <x v="2"/>
    <x v="13"/>
    <n v="2"/>
    <x v="13"/>
    <x v="1"/>
  </r>
  <r>
    <x v="2"/>
    <x v="7"/>
    <x v="3"/>
    <x v="1"/>
    <x v="2"/>
    <x v="14"/>
    <n v="2"/>
    <x v="14"/>
    <x v="1"/>
  </r>
  <r>
    <x v="2"/>
    <x v="7"/>
    <x v="3"/>
    <x v="1"/>
    <x v="2"/>
    <x v="15"/>
    <n v="1"/>
    <x v="15"/>
    <x v="1"/>
  </r>
  <r>
    <x v="2"/>
    <x v="7"/>
    <x v="3"/>
    <x v="1"/>
    <x v="2"/>
    <x v="16"/>
    <n v="2"/>
    <x v="16"/>
    <x v="0"/>
  </r>
  <r>
    <x v="2"/>
    <x v="7"/>
    <x v="3"/>
    <x v="1"/>
    <x v="2"/>
    <x v="17"/>
    <n v="4"/>
    <x v="17"/>
    <x v="0"/>
  </r>
  <r>
    <x v="2"/>
    <x v="7"/>
    <x v="3"/>
    <x v="1"/>
    <x v="2"/>
    <x v="18"/>
    <n v="0"/>
    <x v="18"/>
    <x v="0"/>
  </r>
  <r>
    <x v="2"/>
    <x v="7"/>
    <x v="3"/>
    <x v="1"/>
    <x v="2"/>
    <x v="19"/>
    <n v="3"/>
    <x v="19"/>
    <x v="0"/>
  </r>
  <r>
    <x v="2"/>
    <x v="7"/>
    <x v="3"/>
    <x v="2"/>
    <x v="0"/>
    <x v="0"/>
    <n v="0"/>
    <x v="0"/>
    <x v="0"/>
  </r>
  <r>
    <x v="2"/>
    <x v="7"/>
    <x v="3"/>
    <x v="2"/>
    <x v="0"/>
    <x v="1"/>
    <n v="0"/>
    <x v="1"/>
    <x v="0"/>
  </r>
  <r>
    <x v="2"/>
    <x v="7"/>
    <x v="3"/>
    <x v="2"/>
    <x v="0"/>
    <x v="2"/>
    <n v="2"/>
    <x v="2"/>
    <x v="0"/>
  </r>
  <r>
    <x v="2"/>
    <x v="7"/>
    <x v="3"/>
    <x v="2"/>
    <x v="0"/>
    <x v="3"/>
    <n v="0"/>
    <x v="3"/>
    <x v="1"/>
  </r>
  <r>
    <x v="2"/>
    <x v="7"/>
    <x v="3"/>
    <x v="2"/>
    <x v="0"/>
    <x v="4"/>
    <n v="6"/>
    <x v="4"/>
    <x v="1"/>
  </r>
  <r>
    <x v="2"/>
    <x v="7"/>
    <x v="3"/>
    <x v="2"/>
    <x v="0"/>
    <x v="5"/>
    <n v="16"/>
    <x v="5"/>
    <x v="1"/>
  </r>
  <r>
    <x v="2"/>
    <x v="7"/>
    <x v="3"/>
    <x v="2"/>
    <x v="0"/>
    <x v="6"/>
    <n v="4"/>
    <x v="6"/>
    <x v="1"/>
  </r>
  <r>
    <x v="2"/>
    <x v="7"/>
    <x v="3"/>
    <x v="2"/>
    <x v="0"/>
    <x v="7"/>
    <n v="13"/>
    <x v="7"/>
    <x v="0"/>
  </r>
  <r>
    <x v="2"/>
    <x v="7"/>
    <x v="3"/>
    <x v="2"/>
    <x v="1"/>
    <x v="8"/>
    <n v="1"/>
    <x v="8"/>
    <x v="1"/>
  </r>
  <r>
    <x v="2"/>
    <x v="7"/>
    <x v="3"/>
    <x v="2"/>
    <x v="1"/>
    <x v="9"/>
    <n v="3"/>
    <x v="9"/>
    <x v="1"/>
  </r>
  <r>
    <x v="2"/>
    <x v="7"/>
    <x v="3"/>
    <x v="2"/>
    <x v="1"/>
    <x v="10"/>
    <n v="0"/>
    <x v="10"/>
    <x v="1"/>
  </r>
  <r>
    <x v="2"/>
    <x v="7"/>
    <x v="3"/>
    <x v="2"/>
    <x v="1"/>
    <x v="11"/>
    <n v="0"/>
    <x v="11"/>
    <x v="1"/>
  </r>
  <r>
    <x v="2"/>
    <x v="7"/>
    <x v="3"/>
    <x v="2"/>
    <x v="2"/>
    <x v="12"/>
    <n v="2"/>
    <x v="12"/>
    <x v="1"/>
  </r>
  <r>
    <x v="2"/>
    <x v="7"/>
    <x v="3"/>
    <x v="2"/>
    <x v="2"/>
    <x v="13"/>
    <n v="2"/>
    <x v="13"/>
    <x v="1"/>
  </r>
  <r>
    <x v="2"/>
    <x v="7"/>
    <x v="3"/>
    <x v="2"/>
    <x v="2"/>
    <x v="14"/>
    <n v="3"/>
    <x v="14"/>
    <x v="1"/>
  </r>
  <r>
    <x v="2"/>
    <x v="7"/>
    <x v="3"/>
    <x v="2"/>
    <x v="2"/>
    <x v="15"/>
    <n v="2"/>
    <x v="15"/>
    <x v="1"/>
  </r>
  <r>
    <x v="2"/>
    <x v="7"/>
    <x v="3"/>
    <x v="2"/>
    <x v="2"/>
    <x v="16"/>
    <n v="5"/>
    <x v="16"/>
    <x v="0"/>
  </r>
  <r>
    <x v="2"/>
    <x v="7"/>
    <x v="3"/>
    <x v="2"/>
    <x v="2"/>
    <x v="17"/>
    <n v="4"/>
    <x v="17"/>
    <x v="0"/>
  </r>
  <r>
    <x v="2"/>
    <x v="7"/>
    <x v="3"/>
    <x v="2"/>
    <x v="2"/>
    <x v="18"/>
    <n v="2"/>
    <x v="18"/>
    <x v="0"/>
  </r>
  <r>
    <x v="2"/>
    <x v="7"/>
    <x v="3"/>
    <x v="2"/>
    <x v="2"/>
    <x v="19"/>
    <n v="0"/>
    <x v="19"/>
    <x v="0"/>
  </r>
  <r>
    <x v="2"/>
    <x v="8"/>
    <x v="0"/>
    <x v="0"/>
    <x v="0"/>
    <x v="0"/>
    <n v="7"/>
    <x v="0"/>
    <x v="0"/>
  </r>
  <r>
    <x v="2"/>
    <x v="8"/>
    <x v="0"/>
    <x v="0"/>
    <x v="0"/>
    <x v="1"/>
    <n v="19"/>
    <x v="1"/>
    <x v="0"/>
  </r>
  <r>
    <x v="2"/>
    <x v="8"/>
    <x v="0"/>
    <x v="0"/>
    <x v="0"/>
    <x v="2"/>
    <n v="18"/>
    <x v="2"/>
    <x v="0"/>
  </r>
  <r>
    <x v="2"/>
    <x v="8"/>
    <x v="0"/>
    <x v="0"/>
    <x v="0"/>
    <x v="3"/>
    <n v="20"/>
    <x v="3"/>
    <x v="1"/>
  </r>
  <r>
    <x v="2"/>
    <x v="8"/>
    <x v="0"/>
    <x v="0"/>
    <x v="0"/>
    <x v="4"/>
    <n v="10"/>
    <x v="4"/>
    <x v="1"/>
  </r>
  <r>
    <x v="2"/>
    <x v="8"/>
    <x v="0"/>
    <x v="0"/>
    <x v="0"/>
    <x v="5"/>
    <n v="17"/>
    <x v="5"/>
    <x v="1"/>
  </r>
  <r>
    <x v="2"/>
    <x v="8"/>
    <x v="0"/>
    <x v="0"/>
    <x v="0"/>
    <x v="6"/>
    <n v="14"/>
    <x v="6"/>
    <x v="1"/>
  </r>
  <r>
    <x v="2"/>
    <x v="8"/>
    <x v="0"/>
    <x v="0"/>
    <x v="0"/>
    <x v="7"/>
    <n v="15"/>
    <x v="7"/>
    <x v="0"/>
  </r>
  <r>
    <x v="2"/>
    <x v="8"/>
    <x v="0"/>
    <x v="0"/>
    <x v="1"/>
    <x v="8"/>
    <n v="14"/>
    <x v="8"/>
    <x v="1"/>
  </r>
  <r>
    <x v="2"/>
    <x v="8"/>
    <x v="0"/>
    <x v="0"/>
    <x v="1"/>
    <x v="9"/>
    <n v="12"/>
    <x v="9"/>
    <x v="1"/>
  </r>
  <r>
    <x v="2"/>
    <x v="8"/>
    <x v="0"/>
    <x v="0"/>
    <x v="1"/>
    <x v="10"/>
    <n v="10"/>
    <x v="10"/>
    <x v="1"/>
  </r>
  <r>
    <x v="2"/>
    <x v="8"/>
    <x v="0"/>
    <x v="0"/>
    <x v="1"/>
    <x v="11"/>
    <n v="20"/>
    <x v="11"/>
    <x v="1"/>
  </r>
  <r>
    <x v="2"/>
    <x v="8"/>
    <x v="0"/>
    <x v="0"/>
    <x v="2"/>
    <x v="12"/>
    <n v="20"/>
    <x v="12"/>
    <x v="1"/>
  </r>
  <r>
    <x v="2"/>
    <x v="8"/>
    <x v="0"/>
    <x v="0"/>
    <x v="2"/>
    <x v="13"/>
    <n v="15"/>
    <x v="13"/>
    <x v="1"/>
  </r>
  <r>
    <x v="2"/>
    <x v="8"/>
    <x v="0"/>
    <x v="0"/>
    <x v="2"/>
    <x v="14"/>
    <n v="26"/>
    <x v="14"/>
    <x v="1"/>
  </r>
  <r>
    <x v="2"/>
    <x v="8"/>
    <x v="0"/>
    <x v="0"/>
    <x v="2"/>
    <x v="15"/>
    <n v="29"/>
    <x v="15"/>
    <x v="1"/>
  </r>
  <r>
    <x v="2"/>
    <x v="8"/>
    <x v="0"/>
    <x v="0"/>
    <x v="2"/>
    <x v="16"/>
    <n v="19"/>
    <x v="16"/>
    <x v="0"/>
  </r>
  <r>
    <x v="2"/>
    <x v="8"/>
    <x v="0"/>
    <x v="0"/>
    <x v="2"/>
    <x v="17"/>
    <n v="23"/>
    <x v="17"/>
    <x v="0"/>
  </r>
  <r>
    <x v="2"/>
    <x v="8"/>
    <x v="0"/>
    <x v="0"/>
    <x v="2"/>
    <x v="18"/>
    <n v="24"/>
    <x v="18"/>
    <x v="0"/>
  </r>
  <r>
    <x v="2"/>
    <x v="8"/>
    <x v="0"/>
    <x v="0"/>
    <x v="2"/>
    <x v="19"/>
    <n v="18"/>
    <x v="19"/>
    <x v="0"/>
  </r>
  <r>
    <x v="2"/>
    <x v="8"/>
    <x v="0"/>
    <x v="1"/>
    <x v="0"/>
    <x v="0"/>
    <n v="0"/>
    <x v="0"/>
    <x v="0"/>
  </r>
  <r>
    <x v="2"/>
    <x v="8"/>
    <x v="0"/>
    <x v="1"/>
    <x v="0"/>
    <x v="1"/>
    <n v="0"/>
    <x v="1"/>
    <x v="0"/>
  </r>
  <r>
    <x v="2"/>
    <x v="8"/>
    <x v="0"/>
    <x v="1"/>
    <x v="0"/>
    <x v="2"/>
    <n v="0"/>
    <x v="2"/>
    <x v="0"/>
  </r>
  <r>
    <x v="2"/>
    <x v="8"/>
    <x v="0"/>
    <x v="1"/>
    <x v="0"/>
    <x v="3"/>
    <n v="0"/>
    <x v="3"/>
    <x v="1"/>
  </r>
  <r>
    <x v="2"/>
    <x v="8"/>
    <x v="0"/>
    <x v="1"/>
    <x v="0"/>
    <x v="4"/>
    <n v="1"/>
    <x v="4"/>
    <x v="1"/>
  </r>
  <r>
    <x v="2"/>
    <x v="8"/>
    <x v="0"/>
    <x v="1"/>
    <x v="0"/>
    <x v="5"/>
    <n v="1"/>
    <x v="5"/>
    <x v="1"/>
  </r>
  <r>
    <x v="2"/>
    <x v="8"/>
    <x v="0"/>
    <x v="1"/>
    <x v="0"/>
    <x v="6"/>
    <n v="0"/>
    <x v="6"/>
    <x v="1"/>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1"/>
    <x v="12"/>
    <x v="1"/>
  </r>
  <r>
    <x v="2"/>
    <x v="8"/>
    <x v="0"/>
    <x v="1"/>
    <x v="2"/>
    <x v="13"/>
    <n v="0"/>
    <x v="13"/>
    <x v="1"/>
  </r>
  <r>
    <x v="2"/>
    <x v="8"/>
    <x v="0"/>
    <x v="1"/>
    <x v="2"/>
    <x v="14"/>
    <n v="0"/>
    <x v="14"/>
    <x v="1"/>
  </r>
  <r>
    <x v="2"/>
    <x v="8"/>
    <x v="0"/>
    <x v="1"/>
    <x v="2"/>
    <x v="15"/>
    <n v="1"/>
    <x v="15"/>
    <x v="1"/>
  </r>
  <r>
    <x v="2"/>
    <x v="8"/>
    <x v="0"/>
    <x v="1"/>
    <x v="2"/>
    <x v="16"/>
    <n v="0"/>
    <x v="16"/>
    <x v="0"/>
  </r>
  <r>
    <x v="2"/>
    <x v="8"/>
    <x v="0"/>
    <x v="1"/>
    <x v="2"/>
    <x v="17"/>
    <n v="2"/>
    <x v="17"/>
    <x v="0"/>
  </r>
  <r>
    <x v="2"/>
    <x v="8"/>
    <x v="0"/>
    <x v="1"/>
    <x v="2"/>
    <x v="18"/>
    <n v="1"/>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1"/>
    <x v="0"/>
    <x v="0"/>
  </r>
  <r>
    <x v="3"/>
    <x v="9"/>
    <x v="3"/>
    <x v="0"/>
    <x v="0"/>
    <x v="1"/>
    <n v="3"/>
    <x v="1"/>
    <x v="0"/>
  </r>
  <r>
    <x v="3"/>
    <x v="9"/>
    <x v="3"/>
    <x v="0"/>
    <x v="0"/>
    <x v="2"/>
    <n v="9"/>
    <x v="2"/>
    <x v="0"/>
  </r>
  <r>
    <x v="3"/>
    <x v="9"/>
    <x v="3"/>
    <x v="0"/>
    <x v="0"/>
    <x v="3"/>
    <n v="11"/>
    <x v="3"/>
    <x v="1"/>
  </r>
  <r>
    <x v="3"/>
    <x v="9"/>
    <x v="3"/>
    <x v="0"/>
    <x v="0"/>
    <x v="4"/>
    <n v="12"/>
    <x v="4"/>
    <x v="1"/>
  </r>
  <r>
    <x v="3"/>
    <x v="9"/>
    <x v="3"/>
    <x v="0"/>
    <x v="0"/>
    <x v="5"/>
    <n v="10"/>
    <x v="5"/>
    <x v="1"/>
  </r>
  <r>
    <x v="3"/>
    <x v="9"/>
    <x v="3"/>
    <x v="0"/>
    <x v="0"/>
    <x v="6"/>
    <n v="14"/>
    <x v="6"/>
    <x v="1"/>
  </r>
  <r>
    <x v="3"/>
    <x v="9"/>
    <x v="3"/>
    <x v="0"/>
    <x v="0"/>
    <x v="7"/>
    <n v="3"/>
    <x v="7"/>
    <x v="0"/>
  </r>
  <r>
    <x v="3"/>
    <x v="9"/>
    <x v="3"/>
    <x v="0"/>
    <x v="1"/>
    <x v="8"/>
    <n v="16"/>
    <x v="8"/>
    <x v="1"/>
  </r>
  <r>
    <x v="3"/>
    <x v="9"/>
    <x v="3"/>
    <x v="0"/>
    <x v="1"/>
    <x v="9"/>
    <n v="21"/>
    <x v="9"/>
    <x v="1"/>
  </r>
  <r>
    <x v="3"/>
    <x v="9"/>
    <x v="3"/>
    <x v="0"/>
    <x v="1"/>
    <x v="10"/>
    <n v="17"/>
    <x v="10"/>
    <x v="1"/>
  </r>
  <r>
    <x v="3"/>
    <x v="9"/>
    <x v="3"/>
    <x v="0"/>
    <x v="1"/>
    <x v="11"/>
    <n v="13"/>
    <x v="11"/>
    <x v="1"/>
  </r>
  <r>
    <x v="3"/>
    <x v="9"/>
    <x v="3"/>
    <x v="0"/>
    <x v="2"/>
    <x v="12"/>
    <n v="19"/>
    <x v="12"/>
    <x v="1"/>
  </r>
  <r>
    <x v="3"/>
    <x v="9"/>
    <x v="3"/>
    <x v="0"/>
    <x v="2"/>
    <x v="13"/>
    <n v="20"/>
    <x v="13"/>
    <x v="1"/>
  </r>
  <r>
    <x v="3"/>
    <x v="9"/>
    <x v="3"/>
    <x v="0"/>
    <x v="2"/>
    <x v="14"/>
    <n v="24"/>
    <x v="14"/>
    <x v="1"/>
  </r>
  <r>
    <x v="3"/>
    <x v="9"/>
    <x v="3"/>
    <x v="0"/>
    <x v="2"/>
    <x v="15"/>
    <n v="22"/>
    <x v="15"/>
    <x v="1"/>
  </r>
  <r>
    <x v="3"/>
    <x v="9"/>
    <x v="3"/>
    <x v="0"/>
    <x v="2"/>
    <x v="16"/>
    <n v="28"/>
    <x v="16"/>
    <x v="0"/>
  </r>
  <r>
    <x v="3"/>
    <x v="9"/>
    <x v="3"/>
    <x v="0"/>
    <x v="2"/>
    <x v="17"/>
    <n v="14"/>
    <x v="17"/>
    <x v="0"/>
  </r>
  <r>
    <x v="3"/>
    <x v="9"/>
    <x v="3"/>
    <x v="0"/>
    <x v="2"/>
    <x v="18"/>
    <n v="10"/>
    <x v="18"/>
    <x v="0"/>
  </r>
  <r>
    <x v="3"/>
    <x v="9"/>
    <x v="3"/>
    <x v="0"/>
    <x v="2"/>
    <x v="19"/>
    <n v="16"/>
    <x v="19"/>
    <x v="0"/>
  </r>
  <r>
    <x v="3"/>
    <x v="9"/>
    <x v="3"/>
    <x v="1"/>
    <x v="0"/>
    <x v="0"/>
    <n v="1"/>
    <x v="0"/>
    <x v="0"/>
  </r>
  <r>
    <x v="3"/>
    <x v="9"/>
    <x v="3"/>
    <x v="1"/>
    <x v="0"/>
    <x v="1"/>
    <n v="0"/>
    <x v="1"/>
    <x v="0"/>
  </r>
  <r>
    <x v="3"/>
    <x v="9"/>
    <x v="3"/>
    <x v="1"/>
    <x v="0"/>
    <x v="2"/>
    <n v="0"/>
    <x v="2"/>
    <x v="0"/>
  </r>
  <r>
    <x v="3"/>
    <x v="9"/>
    <x v="3"/>
    <x v="1"/>
    <x v="0"/>
    <x v="3"/>
    <n v="1"/>
    <x v="3"/>
    <x v="1"/>
  </r>
  <r>
    <x v="3"/>
    <x v="9"/>
    <x v="3"/>
    <x v="1"/>
    <x v="0"/>
    <x v="4"/>
    <n v="1"/>
    <x v="4"/>
    <x v="1"/>
  </r>
  <r>
    <x v="3"/>
    <x v="9"/>
    <x v="3"/>
    <x v="1"/>
    <x v="0"/>
    <x v="5"/>
    <n v="0"/>
    <x v="5"/>
    <x v="1"/>
  </r>
  <r>
    <x v="3"/>
    <x v="9"/>
    <x v="3"/>
    <x v="1"/>
    <x v="0"/>
    <x v="6"/>
    <n v="0"/>
    <x v="6"/>
    <x v="1"/>
  </r>
  <r>
    <x v="3"/>
    <x v="9"/>
    <x v="3"/>
    <x v="1"/>
    <x v="0"/>
    <x v="7"/>
    <n v="0"/>
    <x v="7"/>
    <x v="0"/>
  </r>
  <r>
    <x v="3"/>
    <x v="9"/>
    <x v="3"/>
    <x v="1"/>
    <x v="1"/>
    <x v="8"/>
    <n v="1"/>
    <x v="8"/>
    <x v="1"/>
  </r>
  <r>
    <x v="3"/>
    <x v="9"/>
    <x v="3"/>
    <x v="1"/>
    <x v="1"/>
    <x v="9"/>
    <n v="0"/>
    <x v="9"/>
    <x v="1"/>
  </r>
  <r>
    <x v="3"/>
    <x v="9"/>
    <x v="3"/>
    <x v="1"/>
    <x v="1"/>
    <x v="10"/>
    <n v="0"/>
    <x v="10"/>
    <x v="1"/>
  </r>
  <r>
    <x v="3"/>
    <x v="9"/>
    <x v="3"/>
    <x v="1"/>
    <x v="1"/>
    <x v="11"/>
    <n v="1"/>
    <x v="11"/>
    <x v="1"/>
  </r>
  <r>
    <x v="3"/>
    <x v="9"/>
    <x v="3"/>
    <x v="1"/>
    <x v="2"/>
    <x v="12"/>
    <n v="0"/>
    <x v="12"/>
    <x v="1"/>
  </r>
  <r>
    <x v="3"/>
    <x v="9"/>
    <x v="3"/>
    <x v="1"/>
    <x v="2"/>
    <x v="13"/>
    <n v="1"/>
    <x v="13"/>
    <x v="1"/>
  </r>
  <r>
    <x v="3"/>
    <x v="9"/>
    <x v="3"/>
    <x v="1"/>
    <x v="2"/>
    <x v="14"/>
    <n v="0"/>
    <x v="14"/>
    <x v="1"/>
  </r>
  <r>
    <x v="3"/>
    <x v="9"/>
    <x v="3"/>
    <x v="1"/>
    <x v="2"/>
    <x v="15"/>
    <n v="0"/>
    <x v="15"/>
    <x v="1"/>
  </r>
  <r>
    <x v="3"/>
    <x v="9"/>
    <x v="3"/>
    <x v="1"/>
    <x v="2"/>
    <x v="16"/>
    <n v="0"/>
    <x v="16"/>
    <x v="0"/>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1"/>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8"/>
    <x v="0"/>
    <x v="0"/>
  </r>
  <r>
    <x v="3"/>
    <x v="10"/>
    <x v="0"/>
    <x v="0"/>
    <x v="0"/>
    <x v="1"/>
    <n v="16"/>
    <x v="1"/>
    <x v="0"/>
  </r>
  <r>
    <x v="3"/>
    <x v="10"/>
    <x v="0"/>
    <x v="0"/>
    <x v="0"/>
    <x v="2"/>
    <n v="21"/>
    <x v="2"/>
    <x v="0"/>
  </r>
  <r>
    <x v="3"/>
    <x v="10"/>
    <x v="0"/>
    <x v="0"/>
    <x v="0"/>
    <x v="3"/>
    <n v="29"/>
    <x v="3"/>
    <x v="1"/>
  </r>
  <r>
    <x v="3"/>
    <x v="10"/>
    <x v="0"/>
    <x v="0"/>
    <x v="0"/>
    <x v="4"/>
    <n v="18"/>
    <x v="4"/>
    <x v="1"/>
  </r>
  <r>
    <x v="3"/>
    <x v="10"/>
    <x v="0"/>
    <x v="0"/>
    <x v="0"/>
    <x v="5"/>
    <n v="19"/>
    <x v="5"/>
    <x v="1"/>
  </r>
  <r>
    <x v="3"/>
    <x v="10"/>
    <x v="0"/>
    <x v="0"/>
    <x v="0"/>
    <x v="6"/>
    <n v="33"/>
    <x v="6"/>
    <x v="1"/>
  </r>
  <r>
    <x v="3"/>
    <x v="10"/>
    <x v="0"/>
    <x v="0"/>
    <x v="0"/>
    <x v="7"/>
    <n v="32"/>
    <x v="7"/>
    <x v="0"/>
  </r>
  <r>
    <x v="3"/>
    <x v="10"/>
    <x v="0"/>
    <x v="0"/>
    <x v="1"/>
    <x v="8"/>
    <n v="52"/>
    <x v="8"/>
    <x v="1"/>
  </r>
  <r>
    <x v="3"/>
    <x v="10"/>
    <x v="0"/>
    <x v="0"/>
    <x v="1"/>
    <x v="9"/>
    <n v="37"/>
    <x v="9"/>
    <x v="1"/>
  </r>
  <r>
    <x v="3"/>
    <x v="10"/>
    <x v="0"/>
    <x v="0"/>
    <x v="1"/>
    <x v="10"/>
    <n v="47"/>
    <x v="10"/>
    <x v="1"/>
  </r>
  <r>
    <x v="3"/>
    <x v="10"/>
    <x v="0"/>
    <x v="0"/>
    <x v="1"/>
    <x v="11"/>
    <n v="41"/>
    <x v="11"/>
    <x v="1"/>
  </r>
  <r>
    <x v="3"/>
    <x v="10"/>
    <x v="0"/>
    <x v="0"/>
    <x v="2"/>
    <x v="12"/>
    <n v="75"/>
    <x v="12"/>
    <x v="1"/>
  </r>
  <r>
    <x v="3"/>
    <x v="10"/>
    <x v="0"/>
    <x v="0"/>
    <x v="2"/>
    <x v="13"/>
    <n v="78"/>
    <x v="13"/>
    <x v="1"/>
  </r>
  <r>
    <x v="3"/>
    <x v="10"/>
    <x v="0"/>
    <x v="0"/>
    <x v="2"/>
    <x v="14"/>
    <n v="95"/>
    <x v="14"/>
    <x v="1"/>
  </r>
  <r>
    <x v="3"/>
    <x v="10"/>
    <x v="0"/>
    <x v="0"/>
    <x v="2"/>
    <x v="15"/>
    <n v="68"/>
    <x v="15"/>
    <x v="1"/>
  </r>
  <r>
    <x v="3"/>
    <x v="10"/>
    <x v="0"/>
    <x v="0"/>
    <x v="2"/>
    <x v="16"/>
    <n v="98"/>
    <x v="16"/>
    <x v="0"/>
  </r>
  <r>
    <x v="3"/>
    <x v="10"/>
    <x v="0"/>
    <x v="0"/>
    <x v="2"/>
    <x v="17"/>
    <n v="79"/>
    <x v="17"/>
    <x v="0"/>
  </r>
  <r>
    <x v="3"/>
    <x v="10"/>
    <x v="0"/>
    <x v="0"/>
    <x v="2"/>
    <x v="18"/>
    <n v="60"/>
    <x v="18"/>
    <x v="0"/>
  </r>
  <r>
    <x v="3"/>
    <x v="10"/>
    <x v="0"/>
    <x v="0"/>
    <x v="2"/>
    <x v="19"/>
    <n v="40"/>
    <x v="19"/>
    <x v="0"/>
  </r>
  <r>
    <x v="3"/>
    <x v="10"/>
    <x v="0"/>
    <x v="1"/>
    <x v="0"/>
    <x v="0"/>
    <n v="0"/>
    <x v="0"/>
    <x v="0"/>
  </r>
  <r>
    <x v="3"/>
    <x v="10"/>
    <x v="0"/>
    <x v="1"/>
    <x v="0"/>
    <x v="1"/>
    <n v="1"/>
    <x v="1"/>
    <x v="0"/>
  </r>
  <r>
    <x v="3"/>
    <x v="10"/>
    <x v="0"/>
    <x v="1"/>
    <x v="0"/>
    <x v="2"/>
    <n v="0"/>
    <x v="2"/>
    <x v="0"/>
  </r>
  <r>
    <x v="3"/>
    <x v="10"/>
    <x v="0"/>
    <x v="1"/>
    <x v="0"/>
    <x v="3"/>
    <n v="0"/>
    <x v="3"/>
    <x v="1"/>
  </r>
  <r>
    <x v="3"/>
    <x v="10"/>
    <x v="0"/>
    <x v="1"/>
    <x v="0"/>
    <x v="4"/>
    <n v="6"/>
    <x v="4"/>
    <x v="1"/>
  </r>
  <r>
    <x v="3"/>
    <x v="10"/>
    <x v="0"/>
    <x v="1"/>
    <x v="0"/>
    <x v="5"/>
    <n v="1"/>
    <x v="5"/>
    <x v="1"/>
  </r>
  <r>
    <x v="3"/>
    <x v="10"/>
    <x v="0"/>
    <x v="1"/>
    <x v="0"/>
    <x v="6"/>
    <n v="1"/>
    <x v="6"/>
    <x v="1"/>
  </r>
  <r>
    <x v="3"/>
    <x v="10"/>
    <x v="0"/>
    <x v="1"/>
    <x v="0"/>
    <x v="7"/>
    <n v="3"/>
    <x v="7"/>
    <x v="0"/>
  </r>
  <r>
    <x v="3"/>
    <x v="10"/>
    <x v="0"/>
    <x v="1"/>
    <x v="1"/>
    <x v="8"/>
    <n v="2"/>
    <x v="8"/>
    <x v="1"/>
  </r>
  <r>
    <x v="3"/>
    <x v="10"/>
    <x v="0"/>
    <x v="1"/>
    <x v="1"/>
    <x v="9"/>
    <n v="0"/>
    <x v="9"/>
    <x v="1"/>
  </r>
  <r>
    <x v="3"/>
    <x v="10"/>
    <x v="0"/>
    <x v="1"/>
    <x v="1"/>
    <x v="10"/>
    <n v="2"/>
    <x v="10"/>
    <x v="1"/>
  </r>
  <r>
    <x v="3"/>
    <x v="10"/>
    <x v="0"/>
    <x v="1"/>
    <x v="1"/>
    <x v="11"/>
    <n v="3"/>
    <x v="11"/>
    <x v="1"/>
  </r>
  <r>
    <x v="3"/>
    <x v="10"/>
    <x v="0"/>
    <x v="1"/>
    <x v="2"/>
    <x v="12"/>
    <n v="1"/>
    <x v="12"/>
    <x v="1"/>
  </r>
  <r>
    <x v="3"/>
    <x v="10"/>
    <x v="0"/>
    <x v="1"/>
    <x v="2"/>
    <x v="13"/>
    <n v="1"/>
    <x v="13"/>
    <x v="1"/>
  </r>
  <r>
    <x v="3"/>
    <x v="10"/>
    <x v="0"/>
    <x v="1"/>
    <x v="2"/>
    <x v="14"/>
    <n v="1"/>
    <x v="14"/>
    <x v="1"/>
  </r>
  <r>
    <x v="3"/>
    <x v="10"/>
    <x v="0"/>
    <x v="1"/>
    <x v="2"/>
    <x v="15"/>
    <n v="0"/>
    <x v="15"/>
    <x v="1"/>
  </r>
  <r>
    <x v="3"/>
    <x v="10"/>
    <x v="0"/>
    <x v="1"/>
    <x v="2"/>
    <x v="16"/>
    <n v="0"/>
    <x v="16"/>
    <x v="0"/>
  </r>
  <r>
    <x v="3"/>
    <x v="10"/>
    <x v="0"/>
    <x v="1"/>
    <x v="2"/>
    <x v="17"/>
    <n v="2"/>
    <x v="17"/>
    <x v="0"/>
  </r>
  <r>
    <x v="3"/>
    <x v="10"/>
    <x v="0"/>
    <x v="1"/>
    <x v="2"/>
    <x v="18"/>
    <n v="0"/>
    <x v="18"/>
    <x v="0"/>
  </r>
  <r>
    <x v="3"/>
    <x v="10"/>
    <x v="0"/>
    <x v="1"/>
    <x v="2"/>
    <x v="19"/>
    <n v="1"/>
    <x v="19"/>
    <x v="0"/>
  </r>
  <r>
    <x v="3"/>
    <x v="10"/>
    <x v="0"/>
    <x v="2"/>
    <x v="0"/>
    <x v="0"/>
    <n v="0"/>
    <x v="0"/>
    <x v="0"/>
  </r>
  <r>
    <x v="3"/>
    <x v="10"/>
    <x v="0"/>
    <x v="2"/>
    <x v="0"/>
    <x v="1"/>
    <n v="0"/>
    <x v="1"/>
    <x v="0"/>
  </r>
  <r>
    <x v="3"/>
    <x v="10"/>
    <x v="0"/>
    <x v="2"/>
    <x v="0"/>
    <x v="2"/>
    <n v="0"/>
    <x v="2"/>
    <x v="0"/>
  </r>
  <r>
    <x v="3"/>
    <x v="10"/>
    <x v="0"/>
    <x v="2"/>
    <x v="0"/>
    <x v="3"/>
    <n v="0"/>
    <x v="3"/>
    <x v="1"/>
  </r>
  <r>
    <x v="3"/>
    <x v="10"/>
    <x v="0"/>
    <x v="2"/>
    <x v="0"/>
    <x v="4"/>
    <n v="3"/>
    <x v="4"/>
    <x v="1"/>
  </r>
  <r>
    <x v="3"/>
    <x v="10"/>
    <x v="0"/>
    <x v="2"/>
    <x v="0"/>
    <x v="5"/>
    <n v="0"/>
    <x v="5"/>
    <x v="1"/>
  </r>
  <r>
    <x v="3"/>
    <x v="10"/>
    <x v="0"/>
    <x v="2"/>
    <x v="0"/>
    <x v="6"/>
    <n v="0"/>
    <x v="6"/>
    <x v="1"/>
  </r>
  <r>
    <x v="3"/>
    <x v="10"/>
    <x v="0"/>
    <x v="2"/>
    <x v="0"/>
    <x v="7"/>
    <n v="1"/>
    <x v="7"/>
    <x v="0"/>
  </r>
  <r>
    <x v="3"/>
    <x v="10"/>
    <x v="0"/>
    <x v="2"/>
    <x v="1"/>
    <x v="8"/>
    <n v="0"/>
    <x v="8"/>
    <x v="1"/>
  </r>
  <r>
    <x v="3"/>
    <x v="10"/>
    <x v="0"/>
    <x v="2"/>
    <x v="1"/>
    <x v="9"/>
    <n v="0"/>
    <x v="9"/>
    <x v="1"/>
  </r>
  <r>
    <x v="3"/>
    <x v="10"/>
    <x v="0"/>
    <x v="2"/>
    <x v="1"/>
    <x v="10"/>
    <n v="1"/>
    <x v="10"/>
    <x v="1"/>
  </r>
  <r>
    <x v="3"/>
    <x v="10"/>
    <x v="0"/>
    <x v="2"/>
    <x v="1"/>
    <x v="11"/>
    <n v="2"/>
    <x v="11"/>
    <x v="1"/>
  </r>
  <r>
    <x v="3"/>
    <x v="10"/>
    <x v="0"/>
    <x v="2"/>
    <x v="2"/>
    <x v="12"/>
    <n v="2"/>
    <x v="12"/>
    <x v="1"/>
  </r>
  <r>
    <x v="3"/>
    <x v="10"/>
    <x v="0"/>
    <x v="2"/>
    <x v="2"/>
    <x v="13"/>
    <n v="1"/>
    <x v="13"/>
    <x v="1"/>
  </r>
  <r>
    <x v="3"/>
    <x v="10"/>
    <x v="0"/>
    <x v="2"/>
    <x v="2"/>
    <x v="14"/>
    <n v="5"/>
    <x v="14"/>
    <x v="1"/>
  </r>
  <r>
    <x v="3"/>
    <x v="10"/>
    <x v="0"/>
    <x v="2"/>
    <x v="2"/>
    <x v="15"/>
    <n v="1"/>
    <x v="15"/>
    <x v="1"/>
  </r>
  <r>
    <x v="3"/>
    <x v="10"/>
    <x v="0"/>
    <x v="2"/>
    <x v="2"/>
    <x v="16"/>
    <n v="0"/>
    <x v="16"/>
    <x v="0"/>
  </r>
  <r>
    <x v="3"/>
    <x v="10"/>
    <x v="0"/>
    <x v="2"/>
    <x v="2"/>
    <x v="17"/>
    <n v="4"/>
    <x v="17"/>
    <x v="0"/>
  </r>
  <r>
    <x v="3"/>
    <x v="10"/>
    <x v="0"/>
    <x v="2"/>
    <x v="2"/>
    <x v="18"/>
    <n v="2"/>
    <x v="18"/>
    <x v="0"/>
  </r>
  <r>
    <x v="3"/>
    <x v="10"/>
    <x v="0"/>
    <x v="2"/>
    <x v="2"/>
    <x v="19"/>
    <n v="1"/>
    <x v="19"/>
    <x v="0"/>
  </r>
  <r>
    <x v="3"/>
    <x v="11"/>
    <x v="1"/>
    <x v="0"/>
    <x v="0"/>
    <x v="0"/>
    <n v="1"/>
    <x v="0"/>
    <x v="0"/>
  </r>
  <r>
    <x v="3"/>
    <x v="11"/>
    <x v="1"/>
    <x v="0"/>
    <x v="0"/>
    <x v="1"/>
    <n v="1"/>
    <x v="1"/>
    <x v="0"/>
  </r>
  <r>
    <x v="3"/>
    <x v="11"/>
    <x v="1"/>
    <x v="0"/>
    <x v="0"/>
    <x v="2"/>
    <n v="1"/>
    <x v="2"/>
    <x v="0"/>
  </r>
  <r>
    <x v="3"/>
    <x v="11"/>
    <x v="1"/>
    <x v="0"/>
    <x v="0"/>
    <x v="3"/>
    <n v="4"/>
    <x v="3"/>
    <x v="1"/>
  </r>
  <r>
    <x v="3"/>
    <x v="11"/>
    <x v="1"/>
    <x v="0"/>
    <x v="0"/>
    <x v="4"/>
    <n v="3"/>
    <x v="4"/>
    <x v="1"/>
  </r>
  <r>
    <x v="3"/>
    <x v="11"/>
    <x v="1"/>
    <x v="0"/>
    <x v="0"/>
    <x v="5"/>
    <n v="3"/>
    <x v="5"/>
    <x v="1"/>
  </r>
  <r>
    <x v="3"/>
    <x v="11"/>
    <x v="1"/>
    <x v="0"/>
    <x v="0"/>
    <x v="6"/>
    <n v="3"/>
    <x v="6"/>
    <x v="1"/>
  </r>
  <r>
    <x v="3"/>
    <x v="11"/>
    <x v="1"/>
    <x v="0"/>
    <x v="0"/>
    <x v="7"/>
    <n v="4"/>
    <x v="7"/>
    <x v="0"/>
  </r>
  <r>
    <x v="3"/>
    <x v="11"/>
    <x v="1"/>
    <x v="0"/>
    <x v="1"/>
    <x v="8"/>
    <n v="6"/>
    <x v="8"/>
    <x v="1"/>
  </r>
  <r>
    <x v="3"/>
    <x v="11"/>
    <x v="1"/>
    <x v="0"/>
    <x v="1"/>
    <x v="9"/>
    <n v="4"/>
    <x v="9"/>
    <x v="1"/>
  </r>
  <r>
    <x v="3"/>
    <x v="11"/>
    <x v="1"/>
    <x v="0"/>
    <x v="1"/>
    <x v="10"/>
    <n v="7"/>
    <x v="10"/>
    <x v="1"/>
  </r>
  <r>
    <x v="3"/>
    <x v="11"/>
    <x v="1"/>
    <x v="0"/>
    <x v="1"/>
    <x v="11"/>
    <n v="8"/>
    <x v="11"/>
    <x v="1"/>
  </r>
  <r>
    <x v="3"/>
    <x v="11"/>
    <x v="1"/>
    <x v="0"/>
    <x v="2"/>
    <x v="12"/>
    <n v="13"/>
    <x v="12"/>
    <x v="1"/>
  </r>
  <r>
    <x v="3"/>
    <x v="11"/>
    <x v="1"/>
    <x v="0"/>
    <x v="2"/>
    <x v="13"/>
    <n v="6"/>
    <x v="13"/>
    <x v="1"/>
  </r>
  <r>
    <x v="3"/>
    <x v="11"/>
    <x v="1"/>
    <x v="0"/>
    <x v="2"/>
    <x v="14"/>
    <n v="6"/>
    <x v="14"/>
    <x v="1"/>
  </r>
  <r>
    <x v="3"/>
    <x v="11"/>
    <x v="1"/>
    <x v="0"/>
    <x v="2"/>
    <x v="15"/>
    <n v="5"/>
    <x v="15"/>
    <x v="1"/>
  </r>
  <r>
    <x v="3"/>
    <x v="11"/>
    <x v="1"/>
    <x v="0"/>
    <x v="2"/>
    <x v="16"/>
    <n v="5"/>
    <x v="16"/>
    <x v="0"/>
  </r>
  <r>
    <x v="3"/>
    <x v="11"/>
    <x v="1"/>
    <x v="0"/>
    <x v="2"/>
    <x v="17"/>
    <n v="3"/>
    <x v="17"/>
    <x v="0"/>
  </r>
  <r>
    <x v="3"/>
    <x v="11"/>
    <x v="1"/>
    <x v="0"/>
    <x v="2"/>
    <x v="18"/>
    <n v="3"/>
    <x v="18"/>
    <x v="0"/>
  </r>
  <r>
    <x v="3"/>
    <x v="11"/>
    <x v="1"/>
    <x v="0"/>
    <x v="2"/>
    <x v="19"/>
    <n v="3"/>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1"/>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1"/>
  </r>
  <r>
    <x v="3"/>
    <x v="11"/>
    <x v="1"/>
    <x v="1"/>
    <x v="2"/>
    <x v="13"/>
    <n v="0"/>
    <x v="13"/>
    <x v="1"/>
  </r>
  <r>
    <x v="3"/>
    <x v="11"/>
    <x v="1"/>
    <x v="1"/>
    <x v="2"/>
    <x v="14"/>
    <n v="0"/>
    <x v="14"/>
    <x v="1"/>
  </r>
  <r>
    <x v="3"/>
    <x v="11"/>
    <x v="1"/>
    <x v="1"/>
    <x v="2"/>
    <x v="15"/>
    <n v="0"/>
    <x v="15"/>
    <x v="1"/>
  </r>
  <r>
    <x v="3"/>
    <x v="11"/>
    <x v="1"/>
    <x v="1"/>
    <x v="2"/>
    <x v="16"/>
    <n v="0"/>
    <x v="16"/>
    <x v="0"/>
  </r>
  <r>
    <x v="3"/>
    <x v="11"/>
    <x v="1"/>
    <x v="1"/>
    <x v="2"/>
    <x v="17"/>
    <n v="0"/>
    <x v="17"/>
    <x v="0"/>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1"/>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1"/>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F50" sqref="F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44357</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Gasson Street North</v>
      </c>
      <c r="C4" s="1" t="str">
        <f>Input!C31</f>
        <v>Wordsworth Street East</v>
      </c>
      <c r="D4" s="1" t="str">
        <f>Input!C42</f>
        <v>Gasson Street South</v>
      </c>
      <c r="E4" s="1" t="str">
        <f>Input!C53</f>
        <v>Wordsworth Street West</v>
      </c>
      <c r="F4" s="1">
        <f>Input!C64</f>
        <v>0</v>
      </c>
      <c r="G4" s="1">
        <f>Input!C75</f>
        <v>0</v>
      </c>
      <c r="H4" s="1">
        <f>Input!C86</f>
        <v>0</v>
      </c>
    </row>
    <row r="6" spans="2:8" x14ac:dyDescent="0.25">
      <c r="B6" t="s">
        <v>18</v>
      </c>
    </row>
    <row r="8" spans="2:8" x14ac:dyDescent="0.25">
      <c r="B8" s="1" t="str">
        <f>Input!C22</f>
        <v>Left into Wordsworth Street East</v>
      </c>
      <c r="C8" s="1" t="str">
        <f>Input!C33</f>
        <v>Left into Gasson Street South</v>
      </c>
      <c r="D8" s="1" t="str">
        <f>Input!C44</f>
        <v>Left into Wordsworth Street West</v>
      </c>
      <c r="E8" s="1" t="str">
        <f>Input!C55</f>
        <v>Left into Gasson Street North</v>
      </c>
      <c r="F8" s="1">
        <f>Input!C66</f>
        <v>0</v>
      </c>
      <c r="G8" s="1">
        <f>Input!C77</f>
        <v>0</v>
      </c>
      <c r="H8" s="1">
        <f>Input!C88</f>
        <v>0</v>
      </c>
    </row>
    <row r="9" spans="2:8" x14ac:dyDescent="0.25">
      <c r="B9" s="1" t="str">
        <f>Input!C23</f>
        <v>Thru to Gasson Street South</v>
      </c>
      <c r="C9" s="1" t="str">
        <f>Input!C34</f>
        <v>Thru to Wordsworth Street West</v>
      </c>
      <c r="D9" s="1" t="str">
        <f>Input!C45</f>
        <v>Thru to Gasson Street North</v>
      </c>
      <c r="E9" s="1" t="str">
        <f>Input!C56</f>
        <v>Thru to Wordsworth Street East</v>
      </c>
      <c r="F9" s="1">
        <f>Input!C67</f>
        <v>0</v>
      </c>
      <c r="G9" s="1">
        <f>Input!C78</f>
        <v>0</v>
      </c>
      <c r="H9" s="1">
        <f>Input!C89</f>
        <v>0</v>
      </c>
    </row>
    <row r="10" spans="2:8" x14ac:dyDescent="0.25">
      <c r="B10" s="1" t="str">
        <f>Input!C24</f>
        <v>Right into Wordsworth Street West</v>
      </c>
      <c r="C10" s="1" t="str">
        <f>Input!C35</f>
        <v>Right into Gasson Street North</v>
      </c>
      <c r="D10" s="1" t="str">
        <f>Input!C46</f>
        <v>Right into Wordsworth Street East</v>
      </c>
      <c r="E10" s="1" t="str">
        <f>Input!C57</f>
        <v>Right into Gasson Street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Wordsworth Street East</v>
      </c>
      <c r="C18" s="1" t="str">
        <f>Input!E33</f>
        <v>Gasson Street South</v>
      </c>
      <c r="D18" s="1" t="str">
        <f>Input!E44</f>
        <v>Wordsworth Street West</v>
      </c>
      <c r="E18" s="1" t="str">
        <f>Input!E55</f>
        <v>Gasson Street North</v>
      </c>
      <c r="F18" s="1">
        <f>Input!E66</f>
        <v>0</v>
      </c>
      <c r="G18" s="1">
        <f>Input!E77</f>
        <v>0</v>
      </c>
      <c r="H18" s="1">
        <f>Input!E88</f>
        <v>0</v>
      </c>
    </row>
    <row r="19" spans="2:8" x14ac:dyDescent="0.25">
      <c r="B19" s="1" t="str">
        <f>Input!E23</f>
        <v>Gasson Street South</v>
      </c>
      <c r="C19" s="1" t="str">
        <f>Input!E34</f>
        <v>Wordsworth Street West</v>
      </c>
      <c r="D19" s="1" t="str">
        <f>Input!E45</f>
        <v>Gasson Street North</v>
      </c>
      <c r="E19" s="1" t="str">
        <f>Input!E56</f>
        <v>Wordsworth Street East</v>
      </c>
      <c r="F19" s="1">
        <f>Input!E67</f>
        <v>0</v>
      </c>
      <c r="G19" s="1">
        <f>Input!E78</f>
        <v>0</v>
      </c>
      <c r="H19" s="1">
        <f>Input!E89</f>
        <v>0</v>
      </c>
    </row>
    <row r="20" spans="2:8" x14ac:dyDescent="0.25">
      <c r="B20" s="1" t="str">
        <f>Input!E24</f>
        <v>Wordsworth Street West</v>
      </c>
      <c r="C20" s="1" t="str">
        <f>Input!E35</f>
        <v>Gasson Street North</v>
      </c>
      <c r="D20" s="1" t="str">
        <f>Input!E46</f>
        <v>Wordsworth Street East</v>
      </c>
      <c r="E20" s="1" t="str">
        <f>Input!E57</f>
        <v>Gasson Street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7</v>
      </c>
      <c r="D8">
        <v>0</v>
      </c>
      <c r="E8">
        <v>0</v>
      </c>
      <c r="F8" s="28">
        <v>47</v>
      </c>
      <c r="G8">
        <v>1</v>
      </c>
      <c r="H8">
        <v>1</v>
      </c>
      <c r="I8" s="28">
        <v>1</v>
      </c>
      <c r="J8">
        <v>0</v>
      </c>
      <c r="K8">
        <v>0</v>
      </c>
      <c r="L8" s="31">
        <v>1</v>
      </c>
      <c r="M8">
        <v>0</v>
      </c>
      <c r="N8">
        <v>0</v>
      </c>
      <c r="O8" s="28">
        <v>20</v>
      </c>
      <c r="P8">
        <v>2</v>
      </c>
      <c r="Q8">
        <v>0</v>
      </c>
      <c r="R8" s="28">
        <v>12</v>
      </c>
      <c r="S8">
        <v>0</v>
      </c>
      <c r="T8">
        <v>2</v>
      </c>
      <c r="U8" s="31">
        <v>2</v>
      </c>
      <c r="V8">
        <v>0</v>
      </c>
      <c r="W8">
        <v>0</v>
      </c>
      <c r="X8" s="28">
        <v>158</v>
      </c>
      <c r="Y8">
        <v>1</v>
      </c>
      <c r="Z8">
        <v>0</v>
      </c>
      <c r="AA8" s="28">
        <v>7</v>
      </c>
      <c r="AB8">
        <v>0</v>
      </c>
      <c r="AC8">
        <v>0</v>
      </c>
      <c r="AD8" s="31">
        <v>1</v>
      </c>
      <c r="AE8">
        <v>1</v>
      </c>
      <c r="AF8">
        <v>0</v>
      </c>
      <c r="AG8" s="28">
        <v>8</v>
      </c>
      <c r="AH8">
        <v>0</v>
      </c>
      <c r="AI8">
        <v>0</v>
      </c>
      <c r="AJ8" s="28">
        <v>1</v>
      </c>
      <c r="AK8">
        <v>0</v>
      </c>
      <c r="AL8" s="34">
        <v>0</v>
      </c>
    </row>
    <row r="9" spans="1:38" x14ac:dyDescent="0.25">
      <c r="A9" s="2" t="s">
        <v>43</v>
      </c>
      <c r="B9" s="7">
        <v>0.30208333333333331</v>
      </c>
      <c r="C9" s="31">
        <v>8</v>
      </c>
      <c r="D9">
        <v>1</v>
      </c>
      <c r="E9">
        <v>0</v>
      </c>
      <c r="F9" s="28">
        <v>70</v>
      </c>
      <c r="G9">
        <v>4</v>
      </c>
      <c r="H9">
        <v>2</v>
      </c>
      <c r="I9" s="28">
        <v>3</v>
      </c>
      <c r="J9">
        <v>0</v>
      </c>
      <c r="K9">
        <v>0</v>
      </c>
      <c r="L9" s="31">
        <v>3</v>
      </c>
      <c r="M9">
        <v>0</v>
      </c>
      <c r="N9">
        <v>0</v>
      </c>
      <c r="O9" s="28">
        <v>36</v>
      </c>
      <c r="P9">
        <v>0</v>
      </c>
      <c r="Q9">
        <v>1</v>
      </c>
      <c r="R9" s="28">
        <v>16</v>
      </c>
      <c r="S9">
        <v>1</v>
      </c>
      <c r="T9">
        <v>1</v>
      </c>
      <c r="U9" s="31">
        <v>2</v>
      </c>
      <c r="V9">
        <v>0</v>
      </c>
      <c r="W9">
        <v>0</v>
      </c>
      <c r="X9" s="28">
        <v>216</v>
      </c>
      <c r="Y9">
        <v>2</v>
      </c>
      <c r="Z9">
        <v>0</v>
      </c>
      <c r="AA9" s="28">
        <v>19</v>
      </c>
      <c r="AB9">
        <v>0</v>
      </c>
      <c r="AC9">
        <v>0</v>
      </c>
      <c r="AD9" s="31">
        <v>3</v>
      </c>
      <c r="AE9">
        <v>0</v>
      </c>
      <c r="AF9">
        <v>0</v>
      </c>
      <c r="AG9" s="28">
        <v>16</v>
      </c>
      <c r="AH9">
        <v>1</v>
      </c>
      <c r="AI9">
        <v>0</v>
      </c>
      <c r="AJ9" s="28">
        <v>1</v>
      </c>
      <c r="AK9">
        <v>0</v>
      </c>
      <c r="AL9" s="34">
        <v>0</v>
      </c>
    </row>
    <row r="10" spans="1:38" x14ac:dyDescent="0.25">
      <c r="A10" s="2" t="s">
        <v>43</v>
      </c>
      <c r="B10" s="7">
        <v>0.3125</v>
      </c>
      <c r="C10" s="31">
        <v>4</v>
      </c>
      <c r="D10">
        <v>0</v>
      </c>
      <c r="E10">
        <v>0</v>
      </c>
      <c r="F10" s="28">
        <v>67</v>
      </c>
      <c r="G10">
        <v>3</v>
      </c>
      <c r="H10">
        <v>1</v>
      </c>
      <c r="I10" s="28">
        <v>7</v>
      </c>
      <c r="J10">
        <v>0</v>
      </c>
      <c r="K10">
        <v>0</v>
      </c>
      <c r="L10" s="31">
        <v>3</v>
      </c>
      <c r="M10">
        <v>0</v>
      </c>
      <c r="N10">
        <v>0</v>
      </c>
      <c r="O10" s="28">
        <v>44</v>
      </c>
      <c r="P10">
        <v>0</v>
      </c>
      <c r="Q10">
        <v>2</v>
      </c>
      <c r="R10" s="28">
        <v>34</v>
      </c>
      <c r="S10">
        <v>2</v>
      </c>
      <c r="T10">
        <v>4</v>
      </c>
      <c r="U10" s="31">
        <v>2</v>
      </c>
      <c r="V10">
        <v>0</v>
      </c>
      <c r="W10">
        <v>0</v>
      </c>
      <c r="X10" s="28">
        <v>219</v>
      </c>
      <c r="Y10">
        <v>6</v>
      </c>
      <c r="Z10">
        <v>2</v>
      </c>
      <c r="AA10" s="28">
        <v>18</v>
      </c>
      <c r="AB10">
        <v>0</v>
      </c>
      <c r="AC10">
        <v>0</v>
      </c>
      <c r="AD10" s="31">
        <v>9</v>
      </c>
      <c r="AE10">
        <v>0</v>
      </c>
      <c r="AF10">
        <v>0</v>
      </c>
      <c r="AG10" s="28">
        <v>21</v>
      </c>
      <c r="AH10">
        <v>0</v>
      </c>
      <c r="AI10">
        <v>0</v>
      </c>
      <c r="AJ10" s="28">
        <v>1</v>
      </c>
      <c r="AK10">
        <v>0</v>
      </c>
      <c r="AL10" s="34">
        <v>0</v>
      </c>
    </row>
    <row r="11" spans="1:38" x14ac:dyDescent="0.25">
      <c r="A11" s="2" t="s">
        <v>43</v>
      </c>
      <c r="B11" s="7">
        <v>0.32291666666666669</v>
      </c>
      <c r="C11" s="31">
        <v>12</v>
      </c>
      <c r="D11">
        <v>0</v>
      </c>
      <c r="E11">
        <v>0</v>
      </c>
      <c r="F11" s="28">
        <v>62</v>
      </c>
      <c r="G11">
        <v>2</v>
      </c>
      <c r="H11">
        <v>0</v>
      </c>
      <c r="I11" s="28">
        <v>8</v>
      </c>
      <c r="J11">
        <v>0</v>
      </c>
      <c r="K11">
        <v>0</v>
      </c>
      <c r="L11" s="31">
        <v>5</v>
      </c>
      <c r="M11">
        <v>0</v>
      </c>
      <c r="N11">
        <v>0</v>
      </c>
      <c r="O11" s="28">
        <v>111</v>
      </c>
      <c r="P11">
        <v>1</v>
      </c>
      <c r="Q11">
        <v>1</v>
      </c>
      <c r="R11" s="28">
        <v>51</v>
      </c>
      <c r="S11">
        <v>1</v>
      </c>
      <c r="T11">
        <v>3</v>
      </c>
      <c r="U11" s="31">
        <v>4</v>
      </c>
      <c r="V11">
        <v>0</v>
      </c>
      <c r="W11">
        <v>0</v>
      </c>
      <c r="X11" s="28">
        <v>274</v>
      </c>
      <c r="Y11">
        <v>5</v>
      </c>
      <c r="Z11">
        <v>0</v>
      </c>
      <c r="AA11" s="28">
        <v>20</v>
      </c>
      <c r="AB11">
        <v>0</v>
      </c>
      <c r="AC11">
        <v>0</v>
      </c>
      <c r="AD11" s="31">
        <v>11</v>
      </c>
      <c r="AE11">
        <v>1</v>
      </c>
      <c r="AF11">
        <v>0</v>
      </c>
      <c r="AG11" s="28">
        <v>29</v>
      </c>
      <c r="AH11">
        <v>0</v>
      </c>
      <c r="AI11">
        <v>0</v>
      </c>
      <c r="AJ11" s="28">
        <v>4</v>
      </c>
      <c r="AK11">
        <v>0</v>
      </c>
      <c r="AL11" s="34">
        <v>0</v>
      </c>
    </row>
    <row r="12" spans="1:38" x14ac:dyDescent="0.25">
      <c r="A12" s="2" t="s">
        <v>43</v>
      </c>
      <c r="B12" s="7">
        <v>0.33333333333333331</v>
      </c>
      <c r="C12" s="31">
        <v>8</v>
      </c>
      <c r="D12">
        <v>0</v>
      </c>
      <c r="E12">
        <v>0</v>
      </c>
      <c r="F12" s="28">
        <v>65</v>
      </c>
      <c r="G12">
        <v>1</v>
      </c>
      <c r="H12">
        <v>0</v>
      </c>
      <c r="I12" s="28">
        <v>5</v>
      </c>
      <c r="J12">
        <v>1</v>
      </c>
      <c r="K12">
        <v>0</v>
      </c>
      <c r="L12" s="31">
        <v>5</v>
      </c>
      <c r="M12">
        <v>0</v>
      </c>
      <c r="N12">
        <v>0</v>
      </c>
      <c r="O12" s="28">
        <v>74</v>
      </c>
      <c r="P12">
        <v>1</v>
      </c>
      <c r="Q12">
        <v>0</v>
      </c>
      <c r="R12" s="28">
        <v>44</v>
      </c>
      <c r="S12">
        <v>1</v>
      </c>
      <c r="T12">
        <v>2</v>
      </c>
      <c r="U12" s="31">
        <v>1</v>
      </c>
      <c r="V12">
        <v>0</v>
      </c>
      <c r="W12">
        <v>0</v>
      </c>
      <c r="X12" s="28">
        <v>284</v>
      </c>
      <c r="Y12">
        <v>7</v>
      </c>
      <c r="Z12">
        <v>6</v>
      </c>
      <c r="AA12" s="28">
        <v>10</v>
      </c>
      <c r="AB12">
        <v>1</v>
      </c>
      <c r="AC12">
        <v>0</v>
      </c>
      <c r="AD12" s="31">
        <v>12</v>
      </c>
      <c r="AE12">
        <v>1</v>
      </c>
      <c r="AF12">
        <v>0</v>
      </c>
      <c r="AG12" s="28">
        <v>18</v>
      </c>
      <c r="AH12">
        <v>6</v>
      </c>
      <c r="AI12">
        <v>3</v>
      </c>
      <c r="AJ12" s="28">
        <v>3</v>
      </c>
      <c r="AK12">
        <v>0</v>
      </c>
      <c r="AL12" s="34">
        <v>0</v>
      </c>
    </row>
    <row r="13" spans="1:38" x14ac:dyDescent="0.25">
      <c r="A13" s="2" t="s">
        <v>43</v>
      </c>
      <c r="B13" s="7">
        <v>0.34375</v>
      </c>
      <c r="C13" s="31">
        <v>7</v>
      </c>
      <c r="D13">
        <v>1</v>
      </c>
      <c r="E13">
        <v>0</v>
      </c>
      <c r="F13" s="28">
        <v>57</v>
      </c>
      <c r="G13">
        <v>1</v>
      </c>
      <c r="H13">
        <v>1</v>
      </c>
      <c r="I13" s="28">
        <v>13</v>
      </c>
      <c r="J13">
        <v>0</v>
      </c>
      <c r="K13">
        <v>0</v>
      </c>
      <c r="L13" s="31">
        <v>1</v>
      </c>
      <c r="M13">
        <v>0</v>
      </c>
      <c r="N13">
        <v>0</v>
      </c>
      <c r="O13" s="28">
        <v>71</v>
      </c>
      <c r="P13">
        <v>1</v>
      </c>
      <c r="Q13">
        <v>3</v>
      </c>
      <c r="R13" s="28">
        <v>35</v>
      </c>
      <c r="S13">
        <v>4</v>
      </c>
      <c r="T13">
        <v>7</v>
      </c>
      <c r="U13" s="31">
        <v>10</v>
      </c>
      <c r="V13">
        <v>0</v>
      </c>
      <c r="W13">
        <v>0</v>
      </c>
      <c r="X13" s="28">
        <v>248</v>
      </c>
      <c r="Y13">
        <v>4</v>
      </c>
      <c r="Z13">
        <v>16</v>
      </c>
      <c r="AA13" s="28">
        <v>17</v>
      </c>
      <c r="AB13">
        <v>1</v>
      </c>
      <c r="AC13">
        <v>0</v>
      </c>
      <c r="AD13" s="31">
        <v>10</v>
      </c>
      <c r="AE13">
        <v>0</v>
      </c>
      <c r="AF13">
        <v>0</v>
      </c>
      <c r="AG13" s="28">
        <v>19</v>
      </c>
      <c r="AH13">
        <v>1</v>
      </c>
      <c r="AI13">
        <v>0</v>
      </c>
      <c r="AJ13" s="28">
        <v>3</v>
      </c>
      <c r="AK13">
        <v>0</v>
      </c>
      <c r="AL13" s="34">
        <v>1</v>
      </c>
    </row>
    <row r="14" spans="1:38" x14ac:dyDescent="0.25">
      <c r="A14" s="2" t="s">
        <v>43</v>
      </c>
      <c r="B14" s="7">
        <v>0.35416666666666669</v>
      </c>
      <c r="C14" s="31">
        <v>16</v>
      </c>
      <c r="D14">
        <v>0</v>
      </c>
      <c r="E14">
        <v>0</v>
      </c>
      <c r="F14" s="28">
        <v>48</v>
      </c>
      <c r="G14">
        <v>3</v>
      </c>
      <c r="H14">
        <v>0</v>
      </c>
      <c r="I14" s="28">
        <v>10</v>
      </c>
      <c r="J14">
        <v>0</v>
      </c>
      <c r="K14">
        <v>0</v>
      </c>
      <c r="L14" s="31">
        <v>7</v>
      </c>
      <c r="M14">
        <v>0</v>
      </c>
      <c r="N14">
        <v>0</v>
      </c>
      <c r="O14" s="28">
        <v>67</v>
      </c>
      <c r="P14">
        <v>3</v>
      </c>
      <c r="Q14">
        <v>0</v>
      </c>
      <c r="R14" s="28">
        <v>47</v>
      </c>
      <c r="S14">
        <v>2</v>
      </c>
      <c r="T14">
        <v>3</v>
      </c>
      <c r="U14" s="31">
        <v>10</v>
      </c>
      <c r="V14">
        <v>0</v>
      </c>
      <c r="W14">
        <v>0</v>
      </c>
      <c r="X14" s="28">
        <v>252</v>
      </c>
      <c r="Y14">
        <v>7</v>
      </c>
      <c r="Z14">
        <v>4</v>
      </c>
      <c r="AA14" s="28">
        <v>14</v>
      </c>
      <c r="AB14">
        <v>0</v>
      </c>
      <c r="AC14">
        <v>0</v>
      </c>
      <c r="AD14" s="31">
        <v>14</v>
      </c>
      <c r="AE14">
        <v>0</v>
      </c>
      <c r="AF14">
        <v>0</v>
      </c>
      <c r="AG14" s="28">
        <v>33</v>
      </c>
      <c r="AH14">
        <v>1</v>
      </c>
      <c r="AI14">
        <v>0</v>
      </c>
      <c r="AJ14" s="28">
        <v>3</v>
      </c>
      <c r="AK14">
        <v>1</v>
      </c>
      <c r="AL14" s="34">
        <v>0</v>
      </c>
    </row>
    <row r="15" spans="1:38" ht="15.75" thickBot="1" x14ac:dyDescent="0.3">
      <c r="A15" s="2" t="s">
        <v>43</v>
      </c>
      <c r="B15" s="7">
        <v>0.36458333333333331</v>
      </c>
      <c r="C15" s="31">
        <v>12</v>
      </c>
      <c r="D15">
        <v>0</v>
      </c>
      <c r="E15">
        <v>0</v>
      </c>
      <c r="F15" s="28">
        <v>67</v>
      </c>
      <c r="G15">
        <v>3</v>
      </c>
      <c r="H15">
        <v>0</v>
      </c>
      <c r="I15" s="28">
        <v>10</v>
      </c>
      <c r="J15">
        <v>2</v>
      </c>
      <c r="K15">
        <v>0</v>
      </c>
      <c r="L15" s="31">
        <v>7</v>
      </c>
      <c r="M15">
        <v>0</v>
      </c>
      <c r="N15">
        <v>0</v>
      </c>
      <c r="O15" s="28">
        <v>58</v>
      </c>
      <c r="P15">
        <v>1</v>
      </c>
      <c r="Q15">
        <v>3</v>
      </c>
      <c r="R15" s="28">
        <v>37</v>
      </c>
      <c r="S15">
        <v>0</v>
      </c>
      <c r="T15">
        <v>0</v>
      </c>
      <c r="U15" s="31">
        <v>7</v>
      </c>
      <c r="V15">
        <v>1</v>
      </c>
      <c r="W15">
        <v>0</v>
      </c>
      <c r="X15" s="28">
        <v>229</v>
      </c>
      <c r="Y15">
        <v>3</v>
      </c>
      <c r="Z15">
        <v>13</v>
      </c>
      <c r="AA15" s="28">
        <v>15</v>
      </c>
      <c r="AB15">
        <v>0</v>
      </c>
      <c r="AC15">
        <v>0</v>
      </c>
      <c r="AD15" s="31">
        <v>3</v>
      </c>
      <c r="AE15">
        <v>0</v>
      </c>
      <c r="AF15">
        <v>0</v>
      </c>
      <c r="AG15" s="28">
        <v>32</v>
      </c>
      <c r="AH15">
        <v>3</v>
      </c>
      <c r="AI15">
        <v>1</v>
      </c>
      <c r="AJ15" s="28">
        <v>4</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16</v>
      </c>
      <c r="D17">
        <v>0</v>
      </c>
      <c r="E17">
        <v>0</v>
      </c>
      <c r="F17" s="28">
        <v>94</v>
      </c>
      <c r="G17">
        <v>7</v>
      </c>
      <c r="H17">
        <v>1</v>
      </c>
      <c r="I17" s="28">
        <v>5</v>
      </c>
      <c r="J17">
        <v>0</v>
      </c>
      <c r="K17">
        <v>0</v>
      </c>
      <c r="L17" s="31">
        <v>16</v>
      </c>
      <c r="M17">
        <v>1</v>
      </c>
      <c r="N17">
        <v>0</v>
      </c>
      <c r="O17" s="28">
        <v>33</v>
      </c>
      <c r="P17">
        <v>2</v>
      </c>
      <c r="Q17">
        <v>0</v>
      </c>
      <c r="R17" s="28">
        <v>28</v>
      </c>
      <c r="S17">
        <v>1</v>
      </c>
      <c r="T17">
        <v>0</v>
      </c>
      <c r="U17" s="31">
        <v>9</v>
      </c>
      <c r="V17">
        <v>1</v>
      </c>
      <c r="W17">
        <v>0</v>
      </c>
      <c r="X17" s="28">
        <v>144</v>
      </c>
      <c r="Y17">
        <v>3</v>
      </c>
      <c r="Z17">
        <v>1</v>
      </c>
      <c r="AA17" s="28">
        <v>14</v>
      </c>
      <c r="AB17">
        <v>1</v>
      </c>
      <c r="AC17">
        <v>0</v>
      </c>
      <c r="AD17" s="31">
        <v>16</v>
      </c>
      <c r="AE17">
        <v>1</v>
      </c>
      <c r="AF17">
        <v>0</v>
      </c>
      <c r="AG17" s="28">
        <v>52</v>
      </c>
      <c r="AH17">
        <v>2</v>
      </c>
      <c r="AI17">
        <v>0</v>
      </c>
      <c r="AJ17" s="28">
        <v>6</v>
      </c>
      <c r="AK17">
        <v>0</v>
      </c>
      <c r="AL17" s="34">
        <v>0</v>
      </c>
    </row>
    <row r="18" spans="1:38" x14ac:dyDescent="0.25">
      <c r="A18" s="2" t="s">
        <v>90</v>
      </c>
      <c r="B18" s="7">
        <v>0.55208333333333337</v>
      </c>
      <c r="C18" s="31">
        <v>16</v>
      </c>
      <c r="D18">
        <v>2</v>
      </c>
      <c r="E18">
        <v>1</v>
      </c>
      <c r="F18" s="28">
        <v>71</v>
      </c>
      <c r="G18">
        <v>2</v>
      </c>
      <c r="H18">
        <v>0</v>
      </c>
      <c r="I18" s="28">
        <v>13</v>
      </c>
      <c r="J18">
        <v>0</v>
      </c>
      <c r="K18">
        <v>0</v>
      </c>
      <c r="L18" s="31">
        <v>9</v>
      </c>
      <c r="M18">
        <v>0</v>
      </c>
      <c r="N18">
        <v>0</v>
      </c>
      <c r="O18" s="28">
        <v>44</v>
      </c>
      <c r="P18">
        <v>0</v>
      </c>
      <c r="Q18">
        <v>2</v>
      </c>
      <c r="R18" s="28">
        <v>8</v>
      </c>
      <c r="S18">
        <v>1</v>
      </c>
      <c r="T18">
        <v>1</v>
      </c>
      <c r="U18" s="31">
        <v>8</v>
      </c>
      <c r="V18">
        <v>0</v>
      </c>
      <c r="W18">
        <v>2</v>
      </c>
      <c r="X18" s="28">
        <v>168</v>
      </c>
      <c r="Y18">
        <v>4</v>
      </c>
      <c r="Z18">
        <v>3</v>
      </c>
      <c r="AA18" s="28">
        <v>12</v>
      </c>
      <c r="AB18">
        <v>0</v>
      </c>
      <c r="AC18">
        <v>0</v>
      </c>
      <c r="AD18" s="31">
        <v>21</v>
      </c>
      <c r="AE18">
        <v>0</v>
      </c>
      <c r="AF18">
        <v>0</v>
      </c>
      <c r="AG18" s="28">
        <v>37</v>
      </c>
      <c r="AH18">
        <v>0</v>
      </c>
      <c r="AI18">
        <v>0</v>
      </c>
      <c r="AJ18" s="28">
        <v>4</v>
      </c>
      <c r="AK18">
        <v>0</v>
      </c>
      <c r="AL18" s="34">
        <v>0</v>
      </c>
    </row>
    <row r="19" spans="1:38" x14ac:dyDescent="0.25">
      <c r="A19" s="2" t="s">
        <v>90</v>
      </c>
      <c r="B19" s="7">
        <v>0.5625</v>
      </c>
      <c r="C19" s="31">
        <v>15</v>
      </c>
      <c r="D19">
        <v>4</v>
      </c>
      <c r="E19">
        <v>0</v>
      </c>
      <c r="F19" s="28">
        <v>62</v>
      </c>
      <c r="G19">
        <v>5</v>
      </c>
      <c r="H19">
        <v>1</v>
      </c>
      <c r="I19" s="28">
        <v>3</v>
      </c>
      <c r="J19">
        <v>2</v>
      </c>
      <c r="K19">
        <v>0</v>
      </c>
      <c r="L19" s="31">
        <v>8</v>
      </c>
      <c r="M19">
        <v>0</v>
      </c>
      <c r="N19">
        <v>0</v>
      </c>
      <c r="O19" s="28">
        <v>35</v>
      </c>
      <c r="P19">
        <v>0</v>
      </c>
      <c r="Q19">
        <v>0</v>
      </c>
      <c r="R19" s="28">
        <v>15</v>
      </c>
      <c r="S19">
        <v>1</v>
      </c>
      <c r="T19">
        <v>0</v>
      </c>
      <c r="U19" s="31">
        <v>5</v>
      </c>
      <c r="V19">
        <v>0</v>
      </c>
      <c r="W19">
        <v>0</v>
      </c>
      <c r="X19" s="28">
        <v>144</v>
      </c>
      <c r="Y19">
        <v>3</v>
      </c>
      <c r="Z19">
        <v>0</v>
      </c>
      <c r="AA19" s="28">
        <v>10</v>
      </c>
      <c r="AB19">
        <v>0</v>
      </c>
      <c r="AC19">
        <v>0</v>
      </c>
      <c r="AD19" s="31">
        <v>17</v>
      </c>
      <c r="AE19">
        <v>0</v>
      </c>
      <c r="AF19">
        <v>1</v>
      </c>
      <c r="AG19" s="28">
        <v>47</v>
      </c>
      <c r="AH19">
        <v>2</v>
      </c>
      <c r="AI19">
        <v>1</v>
      </c>
      <c r="AJ19" s="28">
        <v>7</v>
      </c>
      <c r="AK19">
        <v>0</v>
      </c>
      <c r="AL19" s="34">
        <v>0</v>
      </c>
    </row>
    <row r="20" spans="1:38" ht="15.75" thickBot="1" x14ac:dyDescent="0.3">
      <c r="A20" s="2" t="s">
        <v>90</v>
      </c>
      <c r="B20" s="7">
        <v>0.57291666666666663</v>
      </c>
      <c r="C20" s="31">
        <v>15</v>
      </c>
      <c r="D20">
        <v>2</v>
      </c>
      <c r="E20">
        <v>0</v>
      </c>
      <c r="F20" s="28">
        <v>81</v>
      </c>
      <c r="G20">
        <v>3</v>
      </c>
      <c r="H20">
        <v>3</v>
      </c>
      <c r="I20" s="28">
        <v>6</v>
      </c>
      <c r="J20">
        <v>0</v>
      </c>
      <c r="K20">
        <v>0</v>
      </c>
      <c r="L20" s="31">
        <v>7</v>
      </c>
      <c r="M20">
        <v>0</v>
      </c>
      <c r="N20">
        <v>0</v>
      </c>
      <c r="O20" s="28">
        <v>40</v>
      </c>
      <c r="P20">
        <v>0</v>
      </c>
      <c r="Q20">
        <v>1</v>
      </c>
      <c r="R20" s="28">
        <v>14</v>
      </c>
      <c r="S20">
        <v>3</v>
      </c>
      <c r="T20">
        <v>1</v>
      </c>
      <c r="U20" s="31">
        <v>7</v>
      </c>
      <c r="V20">
        <v>1</v>
      </c>
      <c r="W20">
        <v>1</v>
      </c>
      <c r="X20" s="28">
        <v>142</v>
      </c>
      <c r="Y20">
        <v>5</v>
      </c>
      <c r="Z20">
        <v>0</v>
      </c>
      <c r="AA20" s="28">
        <v>20</v>
      </c>
      <c r="AB20">
        <v>0</v>
      </c>
      <c r="AC20">
        <v>0</v>
      </c>
      <c r="AD20" s="31">
        <v>13</v>
      </c>
      <c r="AE20">
        <v>1</v>
      </c>
      <c r="AF20">
        <v>0</v>
      </c>
      <c r="AG20" s="28">
        <v>41</v>
      </c>
      <c r="AH20">
        <v>3</v>
      </c>
      <c r="AI20">
        <v>2</v>
      </c>
      <c r="AJ20" s="28">
        <v>8</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20</v>
      </c>
      <c r="D22">
        <v>0</v>
      </c>
      <c r="E22">
        <v>1</v>
      </c>
      <c r="F22" s="28">
        <v>93</v>
      </c>
      <c r="G22">
        <v>0</v>
      </c>
      <c r="H22">
        <v>7</v>
      </c>
      <c r="I22" s="28">
        <v>9</v>
      </c>
      <c r="J22">
        <v>0</v>
      </c>
      <c r="K22">
        <v>0</v>
      </c>
      <c r="L22" s="31">
        <v>7</v>
      </c>
      <c r="M22">
        <v>0</v>
      </c>
      <c r="N22">
        <v>0</v>
      </c>
      <c r="O22" s="28">
        <v>47</v>
      </c>
      <c r="P22">
        <v>0</v>
      </c>
      <c r="Q22">
        <v>0</v>
      </c>
      <c r="R22" s="28">
        <v>24</v>
      </c>
      <c r="S22">
        <v>1</v>
      </c>
      <c r="T22">
        <v>0</v>
      </c>
      <c r="U22" s="31">
        <v>10</v>
      </c>
      <c r="V22">
        <v>1</v>
      </c>
      <c r="W22">
        <v>0</v>
      </c>
      <c r="X22" s="28">
        <v>168</v>
      </c>
      <c r="Y22">
        <v>3</v>
      </c>
      <c r="Z22">
        <v>2</v>
      </c>
      <c r="AA22" s="28">
        <v>20</v>
      </c>
      <c r="AB22">
        <v>1</v>
      </c>
      <c r="AC22">
        <v>0</v>
      </c>
      <c r="AD22" s="31">
        <v>19</v>
      </c>
      <c r="AE22">
        <v>0</v>
      </c>
      <c r="AF22">
        <v>0</v>
      </c>
      <c r="AG22" s="28">
        <v>75</v>
      </c>
      <c r="AH22">
        <v>1</v>
      </c>
      <c r="AI22">
        <v>2</v>
      </c>
      <c r="AJ22" s="28">
        <v>13</v>
      </c>
      <c r="AK22">
        <v>0</v>
      </c>
      <c r="AL22" s="34">
        <v>0</v>
      </c>
    </row>
    <row r="23" spans="1:38" x14ac:dyDescent="0.25">
      <c r="A23" s="2" t="s">
        <v>44</v>
      </c>
      <c r="B23" s="7">
        <v>0.67708333333333337</v>
      </c>
      <c r="C23" s="31">
        <v>28</v>
      </c>
      <c r="D23">
        <v>0</v>
      </c>
      <c r="E23">
        <v>0</v>
      </c>
      <c r="F23" s="28">
        <v>78</v>
      </c>
      <c r="G23">
        <v>0</v>
      </c>
      <c r="H23">
        <v>5</v>
      </c>
      <c r="I23" s="28">
        <v>16</v>
      </c>
      <c r="J23">
        <v>0</v>
      </c>
      <c r="K23">
        <v>0</v>
      </c>
      <c r="L23" s="31">
        <v>3</v>
      </c>
      <c r="M23">
        <v>0</v>
      </c>
      <c r="N23">
        <v>0</v>
      </c>
      <c r="O23" s="28">
        <v>28</v>
      </c>
      <c r="P23">
        <v>1</v>
      </c>
      <c r="Q23">
        <v>0</v>
      </c>
      <c r="R23" s="28">
        <v>26</v>
      </c>
      <c r="S23">
        <v>0</v>
      </c>
      <c r="T23">
        <v>0</v>
      </c>
      <c r="U23" s="31">
        <v>5</v>
      </c>
      <c r="V23">
        <v>2</v>
      </c>
      <c r="W23">
        <v>0</v>
      </c>
      <c r="X23" s="28">
        <v>173</v>
      </c>
      <c r="Y23">
        <v>2</v>
      </c>
      <c r="Z23">
        <v>2</v>
      </c>
      <c r="AA23" s="28">
        <v>15</v>
      </c>
      <c r="AB23">
        <v>0</v>
      </c>
      <c r="AC23">
        <v>0</v>
      </c>
      <c r="AD23" s="31">
        <v>20</v>
      </c>
      <c r="AE23">
        <v>1</v>
      </c>
      <c r="AF23">
        <v>0</v>
      </c>
      <c r="AG23" s="28">
        <v>78</v>
      </c>
      <c r="AH23">
        <v>1</v>
      </c>
      <c r="AI23">
        <v>1</v>
      </c>
      <c r="AJ23" s="28">
        <v>6</v>
      </c>
      <c r="AK23">
        <v>0</v>
      </c>
      <c r="AL23" s="34">
        <v>0</v>
      </c>
    </row>
    <row r="24" spans="1:38" x14ac:dyDescent="0.25">
      <c r="A24" s="2" t="s">
        <v>44</v>
      </c>
      <c r="B24" s="7">
        <v>0.6875</v>
      </c>
      <c r="C24" s="31">
        <v>20</v>
      </c>
      <c r="D24">
        <v>0</v>
      </c>
      <c r="E24">
        <v>0</v>
      </c>
      <c r="F24" s="28">
        <v>79</v>
      </c>
      <c r="G24">
        <v>2</v>
      </c>
      <c r="H24">
        <v>0</v>
      </c>
      <c r="I24" s="28">
        <v>9</v>
      </c>
      <c r="J24">
        <v>0</v>
      </c>
      <c r="K24">
        <v>0</v>
      </c>
      <c r="L24" s="31">
        <v>7</v>
      </c>
      <c r="M24">
        <v>0</v>
      </c>
      <c r="N24">
        <v>0</v>
      </c>
      <c r="O24" s="28">
        <v>47</v>
      </c>
      <c r="P24">
        <v>0</v>
      </c>
      <c r="Q24">
        <v>0</v>
      </c>
      <c r="R24" s="28">
        <v>25</v>
      </c>
      <c r="S24">
        <v>0</v>
      </c>
      <c r="T24">
        <v>2</v>
      </c>
      <c r="U24" s="31">
        <v>0</v>
      </c>
      <c r="V24">
        <v>0</v>
      </c>
      <c r="W24">
        <v>0</v>
      </c>
      <c r="X24" s="28">
        <v>169</v>
      </c>
      <c r="Y24">
        <v>2</v>
      </c>
      <c r="Z24">
        <v>3</v>
      </c>
      <c r="AA24" s="28">
        <v>26</v>
      </c>
      <c r="AB24">
        <v>0</v>
      </c>
      <c r="AC24">
        <v>0</v>
      </c>
      <c r="AD24" s="31">
        <v>24</v>
      </c>
      <c r="AE24">
        <v>0</v>
      </c>
      <c r="AF24">
        <v>0</v>
      </c>
      <c r="AG24" s="28">
        <v>95</v>
      </c>
      <c r="AH24">
        <v>1</v>
      </c>
      <c r="AI24">
        <v>5</v>
      </c>
      <c r="AJ24" s="28">
        <v>6</v>
      </c>
      <c r="AK24">
        <v>0</v>
      </c>
      <c r="AL24" s="34">
        <v>0</v>
      </c>
    </row>
    <row r="25" spans="1:38" x14ac:dyDescent="0.25">
      <c r="A25" s="2" t="s">
        <v>44</v>
      </c>
      <c r="B25" s="7">
        <v>0.69791666666666663</v>
      </c>
      <c r="C25" s="31">
        <v>15</v>
      </c>
      <c r="D25">
        <v>0</v>
      </c>
      <c r="E25">
        <v>0</v>
      </c>
      <c r="F25" s="28">
        <v>64</v>
      </c>
      <c r="G25">
        <v>2</v>
      </c>
      <c r="H25">
        <v>7</v>
      </c>
      <c r="I25" s="28">
        <v>7</v>
      </c>
      <c r="J25">
        <v>0</v>
      </c>
      <c r="K25">
        <v>0</v>
      </c>
      <c r="L25" s="31">
        <v>7</v>
      </c>
      <c r="M25">
        <v>0</v>
      </c>
      <c r="N25">
        <v>0</v>
      </c>
      <c r="O25" s="28">
        <v>40</v>
      </c>
      <c r="P25">
        <v>1</v>
      </c>
      <c r="Q25">
        <v>0</v>
      </c>
      <c r="R25" s="28">
        <v>24</v>
      </c>
      <c r="S25">
        <v>0</v>
      </c>
      <c r="T25">
        <v>2</v>
      </c>
      <c r="U25" s="31">
        <v>1</v>
      </c>
      <c r="V25">
        <v>0</v>
      </c>
      <c r="W25">
        <v>0</v>
      </c>
      <c r="X25" s="28">
        <v>166</v>
      </c>
      <c r="Y25">
        <v>1</v>
      </c>
      <c r="Z25">
        <v>2</v>
      </c>
      <c r="AA25" s="28">
        <v>29</v>
      </c>
      <c r="AB25">
        <v>1</v>
      </c>
      <c r="AC25">
        <v>0</v>
      </c>
      <c r="AD25" s="31">
        <v>22</v>
      </c>
      <c r="AE25">
        <v>0</v>
      </c>
      <c r="AF25">
        <v>0</v>
      </c>
      <c r="AG25" s="28">
        <v>68</v>
      </c>
      <c r="AH25">
        <v>0</v>
      </c>
      <c r="AI25">
        <v>1</v>
      </c>
      <c r="AJ25" s="28">
        <v>5</v>
      </c>
      <c r="AK25">
        <v>0</v>
      </c>
      <c r="AL25" s="34">
        <v>0</v>
      </c>
    </row>
    <row r="26" spans="1:38" x14ac:dyDescent="0.25">
      <c r="A26" s="2" t="s">
        <v>44</v>
      </c>
      <c r="B26" s="7">
        <v>0.70833333333333337</v>
      </c>
      <c r="C26" s="31">
        <v>7</v>
      </c>
      <c r="D26">
        <v>0</v>
      </c>
      <c r="E26">
        <v>0</v>
      </c>
      <c r="F26" s="28">
        <v>54</v>
      </c>
      <c r="G26">
        <v>1</v>
      </c>
      <c r="H26">
        <v>2</v>
      </c>
      <c r="I26" s="28">
        <v>3</v>
      </c>
      <c r="J26">
        <v>0</v>
      </c>
      <c r="K26">
        <v>0</v>
      </c>
      <c r="L26" s="31">
        <v>6</v>
      </c>
      <c r="M26">
        <v>0</v>
      </c>
      <c r="N26">
        <v>0</v>
      </c>
      <c r="O26" s="28">
        <v>34</v>
      </c>
      <c r="P26">
        <v>1</v>
      </c>
      <c r="Q26">
        <v>1</v>
      </c>
      <c r="R26" s="28">
        <v>14</v>
      </c>
      <c r="S26">
        <v>1</v>
      </c>
      <c r="T26">
        <v>0</v>
      </c>
      <c r="U26" s="31">
        <v>6</v>
      </c>
      <c r="V26">
        <v>0</v>
      </c>
      <c r="W26">
        <v>0</v>
      </c>
      <c r="X26" s="28">
        <v>155</v>
      </c>
      <c r="Y26">
        <v>2</v>
      </c>
      <c r="Z26">
        <v>5</v>
      </c>
      <c r="AA26" s="28">
        <v>19</v>
      </c>
      <c r="AB26">
        <v>0</v>
      </c>
      <c r="AC26">
        <v>0</v>
      </c>
      <c r="AD26" s="31">
        <v>28</v>
      </c>
      <c r="AE26">
        <v>0</v>
      </c>
      <c r="AF26">
        <v>0</v>
      </c>
      <c r="AG26" s="28">
        <v>98</v>
      </c>
      <c r="AH26">
        <v>0</v>
      </c>
      <c r="AI26">
        <v>0</v>
      </c>
      <c r="AJ26" s="28">
        <v>5</v>
      </c>
      <c r="AK26">
        <v>0</v>
      </c>
      <c r="AL26" s="34">
        <v>0</v>
      </c>
    </row>
    <row r="27" spans="1:38" x14ac:dyDescent="0.25">
      <c r="A27" s="2" t="s">
        <v>44</v>
      </c>
      <c r="B27" s="7">
        <v>0.71875</v>
      </c>
      <c r="C27" s="31">
        <v>3</v>
      </c>
      <c r="D27">
        <v>0</v>
      </c>
      <c r="E27">
        <v>0</v>
      </c>
      <c r="F27" s="28">
        <v>46</v>
      </c>
      <c r="G27">
        <v>1</v>
      </c>
      <c r="H27">
        <v>5</v>
      </c>
      <c r="I27" s="28">
        <v>8</v>
      </c>
      <c r="J27">
        <v>0</v>
      </c>
      <c r="K27">
        <v>0</v>
      </c>
      <c r="L27" s="31">
        <v>5</v>
      </c>
      <c r="M27">
        <v>0</v>
      </c>
      <c r="N27">
        <v>0</v>
      </c>
      <c r="O27" s="28">
        <v>37</v>
      </c>
      <c r="P27">
        <v>0</v>
      </c>
      <c r="Q27">
        <v>0</v>
      </c>
      <c r="R27" s="28">
        <v>12</v>
      </c>
      <c r="S27">
        <v>0</v>
      </c>
      <c r="T27">
        <v>0</v>
      </c>
      <c r="U27" s="31">
        <v>1</v>
      </c>
      <c r="V27">
        <v>0</v>
      </c>
      <c r="W27">
        <v>0</v>
      </c>
      <c r="X27" s="28">
        <v>156</v>
      </c>
      <c r="Y27">
        <v>4</v>
      </c>
      <c r="Z27">
        <v>4</v>
      </c>
      <c r="AA27" s="28">
        <v>23</v>
      </c>
      <c r="AB27">
        <v>2</v>
      </c>
      <c r="AC27">
        <v>0</v>
      </c>
      <c r="AD27" s="31">
        <v>14</v>
      </c>
      <c r="AE27">
        <v>0</v>
      </c>
      <c r="AF27">
        <v>0</v>
      </c>
      <c r="AG27" s="28">
        <v>79</v>
      </c>
      <c r="AH27">
        <v>2</v>
      </c>
      <c r="AI27">
        <v>4</v>
      </c>
      <c r="AJ27" s="28">
        <v>3</v>
      </c>
      <c r="AK27">
        <v>0</v>
      </c>
      <c r="AL27" s="34">
        <v>1</v>
      </c>
    </row>
    <row r="28" spans="1:38" x14ac:dyDescent="0.25">
      <c r="A28" s="2" t="s">
        <v>44</v>
      </c>
      <c r="B28" s="7">
        <v>0.72916666666666663</v>
      </c>
      <c r="C28" s="31">
        <v>7</v>
      </c>
      <c r="D28">
        <v>0</v>
      </c>
      <c r="E28">
        <v>0</v>
      </c>
      <c r="F28" s="28">
        <v>82</v>
      </c>
      <c r="G28">
        <v>2</v>
      </c>
      <c r="H28">
        <v>5</v>
      </c>
      <c r="I28" s="28">
        <v>3</v>
      </c>
      <c r="J28">
        <v>0</v>
      </c>
      <c r="K28">
        <v>0</v>
      </c>
      <c r="L28" s="31">
        <v>6</v>
      </c>
      <c r="M28">
        <v>0</v>
      </c>
      <c r="N28">
        <v>0</v>
      </c>
      <c r="O28" s="28">
        <v>35</v>
      </c>
      <c r="P28">
        <v>0</v>
      </c>
      <c r="Q28">
        <v>1</v>
      </c>
      <c r="R28" s="28">
        <v>9</v>
      </c>
      <c r="S28">
        <v>0</v>
      </c>
      <c r="T28">
        <v>0</v>
      </c>
      <c r="U28" s="31">
        <v>2</v>
      </c>
      <c r="V28">
        <v>0</v>
      </c>
      <c r="W28">
        <v>0</v>
      </c>
      <c r="X28" s="28">
        <v>137</v>
      </c>
      <c r="Y28">
        <v>0</v>
      </c>
      <c r="Z28">
        <v>2</v>
      </c>
      <c r="AA28" s="28">
        <v>24</v>
      </c>
      <c r="AB28">
        <v>1</v>
      </c>
      <c r="AC28">
        <v>0</v>
      </c>
      <c r="AD28" s="31">
        <v>10</v>
      </c>
      <c r="AE28">
        <v>0</v>
      </c>
      <c r="AF28">
        <v>0</v>
      </c>
      <c r="AG28" s="28">
        <v>60</v>
      </c>
      <c r="AH28">
        <v>0</v>
      </c>
      <c r="AI28">
        <v>2</v>
      </c>
      <c r="AJ28" s="28">
        <v>3</v>
      </c>
      <c r="AK28">
        <v>0</v>
      </c>
      <c r="AL28" s="34">
        <v>0</v>
      </c>
    </row>
    <row r="29" spans="1:38" ht="15.75" thickBot="1" x14ac:dyDescent="0.3">
      <c r="A29" s="21" t="s">
        <v>44</v>
      </c>
      <c r="B29" s="48">
        <v>0.73958333333333337</v>
      </c>
      <c r="C29" s="39">
        <v>12</v>
      </c>
      <c r="D29" s="38">
        <v>0</v>
      </c>
      <c r="E29" s="38">
        <v>0</v>
      </c>
      <c r="F29" s="40">
        <v>84</v>
      </c>
      <c r="G29" s="38">
        <v>0</v>
      </c>
      <c r="H29" s="38">
        <v>5</v>
      </c>
      <c r="I29" s="40">
        <v>3</v>
      </c>
      <c r="J29" s="38">
        <v>0</v>
      </c>
      <c r="K29" s="38">
        <v>0</v>
      </c>
      <c r="L29" s="39">
        <v>2</v>
      </c>
      <c r="M29" s="38">
        <v>0</v>
      </c>
      <c r="N29" s="38">
        <v>0</v>
      </c>
      <c r="O29" s="40">
        <v>16</v>
      </c>
      <c r="P29" s="38">
        <v>0</v>
      </c>
      <c r="Q29" s="38">
        <v>0</v>
      </c>
      <c r="R29" s="40">
        <v>12</v>
      </c>
      <c r="S29" s="38">
        <v>0</v>
      </c>
      <c r="T29" s="38">
        <v>0</v>
      </c>
      <c r="U29" s="39">
        <v>1</v>
      </c>
      <c r="V29" s="38">
        <v>0</v>
      </c>
      <c r="W29" s="38">
        <v>0</v>
      </c>
      <c r="X29" s="40">
        <v>157</v>
      </c>
      <c r="Y29" s="38">
        <v>3</v>
      </c>
      <c r="Z29" s="38">
        <v>0</v>
      </c>
      <c r="AA29" s="40">
        <v>18</v>
      </c>
      <c r="AB29" s="38">
        <v>0</v>
      </c>
      <c r="AC29" s="38">
        <v>0</v>
      </c>
      <c r="AD29" s="39">
        <v>16</v>
      </c>
      <c r="AE29" s="38">
        <v>0</v>
      </c>
      <c r="AF29" s="38">
        <v>0</v>
      </c>
      <c r="AG29" s="40">
        <v>40</v>
      </c>
      <c r="AH29" s="38">
        <v>1</v>
      </c>
      <c r="AI29" s="38">
        <v>1</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7</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12</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8</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16</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12</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90</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90</v>
      </c>
      <c r="F11" s="6">
        <v>0.55208333333333337</v>
      </c>
      <c r="G11">
        <v>16</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90</v>
      </c>
      <c r="F12" s="6">
        <v>0.5625</v>
      </c>
      <c r="G12">
        <v>15</v>
      </c>
      <c r="H12" s="6">
        <f>FLOOR(tblPivotData[[#This Row],[Time]],Summary!$B$6/1440)</f>
        <v>0.5625</v>
      </c>
      <c r="I12" s="49">
        <f>INDEX(PeakCalc!$L$10:$L$303,MATCH(tblPivotData[[#This Row],[Time]],PeakCalc!$G$10:$G$303,0))</f>
        <v>1</v>
      </c>
    </row>
    <row r="13" spans="1:9" x14ac:dyDescent="0.25">
      <c r="A13" t="s">
        <v>93</v>
      </c>
      <c r="B13" t="s">
        <v>97</v>
      </c>
      <c r="C13" t="s">
        <v>94</v>
      </c>
      <c r="D13" t="s">
        <v>79</v>
      </c>
      <c r="E13" t="s">
        <v>90</v>
      </c>
      <c r="F13" s="6">
        <v>0.57291666666666663</v>
      </c>
      <c r="G13">
        <v>15</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20</v>
      </c>
      <c r="H14" s="6">
        <f>FLOOR(tblPivotData[[#This Row],[Time]],Summary!$B$6/1440)</f>
        <v>0.66666666666666663</v>
      </c>
      <c r="I14" s="49">
        <f>INDEX(PeakCalc!$L$10:$L$303,MATCH(tblPivotData[[#This Row],[Time]],PeakCalc!$G$10:$G$303,0))</f>
        <v>1</v>
      </c>
    </row>
    <row r="15" spans="1:9" x14ac:dyDescent="0.25">
      <c r="A15" t="s">
        <v>93</v>
      </c>
      <c r="B15" t="s">
        <v>97</v>
      </c>
      <c r="C15" t="s">
        <v>94</v>
      </c>
      <c r="D15" t="s">
        <v>79</v>
      </c>
      <c r="E15" t="s">
        <v>44</v>
      </c>
      <c r="F15" s="6">
        <v>0.67708333333333337</v>
      </c>
      <c r="G15">
        <v>28</v>
      </c>
      <c r="H15" s="6">
        <f>FLOOR(tblPivotData[[#This Row],[Time]],Summary!$B$6/1440)</f>
        <v>0.67708333333333326</v>
      </c>
      <c r="I15" s="49">
        <f>INDEX(PeakCalc!$L$10:$L$303,MATCH(tblPivotData[[#This Row],[Time]],PeakCalc!$G$10:$G$303,0))</f>
        <v>1</v>
      </c>
    </row>
    <row r="16" spans="1:9" x14ac:dyDescent="0.25">
      <c r="A16" t="s">
        <v>93</v>
      </c>
      <c r="B16" t="s">
        <v>97</v>
      </c>
      <c r="C16" t="s">
        <v>94</v>
      </c>
      <c r="D16" t="s">
        <v>79</v>
      </c>
      <c r="E16" t="s">
        <v>44</v>
      </c>
      <c r="F16" s="6">
        <v>0.6875</v>
      </c>
      <c r="G16">
        <v>20</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15</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7</v>
      </c>
      <c r="H18" s="6">
        <f>FLOOR(tblPivotData[[#This Row],[Time]],Summary!$B$6/1440)</f>
        <v>0.70833333333333326</v>
      </c>
      <c r="I18" s="49">
        <f>INDEX(PeakCalc!$L$10:$L$303,MATCH(tblPivotData[[#This Row],[Time]],PeakCalc!$G$10:$G$303,0))</f>
        <v>0</v>
      </c>
    </row>
    <row r="19" spans="1:9" x14ac:dyDescent="0.25">
      <c r="A19" t="s">
        <v>93</v>
      </c>
      <c r="B19" t="s">
        <v>97</v>
      </c>
      <c r="C19" t="s">
        <v>94</v>
      </c>
      <c r="D19" t="s">
        <v>79</v>
      </c>
      <c r="E19" t="s">
        <v>44</v>
      </c>
      <c r="F19" s="6">
        <v>0.71875</v>
      </c>
      <c r="G19">
        <v>3</v>
      </c>
      <c r="H19" s="6">
        <f>FLOOR(tblPivotData[[#This Row],[Time]],Summary!$B$6/1440)</f>
        <v>0.71875</v>
      </c>
      <c r="I19" s="49">
        <f>INDEX(PeakCalc!$L$10:$L$303,MATCH(tblPivotData[[#This Row],[Time]],PeakCalc!$G$10:$G$303,0))</f>
        <v>0</v>
      </c>
    </row>
    <row r="20" spans="1:9" x14ac:dyDescent="0.25">
      <c r="A20" t="s">
        <v>93</v>
      </c>
      <c r="B20" t="s">
        <v>97</v>
      </c>
      <c r="C20" t="s">
        <v>94</v>
      </c>
      <c r="D20" t="s">
        <v>79</v>
      </c>
      <c r="E20" t="s">
        <v>44</v>
      </c>
      <c r="F20" s="6">
        <v>0.72916666666666663</v>
      </c>
      <c r="G20">
        <v>7</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12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90</v>
      </c>
      <c r="F32" s="6">
        <v>0.5625</v>
      </c>
      <c r="G32">
        <v>4</v>
      </c>
      <c r="H32" s="6">
        <f>FLOOR(tblPivotData[[#This Row],[Time]],Summary!$B$6/1440)</f>
        <v>0.5625</v>
      </c>
      <c r="I32" s="49">
        <f>INDEX(PeakCalc!$L$10:$L$303,MATCH(tblPivotData[[#This Row],[Time]],PeakCalc!$G$10:$G$303,0))</f>
        <v>1</v>
      </c>
    </row>
    <row r="33" spans="1:9" x14ac:dyDescent="0.25">
      <c r="A33" t="s">
        <v>93</v>
      </c>
      <c r="B33" t="s">
        <v>97</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1</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0</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97</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91</v>
      </c>
      <c r="E54" t="s">
        <v>44</v>
      </c>
      <c r="F54" s="6">
        <v>0.66666666666666663</v>
      </c>
      <c r="G54">
        <v>1</v>
      </c>
      <c r="H54" s="6">
        <f>FLOOR(tblPivotData[[#This Row],[Time]],Summary!$B$6/1440)</f>
        <v>0.66666666666666663</v>
      </c>
      <c r="I54" s="49">
        <f>INDEX(PeakCalc!$L$10:$L$303,MATCH(tblPivotData[[#This Row],[Time]],PeakCalc!$G$10:$G$303,0))</f>
        <v>1</v>
      </c>
    </row>
    <row r="55" spans="1:9" x14ac:dyDescent="0.25">
      <c r="A55" t="s">
        <v>93</v>
      </c>
      <c r="B55" t="s">
        <v>97</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97</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91</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93</v>
      </c>
      <c r="B59" t="s">
        <v>97</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97</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47</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70</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67</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62</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65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57</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48</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67</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90</v>
      </c>
      <c r="F70" s="6">
        <v>0.54166666666666663</v>
      </c>
      <c r="G70">
        <v>94</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90</v>
      </c>
      <c r="F71" s="6">
        <v>0.55208333333333337</v>
      </c>
      <c r="G71">
        <v>71</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90</v>
      </c>
      <c r="F72" s="6">
        <v>0.5625</v>
      </c>
      <c r="G72">
        <v>62</v>
      </c>
      <c r="H72" s="6">
        <f>FLOOR(tblPivotData[[#This Row],[Time]],Summary!$B$6/1440)</f>
        <v>0.5625</v>
      </c>
      <c r="I72" s="49">
        <f>INDEX(PeakCalc!$L$10:$L$303,MATCH(tblPivotData[[#This Row],[Time]],PeakCalc!$G$10:$G$303,0))</f>
        <v>1</v>
      </c>
    </row>
    <row r="73" spans="1:9" x14ac:dyDescent="0.25">
      <c r="A73" t="s">
        <v>93</v>
      </c>
      <c r="B73" t="s">
        <v>98</v>
      </c>
      <c r="C73" t="s">
        <v>95</v>
      </c>
      <c r="D73" t="s">
        <v>79</v>
      </c>
      <c r="E73" t="s">
        <v>90</v>
      </c>
      <c r="F73" s="6">
        <v>0.57291666666666663</v>
      </c>
      <c r="G73">
        <v>81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93</v>
      </c>
      <c r="H74" s="6">
        <f>FLOOR(tblPivotData[[#This Row],[Time]],Summary!$B$6/1440)</f>
        <v>0.66666666666666663</v>
      </c>
      <c r="I74" s="49">
        <f>INDEX(PeakCalc!$L$10:$L$303,MATCH(tblPivotData[[#This Row],[Time]],PeakCalc!$G$10:$G$303,0))</f>
        <v>1</v>
      </c>
    </row>
    <row r="75" spans="1:9" x14ac:dyDescent="0.25">
      <c r="A75" t="s">
        <v>93</v>
      </c>
      <c r="B75" t="s">
        <v>98</v>
      </c>
      <c r="C75" t="s">
        <v>95</v>
      </c>
      <c r="D75" t="s">
        <v>79</v>
      </c>
      <c r="E75" t="s">
        <v>44</v>
      </c>
      <c r="F75" s="6">
        <v>0.67708333333333337</v>
      </c>
      <c r="G75">
        <v>78</v>
      </c>
      <c r="H75" s="6">
        <f>FLOOR(tblPivotData[[#This Row],[Time]],Summary!$B$6/1440)</f>
        <v>0.67708333333333326</v>
      </c>
      <c r="I75" s="49">
        <f>INDEX(PeakCalc!$L$10:$L$303,MATCH(tblPivotData[[#This Row],[Time]],PeakCalc!$G$10:$G$303,0))</f>
        <v>1</v>
      </c>
    </row>
    <row r="76" spans="1:9" x14ac:dyDescent="0.25">
      <c r="A76" t="s">
        <v>93</v>
      </c>
      <c r="B76" t="s">
        <v>98</v>
      </c>
      <c r="C76" t="s">
        <v>95</v>
      </c>
      <c r="D76" t="s">
        <v>79</v>
      </c>
      <c r="E76" t="s">
        <v>44</v>
      </c>
      <c r="F76" s="6">
        <v>0.6875</v>
      </c>
      <c r="G76">
        <v>79</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64</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54</v>
      </c>
      <c r="H78" s="6">
        <f>FLOOR(tblPivotData[[#This Row],[Time]],Summary!$B$6/1440)</f>
        <v>0.70833333333333326</v>
      </c>
      <c r="I78" s="49">
        <f>INDEX(PeakCalc!$L$10:$L$303,MATCH(tblPivotData[[#This Row],[Time]],PeakCalc!$G$10:$G$303,0))</f>
        <v>0</v>
      </c>
    </row>
    <row r="79" spans="1:9" x14ac:dyDescent="0.25">
      <c r="A79" t="s">
        <v>93</v>
      </c>
      <c r="B79" t="s">
        <v>98</v>
      </c>
      <c r="C79" t="s">
        <v>95</v>
      </c>
      <c r="D79" t="s">
        <v>79</v>
      </c>
      <c r="E79" t="s">
        <v>44</v>
      </c>
      <c r="F79" s="6">
        <v>0.71875</v>
      </c>
      <c r="G79">
        <v>46</v>
      </c>
      <c r="H79" s="6">
        <f>FLOOR(tblPivotData[[#This Row],[Time]],Summary!$B$6/1440)</f>
        <v>0.71875</v>
      </c>
      <c r="I79" s="49">
        <f>INDEX(PeakCalc!$L$10:$L$303,MATCH(tblPivotData[[#This Row],[Time]],PeakCalc!$G$10:$G$303,0))</f>
        <v>0</v>
      </c>
    </row>
    <row r="80" spans="1:9" x14ac:dyDescent="0.25">
      <c r="A80" t="s">
        <v>93</v>
      </c>
      <c r="B80" t="s">
        <v>98</v>
      </c>
      <c r="C80" t="s">
        <v>95</v>
      </c>
      <c r="D80" t="s">
        <v>79</v>
      </c>
      <c r="E80" t="s">
        <v>44</v>
      </c>
      <c r="F80" s="6">
        <v>0.72916666666666663</v>
      </c>
      <c r="G80">
        <v>82</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84</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3</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3</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90</v>
      </c>
      <c r="F90" s="6">
        <v>0.54166666666666663</v>
      </c>
      <c r="G90">
        <v>7</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90</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90</v>
      </c>
      <c r="F92" s="6">
        <v>0.5625</v>
      </c>
      <c r="G92">
        <v>5</v>
      </c>
      <c r="H92" s="6">
        <f>FLOOR(tblPivotData[[#This Row],[Time]],Summary!$B$6/1440)</f>
        <v>0.5625</v>
      </c>
      <c r="I92" s="49">
        <f>INDEX(PeakCalc!$L$10:$L$303,MATCH(tblPivotData[[#This Row],[Time]],PeakCalc!$G$10:$G$303,0))</f>
        <v>1</v>
      </c>
    </row>
    <row r="93" spans="1:9" x14ac:dyDescent="0.25">
      <c r="A93" t="s">
        <v>93</v>
      </c>
      <c r="B93" t="s">
        <v>98</v>
      </c>
      <c r="C93" t="s">
        <v>95</v>
      </c>
      <c r="D93" t="s">
        <v>89</v>
      </c>
      <c r="E93" t="s">
        <v>90</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1</v>
      </c>
    </row>
    <row r="95" spans="1:9" x14ac:dyDescent="0.25">
      <c r="A95" t="s">
        <v>93</v>
      </c>
      <c r="B95" t="s">
        <v>98</v>
      </c>
      <c r="C95" t="s">
        <v>95</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93</v>
      </c>
      <c r="B96" t="s">
        <v>98</v>
      </c>
      <c r="C96" t="s">
        <v>95</v>
      </c>
      <c r="D96" t="s">
        <v>89</v>
      </c>
      <c r="E96" t="s">
        <v>44</v>
      </c>
      <c r="F96" s="6">
        <v>0.6875</v>
      </c>
      <c r="G96">
        <v>2</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0</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98</v>
      </c>
      <c r="C100" t="s">
        <v>95</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91</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91</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91</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95</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98</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91</v>
      </c>
      <c r="E107" t="s">
        <v>43</v>
      </c>
      <c r="F107" s="6">
        <v>0.34375</v>
      </c>
      <c r="G107">
        <v>1</v>
      </c>
      <c r="H107" s="6">
        <f>FLOOR(tblPivotData[[#This Row],[Time]],Summary!$B$6/1440)</f>
        <v>0.34375</v>
      </c>
      <c r="I107" s="49">
        <f>INDEX(PeakCalc!$L$10:$L$303,MATCH(tblPivotData[[#This Row],[Time]],PeakCalc!$G$10:$G$303,0))</f>
        <v>1</v>
      </c>
    </row>
    <row r="108" spans="1:9" x14ac:dyDescent="0.25">
      <c r="A108" t="s">
        <v>93</v>
      </c>
      <c r="B108" t="s">
        <v>98</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98</v>
      </c>
      <c r="C110" t="s">
        <v>95</v>
      </c>
      <c r="D110" t="s">
        <v>91</v>
      </c>
      <c r="E110" t="s">
        <v>90</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91</v>
      </c>
      <c r="E112" t="s">
        <v>90</v>
      </c>
      <c r="F112" s="6">
        <v>0.5625</v>
      </c>
      <c r="G112">
        <v>1</v>
      </c>
      <c r="H112" s="6">
        <f>FLOOR(tblPivotData[[#This Row],[Time]],Summary!$B$6/1440)</f>
        <v>0.5625</v>
      </c>
      <c r="I112" s="49">
        <f>INDEX(PeakCalc!$L$10:$L$303,MATCH(tblPivotData[[#This Row],[Time]],PeakCalc!$G$10:$G$303,0))</f>
        <v>1</v>
      </c>
    </row>
    <row r="113" spans="1:9" x14ac:dyDescent="0.25">
      <c r="A113" t="s">
        <v>93</v>
      </c>
      <c r="B113" t="s">
        <v>98</v>
      </c>
      <c r="C113" t="s">
        <v>95</v>
      </c>
      <c r="D113" t="s">
        <v>91</v>
      </c>
      <c r="E113" t="s">
        <v>90</v>
      </c>
      <c r="F113" s="6">
        <v>0.57291666666666663</v>
      </c>
      <c r="G113">
        <v>3</v>
      </c>
      <c r="H113" s="6">
        <f>FLOOR(tblPivotData[[#This Row],[Time]],Summary!$B$6/1440)</f>
        <v>0.57291666666666663</v>
      </c>
      <c r="I113" s="49">
        <f>INDEX(PeakCalc!$L$10:$L$303,MATCH(tblPivotData[[#This Row],[Time]],PeakCalc!$G$10:$G$303,0))</f>
        <v>1</v>
      </c>
    </row>
    <row r="114" spans="1:9" x14ac:dyDescent="0.25">
      <c r="A114" t="s">
        <v>93</v>
      </c>
      <c r="B114" t="s">
        <v>98</v>
      </c>
      <c r="C114" t="s">
        <v>95</v>
      </c>
      <c r="D114" t="s">
        <v>91</v>
      </c>
      <c r="E114" t="s">
        <v>44</v>
      </c>
      <c r="F114" s="6">
        <v>0.66666666666666663</v>
      </c>
      <c r="G114">
        <v>7</v>
      </c>
      <c r="H114" s="6">
        <f>FLOOR(tblPivotData[[#This Row],[Time]],Summary!$B$6/1440)</f>
        <v>0.66666666666666663</v>
      </c>
      <c r="I114" s="49">
        <f>INDEX(PeakCalc!$L$10:$L$303,MATCH(tblPivotData[[#This Row],[Time]],PeakCalc!$G$10:$G$303,0))</f>
        <v>1</v>
      </c>
    </row>
    <row r="115" spans="1:9" x14ac:dyDescent="0.25">
      <c r="A115" t="s">
        <v>93</v>
      </c>
      <c r="B115" t="s">
        <v>98</v>
      </c>
      <c r="C115" t="s">
        <v>95</v>
      </c>
      <c r="D115" t="s">
        <v>91</v>
      </c>
      <c r="E115" t="s">
        <v>44</v>
      </c>
      <c r="F115" s="6">
        <v>0.67708333333333337</v>
      </c>
      <c r="G115">
        <v>5</v>
      </c>
      <c r="H115" s="6">
        <f>FLOOR(tblPivotData[[#This Row],[Time]],Summary!$B$6/1440)</f>
        <v>0.67708333333333326</v>
      </c>
      <c r="I115" s="49">
        <f>INDEX(PeakCalc!$L$10:$L$303,MATCH(tblPivotData[[#This Row],[Time]],PeakCalc!$G$10:$G$303,0))</f>
        <v>1</v>
      </c>
    </row>
    <row r="116" spans="1:9" x14ac:dyDescent="0.25">
      <c r="A116" t="s">
        <v>93</v>
      </c>
      <c r="B116" t="s">
        <v>98</v>
      </c>
      <c r="C116" t="s">
        <v>95</v>
      </c>
      <c r="D116" t="s">
        <v>91</v>
      </c>
      <c r="E116" t="s">
        <v>44</v>
      </c>
      <c r="F116" s="6">
        <v>0.6875</v>
      </c>
      <c r="G116">
        <v>0</v>
      </c>
      <c r="H116" s="6">
        <f>FLOOR(tblPivotData[[#This Row],[Time]],Summary!$B$6/1440)</f>
        <v>0.6875</v>
      </c>
      <c r="I116" s="49">
        <f>INDEX(PeakCalc!$L$10:$L$303,MATCH(tblPivotData[[#This Row],[Time]],PeakCalc!$G$10:$G$303,0))</f>
        <v>1</v>
      </c>
    </row>
    <row r="117" spans="1:9" x14ac:dyDescent="0.25">
      <c r="A117" t="s">
        <v>93</v>
      </c>
      <c r="B117" t="s">
        <v>98</v>
      </c>
      <c r="C117" t="s">
        <v>95</v>
      </c>
      <c r="D117" t="s">
        <v>91</v>
      </c>
      <c r="E117" t="s">
        <v>44</v>
      </c>
      <c r="F117" s="6">
        <v>0.69791666666666663</v>
      </c>
      <c r="G117">
        <v>7</v>
      </c>
      <c r="H117" s="6">
        <f>FLOOR(tblPivotData[[#This Row],[Time]],Summary!$B$6/1440)</f>
        <v>0.69791666666666663</v>
      </c>
      <c r="I117" s="49">
        <f>INDEX(PeakCalc!$L$10:$L$303,MATCH(tblPivotData[[#This Row],[Time]],PeakCalc!$G$10:$G$303,0))</f>
        <v>1</v>
      </c>
    </row>
    <row r="118" spans="1:9" x14ac:dyDescent="0.25">
      <c r="A118" t="s">
        <v>93</v>
      </c>
      <c r="B118" t="s">
        <v>98</v>
      </c>
      <c r="C118" t="s">
        <v>95</v>
      </c>
      <c r="D118" t="s">
        <v>91</v>
      </c>
      <c r="E118" t="s">
        <v>44</v>
      </c>
      <c r="F118" s="6">
        <v>0.70833333333333337</v>
      </c>
      <c r="G118">
        <v>2</v>
      </c>
      <c r="H118" s="6">
        <f>FLOOR(tblPivotData[[#This Row],[Time]],Summary!$B$6/1440)</f>
        <v>0.70833333333333326</v>
      </c>
      <c r="I118" s="49">
        <f>INDEX(PeakCalc!$L$10:$L$303,MATCH(tblPivotData[[#This Row],[Time]],PeakCalc!$G$10:$G$303,0))</f>
        <v>0</v>
      </c>
    </row>
    <row r="119" spans="1:9" x14ac:dyDescent="0.25">
      <c r="A119" t="s">
        <v>93</v>
      </c>
      <c r="B119" t="s">
        <v>98</v>
      </c>
      <c r="C119" t="s">
        <v>95</v>
      </c>
      <c r="D119" t="s">
        <v>91</v>
      </c>
      <c r="E119" t="s">
        <v>44</v>
      </c>
      <c r="F119" s="6">
        <v>0.71875</v>
      </c>
      <c r="G119">
        <v>5</v>
      </c>
      <c r="H119" s="6">
        <f>FLOOR(tblPivotData[[#This Row],[Time]],Summary!$B$6/1440)</f>
        <v>0.71875</v>
      </c>
      <c r="I119" s="49">
        <f>INDEX(PeakCalc!$L$10:$L$303,MATCH(tblPivotData[[#This Row],[Time]],PeakCalc!$G$10:$G$303,0))</f>
        <v>0</v>
      </c>
    </row>
    <row r="120" spans="1:9" x14ac:dyDescent="0.25">
      <c r="A120" t="s">
        <v>93</v>
      </c>
      <c r="B120" t="s">
        <v>98</v>
      </c>
      <c r="C120" t="s">
        <v>95</v>
      </c>
      <c r="D120" t="s">
        <v>91</v>
      </c>
      <c r="E120" t="s">
        <v>44</v>
      </c>
      <c r="F120" s="6">
        <v>0.72916666666666663</v>
      </c>
      <c r="G120">
        <v>5</v>
      </c>
      <c r="H120" s="6">
        <f>FLOOR(tblPivotData[[#This Row],[Time]],Summary!$B$6/1440)</f>
        <v>0.72916666666666663</v>
      </c>
      <c r="I120" s="49">
        <f>INDEX(PeakCalc!$L$10:$L$303,MATCH(tblPivotData[[#This Row],[Time]],PeakCalc!$G$10:$G$303,0))</f>
        <v>0</v>
      </c>
    </row>
    <row r="121" spans="1:9" x14ac:dyDescent="0.25">
      <c r="A121" t="s">
        <v>93</v>
      </c>
      <c r="B121" t="s">
        <v>98</v>
      </c>
      <c r="C121" t="s">
        <v>95</v>
      </c>
      <c r="D121" t="s">
        <v>91</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7</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8</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13</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10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10</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90</v>
      </c>
      <c r="F130" s="6">
        <v>0.54166666666666663</v>
      </c>
      <c r="G130">
        <v>5</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90</v>
      </c>
      <c r="F131" s="6">
        <v>0.55208333333333337</v>
      </c>
      <c r="G131">
        <v>13</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90</v>
      </c>
      <c r="F132" s="6">
        <v>0.5625</v>
      </c>
      <c r="G132">
        <v>3</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90</v>
      </c>
      <c r="F133" s="6">
        <v>0.57291666666666663</v>
      </c>
      <c r="G133">
        <v>6</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9</v>
      </c>
      <c r="H134" s="6">
        <f>FLOOR(tblPivotData[[#This Row],[Time]],Summary!$B$6/1440)</f>
        <v>0.66666666666666663</v>
      </c>
      <c r="I134" s="49">
        <f>INDEX(PeakCalc!$L$10:$L$303,MATCH(tblPivotData[[#This Row],[Time]],PeakCalc!$G$10:$G$303,0))</f>
        <v>1</v>
      </c>
    </row>
    <row r="135" spans="1:9" x14ac:dyDescent="0.25">
      <c r="A135" t="s">
        <v>93</v>
      </c>
      <c r="B135" t="s">
        <v>99</v>
      </c>
      <c r="C135" t="s">
        <v>96</v>
      </c>
      <c r="D135" t="s">
        <v>79</v>
      </c>
      <c r="E135" t="s">
        <v>44</v>
      </c>
      <c r="F135" s="6">
        <v>0.67708333333333337</v>
      </c>
      <c r="G135">
        <v>16</v>
      </c>
      <c r="H135" s="6">
        <f>FLOOR(tblPivotData[[#This Row],[Time]],Summary!$B$6/1440)</f>
        <v>0.67708333333333326</v>
      </c>
      <c r="I135" s="49">
        <f>INDEX(PeakCalc!$L$10:$L$303,MATCH(tblPivotData[[#This Row],[Time]],PeakCalc!$G$10:$G$303,0))</f>
        <v>1</v>
      </c>
    </row>
    <row r="136" spans="1:9" x14ac:dyDescent="0.25">
      <c r="A136" t="s">
        <v>93</v>
      </c>
      <c r="B136" t="s">
        <v>99</v>
      </c>
      <c r="C136" t="s">
        <v>96</v>
      </c>
      <c r="D136" t="s">
        <v>79</v>
      </c>
      <c r="E136" t="s">
        <v>44</v>
      </c>
      <c r="F136" s="6">
        <v>0.6875</v>
      </c>
      <c r="G136">
        <v>9</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7</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3</v>
      </c>
      <c r="H138" s="6">
        <f>FLOOR(tblPivotData[[#This Row],[Time]],Summary!$B$6/1440)</f>
        <v>0.70833333333333326</v>
      </c>
      <c r="I138" s="49">
        <f>INDEX(PeakCalc!$L$10:$L$303,MATCH(tblPivotData[[#This Row],[Time]],PeakCalc!$G$10:$G$303,0))</f>
        <v>0</v>
      </c>
    </row>
    <row r="139" spans="1:9" x14ac:dyDescent="0.25">
      <c r="A139" t="s">
        <v>93</v>
      </c>
      <c r="B139" t="s">
        <v>99</v>
      </c>
      <c r="C139" t="s">
        <v>96</v>
      </c>
      <c r="D139" t="s">
        <v>79</v>
      </c>
      <c r="E139" t="s">
        <v>44</v>
      </c>
      <c r="F139" s="6">
        <v>0.71875</v>
      </c>
      <c r="G139">
        <v>8</v>
      </c>
      <c r="H139" s="6">
        <f>FLOOR(tblPivotData[[#This Row],[Time]],Summary!$B$6/1440)</f>
        <v>0.71875</v>
      </c>
      <c r="I139" s="49">
        <f>INDEX(PeakCalc!$L$10:$L$303,MATCH(tblPivotData[[#This Row],[Time]],PeakCalc!$G$10:$G$303,0))</f>
        <v>0</v>
      </c>
    </row>
    <row r="140" spans="1:9" x14ac:dyDescent="0.25">
      <c r="A140" t="s">
        <v>93</v>
      </c>
      <c r="B140" t="s">
        <v>99</v>
      </c>
      <c r="C140" t="s">
        <v>96</v>
      </c>
      <c r="D140" t="s">
        <v>79</v>
      </c>
      <c r="E140" t="s">
        <v>44</v>
      </c>
      <c r="F140" s="6">
        <v>0.72916666666666663</v>
      </c>
      <c r="G140">
        <v>3</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3</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1</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90</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90</v>
      </c>
      <c r="F152" s="6">
        <v>0.5625</v>
      </c>
      <c r="G152">
        <v>2</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91</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93</v>
      </c>
      <c r="B175" t="s">
        <v>99</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99</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91</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93</v>
      </c>
      <c r="B179" t="s">
        <v>99</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99</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3</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5</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7</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7</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90</v>
      </c>
      <c r="F190" s="6">
        <v>0.54166666666666663</v>
      </c>
      <c r="G190">
        <v>16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90</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90</v>
      </c>
      <c r="F192" s="6">
        <v>0.5625</v>
      </c>
      <c r="G192">
        <v>8</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90</v>
      </c>
      <c r="F193" s="6">
        <v>0.57291666666666663</v>
      </c>
      <c r="G193">
        <v>7</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7</v>
      </c>
      <c r="H194" s="6">
        <f>FLOOR(tblPivotData[[#This Row],[Time]],Summary!$B$6/1440)</f>
        <v>0.66666666666666663</v>
      </c>
      <c r="I194" s="49">
        <f>INDEX(PeakCalc!$L$10:$L$303,MATCH(tblPivotData[[#This Row],[Time]],PeakCalc!$G$10:$G$303,0))</f>
        <v>1</v>
      </c>
    </row>
    <row r="195" spans="1:9" x14ac:dyDescent="0.25">
      <c r="A195" t="s">
        <v>94</v>
      </c>
      <c r="B195" t="s">
        <v>100</v>
      </c>
      <c r="C195" t="s">
        <v>95</v>
      </c>
      <c r="D195" t="s">
        <v>79</v>
      </c>
      <c r="E195" t="s">
        <v>44</v>
      </c>
      <c r="F195" s="6">
        <v>0.67708333333333337</v>
      </c>
      <c r="G195">
        <v>3</v>
      </c>
      <c r="H195" s="6">
        <f>FLOOR(tblPivotData[[#This Row],[Time]],Summary!$B$6/1440)</f>
        <v>0.67708333333333326</v>
      </c>
      <c r="I195" s="49">
        <f>INDEX(PeakCalc!$L$10:$L$303,MATCH(tblPivotData[[#This Row],[Time]],PeakCalc!$G$10:$G$303,0))</f>
        <v>1</v>
      </c>
    </row>
    <row r="196" spans="1:9" x14ac:dyDescent="0.25">
      <c r="A196" t="s">
        <v>94</v>
      </c>
      <c r="B196" t="s">
        <v>100</v>
      </c>
      <c r="C196" t="s">
        <v>95</v>
      </c>
      <c r="D196" t="s">
        <v>79</v>
      </c>
      <c r="E196" t="s">
        <v>44</v>
      </c>
      <c r="F196" s="6">
        <v>0.6875</v>
      </c>
      <c r="G196">
        <v>7</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6</v>
      </c>
      <c r="H198" s="6">
        <f>FLOOR(tblPivotData[[#This Row],[Time]],Summary!$B$6/1440)</f>
        <v>0.70833333333333326</v>
      </c>
      <c r="I198" s="49">
        <f>INDEX(PeakCalc!$L$10:$L$303,MATCH(tblPivotData[[#This Row],[Time]],PeakCalc!$G$10:$G$303,0))</f>
        <v>0</v>
      </c>
    </row>
    <row r="199" spans="1:9" x14ac:dyDescent="0.25">
      <c r="A199" t="s">
        <v>94</v>
      </c>
      <c r="B199" t="s">
        <v>100</v>
      </c>
      <c r="C199" t="s">
        <v>95</v>
      </c>
      <c r="D199" t="s">
        <v>79</v>
      </c>
      <c r="E199" t="s">
        <v>44</v>
      </c>
      <c r="F199" s="6">
        <v>0.71875</v>
      </c>
      <c r="G199">
        <v>5</v>
      </c>
      <c r="H199" s="6">
        <f>FLOOR(tblPivotData[[#This Row],[Time]],Summary!$B$6/1440)</f>
        <v>0.71875</v>
      </c>
      <c r="I199" s="49">
        <f>INDEX(PeakCalc!$L$10:$L$303,MATCH(tblPivotData[[#This Row],[Time]],PeakCalc!$G$10:$G$303,0))</f>
        <v>0</v>
      </c>
    </row>
    <row r="200" spans="1:9" x14ac:dyDescent="0.25">
      <c r="A200" t="s">
        <v>94</v>
      </c>
      <c r="B200" t="s">
        <v>100</v>
      </c>
      <c r="C200" t="s">
        <v>95</v>
      </c>
      <c r="D200" t="s">
        <v>79</v>
      </c>
      <c r="E200" t="s">
        <v>44</v>
      </c>
      <c r="F200" s="6">
        <v>0.72916666666666663</v>
      </c>
      <c r="G200">
        <v>6</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2</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90</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1</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0</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91</v>
      </c>
      <c r="E224" t="s">
        <v>43</v>
      </c>
      <c r="F224" s="6">
        <v>0.3125</v>
      </c>
      <c r="G224">
        <v>0</v>
      </c>
      <c r="H224" s="6">
        <f>FLOOR(tblPivotData[[#This Row],[Time]],Summary!$B$6/1440)</f>
        <v>0.3125</v>
      </c>
      <c r="I224" s="49">
        <f>INDEX(PeakCalc!$L$10:$L$303,MATCH(tblPivotData[[#This Row],[Time]],PeakCalc!$G$10:$G$303,0))</f>
        <v>0</v>
      </c>
    </row>
    <row r="225" spans="1:9" x14ac:dyDescent="0.25">
      <c r="A225" t="s">
        <v>94</v>
      </c>
      <c r="B225" t="s">
        <v>100</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91</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94</v>
      </c>
      <c r="B235" t="s">
        <v>100</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100</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91</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94</v>
      </c>
      <c r="B239" t="s">
        <v>100</v>
      </c>
      <c r="C239" t="s">
        <v>95</v>
      </c>
      <c r="D239" t="s">
        <v>91</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100</v>
      </c>
      <c r="C240" t="s">
        <v>95</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20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36</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44</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111</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74</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71</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67</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58</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90</v>
      </c>
      <c r="F250" s="6">
        <v>0.54166666666666663</v>
      </c>
      <c r="G250">
        <v>33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90</v>
      </c>
      <c r="F251" s="6">
        <v>0.55208333333333337</v>
      </c>
      <c r="G251">
        <v>44</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90</v>
      </c>
      <c r="F252" s="6">
        <v>0.5625</v>
      </c>
      <c r="G252">
        <v>35</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90</v>
      </c>
      <c r="F253" s="6">
        <v>0.57291666666666663</v>
      </c>
      <c r="G253">
        <v>40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47</v>
      </c>
      <c r="H254" s="6">
        <f>FLOOR(tblPivotData[[#This Row],[Time]],Summary!$B$6/1440)</f>
        <v>0.66666666666666663</v>
      </c>
      <c r="I254" s="49">
        <f>INDEX(PeakCalc!$L$10:$L$303,MATCH(tblPivotData[[#This Row],[Time]],PeakCalc!$G$10:$G$303,0))</f>
        <v>1</v>
      </c>
    </row>
    <row r="255" spans="1:9" x14ac:dyDescent="0.25">
      <c r="A255" t="s">
        <v>94</v>
      </c>
      <c r="B255" t="s">
        <v>101</v>
      </c>
      <c r="C255" t="s">
        <v>96</v>
      </c>
      <c r="D255" t="s">
        <v>79</v>
      </c>
      <c r="E255" t="s">
        <v>44</v>
      </c>
      <c r="F255" s="6">
        <v>0.67708333333333337</v>
      </c>
      <c r="G255">
        <v>28</v>
      </c>
      <c r="H255" s="6">
        <f>FLOOR(tblPivotData[[#This Row],[Time]],Summary!$B$6/1440)</f>
        <v>0.67708333333333326</v>
      </c>
      <c r="I255" s="49">
        <f>INDEX(PeakCalc!$L$10:$L$303,MATCH(tblPivotData[[#This Row],[Time]],PeakCalc!$G$10:$G$303,0))</f>
        <v>1</v>
      </c>
    </row>
    <row r="256" spans="1:9" x14ac:dyDescent="0.25">
      <c r="A256" t="s">
        <v>94</v>
      </c>
      <c r="B256" t="s">
        <v>101</v>
      </c>
      <c r="C256" t="s">
        <v>96</v>
      </c>
      <c r="D256" t="s">
        <v>79</v>
      </c>
      <c r="E256" t="s">
        <v>44</v>
      </c>
      <c r="F256" s="6">
        <v>0.6875</v>
      </c>
      <c r="G256">
        <v>47</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40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34</v>
      </c>
      <c r="H258" s="6">
        <f>FLOOR(tblPivotData[[#This Row],[Time]],Summary!$B$6/1440)</f>
        <v>0.70833333333333326</v>
      </c>
      <c r="I258" s="49">
        <f>INDEX(PeakCalc!$L$10:$L$303,MATCH(tblPivotData[[#This Row],[Time]],PeakCalc!$G$10:$G$303,0))</f>
        <v>0</v>
      </c>
    </row>
    <row r="259" spans="1:9" x14ac:dyDescent="0.25">
      <c r="A259" t="s">
        <v>94</v>
      </c>
      <c r="B259" t="s">
        <v>101</v>
      </c>
      <c r="C259" t="s">
        <v>96</v>
      </c>
      <c r="D259" t="s">
        <v>79</v>
      </c>
      <c r="E259" t="s">
        <v>44</v>
      </c>
      <c r="F259" s="6">
        <v>0.71875</v>
      </c>
      <c r="G259">
        <v>37</v>
      </c>
      <c r="H259" s="6">
        <f>FLOOR(tblPivotData[[#This Row],[Time]],Summary!$B$6/1440)</f>
        <v>0.71875</v>
      </c>
      <c r="I259" s="49">
        <f>INDEX(PeakCalc!$L$10:$L$303,MATCH(tblPivotData[[#This Row],[Time]],PeakCalc!$G$10:$G$303,0))</f>
        <v>0</v>
      </c>
    </row>
    <row r="260" spans="1:9" x14ac:dyDescent="0.25">
      <c r="A260" t="s">
        <v>94</v>
      </c>
      <c r="B260" t="s">
        <v>101</v>
      </c>
      <c r="C260" t="s">
        <v>96</v>
      </c>
      <c r="D260" t="s">
        <v>79</v>
      </c>
      <c r="E260" t="s">
        <v>44</v>
      </c>
      <c r="F260" s="6">
        <v>0.72916666666666663</v>
      </c>
      <c r="G260">
        <v>35</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16</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90</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90</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1</v>
      </c>
    </row>
    <row r="275" spans="1:9" x14ac:dyDescent="0.25">
      <c r="A275" t="s">
        <v>94</v>
      </c>
      <c r="B275" t="s">
        <v>101</v>
      </c>
      <c r="C275" t="s">
        <v>96</v>
      </c>
      <c r="D275" t="s">
        <v>89</v>
      </c>
      <c r="E275" t="s">
        <v>44</v>
      </c>
      <c r="F275" s="6">
        <v>0.67708333333333337</v>
      </c>
      <c r="G275">
        <v>1</v>
      </c>
      <c r="H275" s="6">
        <f>FLOOR(tblPivotData[[#This Row],[Time]],Summary!$B$6/1440)</f>
        <v>0.67708333333333326</v>
      </c>
      <c r="I275" s="49">
        <f>INDEX(PeakCalc!$L$10:$L$303,MATCH(tblPivotData[[#This Row],[Time]],PeakCalc!$G$10:$G$303,0))</f>
        <v>1</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0</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91</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101</v>
      </c>
      <c r="C284" t="s">
        <v>96</v>
      </c>
      <c r="D284" t="s">
        <v>91</v>
      </c>
      <c r="E284" t="s">
        <v>43</v>
      </c>
      <c r="F284" s="6">
        <v>0.3125</v>
      </c>
      <c r="G284">
        <v>2</v>
      </c>
      <c r="H284" s="6">
        <f>FLOOR(tblPivotData[[#This Row],[Time]],Summary!$B$6/1440)</f>
        <v>0.3125</v>
      </c>
      <c r="I284" s="49">
        <f>INDEX(PeakCalc!$L$10:$L$303,MATCH(tblPivotData[[#This Row],[Time]],PeakCalc!$G$10:$G$303,0))</f>
        <v>0</v>
      </c>
    </row>
    <row r="285" spans="1:9" x14ac:dyDescent="0.25">
      <c r="A285" t="s">
        <v>94</v>
      </c>
      <c r="B285" t="s">
        <v>101</v>
      </c>
      <c r="C285" t="s">
        <v>96</v>
      </c>
      <c r="D285" t="s">
        <v>91</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101</v>
      </c>
      <c r="C286" t="s">
        <v>96</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91</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101</v>
      </c>
      <c r="C288" t="s">
        <v>96</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91</v>
      </c>
      <c r="E289" t="s">
        <v>43</v>
      </c>
      <c r="F289" s="6">
        <v>0.36458333333333331</v>
      </c>
      <c r="G289">
        <v>3</v>
      </c>
      <c r="H289" s="6">
        <f>FLOOR(tblPivotData[[#This Row],[Time]],Summary!$B$6/1440)</f>
        <v>0.36458333333333331</v>
      </c>
      <c r="I289" s="49">
        <f>INDEX(PeakCalc!$L$10:$L$303,MATCH(tblPivotData[[#This Row],[Time]],PeakCalc!$G$10:$G$303,0))</f>
        <v>0</v>
      </c>
    </row>
    <row r="290" spans="1:9" x14ac:dyDescent="0.25">
      <c r="A290" t="s">
        <v>94</v>
      </c>
      <c r="B290" t="s">
        <v>101</v>
      </c>
      <c r="C290" t="s">
        <v>96</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91</v>
      </c>
      <c r="E291" t="s">
        <v>90</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101</v>
      </c>
      <c r="C292" t="s">
        <v>96</v>
      </c>
      <c r="D292" t="s">
        <v>91</v>
      </c>
      <c r="E292" t="s">
        <v>90</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101</v>
      </c>
      <c r="C294" t="s">
        <v>96</v>
      </c>
      <c r="D294" t="s">
        <v>91</v>
      </c>
      <c r="E294" t="s">
        <v>44</v>
      </c>
      <c r="F294" s="6">
        <v>0.66666666666666663</v>
      </c>
      <c r="G294">
        <v>0</v>
      </c>
      <c r="H294" s="6">
        <f>FLOOR(tblPivotData[[#This Row],[Time]],Summary!$B$6/1440)</f>
        <v>0.66666666666666663</v>
      </c>
      <c r="I294" s="49">
        <f>INDEX(PeakCalc!$L$10:$L$303,MATCH(tblPivotData[[#This Row],[Time]],PeakCalc!$G$10:$G$303,0))</f>
        <v>1</v>
      </c>
    </row>
    <row r="295" spans="1:9" x14ac:dyDescent="0.25">
      <c r="A295" t="s">
        <v>94</v>
      </c>
      <c r="B295" t="s">
        <v>101</v>
      </c>
      <c r="C295" t="s">
        <v>96</v>
      </c>
      <c r="D295" t="s">
        <v>91</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101</v>
      </c>
      <c r="C296" t="s">
        <v>96</v>
      </c>
      <c r="D296" t="s">
        <v>91</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91</v>
      </c>
      <c r="E298" t="s">
        <v>44</v>
      </c>
      <c r="F298" s="6">
        <v>0.70833333333333337</v>
      </c>
      <c r="G298">
        <v>1</v>
      </c>
      <c r="H298" s="6">
        <f>FLOOR(tblPivotData[[#This Row],[Time]],Summary!$B$6/1440)</f>
        <v>0.70833333333333326</v>
      </c>
      <c r="I298" s="49">
        <f>INDEX(PeakCalc!$L$10:$L$303,MATCH(tblPivotData[[#This Row],[Time]],PeakCalc!$G$10:$G$303,0))</f>
        <v>0</v>
      </c>
    </row>
    <row r="299" spans="1:9" x14ac:dyDescent="0.25">
      <c r="A299" t="s">
        <v>94</v>
      </c>
      <c r="B299" t="s">
        <v>101</v>
      </c>
      <c r="C299" t="s">
        <v>96</v>
      </c>
      <c r="D299" t="s">
        <v>91</v>
      </c>
      <c r="E299" t="s">
        <v>44</v>
      </c>
      <c r="F299" s="6">
        <v>0.71875</v>
      </c>
      <c r="G299">
        <v>0</v>
      </c>
      <c r="H299" s="6">
        <f>FLOOR(tblPivotData[[#This Row],[Time]],Summary!$B$6/1440)</f>
        <v>0.71875</v>
      </c>
      <c r="I299" s="49">
        <f>INDEX(PeakCalc!$L$10:$L$303,MATCH(tblPivotData[[#This Row],[Time]],PeakCalc!$G$10:$G$303,0))</f>
        <v>0</v>
      </c>
    </row>
    <row r="300" spans="1:9" x14ac:dyDescent="0.25">
      <c r="A300" t="s">
        <v>94</v>
      </c>
      <c r="B300" t="s">
        <v>101</v>
      </c>
      <c r="C300" t="s">
        <v>96</v>
      </c>
      <c r="D300" t="s">
        <v>91</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16</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34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51</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44</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35</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47</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37</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90</v>
      </c>
      <c r="F310" s="6">
        <v>0.54166666666666663</v>
      </c>
      <c r="G310">
        <v>28</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90</v>
      </c>
      <c r="F311" s="6">
        <v>0.55208333333333337</v>
      </c>
      <c r="G311">
        <v>8</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90</v>
      </c>
      <c r="F312" s="6">
        <v>0.5625</v>
      </c>
      <c r="G312">
        <v>15</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90</v>
      </c>
      <c r="F313" s="6">
        <v>0.57291666666666663</v>
      </c>
      <c r="G313">
        <v>14</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24</v>
      </c>
      <c r="H314" s="6">
        <f>FLOOR(tblPivotData[[#This Row],[Time]],Summary!$B$6/1440)</f>
        <v>0.66666666666666663</v>
      </c>
      <c r="I314" s="49">
        <f>INDEX(PeakCalc!$L$10:$L$303,MATCH(tblPivotData[[#This Row],[Time]],PeakCalc!$G$10:$G$303,0))</f>
        <v>1</v>
      </c>
    </row>
    <row r="315" spans="1:9" x14ac:dyDescent="0.25">
      <c r="A315" t="s">
        <v>94</v>
      </c>
      <c r="B315" t="s">
        <v>102</v>
      </c>
      <c r="C315" t="s">
        <v>93</v>
      </c>
      <c r="D315" t="s">
        <v>79</v>
      </c>
      <c r="E315" t="s">
        <v>44</v>
      </c>
      <c r="F315" s="6">
        <v>0.67708333333333337</v>
      </c>
      <c r="G315">
        <v>26</v>
      </c>
      <c r="H315" s="6">
        <f>FLOOR(tblPivotData[[#This Row],[Time]],Summary!$B$6/1440)</f>
        <v>0.67708333333333326</v>
      </c>
      <c r="I315" s="49">
        <f>INDEX(PeakCalc!$L$10:$L$303,MATCH(tblPivotData[[#This Row],[Time]],PeakCalc!$G$10:$G$303,0))</f>
        <v>1</v>
      </c>
    </row>
    <row r="316" spans="1:9" x14ac:dyDescent="0.25">
      <c r="A316" t="s">
        <v>94</v>
      </c>
      <c r="B316" t="s">
        <v>102</v>
      </c>
      <c r="C316" t="s">
        <v>93</v>
      </c>
      <c r="D316" t="s">
        <v>79</v>
      </c>
      <c r="E316" t="s">
        <v>44</v>
      </c>
      <c r="F316" s="6">
        <v>0.6875</v>
      </c>
      <c r="G316">
        <v>25</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24</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14</v>
      </c>
      <c r="H318" s="6">
        <f>FLOOR(tblPivotData[[#This Row],[Time]],Summary!$B$6/1440)</f>
        <v>0.70833333333333326</v>
      </c>
      <c r="I318" s="49">
        <f>INDEX(PeakCalc!$L$10:$L$303,MATCH(tblPivotData[[#This Row],[Time]],PeakCalc!$G$10:$G$303,0))</f>
        <v>0</v>
      </c>
    </row>
    <row r="319" spans="1:9" x14ac:dyDescent="0.25">
      <c r="A319" t="s">
        <v>94</v>
      </c>
      <c r="B319" t="s">
        <v>102</v>
      </c>
      <c r="C319" t="s">
        <v>93</v>
      </c>
      <c r="D319" t="s">
        <v>79</v>
      </c>
      <c r="E319" t="s">
        <v>44</v>
      </c>
      <c r="F319" s="6">
        <v>0.71875</v>
      </c>
      <c r="G319">
        <v>12</v>
      </c>
      <c r="H319" s="6">
        <f>FLOOR(tblPivotData[[#This Row],[Time]],Summary!$B$6/1440)</f>
        <v>0.71875</v>
      </c>
      <c r="I319" s="49">
        <f>INDEX(PeakCalc!$L$10:$L$303,MATCH(tblPivotData[[#This Row],[Time]],PeakCalc!$G$10:$G$303,0))</f>
        <v>0</v>
      </c>
    </row>
    <row r="320" spans="1:9" x14ac:dyDescent="0.25">
      <c r="A320" t="s">
        <v>94</v>
      </c>
      <c r="B320" t="s">
        <v>102</v>
      </c>
      <c r="C320" t="s">
        <v>93</v>
      </c>
      <c r="D320" t="s">
        <v>79</v>
      </c>
      <c r="E320" t="s">
        <v>44</v>
      </c>
      <c r="F320" s="6">
        <v>0.72916666666666663</v>
      </c>
      <c r="G320">
        <v>9</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12</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1</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4</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2</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90</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90</v>
      </c>
      <c r="F331" s="6">
        <v>0.55208333333333337</v>
      </c>
      <c r="G331">
        <v>1</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90</v>
      </c>
      <c r="F333" s="6">
        <v>0.57291666666666663</v>
      </c>
      <c r="G333">
        <v>3</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1</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0</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91</v>
      </c>
      <c r="E342" t="s">
        <v>43</v>
      </c>
      <c r="F342" s="6">
        <v>0.29166666666666669</v>
      </c>
      <c r="G342">
        <v>2</v>
      </c>
      <c r="H342" s="6">
        <f>FLOOR(tblPivotData[[#This Row],[Time]],Summary!$B$6/1440)</f>
        <v>0.29166666666666663</v>
      </c>
      <c r="I342" s="49">
        <f>INDEX(PeakCalc!$L$10:$L$303,MATCH(tblPivotData[[#This Row],[Time]],PeakCalc!$G$10:$G$303,0))</f>
        <v>0</v>
      </c>
    </row>
    <row r="343" spans="1:9" x14ac:dyDescent="0.25">
      <c r="A343" t="s">
        <v>94</v>
      </c>
      <c r="B343" t="s">
        <v>102</v>
      </c>
      <c r="C343" t="s">
        <v>93</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102</v>
      </c>
      <c r="C344" t="s">
        <v>93</v>
      </c>
      <c r="D344" t="s">
        <v>91</v>
      </c>
      <c r="E344" t="s">
        <v>43</v>
      </c>
      <c r="F344" s="6">
        <v>0.3125</v>
      </c>
      <c r="G344">
        <v>4</v>
      </c>
      <c r="H344" s="6">
        <f>FLOOR(tblPivotData[[#This Row],[Time]],Summary!$B$6/1440)</f>
        <v>0.3125</v>
      </c>
      <c r="I344" s="49">
        <f>INDEX(PeakCalc!$L$10:$L$303,MATCH(tblPivotData[[#This Row],[Time]],PeakCalc!$G$10:$G$303,0))</f>
        <v>0</v>
      </c>
    </row>
    <row r="345" spans="1:9" x14ac:dyDescent="0.25">
      <c r="A345" t="s">
        <v>94</v>
      </c>
      <c r="B345" t="s">
        <v>102</v>
      </c>
      <c r="C345" t="s">
        <v>93</v>
      </c>
      <c r="D345" t="s">
        <v>91</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94</v>
      </c>
      <c r="B346" t="s">
        <v>102</v>
      </c>
      <c r="C346" t="s">
        <v>93</v>
      </c>
      <c r="D346" t="s">
        <v>91</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94</v>
      </c>
      <c r="B347" t="s">
        <v>102</v>
      </c>
      <c r="C347" t="s">
        <v>93</v>
      </c>
      <c r="D347" t="s">
        <v>91</v>
      </c>
      <c r="E347" t="s">
        <v>43</v>
      </c>
      <c r="F347" s="6">
        <v>0.34375</v>
      </c>
      <c r="G347">
        <v>7</v>
      </c>
      <c r="H347" s="6">
        <f>FLOOR(tblPivotData[[#This Row],[Time]],Summary!$B$6/1440)</f>
        <v>0.34375</v>
      </c>
      <c r="I347" s="49">
        <f>INDEX(PeakCalc!$L$10:$L$303,MATCH(tblPivotData[[#This Row],[Time]],PeakCalc!$G$10:$G$303,0))</f>
        <v>1</v>
      </c>
    </row>
    <row r="348" spans="1:9" x14ac:dyDescent="0.25">
      <c r="A348" t="s">
        <v>94</v>
      </c>
      <c r="B348" t="s">
        <v>102</v>
      </c>
      <c r="C348" t="s">
        <v>93</v>
      </c>
      <c r="D348" t="s">
        <v>91</v>
      </c>
      <c r="E348" t="s">
        <v>43</v>
      </c>
      <c r="F348" s="6">
        <v>0.35416666666666669</v>
      </c>
      <c r="G348">
        <v>3</v>
      </c>
      <c r="H348" s="6">
        <f>FLOOR(tblPivotData[[#This Row],[Time]],Summary!$B$6/1440)</f>
        <v>0.35416666666666663</v>
      </c>
      <c r="I348" s="49">
        <f>INDEX(PeakCalc!$L$10:$L$303,MATCH(tblPivotData[[#This Row],[Time]],PeakCalc!$G$10:$G$303,0))</f>
        <v>1</v>
      </c>
    </row>
    <row r="349" spans="1:9" x14ac:dyDescent="0.25">
      <c r="A349" t="s">
        <v>94</v>
      </c>
      <c r="B349" t="s">
        <v>102</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91</v>
      </c>
      <c r="E351" t="s">
        <v>90</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102</v>
      </c>
      <c r="C354" t="s">
        <v>93</v>
      </c>
      <c r="D354" t="s">
        <v>91</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94</v>
      </c>
      <c r="B355" t="s">
        <v>102</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93</v>
      </c>
      <c r="D356" t="s">
        <v>91</v>
      </c>
      <c r="E356" t="s">
        <v>44</v>
      </c>
      <c r="F356" s="6">
        <v>0.6875</v>
      </c>
      <c r="G356">
        <v>2</v>
      </c>
      <c r="H356" s="6">
        <f>FLOOR(tblPivotData[[#This Row],[Time]],Summary!$B$6/1440)</f>
        <v>0.6875</v>
      </c>
      <c r="I356" s="49">
        <f>INDEX(PeakCalc!$L$10:$L$303,MATCH(tblPivotData[[#This Row],[Time]],PeakCalc!$G$10:$G$303,0))</f>
        <v>1</v>
      </c>
    </row>
    <row r="357" spans="1:9" x14ac:dyDescent="0.25">
      <c r="A357" t="s">
        <v>94</v>
      </c>
      <c r="B357" t="s">
        <v>102</v>
      </c>
      <c r="C357" t="s">
        <v>93</v>
      </c>
      <c r="D357" t="s">
        <v>91</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94</v>
      </c>
      <c r="B358" t="s">
        <v>102</v>
      </c>
      <c r="C358" t="s">
        <v>93</v>
      </c>
      <c r="D358" t="s">
        <v>91</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94</v>
      </c>
      <c r="B359" t="s">
        <v>102</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2</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4</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10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10</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7</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90</v>
      </c>
      <c r="F370" s="6">
        <v>0.54166666666666663</v>
      </c>
      <c r="G370">
        <v>9</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90</v>
      </c>
      <c r="F371" s="6">
        <v>0.55208333333333337</v>
      </c>
      <c r="G371">
        <v>8</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90</v>
      </c>
      <c r="F372" s="6">
        <v>0.5625</v>
      </c>
      <c r="G372">
        <v>5</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90</v>
      </c>
      <c r="F373" s="6">
        <v>0.57291666666666663</v>
      </c>
      <c r="G373">
        <v>7</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10</v>
      </c>
      <c r="H374" s="6">
        <f>FLOOR(tblPivotData[[#This Row],[Time]],Summary!$B$6/1440)</f>
        <v>0.66666666666666663</v>
      </c>
      <c r="I374" s="49">
        <f>INDEX(PeakCalc!$L$10:$L$303,MATCH(tblPivotData[[#This Row],[Time]],PeakCalc!$G$10:$G$303,0))</f>
        <v>1</v>
      </c>
    </row>
    <row r="375" spans="1:9" x14ac:dyDescent="0.25">
      <c r="A375" t="s">
        <v>95</v>
      </c>
      <c r="B375" t="s">
        <v>103</v>
      </c>
      <c r="C375" t="s">
        <v>96</v>
      </c>
      <c r="D375" t="s">
        <v>79</v>
      </c>
      <c r="E375" t="s">
        <v>44</v>
      </c>
      <c r="F375" s="6">
        <v>0.67708333333333337</v>
      </c>
      <c r="G375">
        <v>5</v>
      </c>
      <c r="H375" s="6">
        <f>FLOOR(tblPivotData[[#This Row],[Time]],Summary!$B$6/1440)</f>
        <v>0.67708333333333326</v>
      </c>
      <c r="I375" s="49">
        <f>INDEX(PeakCalc!$L$10:$L$303,MATCH(tblPivotData[[#This Row],[Time]],PeakCalc!$G$10:$G$303,0))</f>
        <v>1</v>
      </c>
    </row>
    <row r="376" spans="1:9" x14ac:dyDescent="0.25">
      <c r="A376" t="s">
        <v>95</v>
      </c>
      <c r="B376" t="s">
        <v>103</v>
      </c>
      <c r="C376" t="s">
        <v>96</v>
      </c>
      <c r="D376" t="s">
        <v>79</v>
      </c>
      <c r="E376" t="s">
        <v>44</v>
      </c>
      <c r="F376" s="6">
        <v>0.6875</v>
      </c>
      <c r="G376">
        <v>0</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6</v>
      </c>
      <c r="H378" s="6">
        <f>FLOOR(tblPivotData[[#This Row],[Time]],Summary!$B$6/1440)</f>
        <v>0.70833333333333326</v>
      </c>
      <c r="I378" s="49">
        <f>INDEX(PeakCalc!$L$10:$L$303,MATCH(tblPivotData[[#This Row],[Time]],PeakCalc!$G$10:$G$303,0))</f>
        <v>0</v>
      </c>
    </row>
    <row r="379" spans="1:9" x14ac:dyDescent="0.25">
      <c r="A379" t="s">
        <v>95</v>
      </c>
      <c r="B379" t="s">
        <v>103</v>
      </c>
      <c r="C379" t="s">
        <v>96</v>
      </c>
      <c r="D379" t="s">
        <v>79</v>
      </c>
      <c r="E379" t="s">
        <v>44</v>
      </c>
      <c r="F379" s="6">
        <v>0.71875</v>
      </c>
      <c r="G379">
        <v>1</v>
      </c>
      <c r="H379" s="6">
        <f>FLOOR(tblPivotData[[#This Row],[Time]],Summary!$B$6/1440)</f>
        <v>0.71875</v>
      </c>
      <c r="I379" s="49">
        <f>INDEX(PeakCalc!$L$10:$L$303,MATCH(tblPivotData[[#This Row],[Time]],PeakCalc!$G$10:$G$303,0))</f>
        <v>0</v>
      </c>
    </row>
    <row r="380" spans="1:9" x14ac:dyDescent="0.25">
      <c r="A380" t="s">
        <v>95</v>
      </c>
      <c r="B380" t="s">
        <v>103</v>
      </c>
      <c r="C380" t="s">
        <v>96</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1</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1</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90</v>
      </c>
      <c r="F390" s="6">
        <v>0.54166666666666663</v>
      </c>
      <c r="G390">
        <v>1</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90</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1</v>
      </c>
    </row>
    <row r="395" spans="1:9" x14ac:dyDescent="0.25">
      <c r="A395" t="s">
        <v>95</v>
      </c>
      <c r="B395" t="s">
        <v>103</v>
      </c>
      <c r="C395" t="s">
        <v>96</v>
      </c>
      <c r="D395" t="s">
        <v>89</v>
      </c>
      <c r="E395" t="s">
        <v>44</v>
      </c>
      <c r="F395" s="6">
        <v>0.67708333333333337</v>
      </c>
      <c r="G395">
        <v>2</v>
      </c>
      <c r="H395" s="6">
        <f>FLOOR(tblPivotData[[#This Row],[Time]],Summary!$B$6/1440)</f>
        <v>0.67708333333333326</v>
      </c>
      <c r="I395" s="49">
        <f>INDEX(PeakCalc!$L$10:$L$303,MATCH(tblPivotData[[#This Row],[Time]],PeakCalc!$G$10:$G$303,0))</f>
        <v>1</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91</v>
      </c>
      <c r="E411" t="s">
        <v>90</v>
      </c>
      <c r="F411" s="6">
        <v>0.55208333333333337</v>
      </c>
      <c r="G411">
        <v>2</v>
      </c>
      <c r="H411" s="6">
        <f>FLOOR(tblPivotData[[#This Row],[Time]],Summary!$B$6/1440)</f>
        <v>0.55208333333333326</v>
      </c>
      <c r="I411" s="49">
        <f>INDEX(PeakCalc!$L$10:$L$303,MATCH(tblPivotData[[#This Row],[Time]],PeakCalc!$G$10:$G$303,0))</f>
        <v>1</v>
      </c>
    </row>
    <row r="412" spans="1:9" x14ac:dyDescent="0.25">
      <c r="A412" t="s">
        <v>95</v>
      </c>
      <c r="B412" t="s">
        <v>103</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91</v>
      </c>
      <c r="E413" t="s">
        <v>90</v>
      </c>
      <c r="F413" s="6">
        <v>0.57291666666666663</v>
      </c>
      <c r="G413">
        <v>1</v>
      </c>
      <c r="H413" s="6">
        <f>FLOOR(tblPivotData[[#This Row],[Time]],Summary!$B$6/1440)</f>
        <v>0.57291666666666663</v>
      </c>
      <c r="I413" s="49">
        <f>INDEX(PeakCalc!$L$10:$L$303,MATCH(tblPivotData[[#This Row],[Time]],PeakCalc!$G$10:$G$303,0))</f>
        <v>1</v>
      </c>
    </row>
    <row r="414" spans="1:9" x14ac:dyDescent="0.25">
      <c r="A414" t="s">
        <v>95</v>
      </c>
      <c r="B414" t="s">
        <v>103</v>
      </c>
      <c r="C414" t="s">
        <v>96</v>
      </c>
      <c r="D414" t="s">
        <v>91</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95</v>
      </c>
      <c r="B415" t="s">
        <v>103</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103</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91</v>
      </c>
      <c r="E418" t="s">
        <v>44</v>
      </c>
      <c r="F418" s="6">
        <v>0.70833333333333337</v>
      </c>
      <c r="G418">
        <v>0</v>
      </c>
      <c r="H418" s="6">
        <f>FLOOR(tblPivotData[[#This Row],[Time]],Summary!$B$6/1440)</f>
        <v>0.70833333333333326</v>
      </c>
      <c r="I418" s="49">
        <f>INDEX(PeakCalc!$L$10:$L$303,MATCH(tblPivotData[[#This Row],[Time]],PeakCalc!$G$10:$G$303,0))</f>
        <v>0</v>
      </c>
    </row>
    <row r="419" spans="1:9" x14ac:dyDescent="0.25">
      <c r="A419" t="s">
        <v>95</v>
      </c>
      <c r="B419" t="s">
        <v>103</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103</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158</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216</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219</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274</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284</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248</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252</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229</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90</v>
      </c>
      <c r="F430" s="6">
        <v>0.54166666666666663</v>
      </c>
      <c r="G430">
        <v>144</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90</v>
      </c>
      <c r="F431" s="6">
        <v>0.55208333333333337</v>
      </c>
      <c r="G431">
        <v>168</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90</v>
      </c>
      <c r="F432" s="6">
        <v>0.5625</v>
      </c>
      <c r="G432">
        <v>144</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90</v>
      </c>
      <c r="F433" s="6">
        <v>0.57291666666666663</v>
      </c>
      <c r="G433">
        <v>142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168</v>
      </c>
      <c r="H434" s="6">
        <f>FLOOR(tblPivotData[[#This Row],[Time]],Summary!$B$6/1440)</f>
        <v>0.66666666666666663</v>
      </c>
      <c r="I434" s="49">
        <f>INDEX(PeakCalc!$L$10:$L$303,MATCH(tblPivotData[[#This Row],[Time]],PeakCalc!$G$10:$G$303,0))</f>
        <v>1</v>
      </c>
    </row>
    <row r="435" spans="1:9" x14ac:dyDescent="0.25">
      <c r="A435" t="s">
        <v>95</v>
      </c>
      <c r="B435" t="s">
        <v>104</v>
      </c>
      <c r="C435" t="s">
        <v>93</v>
      </c>
      <c r="D435" t="s">
        <v>79</v>
      </c>
      <c r="E435" t="s">
        <v>44</v>
      </c>
      <c r="F435" s="6">
        <v>0.67708333333333337</v>
      </c>
      <c r="G435">
        <v>173</v>
      </c>
      <c r="H435" s="6">
        <f>FLOOR(tblPivotData[[#This Row],[Time]],Summary!$B$6/1440)</f>
        <v>0.67708333333333326</v>
      </c>
      <c r="I435" s="49">
        <f>INDEX(PeakCalc!$L$10:$L$303,MATCH(tblPivotData[[#This Row],[Time]],PeakCalc!$G$10:$G$303,0))</f>
        <v>1</v>
      </c>
    </row>
    <row r="436" spans="1:9" x14ac:dyDescent="0.25">
      <c r="A436" t="s">
        <v>95</v>
      </c>
      <c r="B436" t="s">
        <v>104</v>
      </c>
      <c r="C436" t="s">
        <v>93</v>
      </c>
      <c r="D436" t="s">
        <v>79</v>
      </c>
      <c r="E436" t="s">
        <v>44</v>
      </c>
      <c r="F436" s="6">
        <v>0.6875</v>
      </c>
      <c r="G436">
        <v>169</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166</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155</v>
      </c>
      <c r="H438" s="6">
        <f>FLOOR(tblPivotData[[#This Row],[Time]],Summary!$B$6/1440)</f>
        <v>0.70833333333333326</v>
      </c>
      <c r="I438" s="49">
        <f>INDEX(PeakCalc!$L$10:$L$303,MATCH(tblPivotData[[#This Row],[Time]],PeakCalc!$G$10:$G$303,0))</f>
        <v>0</v>
      </c>
    </row>
    <row r="439" spans="1:9" x14ac:dyDescent="0.25">
      <c r="A439" t="s">
        <v>95</v>
      </c>
      <c r="B439" t="s">
        <v>104</v>
      </c>
      <c r="C439" t="s">
        <v>93</v>
      </c>
      <c r="D439" t="s">
        <v>79</v>
      </c>
      <c r="E439" t="s">
        <v>44</v>
      </c>
      <c r="F439" s="6">
        <v>0.71875</v>
      </c>
      <c r="G439">
        <v>156</v>
      </c>
      <c r="H439" s="6">
        <f>FLOOR(tblPivotData[[#This Row],[Time]],Summary!$B$6/1440)</f>
        <v>0.71875</v>
      </c>
      <c r="I439" s="49">
        <f>INDEX(PeakCalc!$L$10:$L$303,MATCH(tblPivotData[[#This Row],[Time]],PeakCalc!$G$10:$G$303,0))</f>
        <v>0</v>
      </c>
    </row>
    <row r="440" spans="1:9" x14ac:dyDescent="0.25">
      <c r="A440" t="s">
        <v>95</v>
      </c>
      <c r="B440" t="s">
        <v>104</v>
      </c>
      <c r="C440" t="s">
        <v>93</v>
      </c>
      <c r="D440" t="s">
        <v>79</v>
      </c>
      <c r="E440" t="s">
        <v>44</v>
      </c>
      <c r="F440" s="6">
        <v>0.72916666666666663</v>
      </c>
      <c r="G440">
        <v>137</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157</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2</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6</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5</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7</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4</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7</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3</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90</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90</v>
      </c>
      <c r="F451" s="6">
        <v>0.55208333333333337</v>
      </c>
      <c r="G451">
        <v>4</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90</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90</v>
      </c>
      <c r="F453" s="6">
        <v>0.57291666666666663</v>
      </c>
      <c r="G453">
        <v>5</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3</v>
      </c>
      <c r="H454" s="6">
        <f>FLOOR(tblPivotData[[#This Row],[Time]],Summary!$B$6/1440)</f>
        <v>0.66666666666666663</v>
      </c>
      <c r="I454" s="49">
        <f>INDEX(PeakCalc!$L$10:$L$303,MATCH(tblPivotData[[#This Row],[Time]],PeakCalc!$G$10:$G$303,0))</f>
        <v>1</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1</v>
      </c>
    </row>
    <row r="456" spans="1:9" x14ac:dyDescent="0.25">
      <c r="A456" t="s">
        <v>95</v>
      </c>
      <c r="B456" t="s">
        <v>104</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2</v>
      </c>
      <c r="H458" s="6">
        <f>FLOOR(tblPivotData[[#This Row],[Time]],Summary!$B$6/1440)</f>
        <v>0.70833333333333326</v>
      </c>
      <c r="I458" s="49">
        <f>INDEX(PeakCalc!$L$10:$L$303,MATCH(tblPivotData[[#This Row],[Time]],PeakCalc!$G$10:$G$303,0))</f>
        <v>0</v>
      </c>
    </row>
    <row r="459" spans="1:9" x14ac:dyDescent="0.25">
      <c r="A459" t="s">
        <v>95</v>
      </c>
      <c r="B459" t="s">
        <v>104</v>
      </c>
      <c r="C459" t="s">
        <v>93</v>
      </c>
      <c r="D459" t="s">
        <v>89</v>
      </c>
      <c r="E459" t="s">
        <v>44</v>
      </c>
      <c r="F459" s="6">
        <v>0.71875</v>
      </c>
      <c r="G459">
        <v>4</v>
      </c>
      <c r="H459" s="6">
        <f>FLOOR(tblPivotData[[#This Row],[Time]],Summary!$B$6/1440)</f>
        <v>0.71875</v>
      </c>
      <c r="I459" s="49">
        <f>INDEX(PeakCalc!$L$10:$L$303,MATCH(tblPivotData[[#This Row],[Time]],PeakCalc!$G$10:$G$303,0))</f>
        <v>0</v>
      </c>
    </row>
    <row r="460" spans="1:9" x14ac:dyDescent="0.25">
      <c r="A460" t="s">
        <v>95</v>
      </c>
      <c r="B460" t="s">
        <v>104</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3</v>
      </c>
      <c r="H461" s="6">
        <f>FLOOR(tblPivotData[[#This Row],[Time]],Summary!$B$6/1440)</f>
        <v>0.73958333333333326</v>
      </c>
      <c r="I461" s="49">
        <f>INDEX(PeakCalc!$L$10:$L$303,MATCH(tblPivotData[[#This Row],[Time]],PeakCalc!$G$10:$G$303,0))</f>
        <v>0</v>
      </c>
    </row>
    <row r="462" spans="1:9" x14ac:dyDescent="0.25">
      <c r="A462" t="s">
        <v>95</v>
      </c>
      <c r="B462" t="s">
        <v>104</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91</v>
      </c>
      <c r="E464" t="s">
        <v>43</v>
      </c>
      <c r="F464" s="6">
        <v>0.3125</v>
      </c>
      <c r="G464">
        <v>2</v>
      </c>
      <c r="H464" s="6">
        <f>FLOOR(tblPivotData[[#This Row],[Time]],Summary!$B$6/1440)</f>
        <v>0.3125</v>
      </c>
      <c r="I464" s="49">
        <f>INDEX(PeakCalc!$L$10:$L$303,MATCH(tblPivotData[[#This Row],[Time]],PeakCalc!$G$10:$G$303,0))</f>
        <v>0</v>
      </c>
    </row>
    <row r="465" spans="1:9" x14ac:dyDescent="0.25">
      <c r="A465" t="s">
        <v>95</v>
      </c>
      <c r="B465" t="s">
        <v>104</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91</v>
      </c>
      <c r="E466" t="s">
        <v>43</v>
      </c>
      <c r="F466" s="6">
        <v>0.33333333333333331</v>
      </c>
      <c r="G466">
        <v>6</v>
      </c>
      <c r="H466" s="6">
        <f>FLOOR(tblPivotData[[#This Row],[Time]],Summary!$B$6/1440)</f>
        <v>0.33333333333333331</v>
      </c>
      <c r="I466" s="49">
        <f>INDEX(PeakCalc!$L$10:$L$303,MATCH(tblPivotData[[#This Row],[Time]],PeakCalc!$G$10:$G$303,0))</f>
        <v>1</v>
      </c>
    </row>
    <row r="467" spans="1:9" x14ac:dyDescent="0.25">
      <c r="A467" t="s">
        <v>95</v>
      </c>
      <c r="B467" t="s">
        <v>104</v>
      </c>
      <c r="C467" t="s">
        <v>93</v>
      </c>
      <c r="D467" t="s">
        <v>91</v>
      </c>
      <c r="E467" t="s">
        <v>43</v>
      </c>
      <c r="F467" s="6">
        <v>0.34375</v>
      </c>
      <c r="G467">
        <v>16</v>
      </c>
      <c r="H467" s="6">
        <f>FLOOR(tblPivotData[[#This Row],[Time]],Summary!$B$6/1440)</f>
        <v>0.34375</v>
      </c>
      <c r="I467" s="49">
        <f>INDEX(PeakCalc!$L$10:$L$303,MATCH(tblPivotData[[#This Row],[Time]],PeakCalc!$G$10:$G$303,0))</f>
        <v>1</v>
      </c>
    </row>
    <row r="468" spans="1:9" x14ac:dyDescent="0.25">
      <c r="A468" t="s">
        <v>95</v>
      </c>
      <c r="B468" t="s">
        <v>104</v>
      </c>
      <c r="C468" t="s">
        <v>93</v>
      </c>
      <c r="D468" t="s">
        <v>91</v>
      </c>
      <c r="E468" t="s">
        <v>43</v>
      </c>
      <c r="F468" s="6">
        <v>0.35416666666666669</v>
      </c>
      <c r="G468">
        <v>4</v>
      </c>
      <c r="H468" s="6">
        <f>FLOOR(tblPivotData[[#This Row],[Time]],Summary!$B$6/1440)</f>
        <v>0.35416666666666663</v>
      </c>
      <c r="I468" s="49">
        <f>INDEX(PeakCalc!$L$10:$L$303,MATCH(tblPivotData[[#This Row],[Time]],PeakCalc!$G$10:$G$303,0))</f>
        <v>1</v>
      </c>
    </row>
    <row r="469" spans="1:9" x14ac:dyDescent="0.25">
      <c r="A469" t="s">
        <v>95</v>
      </c>
      <c r="B469" t="s">
        <v>104</v>
      </c>
      <c r="C469" t="s">
        <v>93</v>
      </c>
      <c r="D469" t="s">
        <v>91</v>
      </c>
      <c r="E469" t="s">
        <v>43</v>
      </c>
      <c r="F469" s="6">
        <v>0.36458333333333331</v>
      </c>
      <c r="G469">
        <v>13</v>
      </c>
      <c r="H469" s="6">
        <f>FLOOR(tblPivotData[[#This Row],[Time]],Summary!$B$6/1440)</f>
        <v>0.36458333333333331</v>
      </c>
      <c r="I469" s="49">
        <f>INDEX(PeakCalc!$L$10:$L$303,MATCH(tblPivotData[[#This Row],[Time]],PeakCalc!$G$10:$G$303,0))</f>
        <v>0</v>
      </c>
    </row>
    <row r="470" spans="1:9" x14ac:dyDescent="0.25">
      <c r="A470" t="s">
        <v>95</v>
      </c>
      <c r="B470" t="s">
        <v>104</v>
      </c>
      <c r="C470" t="s">
        <v>93</v>
      </c>
      <c r="D470" t="s">
        <v>91</v>
      </c>
      <c r="E470" t="s">
        <v>90</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104</v>
      </c>
      <c r="C471" t="s">
        <v>93</v>
      </c>
      <c r="D471" t="s">
        <v>91</v>
      </c>
      <c r="E471" t="s">
        <v>90</v>
      </c>
      <c r="F471" s="6">
        <v>0.55208333333333337</v>
      </c>
      <c r="G471">
        <v>3</v>
      </c>
      <c r="H471" s="6">
        <f>FLOOR(tblPivotData[[#This Row],[Time]],Summary!$B$6/1440)</f>
        <v>0.55208333333333326</v>
      </c>
      <c r="I471" s="49">
        <f>INDEX(PeakCalc!$L$10:$L$303,MATCH(tblPivotData[[#This Row],[Time]],PeakCalc!$G$10:$G$303,0))</f>
        <v>1</v>
      </c>
    </row>
    <row r="472" spans="1:9" x14ac:dyDescent="0.25">
      <c r="A472" t="s">
        <v>95</v>
      </c>
      <c r="B472" t="s">
        <v>104</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91</v>
      </c>
      <c r="E474" t="s">
        <v>44</v>
      </c>
      <c r="F474" s="6">
        <v>0.66666666666666663</v>
      </c>
      <c r="G474">
        <v>2</v>
      </c>
      <c r="H474" s="6">
        <f>FLOOR(tblPivotData[[#This Row],[Time]],Summary!$B$6/1440)</f>
        <v>0.66666666666666663</v>
      </c>
      <c r="I474" s="49">
        <f>INDEX(PeakCalc!$L$10:$L$303,MATCH(tblPivotData[[#This Row],[Time]],PeakCalc!$G$10:$G$303,0))</f>
        <v>1</v>
      </c>
    </row>
    <row r="475" spans="1:9" x14ac:dyDescent="0.25">
      <c r="A475" t="s">
        <v>95</v>
      </c>
      <c r="B475" t="s">
        <v>104</v>
      </c>
      <c r="C475" t="s">
        <v>93</v>
      </c>
      <c r="D475" t="s">
        <v>91</v>
      </c>
      <c r="E475" t="s">
        <v>44</v>
      </c>
      <c r="F475" s="6">
        <v>0.67708333333333337</v>
      </c>
      <c r="G475">
        <v>2</v>
      </c>
      <c r="H475" s="6">
        <f>FLOOR(tblPivotData[[#This Row],[Time]],Summary!$B$6/1440)</f>
        <v>0.67708333333333326</v>
      </c>
      <c r="I475" s="49">
        <f>INDEX(PeakCalc!$L$10:$L$303,MATCH(tblPivotData[[#This Row],[Time]],PeakCalc!$G$10:$G$303,0))</f>
        <v>1</v>
      </c>
    </row>
    <row r="476" spans="1:9" x14ac:dyDescent="0.25">
      <c r="A476" t="s">
        <v>95</v>
      </c>
      <c r="B476" t="s">
        <v>104</v>
      </c>
      <c r="C476" t="s">
        <v>93</v>
      </c>
      <c r="D476" t="s">
        <v>91</v>
      </c>
      <c r="E476" t="s">
        <v>44</v>
      </c>
      <c r="F476" s="6">
        <v>0.6875</v>
      </c>
      <c r="G476">
        <v>3</v>
      </c>
      <c r="H476" s="6">
        <f>FLOOR(tblPivotData[[#This Row],[Time]],Summary!$B$6/1440)</f>
        <v>0.6875</v>
      </c>
      <c r="I476" s="49">
        <f>INDEX(PeakCalc!$L$10:$L$303,MATCH(tblPivotData[[#This Row],[Time]],PeakCalc!$G$10:$G$303,0))</f>
        <v>1</v>
      </c>
    </row>
    <row r="477" spans="1:9" x14ac:dyDescent="0.25">
      <c r="A477" t="s">
        <v>95</v>
      </c>
      <c r="B477" t="s">
        <v>104</v>
      </c>
      <c r="C477" t="s">
        <v>93</v>
      </c>
      <c r="D477" t="s">
        <v>91</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104</v>
      </c>
      <c r="C478" t="s">
        <v>93</v>
      </c>
      <c r="D478" t="s">
        <v>91</v>
      </c>
      <c r="E478" t="s">
        <v>44</v>
      </c>
      <c r="F478" s="6">
        <v>0.70833333333333337</v>
      </c>
      <c r="G478">
        <v>5</v>
      </c>
      <c r="H478" s="6">
        <f>FLOOR(tblPivotData[[#This Row],[Time]],Summary!$B$6/1440)</f>
        <v>0.70833333333333326</v>
      </c>
      <c r="I478" s="49">
        <f>INDEX(PeakCalc!$L$10:$L$303,MATCH(tblPivotData[[#This Row],[Time]],PeakCalc!$G$10:$G$303,0))</f>
        <v>0</v>
      </c>
    </row>
    <row r="479" spans="1:9" x14ac:dyDescent="0.25">
      <c r="A479" t="s">
        <v>95</v>
      </c>
      <c r="B479" t="s">
        <v>104</v>
      </c>
      <c r="C479" t="s">
        <v>93</v>
      </c>
      <c r="D479" t="s">
        <v>91</v>
      </c>
      <c r="E479" t="s">
        <v>44</v>
      </c>
      <c r="F479" s="6">
        <v>0.71875</v>
      </c>
      <c r="G479">
        <v>4</v>
      </c>
      <c r="H479" s="6">
        <f>FLOOR(tblPivotData[[#This Row],[Time]],Summary!$B$6/1440)</f>
        <v>0.71875</v>
      </c>
      <c r="I479" s="49">
        <f>INDEX(PeakCalc!$L$10:$L$303,MATCH(tblPivotData[[#This Row],[Time]],PeakCalc!$G$10:$G$303,0))</f>
        <v>0</v>
      </c>
    </row>
    <row r="480" spans="1:9" x14ac:dyDescent="0.25">
      <c r="A480" t="s">
        <v>95</v>
      </c>
      <c r="B480" t="s">
        <v>104</v>
      </c>
      <c r="C480" t="s">
        <v>93</v>
      </c>
      <c r="D480" t="s">
        <v>91</v>
      </c>
      <c r="E480" t="s">
        <v>44</v>
      </c>
      <c r="F480" s="6">
        <v>0.72916666666666663</v>
      </c>
      <c r="G480">
        <v>2</v>
      </c>
      <c r="H480" s="6">
        <f>FLOOR(tblPivotData[[#This Row],[Time]],Summary!$B$6/1440)</f>
        <v>0.72916666666666663</v>
      </c>
      <c r="I480" s="49">
        <f>INDEX(PeakCalc!$L$10:$L$303,MATCH(tblPivotData[[#This Row],[Time]],PeakCalc!$G$10:$G$303,0))</f>
        <v>0</v>
      </c>
    </row>
    <row r="481" spans="1:9" x14ac:dyDescent="0.25">
      <c r="A481" t="s">
        <v>95</v>
      </c>
      <c r="B481" t="s">
        <v>104</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7</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19</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18</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20</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10</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17</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14</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15</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90</v>
      </c>
      <c r="F490" s="6">
        <v>0.54166666666666663</v>
      </c>
      <c r="G490">
        <v>14</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90</v>
      </c>
      <c r="F491" s="6">
        <v>0.55208333333333337</v>
      </c>
      <c r="G491">
        <v>12</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90</v>
      </c>
      <c r="F492" s="6">
        <v>0.5625</v>
      </c>
      <c r="G492">
        <v>10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90</v>
      </c>
      <c r="F493" s="6">
        <v>0.57291666666666663</v>
      </c>
      <c r="G493">
        <v>20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20</v>
      </c>
      <c r="H494" s="6">
        <f>FLOOR(tblPivotData[[#This Row],[Time]],Summary!$B$6/1440)</f>
        <v>0.66666666666666663</v>
      </c>
      <c r="I494" s="49">
        <f>INDEX(PeakCalc!$L$10:$L$303,MATCH(tblPivotData[[#This Row],[Time]],PeakCalc!$G$10:$G$303,0))</f>
        <v>1</v>
      </c>
    </row>
    <row r="495" spans="1:9" x14ac:dyDescent="0.25">
      <c r="A495" t="s">
        <v>95</v>
      </c>
      <c r="B495" t="s">
        <v>105</v>
      </c>
      <c r="C495" t="s">
        <v>94</v>
      </c>
      <c r="D495" t="s">
        <v>79</v>
      </c>
      <c r="E495" t="s">
        <v>44</v>
      </c>
      <c r="F495" s="6">
        <v>0.67708333333333337</v>
      </c>
      <c r="G495">
        <v>15</v>
      </c>
      <c r="H495" s="6">
        <f>FLOOR(tblPivotData[[#This Row],[Time]],Summary!$B$6/1440)</f>
        <v>0.67708333333333326</v>
      </c>
      <c r="I495" s="49">
        <f>INDEX(PeakCalc!$L$10:$L$303,MATCH(tblPivotData[[#This Row],[Time]],PeakCalc!$G$10:$G$303,0))</f>
        <v>1</v>
      </c>
    </row>
    <row r="496" spans="1:9" x14ac:dyDescent="0.25">
      <c r="A496" t="s">
        <v>95</v>
      </c>
      <c r="B496" t="s">
        <v>105</v>
      </c>
      <c r="C496" t="s">
        <v>94</v>
      </c>
      <c r="D496" t="s">
        <v>79</v>
      </c>
      <c r="E496" t="s">
        <v>44</v>
      </c>
      <c r="F496" s="6">
        <v>0.6875</v>
      </c>
      <c r="G496">
        <v>26</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29</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19</v>
      </c>
      <c r="H498" s="6">
        <f>FLOOR(tblPivotData[[#This Row],[Time]],Summary!$B$6/1440)</f>
        <v>0.70833333333333326</v>
      </c>
      <c r="I498" s="49">
        <f>INDEX(PeakCalc!$L$10:$L$303,MATCH(tblPivotData[[#This Row],[Time]],PeakCalc!$G$10:$G$303,0))</f>
        <v>0</v>
      </c>
    </row>
    <row r="499" spans="1:9" x14ac:dyDescent="0.25">
      <c r="A499" t="s">
        <v>95</v>
      </c>
      <c r="B499" t="s">
        <v>105</v>
      </c>
      <c r="C499" t="s">
        <v>94</v>
      </c>
      <c r="D499" t="s">
        <v>79</v>
      </c>
      <c r="E499" t="s">
        <v>44</v>
      </c>
      <c r="F499" s="6">
        <v>0.71875</v>
      </c>
      <c r="G499">
        <v>23</v>
      </c>
      <c r="H499" s="6">
        <f>FLOOR(tblPivotData[[#This Row],[Time]],Summary!$B$6/1440)</f>
        <v>0.71875</v>
      </c>
      <c r="I499" s="49">
        <f>INDEX(PeakCalc!$L$10:$L$303,MATCH(tblPivotData[[#This Row],[Time]],PeakCalc!$G$10:$G$303,0))</f>
        <v>0</v>
      </c>
    </row>
    <row r="500" spans="1:9" x14ac:dyDescent="0.25">
      <c r="A500" t="s">
        <v>95</v>
      </c>
      <c r="B500" t="s">
        <v>105</v>
      </c>
      <c r="C500" t="s">
        <v>94</v>
      </c>
      <c r="D500" t="s">
        <v>79</v>
      </c>
      <c r="E500" t="s">
        <v>44</v>
      </c>
      <c r="F500" s="6">
        <v>0.72916666666666663</v>
      </c>
      <c r="G500">
        <v>24</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18</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1</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1</v>
      </c>
      <c r="H514" s="6">
        <f>FLOOR(tblPivotData[[#This Row],[Time]],Summary!$B$6/1440)</f>
        <v>0.66666666666666663</v>
      </c>
      <c r="I514" s="49">
        <f>INDEX(PeakCalc!$L$10:$L$303,MATCH(tblPivotData[[#This Row],[Time]],PeakCalc!$G$10:$G$303,0))</f>
        <v>1</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1</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0</v>
      </c>
    </row>
    <row r="519" spans="1:9" x14ac:dyDescent="0.25">
      <c r="A519" t="s">
        <v>95</v>
      </c>
      <c r="B519" t="s">
        <v>105</v>
      </c>
      <c r="C519" t="s">
        <v>94</v>
      </c>
      <c r="D519" t="s">
        <v>89</v>
      </c>
      <c r="E519" t="s">
        <v>44</v>
      </c>
      <c r="F519" s="6">
        <v>0.71875</v>
      </c>
      <c r="G519">
        <v>2</v>
      </c>
      <c r="H519" s="6">
        <f>FLOOR(tblPivotData[[#This Row],[Time]],Summary!$B$6/1440)</f>
        <v>0.71875</v>
      </c>
      <c r="I519" s="49">
        <f>INDEX(PeakCalc!$L$10:$L$303,MATCH(tblPivotData[[#This Row],[Time]],PeakCalc!$G$10:$G$303,0))</f>
        <v>0</v>
      </c>
    </row>
    <row r="520" spans="1:9" x14ac:dyDescent="0.25">
      <c r="A520" t="s">
        <v>95</v>
      </c>
      <c r="B520" t="s">
        <v>105</v>
      </c>
      <c r="C520" t="s">
        <v>94</v>
      </c>
      <c r="D520" t="s">
        <v>89</v>
      </c>
      <c r="E520" t="s">
        <v>44</v>
      </c>
      <c r="F520" s="6">
        <v>0.72916666666666663</v>
      </c>
      <c r="G520">
        <v>1</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91</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91</v>
      </c>
      <c r="E534" t="s">
        <v>44</v>
      </c>
      <c r="F534" s="6">
        <v>0.66666666666666663</v>
      </c>
      <c r="G534">
        <v>0</v>
      </c>
      <c r="H534" s="6">
        <f>FLOOR(tblPivotData[[#This Row],[Time]],Summary!$B$6/1440)</f>
        <v>0.66666666666666663</v>
      </c>
      <c r="I534" s="49">
        <f>INDEX(PeakCalc!$L$10:$L$303,MATCH(tblPivotData[[#This Row],[Time]],PeakCalc!$G$10:$G$303,0))</f>
        <v>1</v>
      </c>
    </row>
    <row r="535" spans="1:9" x14ac:dyDescent="0.25">
      <c r="A535" t="s">
        <v>95</v>
      </c>
      <c r="B535" t="s">
        <v>105</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105</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91</v>
      </c>
      <c r="E538" t="s">
        <v>44</v>
      </c>
      <c r="F538" s="6">
        <v>0.70833333333333337</v>
      </c>
      <c r="G538">
        <v>0</v>
      </c>
      <c r="H538" s="6">
        <f>FLOOR(tblPivotData[[#This Row],[Time]],Summary!$B$6/1440)</f>
        <v>0.70833333333333326</v>
      </c>
      <c r="I538" s="49">
        <f>INDEX(PeakCalc!$L$10:$L$303,MATCH(tblPivotData[[#This Row],[Time]],PeakCalc!$G$10:$G$303,0))</f>
        <v>0</v>
      </c>
    </row>
    <row r="539" spans="1:9" x14ac:dyDescent="0.25">
      <c r="A539" t="s">
        <v>95</v>
      </c>
      <c r="B539" t="s">
        <v>105</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105</v>
      </c>
      <c r="C540" t="s">
        <v>94</v>
      </c>
      <c r="D540" t="s">
        <v>91</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3</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9</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11</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12</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10</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14</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3</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90</v>
      </c>
      <c r="F550" s="6">
        <v>0.54166666666666663</v>
      </c>
      <c r="G550">
        <v>16</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90</v>
      </c>
      <c r="F551" s="6">
        <v>0.55208333333333337</v>
      </c>
      <c r="G551">
        <v>21</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90</v>
      </c>
      <c r="F552" s="6">
        <v>0.5625</v>
      </c>
      <c r="G552">
        <v>17</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90</v>
      </c>
      <c r="F553" s="6">
        <v>0.57291666666666663</v>
      </c>
      <c r="G553">
        <v>13</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19</v>
      </c>
      <c r="H554" s="6">
        <f>FLOOR(tblPivotData[[#This Row],[Time]],Summary!$B$6/1440)</f>
        <v>0.66666666666666663</v>
      </c>
      <c r="I554" s="49">
        <f>INDEX(PeakCalc!$L$10:$L$303,MATCH(tblPivotData[[#This Row],[Time]],PeakCalc!$G$10:$G$303,0))</f>
        <v>1</v>
      </c>
    </row>
    <row r="555" spans="1:9" x14ac:dyDescent="0.25">
      <c r="A555" t="s">
        <v>96</v>
      </c>
      <c r="B555" t="s">
        <v>106</v>
      </c>
      <c r="C555" t="s">
        <v>93</v>
      </c>
      <c r="D555" t="s">
        <v>79</v>
      </c>
      <c r="E555" t="s">
        <v>44</v>
      </c>
      <c r="F555" s="6">
        <v>0.67708333333333337</v>
      </c>
      <c r="G555">
        <v>20</v>
      </c>
      <c r="H555" s="6">
        <f>FLOOR(tblPivotData[[#This Row],[Time]],Summary!$B$6/1440)</f>
        <v>0.67708333333333326</v>
      </c>
      <c r="I555" s="49">
        <f>INDEX(PeakCalc!$L$10:$L$303,MATCH(tblPivotData[[#This Row],[Time]],PeakCalc!$G$10:$G$303,0))</f>
        <v>1</v>
      </c>
    </row>
    <row r="556" spans="1:9" x14ac:dyDescent="0.25">
      <c r="A556" t="s">
        <v>96</v>
      </c>
      <c r="B556" t="s">
        <v>106</v>
      </c>
      <c r="C556" t="s">
        <v>93</v>
      </c>
      <c r="D556" t="s">
        <v>79</v>
      </c>
      <c r="E556" t="s">
        <v>44</v>
      </c>
      <c r="F556" s="6">
        <v>0.6875</v>
      </c>
      <c r="G556">
        <v>24</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22</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28</v>
      </c>
      <c r="H558" s="6">
        <f>FLOOR(tblPivotData[[#This Row],[Time]],Summary!$B$6/1440)</f>
        <v>0.70833333333333326</v>
      </c>
      <c r="I558" s="49">
        <f>INDEX(PeakCalc!$L$10:$L$303,MATCH(tblPivotData[[#This Row],[Time]],PeakCalc!$G$10:$G$303,0))</f>
        <v>0</v>
      </c>
    </row>
    <row r="559" spans="1:9" x14ac:dyDescent="0.25">
      <c r="A559" t="s">
        <v>96</v>
      </c>
      <c r="B559" t="s">
        <v>106</v>
      </c>
      <c r="C559" t="s">
        <v>93</v>
      </c>
      <c r="D559" t="s">
        <v>79</v>
      </c>
      <c r="E559" t="s">
        <v>44</v>
      </c>
      <c r="F559" s="6">
        <v>0.71875</v>
      </c>
      <c r="G559">
        <v>14</v>
      </c>
      <c r="H559" s="6">
        <f>FLOOR(tblPivotData[[#This Row],[Time]],Summary!$B$6/1440)</f>
        <v>0.71875</v>
      </c>
      <c r="I559" s="49">
        <f>INDEX(PeakCalc!$L$10:$L$303,MATCH(tblPivotData[[#This Row],[Time]],PeakCalc!$G$10:$G$303,0))</f>
        <v>0</v>
      </c>
    </row>
    <row r="560" spans="1:9" x14ac:dyDescent="0.25">
      <c r="A560" t="s">
        <v>96</v>
      </c>
      <c r="B560" t="s">
        <v>106</v>
      </c>
      <c r="C560" t="s">
        <v>93</v>
      </c>
      <c r="D560" t="s">
        <v>79</v>
      </c>
      <c r="E560" t="s">
        <v>44</v>
      </c>
      <c r="F560" s="6">
        <v>0.72916666666666663</v>
      </c>
      <c r="G560">
        <v>10</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16</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1</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1</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1</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90</v>
      </c>
      <c r="F570" s="6">
        <v>0.54166666666666663</v>
      </c>
      <c r="G570">
        <v>1</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90</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90</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1</v>
      </c>
    </row>
    <row r="575" spans="1:9" x14ac:dyDescent="0.25">
      <c r="A575" t="s">
        <v>96</v>
      </c>
      <c r="B575" t="s">
        <v>106</v>
      </c>
      <c r="C575" t="s">
        <v>93</v>
      </c>
      <c r="D575" t="s">
        <v>89</v>
      </c>
      <c r="E575" t="s">
        <v>44</v>
      </c>
      <c r="F575" s="6">
        <v>0.67708333333333337</v>
      </c>
      <c r="G575">
        <v>1</v>
      </c>
      <c r="H575" s="6">
        <f>FLOOR(tblPivotData[[#This Row],[Time]],Summary!$B$6/1440)</f>
        <v>0.67708333333333326</v>
      </c>
      <c r="I575" s="49">
        <f>INDEX(PeakCalc!$L$10:$L$303,MATCH(tblPivotData[[#This Row],[Time]],PeakCalc!$G$10:$G$303,0))</f>
        <v>1</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0</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91</v>
      </c>
      <c r="E592" t="s">
        <v>90</v>
      </c>
      <c r="F592" s="6">
        <v>0.5625</v>
      </c>
      <c r="G592">
        <v>1</v>
      </c>
      <c r="H592" s="6">
        <f>FLOOR(tblPivotData[[#This Row],[Time]],Summary!$B$6/1440)</f>
        <v>0.5625</v>
      </c>
      <c r="I592" s="49">
        <f>INDEX(PeakCalc!$L$10:$L$303,MATCH(tblPivotData[[#This Row],[Time]],PeakCalc!$G$10:$G$303,0))</f>
        <v>1</v>
      </c>
    </row>
    <row r="593" spans="1:9" x14ac:dyDescent="0.25">
      <c r="A593" t="s">
        <v>96</v>
      </c>
      <c r="B593" t="s">
        <v>106</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91</v>
      </c>
      <c r="E594" t="s">
        <v>44</v>
      </c>
      <c r="F594" s="6">
        <v>0.66666666666666663</v>
      </c>
      <c r="G594">
        <v>0</v>
      </c>
      <c r="H594" s="6">
        <f>FLOOR(tblPivotData[[#This Row],[Time]],Summary!$B$6/1440)</f>
        <v>0.66666666666666663</v>
      </c>
      <c r="I594" s="49">
        <f>INDEX(PeakCalc!$L$10:$L$303,MATCH(tblPivotData[[#This Row],[Time]],PeakCalc!$G$10:$G$303,0))</f>
        <v>1</v>
      </c>
    </row>
    <row r="595" spans="1:9" x14ac:dyDescent="0.25">
      <c r="A595" t="s">
        <v>96</v>
      </c>
      <c r="B595" t="s">
        <v>106</v>
      </c>
      <c r="C595" t="s">
        <v>93</v>
      </c>
      <c r="D595" t="s">
        <v>91</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96</v>
      </c>
      <c r="B596" t="s">
        <v>106</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91</v>
      </c>
      <c r="E598" t="s">
        <v>44</v>
      </c>
      <c r="F598" s="6">
        <v>0.70833333333333337</v>
      </c>
      <c r="G598">
        <v>0</v>
      </c>
      <c r="H598" s="6">
        <f>FLOOR(tblPivotData[[#This Row],[Time]],Summary!$B$6/1440)</f>
        <v>0.70833333333333326</v>
      </c>
      <c r="I598" s="49">
        <f>INDEX(PeakCalc!$L$10:$L$303,MATCH(tblPivotData[[#This Row],[Time]],PeakCalc!$G$10:$G$303,0))</f>
        <v>0</v>
      </c>
    </row>
    <row r="599" spans="1:9" x14ac:dyDescent="0.25">
      <c r="A599" t="s">
        <v>96</v>
      </c>
      <c r="B599" t="s">
        <v>106</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106</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8</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16</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21</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29</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18</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19</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33</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32</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90</v>
      </c>
      <c r="F610" s="6">
        <v>0.54166666666666663</v>
      </c>
      <c r="G610">
        <v>52</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90</v>
      </c>
      <c r="F611" s="6">
        <v>0.55208333333333337</v>
      </c>
      <c r="G611">
        <v>37</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90</v>
      </c>
      <c r="F612" s="6">
        <v>0.5625</v>
      </c>
      <c r="G612">
        <v>47</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90</v>
      </c>
      <c r="F613" s="6">
        <v>0.57291666666666663</v>
      </c>
      <c r="G613">
        <v>41</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75</v>
      </c>
      <c r="H614" s="6">
        <f>FLOOR(tblPivotData[[#This Row],[Time]],Summary!$B$6/1440)</f>
        <v>0.66666666666666663</v>
      </c>
      <c r="I614" s="49">
        <f>INDEX(PeakCalc!$L$10:$L$303,MATCH(tblPivotData[[#This Row],[Time]],PeakCalc!$G$10:$G$303,0))</f>
        <v>1</v>
      </c>
    </row>
    <row r="615" spans="1:9" x14ac:dyDescent="0.25">
      <c r="A615" t="s">
        <v>96</v>
      </c>
      <c r="B615" t="s">
        <v>107</v>
      </c>
      <c r="C615" t="s">
        <v>94</v>
      </c>
      <c r="D615" t="s">
        <v>79</v>
      </c>
      <c r="E615" t="s">
        <v>44</v>
      </c>
      <c r="F615" s="6">
        <v>0.67708333333333337</v>
      </c>
      <c r="G615">
        <v>78</v>
      </c>
      <c r="H615" s="6">
        <f>FLOOR(tblPivotData[[#This Row],[Time]],Summary!$B$6/1440)</f>
        <v>0.67708333333333326</v>
      </c>
      <c r="I615" s="49">
        <f>INDEX(PeakCalc!$L$10:$L$303,MATCH(tblPivotData[[#This Row],[Time]],PeakCalc!$G$10:$G$303,0))</f>
        <v>1</v>
      </c>
    </row>
    <row r="616" spans="1:9" x14ac:dyDescent="0.25">
      <c r="A616" t="s">
        <v>96</v>
      </c>
      <c r="B616" t="s">
        <v>107</v>
      </c>
      <c r="C616" t="s">
        <v>94</v>
      </c>
      <c r="D616" t="s">
        <v>79</v>
      </c>
      <c r="E616" t="s">
        <v>44</v>
      </c>
      <c r="F616" s="6">
        <v>0.6875</v>
      </c>
      <c r="G616">
        <v>95</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68</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98</v>
      </c>
      <c r="H618" s="6">
        <f>FLOOR(tblPivotData[[#This Row],[Time]],Summary!$B$6/1440)</f>
        <v>0.70833333333333326</v>
      </c>
      <c r="I618" s="49">
        <f>INDEX(PeakCalc!$L$10:$L$303,MATCH(tblPivotData[[#This Row],[Time]],PeakCalc!$G$10:$G$303,0))</f>
        <v>0</v>
      </c>
    </row>
    <row r="619" spans="1:9" x14ac:dyDescent="0.25">
      <c r="A619" t="s">
        <v>96</v>
      </c>
      <c r="B619" t="s">
        <v>107</v>
      </c>
      <c r="C619" t="s">
        <v>94</v>
      </c>
      <c r="D619" t="s">
        <v>79</v>
      </c>
      <c r="E619" t="s">
        <v>44</v>
      </c>
      <c r="F619" s="6">
        <v>0.71875</v>
      </c>
      <c r="G619">
        <v>79</v>
      </c>
      <c r="H619" s="6">
        <f>FLOOR(tblPivotData[[#This Row],[Time]],Summary!$B$6/1440)</f>
        <v>0.71875</v>
      </c>
      <c r="I619" s="49">
        <f>INDEX(PeakCalc!$L$10:$L$303,MATCH(tblPivotData[[#This Row],[Time]],PeakCalc!$G$10:$G$303,0))</f>
        <v>0</v>
      </c>
    </row>
    <row r="620" spans="1:9" x14ac:dyDescent="0.25">
      <c r="A620" t="s">
        <v>96</v>
      </c>
      <c r="B620" t="s">
        <v>107</v>
      </c>
      <c r="C620" t="s">
        <v>94</v>
      </c>
      <c r="D620" t="s">
        <v>79</v>
      </c>
      <c r="E620" t="s">
        <v>44</v>
      </c>
      <c r="F620" s="6">
        <v>0.72916666666666663</v>
      </c>
      <c r="G620">
        <v>60</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40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6</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1</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3</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90</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90</v>
      </c>
      <c r="F632" s="6">
        <v>0.5625</v>
      </c>
      <c r="G632">
        <v>2</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90</v>
      </c>
      <c r="F633" s="6">
        <v>0.57291666666666663</v>
      </c>
      <c r="G633">
        <v>3</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1</v>
      </c>
      <c r="H634" s="6">
        <f>FLOOR(tblPivotData[[#This Row],[Time]],Summary!$B$6/1440)</f>
        <v>0.66666666666666663</v>
      </c>
      <c r="I634" s="49">
        <f>INDEX(PeakCalc!$L$10:$L$303,MATCH(tblPivotData[[#This Row],[Time]],PeakCalc!$G$10:$G$303,0))</f>
        <v>1</v>
      </c>
    </row>
    <row r="635" spans="1:9" x14ac:dyDescent="0.25">
      <c r="A635" t="s">
        <v>96</v>
      </c>
      <c r="B635" t="s">
        <v>107</v>
      </c>
      <c r="C635" t="s">
        <v>94</v>
      </c>
      <c r="D635" t="s">
        <v>89</v>
      </c>
      <c r="E635" t="s">
        <v>44</v>
      </c>
      <c r="F635" s="6">
        <v>0.67708333333333337</v>
      </c>
      <c r="G635">
        <v>1</v>
      </c>
      <c r="H635" s="6">
        <f>FLOOR(tblPivotData[[#This Row],[Time]],Summary!$B$6/1440)</f>
        <v>0.67708333333333326</v>
      </c>
      <c r="I635" s="49">
        <f>INDEX(PeakCalc!$L$10:$L$303,MATCH(tblPivotData[[#This Row],[Time]],PeakCalc!$G$10:$G$303,0))</f>
        <v>1</v>
      </c>
    </row>
    <row r="636" spans="1:9" x14ac:dyDescent="0.25">
      <c r="A636" t="s">
        <v>96</v>
      </c>
      <c r="B636" t="s">
        <v>107</v>
      </c>
      <c r="C636" t="s">
        <v>94</v>
      </c>
      <c r="D636" t="s">
        <v>89</v>
      </c>
      <c r="E636" t="s">
        <v>44</v>
      </c>
      <c r="F636" s="6">
        <v>0.6875</v>
      </c>
      <c r="G636">
        <v>1</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0</v>
      </c>
    </row>
    <row r="639" spans="1:9" x14ac:dyDescent="0.25">
      <c r="A639" t="s">
        <v>96</v>
      </c>
      <c r="B639" t="s">
        <v>107</v>
      </c>
      <c r="C639" t="s">
        <v>94</v>
      </c>
      <c r="D639" t="s">
        <v>89</v>
      </c>
      <c r="E639" t="s">
        <v>44</v>
      </c>
      <c r="F639" s="6">
        <v>0.71875</v>
      </c>
      <c r="G639">
        <v>2</v>
      </c>
      <c r="H639" s="6">
        <f>FLOOR(tblPivotData[[#This Row],[Time]],Summary!$B$6/1440)</f>
        <v>0.71875</v>
      </c>
      <c r="I639" s="49">
        <f>INDEX(PeakCalc!$L$10:$L$303,MATCH(tblPivotData[[#This Row],[Time]],PeakCalc!$G$10:$G$303,0))</f>
        <v>0</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1</v>
      </c>
      <c r="H641" s="6">
        <f>FLOOR(tblPivotData[[#This Row],[Time]],Summary!$B$6/1440)</f>
        <v>0.73958333333333326</v>
      </c>
      <c r="I641" s="49">
        <f>INDEX(PeakCalc!$L$10:$L$303,MATCH(tblPivotData[[#This Row],[Time]],PeakCalc!$G$10:$G$303,0))</f>
        <v>0</v>
      </c>
    </row>
    <row r="642" spans="1:9" x14ac:dyDescent="0.25">
      <c r="A642" t="s">
        <v>96</v>
      </c>
      <c r="B642" t="s">
        <v>107</v>
      </c>
      <c r="C642" t="s">
        <v>94</v>
      </c>
      <c r="D642" t="s">
        <v>91</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91</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91</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91</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96</v>
      </c>
      <c r="B646" t="s">
        <v>107</v>
      </c>
      <c r="C646" t="s">
        <v>94</v>
      </c>
      <c r="D646" t="s">
        <v>91</v>
      </c>
      <c r="E646" t="s">
        <v>43</v>
      </c>
      <c r="F646" s="6">
        <v>0.33333333333333331</v>
      </c>
      <c r="G646">
        <v>3</v>
      </c>
      <c r="H646" s="6">
        <f>FLOOR(tblPivotData[[#This Row],[Time]],Summary!$B$6/1440)</f>
        <v>0.33333333333333331</v>
      </c>
      <c r="I646" s="49">
        <f>INDEX(PeakCalc!$L$10:$L$303,MATCH(tblPivotData[[#This Row],[Time]],PeakCalc!$G$10:$G$303,0))</f>
        <v>1</v>
      </c>
    </row>
    <row r="647" spans="1:9" x14ac:dyDescent="0.25">
      <c r="A647" t="s">
        <v>96</v>
      </c>
      <c r="B647" t="s">
        <v>107</v>
      </c>
      <c r="C647" t="s">
        <v>94</v>
      </c>
      <c r="D647" t="s">
        <v>91</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91</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91</v>
      </c>
      <c r="E649" t="s">
        <v>43</v>
      </c>
      <c r="F649" s="6">
        <v>0.36458333333333331</v>
      </c>
      <c r="G649">
        <v>1</v>
      </c>
      <c r="H649" s="6">
        <f>FLOOR(tblPivotData[[#This Row],[Time]],Summary!$B$6/1440)</f>
        <v>0.36458333333333331</v>
      </c>
      <c r="I649" s="49">
        <f>INDEX(PeakCalc!$L$10:$L$303,MATCH(tblPivotData[[#This Row],[Time]],PeakCalc!$G$10:$G$303,0))</f>
        <v>0</v>
      </c>
    </row>
    <row r="650" spans="1:9" x14ac:dyDescent="0.25">
      <c r="A650" t="s">
        <v>96</v>
      </c>
      <c r="B650" t="s">
        <v>107</v>
      </c>
      <c r="C650" t="s">
        <v>94</v>
      </c>
      <c r="D650" t="s">
        <v>91</v>
      </c>
      <c r="E650" t="s">
        <v>90</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91</v>
      </c>
      <c r="E651" t="s">
        <v>90</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91</v>
      </c>
      <c r="E652" t="s">
        <v>90</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91</v>
      </c>
      <c r="E653" t="s">
        <v>90</v>
      </c>
      <c r="F653" s="6">
        <v>0.57291666666666663</v>
      </c>
      <c r="G653">
        <v>2</v>
      </c>
      <c r="H653" s="6">
        <f>FLOOR(tblPivotData[[#This Row],[Time]],Summary!$B$6/1440)</f>
        <v>0.57291666666666663</v>
      </c>
      <c r="I653" s="49">
        <f>INDEX(PeakCalc!$L$10:$L$303,MATCH(tblPivotData[[#This Row],[Time]],PeakCalc!$G$10:$G$303,0))</f>
        <v>1</v>
      </c>
    </row>
    <row r="654" spans="1:9" x14ac:dyDescent="0.25">
      <c r="A654" t="s">
        <v>96</v>
      </c>
      <c r="B654" t="s">
        <v>107</v>
      </c>
      <c r="C654" t="s">
        <v>94</v>
      </c>
      <c r="D654" t="s">
        <v>91</v>
      </c>
      <c r="E654" t="s">
        <v>44</v>
      </c>
      <c r="F654" s="6">
        <v>0.66666666666666663</v>
      </c>
      <c r="G654">
        <v>2</v>
      </c>
      <c r="H654" s="6">
        <f>FLOOR(tblPivotData[[#This Row],[Time]],Summary!$B$6/1440)</f>
        <v>0.66666666666666663</v>
      </c>
      <c r="I654" s="49">
        <f>INDEX(PeakCalc!$L$10:$L$303,MATCH(tblPivotData[[#This Row],[Time]],PeakCalc!$G$10:$G$303,0))</f>
        <v>1</v>
      </c>
    </row>
    <row r="655" spans="1:9" x14ac:dyDescent="0.25">
      <c r="A655" t="s">
        <v>96</v>
      </c>
      <c r="B655" t="s">
        <v>107</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107</v>
      </c>
      <c r="C656" t="s">
        <v>94</v>
      </c>
      <c r="D656" t="s">
        <v>91</v>
      </c>
      <c r="E656" t="s">
        <v>44</v>
      </c>
      <c r="F656" s="6">
        <v>0.6875</v>
      </c>
      <c r="G656">
        <v>5</v>
      </c>
      <c r="H656" s="6">
        <f>FLOOR(tblPivotData[[#This Row],[Time]],Summary!$B$6/1440)</f>
        <v>0.6875</v>
      </c>
      <c r="I656" s="49">
        <f>INDEX(PeakCalc!$L$10:$L$303,MATCH(tblPivotData[[#This Row],[Time]],PeakCalc!$G$10:$G$303,0))</f>
        <v>1</v>
      </c>
    </row>
    <row r="657" spans="1:9" x14ac:dyDescent="0.25">
      <c r="A657" t="s">
        <v>96</v>
      </c>
      <c r="B657" t="s">
        <v>107</v>
      </c>
      <c r="C657" t="s">
        <v>94</v>
      </c>
      <c r="D657" t="s">
        <v>91</v>
      </c>
      <c r="E657" t="s">
        <v>44</v>
      </c>
      <c r="F657" s="6">
        <v>0.69791666666666663</v>
      </c>
      <c r="G657">
        <v>1</v>
      </c>
      <c r="H657" s="6">
        <f>FLOOR(tblPivotData[[#This Row],[Time]],Summary!$B$6/1440)</f>
        <v>0.69791666666666663</v>
      </c>
      <c r="I657" s="49">
        <f>INDEX(PeakCalc!$L$10:$L$303,MATCH(tblPivotData[[#This Row],[Time]],PeakCalc!$G$10:$G$303,0))</f>
        <v>1</v>
      </c>
    </row>
    <row r="658" spans="1:9" x14ac:dyDescent="0.25">
      <c r="A658" t="s">
        <v>96</v>
      </c>
      <c r="B658" t="s">
        <v>107</v>
      </c>
      <c r="C658" t="s">
        <v>94</v>
      </c>
      <c r="D658" t="s">
        <v>91</v>
      </c>
      <c r="E658" t="s">
        <v>44</v>
      </c>
      <c r="F658" s="6">
        <v>0.70833333333333337</v>
      </c>
      <c r="G658">
        <v>0</v>
      </c>
      <c r="H658" s="6">
        <f>FLOOR(tblPivotData[[#This Row],[Time]],Summary!$B$6/1440)</f>
        <v>0.70833333333333326</v>
      </c>
      <c r="I658" s="49">
        <f>INDEX(PeakCalc!$L$10:$L$303,MATCH(tblPivotData[[#This Row],[Time]],PeakCalc!$G$10:$G$303,0))</f>
        <v>0</v>
      </c>
    </row>
    <row r="659" spans="1:9" x14ac:dyDescent="0.25">
      <c r="A659" t="s">
        <v>96</v>
      </c>
      <c r="B659" t="s">
        <v>107</v>
      </c>
      <c r="C659" t="s">
        <v>94</v>
      </c>
      <c r="D659" t="s">
        <v>91</v>
      </c>
      <c r="E659" t="s">
        <v>44</v>
      </c>
      <c r="F659" s="6">
        <v>0.71875</v>
      </c>
      <c r="G659">
        <v>4</v>
      </c>
      <c r="H659" s="6">
        <f>FLOOR(tblPivotData[[#This Row],[Time]],Summary!$B$6/1440)</f>
        <v>0.71875</v>
      </c>
      <c r="I659" s="49">
        <f>INDEX(PeakCalc!$L$10:$L$303,MATCH(tblPivotData[[#This Row],[Time]],PeakCalc!$G$10:$G$303,0))</f>
        <v>0</v>
      </c>
    </row>
    <row r="660" spans="1:9" x14ac:dyDescent="0.25">
      <c r="A660" t="s">
        <v>96</v>
      </c>
      <c r="B660" t="s">
        <v>107</v>
      </c>
      <c r="C660" t="s">
        <v>94</v>
      </c>
      <c r="D660" t="s">
        <v>91</v>
      </c>
      <c r="E660" t="s">
        <v>44</v>
      </c>
      <c r="F660" s="6">
        <v>0.72916666666666663</v>
      </c>
      <c r="G660">
        <v>2</v>
      </c>
      <c r="H660" s="6">
        <f>FLOOR(tblPivotData[[#This Row],[Time]],Summary!$B$6/1440)</f>
        <v>0.72916666666666663</v>
      </c>
      <c r="I660" s="49">
        <f>INDEX(PeakCalc!$L$10:$L$303,MATCH(tblPivotData[[#This Row],[Time]],PeakCalc!$G$10:$G$303,0))</f>
        <v>0</v>
      </c>
    </row>
    <row r="661" spans="1:9" x14ac:dyDescent="0.25">
      <c r="A661" t="s">
        <v>96</v>
      </c>
      <c r="B661" t="s">
        <v>107</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1</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1</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4</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3</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4</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90</v>
      </c>
      <c r="F670" s="6">
        <v>0.54166666666666663</v>
      </c>
      <c r="G670">
        <v>6</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90</v>
      </c>
      <c r="F671" s="6">
        <v>0.55208333333333337</v>
      </c>
      <c r="G671">
        <v>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90</v>
      </c>
      <c r="F672" s="6">
        <v>0.5625</v>
      </c>
      <c r="G672">
        <v>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90</v>
      </c>
      <c r="F673" s="6">
        <v>0.57291666666666663</v>
      </c>
      <c r="G673">
        <v>8</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13</v>
      </c>
      <c r="H674" s="6">
        <f>FLOOR(tblPivotData[[#This Row],[Time]],Summary!$B$6/1440)</f>
        <v>0.66666666666666663</v>
      </c>
      <c r="I674" s="49">
        <f>INDEX(PeakCalc!$L$10:$L$303,MATCH(tblPivotData[[#This Row],[Time]],PeakCalc!$G$10:$G$303,0))</f>
        <v>1</v>
      </c>
    </row>
    <row r="675" spans="1:9" x14ac:dyDescent="0.25">
      <c r="A675" t="s">
        <v>96</v>
      </c>
      <c r="B675" t="s">
        <v>108</v>
      </c>
      <c r="C675" t="s">
        <v>95</v>
      </c>
      <c r="D675" t="s">
        <v>79</v>
      </c>
      <c r="E675" t="s">
        <v>44</v>
      </c>
      <c r="F675" s="6">
        <v>0.67708333333333337</v>
      </c>
      <c r="G675">
        <v>6</v>
      </c>
      <c r="H675" s="6">
        <f>FLOOR(tblPivotData[[#This Row],[Time]],Summary!$B$6/1440)</f>
        <v>0.67708333333333326</v>
      </c>
      <c r="I675" s="49">
        <f>INDEX(PeakCalc!$L$10:$L$303,MATCH(tblPivotData[[#This Row],[Time]],PeakCalc!$G$10:$G$303,0))</f>
        <v>1</v>
      </c>
    </row>
    <row r="676" spans="1:9" x14ac:dyDescent="0.25">
      <c r="A676" t="s">
        <v>96</v>
      </c>
      <c r="B676" t="s">
        <v>108</v>
      </c>
      <c r="C676" t="s">
        <v>95</v>
      </c>
      <c r="D676" t="s">
        <v>79</v>
      </c>
      <c r="E676" t="s">
        <v>44</v>
      </c>
      <c r="F676" s="6">
        <v>0.6875</v>
      </c>
      <c r="G676">
        <v>6</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5</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5</v>
      </c>
      <c r="H678" s="6">
        <f>FLOOR(tblPivotData[[#This Row],[Time]],Summary!$B$6/1440)</f>
        <v>0.70833333333333326</v>
      </c>
      <c r="I678" s="49">
        <f>INDEX(PeakCalc!$L$10:$L$303,MATCH(tblPivotData[[#This Row],[Time]],PeakCalc!$G$10:$G$303,0))</f>
        <v>0</v>
      </c>
    </row>
    <row r="679" spans="1:9" x14ac:dyDescent="0.25">
      <c r="A679" t="s">
        <v>96</v>
      </c>
      <c r="B679" t="s">
        <v>108</v>
      </c>
      <c r="C679" t="s">
        <v>95</v>
      </c>
      <c r="D679" t="s">
        <v>79</v>
      </c>
      <c r="E679" t="s">
        <v>44</v>
      </c>
      <c r="F679" s="6">
        <v>0.71875</v>
      </c>
      <c r="G679">
        <v>3</v>
      </c>
      <c r="H679" s="6">
        <f>FLOOR(tblPivotData[[#This Row],[Time]],Summary!$B$6/1440)</f>
        <v>0.71875</v>
      </c>
      <c r="I679" s="49">
        <f>INDEX(PeakCalc!$L$10:$L$303,MATCH(tblPivotData[[#This Row],[Time]],PeakCalc!$G$10:$G$303,0))</f>
        <v>0</v>
      </c>
    </row>
    <row r="680" spans="1:9" x14ac:dyDescent="0.25">
      <c r="A680" t="s">
        <v>96</v>
      </c>
      <c r="B680" t="s">
        <v>108</v>
      </c>
      <c r="C680" t="s">
        <v>95</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3</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1</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1</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0</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91</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91</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108</v>
      </c>
      <c r="C708" t="s">
        <v>95</v>
      </c>
      <c r="D708" t="s">
        <v>91</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91</v>
      </c>
      <c r="E713" t="s">
        <v>90</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91</v>
      </c>
      <c r="E714" t="s">
        <v>44</v>
      </c>
      <c r="F714" s="6">
        <v>0.66666666666666663</v>
      </c>
      <c r="G714">
        <v>0</v>
      </c>
      <c r="H714" s="6">
        <f>FLOOR(tblPivotData[[#This Row],[Time]],Summary!$B$6/1440)</f>
        <v>0.66666666666666663</v>
      </c>
      <c r="I714" s="49">
        <f>INDEX(PeakCalc!$L$10:$L$303,MATCH(tblPivotData[[#This Row],[Time]],PeakCalc!$G$10:$G$303,0))</f>
        <v>1</v>
      </c>
    </row>
    <row r="715" spans="1:9" x14ac:dyDescent="0.25">
      <c r="A715" t="s">
        <v>96</v>
      </c>
      <c r="B715" t="s">
        <v>108</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108</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91</v>
      </c>
      <c r="E718" t="s">
        <v>44</v>
      </c>
      <c r="F718" s="6">
        <v>0.70833333333333337</v>
      </c>
      <c r="G718">
        <v>0</v>
      </c>
      <c r="H718" s="6">
        <f>FLOOR(tblPivotData[[#This Row],[Time]],Summary!$B$6/1440)</f>
        <v>0.70833333333333326</v>
      </c>
      <c r="I718" s="49">
        <f>INDEX(PeakCalc!$L$10:$L$303,MATCH(tblPivotData[[#This Row],[Time]],PeakCalc!$G$10:$G$303,0))</f>
        <v>0</v>
      </c>
    </row>
    <row r="719" spans="1:9" x14ac:dyDescent="0.25">
      <c r="A719" t="s">
        <v>96</v>
      </c>
      <c r="B719" t="s">
        <v>108</v>
      </c>
      <c r="C719" t="s">
        <v>95</v>
      </c>
      <c r="D719" t="s">
        <v>91</v>
      </c>
      <c r="E719" t="s">
        <v>44</v>
      </c>
      <c r="F719" s="6">
        <v>0.71875</v>
      </c>
      <c r="G719">
        <v>1</v>
      </c>
      <c r="H719" s="6">
        <f>FLOOR(tblPivotData[[#This Row],[Time]],Summary!$B$6/1440)</f>
        <v>0.71875</v>
      </c>
      <c r="I719" s="49">
        <f>INDEX(PeakCalc!$L$10:$L$303,MATCH(tblPivotData[[#This Row],[Time]],PeakCalc!$G$10:$G$303,0))</f>
        <v>0</v>
      </c>
    </row>
    <row r="720" spans="1:9" x14ac:dyDescent="0.25">
      <c r="A720" t="s">
        <v>96</v>
      </c>
      <c r="B720" t="s">
        <v>108</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74</v>
      </c>
      <c r="D14" s="49">
        <v>2</v>
      </c>
      <c r="E14" s="49">
        <v>0</v>
      </c>
      <c r="F14" s="49">
        <v>76</v>
      </c>
      <c r="G14" s="49">
        <v>483</v>
      </c>
      <c r="H14" s="49">
        <v>18</v>
      </c>
      <c r="I14" s="49">
        <v>5</v>
      </c>
      <c r="J14" s="49">
        <v>506</v>
      </c>
      <c r="K14" s="49">
        <v>57</v>
      </c>
      <c r="L14" s="49">
        <v>3</v>
      </c>
      <c r="M14" s="49">
        <v>0</v>
      </c>
      <c r="N14" s="49">
        <v>60</v>
      </c>
      <c r="O14" s="49">
        <v>642</v>
      </c>
      <c r="P14" s="49">
        <v>32</v>
      </c>
      <c r="Q14" s="49">
        <v>0</v>
      </c>
      <c r="R14" s="49">
        <v>0</v>
      </c>
      <c r="S14" s="49">
        <v>32</v>
      </c>
      <c r="T14" s="49">
        <v>481</v>
      </c>
      <c r="U14" s="49">
        <v>9</v>
      </c>
      <c r="V14" s="49">
        <v>10</v>
      </c>
      <c r="W14" s="49">
        <v>500</v>
      </c>
      <c r="X14" s="49">
        <v>276</v>
      </c>
      <c r="Y14" s="49">
        <v>11</v>
      </c>
      <c r="Z14" s="49">
        <v>22</v>
      </c>
      <c r="AA14" s="49">
        <v>309</v>
      </c>
      <c r="AB14" s="49">
        <v>841</v>
      </c>
      <c r="AC14" s="49">
        <v>38</v>
      </c>
      <c r="AD14" s="49">
        <v>1</v>
      </c>
      <c r="AE14" s="49">
        <v>0</v>
      </c>
      <c r="AF14" s="49">
        <v>39</v>
      </c>
      <c r="AG14" s="49">
        <v>1880</v>
      </c>
      <c r="AH14" s="49">
        <v>35</v>
      </c>
      <c r="AI14" s="49">
        <v>41</v>
      </c>
      <c r="AJ14" s="49">
        <v>1956</v>
      </c>
      <c r="AK14" s="49">
        <v>120</v>
      </c>
      <c r="AL14" s="49">
        <v>2</v>
      </c>
      <c r="AM14" s="49">
        <v>0</v>
      </c>
      <c r="AN14" s="49">
        <v>122</v>
      </c>
      <c r="AO14" s="49">
        <v>2117</v>
      </c>
      <c r="AP14" s="49">
        <v>63</v>
      </c>
      <c r="AQ14" s="49">
        <v>3</v>
      </c>
      <c r="AR14" s="49">
        <v>0</v>
      </c>
      <c r="AS14" s="49">
        <v>66</v>
      </c>
      <c r="AT14" s="49">
        <v>176</v>
      </c>
      <c r="AU14" s="49">
        <v>12</v>
      </c>
      <c r="AV14" s="49">
        <v>4</v>
      </c>
      <c r="AW14" s="49">
        <v>192</v>
      </c>
      <c r="AX14" s="49">
        <v>20</v>
      </c>
      <c r="AY14" s="49">
        <v>1</v>
      </c>
      <c r="AZ14" s="49">
        <v>1</v>
      </c>
      <c r="BA14" s="49">
        <v>22</v>
      </c>
      <c r="BB14" s="49">
        <v>280</v>
      </c>
      <c r="BC14" s="49">
        <v>3880</v>
      </c>
    </row>
    <row r="15" spans="2:55" x14ac:dyDescent="0.25">
      <c r="B15" s="11">
        <v>0.29166666666666669</v>
      </c>
      <c r="C15" s="49">
        <v>7</v>
      </c>
      <c r="D15" s="49">
        <v>0</v>
      </c>
      <c r="E15" s="49">
        <v>0</v>
      </c>
      <c r="F15" s="49">
        <v>7</v>
      </c>
      <c r="G15" s="49">
        <v>47</v>
      </c>
      <c r="H15" s="49">
        <v>1</v>
      </c>
      <c r="I15" s="49">
        <v>1</v>
      </c>
      <c r="J15" s="49">
        <v>49</v>
      </c>
      <c r="K15" s="49">
        <v>1</v>
      </c>
      <c r="L15" s="49">
        <v>0</v>
      </c>
      <c r="M15" s="49">
        <v>0</v>
      </c>
      <c r="N15" s="49">
        <v>1</v>
      </c>
      <c r="O15" s="49">
        <v>57</v>
      </c>
      <c r="P15" s="49">
        <v>1</v>
      </c>
      <c r="Q15" s="49">
        <v>0</v>
      </c>
      <c r="R15" s="49">
        <v>0</v>
      </c>
      <c r="S15" s="49">
        <v>1</v>
      </c>
      <c r="T15" s="49">
        <v>20</v>
      </c>
      <c r="U15" s="49">
        <v>2</v>
      </c>
      <c r="V15" s="49">
        <v>0</v>
      </c>
      <c r="W15" s="49">
        <v>22</v>
      </c>
      <c r="X15" s="49">
        <v>12</v>
      </c>
      <c r="Y15" s="49">
        <v>0</v>
      </c>
      <c r="Z15" s="49">
        <v>2</v>
      </c>
      <c r="AA15" s="49">
        <v>14</v>
      </c>
      <c r="AB15" s="49">
        <v>37</v>
      </c>
      <c r="AC15" s="49">
        <v>2</v>
      </c>
      <c r="AD15" s="49">
        <v>0</v>
      </c>
      <c r="AE15" s="49">
        <v>0</v>
      </c>
      <c r="AF15" s="49">
        <v>2</v>
      </c>
      <c r="AG15" s="49">
        <v>158</v>
      </c>
      <c r="AH15" s="49">
        <v>1</v>
      </c>
      <c r="AI15" s="49">
        <v>0</v>
      </c>
      <c r="AJ15" s="49">
        <v>159</v>
      </c>
      <c r="AK15" s="49">
        <v>7</v>
      </c>
      <c r="AL15" s="49">
        <v>0</v>
      </c>
      <c r="AM15" s="49">
        <v>0</v>
      </c>
      <c r="AN15" s="49">
        <v>7</v>
      </c>
      <c r="AO15" s="49">
        <v>168</v>
      </c>
      <c r="AP15" s="49">
        <v>1</v>
      </c>
      <c r="AQ15" s="49">
        <v>1</v>
      </c>
      <c r="AR15" s="49">
        <v>0</v>
      </c>
      <c r="AS15" s="49">
        <v>2</v>
      </c>
      <c r="AT15" s="49">
        <v>8</v>
      </c>
      <c r="AU15" s="49">
        <v>0</v>
      </c>
      <c r="AV15" s="49">
        <v>0</v>
      </c>
      <c r="AW15" s="49">
        <v>8</v>
      </c>
      <c r="AX15" s="49">
        <v>1</v>
      </c>
      <c r="AY15" s="49">
        <v>0</v>
      </c>
      <c r="AZ15" s="49">
        <v>0</v>
      </c>
      <c r="BA15" s="49">
        <v>1</v>
      </c>
      <c r="BB15" s="49">
        <v>11</v>
      </c>
      <c r="BC15" s="49">
        <v>273</v>
      </c>
    </row>
    <row r="16" spans="2:55" x14ac:dyDescent="0.25">
      <c r="B16" s="11">
        <v>0.30208333333333331</v>
      </c>
      <c r="C16" s="49">
        <v>8</v>
      </c>
      <c r="D16" s="49">
        <v>1</v>
      </c>
      <c r="E16" s="49">
        <v>0</v>
      </c>
      <c r="F16" s="49">
        <v>9</v>
      </c>
      <c r="G16" s="49">
        <v>70</v>
      </c>
      <c r="H16" s="49">
        <v>4</v>
      </c>
      <c r="I16" s="49">
        <v>2</v>
      </c>
      <c r="J16" s="49">
        <v>76</v>
      </c>
      <c r="K16" s="49">
        <v>3</v>
      </c>
      <c r="L16" s="49">
        <v>0</v>
      </c>
      <c r="M16" s="49">
        <v>0</v>
      </c>
      <c r="N16" s="49">
        <v>3</v>
      </c>
      <c r="O16" s="49">
        <v>88</v>
      </c>
      <c r="P16" s="49">
        <v>3</v>
      </c>
      <c r="Q16" s="49">
        <v>0</v>
      </c>
      <c r="R16" s="49">
        <v>0</v>
      </c>
      <c r="S16" s="49">
        <v>3</v>
      </c>
      <c r="T16" s="49">
        <v>36</v>
      </c>
      <c r="U16" s="49">
        <v>0</v>
      </c>
      <c r="V16" s="49">
        <v>1</v>
      </c>
      <c r="W16" s="49">
        <v>37</v>
      </c>
      <c r="X16" s="49">
        <v>16</v>
      </c>
      <c r="Y16" s="49">
        <v>1</v>
      </c>
      <c r="Z16" s="49">
        <v>1</v>
      </c>
      <c r="AA16" s="49">
        <v>18</v>
      </c>
      <c r="AB16" s="49">
        <v>58</v>
      </c>
      <c r="AC16" s="49">
        <v>2</v>
      </c>
      <c r="AD16" s="49">
        <v>0</v>
      </c>
      <c r="AE16" s="49">
        <v>0</v>
      </c>
      <c r="AF16" s="49">
        <v>2</v>
      </c>
      <c r="AG16" s="49">
        <v>216</v>
      </c>
      <c r="AH16" s="49">
        <v>2</v>
      </c>
      <c r="AI16" s="49">
        <v>0</v>
      </c>
      <c r="AJ16" s="49">
        <v>218</v>
      </c>
      <c r="AK16" s="49">
        <v>19</v>
      </c>
      <c r="AL16" s="49">
        <v>0</v>
      </c>
      <c r="AM16" s="49">
        <v>0</v>
      </c>
      <c r="AN16" s="49">
        <v>19</v>
      </c>
      <c r="AO16" s="49">
        <v>239</v>
      </c>
      <c r="AP16" s="49">
        <v>3</v>
      </c>
      <c r="AQ16" s="49">
        <v>0</v>
      </c>
      <c r="AR16" s="49">
        <v>0</v>
      </c>
      <c r="AS16" s="49">
        <v>3</v>
      </c>
      <c r="AT16" s="49">
        <v>16</v>
      </c>
      <c r="AU16" s="49">
        <v>1</v>
      </c>
      <c r="AV16" s="49">
        <v>0</v>
      </c>
      <c r="AW16" s="49">
        <v>17</v>
      </c>
      <c r="AX16" s="49">
        <v>1</v>
      </c>
      <c r="AY16" s="49">
        <v>0</v>
      </c>
      <c r="AZ16" s="49">
        <v>0</v>
      </c>
      <c r="BA16" s="49">
        <v>1</v>
      </c>
      <c r="BB16" s="49">
        <v>21</v>
      </c>
      <c r="BC16" s="49">
        <v>406</v>
      </c>
    </row>
    <row r="17" spans="2:55" x14ac:dyDescent="0.25">
      <c r="B17" s="11">
        <v>0.3125</v>
      </c>
      <c r="C17" s="49">
        <v>4</v>
      </c>
      <c r="D17" s="49">
        <v>0</v>
      </c>
      <c r="E17" s="49">
        <v>0</v>
      </c>
      <c r="F17" s="49">
        <v>4</v>
      </c>
      <c r="G17" s="49">
        <v>67</v>
      </c>
      <c r="H17" s="49">
        <v>3</v>
      </c>
      <c r="I17" s="49">
        <v>1</v>
      </c>
      <c r="J17" s="49">
        <v>71</v>
      </c>
      <c r="K17" s="49">
        <v>7</v>
      </c>
      <c r="L17" s="49">
        <v>0</v>
      </c>
      <c r="M17" s="49">
        <v>0</v>
      </c>
      <c r="N17" s="49">
        <v>7</v>
      </c>
      <c r="O17" s="49">
        <v>82</v>
      </c>
      <c r="P17" s="49">
        <v>3</v>
      </c>
      <c r="Q17" s="49">
        <v>0</v>
      </c>
      <c r="R17" s="49">
        <v>0</v>
      </c>
      <c r="S17" s="49">
        <v>3</v>
      </c>
      <c r="T17" s="49">
        <v>44</v>
      </c>
      <c r="U17" s="49">
        <v>0</v>
      </c>
      <c r="V17" s="49">
        <v>2</v>
      </c>
      <c r="W17" s="49">
        <v>46</v>
      </c>
      <c r="X17" s="49">
        <v>34</v>
      </c>
      <c r="Y17" s="49">
        <v>2</v>
      </c>
      <c r="Z17" s="49">
        <v>4</v>
      </c>
      <c r="AA17" s="49">
        <v>40</v>
      </c>
      <c r="AB17" s="49">
        <v>89</v>
      </c>
      <c r="AC17" s="49">
        <v>2</v>
      </c>
      <c r="AD17" s="49">
        <v>0</v>
      </c>
      <c r="AE17" s="49">
        <v>0</v>
      </c>
      <c r="AF17" s="49">
        <v>2</v>
      </c>
      <c r="AG17" s="49">
        <v>219</v>
      </c>
      <c r="AH17" s="49">
        <v>6</v>
      </c>
      <c r="AI17" s="49">
        <v>2</v>
      </c>
      <c r="AJ17" s="49">
        <v>227</v>
      </c>
      <c r="AK17" s="49">
        <v>18</v>
      </c>
      <c r="AL17" s="49">
        <v>0</v>
      </c>
      <c r="AM17" s="49">
        <v>0</v>
      </c>
      <c r="AN17" s="49">
        <v>18</v>
      </c>
      <c r="AO17" s="49">
        <v>247</v>
      </c>
      <c r="AP17" s="49">
        <v>9</v>
      </c>
      <c r="AQ17" s="49">
        <v>0</v>
      </c>
      <c r="AR17" s="49">
        <v>0</v>
      </c>
      <c r="AS17" s="49">
        <v>9</v>
      </c>
      <c r="AT17" s="49">
        <v>21</v>
      </c>
      <c r="AU17" s="49">
        <v>0</v>
      </c>
      <c r="AV17" s="49">
        <v>0</v>
      </c>
      <c r="AW17" s="49">
        <v>21</v>
      </c>
      <c r="AX17" s="49">
        <v>1</v>
      </c>
      <c r="AY17" s="49">
        <v>0</v>
      </c>
      <c r="AZ17" s="49">
        <v>0</v>
      </c>
      <c r="BA17" s="49">
        <v>1</v>
      </c>
      <c r="BB17" s="49">
        <v>31</v>
      </c>
      <c r="BC17" s="49">
        <v>449</v>
      </c>
    </row>
    <row r="18" spans="2:55" x14ac:dyDescent="0.25">
      <c r="B18" s="11">
        <v>0.32291666666666669</v>
      </c>
      <c r="C18" s="49">
        <v>12</v>
      </c>
      <c r="D18" s="49">
        <v>0</v>
      </c>
      <c r="E18" s="49">
        <v>0</v>
      </c>
      <c r="F18" s="49">
        <v>12</v>
      </c>
      <c r="G18" s="49">
        <v>62</v>
      </c>
      <c r="H18" s="49">
        <v>2</v>
      </c>
      <c r="I18" s="49">
        <v>0</v>
      </c>
      <c r="J18" s="49">
        <v>64</v>
      </c>
      <c r="K18" s="49">
        <v>8</v>
      </c>
      <c r="L18" s="49">
        <v>0</v>
      </c>
      <c r="M18" s="49">
        <v>0</v>
      </c>
      <c r="N18" s="49">
        <v>8</v>
      </c>
      <c r="O18" s="49">
        <v>84</v>
      </c>
      <c r="P18" s="49">
        <v>5</v>
      </c>
      <c r="Q18" s="49">
        <v>0</v>
      </c>
      <c r="R18" s="49">
        <v>0</v>
      </c>
      <c r="S18" s="49">
        <v>5</v>
      </c>
      <c r="T18" s="49">
        <v>111</v>
      </c>
      <c r="U18" s="49">
        <v>1</v>
      </c>
      <c r="V18" s="49">
        <v>1</v>
      </c>
      <c r="W18" s="49">
        <v>113</v>
      </c>
      <c r="X18" s="49">
        <v>51</v>
      </c>
      <c r="Y18" s="49">
        <v>1</v>
      </c>
      <c r="Z18" s="49">
        <v>3</v>
      </c>
      <c r="AA18" s="49">
        <v>55</v>
      </c>
      <c r="AB18" s="49">
        <v>173</v>
      </c>
      <c r="AC18" s="49">
        <v>4</v>
      </c>
      <c r="AD18" s="49">
        <v>0</v>
      </c>
      <c r="AE18" s="49">
        <v>0</v>
      </c>
      <c r="AF18" s="49">
        <v>4</v>
      </c>
      <c r="AG18" s="49">
        <v>274</v>
      </c>
      <c r="AH18" s="49">
        <v>5</v>
      </c>
      <c r="AI18" s="49">
        <v>0</v>
      </c>
      <c r="AJ18" s="49">
        <v>279</v>
      </c>
      <c r="AK18" s="49">
        <v>20</v>
      </c>
      <c r="AL18" s="49">
        <v>0</v>
      </c>
      <c r="AM18" s="49">
        <v>0</v>
      </c>
      <c r="AN18" s="49">
        <v>20</v>
      </c>
      <c r="AO18" s="49">
        <v>303</v>
      </c>
      <c r="AP18" s="49">
        <v>11</v>
      </c>
      <c r="AQ18" s="49">
        <v>1</v>
      </c>
      <c r="AR18" s="49">
        <v>0</v>
      </c>
      <c r="AS18" s="49">
        <v>12</v>
      </c>
      <c r="AT18" s="49">
        <v>29</v>
      </c>
      <c r="AU18" s="49">
        <v>0</v>
      </c>
      <c r="AV18" s="49">
        <v>0</v>
      </c>
      <c r="AW18" s="49">
        <v>29</v>
      </c>
      <c r="AX18" s="49">
        <v>4</v>
      </c>
      <c r="AY18" s="49">
        <v>0</v>
      </c>
      <c r="AZ18" s="49">
        <v>0</v>
      </c>
      <c r="BA18" s="49">
        <v>4</v>
      </c>
      <c r="BB18" s="49">
        <v>45</v>
      </c>
      <c r="BC18" s="49">
        <v>605</v>
      </c>
    </row>
    <row r="19" spans="2:55" x14ac:dyDescent="0.25">
      <c r="B19" s="11">
        <v>0.33333333333333331</v>
      </c>
      <c r="C19" s="49">
        <v>8</v>
      </c>
      <c r="D19" s="49">
        <v>0</v>
      </c>
      <c r="E19" s="49">
        <v>0</v>
      </c>
      <c r="F19" s="49">
        <v>8</v>
      </c>
      <c r="G19" s="49">
        <v>65</v>
      </c>
      <c r="H19" s="49">
        <v>1</v>
      </c>
      <c r="I19" s="49">
        <v>0</v>
      </c>
      <c r="J19" s="49">
        <v>66</v>
      </c>
      <c r="K19" s="49">
        <v>5</v>
      </c>
      <c r="L19" s="49">
        <v>1</v>
      </c>
      <c r="M19" s="49">
        <v>0</v>
      </c>
      <c r="N19" s="49">
        <v>6</v>
      </c>
      <c r="O19" s="49">
        <v>80</v>
      </c>
      <c r="P19" s="49">
        <v>5</v>
      </c>
      <c r="Q19" s="49">
        <v>0</v>
      </c>
      <c r="R19" s="49">
        <v>0</v>
      </c>
      <c r="S19" s="49">
        <v>5</v>
      </c>
      <c r="T19" s="49">
        <v>74</v>
      </c>
      <c r="U19" s="49">
        <v>1</v>
      </c>
      <c r="V19" s="49">
        <v>0</v>
      </c>
      <c r="W19" s="49">
        <v>75</v>
      </c>
      <c r="X19" s="49">
        <v>44</v>
      </c>
      <c r="Y19" s="49">
        <v>1</v>
      </c>
      <c r="Z19" s="49">
        <v>2</v>
      </c>
      <c r="AA19" s="49">
        <v>47</v>
      </c>
      <c r="AB19" s="49">
        <v>127</v>
      </c>
      <c r="AC19" s="49">
        <v>1</v>
      </c>
      <c r="AD19" s="49">
        <v>0</v>
      </c>
      <c r="AE19" s="49">
        <v>0</v>
      </c>
      <c r="AF19" s="49">
        <v>1</v>
      </c>
      <c r="AG19" s="49">
        <v>284</v>
      </c>
      <c r="AH19" s="49">
        <v>7</v>
      </c>
      <c r="AI19" s="49">
        <v>6</v>
      </c>
      <c r="AJ19" s="49">
        <v>297</v>
      </c>
      <c r="AK19" s="49">
        <v>10</v>
      </c>
      <c r="AL19" s="49">
        <v>1</v>
      </c>
      <c r="AM19" s="49">
        <v>0</v>
      </c>
      <c r="AN19" s="49">
        <v>11</v>
      </c>
      <c r="AO19" s="49">
        <v>309</v>
      </c>
      <c r="AP19" s="49">
        <v>12</v>
      </c>
      <c r="AQ19" s="49">
        <v>1</v>
      </c>
      <c r="AR19" s="49">
        <v>0</v>
      </c>
      <c r="AS19" s="49">
        <v>13</v>
      </c>
      <c r="AT19" s="49">
        <v>18</v>
      </c>
      <c r="AU19" s="49">
        <v>6</v>
      </c>
      <c r="AV19" s="49">
        <v>3</v>
      </c>
      <c r="AW19" s="49">
        <v>27</v>
      </c>
      <c r="AX19" s="49">
        <v>3</v>
      </c>
      <c r="AY19" s="49">
        <v>0</v>
      </c>
      <c r="AZ19" s="49">
        <v>0</v>
      </c>
      <c r="BA19" s="49">
        <v>3</v>
      </c>
      <c r="BB19" s="49">
        <v>43</v>
      </c>
      <c r="BC19" s="49">
        <v>559</v>
      </c>
    </row>
    <row r="20" spans="2:55" x14ac:dyDescent="0.25">
      <c r="B20" s="11">
        <v>0.34375</v>
      </c>
      <c r="C20" s="49">
        <v>7</v>
      </c>
      <c r="D20" s="49">
        <v>1</v>
      </c>
      <c r="E20" s="49">
        <v>0</v>
      </c>
      <c r="F20" s="49">
        <v>8</v>
      </c>
      <c r="G20" s="49">
        <v>57</v>
      </c>
      <c r="H20" s="49">
        <v>1</v>
      </c>
      <c r="I20" s="49">
        <v>1</v>
      </c>
      <c r="J20" s="49">
        <v>59</v>
      </c>
      <c r="K20" s="49">
        <v>13</v>
      </c>
      <c r="L20" s="49">
        <v>0</v>
      </c>
      <c r="M20" s="49">
        <v>0</v>
      </c>
      <c r="N20" s="49">
        <v>13</v>
      </c>
      <c r="O20" s="49">
        <v>80</v>
      </c>
      <c r="P20" s="49">
        <v>1</v>
      </c>
      <c r="Q20" s="49">
        <v>0</v>
      </c>
      <c r="R20" s="49">
        <v>0</v>
      </c>
      <c r="S20" s="49">
        <v>1</v>
      </c>
      <c r="T20" s="49">
        <v>71</v>
      </c>
      <c r="U20" s="49">
        <v>1</v>
      </c>
      <c r="V20" s="49">
        <v>3</v>
      </c>
      <c r="W20" s="49">
        <v>75</v>
      </c>
      <c r="X20" s="49">
        <v>35</v>
      </c>
      <c r="Y20" s="49">
        <v>4</v>
      </c>
      <c r="Z20" s="49">
        <v>7</v>
      </c>
      <c r="AA20" s="49">
        <v>46</v>
      </c>
      <c r="AB20" s="49">
        <v>122</v>
      </c>
      <c r="AC20" s="49">
        <v>10</v>
      </c>
      <c r="AD20" s="49">
        <v>0</v>
      </c>
      <c r="AE20" s="49">
        <v>0</v>
      </c>
      <c r="AF20" s="49">
        <v>10</v>
      </c>
      <c r="AG20" s="49">
        <v>248</v>
      </c>
      <c r="AH20" s="49">
        <v>4</v>
      </c>
      <c r="AI20" s="49">
        <v>16</v>
      </c>
      <c r="AJ20" s="49">
        <v>268</v>
      </c>
      <c r="AK20" s="49">
        <v>17</v>
      </c>
      <c r="AL20" s="49">
        <v>1</v>
      </c>
      <c r="AM20" s="49">
        <v>0</v>
      </c>
      <c r="AN20" s="49">
        <v>18</v>
      </c>
      <c r="AO20" s="49">
        <v>296</v>
      </c>
      <c r="AP20" s="49">
        <v>10</v>
      </c>
      <c r="AQ20" s="49">
        <v>0</v>
      </c>
      <c r="AR20" s="49">
        <v>0</v>
      </c>
      <c r="AS20" s="49">
        <v>10</v>
      </c>
      <c r="AT20" s="49">
        <v>19</v>
      </c>
      <c r="AU20" s="49">
        <v>1</v>
      </c>
      <c r="AV20" s="49">
        <v>0</v>
      </c>
      <c r="AW20" s="49">
        <v>20</v>
      </c>
      <c r="AX20" s="49">
        <v>3</v>
      </c>
      <c r="AY20" s="49">
        <v>0</v>
      </c>
      <c r="AZ20" s="49">
        <v>1</v>
      </c>
      <c r="BA20" s="49">
        <v>4</v>
      </c>
      <c r="BB20" s="49">
        <v>34</v>
      </c>
      <c r="BC20" s="49">
        <v>532</v>
      </c>
    </row>
    <row r="21" spans="2:55" x14ac:dyDescent="0.25">
      <c r="B21" s="11">
        <v>0.35416666666666669</v>
      </c>
      <c r="C21" s="49">
        <v>16</v>
      </c>
      <c r="D21" s="49">
        <v>0</v>
      </c>
      <c r="E21" s="49">
        <v>0</v>
      </c>
      <c r="F21" s="49">
        <v>16</v>
      </c>
      <c r="G21" s="49">
        <v>48</v>
      </c>
      <c r="H21" s="49">
        <v>3</v>
      </c>
      <c r="I21" s="49">
        <v>0</v>
      </c>
      <c r="J21" s="49">
        <v>51</v>
      </c>
      <c r="K21" s="49">
        <v>10</v>
      </c>
      <c r="L21" s="49">
        <v>0</v>
      </c>
      <c r="M21" s="49">
        <v>0</v>
      </c>
      <c r="N21" s="49">
        <v>10</v>
      </c>
      <c r="O21" s="49">
        <v>77</v>
      </c>
      <c r="P21" s="49">
        <v>7</v>
      </c>
      <c r="Q21" s="49">
        <v>0</v>
      </c>
      <c r="R21" s="49">
        <v>0</v>
      </c>
      <c r="S21" s="49">
        <v>7</v>
      </c>
      <c r="T21" s="49">
        <v>67</v>
      </c>
      <c r="U21" s="49">
        <v>3</v>
      </c>
      <c r="V21" s="49">
        <v>0</v>
      </c>
      <c r="W21" s="49">
        <v>70</v>
      </c>
      <c r="X21" s="49">
        <v>47</v>
      </c>
      <c r="Y21" s="49">
        <v>2</v>
      </c>
      <c r="Z21" s="49">
        <v>3</v>
      </c>
      <c r="AA21" s="49">
        <v>52</v>
      </c>
      <c r="AB21" s="49">
        <v>129</v>
      </c>
      <c r="AC21" s="49">
        <v>10</v>
      </c>
      <c r="AD21" s="49">
        <v>0</v>
      </c>
      <c r="AE21" s="49">
        <v>0</v>
      </c>
      <c r="AF21" s="49">
        <v>10</v>
      </c>
      <c r="AG21" s="49">
        <v>252</v>
      </c>
      <c r="AH21" s="49">
        <v>7</v>
      </c>
      <c r="AI21" s="49">
        <v>4</v>
      </c>
      <c r="AJ21" s="49">
        <v>263</v>
      </c>
      <c r="AK21" s="49">
        <v>14</v>
      </c>
      <c r="AL21" s="49">
        <v>0</v>
      </c>
      <c r="AM21" s="49">
        <v>0</v>
      </c>
      <c r="AN21" s="49">
        <v>14</v>
      </c>
      <c r="AO21" s="49">
        <v>287</v>
      </c>
      <c r="AP21" s="49">
        <v>14</v>
      </c>
      <c r="AQ21" s="49">
        <v>0</v>
      </c>
      <c r="AR21" s="49">
        <v>0</v>
      </c>
      <c r="AS21" s="49">
        <v>14</v>
      </c>
      <c r="AT21" s="49">
        <v>33</v>
      </c>
      <c r="AU21" s="49">
        <v>1</v>
      </c>
      <c r="AV21" s="49">
        <v>0</v>
      </c>
      <c r="AW21" s="49">
        <v>34</v>
      </c>
      <c r="AX21" s="49">
        <v>3</v>
      </c>
      <c r="AY21" s="49">
        <v>1</v>
      </c>
      <c r="AZ21" s="49">
        <v>0</v>
      </c>
      <c r="BA21" s="49">
        <v>4</v>
      </c>
      <c r="BB21" s="49">
        <v>52</v>
      </c>
      <c r="BC21" s="49">
        <v>545</v>
      </c>
    </row>
    <row r="22" spans="2:55" x14ac:dyDescent="0.25">
      <c r="B22" s="11">
        <v>0.36458333333333331</v>
      </c>
      <c r="C22" s="49">
        <v>12</v>
      </c>
      <c r="D22" s="49">
        <v>0</v>
      </c>
      <c r="E22" s="49">
        <v>0</v>
      </c>
      <c r="F22" s="49">
        <v>12</v>
      </c>
      <c r="G22" s="49">
        <v>67</v>
      </c>
      <c r="H22" s="49">
        <v>3</v>
      </c>
      <c r="I22" s="49">
        <v>0</v>
      </c>
      <c r="J22" s="49">
        <v>70</v>
      </c>
      <c r="K22" s="49">
        <v>10</v>
      </c>
      <c r="L22" s="49">
        <v>2</v>
      </c>
      <c r="M22" s="49">
        <v>0</v>
      </c>
      <c r="N22" s="49">
        <v>12</v>
      </c>
      <c r="O22" s="49">
        <v>94</v>
      </c>
      <c r="P22" s="49">
        <v>7</v>
      </c>
      <c r="Q22" s="49">
        <v>0</v>
      </c>
      <c r="R22" s="49">
        <v>0</v>
      </c>
      <c r="S22" s="49">
        <v>7</v>
      </c>
      <c r="T22" s="49">
        <v>58</v>
      </c>
      <c r="U22" s="49">
        <v>1</v>
      </c>
      <c r="V22" s="49">
        <v>3</v>
      </c>
      <c r="W22" s="49">
        <v>62</v>
      </c>
      <c r="X22" s="49">
        <v>37</v>
      </c>
      <c r="Y22" s="49">
        <v>0</v>
      </c>
      <c r="Z22" s="49">
        <v>0</v>
      </c>
      <c r="AA22" s="49">
        <v>37</v>
      </c>
      <c r="AB22" s="49">
        <v>106</v>
      </c>
      <c r="AC22" s="49">
        <v>7</v>
      </c>
      <c r="AD22" s="49">
        <v>1</v>
      </c>
      <c r="AE22" s="49">
        <v>0</v>
      </c>
      <c r="AF22" s="49">
        <v>8</v>
      </c>
      <c r="AG22" s="49">
        <v>229</v>
      </c>
      <c r="AH22" s="49">
        <v>3</v>
      </c>
      <c r="AI22" s="49">
        <v>13</v>
      </c>
      <c r="AJ22" s="49">
        <v>245</v>
      </c>
      <c r="AK22" s="49">
        <v>15</v>
      </c>
      <c r="AL22" s="49">
        <v>0</v>
      </c>
      <c r="AM22" s="49">
        <v>0</v>
      </c>
      <c r="AN22" s="49">
        <v>15</v>
      </c>
      <c r="AO22" s="49">
        <v>268</v>
      </c>
      <c r="AP22" s="49">
        <v>3</v>
      </c>
      <c r="AQ22" s="49">
        <v>0</v>
      </c>
      <c r="AR22" s="49">
        <v>0</v>
      </c>
      <c r="AS22" s="49">
        <v>3</v>
      </c>
      <c r="AT22" s="49">
        <v>32</v>
      </c>
      <c r="AU22" s="49">
        <v>3</v>
      </c>
      <c r="AV22" s="49">
        <v>1</v>
      </c>
      <c r="AW22" s="49">
        <v>36</v>
      </c>
      <c r="AX22" s="49">
        <v>4</v>
      </c>
      <c r="AY22" s="49">
        <v>0</v>
      </c>
      <c r="AZ22" s="49">
        <v>0</v>
      </c>
      <c r="BA22" s="49">
        <v>4</v>
      </c>
      <c r="BB22" s="49">
        <v>43</v>
      </c>
      <c r="BC22" s="49">
        <v>511</v>
      </c>
    </row>
    <row r="23" spans="2:55" x14ac:dyDescent="0.25">
      <c r="B23" s="10" t="s">
        <v>44</v>
      </c>
      <c r="C23" s="49">
        <v>112</v>
      </c>
      <c r="D23" s="49">
        <v>0</v>
      </c>
      <c r="E23" s="49">
        <v>1</v>
      </c>
      <c r="F23" s="49">
        <v>113</v>
      </c>
      <c r="G23" s="49">
        <v>580</v>
      </c>
      <c r="H23" s="49">
        <v>8</v>
      </c>
      <c r="I23" s="49">
        <v>36</v>
      </c>
      <c r="J23" s="49">
        <v>624</v>
      </c>
      <c r="K23" s="49">
        <v>58</v>
      </c>
      <c r="L23" s="49">
        <v>0</v>
      </c>
      <c r="M23" s="49">
        <v>0</v>
      </c>
      <c r="N23" s="49">
        <v>58</v>
      </c>
      <c r="O23" s="49">
        <v>795</v>
      </c>
      <c r="P23" s="49">
        <v>43</v>
      </c>
      <c r="Q23" s="49">
        <v>0</v>
      </c>
      <c r="R23" s="49">
        <v>0</v>
      </c>
      <c r="S23" s="49">
        <v>43</v>
      </c>
      <c r="T23" s="49">
        <v>284</v>
      </c>
      <c r="U23" s="49">
        <v>3</v>
      </c>
      <c r="V23" s="49">
        <v>2</v>
      </c>
      <c r="W23" s="49">
        <v>289</v>
      </c>
      <c r="X23" s="49">
        <v>146</v>
      </c>
      <c r="Y23" s="49">
        <v>2</v>
      </c>
      <c r="Z23" s="49">
        <v>4</v>
      </c>
      <c r="AA23" s="49">
        <v>152</v>
      </c>
      <c r="AB23" s="49">
        <v>484</v>
      </c>
      <c r="AC23" s="49">
        <v>26</v>
      </c>
      <c r="AD23" s="49">
        <v>3</v>
      </c>
      <c r="AE23" s="49">
        <v>0</v>
      </c>
      <c r="AF23" s="49">
        <v>29</v>
      </c>
      <c r="AG23" s="49">
        <v>1281</v>
      </c>
      <c r="AH23" s="49">
        <v>17</v>
      </c>
      <c r="AI23" s="49">
        <v>20</v>
      </c>
      <c r="AJ23" s="49">
        <v>1318</v>
      </c>
      <c r="AK23" s="49">
        <v>174</v>
      </c>
      <c r="AL23" s="49">
        <v>5</v>
      </c>
      <c r="AM23" s="49">
        <v>0</v>
      </c>
      <c r="AN23" s="49">
        <v>179</v>
      </c>
      <c r="AO23" s="49">
        <v>1526</v>
      </c>
      <c r="AP23" s="49">
        <v>153</v>
      </c>
      <c r="AQ23" s="49">
        <v>1</v>
      </c>
      <c r="AR23" s="49">
        <v>0</v>
      </c>
      <c r="AS23" s="49">
        <v>154</v>
      </c>
      <c r="AT23" s="49">
        <v>593</v>
      </c>
      <c r="AU23" s="49">
        <v>6</v>
      </c>
      <c r="AV23" s="49">
        <v>16</v>
      </c>
      <c r="AW23" s="49">
        <v>615</v>
      </c>
      <c r="AX23" s="49">
        <v>44</v>
      </c>
      <c r="AY23" s="49">
        <v>0</v>
      </c>
      <c r="AZ23" s="49">
        <v>1</v>
      </c>
      <c r="BA23" s="49">
        <v>45</v>
      </c>
      <c r="BB23" s="49">
        <v>814</v>
      </c>
      <c r="BC23" s="49">
        <v>3619</v>
      </c>
    </row>
    <row r="24" spans="2:55" x14ac:dyDescent="0.25">
      <c r="B24" s="11">
        <v>0.66666666666666663</v>
      </c>
      <c r="C24" s="49">
        <v>20</v>
      </c>
      <c r="D24" s="49">
        <v>0</v>
      </c>
      <c r="E24" s="49">
        <v>1</v>
      </c>
      <c r="F24" s="49">
        <v>21</v>
      </c>
      <c r="G24" s="49">
        <v>93</v>
      </c>
      <c r="H24" s="49">
        <v>0</v>
      </c>
      <c r="I24" s="49">
        <v>7</v>
      </c>
      <c r="J24" s="49">
        <v>100</v>
      </c>
      <c r="K24" s="49">
        <v>9</v>
      </c>
      <c r="L24" s="49">
        <v>0</v>
      </c>
      <c r="M24" s="49">
        <v>0</v>
      </c>
      <c r="N24" s="49">
        <v>9</v>
      </c>
      <c r="O24" s="49">
        <v>130</v>
      </c>
      <c r="P24" s="49">
        <v>7</v>
      </c>
      <c r="Q24" s="49">
        <v>0</v>
      </c>
      <c r="R24" s="49">
        <v>0</v>
      </c>
      <c r="S24" s="49">
        <v>7</v>
      </c>
      <c r="T24" s="49">
        <v>47</v>
      </c>
      <c r="U24" s="49">
        <v>0</v>
      </c>
      <c r="V24" s="49">
        <v>0</v>
      </c>
      <c r="W24" s="49">
        <v>47</v>
      </c>
      <c r="X24" s="49">
        <v>24</v>
      </c>
      <c r="Y24" s="49">
        <v>1</v>
      </c>
      <c r="Z24" s="49">
        <v>0</v>
      </c>
      <c r="AA24" s="49">
        <v>25</v>
      </c>
      <c r="AB24" s="49">
        <v>79</v>
      </c>
      <c r="AC24" s="49">
        <v>10</v>
      </c>
      <c r="AD24" s="49">
        <v>1</v>
      </c>
      <c r="AE24" s="49">
        <v>0</v>
      </c>
      <c r="AF24" s="49">
        <v>11</v>
      </c>
      <c r="AG24" s="49">
        <v>168</v>
      </c>
      <c r="AH24" s="49">
        <v>3</v>
      </c>
      <c r="AI24" s="49">
        <v>2</v>
      </c>
      <c r="AJ24" s="49">
        <v>173</v>
      </c>
      <c r="AK24" s="49">
        <v>20</v>
      </c>
      <c r="AL24" s="49">
        <v>1</v>
      </c>
      <c r="AM24" s="49">
        <v>0</v>
      </c>
      <c r="AN24" s="49">
        <v>21</v>
      </c>
      <c r="AO24" s="49">
        <v>205</v>
      </c>
      <c r="AP24" s="49">
        <v>19</v>
      </c>
      <c r="AQ24" s="49">
        <v>0</v>
      </c>
      <c r="AR24" s="49">
        <v>0</v>
      </c>
      <c r="AS24" s="49">
        <v>19</v>
      </c>
      <c r="AT24" s="49">
        <v>75</v>
      </c>
      <c r="AU24" s="49">
        <v>1</v>
      </c>
      <c r="AV24" s="49">
        <v>2</v>
      </c>
      <c r="AW24" s="49">
        <v>78</v>
      </c>
      <c r="AX24" s="49">
        <v>13</v>
      </c>
      <c r="AY24" s="49">
        <v>0</v>
      </c>
      <c r="AZ24" s="49">
        <v>0</v>
      </c>
      <c r="BA24" s="49">
        <v>13</v>
      </c>
      <c r="BB24" s="49">
        <v>110</v>
      </c>
      <c r="BC24" s="49">
        <v>524</v>
      </c>
    </row>
    <row r="25" spans="2:55" x14ac:dyDescent="0.25">
      <c r="B25" s="11">
        <v>0.67708333333333337</v>
      </c>
      <c r="C25" s="49">
        <v>28</v>
      </c>
      <c r="D25" s="49">
        <v>0</v>
      </c>
      <c r="E25" s="49">
        <v>0</v>
      </c>
      <c r="F25" s="49">
        <v>28</v>
      </c>
      <c r="G25" s="49">
        <v>78</v>
      </c>
      <c r="H25" s="49">
        <v>0</v>
      </c>
      <c r="I25" s="49">
        <v>5</v>
      </c>
      <c r="J25" s="49">
        <v>83</v>
      </c>
      <c r="K25" s="49">
        <v>16</v>
      </c>
      <c r="L25" s="49">
        <v>0</v>
      </c>
      <c r="M25" s="49">
        <v>0</v>
      </c>
      <c r="N25" s="49">
        <v>16</v>
      </c>
      <c r="O25" s="49">
        <v>127</v>
      </c>
      <c r="P25" s="49">
        <v>3</v>
      </c>
      <c r="Q25" s="49">
        <v>0</v>
      </c>
      <c r="R25" s="49">
        <v>0</v>
      </c>
      <c r="S25" s="49">
        <v>3</v>
      </c>
      <c r="T25" s="49">
        <v>28</v>
      </c>
      <c r="U25" s="49">
        <v>1</v>
      </c>
      <c r="V25" s="49">
        <v>0</v>
      </c>
      <c r="W25" s="49">
        <v>29</v>
      </c>
      <c r="X25" s="49">
        <v>26</v>
      </c>
      <c r="Y25" s="49">
        <v>0</v>
      </c>
      <c r="Z25" s="49">
        <v>0</v>
      </c>
      <c r="AA25" s="49">
        <v>26</v>
      </c>
      <c r="AB25" s="49">
        <v>58</v>
      </c>
      <c r="AC25" s="49">
        <v>5</v>
      </c>
      <c r="AD25" s="49">
        <v>2</v>
      </c>
      <c r="AE25" s="49">
        <v>0</v>
      </c>
      <c r="AF25" s="49">
        <v>7</v>
      </c>
      <c r="AG25" s="49">
        <v>173</v>
      </c>
      <c r="AH25" s="49">
        <v>2</v>
      </c>
      <c r="AI25" s="49">
        <v>2</v>
      </c>
      <c r="AJ25" s="49">
        <v>177</v>
      </c>
      <c r="AK25" s="49">
        <v>15</v>
      </c>
      <c r="AL25" s="49">
        <v>0</v>
      </c>
      <c r="AM25" s="49">
        <v>0</v>
      </c>
      <c r="AN25" s="49">
        <v>15</v>
      </c>
      <c r="AO25" s="49">
        <v>199</v>
      </c>
      <c r="AP25" s="49">
        <v>20</v>
      </c>
      <c r="AQ25" s="49">
        <v>1</v>
      </c>
      <c r="AR25" s="49">
        <v>0</v>
      </c>
      <c r="AS25" s="49">
        <v>21</v>
      </c>
      <c r="AT25" s="49">
        <v>78</v>
      </c>
      <c r="AU25" s="49">
        <v>1</v>
      </c>
      <c r="AV25" s="49">
        <v>1</v>
      </c>
      <c r="AW25" s="49">
        <v>80</v>
      </c>
      <c r="AX25" s="49">
        <v>6</v>
      </c>
      <c r="AY25" s="49">
        <v>0</v>
      </c>
      <c r="AZ25" s="49">
        <v>0</v>
      </c>
      <c r="BA25" s="49">
        <v>6</v>
      </c>
      <c r="BB25" s="49">
        <v>107</v>
      </c>
      <c r="BC25" s="49">
        <v>491</v>
      </c>
    </row>
    <row r="26" spans="2:55" x14ac:dyDescent="0.25">
      <c r="B26" s="11">
        <v>0.6875</v>
      </c>
      <c r="C26" s="49">
        <v>20</v>
      </c>
      <c r="D26" s="49">
        <v>0</v>
      </c>
      <c r="E26" s="49">
        <v>0</v>
      </c>
      <c r="F26" s="49">
        <v>20</v>
      </c>
      <c r="G26" s="49">
        <v>79</v>
      </c>
      <c r="H26" s="49">
        <v>2</v>
      </c>
      <c r="I26" s="49">
        <v>0</v>
      </c>
      <c r="J26" s="49">
        <v>81</v>
      </c>
      <c r="K26" s="49">
        <v>9</v>
      </c>
      <c r="L26" s="49">
        <v>0</v>
      </c>
      <c r="M26" s="49">
        <v>0</v>
      </c>
      <c r="N26" s="49">
        <v>9</v>
      </c>
      <c r="O26" s="49">
        <v>110</v>
      </c>
      <c r="P26" s="49">
        <v>7</v>
      </c>
      <c r="Q26" s="49">
        <v>0</v>
      </c>
      <c r="R26" s="49">
        <v>0</v>
      </c>
      <c r="S26" s="49">
        <v>7</v>
      </c>
      <c r="T26" s="49">
        <v>47</v>
      </c>
      <c r="U26" s="49">
        <v>0</v>
      </c>
      <c r="V26" s="49">
        <v>0</v>
      </c>
      <c r="W26" s="49">
        <v>47</v>
      </c>
      <c r="X26" s="49">
        <v>25</v>
      </c>
      <c r="Y26" s="49">
        <v>0</v>
      </c>
      <c r="Z26" s="49">
        <v>2</v>
      </c>
      <c r="AA26" s="49">
        <v>27</v>
      </c>
      <c r="AB26" s="49">
        <v>81</v>
      </c>
      <c r="AC26" s="49">
        <v>0</v>
      </c>
      <c r="AD26" s="49">
        <v>0</v>
      </c>
      <c r="AE26" s="49">
        <v>0</v>
      </c>
      <c r="AF26" s="49">
        <v>0</v>
      </c>
      <c r="AG26" s="49">
        <v>169</v>
      </c>
      <c r="AH26" s="49">
        <v>2</v>
      </c>
      <c r="AI26" s="49">
        <v>3</v>
      </c>
      <c r="AJ26" s="49">
        <v>174</v>
      </c>
      <c r="AK26" s="49">
        <v>26</v>
      </c>
      <c r="AL26" s="49">
        <v>0</v>
      </c>
      <c r="AM26" s="49">
        <v>0</v>
      </c>
      <c r="AN26" s="49">
        <v>26</v>
      </c>
      <c r="AO26" s="49">
        <v>200</v>
      </c>
      <c r="AP26" s="49">
        <v>24</v>
      </c>
      <c r="AQ26" s="49">
        <v>0</v>
      </c>
      <c r="AR26" s="49">
        <v>0</v>
      </c>
      <c r="AS26" s="49">
        <v>24</v>
      </c>
      <c r="AT26" s="49">
        <v>95</v>
      </c>
      <c r="AU26" s="49">
        <v>1</v>
      </c>
      <c r="AV26" s="49">
        <v>5</v>
      </c>
      <c r="AW26" s="49">
        <v>101</v>
      </c>
      <c r="AX26" s="49">
        <v>6</v>
      </c>
      <c r="AY26" s="49">
        <v>0</v>
      </c>
      <c r="AZ26" s="49">
        <v>0</v>
      </c>
      <c r="BA26" s="49">
        <v>6</v>
      </c>
      <c r="BB26" s="49">
        <v>131</v>
      </c>
      <c r="BC26" s="49">
        <v>522</v>
      </c>
    </row>
    <row r="27" spans="2:55" x14ac:dyDescent="0.25">
      <c r="B27" s="11">
        <v>0.69791666666666663</v>
      </c>
      <c r="C27" s="49">
        <v>15</v>
      </c>
      <c r="D27" s="49">
        <v>0</v>
      </c>
      <c r="E27" s="49">
        <v>0</v>
      </c>
      <c r="F27" s="49">
        <v>15</v>
      </c>
      <c r="G27" s="49">
        <v>64</v>
      </c>
      <c r="H27" s="49">
        <v>2</v>
      </c>
      <c r="I27" s="49">
        <v>7</v>
      </c>
      <c r="J27" s="49">
        <v>73</v>
      </c>
      <c r="K27" s="49">
        <v>7</v>
      </c>
      <c r="L27" s="49">
        <v>0</v>
      </c>
      <c r="M27" s="49">
        <v>0</v>
      </c>
      <c r="N27" s="49">
        <v>7</v>
      </c>
      <c r="O27" s="49">
        <v>95</v>
      </c>
      <c r="P27" s="49">
        <v>7</v>
      </c>
      <c r="Q27" s="49">
        <v>0</v>
      </c>
      <c r="R27" s="49">
        <v>0</v>
      </c>
      <c r="S27" s="49">
        <v>7</v>
      </c>
      <c r="T27" s="49">
        <v>40</v>
      </c>
      <c r="U27" s="49">
        <v>1</v>
      </c>
      <c r="V27" s="49">
        <v>0</v>
      </c>
      <c r="W27" s="49">
        <v>41</v>
      </c>
      <c r="X27" s="49">
        <v>24</v>
      </c>
      <c r="Y27" s="49">
        <v>0</v>
      </c>
      <c r="Z27" s="49">
        <v>2</v>
      </c>
      <c r="AA27" s="49">
        <v>26</v>
      </c>
      <c r="AB27" s="49">
        <v>74</v>
      </c>
      <c r="AC27" s="49">
        <v>1</v>
      </c>
      <c r="AD27" s="49">
        <v>0</v>
      </c>
      <c r="AE27" s="49">
        <v>0</v>
      </c>
      <c r="AF27" s="49">
        <v>1</v>
      </c>
      <c r="AG27" s="49">
        <v>166</v>
      </c>
      <c r="AH27" s="49">
        <v>1</v>
      </c>
      <c r="AI27" s="49">
        <v>2</v>
      </c>
      <c r="AJ27" s="49">
        <v>169</v>
      </c>
      <c r="AK27" s="49">
        <v>29</v>
      </c>
      <c r="AL27" s="49">
        <v>1</v>
      </c>
      <c r="AM27" s="49">
        <v>0</v>
      </c>
      <c r="AN27" s="49">
        <v>30</v>
      </c>
      <c r="AO27" s="49">
        <v>200</v>
      </c>
      <c r="AP27" s="49">
        <v>22</v>
      </c>
      <c r="AQ27" s="49">
        <v>0</v>
      </c>
      <c r="AR27" s="49">
        <v>0</v>
      </c>
      <c r="AS27" s="49">
        <v>22</v>
      </c>
      <c r="AT27" s="49">
        <v>68</v>
      </c>
      <c r="AU27" s="49">
        <v>0</v>
      </c>
      <c r="AV27" s="49">
        <v>1</v>
      </c>
      <c r="AW27" s="49">
        <v>69</v>
      </c>
      <c r="AX27" s="49">
        <v>5</v>
      </c>
      <c r="AY27" s="49">
        <v>0</v>
      </c>
      <c r="AZ27" s="49">
        <v>0</v>
      </c>
      <c r="BA27" s="49">
        <v>5</v>
      </c>
      <c r="BB27" s="49">
        <v>96</v>
      </c>
      <c r="BC27" s="49">
        <v>465</v>
      </c>
    </row>
    <row r="28" spans="2:55" x14ac:dyDescent="0.25">
      <c r="B28" s="11">
        <v>0.70833333333333337</v>
      </c>
      <c r="C28" s="49">
        <v>7</v>
      </c>
      <c r="D28" s="49">
        <v>0</v>
      </c>
      <c r="E28" s="49">
        <v>0</v>
      </c>
      <c r="F28" s="49">
        <v>7</v>
      </c>
      <c r="G28" s="49">
        <v>54</v>
      </c>
      <c r="H28" s="49">
        <v>1</v>
      </c>
      <c r="I28" s="49">
        <v>2</v>
      </c>
      <c r="J28" s="49">
        <v>57</v>
      </c>
      <c r="K28" s="49">
        <v>3</v>
      </c>
      <c r="L28" s="49">
        <v>0</v>
      </c>
      <c r="M28" s="49">
        <v>0</v>
      </c>
      <c r="N28" s="49">
        <v>3</v>
      </c>
      <c r="O28" s="49">
        <v>67</v>
      </c>
      <c r="P28" s="49">
        <v>6</v>
      </c>
      <c r="Q28" s="49">
        <v>0</v>
      </c>
      <c r="R28" s="49">
        <v>0</v>
      </c>
      <c r="S28" s="49">
        <v>6</v>
      </c>
      <c r="T28" s="49">
        <v>34</v>
      </c>
      <c r="U28" s="49">
        <v>1</v>
      </c>
      <c r="V28" s="49">
        <v>1</v>
      </c>
      <c r="W28" s="49">
        <v>36</v>
      </c>
      <c r="X28" s="49">
        <v>14</v>
      </c>
      <c r="Y28" s="49">
        <v>1</v>
      </c>
      <c r="Z28" s="49">
        <v>0</v>
      </c>
      <c r="AA28" s="49">
        <v>15</v>
      </c>
      <c r="AB28" s="49">
        <v>57</v>
      </c>
      <c r="AC28" s="49">
        <v>6</v>
      </c>
      <c r="AD28" s="49">
        <v>0</v>
      </c>
      <c r="AE28" s="49">
        <v>0</v>
      </c>
      <c r="AF28" s="49">
        <v>6</v>
      </c>
      <c r="AG28" s="49">
        <v>155</v>
      </c>
      <c r="AH28" s="49">
        <v>2</v>
      </c>
      <c r="AI28" s="49">
        <v>5</v>
      </c>
      <c r="AJ28" s="49">
        <v>162</v>
      </c>
      <c r="AK28" s="49">
        <v>19</v>
      </c>
      <c r="AL28" s="49">
        <v>0</v>
      </c>
      <c r="AM28" s="49">
        <v>0</v>
      </c>
      <c r="AN28" s="49">
        <v>19</v>
      </c>
      <c r="AO28" s="49">
        <v>187</v>
      </c>
      <c r="AP28" s="49">
        <v>28</v>
      </c>
      <c r="AQ28" s="49">
        <v>0</v>
      </c>
      <c r="AR28" s="49">
        <v>0</v>
      </c>
      <c r="AS28" s="49">
        <v>28</v>
      </c>
      <c r="AT28" s="49">
        <v>98</v>
      </c>
      <c r="AU28" s="49">
        <v>0</v>
      </c>
      <c r="AV28" s="49">
        <v>0</v>
      </c>
      <c r="AW28" s="49">
        <v>98</v>
      </c>
      <c r="AX28" s="49">
        <v>5</v>
      </c>
      <c r="AY28" s="49">
        <v>0</v>
      </c>
      <c r="AZ28" s="49">
        <v>0</v>
      </c>
      <c r="BA28" s="49">
        <v>5</v>
      </c>
      <c r="BB28" s="49">
        <v>131</v>
      </c>
      <c r="BC28" s="49">
        <v>442</v>
      </c>
    </row>
    <row r="29" spans="2:55" x14ac:dyDescent="0.25">
      <c r="B29" s="11">
        <v>0.71875</v>
      </c>
      <c r="C29" s="49">
        <v>3</v>
      </c>
      <c r="D29" s="49">
        <v>0</v>
      </c>
      <c r="E29" s="49">
        <v>0</v>
      </c>
      <c r="F29" s="49">
        <v>3</v>
      </c>
      <c r="G29" s="49">
        <v>46</v>
      </c>
      <c r="H29" s="49">
        <v>1</v>
      </c>
      <c r="I29" s="49">
        <v>5</v>
      </c>
      <c r="J29" s="49">
        <v>52</v>
      </c>
      <c r="K29" s="49">
        <v>8</v>
      </c>
      <c r="L29" s="49">
        <v>0</v>
      </c>
      <c r="M29" s="49">
        <v>0</v>
      </c>
      <c r="N29" s="49">
        <v>8</v>
      </c>
      <c r="O29" s="49">
        <v>63</v>
      </c>
      <c r="P29" s="49">
        <v>5</v>
      </c>
      <c r="Q29" s="49">
        <v>0</v>
      </c>
      <c r="R29" s="49">
        <v>0</v>
      </c>
      <c r="S29" s="49">
        <v>5</v>
      </c>
      <c r="T29" s="49">
        <v>37</v>
      </c>
      <c r="U29" s="49">
        <v>0</v>
      </c>
      <c r="V29" s="49">
        <v>0</v>
      </c>
      <c r="W29" s="49">
        <v>37</v>
      </c>
      <c r="X29" s="49">
        <v>12</v>
      </c>
      <c r="Y29" s="49">
        <v>0</v>
      </c>
      <c r="Z29" s="49">
        <v>0</v>
      </c>
      <c r="AA29" s="49">
        <v>12</v>
      </c>
      <c r="AB29" s="49">
        <v>54</v>
      </c>
      <c r="AC29" s="49">
        <v>1</v>
      </c>
      <c r="AD29" s="49">
        <v>0</v>
      </c>
      <c r="AE29" s="49">
        <v>0</v>
      </c>
      <c r="AF29" s="49">
        <v>1</v>
      </c>
      <c r="AG29" s="49">
        <v>156</v>
      </c>
      <c r="AH29" s="49">
        <v>4</v>
      </c>
      <c r="AI29" s="49">
        <v>4</v>
      </c>
      <c r="AJ29" s="49">
        <v>164</v>
      </c>
      <c r="AK29" s="49">
        <v>23</v>
      </c>
      <c r="AL29" s="49">
        <v>2</v>
      </c>
      <c r="AM29" s="49">
        <v>0</v>
      </c>
      <c r="AN29" s="49">
        <v>25</v>
      </c>
      <c r="AO29" s="49">
        <v>190</v>
      </c>
      <c r="AP29" s="49">
        <v>14</v>
      </c>
      <c r="AQ29" s="49">
        <v>0</v>
      </c>
      <c r="AR29" s="49">
        <v>0</v>
      </c>
      <c r="AS29" s="49">
        <v>14</v>
      </c>
      <c r="AT29" s="49">
        <v>79</v>
      </c>
      <c r="AU29" s="49">
        <v>2</v>
      </c>
      <c r="AV29" s="49">
        <v>4</v>
      </c>
      <c r="AW29" s="49">
        <v>85</v>
      </c>
      <c r="AX29" s="49">
        <v>3</v>
      </c>
      <c r="AY29" s="49">
        <v>0</v>
      </c>
      <c r="AZ29" s="49">
        <v>1</v>
      </c>
      <c r="BA29" s="49">
        <v>4</v>
      </c>
      <c r="BB29" s="49">
        <v>103</v>
      </c>
      <c r="BC29" s="49">
        <v>410</v>
      </c>
    </row>
    <row r="30" spans="2:55" x14ac:dyDescent="0.25">
      <c r="B30" s="11">
        <v>0.72916666666666663</v>
      </c>
      <c r="C30" s="49">
        <v>7</v>
      </c>
      <c r="D30" s="49">
        <v>0</v>
      </c>
      <c r="E30" s="49">
        <v>0</v>
      </c>
      <c r="F30" s="49">
        <v>7</v>
      </c>
      <c r="G30" s="49">
        <v>82</v>
      </c>
      <c r="H30" s="49">
        <v>2</v>
      </c>
      <c r="I30" s="49">
        <v>5</v>
      </c>
      <c r="J30" s="49">
        <v>89</v>
      </c>
      <c r="K30" s="49">
        <v>3</v>
      </c>
      <c r="L30" s="49">
        <v>0</v>
      </c>
      <c r="M30" s="49">
        <v>0</v>
      </c>
      <c r="N30" s="49">
        <v>3</v>
      </c>
      <c r="O30" s="49">
        <v>99</v>
      </c>
      <c r="P30" s="49">
        <v>6</v>
      </c>
      <c r="Q30" s="49">
        <v>0</v>
      </c>
      <c r="R30" s="49">
        <v>0</v>
      </c>
      <c r="S30" s="49">
        <v>6</v>
      </c>
      <c r="T30" s="49">
        <v>35</v>
      </c>
      <c r="U30" s="49">
        <v>0</v>
      </c>
      <c r="V30" s="49">
        <v>1</v>
      </c>
      <c r="W30" s="49">
        <v>36</v>
      </c>
      <c r="X30" s="49">
        <v>9</v>
      </c>
      <c r="Y30" s="49">
        <v>0</v>
      </c>
      <c r="Z30" s="49">
        <v>0</v>
      </c>
      <c r="AA30" s="49">
        <v>9</v>
      </c>
      <c r="AB30" s="49">
        <v>51</v>
      </c>
      <c r="AC30" s="49">
        <v>2</v>
      </c>
      <c r="AD30" s="49">
        <v>0</v>
      </c>
      <c r="AE30" s="49">
        <v>0</v>
      </c>
      <c r="AF30" s="49">
        <v>2</v>
      </c>
      <c r="AG30" s="49">
        <v>137</v>
      </c>
      <c r="AH30" s="49">
        <v>0</v>
      </c>
      <c r="AI30" s="49">
        <v>2</v>
      </c>
      <c r="AJ30" s="49">
        <v>139</v>
      </c>
      <c r="AK30" s="49">
        <v>24</v>
      </c>
      <c r="AL30" s="49">
        <v>1</v>
      </c>
      <c r="AM30" s="49">
        <v>0</v>
      </c>
      <c r="AN30" s="49">
        <v>25</v>
      </c>
      <c r="AO30" s="49">
        <v>166</v>
      </c>
      <c r="AP30" s="49">
        <v>10</v>
      </c>
      <c r="AQ30" s="49">
        <v>0</v>
      </c>
      <c r="AR30" s="49">
        <v>0</v>
      </c>
      <c r="AS30" s="49">
        <v>10</v>
      </c>
      <c r="AT30" s="49">
        <v>60</v>
      </c>
      <c r="AU30" s="49">
        <v>0</v>
      </c>
      <c r="AV30" s="49">
        <v>2</v>
      </c>
      <c r="AW30" s="49">
        <v>62</v>
      </c>
      <c r="AX30" s="49">
        <v>3</v>
      </c>
      <c r="AY30" s="49">
        <v>0</v>
      </c>
      <c r="AZ30" s="49">
        <v>0</v>
      </c>
      <c r="BA30" s="49">
        <v>3</v>
      </c>
      <c r="BB30" s="49">
        <v>75</v>
      </c>
      <c r="BC30" s="49">
        <v>391</v>
      </c>
    </row>
    <row r="31" spans="2:55" x14ac:dyDescent="0.25">
      <c r="B31" s="11">
        <v>0.73958333333333337</v>
      </c>
      <c r="C31" s="49">
        <v>12</v>
      </c>
      <c r="D31" s="49">
        <v>0</v>
      </c>
      <c r="E31" s="49">
        <v>0</v>
      </c>
      <c r="F31" s="49">
        <v>12</v>
      </c>
      <c r="G31" s="49">
        <v>84</v>
      </c>
      <c r="H31" s="49">
        <v>0</v>
      </c>
      <c r="I31" s="49">
        <v>5</v>
      </c>
      <c r="J31" s="49">
        <v>89</v>
      </c>
      <c r="K31" s="49">
        <v>3</v>
      </c>
      <c r="L31" s="49">
        <v>0</v>
      </c>
      <c r="M31" s="49">
        <v>0</v>
      </c>
      <c r="N31" s="49">
        <v>3</v>
      </c>
      <c r="O31" s="49">
        <v>104</v>
      </c>
      <c r="P31" s="49">
        <v>2</v>
      </c>
      <c r="Q31" s="49">
        <v>0</v>
      </c>
      <c r="R31" s="49">
        <v>0</v>
      </c>
      <c r="S31" s="49">
        <v>2</v>
      </c>
      <c r="T31" s="49">
        <v>16</v>
      </c>
      <c r="U31" s="49">
        <v>0</v>
      </c>
      <c r="V31" s="49">
        <v>0</v>
      </c>
      <c r="W31" s="49">
        <v>16</v>
      </c>
      <c r="X31" s="49">
        <v>12</v>
      </c>
      <c r="Y31" s="49">
        <v>0</v>
      </c>
      <c r="Z31" s="49">
        <v>0</v>
      </c>
      <c r="AA31" s="49">
        <v>12</v>
      </c>
      <c r="AB31" s="49">
        <v>30</v>
      </c>
      <c r="AC31" s="49">
        <v>1</v>
      </c>
      <c r="AD31" s="49">
        <v>0</v>
      </c>
      <c r="AE31" s="49">
        <v>0</v>
      </c>
      <c r="AF31" s="49">
        <v>1</v>
      </c>
      <c r="AG31" s="49">
        <v>157</v>
      </c>
      <c r="AH31" s="49">
        <v>3</v>
      </c>
      <c r="AI31" s="49">
        <v>0</v>
      </c>
      <c r="AJ31" s="49">
        <v>160</v>
      </c>
      <c r="AK31" s="49">
        <v>18</v>
      </c>
      <c r="AL31" s="49">
        <v>0</v>
      </c>
      <c r="AM31" s="49">
        <v>0</v>
      </c>
      <c r="AN31" s="49">
        <v>18</v>
      </c>
      <c r="AO31" s="49">
        <v>179</v>
      </c>
      <c r="AP31" s="49">
        <v>16</v>
      </c>
      <c r="AQ31" s="49">
        <v>0</v>
      </c>
      <c r="AR31" s="49">
        <v>0</v>
      </c>
      <c r="AS31" s="49">
        <v>16</v>
      </c>
      <c r="AT31" s="49">
        <v>40</v>
      </c>
      <c r="AU31" s="49">
        <v>1</v>
      </c>
      <c r="AV31" s="49">
        <v>1</v>
      </c>
      <c r="AW31" s="49">
        <v>42</v>
      </c>
      <c r="AX31" s="49">
        <v>3</v>
      </c>
      <c r="AY31" s="49">
        <v>0</v>
      </c>
      <c r="AZ31" s="49">
        <v>0</v>
      </c>
      <c r="BA31" s="49">
        <v>3</v>
      </c>
      <c r="BB31" s="49">
        <v>61</v>
      </c>
      <c r="BC31" s="49">
        <v>374</v>
      </c>
    </row>
    <row r="32" spans="2:55" x14ac:dyDescent="0.25">
      <c r="B32" s="10" t="s">
        <v>90</v>
      </c>
      <c r="C32" s="49">
        <v>62</v>
      </c>
      <c r="D32" s="49">
        <v>8</v>
      </c>
      <c r="E32" s="49">
        <v>1</v>
      </c>
      <c r="F32" s="49">
        <v>71</v>
      </c>
      <c r="G32" s="49">
        <v>308</v>
      </c>
      <c r="H32" s="49">
        <v>17</v>
      </c>
      <c r="I32" s="49">
        <v>5</v>
      </c>
      <c r="J32" s="49">
        <v>330</v>
      </c>
      <c r="K32" s="49">
        <v>27</v>
      </c>
      <c r="L32" s="49">
        <v>2</v>
      </c>
      <c r="M32" s="49">
        <v>0</v>
      </c>
      <c r="N32" s="49">
        <v>29</v>
      </c>
      <c r="O32" s="49">
        <v>430</v>
      </c>
      <c r="P32" s="49">
        <v>40</v>
      </c>
      <c r="Q32" s="49">
        <v>1</v>
      </c>
      <c r="R32" s="49">
        <v>0</v>
      </c>
      <c r="S32" s="49">
        <v>41</v>
      </c>
      <c r="T32" s="49">
        <v>152</v>
      </c>
      <c r="U32" s="49">
        <v>2</v>
      </c>
      <c r="V32" s="49">
        <v>3</v>
      </c>
      <c r="W32" s="49">
        <v>157</v>
      </c>
      <c r="X32" s="49">
        <v>65</v>
      </c>
      <c r="Y32" s="49">
        <v>6</v>
      </c>
      <c r="Z32" s="49">
        <v>2</v>
      </c>
      <c r="AA32" s="49">
        <v>73</v>
      </c>
      <c r="AB32" s="49">
        <v>271</v>
      </c>
      <c r="AC32" s="49">
        <v>29</v>
      </c>
      <c r="AD32" s="49">
        <v>2</v>
      </c>
      <c r="AE32" s="49">
        <v>3</v>
      </c>
      <c r="AF32" s="49">
        <v>34</v>
      </c>
      <c r="AG32" s="49">
        <v>598</v>
      </c>
      <c r="AH32" s="49">
        <v>15</v>
      </c>
      <c r="AI32" s="49">
        <v>4</v>
      </c>
      <c r="AJ32" s="49">
        <v>617</v>
      </c>
      <c r="AK32" s="49">
        <v>56</v>
      </c>
      <c r="AL32" s="49">
        <v>1</v>
      </c>
      <c r="AM32" s="49">
        <v>0</v>
      </c>
      <c r="AN32" s="49">
        <v>57</v>
      </c>
      <c r="AO32" s="49">
        <v>708</v>
      </c>
      <c r="AP32" s="49">
        <v>67</v>
      </c>
      <c r="AQ32" s="49">
        <v>2</v>
      </c>
      <c r="AR32" s="49">
        <v>1</v>
      </c>
      <c r="AS32" s="49">
        <v>70</v>
      </c>
      <c r="AT32" s="49">
        <v>177</v>
      </c>
      <c r="AU32" s="49">
        <v>7</v>
      </c>
      <c r="AV32" s="49">
        <v>3</v>
      </c>
      <c r="AW32" s="49">
        <v>187</v>
      </c>
      <c r="AX32" s="49">
        <v>25</v>
      </c>
      <c r="AY32" s="49">
        <v>0</v>
      </c>
      <c r="AZ32" s="49">
        <v>0</v>
      </c>
      <c r="BA32" s="49">
        <v>25</v>
      </c>
      <c r="BB32" s="49">
        <v>282</v>
      </c>
      <c r="BC32" s="49">
        <v>1691</v>
      </c>
    </row>
    <row r="33" spans="2:55" x14ac:dyDescent="0.25">
      <c r="B33" s="11">
        <v>0.54166666666666663</v>
      </c>
      <c r="C33" s="49">
        <v>16</v>
      </c>
      <c r="D33" s="49">
        <v>0</v>
      </c>
      <c r="E33" s="49">
        <v>0</v>
      </c>
      <c r="F33" s="49">
        <v>16</v>
      </c>
      <c r="G33" s="49">
        <v>94</v>
      </c>
      <c r="H33" s="49">
        <v>7</v>
      </c>
      <c r="I33" s="49">
        <v>1</v>
      </c>
      <c r="J33" s="49">
        <v>102</v>
      </c>
      <c r="K33" s="49">
        <v>5</v>
      </c>
      <c r="L33" s="49">
        <v>0</v>
      </c>
      <c r="M33" s="49">
        <v>0</v>
      </c>
      <c r="N33" s="49">
        <v>5</v>
      </c>
      <c r="O33" s="49">
        <v>123</v>
      </c>
      <c r="P33" s="49">
        <v>16</v>
      </c>
      <c r="Q33" s="49">
        <v>1</v>
      </c>
      <c r="R33" s="49">
        <v>0</v>
      </c>
      <c r="S33" s="49">
        <v>17</v>
      </c>
      <c r="T33" s="49">
        <v>33</v>
      </c>
      <c r="U33" s="49">
        <v>2</v>
      </c>
      <c r="V33" s="49">
        <v>0</v>
      </c>
      <c r="W33" s="49">
        <v>35</v>
      </c>
      <c r="X33" s="49">
        <v>28</v>
      </c>
      <c r="Y33" s="49">
        <v>1</v>
      </c>
      <c r="Z33" s="49">
        <v>0</v>
      </c>
      <c r="AA33" s="49">
        <v>29</v>
      </c>
      <c r="AB33" s="49">
        <v>81</v>
      </c>
      <c r="AC33" s="49">
        <v>9</v>
      </c>
      <c r="AD33" s="49">
        <v>1</v>
      </c>
      <c r="AE33" s="49">
        <v>0</v>
      </c>
      <c r="AF33" s="49">
        <v>10</v>
      </c>
      <c r="AG33" s="49">
        <v>144</v>
      </c>
      <c r="AH33" s="49">
        <v>3</v>
      </c>
      <c r="AI33" s="49">
        <v>1</v>
      </c>
      <c r="AJ33" s="49">
        <v>148</v>
      </c>
      <c r="AK33" s="49">
        <v>14</v>
      </c>
      <c r="AL33" s="49">
        <v>1</v>
      </c>
      <c r="AM33" s="49">
        <v>0</v>
      </c>
      <c r="AN33" s="49">
        <v>15</v>
      </c>
      <c r="AO33" s="49">
        <v>173</v>
      </c>
      <c r="AP33" s="49">
        <v>16</v>
      </c>
      <c r="AQ33" s="49">
        <v>1</v>
      </c>
      <c r="AR33" s="49">
        <v>0</v>
      </c>
      <c r="AS33" s="49">
        <v>17</v>
      </c>
      <c r="AT33" s="49">
        <v>52</v>
      </c>
      <c r="AU33" s="49">
        <v>2</v>
      </c>
      <c r="AV33" s="49">
        <v>0</v>
      </c>
      <c r="AW33" s="49">
        <v>54</v>
      </c>
      <c r="AX33" s="49">
        <v>6</v>
      </c>
      <c r="AY33" s="49">
        <v>0</v>
      </c>
      <c r="AZ33" s="49">
        <v>0</v>
      </c>
      <c r="BA33" s="49">
        <v>6</v>
      </c>
      <c r="BB33" s="49">
        <v>77</v>
      </c>
      <c r="BC33" s="49">
        <v>454</v>
      </c>
    </row>
    <row r="34" spans="2:55" x14ac:dyDescent="0.25">
      <c r="B34" s="11">
        <v>0.55208333333333337</v>
      </c>
      <c r="C34" s="49">
        <v>16</v>
      </c>
      <c r="D34" s="49">
        <v>2</v>
      </c>
      <c r="E34" s="49">
        <v>1</v>
      </c>
      <c r="F34" s="49">
        <v>19</v>
      </c>
      <c r="G34" s="49">
        <v>71</v>
      </c>
      <c r="H34" s="49">
        <v>2</v>
      </c>
      <c r="I34" s="49">
        <v>0</v>
      </c>
      <c r="J34" s="49">
        <v>73</v>
      </c>
      <c r="K34" s="49">
        <v>13</v>
      </c>
      <c r="L34" s="49">
        <v>0</v>
      </c>
      <c r="M34" s="49">
        <v>0</v>
      </c>
      <c r="N34" s="49">
        <v>13</v>
      </c>
      <c r="O34" s="49">
        <v>105</v>
      </c>
      <c r="P34" s="49">
        <v>9</v>
      </c>
      <c r="Q34" s="49">
        <v>0</v>
      </c>
      <c r="R34" s="49">
        <v>0</v>
      </c>
      <c r="S34" s="49">
        <v>9</v>
      </c>
      <c r="T34" s="49">
        <v>44</v>
      </c>
      <c r="U34" s="49">
        <v>0</v>
      </c>
      <c r="V34" s="49">
        <v>2</v>
      </c>
      <c r="W34" s="49">
        <v>46</v>
      </c>
      <c r="X34" s="49">
        <v>8</v>
      </c>
      <c r="Y34" s="49">
        <v>1</v>
      </c>
      <c r="Z34" s="49">
        <v>1</v>
      </c>
      <c r="AA34" s="49">
        <v>10</v>
      </c>
      <c r="AB34" s="49">
        <v>65</v>
      </c>
      <c r="AC34" s="49">
        <v>8</v>
      </c>
      <c r="AD34" s="49">
        <v>0</v>
      </c>
      <c r="AE34" s="49">
        <v>2</v>
      </c>
      <c r="AF34" s="49">
        <v>10</v>
      </c>
      <c r="AG34" s="49">
        <v>168</v>
      </c>
      <c r="AH34" s="49">
        <v>4</v>
      </c>
      <c r="AI34" s="49">
        <v>3</v>
      </c>
      <c r="AJ34" s="49">
        <v>175</v>
      </c>
      <c r="AK34" s="49">
        <v>12</v>
      </c>
      <c r="AL34" s="49">
        <v>0</v>
      </c>
      <c r="AM34" s="49">
        <v>0</v>
      </c>
      <c r="AN34" s="49">
        <v>12</v>
      </c>
      <c r="AO34" s="49">
        <v>197</v>
      </c>
      <c r="AP34" s="49">
        <v>21</v>
      </c>
      <c r="AQ34" s="49">
        <v>0</v>
      </c>
      <c r="AR34" s="49">
        <v>0</v>
      </c>
      <c r="AS34" s="49">
        <v>21</v>
      </c>
      <c r="AT34" s="49">
        <v>37</v>
      </c>
      <c r="AU34" s="49">
        <v>0</v>
      </c>
      <c r="AV34" s="49">
        <v>0</v>
      </c>
      <c r="AW34" s="49">
        <v>37</v>
      </c>
      <c r="AX34" s="49">
        <v>4</v>
      </c>
      <c r="AY34" s="49">
        <v>0</v>
      </c>
      <c r="AZ34" s="49">
        <v>0</v>
      </c>
      <c r="BA34" s="49">
        <v>4</v>
      </c>
      <c r="BB34" s="49">
        <v>62</v>
      </c>
      <c r="BC34" s="49">
        <v>429</v>
      </c>
    </row>
    <row r="35" spans="2:55" x14ac:dyDescent="0.25">
      <c r="B35" s="11">
        <v>0.5625</v>
      </c>
      <c r="C35" s="49">
        <v>15</v>
      </c>
      <c r="D35" s="49">
        <v>4</v>
      </c>
      <c r="E35" s="49">
        <v>0</v>
      </c>
      <c r="F35" s="49">
        <v>19</v>
      </c>
      <c r="G35" s="49">
        <v>62</v>
      </c>
      <c r="H35" s="49">
        <v>5</v>
      </c>
      <c r="I35" s="49">
        <v>1</v>
      </c>
      <c r="J35" s="49">
        <v>68</v>
      </c>
      <c r="K35" s="49">
        <v>3</v>
      </c>
      <c r="L35" s="49">
        <v>2</v>
      </c>
      <c r="M35" s="49">
        <v>0</v>
      </c>
      <c r="N35" s="49">
        <v>5</v>
      </c>
      <c r="O35" s="49">
        <v>92</v>
      </c>
      <c r="P35" s="49">
        <v>8</v>
      </c>
      <c r="Q35" s="49">
        <v>0</v>
      </c>
      <c r="R35" s="49">
        <v>0</v>
      </c>
      <c r="S35" s="49">
        <v>8</v>
      </c>
      <c r="T35" s="49">
        <v>35</v>
      </c>
      <c r="U35" s="49">
        <v>0</v>
      </c>
      <c r="V35" s="49">
        <v>0</v>
      </c>
      <c r="W35" s="49">
        <v>35</v>
      </c>
      <c r="X35" s="49">
        <v>15</v>
      </c>
      <c r="Y35" s="49">
        <v>1</v>
      </c>
      <c r="Z35" s="49">
        <v>0</v>
      </c>
      <c r="AA35" s="49">
        <v>16</v>
      </c>
      <c r="AB35" s="49">
        <v>59</v>
      </c>
      <c r="AC35" s="49">
        <v>5</v>
      </c>
      <c r="AD35" s="49">
        <v>0</v>
      </c>
      <c r="AE35" s="49">
        <v>0</v>
      </c>
      <c r="AF35" s="49">
        <v>5</v>
      </c>
      <c r="AG35" s="49">
        <v>144</v>
      </c>
      <c r="AH35" s="49">
        <v>3</v>
      </c>
      <c r="AI35" s="49">
        <v>0</v>
      </c>
      <c r="AJ35" s="49">
        <v>147</v>
      </c>
      <c r="AK35" s="49">
        <v>10</v>
      </c>
      <c r="AL35" s="49">
        <v>0</v>
      </c>
      <c r="AM35" s="49">
        <v>0</v>
      </c>
      <c r="AN35" s="49">
        <v>10</v>
      </c>
      <c r="AO35" s="49">
        <v>162</v>
      </c>
      <c r="AP35" s="49">
        <v>17</v>
      </c>
      <c r="AQ35" s="49">
        <v>0</v>
      </c>
      <c r="AR35" s="49">
        <v>1</v>
      </c>
      <c r="AS35" s="49">
        <v>18</v>
      </c>
      <c r="AT35" s="49">
        <v>47</v>
      </c>
      <c r="AU35" s="49">
        <v>2</v>
      </c>
      <c r="AV35" s="49">
        <v>1</v>
      </c>
      <c r="AW35" s="49">
        <v>50</v>
      </c>
      <c r="AX35" s="49">
        <v>7</v>
      </c>
      <c r="AY35" s="49">
        <v>0</v>
      </c>
      <c r="AZ35" s="49">
        <v>0</v>
      </c>
      <c r="BA35" s="49">
        <v>7</v>
      </c>
      <c r="BB35" s="49">
        <v>75</v>
      </c>
      <c r="BC35" s="49">
        <v>388</v>
      </c>
    </row>
    <row r="36" spans="2:55" x14ac:dyDescent="0.25">
      <c r="B36" s="11">
        <v>0.57291666666666663</v>
      </c>
      <c r="C36" s="49">
        <v>15</v>
      </c>
      <c r="D36" s="49">
        <v>2</v>
      </c>
      <c r="E36" s="49">
        <v>0</v>
      </c>
      <c r="F36" s="49">
        <v>17</v>
      </c>
      <c r="G36" s="49">
        <v>81</v>
      </c>
      <c r="H36" s="49">
        <v>3</v>
      </c>
      <c r="I36" s="49">
        <v>3</v>
      </c>
      <c r="J36" s="49">
        <v>87</v>
      </c>
      <c r="K36" s="49">
        <v>6</v>
      </c>
      <c r="L36" s="49">
        <v>0</v>
      </c>
      <c r="M36" s="49">
        <v>0</v>
      </c>
      <c r="N36" s="49">
        <v>6</v>
      </c>
      <c r="O36" s="49">
        <v>110</v>
      </c>
      <c r="P36" s="49">
        <v>7</v>
      </c>
      <c r="Q36" s="49">
        <v>0</v>
      </c>
      <c r="R36" s="49">
        <v>0</v>
      </c>
      <c r="S36" s="49">
        <v>7</v>
      </c>
      <c r="T36" s="49">
        <v>40</v>
      </c>
      <c r="U36" s="49">
        <v>0</v>
      </c>
      <c r="V36" s="49">
        <v>1</v>
      </c>
      <c r="W36" s="49">
        <v>41</v>
      </c>
      <c r="X36" s="49">
        <v>14</v>
      </c>
      <c r="Y36" s="49">
        <v>3</v>
      </c>
      <c r="Z36" s="49">
        <v>1</v>
      </c>
      <c r="AA36" s="49">
        <v>18</v>
      </c>
      <c r="AB36" s="49">
        <v>66</v>
      </c>
      <c r="AC36" s="49">
        <v>7</v>
      </c>
      <c r="AD36" s="49">
        <v>1</v>
      </c>
      <c r="AE36" s="49">
        <v>1</v>
      </c>
      <c r="AF36" s="49">
        <v>9</v>
      </c>
      <c r="AG36" s="49">
        <v>142</v>
      </c>
      <c r="AH36" s="49">
        <v>5</v>
      </c>
      <c r="AI36" s="49">
        <v>0</v>
      </c>
      <c r="AJ36" s="49">
        <v>147</v>
      </c>
      <c r="AK36" s="49">
        <v>20</v>
      </c>
      <c r="AL36" s="49">
        <v>0</v>
      </c>
      <c r="AM36" s="49">
        <v>0</v>
      </c>
      <c r="AN36" s="49">
        <v>20</v>
      </c>
      <c r="AO36" s="49">
        <v>176</v>
      </c>
      <c r="AP36" s="49">
        <v>13</v>
      </c>
      <c r="AQ36" s="49">
        <v>1</v>
      </c>
      <c r="AR36" s="49">
        <v>0</v>
      </c>
      <c r="AS36" s="49">
        <v>14</v>
      </c>
      <c r="AT36" s="49">
        <v>41</v>
      </c>
      <c r="AU36" s="49">
        <v>3</v>
      </c>
      <c r="AV36" s="49">
        <v>2</v>
      </c>
      <c r="AW36" s="49">
        <v>46</v>
      </c>
      <c r="AX36" s="49">
        <v>8</v>
      </c>
      <c r="AY36" s="49">
        <v>0</v>
      </c>
      <c r="AZ36" s="49">
        <v>0</v>
      </c>
      <c r="BA36" s="49">
        <v>8</v>
      </c>
      <c r="BB36" s="49">
        <v>68</v>
      </c>
      <c r="BC36" s="49">
        <v>420</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2241</v>
      </c>
      <c r="I5">
        <f>MAX(I11:I303)</f>
        <v>1691</v>
      </c>
      <c r="J5">
        <f>MAX(J11:J303)</f>
        <v>2002</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2241 vehicles between 07:45 and 08:45</v>
      </c>
      <c r="I8" s="6" t="str">
        <f>IF(I5=0,"","The peak hour for " &amp;I10&amp;" is "&amp;I5&amp;" vehicles between " &amp; TEXT(I6, "hh:mm")&amp; " and " &amp;TEXT(I7,"hh:mm"))</f>
        <v>The peak hour for INT is 1691 vehicles between 13:00 and 14:00</v>
      </c>
      <c r="J8" s="6" t="str">
        <f>IF(J5=0,"","The peak hour for " &amp;J10&amp;" is "&amp;J5&amp;" vehicles between " &amp; TEXT(J6, "hh:mm")&amp; " and " &amp;TEXT(J7,"hh:mm"))</f>
        <v>The peak hour for PM is 2002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273</v>
      </c>
      <c r="C11" s="49"/>
      <c r="D11" s="49"/>
      <c r="G11" s="7">
        <f>A11</f>
        <v>0.29166666666666669</v>
      </c>
      <c r="H11">
        <f>IF(B11&lt;&gt;0,SUMIF($G$11:$G11,"&gt;"&amp;$G11-1/24,B$11:B11),0)</f>
        <v>273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273</v>
      </c>
      <c r="Q11">
        <f>P11*L11</f>
        <v>0</v>
      </c>
      <c r="S11" s="9">
        <v>0.29166666666666669</v>
      </c>
      <c r="T11" s="49">
        <v>273</v>
      </c>
      <c r="U11" s="49">
        <v>0</v>
      </c>
    </row>
    <row r="12" spans="1:21" x14ac:dyDescent="0.25">
      <c r="A12" s="9">
        <v>0.30208333333333331</v>
      </c>
      <c r="B12" s="49">
        <v>406</v>
      </c>
      <c r="C12" s="49"/>
      <c r="D12" s="49"/>
      <c r="G12" s="7">
        <f t="shared" ref="G12:G26" si="3">A12</f>
        <v>0.30208333333333331</v>
      </c>
      <c r="H12">
        <f>IF(B12&lt;&gt;0,SUMIF($G$11:$G12,"&gt;"&amp;$G12-1/24,B$11:B12),0)</f>
        <v>679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406</v>
      </c>
      <c r="Q12">
        <f t="shared" ref="Q12:Q75" si="7">P12*L12</f>
        <v>0</v>
      </c>
      <c r="S12" s="9">
        <v>0.30208333333333331</v>
      </c>
      <c r="T12" s="49">
        <v>406</v>
      </c>
      <c r="U12" s="49">
        <v>0</v>
      </c>
    </row>
    <row r="13" spans="1:21" x14ac:dyDescent="0.25">
      <c r="A13" s="9">
        <v>0.3125</v>
      </c>
      <c r="B13" s="49">
        <v>449</v>
      </c>
      <c r="C13" s="49"/>
      <c r="D13" s="49"/>
      <c r="G13" s="7">
        <f t="shared" si="3"/>
        <v>0.3125</v>
      </c>
      <c r="H13">
        <f>IF(B13&lt;&gt;0,SUMIF($G$11:$G13,"&gt;"&amp;$G13-1/24,B$11:B13),0)</f>
        <v>1128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449</v>
      </c>
      <c r="Q13">
        <f t="shared" si="7"/>
        <v>0</v>
      </c>
      <c r="S13" s="9">
        <v>0.3125</v>
      </c>
      <c r="T13" s="49">
        <v>449</v>
      </c>
      <c r="U13" s="49">
        <v>0</v>
      </c>
    </row>
    <row r="14" spans="1:21" x14ac:dyDescent="0.25">
      <c r="A14" s="9">
        <v>0.32291666666666669</v>
      </c>
      <c r="B14" s="49">
        <v>605</v>
      </c>
      <c r="C14" s="49"/>
      <c r="D14" s="49"/>
      <c r="G14" s="7">
        <f t="shared" si="3"/>
        <v>0.32291666666666669</v>
      </c>
      <c r="H14">
        <f>IF(B14&lt;&gt;0,SUMIF($G$11:$G14,"&gt;"&amp;$G14-1/24,B$11:B14),0)</f>
        <v>1733</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605</v>
      </c>
      <c r="Q14">
        <f t="shared" si="7"/>
        <v>605</v>
      </c>
      <c r="S14" s="9">
        <v>0.32291666666666669</v>
      </c>
      <c r="T14" s="49">
        <v>605</v>
      </c>
      <c r="U14" s="49">
        <v>605</v>
      </c>
    </row>
    <row r="15" spans="1:21" x14ac:dyDescent="0.25">
      <c r="A15" s="9">
        <v>0.33333333333333331</v>
      </c>
      <c r="B15" s="49">
        <v>559</v>
      </c>
      <c r="C15" s="49"/>
      <c r="D15" s="49"/>
      <c r="G15" s="7">
        <f t="shared" si="3"/>
        <v>0.33333333333333331</v>
      </c>
      <c r="H15">
        <f>IF(B15&lt;&gt;0,SUMIF($G$11:$G15,"&gt;"&amp;$G15-1/24,B$11:B15),0)</f>
        <v>2019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559</v>
      </c>
      <c r="Q15">
        <f t="shared" si="7"/>
        <v>559</v>
      </c>
      <c r="S15" s="9">
        <v>0.33333333333333331</v>
      </c>
      <c r="T15" s="49">
        <v>559</v>
      </c>
      <c r="U15" s="49">
        <v>559</v>
      </c>
    </row>
    <row r="16" spans="1:21" x14ac:dyDescent="0.25">
      <c r="A16" s="9">
        <v>0.34375</v>
      </c>
      <c r="B16" s="49">
        <v>532</v>
      </c>
      <c r="C16" s="49"/>
      <c r="D16" s="49"/>
      <c r="G16" s="7">
        <f t="shared" si="3"/>
        <v>0.34375</v>
      </c>
      <c r="H16">
        <f>IF(B16&lt;&gt;0,SUMIF($G$11:$G16,"&gt;"&amp;$G16-1/24,B$11:B16),0)</f>
        <v>2145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532</v>
      </c>
      <c r="Q16">
        <f t="shared" si="7"/>
        <v>532</v>
      </c>
      <c r="S16" s="9">
        <v>0.34375</v>
      </c>
      <c r="T16" s="49">
        <v>532</v>
      </c>
      <c r="U16" s="49">
        <v>532</v>
      </c>
    </row>
    <row r="17" spans="1:21" x14ac:dyDescent="0.25">
      <c r="A17" s="9">
        <v>0.35416666666666669</v>
      </c>
      <c r="B17" s="49">
        <v>545</v>
      </c>
      <c r="C17" s="49"/>
      <c r="D17" s="49"/>
      <c r="G17" s="7">
        <f t="shared" si="3"/>
        <v>0.35416666666666669</v>
      </c>
      <c r="H17">
        <f>IF(B17&lt;&gt;0,SUMIF($G$11:$G17,"&gt;"&amp;$G17-1/24,B$11:B17),0)</f>
        <v>2241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545</v>
      </c>
      <c r="Q17">
        <f t="shared" si="7"/>
        <v>545</v>
      </c>
      <c r="S17" s="9">
        <v>0.35416666666666669</v>
      </c>
      <c r="T17" s="49">
        <v>545</v>
      </c>
      <c r="U17" s="49">
        <v>545</v>
      </c>
    </row>
    <row r="18" spans="1:21" x14ac:dyDescent="0.25">
      <c r="A18" s="9">
        <v>0.36458333333333331</v>
      </c>
      <c r="B18" s="49">
        <v>511</v>
      </c>
      <c r="C18" s="49"/>
      <c r="D18" s="49"/>
      <c r="G18" s="7">
        <f t="shared" si="3"/>
        <v>0.36458333333333331</v>
      </c>
      <c r="H18">
        <f>IF(B18&lt;&gt;0,SUMIF($G$11:$G18,"&gt;"&amp;$G18-1/24,B$11:B18),0)</f>
        <v>2147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511</v>
      </c>
      <c r="Q18">
        <f t="shared" si="7"/>
        <v>0</v>
      </c>
      <c r="S18" s="9">
        <v>0.36458333333333331</v>
      </c>
      <c r="T18" s="49">
        <v>511</v>
      </c>
      <c r="U18" s="49">
        <v>0</v>
      </c>
    </row>
    <row r="19" spans="1:21" x14ac:dyDescent="0.25">
      <c r="A19" s="9">
        <v>0.54166666666666663</v>
      </c>
      <c r="B19" s="49"/>
      <c r="C19" s="49">
        <v>454</v>
      </c>
      <c r="D19" s="49"/>
      <c r="G19" s="7">
        <f t="shared" si="3"/>
        <v>0.54166666666666663</v>
      </c>
      <c r="H19">
        <f>IF(B19&lt;&gt;0,SUMIF($G$11:$G19,"&gt;"&amp;$G19-1/24,B$11:B19),0)</f>
        <v>0</v>
      </c>
      <c r="I19">
        <f>IF(C19&lt;&gt;0,SUMIF($G$11:$G19,"&gt;"&amp;$G19-1/24,C$11:C19),0)</f>
        <v>454</v>
      </c>
      <c r="J19">
        <f>IF(D19&lt;&gt;0,SUMIF($G$11:$G19,"&gt;"&amp;$G19-1/24,D$11:D19),0)</f>
        <v>0</v>
      </c>
      <c r="K19">
        <f>IF(E19&lt;&gt;0,SUMIF($G$11:$G19,"&gt;"&amp;$G19-1/24,E$11:E19),0)</f>
        <v>0</v>
      </c>
      <c r="L19">
        <f t="shared" si="4"/>
        <v>1</v>
      </c>
      <c r="N19" t="str">
        <f t="shared" si="5"/>
        <v>INT</v>
      </c>
      <c r="O19" s="7">
        <f t="shared" si="2"/>
        <v>0.54166666666666663</v>
      </c>
      <c r="P19">
        <f t="shared" si="6"/>
        <v>454</v>
      </c>
      <c r="Q19">
        <f t="shared" si="7"/>
        <v>454</v>
      </c>
      <c r="S19" s="9" t="s">
        <v>49</v>
      </c>
      <c r="T19" s="49">
        <v>3880</v>
      </c>
      <c r="U19" s="49">
        <v>2241</v>
      </c>
    </row>
    <row r="20" spans="1:21" x14ac:dyDescent="0.25">
      <c r="A20" s="9">
        <v>0.55208333333333337</v>
      </c>
      <c r="B20" s="49"/>
      <c r="C20" s="49">
        <v>429</v>
      </c>
      <c r="D20" s="49"/>
      <c r="G20" s="7">
        <f t="shared" si="3"/>
        <v>0.55208333333333337</v>
      </c>
      <c r="H20">
        <f>IF(B20&lt;&gt;0,SUMIF($G$11:$G20,"&gt;"&amp;$G20-1/24,B$11:B20),0)</f>
        <v>0</v>
      </c>
      <c r="I20">
        <f>IF(C20&lt;&gt;0,SUMIF($G$11:$G20,"&gt;"&amp;$G20-1/24,C$11:C20),0)</f>
        <v>883</v>
      </c>
      <c r="J20">
        <f>IF(D20&lt;&gt;0,SUMIF($G$11:$G20,"&gt;"&amp;$G20-1/24,D$11:D20),0)</f>
        <v>0</v>
      </c>
      <c r="K20">
        <f>IF(E20&lt;&gt;0,SUMIF($G$11:$G20,"&gt;"&amp;$G20-1/24,E$11:E20),0)</f>
        <v>0</v>
      </c>
      <c r="L20">
        <f t="shared" si="4"/>
        <v>1</v>
      </c>
      <c r="N20" t="str">
        <f t="shared" si="5"/>
        <v>INT</v>
      </c>
      <c r="O20" s="7">
        <f t="shared" si="2"/>
        <v>0.55208333333333337</v>
      </c>
      <c r="P20">
        <f t="shared" si="6"/>
        <v>429</v>
      </c>
      <c r="Q20">
        <f t="shared" si="7"/>
        <v>429</v>
      </c>
    </row>
    <row r="21" spans="1:21" x14ac:dyDescent="0.25">
      <c r="A21" s="9">
        <v>0.5625</v>
      </c>
      <c r="B21" s="49"/>
      <c r="C21" s="49">
        <v>388</v>
      </c>
      <c r="D21" s="49"/>
      <c r="G21" s="7">
        <f t="shared" si="3"/>
        <v>0.5625</v>
      </c>
      <c r="H21">
        <f>IF(B21&lt;&gt;0,SUMIF($G$11:$G21,"&gt;"&amp;$G21-1/24,B$11:B21),0)</f>
        <v>0</v>
      </c>
      <c r="I21">
        <f>IF(C21&lt;&gt;0,SUMIF($G$11:$G21,"&gt;"&amp;$G21-1/24,C$11:C21),0)</f>
        <v>1271</v>
      </c>
      <c r="J21">
        <f>IF(D21&lt;&gt;0,SUMIF($G$11:$G21,"&gt;"&amp;$G21-1/24,D$11:D21),0)</f>
        <v>0</v>
      </c>
      <c r="K21">
        <f>IF(E21&lt;&gt;0,SUMIF($G$11:$G21,"&gt;"&amp;$G21-1/24,E$11:E21),0)</f>
        <v>0</v>
      </c>
      <c r="L21">
        <f t="shared" si="4"/>
        <v>1</v>
      </c>
      <c r="N21" t="str">
        <f t="shared" si="5"/>
        <v>INT</v>
      </c>
      <c r="O21" s="7">
        <f t="shared" si="2"/>
        <v>0.5625</v>
      </c>
      <c r="P21">
        <f t="shared" si="6"/>
        <v>388</v>
      </c>
      <c r="Q21">
        <f t="shared" si="7"/>
        <v>388</v>
      </c>
    </row>
    <row r="22" spans="1:21" x14ac:dyDescent="0.25">
      <c r="A22" s="9">
        <v>0.57291666666666663</v>
      </c>
      <c r="B22" s="49"/>
      <c r="C22" s="49">
        <v>420</v>
      </c>
      <c r="D22" s="49"/>
      <c r="G22" s="7">
        <f t="shared" si="3"/>
        <v>0.57291666666666663</v>
      </c>
      <c r="H22">
        <f>IF(B22&lt;&gt;0,SUMIF($G$11:$G22,"&gt;"&amp;$G22-1/24,B$11:B22),0)</f>
        <v>0</v>
      </c>
      <c r="I22">
        <f>IF(C22&lt;&gt;0,SUMIF($G$11:$G22,"&gt;"&amp;$G22-1/24,C$11:C22),0)</f>
        <v>1691</v>
      </c>
      <c r="J22">
        <f>IF(D22&lt;&gt;0,SUMIF($G$11:$G22,"&gt;"&amp;$G22-1/24,D$11:D22),0)</f>
        <v>0</v>
      </c>
      <c r="K22">
        <f>IF(E22&lt;&gt;0,SUMIF($G$11:$G22,"&gt;"&amp;$G22-1/24,E$11:E22),0)</f>
        <v>0</v>
      </c>
      <c r="L22">
        <f t="shared" si="4"/>
        <v>1</v>
      </c>
      <c r="N22" t="str">
        <f t="shared" si="5"/>
        <v>INT</v>
      </c>
      <c r="O22" s="7">
        <f t="shared" si="2"/>
        <v>0.57291666666666663</v>
      </c>
      <c r="P22">
        <f t="shared" si="6"/>
        <v>420</v>
      </c>
      <c r="Q22">
        <f t="shared" si="7"/>
        <v>420</v>
      </c>
    </row>
    <row r="23" spans="1:21" x14ac:dyDescent="0.25">
      <c r="A23" s="9">
        <v>0.66666666666666663</v>
      </c>
      <c r="B23" s="49"/>
      <c r="C23" s="49"/>
      <c r="D23" s="49">
        <v>524</v>
      </c>
      <c r="G23" s="7">
        <f t="shared" si="3"/>
        <v>0.66666666666666663</v>
      </c>
      <c r="H23">
        <f>IF(B23&lt;&gt;0,SUMIF($G$11:$G23,"&gt;"&amp;$G23-1/24,B$11:B23),0)</f>
        <v>0</v>
      </c>
      <c r="I23">
        <f>IF(C23&lt;&gt;0,SUMIF($G$11:$G23,"&gt;"&amp;$G23-1/24,C$11:C23),0)</f>
        <v>0</v>
      </c>
      <c r="J23">
        <f>IF(D23&lt;&gt;0,SUMIF($G$11:$G23,"&gt;"&amp;$G23-1/24,D$11:D23),0)</f>
        <v>524</v>
      </c>
      <c r="K23">
        <f>IF(E23&lt;&gt;0,SUMIF($G$11:$G23,"&gt;"&amp;$G23-1/24,E$11:E23),0)</f>
        <v>0</v>
      </c>
      <c r="L23">
        <f t="shared" si="4"/>
        <v>1</v>
      </c>
      <c r="N23" t="str">
        <f t="shared" si="5"/>
        <v>PM</v>
      </c>
      <c r="O23" s="7">
        <f t="shared" si="2"/>
        <v>0.66666666666666663</v>
      </c>
      <c r="P23">
        <f t="shared" si="6"/>
        <v>524</v>
      </c>
      <c r="Q23">
        <f t="shared" si="7"/>
        <v>524</v>
      </c>
    </row>
    <row r="24" spans="1:21" x14ac:dyDescent="0.25">
      <c r="A24" s="9">
        <v>0.67708333333333337</v>
      </c>
      <c r="B24" s="49"/>
      <c r="C24" s="49"/>
      <c r="D24" s="49">
        <v>491</v>
      </c>
      <c r="G24" s="7">
        <f t="shared" si="3"/>
        <v>0.67708333333333337</v>
      </c>
      <c r="H24">
        <f>IF(B24&lt;&gt;0,SUMIF($G$11:$G24,"&gt;"&amp;$G24-1/24,B$11:B24),0)</f>
        <v>0</v>
      </c>
      <c r="I24">
        <f>IF(C24&lt;&gt;0,SUMIF($G$11:$G24,"&gt;"&amp;$G24-1/24,C$11:C24),0)</f>
        <v>0</v>
      </c>
      <c r="J24">
        <f>IF(D24&lt;&gt;0,SUMIF($G$11:$G24,"&gt;"&amp;$G24-1/24,D$11:D24),0)</f>
        <v>1015</v>
      </c>
      <c r="K24">
        <f>IF(E24&lt;&gt;0,SUMIF($G$11:$G24,"&gt;"&amp;$G24-1/24,E$11:E24),0)</f>
        <v>0</v>
      </c>
      <c r="L24">
        <f t="shared" si="4"/>
        <v>1</v>
      </c>
      <c r="N24" t="str">
        <f t="shared" si="5"/>
        <v>PM</v>
      </c>
      <c r="O24" s="7">
        <f t="shared" si="2"/>
        <v>0.67708333333333337</v>
      </c>
      <c r="P24">
        <f t="shared" si="6"/>
        <v>491</v>
      </c>
      <c r="Q24">
        <f t="shared" si="7"/>
        <v>491</v>
      </c>
    </row>
    <row r="25" spans="1:21" x14ac:dyDescent="0.25">
      <c r="A25" s="9">
        <v>0.6875</v>
      </c>
      <c r="B25" s="49"/>
      <c r="C25" s="49"/>
      <c r="D25" s="49">
        <v>522</v>
      </c>
      <c r="G25" s="7">
        <f t="shared" si="3"/>
        <v>0.6875</v>
      </c>
      <c r="H25">
        <f>IF(B25&lt;&gt;0,SUMIF($G$11:$G25,"&gt;"&amp;$G25-1/24,B$11:B25),0)</f>
        <v>0</v>
      </c>
      <c r="I25">
        <f>IF(C25&lt;&gt;0,SUMIF($G$11:$G25,"&gt;"&amp;$G25-1/24,C$11:C25),0)</f>
        <v>0</v>
      </c>
      <c r="J25">
        <f>IF(D25&lt;&gt;0,SUMIF($G$11:$G25,"&gt;"&amp;$G25-1/24,D$11:D25),0)</f>
        <v>1537</v>
      </c>
      <c r="K25">
        <f>IF(E25&lt;&gt;0,SUMIF($G$11:$G25,"&gt;"&amp;$G25-1/24,E$11:E25),0)</f>
        <v>0</v>
      </c>
      <c r="L25">
        <f t="shared" si="4"/>
        <v>1</v>
      </c>
      <c r="N25" t="str">
        <f t="shared" si="5"/>
        <v>PM</v>
      </c>
      <c r="O25" s="7">
        <f t="shared" si="2"/>
        <v>0.6875</v>
      </c>
      <c r="P25">
        <f t="shared" si="6"/>
        <v>522</v>
      </c>
      <c r="Q25">
        <f t="shared" si="7"/>
        <v>522</v>
      </c>
    </row>
    <row r="26" spans="1:21" x14ac:dyDescent="0.25">
      <c r="A26" s="9">
        <v>0.69791666666666663</v>
      </c>
      <c r="B26" s="49"/>
      <c r="C26" s="49"/>
      <c r="D26" s="49">
        <v>465</v>
      </c>
      <c r="G26" s="7">
        <f t="shared" si="3"/>
        <v>0.69791666666666663</v>
      </c>
      <c r="H26">
        <f>IF(B26&lt;&gt;0,SUMIF($G$11:$G26,"&gt;"&amp;$G26-1/24,B$11:B26),0)</f>
        <v>0</v>
      </c>
      <c r="I26">
        <f>IF(C26&lt;&gt;0,SUMIF($G$11:$G26,"&gt;"&amp;$G26-1/24,C$11:C26),0)</f>
        <v>0</v>
      </c>
      <c r="J26">
        <f>IF(D26&lt;&gt;0,SUMIF($G$11:$G26,"&gt;"&amp;$G26-1/24,D$11:D26),0)</f>
        <v>2002</v>
      </c>
      <c r="K26">
        <f>IF(E26&lt;&gt;0,SUMIF($G$11:$G26,"&gt;"&amp;$G26-1/24,E$11:E26),0)</f>
        <v>0</v>
      </c>
      <c r="L26">
        <f t="shared" si="4"/>
        <v>1</v>
      </c>
      <c r="N26" t="str">
        <f t="shared" si="5"/>
        <v>PM</v>
      </c>
      <c r="O26" s="7">
        <f t="shared" si="2"/>
        <v>0.69791666666666663</v>
      </c>
      <c r="P26">
        <f t="shared" si="6"/>
        <v>465</v>
      </c>
      <c r="Q26">
        <f t="shared" si="7"/>
        <v>465</v>
      </c>
    </row>
    <row r="27" spans="1:21" x14ac:dyDescent="0.25">
      <c r="A27" s="9">
        <v>0.70833333333333337</v>
      </c>
      <c r="B27" s="49"/>
      <c r="C27" s="49"/>
      <c r="D27" s="49">
        <v>442</v>
      </c>
      <c r="G27" s="7">
        <f t="shared" ref="G27:G90" si="8">A27</f>
        <v>0.70833333333333337</v>
      </c>
      <c r="H27">
        <f>IF(B27&lt;&gt;0,SUMIF($G$11:$G27,"&gt;"&amp;$G27-1/24,B$11:B27),0)</f>
        <v>0</v>
      </c>
      <c r="I27">
        <f>IF(C27&lt;&gt;0,SUMIF($G$11:$G27,"&gt;"&amp;$G27-1/24,C$11:C27),0)</f>
        <v>0</v>
      </c>
      <c r="J27">
        <f>IF(D27&lt;&gt;0,SUMIF($G$11:$G27,"&gt;"&amp;$G27-1/24,D$11:D27),0)</f>
        <v>1920</v>
      </c>
      <c r="K27">
        <f>IF(E27&lt;&gt;0,SUMIF($G$11:$G27,"&gt;"&amp;$G27-1/24,E$11:E27),0)</f>
        <v>0</v>
      </c>
      <c r="L27">
        <f t="shared" si="4"/>
        <v>0</v>
      </c>
      <c r="N27" t="str">
        <f t="shared" si="5"/>
        <v>PM</v>
      </c>
      <c r="O27" s="7">
        <f t="shared" si="2"/>
        <v>0.70833333333333337</v>
      </c>
      <c r="P27">
        <f t="shared" si="6"/>
        <v>442</v>
      </c>
      <c r="Q27">
        <f t="shared" si="7"/>
        <v>0</v>
      </c>
    </row>
    <row r="28" spans="1:21" x14ac:dyDescent="0.25">
      <c r="A28" s="9">
        <v>0.71875</v>
      </c>
      <c r="B28" s="49"/>
      <c r="C28" s="49"/>
      <c r="D28" s="49">
        <v>410</v>
      </c>
      <c r="G28" s="7">
        <f t="shared" si="8"/>
        <v>0.71875</v>
      </c>
      <c r="H28">
        <f>IF(B28&lt;&gt;0,SUMIF($G$11:$G28,"&gt;"&amp;$G28-1/24,B$11:B28),0)</f>
        <v>0</v>
      </c>
      <c r="I28">
        <f>IF(C28&lt;&gt;0,SUMIF($G$11:$G28,"&gt;"&amp;$G28-1/24,C$11:C28),0)</f>
        <v>0</v>
      </c>
      <c r="J28">
        <f>IF(D28&lt;&gt;0,SUMIF($G$11:$G28,"&gt;"&amp;$G28-1/24,D$11:D28),0)</f>
        <v>1839</v>
      </c>
      <c r="K28">
        <f>IF(E28&lt;&gt;0,SUMIF($G$11:$G28,"&gt;"&amp;$G28-1/24,E$11:E28),0)</f>
        <v>0</v>
      </c>
      <c r="L28">
        <f t="shared" si="4"/>
        <v>0</v>
      </c>
      <c r="N28" t="str">
        <f t="shared" si="5"/>
        <v>PM</v>
      </c>
      <c r="O28" s="7">
        <f t="shared" si="2"/>
        <v>0.71875</v>
      </c>
      <c r="P28">
        <f t="shared" si="6"/>
        <v>410</v>
      </c>
      <c r="Q28">
        <f t="shared" si="7"/>
        <v>0</v>
      </c>
    </row>
    <row r="29" spans="1:21" x14ac:dyDescent="0.25">
      <c r="A29" s="9">
        <v>0.72916666666666663</v>
      </c>
      <c r="B29" s="49"/>
      <c r="C29" s="49"/>
      <c r="D29" s="49">
        <v>391</v>
      </c>
      <c r="G29" s="7">
        <f t="shared" si="8"/>
        <v>0.72916666666666663</v>
      </c>
      <c r="H29">
        <f>IF(B29&lt;&gt;0,SUMIF($G$11:$G29,"&gt;"&amp;$G29-1/24,B$11:B29),0)</f>
        <v>0</v>
      </c>
      <c r="I29">
        <f>IF(C29&lt;&gt;0,SUMIF($G$11:$G29,"&gt;"&amp;$G29-1/24,C$11:C29),0)</f>
        <v>0</v>
      </c>
      <c r="J29">
        <f>IF(D29&lt;&gt;0,SUMIF($G$11:$G29,"&gt;"&amp;$G29-1/24,D$11:D29),0)</f>
        <v>1708</v>
      </c>
      <c r="K29">
        <f>IF(E29&lt;&gt;0,SUMIF($G$11:$G29,"&gt;"&amp;$G29-1/24,E$11:E29),0)</f>
        <v>0</v>
      </c>
      <c r="L29">
        <f t="shared" si="4"/>
        <v>0</v>
      </c>
      <c r="N29" t="str">
        <f t="shared" si="5"/>
        <v>PM</v>
      </c>
      <c r="O29" s="7">
        <f t="shared" si="2"/>
        <v>0.72916666666666663</v>
      </c>
      <c r="P29">
        <f t="shared" si="6"/>
        <v>391</v>
      </c>
      <c r="Q29">
        <f t="shared" si="7"/>
        <v>0</v>
      </c>
    </row>
    <row r="30" spans="1:21" x14ac:dyDescent="0.25">
      <c r="A30" s="9">
        <v>0.73958333333333337</v>
      </c>
      <c r="B30" s="49"/>
      <c r="C30" s="49"/>
      <c r="D30" s="49">
        <v>374</v>
      </c>
      <c r="G30" s="7">
        <f t="shared" si="8"/>
        <v>0.73958333333333337</v>
      </c>
      <c r="H30">
        <f>IF(B30&lt;&gt;0,SUMIF($G$11:$G30,"&gt;"&amp;$G30-1/24,B$11:B30),0)</f>
        <v>0</v>
      </c>
      <c r="I30">
        <f>IF(C30&lt;&gt;0,SUMIF($G$11:$G30,"&gt;"&amp;$G30-1/24,C$11:C30),0)</f>
        <v>0</v>
      </c>
      <c r="J30">
        <f>IF(D30&lt;&gt;0,SUMIF($G$11:$G30,"&gt;"&amp;$G30-1/24,D$11:D30),0)</f>
        <v>1617</v>
      </c>
      <c r="K30">
        <f>IF(E30&lt;&gt;0,SUMIF($G$11:$G30,"&gt;"&amp;$G30-1/24,E$11:E30),0)</f>
        <v>0</v>
      </c>
      <c r="L30">
        <f t="shared" si="4"/>
        <v>0</v>
      </c>
      <c r="N30" t="str">
        <f t="shared" si="5"/>
        <v>PM</v>
      </c>
      <c r="O30" s="7">
        <f t="shared" si="2"/>
        <v>0.73958333333333337</v>
      </c>
      <c r="P30">
        <f t="shared" si="6"/>
        <v>374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273</v>
      </c>
      <c r="E5" t="str">
        <f>"Vehicle Count by Exit Leg for "&amp;C2&amp;" Period"</f>
        <v>Vehicle Count by Exit Leg for AM Period</v>
      </c>
    </row>
    <row r="6" spans="2:5" x14ac:dyDescent="0.25">
      <c r="B6" s="9">
        <v>0.30208333333333331</v>
      </c>
      <c r="C6" s="49">
        <v>406</v>
      </c>
    </row>
    <row r="7" spans="2:5" x14ac:dyDescent="0.25">
      <c r="B7" s="9">
        <v>0.3125</v>
      </c>
      <c r="C7" s="49">
        <v>449</v>
      </c>
    </row>
    <row r="8" spans="2:5" x14ac:dyDescent="0.25">
      <c r="B8" s="9">
        <v>0.32291666666666669</v>
      </c>
      <c r="C8" s="49">
        <v>605</v>
      </c>
    </row>
    <row r="9" spans="2:5" x14ac:dyDescent="0.25">
      <c r="B9" s="9">
        <v>0.33333333333333331</v>
      </c>
      <c r="C9" s="49">
        <v>559</v>
      </c>
    </row>
    <row r="10" spans="2:5" x14ac:dyDescent="0.25">
      <c r="B10" s="9">
        <v>0.34375</v>
      </c>
      <c r="C10" s="49">
        <v>532</v>
      </c>
    </row>
    <row r="11" spans="2:5" x14ac:dyDescent="0.25">
      <c r="B11" s="9">
        <v>0.35416666666666669</v>
      </c>
      <c r="C11" s="49">
        <v>545</v>
      </c>
    </row>
    <row r="12" spans="2:5" x14ac:dyDescent="0.25">
      <c r="B12" s="9">
        <v>0.36458333333333331</v>
      </c>
      <c r="C12" s="49">
        <v>511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140625" bestFit="1" customWidth="1"/>
    <col min="13" max="13" width="22.42578125" bestFit="1" customWidth="1"/>
    <col min="14" max="14" width="23.5703125" bestFit="1" customWidth="1"/>
    <col min="15" max="15" width="5.5703125" customWidth="1"/>
    <col min="16" max="18" width="3.28515625" customWidth="1"/>
    <col min="19" max="19" width="11.28515625" bestFit="1" customWidth="1"/>
    <col min="20" max="21" width="19.140625" bestFit="1" customWidth="1"/>
    <col min="22" max="22" width="22.42578125" bestFit="1" customWidth="1"/>
    <col min="23" max="23" width="23.57031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94</v>
      </c>
      <c r="N25" s="25" t="s">
        <v>96</v>
      </c>
      <c r="T25" s="25" t="s">
        <v>93</v>
      </c>
      <c r="U25" s="25" t="s">
        <v>95</v>
      </c>
      <c r="V25" s="25" t="s">
        <v>94</v>
      </c>
      <c r="W25" s="25" t="s">
        <v>96</v>
      </c>
      <c r="X25" s="13"/>
    </row>
    <row r="26" spans="2:24" x14ac:dyDescent="0.25">
      <c r="B26" s="9">
        <v>0.29166666666666669</v>
      </c>
      <c r="C26" s="50">
        <v>273</v>
      </c>
      <c r="J26" s="9">
        <v>0.29166666666666669</v>
      </c>
      <c r="K26" s="50">
        <v>57</v>
      </c>
      <c r="L26" s="50">
        <v>168</v>
      </c>
      <c r="M26" s="50">
        <v>37</v>
      </c>
      <c r="N26" s="50">
        <v>11</v>
      </c>
      <c r="S26" s="9">
        <v>0.29166666666666669</v>
      </c>
      <c r="T26" s="50">
        <v>175</v>
      </c>
      <c r="U26" s="50">
        <v>51</v>
      </c>
      <c r="V26" s="50">
        <v>22</v>
      </c>
      <c r="W26" s="50">
        <v>25</v>
      </c>
    </row>
    <row r="27" spans="2:24" x14ac:dyDescent="0.25">
      <c r="B27" s="9">
        <v>0.30208333333333331</v>
      </c>
      <c r="C27" s="50">
        <v>406</v>
      </c>
      <c r="J27" s="9">
        <v>0.30208333333333331</v>
      </c>
      <c r="K27" s="50">
        <v>88</v>
      </c>
      <c r="L27" s="50">
        <v>239</v>
      </c>
      <c r="M27" s="50">
        <v>58</v>
      </c>
      <c r="N27" s="50">
        <v>21</v>
      </c>
      <c r="S27" s="9">
        <v>0.30208333333333331</v>
      </c>
      <c r="T27" s="50">
        <v>239</v>
      </c>
      <c r="U27" s="50">
        <v>80</v>
      </c>
      <c r="V27" s="50">
        <v>45</v>
      </c>
      <c r="W27" s="50">
        <v>42</v>
      </c>
    </row>
    <row r="28" spans="2:24" x14ac:dyDescent="0.25">
      <c r="B28" s="9">
        <v>0.3125</v>
      </c>
      <c r="C28" s="50">
        <v>449</v>
      </c>
      <c r="J28" s="9">
        <v>0.3125</v>
      </c>
      <c r="K28" s="50">
        <v>82</v>
      </c>
      <c r="L28" s="50">
        <v>247</v>
      </c>
      <c r="M28" s="50">
        <v>89</v>
      </c>
      <c r="N28" s="50">
        <v>31</v>
      </c>
      <c r="S28" s="9">
        <v>0.3125</v>
      </c>
      <c r="T28" s="50">
        <v>276</v>
      </c>
      <c r="U28" s="50">
        <v>75</v>
      </c>
      <c r="V28" s="50">
        <v>43</v>
      </c>
      <c r="W28" s="50">
        <v>55</v>
      </c>
    </row>
    <row r="29" spans="2:24" x14ac:dyDescent="0.25">
      <c r="B29" s="9">
        <v>0.32291666666666669</v>
      </c>
      <c r="C29" s="50">
        <v>605</v>
      </c>
      <c r="J29" s="9">
        <v>0.32291666666666669</v>
      </c>
      <c r="K29" s="50">
        <v>84</v>
      </c>
      <c r="L29" s="50">
        <v>303</v>
      </c>
      <c r="M29" s="50">
        <v>173</v>
      </c>
      <c r="N29" s="50">
        <v>45</v>
      </c>
      <c r="S29" s="9">
        <v>0.32291666666666669</v>
      </c>
      <c r="T29" s="50">
        <v>346</v>
      </c>
      <c r="U29" s="50">
        <v>73</v>
      </c>
      <c r="V29" s="50">
        <v>61</v>
      </c>
      <c r="W29" s="50">
        <v>125</v>
      </c>
    </row>
    <row r="30" spans="2:24" x14ac:dyDescent="0.25">
      <c r="B30" s="9">
        <v>0.33333333333333331</v>
      </c>
      <c r="C30" s="50">
        <v>559</v>
      </c>
      <c r="J30" s="9">
        <v>0.33333333333333331</v>
      </c>
      <c r="K30" s="50">
        <v>80</v>
      </c>
      <c r="L30" s="50">
        <v>309</v>
      </c>
      <c r="M30" s="50">
        <v>127</v>
      </c>
      <c r="N30" s="50">
        <v>43</v>
      </c>
      <c r="S30" s="9">
        <v>0.33333333333333331</v>
      </c>
      <c r="T30" s="50">
        <v>357</v>
      </c>
      <c r="U30" s="50">
        <v>74</v>
      </c>
      <c r="V30" s="50">
        <v>46</v>
      </c>
      <c r="W30" s="50">
        <v>82</v>
      </c>
    </row>
    <row r="31" spans="2:24" x14ac:dyDescent="0.25">
      <c r="B31" s="9">
        <v>0.34375</v>
      </c>
      <c r="C31" s="50">
        <v>532</v>
      </c>
      <c r="J31" s="9">
        <v>0.34375</v>
      </c>
      <c r="K31" s="50">
        <v>80</v>
      </c>
      <c r="L31" s="50">
        <v>296</v>
      </c>
      <c r="M31" s="50">
        <v>122</v>
      </c>
      <c r="N31" s="50">
        <v>34</v>
      </c>
      <c r="S31" s="9">
        <v>0.34375</v>
      </c>
      <c r="T31" s="50">
        <v>324</v>
      </c>
      <c r="U31" s="50">
        <v>64</v>
      </c>
      <c r="V31" s="50">
        <v>46</v>
      </c>
      <c r="W31" s="50">
        <v>98</v>
      </c>
    </row>
    <row r="32" spans="2:24" x14ac:dyDescent="0.25">
      <c r="B32" s="9">
        <v>0.35416666666666669</v>
      </c>
      <c r="C32" s="50">
        <v>545</v>
      </c>
      <c r="J32" s="9">
        <v>0.35416666666666669</v>
      </c>
      <c r="K32" s="50">
        <v>77</v>
      </c>
      <c r="L32" s="50">
        <v>287</v>
      </c>
      <c r="M32" s="50">
        <v>129</v>
      </c>
      <c r="N32" s="50">
        <v>52</v>
      </c>
      <c r="S32" s="9">
        <v>0.35416666666666669</v>
      </c>
      <c r="T32" s="50">
        <v>329</v>
      </c>
      <c r="U32" s="50">
        <v>62</v>
      </c>
      <c r="V32" s="50">
        <v>64</v>
      </c>
      <c r="W32" s="50">
        <v>90</v>
      </c>
    </row>
    <row r="33" spans="2:23" x14ac:dyDescent="0.25">
      <c r="B33" s="9">
        <v>0.36458333333333331</v>
      </c>
      <c r="C33" s="50">
        <v>511</v>
      </c>
      <c r="J33" s="9">
        <v>0.36458333333333331</v>
      </c>
      <c r="K33" s="50">
        <v>94</v>
      </c>
      <c r="L33" s="50">
        <v>268</v>
      </c>
      <c r="M33" s="50">
        <v>106</v>
      </c>
      <c r="N33" s="50">
        <v>43</v>
      </c>
      <c r="S33" s="9">
        <v>0.36458333333333331</v>
      </c>
      <c r="T33" s="50">
        <v>285</v>
      </c>
      <c r="U33" s="50">
        <v>81</v>
      </c>
      <c r="V33" s="50">
        <v>63</v>
      </c>
      <c r="W33" s="50">
        <v>82</v>
      </c>
    </row>
    <row r="34" spans="2:23" x14ac:dyDescent="0.25">
      <c r="B34" s="9" t="s">
        <v>49</v>
      </c>
      <c r="C34" s="50">
        <v>3880</v>
      </c>
      <c r="J34" s="9" t="s">
        <v>49</v>
      </c>
      <c r="K34" s="50">
        <v>642</v>
      </c>
      <c r="L34" s="50">
        <v>2117</v>
      </c>
      <c r="M34" s="50">
        <v>841</v>
      </c>
      <c r="N34" s="50">
        <v>280</v>
      </c>
      <c r="S34" s="9" t="s">
        <v>49</v>
      </c>
      <c r="T34" s="50">
        <v>2331</v>
      </c>
      <c r="U34" s="50">
        <v>560</v>
      </c>
      <c r="V34" s="50">
        <v>390</v>
      </c>
      <c r="W34" s="50">
        <v>599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4"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2241 vehicles between 07:45 and 08:45</v>
      </c>
    </row>
    <row r="5" spans="2:2" x14ac:dyDescent="0.25">
      <c r="B5" s="6" t="str">
        <f>PeakCalc!I8</f>
        <v>The peak hour for INT is 1691 vehicles between 13:00 and 14:00</v>
      </c>
    </row>
    <row r="6" spans="2:2" x14ac:dyDescent="0.25">
      <c r="B6" s="6" t="str">
        <f>PeakCalc!J8</f>
        <v>The peak hour for PM is 2002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311</v>
      </c>
      <c r="D32" s="49">
        <v>9</v>
      </c>
      <c r="E32" s="49">
        <v>1</v>
      </c>
      <c r="F32" s="49">
        <v>321</v>
      </c>
      <c r="G32" s="49">
        <v>438</v>
      </c>
      <c r="H32" s="49">
        <v>4</v>
      </c>
      <c r="I32" s="49">
        <v>20</v>
      </c>
      <c r="J32" s="49">
        <v>462</v>
      </c>
      <c r="K32" s="49">
        <v>397</v>
      </c>
      <c r="L32" s="49">
        <v>27</v>
      </c>
      <c r="M32" s="49">
        <v>6</v>
      </c>
      <c r="N32" s="49">
        <v>430</v>
      </c>
    </row>
    <row r="33" spans="2:14" x14ac:dyDescent="0.25">
      <c r="B33" s="14" t="s">
        <v>97</v>
      </c>
      <c r="C33" s="49">
        <v>43</v>
      </c>
      <c r="D33" s="49">
        <v>1</v>
      </c>
      <c r="E33" s="49">
        <v>0</v>
      </c>
      <c r="F33" s="49">
        <v>44</v>
      </c>
      <c r="G33" s="49">
        <v>83</v>
      </c>
      <c r="H33" s="49">
        <v>0</v>
      </c>
      <c r="I33" s="49">
        <v>1</v>
      </c>
      <c r="J33" s="49">
        <v>84</v>
      </c>
      <c r="K33" s="49">
        <v>62</v>
      </c>
      <c r="L33" s="49">
        <v>8</v>
      </c>
      <c r="M33" s="49">
        <v>1</v>
      </c>
      <c r="N33" s="49">
        <v>71</v>
      </c>
    </row>
    <row r="34" spans="2:14" x14ac:dyDescent="0.25">
      <c r="B34" s="14" t="s">
        <v>98</v>
      </c>
      <c r="C34" s="49">
        <v>232</v>
      </c>
      <c r="D34" s="49">
        <v>7</v>
      </c>
      <c r="E34" s="49">
        <v>1</v>
      </c>
      <c r="F34" s="49">
        <v>240</v>
      </c>
      <c r="G34" s="49">
        <v>314</v>
      </c>
      <c r="H34" s="49">
        <v>4</v>
      </c>
      <c r="I34" s="49">
        <v>19</v>
      </c>
      <c r="J34" s="49">
        <v>337</v>
      </c>
      <c r="K34" s="49">
        <v>308</v>
      </c>
      <c r="L34" s="49">
        <v>17</v>
      </c>
      <c r="M34" s="49">
        <v>5</v>
      </c>
      <c r="N34" s="49">
        <v>330</v>
      </c>
    </row>
    <row r="35" spans="2:14" x14ac:dyDescent="0.25">
      <c r="B35" s="14" t="s">
        <v>99</v>
      </c>
      <c r="C35" s="49">
        <v>36</v>
      </c>
      <c r="D35" s="49">
        <v>1</v>
      </c>
      <c r="E35" s="49">
        <v>0</v>
      </c>
      <c r="F35" s="49">
        <v>37</v>
      </c>
      <c r="G35" s="49">
        <v>41</v>
      </c>
      <c r="H35" s="49">
        <v>0</v>
      </c>
      <c r="I35" s="49">
        <v>0</v>
      </c>
      <c r="J35" s="49">
        <v>41</v>
      </c>
      <c r="K35" s="49">
        <v>27</v>
      </c>
      <c r="L35" s="49">
        <v>2</v>
      </c>
      <c r="M35" s="49">
        <v>0</v>
      </c>
      <c r="N35" s="49">
        <v>29</v>
      </c>
    </row>
    <row r="36" spans="2:14" x14ac:dyDescent="0.25">
      <c r="B36" s="10" t="s">
        <v>94</v>
      </c>
      <c r="C36" s="49">
        <v>518</v>
      </c>
      <c r="D36" s="49">
        <v>14</v>
      </c>
      <c r="E36" s="49">
        <v>19</v>
      </c>
      <c r="F36" s="49">
        <v>551</v>
      </c>
      <c r="G36" s="49">
        <v>285</v>
      </c>
      <c r="H36" s="49">
        <v>3</v>
      </c>
      <c r="I36" s="49">
        <v>4</v>
      </c>
      <c r="J36" s="49">
        <v>292</v>
      </c>
      <c r="K36" s="49">
        <v>257</v>
      </c>
      <c r="L36" s="49">
        <v>9</v>
      </c>
      <c r="M36" s="49">
        <v>5</v>
      </c>
      <c r="N36" s="49">
        <v>271</v>
      </c>
    </row>
    <row r="37" spans="2:14" x14ac:dyDescent="0.25">
      <c r="B37" s="14" t="s">
        <v>100</v>
      </c>
      <c r="C37" s="49">
        <v>18</v>
      </c>
      <c r="D37" s="49">
        <v>0</v>
      </c>
      <c r="E37" s="49">
        <v>0</v>
      </c>
      <c r="F37" s="49">
        <v>18</v>
      </c>
      <c r="G37" s="49">
        <v>24</v>
      </c>
      <c r="H37" s="49">
        <v>0</v>
      </c>
      <c r="I37" s="49">
        <v>0</v>
      </c>
      <c r="J37" s="49">
        <v>24</v>
      </c>
      <c r="K37" s="49">
        <v>40</v>
      </c>
      <c r="L37" s="49">
        <v>1</v>
      </c>
      <c r="M37" s="49">
        <v>0</v>
      </c>
      <c r="N37" s="49">
        <v>41</v>
      </c>
    </row>
    <row r="38" spans="2:14" x14ac:dyDescent="0.25">
      <c r="B38" s="14" t="s">
        <v>101</v>
      </c>
      <c r="C38" s="49">
        <v>323</v>
      </c>
      <c r="D38" s="49">
        <v>6</v>
      </c>
      <c r="E38" s="49">
        <v>4</v>
      </c>
      <c r="F38" s="49">
        <v>333</v>
      </c>
      <c r="G38" s="49">
        <v>162</v>
      </c>
      <c r="H38" s="49">
        <v>2</v>
      </c>
      <c r="I38" s="49">
        <v>0</v>
      </c>
      <c r="J38" s="49">
        <v>164</v>
      </c>
      <c r="K38" s="49">
        <v>152</v>
      </c>
      <c r="L38" s="49">
        <v>2</v>
      </c>
      <c r="M38" s="49">
        <v>3</v>
      </c>
      <c r="N38" s="49">
        <v>157</v>
      </c>
    </row>
    <row r="39" spans="2:14" x14ac:dyDescent="0.25">
      <c r="B39" s="14" t="s">
        <v>102</v>
      </c>
      <c r="C39" s="49">
        <v>177</v>
      </c>
      <c r="D39" s="49">
        <v>8</v>
      </c>
      <c r="E39" s="49">
        <v>15</v>
      </c>
      <c r="F39" s="49">
        <v>200</v>
      </c>
      <c r="G39" s="49">
        <v>99</v>
      </c>
      <c r="H39" s="49">
        <v>1</v>
      </c>
      <c r="I39" s="49">
        <v>4</v>
      </c>
      <c r="J39" s="49">
        <v>104</v>
      </c>
      <c r="K39" s="49">
        <v>65</v>
      </c>
      <c r="L39" s="49">
        <v>6</v>
      </c>
      <c r="M39" s="49">
        <v>2</v>
      </c>
      <c r="N39" s="49">
        <v>73</v>
      </c>
    </row>
    <row r="40" spans="2:14" x14ac:dyDescent="0.25">
      <c r="B40" s="10" t="s">
        <v>95</v>
      </c>
      <c r="C40" s="49">
        <v>1144</v>
      </c>
      <c r="D40" s="49">
        <v>25</v>
      </c>
      <c r="E40" s="49">
        <v>26</v>
      </c>
      <c r="F40" s="49">
        <v>1195</v>
      </c>
      <c r="G40" s="49">
        <v>782</v>
      </c>
      <c r="H40" s="49">
        <v>13</v>
      </c>
      <c r="I40" s="49">
        <v>9</v>
      </c>
      <c r="J40" s="49">
        <v>804</v>
      </c>
      <c r="K40" s="49">
        <v>683</v>
      </c>
      <c r="L40" s="49">
        <v>18</v>
      </c>
      <c r="M40" s="49">
        <v>7</v>
      </c>
      <c r="N40" s="49">
        <v>708</v>
      </c>
    </row>
    <row r="41" spans="2:14" x14ac:dyDescent="0.25">
      <c r="B41" s="14" t="s">
        <v>103</v>
      </c>
      <c r="C41" s="49">
        <v>25</v>
      </c>
      <c r="D41" s="49">
        <v>0</v>
      </c>
      <c r="E41" s="49">
        <v>0</v>
      </c>
      <c r="F41" s="49">
        <v>25</v>
      </c>
      <c r="G41" s="49">
        <v>16</v>
      </c>
      <c r="H41" s="49">
        <v>3</v>
      </c>
      <c r="I41" s="49">
        <v>0</v>
      </c>
      <c r="J41" s="49">
        <v>19</v>
      </c>
      <c r="K41" s="49">
        <v>29</v>
      </c>
      <c r="L41" s="49">
        <v>2</v>
      </c>
      <c r="M41" s="49">
        <v>3</v>
      </c>
      <c r="N41" s="49">
        <v>34</v>
      </c>
    </row>
    <row r="42" spans="2:14" x14ac:dyDescent="0.25">
      <c r="B42" s="14" t="s">
        <v>104</v>
      </c>
      <c r="C42" s="49">
        <v>1058</v>
      </c>
      <c r="D42" s="49">
        <v>23</v>
      </c>
      <c r="E42" s="49">
        <v>26</v>
      </c>
      <c r="F42" s="49">
        <v>1107</v>
      </c>
      <c r="G42" s="49">
        <v>676</v>
      </c>
      <c r="H42" s="49">
        <v>8</v>
      </c>
      <c r="I42" s="49">
        <v>9</v>
      </c>
      <c r="J42" s="49">
        <v>693</v>
      </c>
      <c r="K42" s="49">
        <v>598</v>
      </c>
      <c r="L42" s="49">
        <v>15</v>
      </c>
      <c r="M42" s="49">
        <v>4</v>
      </c>
      <c r="N42" s="49">
        <v>617</v>
      </c>
    </row>
    <row r="43" spans="2:14" x14ac:dyDescent="0.25">
      <c r="B43" s="14" t="s">
        <v>105</v>
      </c>
      <c r="C43" s="49">
        <v>61</v>
      </c>
      <c r="D43" s="49">
        <v>2</v>
      </c>
      <c r="E43" s="49">
        <v>0</v>
      </c>
      <c r="F43" s="49">
        <v>63</v>
      </c>
      <c r="G43" s="49">
        <v>90</v>
      </c>
      <c r="H43" s="49">
        <v>2</v>
      </c>
      <c r="I43" s="49">
        <v>0</v>
      </c>
      <c r="J43" s="49">
        <v>92</v>
      </c>
      <c r="K43" s="49">
        <v>56</v>
      </c>
      <c r="L43" s="49">
        <v>1</v>
      </c>
      <c r="M43" s="49">
        <v>0</v>
      </c>
      <c r="N43" s="49">
        <v>57</v>
      </c>
    </row>
    <row r="44" spans="2:14" x14ac:dyDescent="0.25">
      <c r="B44" s="10" t="s">
        <v>96</v>
      </c>
      <c r="C44" s="49">
        <v>159</v>
      </c>
      <c r="D44" s="49">
        <v>11</v>
      </c>
      <c r="E44" s="49">
        <v>4</v>
      </c>
      <c r="F44" s="49">
        <v>174</v>
      </c>
      <c r="G44" s="49">
        <v>431</v>
      </c>
      <c r="H44" s="49">
        <v>4</v>
      </c>
      <c r="I44" s="49">
        <v>9</v>
      </c>
      <c r="J44" s="49">
        <v>444</v>
      </c>
      <c r="K44" s="49">
        <v>269</v>
      </c>
      <c r="L44" s="49">
        <v>9</v>
      </c>
      <c r="M44" s="49">
        <v>4</v>
      </c>
      <c r="N44" s="49">
        <v>282</v>
      </c>
    </row>
    <row r="45" spans="2:14" x14ac:dyDescent="0.25">
      <c r="B45" s="14" t="s">
        <v>106</v>
      </c>
      <c r="C45" s="49">
        <v>47</v>
      </c>
      <c r="D45" s="49">
        <v>2</v>
      </c>
      <c r="E45" s="49">
        <v>0</v>
      </c>
      <c r="F45" s="49">
        <v>49</v>
      </c>
      <c r="G45" s="49">
        <v>85</v>
      </c>
      <c r="H45" s="49">
        <v>1</v>
      </c>
      <c r="I45" s="49">
        <v>0</v>
      </c>
      <c r="J45" s="49">
        <v>86</v>
      </c>
      <c r="K45" s="49">
        <v>67</v>
      </c>
      <c r="L45" s="49">
        <v>2</v>
      </c>
      <c r="M45" s="49">
        <v>1</v>
      </c>
      <c r="N45" s="49">
        <v>70</v>
      </c>
    </row>
    <row r="46" spans="2:14" x14ac:dyDescent="0.25">
      <c r="B46" s="14" t="s">
        <v>107</v>
      </c>
      <c r="C46" s="49">
        <v>99</v>
      </c>
      <c r="D46" s="49">
        <v>8</v>
      </c>
      <c r="E46" s="49">
        <v>3</v>
      </c>
      <c r="F46" s="49">
        <v>110</v>
      </c>
      <c r="G46" s="49">
        <v>316</v>
      </c>
      <c r="H46" s="49">
        <v>3</v>
      </c>
      <c r="I46" s="49">
        <v>9</v>
      </c>
      <c r="J46" s="49">
        <v>328</v>
      </c>
      <c r="K46" s="49">
        <v>177</v>
      </c>
      <c r="L46" s="49">
        <v>7</v>
      </c>
      <c r="M46" s="49">
        <v>3</v>
      </c>
      <c r="N46" s="49">
        <v>187</v>
      </c>
    </row>
    <row r="47" spans="2:14" x14ac:dyDescent="0.25">
      <c r="B47" s="14" t="s">
        <v>108</v>
      </c>
      <c r="C47" s="49">
        <v>13</v>
      </c>
      <c r="D47" s="49">
        <v>1</v>
      </c>
      <c r="E47" s="49">
        <v>1</v>
      </c>
      <c r="F47" s="49">
        <v>15</v>
      </c>
      <c r="G47" s="49">
        <v>30</v>
      </c>
      <c r="H47" s="49">
        <v>0</v>
      </c>
      <c r="I47" s="49">
        <v>0</v>
      </c>
      <c r="J47" s="49">
        <v>30</v>
      </c>
      <c r="K47" s="49">
        <v>25</v>
      </c>
      <c r="L47" s="49">
        <v>0</v>
      </c>
      <c r="M47" s="49">
        <v>0</v>
      </c>
      <c r="N47" s="49">
        <v>25</v>
      </c>
    </row>
    <row r="48" spans="2:14" x14ac:dyDescent="0.25">
      <c r="B48" s="10" t="s">
        <v>49</v>
      </c>
      <c r="C48" s="49">
        <v>2132</v>
      </c>
      <c r="D48" s="49">
        <v>59</v>
      </c>
      <c r="E48" s="49">
        <v>50</v>
      </c>
      <c r="F48" s="49">
        <v>2241</v>
      </c>
      <c r="G48" s="49">
        <v>1936</v>
      </c>
      <c r="H48" s="49">
        <v>24</v>
      </c>
      <c r="I48" s="49">
        <v>42</v>
      </c>
      <c r="J48" s="49">
        <v>2002</v>
      </c>
      <c r="K48" s="49">
        <v>1606</v>
      </c>
      <c r="L48" s="49">
        <v>63</v>
      </c>
      <c r="M48" s="49">
        <v>22</v>
      </c>
      <c r="N48" s="49">
        <v>1691</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EAF09-004F-49A4-8A8E-054BCBB4B2E2}">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7</v>
      </c>
      <c r="D15" s="55" t="s">
        <v>127</v>
      </c>
      <c r="E15" s="55">
        <v>47</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20</v>
      </c>
      <c r="V15" s="55" t="s">
        <v>127</v>
      </c>
      <c r="W15" s="55">
        <v>12</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158</v>
      </c>
      <c r="AL15" s="55" t="s">
        <v>127</v>
      </c>
      <c r="AM15" s="55">
        <v>7</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8</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8</v>
      </c>
      <c r="D16" s="55" t="s">
        <v>127</v>
      </c>
      <c r="E16" s="55">
        <v>70</v>
      </c>
      <c r="F16" s="55" t="s">
        <v>127</v>
      </c>
      <c r="G16" s="55">
        <v>3</v>
      </c>
      <c r="H16" s="55" t="s">
        <v>127</v>
      </c>
      <c r="I16" s="55">
        <v>0</v>
      </c>
      <c r="J16" s="55" t="s">
        <v>127</v>
      </c>
      <c r="K16" s="55" t="s">
        <v>127</v>
      </c>
      <c r="L16" s="55" t="s">
        <v>127</v>
      </c>
      <c r="M16" s="55" t="s">
        <v>127</v>
      </c>
      <c r="N16" s="55" t="s">
        <v>127</v>
      </c>
      <c r="O16" s="55" t="s">
        <v>127</v>
      </c>
      <c r="P16" s="55" t="s">
        <v>127</v>
      </c>
      <c r="Q16" s="55" t="s">
        <v>127</v>
      </c>
      <c r="R16" s="55" t="s">
        <v>127</v>
      </c>
      <c r="S16" s="55">
        <v>3</v>
      </c>
      <c r="T16" s="55" t="s">
        <v>127</v>
      </c>
      <c r="U16" s="55">
        <v>36</v>
      </c>
      <c r="V16" s="55" t="s">
        <v>127</v>
      </c>
      <c r="W16" s="55">
        <v>16</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216</v>
      </c>
      <c r="AL16" s="55" t="s">
        <v>127</v>
      </c>
      <c r="AM16" s="55">
        <v>19</v>
      </c>
      <c r="AN16" s="55" t="s">
        <v>127</v>
      </c>
      <c r="AO16" s="55">
        <v>0</v>
      </c>
      <c r="AP16" s="55" t="s">
        <v>127</v>
      </c>
      <c r="AQ16" s="55" t="s">
        <v>127</v>
      </c>
      <c r="AR16" s="55" t="s">
        <v>127</v>
      </c>
      <c r="AS16" s="55" t="s">
        <v>127</v>
      </c>
      <c r="AT16" s="55" t="s">
        <v>127</v>
      </c>
      <c r="AU16" s="55" t="s">
        <v>127</v>
      </c>
      <c r="AV16" s="55" t="s">
        <v>127</v>
      </c>
      <c r="AW16" s="55" t="s">
        <v>127</v>
      </c>
      <c r="AX16" s="55" t="s">
        <v>127</v>
      </c>
      <c r="AY16" s="55">
        <v>3</v>
      </c>
      <c r="AZ16" s="55" t="s">
        <v>127</v>
      </c>
      <c r="BA16" s="55">
        <v>16</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4</v>
      </c>
      <c r="D17" s="55" t="s">
        <v>127</v>
      </c>
      <c r="E17" s="55">
        <v>67</v>
      </c>
      <c r="F17" s="55" t="s">
        <v>127</v>
      </c>
      <c r="G17" s="55">
        <v>7</v>
      </c>
      <c r="H17" s="55" t="s">
        <v>127</v>
      </c>
      <c r="I17" s="55">
        <v>0</v>
      </c>
      <c r="J17" s="55" t="s">
        <v>127</v>
      </c>
      <c r="K17" s="55" t="s">
        <v>127</v>
      </c>
      <c r="L17" s="55" t="s">
        <v>127</v>
      </c>
      <c r="M17" s="55" t="s">
        <v>127</v>
      </c>
      <c r="N17" s="55" t="s">
        <v>127</v>
      </c>
      <c r="O17" s="55" t="s">
        <v>127</v>
      </c>
      <c r="P17" s="55" t="s">
        <v>127</v>
      </c>
      <c r="Q17" s="55" t="s">
        <v>127</v>
      </c>
      <c r="R17" s="55" t="s">
        <v>127</v>
      </c>
      <c r="S17" s="55">
        <v>3</v>
      </c>
      <c r="T17" s="55" t="s">
        <v>127</v>
      </c>
      <c r="U17" s="55">
        <v>44</v>
      </c>
      <c r="V17" s="55" t="s">
        <v>127</v>
      </c>
      <c r="W17" s="55">
        <v>34</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219</v>
      </c>
      <c r="AL17" s="55" t="s">
        <v>127</v>
      </c>
      <c r="AM17" s="55">
        <v>18</v>
      </c>
      <c r="AN17" s="55" t="s">
        <v>127</v>
      </c>
      <c r="AO17" s="55">
        <v>0</v>
      </c>
      <c r="AP17" s="55" t="s">
        <v>127</v>
      </c>
      <c r="AQ17" s="55" t="s">
        <v>127</v>
      </c>
      <c r="AR17" s="55" t="s">
        <v>127</v>
      </c>
      <c r="AS17" s="55" t="s">
        <v>127</v>
      </c>
      <c r="AT17" s="55" t="s">
        <v>127</v>
      </c>
      <c r="AU17" s="55" t="s">
        <v>127</v>
      </c>
      <c r="AV17" s="55" t="s">
        <v>127</v>
      </c>
      <c r="AW17" s="55" t="s">
        <v>127</v>
      </c>
      <c r="AX17" s="55" t="s">
        <v>127</v>
      </c>
      <c r="AY17" s="55">
        <v>9</v>
      </c>
      <c r="AZ17" s="55" t="s">
        <v>127</v>
      </c>
      <c r="BA17" s="55">
        <v>21</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12</v>
      </c>
      <c r="D18" s="55" t="s">
        <v>127</v>
      </c>
      <c r="E18" s="55">
        <v>62</v>
      </c>
      <c r="F18" s="55" t="s">
        <v>127</v>
      </c>
      <c r="G18" s="55">
        <v>8</v>
      </c>
      <c r="H18" s="55" t="s">
        <v>127</v>
      </c>
      <c r="I18" s="55">
        <v>0</v>
      </c>
      <c r="J18" s="55" t="s">
        <v>127</v>
      </c>
      <c r="K18" s="55" t="s">
        <v>127</v>
      </c>
      <c r="L18" s="55" t="s">
        <v>127</v>
      </c>
      <c r="M18" s="55" t="s">
        <v>127</v>
      </c>
      <c r="N18" s="55" t="s">
        <v>127</v>
      </c>
      <c r="O18" s="55" t="s">
        <v>127</v>
      </c>
      <c r="P18" s="55" t="s">
        <v>127</v>
      </c>
      <c r="Q18" s="55" t="s">
        <v>127</v>
      </c>
      <c r="R18" s="55" t="s">
        <v>127</v>
      </c>
      <c r="S18" s="55">
        <v>5</v>
      </c>
      <c r="T18" s="55" t="s">
        <v>127</v>
      </c>
      <c r="U18" s="55">
        <v>111</v>
      </c>
      <c r="V18" s="55" t="s">
        <v>127</v>
      </c>
      <c r="W18" s="55">
        <v>51</v>
      </c>
      <c r="X18" s="55" t="s">
        <v>127</v>
      </c>
      <c r="Y18" s="55">
        <v>0</v>
      </c>
      <c r="Z18" s="55" t="s">
        <v>127</v>
      </c>
      <c r="AA18" s="55" t="s">
        <v>127</v>
      </c>
      <c r="AB18" s="55" t="s">
        <v>127</v>
      </c>
      <c r="AC18" s="55" t="s">
        <v>127</v>
      </c>
      <c r="AD18" s="55" t="s">
        <v>127</v>
      </c>
      <c r="AE18" s="55" t="s">
        <v>127</v>
      </c>
      <c r="AF18" s="55" t="s">
        <v>127</v>
      </c>
      <c r="AG18" s="55" t="s">
        <v>127</v>
      </c>
      <c r="AH18" s="55" t="s">
        <v>127</v>
      </c>
      <c r="AI18" s="55">
        <v>4</v>
      </c>
      <c r="AJ18" s="55" t="s">
        <v>127</v>
      </c>
      <c r="AK18" s="55">
        <v>274</v>
      </c>
      <c r="AL18" s="55" t="s">
        <v>127</v>
      </c>
      <c r="AM18" s="55">
        <v>20</v>
      </c>
      <c r="AN18" s="55" t="s">
        <v>127</v>
      </c>
      <c r="AO18" s="55">
        <v>0</v>
      </c>
      <c r="AP18" s="55" t="s">
        <v>127</v>
      </c>
      <c r="AQ18" s="55" t="s">
        <v>127</v>
      </c>
      <c r="AR18" s="55" t="s">
        <v>127</v>
      </c>
      <c r="AS18" s="55" t="s">
        <v>127</v>
      </c>
      <c r="AT18" s="55" t="s">
        <v>127</v>
      </c>
      <c r="AU18" s="55" t="s">
        <v>127</v>
      </c>
      <c r="AV18" s="55" t="s">
        <v>127</v>
      </c>
      <c r="AW18" s="55" t="s">
        <v>127</v>
      </c>
      <c r="AX18" s="55" t="s">
        <v>127</v>
      </c>
      <c r="AY18" s="55">
        <v>11</v>
      </c>
      <c r="AZ18" s="55" t="s">
        <v>127</v>
      </c>
      <c r="BA18" s="55">
        <v>29</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8</v>
      </c>
      <c r="D19" s="55" t="s">
        <v>127</v>
      </c>
      <c r="E19" s="55">
        <v>65</v>
      </c>
      <c r="F19" s="55" t="s">
        <v>127</v>
      </c>
      <c r="G19" s="55">
        <v>5</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74</v>
      </c>
      <c r="V19" s="55" t="s">
        <v>127</v>
      </c>
      <c r="W19" s="55">
        <v>44</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284</v>
      </c>
      <c r="AL19" s="55" t="s">
        <v>127</v>
      </c>
      <c r="AM19" s="55">
        <v>10</v>
      </c>
      <c r="AN19" s="55" t="s">
        <v>127</v>
      </c>
      <c r="AO19" s="55">
        <v>0</v>
      </c>
      <c r="AP19" s="55" t="s">
        <v>127</v>
      </c>
      <c r="AQ19" s="55" t="s">
        <v>127</v>
      </c>
      <c r="AR19" s="55" t="s">
        <v>127</v>
      </c>
      <c r="AS19" s="55" t="s">
        <v>127</v>
      </c>
      <c r="AT19" s="55" t="s">
        <v>127</v>
      </c>
      <c r="AU19" s="55" t="s">
        <v>127</v>
      </c>
      <c r="AV19" s="55" t="s">
        <v>127</v>
      </c>
      <c r="AW19" s="55" t="s">
        <v>127</v>
      </c>
      <c r="AX19" s="55" t="s">
        <v>127</v>
      </c>
      <c r="AY19" s="55">
        <v>12</v>
      </c>
      <c r="AZ19" s="55" t="s">
        <v>127</v>
      </c>
      <c r="BA19" s="55">
        <v>18</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7</v>
      </c>
      <c r="D20" s="55" t="s">
        <v>127</v>
      </c>
      <c r="E20" s="55">
        <v>57</v>
      </c>
      <c r="F20" s="55" t="s">
        <v>127</v>
      </c>
      <c r="G20" s="55">
        <v>13</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71</v>
      </c>
      <c r="V20" s="55" t="s">
        <v>127</v>
      </c>
      <c r="W20" s="55">
        <v>35</v>
      </c>
      <c r="X20" s="55" t="s">
        <v>127</v>
      </c>
      <c r="Y20" s="55">
        <v>0</v>
      </c>
      <c r="Z20" s="55" t="s">
        <v>127</v>
      </c>
      <c r="AA20" s="55" t="s">
        <v>127</v>
      </c>
      <c r="AB20" s="55" t="s">
        <v>127</v>
      </c>
      <c r="AC20" s="55" t="s">
        <v>127</v>
      </c>
      <c r="AD20" s="55" t="s">
        <v>127</v>
      </c>
      <c r="AE20" s="55" t="s">
        <v>127</v>
      </c>
      <c r="AF20" s="55" t="s">
        <v>127</v>
      </c>
      <c r="AG20" s="55" t="s">
        <v>127</v>
      </c>
      <c r="AH20" s="55" t="s">
        <v>127</v>
      </c>
      <c r="AI20" s="55">
        <v>10</v>
      </c>
      <c r="AJ20" s="55" t="s">
        <v>127</v>
      </c>
      <c r="AK20" s="55">
        <v>248</v>
      </c>
      <c r="AL20" s="55" t="s">
        <v>127</v>
      </c>
      <c r="AM20" s="55">
        <v>17</v>
      </c>
      <c r="AN20" s="55" t="s">
        <v>127</v>
      </c>
      <c r="AO20" s="55">
        <v>0</v>
      </c>
      <c r="AP20" s="55" t="s">
        <v>127</v>
      </c>
      <c r="AQ20" s="55" t="s">
        <v>127</v>
      </c>
      <c r="AR20" s="55" t="s">
        <v>127</v>
      </c>
      <c r="AS20" s="55" t="s">
        <v>127</v>
      </c>
      <c r="AT20" s="55" t="s">
        <v>127</v>
      </c>
      <c r="AU20" s="55" t="s">
        <v>127</v>
      </c>
      <c r="AV20" s="55" t="s">
        <v>127</v>
      </c>
      <c r="AW20" s="55" t="s">
        <v>127</v>
      </c>
      <c r="AX20" s="55" t="s">
        <v>127</v>
      </c>
      <c r="AY20" s="55">
        <v>10</v>
      </c>
      <c r="AZ20" s="55" t="s">
        <v>127</v>
      </c>
      <c r="BA20" s="55">
        <v>19</v>
      </c>
      <c r="BB20" s="55" t="s">
        <v>127</v>
      </c>
      <c r="BC20" s="55">
        <v>3</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16</v>
      </c>
      <c r="D21" s="55" t="s">
        <v>127</v>
      </c>
      <c r="E21" s="55">
        <v>48</v>
      </c>
      <c r="F21" s="55" t="s">
        <v>127</v>
      </c>
      <c r="G21" s="55">
        <v>10</v>
      </c>
      <c r="H21" s="55" t="s">
        <v>127</v>
      </c>
      <c r="I21" s="55">
        <v>0</v>
      </c>
      <c r="J21" s="55" t="s">
        <v>127</v>
      </c>
      <c r="K21" s="55" t="s">
        <v>127</v>
      </c>
      <c r="L21" s="55" t="s">
        <v>127</v>
      </c>
      <c r="M21" s="55" t="s">
        <v>127</v>
      </c>
      <c r="N21" s="55" t="s">
        <v>127</v>
      </c>
      <c r="O21" s="55" t="s">
        <v>127</v>
      </c>
      <c r="P21" s="55" t="s">
        <v>127</v>
      </c>
      <c r="Q21" s="55" t="s">
        <v>127</v>
      </c>
      <c r="R21" s="55" t="s">
        <v>127</v>
      </c>
      <c r="S21" s="55">
        <v>7</v>
      </c>
      <c r="T21" s="55" t="s">
        <v>127</v>
      </c>
      <c r="U21" s="55">
        <v>67</v>
      </c>
      <c r="V21" s="55" t="s">
        <v>127</v>
      </c>
      <c r="W21" s="55">
        <v>47</v>
      </c>
      <c r="X21" s="55" t="s">
        <v>127</v>
      </c>
      <c r="Y21" s="55">
        <v>0</v>
      </c>
      <c r="Z21" s="55" t="s">
        <v>127</v>
      </c>
      <c r="AA21" s="55" t="s">
        <v>127</v>
      </c>
      <c r="AB21" s="55" t="s">
        <v>127</v>
      </c>
      <c r="AC21" s="55" t="s">
        <v>127</v>
      </c>
      <c r="AD21" s="55" t="s">
        <v>127</v>
      </c>
      <c r="AE21" s="55" t="s">
        <v>127</v>
      </c>
      <c r="AF21" s="55" t="s">
        <v>127</v>
      </c>
      <c r="AG21" s="55" t="s">
        <v>127</v>
      </c>
      <c r="AH21" s="55" t="s">
        <v>127</v>
      </c>
      <c r="AI21" s="55">
        <v>10</v>
      </c>
      <c r="AJ21" s="55" t="s">
        <v>127</v>
      </c>
      <c r="AK21" s="55">
        <v>252</v>
      </c>
      <c r="AL21" s="55" t="s">
        <v>127</v>
      </c>
      <c r="AM21" s="55">
        <v>14</v>
      </c>
      <c r="AN21" s="55" t="s">
        <v>127</v>
      </c>
      <c r="AO21" s="55">
        <v>0</v>
      </c>
      <c r="AP21" s="55" t="s">
        <v>127</v>
      </c>
      <c r="AQ21" s="55" t="s">
        <v>127</v>
      </c>
      <c r="AR21" s="55" t="s">
        <v>127</v>
      </c>
      <c r="AS21" s="55" t="s">
        <v>127</v>
      </c>
      <c r="AT21" s="55" t="s">
        <v>127</v>
      </c>
      <c r="AU21" s="55" t="s">
        <v>127</v>
      </c>
      <c r="AV21" s="55" t="s">
        <v>127</v>
      </c>
      <c r="AW21" s="55" t="s">
        <v>127</v>
      </c>
      <c r="AX21" s="55" t="s">
        <v>127</v>
      </c>
      <c r="AY21" s="55">
        <v>14</v>
      </c>
      <c r="AZ21" s="55" t="s">
        <v>127</v>
      </c>
      <c r="BA21" s="55">
        <v>33</v>
      </c>
      <c r="BB21" s="55" t="s">
        <v>127</v>
      </c>
      <c r="BC21" s="55">
        <v>3</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12</v>
      </c>
      <c r="D22" s="55" t="s">
        <v>127</v>
      </c>
      <c r="E22" s="55">
        <v>67</v>
      </c>
      <c r="F22" s="55" t="s">
        <v>127</v>
      </c>
      <c r="G22" s="55">
        <v>10</v>
      </c>
      <c r="H22" s="55" t="s">
        <v>127</v>
      </c>
      <c r="I22" s="55">
        <v>0</v>
      </c>
      <c r="J22" s="55" t="s">
        <v>127</v>
      </c>
      <c r="K22" s="55" t="s">
        <v>127</v>
      </c>
      <c r="L22" s="55" t="s">
        <v>127</v>
      </c>
      <c r="M22" s="55" t="s">
        <v>127</v>
      </c>
      <c r="N22" s="55" t="s">
        <v>127</v>
      </c>
      <c r="O22" s="55" t="s">
        <v>127</v>
      </c>
      <c r="P22" s="55" t="s">
        <v>127</v>
      </c>
      <c r="Q22" s="55" t="s">
        <v>127</v>
      </c>
      <c r="R22" s="55" t="s">
        <v>127</v>
      </c>
      <c r="S22" s="55">
        <v>7</v>
      </c>
      <c r="T22" s="55" t="s">
        <v>127</v>
      </c>
      <c r="U22" s="55">
        <v>58</v>
      </c>
      <c r="V22" s="55" t="s">
        <v>127</v>
      </c>
      <c r="W22" s="55">
        <v>37</v>
      </c>
      <c r="X22" s="55" t="s">
        <v>127</v>
      </c>
      <c r="Y22" s="55">
        <v>0</v>
      </c>
      <c r="Z22" s="55" t="s">
        <v>127</v>
      </c>
      <c r="AA22" s="55" t="s">
        <v>127</v>
      </c>
      <c r="AB22" s="55" t="s">
        <v>127</v>
      </c>
      <c r="AC22" s="55" t="s">
        <v>127</v>
      </c>
      <c r="AD22" s="55" t="s">
        <v>127</v>
      </c>
      <c r="AE22" s="55" t="s">
        <v>127</v>
      </c>
      <c r="AF22" s="55" t="s">
        <v>127</v>
      </c>
      <c r="AG22" s="55" t="s">
        <v>127</v>
      </c>
      <c r="AH22" s="55" t="s">
        <v>127</v>
      </c>
      <c r="AI22" s="55">
        <v>7</v>
      </c>
      <c r="AJ22" s="55" t="s">
        <v>127</v>
      </c>
      <c r="AK22" s="55">
        <v>229</v>
      </c>
      <c r="AL22" s="55" t="s">
        <v>127</v>
      </c>
      <c r="AM22" s="55">
        <v>15</v>
      </c>
      <c r="AN22" s="55" t="s">
        <v>127</v>
      </c>
      <c r="AO22" s="55">
        <v>0</v>
      </c>
      <c r="AP22" s="55" t="s">
        <v>127</v>
      </c>
      <c r="AQ22" s="55" t="s">
        <v>127</v>
      </c>
      <c r="AR22" s="55" t="s">
        <v>127</v>
      </c>
      <c r="AS22" s="55" t="s">
        <v>127</v>
      </c>
      <c r="AT22" s="55" t="s">
        <v>127</v>
      </c>
      <c r="AU22" s="55" t="s">
        <v>127</v>
      </c>
      <c r="AV22" s="55" t="s">
        <v>127</v>
      </c>
      <c r="AW22" s="55" t="s">
        <v>127</v>
      </c>
      <c r="AX22" s="55" t="s">
        <v>127</v>
      </c>
      <c r="AY22" s="55">
        <v>3</v>
      </c>
      <c r="AZ22" s="55" t="s">
        <v>127</v>
      </c>
      <c r="BA22" s="55">
        <v>32</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16</v>
      </c>
      <c r="D23" s="55" t="s">
        <v>127</v>
      </c>
      <c r="E23" s="55">
        <v>94</v>
      </c>
      <c r="F23" s="55" t="s">
        <v>127</v>
      </c>
      <c r="G23" s="55">
        <v>5</v>
      </c>
      <c r="H23" s="55" t="s">
        <v>127</v>
      </c>
      <c r="I23" s="55">
        <v>0</v>
      </c>
      <c r="J23" s="55" t="s">
        <v>127</v>
      </c>
      <c r="K23" s="55" t="s">
        <v>127</v>
      </c>
      <c r="L23" s="55" t="s">
        <v>127</v>
      </c>
      <c r="M23" s="55" t="s">
        <v>127</v>
      </c>
      <c r="N23" s="55" t="s">
        <v>127</v>
      </c>
      <c r="O23" s="55" t="s">
        <v>127</v>
      </c>
      <c r="P23" s="55" t="s">
        <v>127</v>
      </c>
      <c r="Q23" s="55" t="s">
        <v>127</v>
      </c>
      <c r="R23" s="55" t="s">
        <v>127</v>
      </c>
      <c r="S23" s="55">
        <v>16</v>
      </c>
      <c r="T23" s="55" t="s">
        <v>127</v>
      </c>
      <c r="U23" s="55">
        <v>33</v>
      </c>
      <c r="V23" s="55" t="s">
        <v>127</v>
      </c>
      <c r="W23" s="55">
        <v>28</v>
      </c>
      <c r="X23" s="55" t="s">
        <v>127</v>
      </c>
      <c r="Y23" s="55">
        <v>0</v>
      </c>
      <c r="Z23" s="55" t="s">
        <v>127</v>
      </c>
      <c r="AA23" s="55" t="s">
        <v>127</v>
      </c>
      <c r="AB23" s="55" t="s">
        <v>127</v>
      </c>
      <c r="AC23" s="55" t="s">
        <v>127</v>
      </c>
      <c r="AD23" s="55" t="s">
        <v>127</v>
      </c>
      <c r="AE23" s="55" t="s">
        <v>127</v>
      </c>
      <c r="AF23" s="55" t="s">
        <v>127</v>
      </c>
      <c r="AG23" s="55" t="s">
        <v>127</v>
      </c>
      <c r="AH23" s="55" t="s">
        <v>127</v>
      </c>
      <c r="AI23" s="55">
        <v>9</v>
      </c>
      <c r="AJ23" s="55" t="s">
        <v>127</v>
      </c>
      <c r="AK23" s="55">
        <v>144</v>
      </c>
      <c r="AL23" s="55" t="s">
        <v>127</v>
      </c>
      <c r="AM23" s="55">
        <v>14</v>
      </c>
      <c r="AN23" s="55" t="s">
        <v>127</v>
      </c>
      <c r="AO23" s="55">
        <v>0</v>
      </c>
      <c r="AP23" s="55" t="s">
        <v>127</v>
      </c>
      <c r="AQ23" s="55" t="s">
        <v>127</v>
      </c>
      <c r="AR23" s="55" t="s">
        <v>127</v>
      </c>
      <c r="AS23" s="55" t="s">
        <v>127</v>
      </c>
      <c r="AT23" s="55" t="s">
        <v>127</v>
      </c>
      <c r="AU23" s="55" t="s">
        <v>127</v>
      </c>
      <c r="AV23" s="55" t="s">
        <v>127</v>
      </c>
      <c r="AW23" s="55" t="s">
        <v>127</v>
      </c>
      <c r="AX23" s="55" t="s">
        <v>127</v>
      </c>
      <c r="AY23" s="55">
        <v>16</v>
      </c>
      <c r="AZ23" s="55" t="s">
        <v>127</v>
      </c>
      <c r="BA23" s="55">
        <v>52</v>
      </c>
      <c r="BB23" s="55" t="s">
        <v>127</v>
      </c>
      <c r="BC23" s="55">
        <v>6</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16</v>
      </c>
      <c r="D24" s="55" t="s">
        <v>127</v>
      </c>
      <c r="E24" s="55">
        <v>71</v>
      </c>
      <c r="F24" s="55" t="s">
        <v>127</v>
      </c>
      <c r="G24" s="55">
        <v>13</v>
      </c>
      <c r="H24" s="55" t="s">
        <v>127</v>
      </c>
      <c r="I24" s="55">
        <v>0</v>
      </c>
      <c r="J24" s="55" t="s">
        <v>127</v>
      </c>
      <c r="K24" s="55" t="s">
        <v>127</v>
      </c>
      <c r="L24" s="55" t="s">
        <v>127</v>
      </c>
      <c r="M24" s="55" t="s">
        <v>127</v>
      </c>
      <c r="N24" s="55" t="s">
        <v>127</v>
      </c>
      <c r="O24" s="55" t="s">
        <v>127</v>
      </c>
      <c r="P24" s="55" t="s">
        <v>127</v>
      </c>
      <c r="Q24" s="55" t="s">
        <v>127</v>
      </c>
      <c r="R24" s="55" t="s">
        <v>127</v>
      </c>
      <c r="S24" s="55">
        <v>9</v>
      </c>
      <c r="T24" s="55" t="s">
        <v>127</v>
      </c>
      <c r="U24" s="55">
        <v>44</v>
      </c>
      <c r="V24" s="55" t="s">
        <v>127</v>
      </c>
      <c r="W24" s="55">
        <v>8</v>
      </c>
      <c r="X24" s="55" t="s">
        <v>127</v>
      </c>
      <c r="Y24" s="55">
        <v>0</v>
      </c>
      <c r="Z24" s="55" t="s">
        <v>127</v>
      </c>
      <c r="AA24" s="55" t="s">
        <v>127</v>
      </c>
      <c r="AB24" s="55" t="s">
        <v>127</v>
      </c>
      <c r="AC24" s="55" t="s">
        <v>127</v>
      </c>
      <c r="AD24" s="55" t="s">
        <v>127</v>
      </c>
      <c r="AE24" s="55" t="s">
        <v>127</v>
      </c>
      <c r="AF24" s="55" t="s">
        <v>127</v>
      </c>
      <c r="AG24" s="55" t="s">
        <v>127</v>
      </c>
      <c r="AH24" s="55" t="s">
        <v>127</v>
      </c>
      <c r="AI24" s="55">
        <v>8</v>
      </c>
      <c r="AJ24" s="55" t="s">
        <v>127</v>
      </c>
      <c r="AK24" s="55">
        <v>168</v>
      </c>
      <c r="AL24" s="55" t="s">
        <v>127</v>
      </c>
      <c r="AM24" s="55">
        <v>12</v>
      </c>
      <c r="AN24" s="55" t="s">
        <v>127</v>
      </c>
      <c r="AO24" s="55">
        <v>0</v>
      </c>
      <c r="AP24" s="55" t="s">
        <v>127</v>
      </c>
      <c r="AQ24" s="55" t="s">
        <v>127</v>
      </c>
      <c r="AR24" s="55" t="s">
        <v>127</v>
      </c>
      <c r="AS24" s="55" t="s">
        <v>127</v>
      </c>
      <c r="AT24" s="55" t="s">
        <v>127</v>
      </c>
      <c r="AU24" s="55" t="s">
        <v>127</v>
      </c>
      <c r="AV24" s="55" t="s">
        <v>127</v>
      </c>
      <c r="AW24" s="55" t="s">
        <v>127</v>
      </c>
      <c r="AX24" s="55" t="s">
        <v>127</v>
      </c>
      <c r="AY24" s="55">
        <v>21</v>
      </c>
      <c r="AZ24" s="55" t="s">
        <v>127</v>
      </c>
      <c r="BA24" s="55">
        <v>37</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15</v>
      </c>
      <c r="D25" s="55" t="s">
        <v>127</v>
      </c>
      <c r="E25" s="55">
        <v>62</v>
      </c>
      <c r="F25" s="55" t="s">
        <v>127</v>
      </c>
      <c r="G25" s="55">
        <v>3</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35</v>
      </c>
      <c r="V25" s="55" t="s">
        <v>127</v>
      </c>
      <c r="W25" s="55">
        <v>15</v>
      </c>
      <c r="X25" s="55" t="s">
        <v>127</v>
      </c>
      <c r="Y25" s="55">
        <v>0</v>
      </c>
      <c r="Z25" s="55" t="s">
        <v>127</v>
      </c>
      <c r="AA25" s="55" t="s">
        <v>127</v>
      </c>
      <c r="AB25" s="55" t="s">
        <v>127</v>
      </c>
      <c r="AC25" s="55" t="s">
        <v>127</v>
      </c>
      <c r="AD25" s="55" t="s">
        <v>127</v>
      </c>
      <c r="AE25" s="55" t="s">
        <v>127</v>
      </c>
      <c r="AF25" s="55" t="s">
        <v>127</v>
      </c>
      <c r="AG25" s="55" t="s">
        <v>127</v>
      </c>
      <c r="AH25" s="55" t="s">
        <v>127</v>
      </c>
      <c r="AI25" s="55">
        <v>5</v>
      </c>
      <c r="AJ25" s="55" t="s">
        <v>127</v>
      </c>
      <c r="AK25" s="55">
        <v>144</v>
      </c>
      <c r="AL25" s="55" t="s">
        <v>127</v>
      </c>
      <c r="AM25" s="55">
        <v>10</v>
      </c>
      <c r="AN25" s="55" t="s">
        <v>127</v>
      </c>
      <c r="AO25" s="55">
        <v>0</v>
      </c>
      <c r="AP25" s="55" t="s">
        <v>127</v>
      </c>
      <c r="AQ25" s="55" t="s">
        <v>127</v>
      </c>
      <c r="AR25" s="55" t="s">
        <v>127</v>
      </c>
      <c r="AS25" s="55" t="s">
        <v>127</v>
      </c>
      <c r="AT25" s="55" t="s">
        <v>127</v>
      </c>
      <c r="AU25" s="55" t="s">
        <v>127</v>
      </c>
      <c r="AV25" s="55" t="s">
        <v>127</v>
      </c>
      <c r="AW25" s="55" t="s">
        <v>127</v>
      </c>
      <c r="AX25" s="55" t="s">
        <v>127</v>
      </c>
      <c r="AY25" s="55">
        <v>17</v>
      </c>
      <c r="AZ25" s="55" t="s">
        <v>127</v>
      </c>
      <c r="BA25" s="55">
        <v>47</v>
      </c>
      <c r="BB25" s="55" t="s">
        <v>127</v>
      </c>
      <c r="BC25" s="55">
        <v>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15</v>
      </c>
      <c r="D26" s="55" t="s">
        <v>127</v>
      </c>
      <c r="E26" s="55">
        <v>81</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7</v>
      </c>
      <c r="T26" s="55" t="s">
        <v>127</v>
      </c>
      <c r="U26" s="55">
        <v>40</v>
      </c>
      <c r="V26" s="55" t="s">
        <v>127</v>
      </c>
      <c r="W26" s="55">
        <v>14</v>
      </c>
      <c r="X26" s="55" t="s">
        <v>127</v>
      </c>
      <c r="Y26" s="55">
        <v>0</v>
      </c>
      <c r="Z26" s="55" t="s">
        <v>127</v>
      </c>
      <c r="AA26" s="55" t="s">
        <v>127</v>
      </c>
      <c r="AB26" s="55" t="s">
        <v>127</v>
      </c>
      <c r="AC26" s="55" t="s">
        <v>127</v>
      </c>
      <c r="AD26" s="55" t="s">
        <v>127</v>
      </c>
      <c r="AE26" s="55" t="s">
        <v>127</v>
      </c>
      <c r="AF26" s="55" t="s">
        <v>127</v>
      </c>
      <c r="AG26" s="55" t="s">
        <v>127</v>
      </c>
      <c r="AH26" s="55" t="s">
        <v>127</v>
      </c>
      <c r="AI26" s="55">
        <v>7</v>
      </c>
      <c r="AJ26" s="55" t="s">
        <v>127</v>
      </c>
      <c r="AK26" s="55">
        <v>142</v>
      </c>
      <c r="AL26" s="55" t="s">
        <v>127</v>
      </c>
      <c r="AM26" s="55">
        <v>20</v>
      </c>
      <c r="AN26" s="55" t="s">
        <v>127</v>
      </c>
      <c r="AO26" s="55">
        <v>0</v>
      </c>
      <c r="AP26" s="55" t="s">
        <v>127</v>
      </c>
      <c r="AQ26" s="55" t="s">
        <v>127</v>
      </c>
      <c r="AR26" s="55" t="s">
        <v>127</v>
      </c>
      <c r="AS26" s="55" t="s">
        <v>127</v>
      </c>
      <c r="AT26" s="55" t="s">
        <v>127</v>
      </c>
      <c r="AU26" s="55" t="s">
        <v>127</v>
      </c>
      <c r="AV26" s="55" t="s">
        <v>127</v>
      </c>
      <c r="AW26" s="55" t="s">
        <v>127</v>
      </c>
      <c r="AX26" s="55" t="s">
        <v>127</v>
      </c>
      <c r="AY26" s="55">
        <v>13</v>
      </c>
      <c r="AZ26" s="55" t="s">
        <v>127</v>
      </c>
      <c r="BA26" s="55">
        <v>41</v>
      </c>
      <c r="BB26" s="55" t="s">
        <v>127</v>
      </c>
      <c r="BC26" s="55">
        <v>8</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20</v>
      </c>
      <c r="D28" s="55" t="s">
        <v>127</v>
      </c>
      <c r="E28" s="55">
        <v>93</v>
      </c>
      <c r="F28" s="55" t="s">
        <v>127</v>
      </c>
      <c r="G28" s="55">
        <v>9</v>
      </c>
      <c r="H28" s="55" t="s">
        <v>127</v>
      </c>
      <c r="I28" s="55">
        <v>0</v>
      </c>
      <c r="J28" s="55" t="s">
        <v>127</v>
      </c>
      <c r="K28" s="55" t="s">
        <v>127</v>
      </c>
      <c r="L28" s="55" t="s">
        <v>127</v>
      </c>
      <c r="M28" s="55" t="s">
        <v>127</v>
      </c>
      <c r="N28" s="55" t="s">
        <v>127</v>
      </c>
      <c r="O28" s="55" t="s">
        <v>127</v>
      </c>
      <c r="P28" s="55" t="s">
        <v>127</v>
      </c>
      <c r="Q28" s="55" t="s">
        <v>127</v>
      </c>
      <c r="R28" s="55" t="s">
        <v>127</v>
      </c>
      <c r="S28" s="55">
        <v>7</v>
      </c>
      <c r="T28" s="55" t="s">
        <v>127</v>
      </c>
      <c r="U28" s="55">
        <v>47</v>
      </c>
      <c r="V28" s="55" t="s">
        <v>127</v>
      </c>
      <c r="W28" s="55">
        <v>24</v>
      </c>
      <c r="X28" s="55" t="s">
        <v>127</v>
      </c>
      <c r="Y28" s="55">
        <v>0</v>
      </c>
      <c r="Z28" s="55" t="s">
        <v>127</v>
      </c>
      <c r="AA28" s="55" t="s">
        <v>127</v>
      </c>
      <c r="AB28" s="55" t="s">
        <v>127</v>
      </c>
      <c r="AC28" s="55" t="s">
        <v>127</v>
      </c>
      <c r="AD28" s="55" t="s">
        <v>127</v>
      </c>
      <c r="AE28" s="55" t="s">
        <v>127</v>
      </c>
      <c r="AF28" s="55" t="s">
        <v>127</v>
      </c>
      <c r="AG28" s="55" t="s">
        <v>127</v>
      </c>
      <c r="AH28" s="55" t="s">
        <v>127</v>
      </c>
      <c r="AI28" s="55">
        <v>10</v>
      </c>
      <c r="AJ28" s="55" t="s">
        <v>127</v>
      </c>
      <c r="AK28" s="55">
        <v>168</v>
      </c>
      <c r="AL28" s="55" t="s">
        <v>127</v>
      </c>
      <c r="AM28" s="55">
        <v>20</v>
      </c>
      <c r="AN28" s="55" t="s">
        <v>127</v>
      </c>
      <c r="AO28" s="55">
        <v>0</v>
      </c>
      <c r="AP28" s="55" t="s">
        <v>127</v>
      </c>
      <c r="AQ28" s="55" t="s">
        <v>127</v>
      </c>
      <c r="AR28" s="55" t="s">
        <v>127</v>
      </c>
      <c r="AS28" s="55" t="s">
        <v>127</v>
      </c>
      <c r="AT28" s="55" t="s">
        <v>127</v>
      </c>
      <c r="AU28" s="55" t="s">
        <v>127</v>
      </c>
      <c r="AV28" s="55" t="s">
        <v>127</v>
      </c>
      <c r="AW28" s="55" t="s">
        <v>127</v>
      </c>
      <c r="AX28" s="55" t="s">
        <v>127</v>
      </c>
      <c r="AY28" s="55">
        <v>19</v>
      </c>
      <c r="AZ28" s="55" t="s">
        <v>127</v>
      </c>
      <c r="BA28" s="55">
        <v>75</v>
      </c>
      <c r="BB28" s="55" t="s">
        <v>127</v>
      </c>
      <c r="BC28" s="55">
        <v>13</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28</v>
      </c>
      <c r="D29" s="55" t="s">
        <v>127</v>
      </c>
      <c r="E29" s="55">
        <v>78</v>
      </c>
      <c r="F29" s="55" t="s">
        <v>127</v>
      </c>
      <c r="G29" s="55">
        <v>16</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28</v>
      </c>
      <c r="V29" s="55" t="s">
        <v>127</v>
      </c>
      <c r="W29" s="55">
        <v>26</v>
      </c>
      <c r="X29" s="55" t="s">
        <v>127</v>
      </c>
      <c r="Y29" s="55">
        <v>0</v>
      </c>
      <c r="Z29" s="55" t="s">
        <v>127</v>
      </c>
      <c r="AA29" s="55" t="s">
        <v>127</v>
      </c>
      <c r="AB29" s="55" t="s">
        <v>127</v>
      </c>
      <c r="AC29" s="55" t="s">
        <v>127</v>
      </c>
      <c r="AD29" s="55" t="s">
        <v>127</v>
      </c>
      <c r="AE29" s="55" t="s">
        <v>127</v>
      </c>
      <c r="AF29" s="55" t="s">
        <v>127</v>
      </c>
      <c r="AG29" s="55" t="s">
        <v>127</v>
      </c>
      <c r="AH29" s="55" t="s">
        <v>127</v>
      </c>
      <c r="AI29" s="55">
        <v>5</v>
      </c>
      <c r="AJ29" s="55" t="s">
        <v>127</v>
      </c>
      <c r="AK29" s="55">
        <v>173</v>
      </c>
      <c r="AL29" s="55" t="s">
        <v>127</v>
      </c>
      <c r="AM29" s="55">
        <v>15</v>
      </c>
      <c r="AN29" s="55" t="s">
        <v>127</v>
      </c>
      <c r="AO29" s="55">
        <v>0</v>
      </c>
      <c r="AP29" s="55" t="s">
        <v>127</v>
      </c>
      <c r="AQ29" s="55" t="s">
        <v>127</v>
      </c>
      <c r="AR29" s="55" t="s">
        <v>127</v>
      </c>
      <c r="AS29" s="55" t="s">
        <v>127</v>
      </c>
      <c r="AT29" s="55" t="s">
        <v>127</v>
      </c>
      <c r="AU29" s="55" t="s">
        <v>127</v>
      </c>
      <c r="AV29" s="55" t="s">
        <v>127</v>
      </c>
      <c r="AW29" s="55" t="s">
        <v>127</v>
      </c>
      <c r="AX29" s="55" t="s">
        <v>127</v>
      </c>
      <c r="AY29" s="55">
        <v>20</v>
      </c>
      <c r="AZ29" s="55" t="s">
        <v>127</v>
      </c>
      <c r="BA29" s="55">
        <v>78</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20</v>
      </c>
      <c r="D30" s="55" t="s">
        <v>127</v>
      </c>
      <c r="E30" s="55">
        <v>79</v>
      </c>
      <c r="F30" s="55" t="s">
        <v>127</v>
      </c>
      <c r="G30" s="55">
        <v>9</v>
      </c>
      <c r="H30" s="55" t="s">
        <v>127</v>
      </c>
      <c r="I30" s="55">
        <v>0</v>
      </c>
      <c r="J30" s="55" t="s">
        <v>127</v>
      </c>
      <c r="K30" s="55" t="s">
        <v>127</v>
      </c>
      <c r="L30" s="55" t="s">
        <v>127</v>
      </c>
      <c r="M30" s="55" t="s">
        <v>127</v>
      </c>
      <c r="N30" s="55" t="s">
        <v>127</v>
      </c>
      <c r="O30" s="55" t="s">
        <v>127</v>
      </c>
      <c r="P30" s="55" t="s">
        <v>127</v>
      </c>
      <c r="Q30" s="55" t="s">
        <v>127</v>
      </c>
      <c r="R30" s="55" t="s">
        <v>127</v>
      </c>
      <c r="S30" s="55">
        <v>7</v>
      </c>
      <c r="T30" s="55" t="s">
        <v>127</v>
      </c>
      <c r="U30" s="55">
        <v>47</v>
      </c>
      <c r="V30" s="55" t="s">
        <v>127</v>
      </c>
      <c r="W30" s="55">
        <v>25</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169</v>
      </c>
      <c r="AL30" s="55" t="s">
        <v>127</v>
      </c>
      <c r="AM30" s="55">
        <v>26</v>
      </c>
      <c r="AN30" s="55" t="s">
        <v>127</v>
      </c>
      <c r="AO30" s="55">
        <v>0</v>
      </c>
      <c r="AP30" s="55" t="s">
        <v>127</v>
      </c>
      <c r="AQ30" s="55" t="s">
        <v>127</v>
      </c>
      <c r="AR30" s="55" t="s">
        <v>127</v>
      </c>
      <c r="AS30" s="55" t="s">
        <v>127</v>
      </c>
      <c r="AT30" s="55" t="s">
        <v>127</v>
      </c>
      <c r="AU30" s="55" t="s">
        <v>127</v>
      </c>
      <c r="AV30" s="55" t="s">
        <v>127</v>
      </c>
      <c r="AW30" s="55" t="s">
        <v>127</v>
      </c>
      <c r="AX30" s="55" t="s">
        <v>127</v>
      </c>
      <c r="AY30" s="55">
        <v>24</v>
      </c>
      <c r="AZ30" s="55" t="s">
        <v>127</v>
      </c>
      <c r="BA30" s="55">
        <v>95</v>
      </c>
      <c r="BB30" s="55" t="s">
        <v>127</v>
      </c>
      <c r="BC30" s="55">
        <v>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15</v>
      </c>
      <c r="D31" s="55" t="s">
        <v>127</v>
      </c>
      <c r="E31" s="55">
        <v>64</v>
      </c>
      <c r="F31" s="55" t="s">
        <v>127</v>
      </c>
      <c r="G31" s="55">
        <v>7</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40</v>
      </c>
      <c r="V31" s="55" t="s">
        <v>127</v>
      </c>
      <c r="W31" s="55">
        <v>24</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166</v>
      </c>
      <c r="AL31" s="55" t="s">
        <v>127</v>
      </c>
      <c r="AM31" s="55">
        <v>29</v>
      </c>
      <c r="AN31" s="55" t="s">
        <v>127</v>
      </c>
      <c r="AO31" s="55">
        <v>0</v>
      </c>
      <c r="AP31" s="55" t="s">
        <v>127</v>
      </c>
      <c r="AQ31" s="55" t="s">
        <v>127</v>
      </c>
      <c r="AR31" s="55" t="s">
        <v>127</v>
      </c>
      <c r="AS31" s="55" t="s">
        <v>127</v>
      </c>
      <c r="AT31" s="55" t="s">
        <v>127</v>
      </c>
      <c r="AU31" s="55" t="s">
        <v>127</v>
      </c>
      <c r="AV31" s="55" t="s">
        <v>127</v>
      </c>
      <c r="AW31" s="55" t="s">
        <v>127</v>
      </c>
      <c r="AX31" s="55" t="s">
        <v>127</v>
      </c>
      <c r="AY31" s="55">
        <v>22</v>
      </c>
      <c r="AZ31" s="55" t="s">
        <v>127</v>
      </c>
      <c r="BA31" s="55">
        <v>68</v>
      </c>
      <c r="BB31" s="55" t="s">
        <v>127</v>
      </c>
      <c r="BC31" s="55">
        <v>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7</v>
      </c>
      <c r="D32" s="55" t="s">
        <v>127</v>
      </c>
      <c r="E32" s="55">
        <v>54</v>
      </c>
      <c r="F32" s="55" t="s">
        <v>127</v>
      </c>
      <c r="G32" s="55">
        <v>3</v>
      </c>
      <c r="H32" s="55" t="s">
        <v>127</v>
      </c>
      <c r="I32" s="55">
        <v>0</v>
      </c>
      <c r="J32" s="55" t="s">
        <v>127</v>
      </c>
      <c r="K32" s="55" t="s">
        <v>127</v>
      </c>
      <c r="L32" s="55" t="s">
        <v>127</v>
      </c>
      <c r="M32" s="55" t="s">
        <v>127</v>
      </c>
      <c r="N32" s="55" t="s">
        <v>127</v>
      </c>
      <c r="O32" s="55" t="s">
        <v>127</v>
      </c>
      <c r="P32" s="55" t="s">
        <v>127</v>
      </c>
      <c r="Q32" s="55" t="s">
        <v>127</v>
      </c>
      <c r="R32" s="55" t="s">
        <v>127</v>
      </c>
      <c r="S32" s="55">
        <v>6</v>
      </c>
      <c r="T32" s="55" t="s">
        <v>127</v>
      </c>
      <c r="U32" s="55">
        <v>34</v>
      </c>
      <c r="V32" s="55" t="s">
        <v>127</v>
      </c>
      <c r="W32" s="55">
        <v>14</v>
      </c>
      <c r="X32" s="55" t="s">
        <v>127</v>
      </c>
      <c r="Y32" s="55">
        <v>0</v>
      </c>
      <c r="Z32" s="55" t="s">
        <v>127</v>
      </c>
      <c r="AA32" s="55" t="s">
        <v>127</v>
      </c>
      <c r="AB32" s="55" t="s">
        <v>127</v>
      </c>
      <c r="AC32" s="55" t="s">
        <v>127</v>
      </c>
      <c r="AD32" s="55" t="s">
        <v>127</v>
      </c>
      <c r="AE32" s="55" t="s">
        <v>127</v>
      </c>
      <c r="AF32" s="55" t="s">
        <v>127</v>
      </c>
      <c r="AG32" s="55" t="s">
        <v>127</v>
      </c>
      <c r="AH32" s="55" t="s">
        <v>127</v>
      </c>
      <c r="AI32" s="55">
        <v>6</v>
      </c>
      <c r="AJ32" s="55" t="s">
        <v>127</v>
      </c>
      <c r="AK32" s="55">
        <v>155</v>
      </c>
      <c r="AL32" s="55" t="s">
        <v>127</v>
      </c>
      <c r="AM32" s="55">
        <v>19</v>
      </c>
      <c r="AN32" s="55" t="s">
        <v>127</v>
      </c>
      <c r="AO32" s="55">
        <v>0</v>
      </c>
      <c r="AP32" s="55" t="s">
        <v>127</v>
      </c>
      <c r="AQ32" s="55" t="s">
        <v>127</v>
      </c>
      <c r="AR32" s="55" t="s">
        <v>127</v>
      </c>
      <c r="AS32" s="55" t="s">
        <v>127</v>
      </c>
      <c r="AT32" s="55" t="s">
        <v>127</v>
      </c>
      <c r="AU32" s="55" t="s">
        <v>127</v>
      </c>
      <c r="AV32" s="55" t="s">
        <v>127</v>
      </c>
      <c r="AW32" s="55" t="s">
        <v>127</v>
      </c>
      <c r="AX32" s="55" t="s">
        <v>127</v>
      </c>
      <c r="AY32" s="55">
        <v>28</v>
      </c>
      <c r="AZ32" s="55" t="s">
        <v>127</v>
      </c>
      <c r="BA32" s="55">
        <v>98</v>
      </c>
      <c r="BB32" s="55" t="s">
        <v>127</v>
      </c>
      <c r="BC32" s="55">
        <v>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3</v>
      </c>
      <c r="D33" s="55" t="s">
        <v>127</v>
      </c>
      <c r="E33" s="55">
        <v>46</v>
      </c>
      <c r="F33" s="55" t="s">
        <v>127</v>
      </c>
      <c r="G33" s="55">
        <v>8</v>
      </c>
      <c r="H33" s="55" t="s">
        <v>127</v>
      </c>
      <c r="I33" s="55">
        <v>0</v>
      </c>
      <c r="J33" s="55" t="s">
        <v>127</v>
      </c>
      <c r="K33" s="55" t="s">
        <v>127</v>
      </c>
      <c r="L33" s="55" t="s">
        <v>127</v>
      </c>
      <c r="M33" s="55" t="s">
        <v>127</v>
      </c>
      <c r="N33" s="55" t="s">
        <v>127</v>
      </c>
      <c r="O33" s="55" t="s">
        <v>127</v>
      </c>
      <c r="P33" s="55" t="s">
        <v>127</v>
      </c>
      <c r="Q33" s="55" t="s">
        <v>127</v>
      </c>
      <c r="R33" s="55" t="s">
        <v>127</v>
      </c>
      <c r="S33" s="55">
        <v>5</v>
      </c>
      <c r="T33" s="55" t="s">
        <v>127</v>
      </c>
      <c r="U33" s="55">
        <v>37</v>
      </c>
      <c r="V33" s="55" t="s">
        <v>127</v>
      </c>
      <c r="W33" s="55">
        <v>12</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156</v>
      </c>
      <c r="AL33" s="55" t="s">
        <v>127</v>
      </c>
      <c r="AM33" s="55">
        <v>23</v>
      </c>
      <c r="AN33" s="55" t="s">
        <v>127</v>
      </c>
      <c r="AO33" s="55">
        <v>0</v>
      </c>
      <c r="AP33" s="55" t="s">
        <v>127</v>
      </c>
      <c r="AQ33" s="55" t="s">
        <v>127</v>
      </c>
      <c r="AR33" s="55" t="s">
        <v>127</v>
      </c>
      <c r="AS33" s="55" t="s">
        <v>127</v>
      </c>
      <c r="AT33" s="55" t="s">
        <v>127</v>
      </c>
      <c r="AU33" s="55" t="s">
        <v>127</v>
      </c>
      <c r="AV33" s="55" t="s">
        <v>127</v>
      </c>
      <c r="AW33" s="55" t="s">
        <v>127</v>
      </c>
      <c r="AX33" s="55" t="s">
        <v>127</v>
      </c>
      <c r="AY33" s="55">
        <v>14</v>
      </c>
      <c r="AZ33" s="55" t="s">
        <v>127</v>
      </c>
      <c r="BA33" s="55">
        <v>79</v>
      </c>
      <c r="BB33" s="55" t="s">
        <v>127</v>
      </c>
      <c r="BC33" s="55">
        <v>3</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7</v>
      </c>
      <c r="D34" s="55" t="s">
        <v>127</v>
      </c>
      <c r="E34" s="55">
        <v>82</v>
      </c>
      <c r="F34" s="55" t="s">
        <v>127</v>
      </c>
      <c r="G34" s="55">
        <v>3</v>
      </c>
      <c r="H34" s="55" t="s">
        <v>127</v>
      </c>
      <c r="I34" s="55">
        <v>0</v>
      </c>
      <c r="J34" s="55" t="s">
        <v>127</v>
      </c>
      <c r="K34" s="55" t="s">
        <v>127</v>
      </c>
      <c r="L34" s="55" t="s">
        <v>127</v>
      </c>
      <c r="M34" s="55" t="s">
        <v>127</v>
      </c>
      <c r="N34" s="55" t="s">
        <v>127</v>
      </c>
      <c r="O34" s="55" t="s">
        <v>127</v>
      </c>
      <c r="P34" s="55" t="s">
        <v>127</v>
      </c>
      <c r="Q34" s="55" t="s">
        <v>127</v>
      </c>
      <c r="R34" s="55" t="s">
        <v>127</v>
      </c>
      <c r="S34" s="55">
        <v>6</v>
      </c>
      <c r="T34" s="55" t="s">
        <v>127</v>
      </c>
      <c r="U34" s="55">
        <v>35</v>
      </c>
      <c r="V34" s="55" t="s">
        <v>127</v>
      </c>
      <c r="W34" s="55">
        <v>9</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137</v>
      </c>
      <c r="AL34" s="55" t="s">
        <v>127</v>
      </c>
      <c r="AM34" s="55">
        <v>24</v>
      </c>
      <c r="AN34" s="55" t="s">
        <v>127</v>
      </c>
      <c r="AO34" s="55">
        <v>0</v>
      </c>
      <c r="AP34" s="55" t="s">
        <v>127</v>
      </c>
      <c r="AQ34" s="55" t="s">
        <v>127</v>
      </c>
      <c r="AR34" s="55" t="s">
        <v>127</v>
      </c>
      <c r="AS34" s="55" t="s">
        <v>127</v>
      </c>
      <c r="AT34" s="55" t="s">
        <v>127</v>
      </c>
      <c r="AU34" s="55" t="s">
        <v>127</v>
      </c>
      <c r="AV34" s="55" t="s">
        <v>127</v>
      </c>
      <c r="AW34" s="55" t="s">
        <v>127</v>
      </c>
      <c r="AX34" s="55" t="s">
        <v>127</v>
      </c>
      <c r="AY34" s="55">
        <v>10</v>
      </c>
      <c r="AZ34" s="55" t="s">
        <v>127</v>
      </c>
      <c r="BA34" s="55">
        <v>60</v>
      </c>
      <c r="BB34" s="55" t="s">
        <v>127</v>
      </c>
      <c r="BC34" s="55">
        <v>3</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12</v>
      </c>
      <c r="D35" s="55" t="s">
        <v>127</v>
      </c>
      <c r="E35" s="55">
        <v>84</v>
      </c>
      <c r="F35" s="55" t="s">
        <v>127</v>
      </c>
      <c r="G35" s="55">
        <v>3</v>
      </c>
      <c r="H35" s="55" t="s">
        <v>127</v>
      </c>
      <c r="I35" s="55">
        <v>0</v>
      </c>
      <c r="J35" s="55" t="s">
        <v>127</v>
      </c>
      <c r="K35" s="55" t="s">
        <v>127</v>
      </c>
      <c r="L35" s="55" t="s">
        <v>127</v>
      </c>
      <c r="M35" s="55" t="s">
        <v>127</v>
      </c>
      <c r="N35" s="55" t="s">
        <v>127</v>
      </c>
      <c r="O35" s="55" t="s">
        <v>127</v>
      </c>
      <c r="P35" s="55" t="s">
        <v>127</v>
      </c>
      <c r="Q35" s="55" t="s">
        <v>127</v>
      </c>
      <c r="R35" s="55" t="s">
        <v>127</v>
      </c>
      <c r="S35" s="55">
        <v>2</v>
      </c>
      <c r="T35" s="55" t="s">
        <v>127</v>
      </c>
      <c r="U35" s="55">
        <v>16</v>
      </c>
      <c r="V35" s="55" t="s">
        <v>127</v>
      </c>
      <c r="W35" s="55">
        <v>12</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157</v>
      </c>
      <c r="AL35" s="55" t="s">
        <v>127</v>
      </c>
      <c r="AM35" s="55">
        <v>18</v>
      </c>
      <c r="AN35" s="55" t="s">
        <v>127</v>
      </c>
      <c r="AO35" s="55">
        <v>0</v>
      </c>
      <c r="AP35" s="55" t="s">
        <v>127</v>
      </c>
      <c r="AQ35" s="55" t="s">
        <v>127</v>
      </c>
      <c r="AR35" s="55" t="s">
        <v>127</v>
      </c>
      <c r="AS35" s="55" t="s">
        <v>127</v>
      </c>
      <c r="AT35" s="55" t="s">
        <v>127</v>
      </c>
      <c r="AU35" s="55" t="s">
        <v>127</v>
      </c>
      <c r="AV35" s="55" t="s">
        <v>127</v>
      </c>
      <c r="AW35" s="55" t="s">
        <v>127</v>
      </c>
      <c r="AX35" s="55" t="s">
        <v>127</v>
      </c>
      <c r="AY35" s="55">
        <v>16</v>
      </c>
      <c r="AZ35" s="55" t="s">
        <v>127</v>
      </c>
      <c r="BA35" s="55">
        <v>40</v>
      </c>
      <c r="BB35" s="55" t="s">
        <v>127</v>
      </c>
      <c r="BC35" s="55">
        <v>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8816E-8EFB-496E-9D62-83A3B1CA50F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2</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1</v>
      </c>
      <c r="D16" s="55" t="s">
        <v>127</v>
      </c>
      <c r="E16" s="55">
        <v>4</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2</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1</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3</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0</v>
      </c>
      <c r="V17" s="55" t="s">
        <v>127</v>
      </c>
      <c r="W17" s="55">
        <v>2</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6</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2</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1</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5</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1</v>
      </c>
      <c r="F19" s="55" t="s">
        <v>127</v>
      </c>
      <c r="G19" s="55">
        <v>1</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1</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7</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1</v>
      </c>
      <c r="AZ19" s="55" t="s">
        <v>127</v>
      </c>
      <c r="BA19" s="55">
        <v>6</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1</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1</v>
      </c>
      <c r="V20" s="55" t="s">
        <v>127</v>
      </c>
      <c r="W20" s="55">
        <v>4</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4</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1</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3</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3</v>
      </c>
      <c r="V21" s="55" t="s">
        <v>127</v>
      </c>
      <c r="W21" s="55">
        <v>2</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7</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1</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3</v>
      </c>
      <c r="F22" s="55" t="s">
        <v>127</v>
      </c>
      <c r="G22" s="55">
        <v>2</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1</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1</v>
      </c>
      <c r="AJ22" s="55" t="s">
        <v>127</v>
      </c>
      <c r="AK22" s="55">
        <v>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3</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7</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1</v>
      </c>
      <c r="T23" s="55" t="s">
        <v>127</v>
      </c>
      <c r="U23" s="55">
        <v>2</v>
      </c>
      <c r="V23" s="55" t="s">
        <v>127</v>
      </c>
      <c r="W23" s="55">
        <v>1</v>
      </c>
      <c r="X23" s="55" t="s">
        <v>127</v>
      </c>
      <c r="Y23" s="55">
        <v>0</v>
      </c>
      <c r="Z23" s="55" t="s">
        <v>127</v>
      </c>
      <c r="AA23" s="55" t="s">
        <v>127</v>
      </c>
      <c r="AB23" s="55" t="s">
        <v>127</v>
      </c>
      <c r="AC23" s="55" t="s">
        <v>127</v>
      </c>
      <c r="AD23" s="55" t="s">
        <v>127</v>
      </c>
      <c r="AE23" s="55" t="s">
        <v>127</v>
      </c>
      <c r="AF23" s="55" t="s">
        <v>127</v>
      </c>
      <c r="AG23" s="55" t="s">
        <v>127</v>
      </c>
      <c r="AH23" s="55" t="s">
        <v>127</v>
      </c>
      <c r="AI23" s="55">
        <v>1</v>
      </c>
      <c r="AJ23" s="55" t="s">
        <v>127</v>
      </c>
      <c r="AK23" s="55">
        <v>3</v>
      </c>
      <c r="AL23" s="55" t="s">
        <v>127</v>
      </c>
      <c r="AM23" s="55">
        <v>1</v>
      </c>
      <c r="AN23" s="55" t="s">
        <v>127</v>
      </c>
      <c r="AO23" s="55">
        <v>0</v>
      </c>
      <c r="AP23" s="55" t="s">
        <v>127</v>
      </c>
      <c r="AQ23" s="55" t="s">
        <v>127</v>
      </c>
      <c r="AR23" s="55" t="s">
        <v>127</v>
      </c>
      <c r="AS23" s="55" t="s">
        <v>127</v>
      </c>
      <c r="AT23" s="55" t="s">
        <v>127</v>
      </c>
      <c r="AU23" s="55" t="s">
        <v>127</v>
      </c>
      <c r="AV23" s="55" t="s">
        <v>127</v>
      </c>
      <c r="AW23" s="55" t="s">
        <v>127</v>
      </c>
      <c r="AX23" s="55" t="s">
        <v>127</v>
      </c>
      <c r="AY23" s="55">
        <v>1</v>
      </c>
      <c r="AZ23" s="55" t="s">
        <v>127</v>
      </c>
      <c r="BA23" s="55">
        <v>2</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2</v>
      </c>
      <c r="D24" s="55" t="s">
        <v>127</v>
      </c>
      <c r="E24" s="55">
        <v>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4</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4</v>
      </c>
      <c r="D25" s="55" t="s">
        <v>127</v>
      </c>
      <c r="E25" s="55">
        <v>5</v>
      </c>
      <c r="F25" s="55" t="s">
        <v>127</v>
      </c>
      <c r="G25" s="55">
        <v>2</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3</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2</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2</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3</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5</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1</v>
      </c>
      <c r="AZ26" s="55" t="s">
        <v>127</v>
      </c>
      <c r="BA26" s="55">
        <v>3</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1</v>
      </c>
      <c r="X28" s="55" t="s">
        <v>127</v>
      </c>
      <c r="Y28" s="55">
        <v>0</v>
      </c>
      <c r="Z28" s="55" t="s">
        <v>127</v>
      </c>
      <c r="AA28" s="55" t="s">
        <v>127</v>
      </c>
      <c r="AB28" s="55" t="s">
        <v>127</v>
      </c>
      <c r="AC28" s="55" t="s">
        <v>127</v>
      </c>
      <c r="AD28" s="55" t="s">
        <v>127</v>
      </c>
      <c r="AE28" s="55" t="s">
        <v>127</v>
      </c>
      <c r="AF28" s="55" t="s">
        <v>127</v>
      </c>
      <c r="AG28" s="55" t="s">
        <v>127</v>
      </c>
      <c r="AH28" s="55" t="s">
        <v>127</v>
      </c>
      <c r="AI28" s="55">
        <v>1</v>
      </c>
      <c r="AJ28" s="55" t="s">
        <v>127</v>
      </c>
      <c r="AK28" s="55">
        <v>3</v>
      </c>
      <c r="AL28" s="55" t="s">
        <v>127</v>
      </c>
      <c r="AM28" s="55">
        <v>1</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1</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1</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2</v>
      </c>
      <c r="AJ29" s="55" t="s">
        <v>127</v>
      </c>
      <c r="AK29" s="55">
        <v>2</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1</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2</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1</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1</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2</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2</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2</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0</v>
      </c>
      <c r="AL34" s="55" t="s">
        <v>127</v>
      </c>
      <c r="AM34" s="55">
        <v>1</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3</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B6CB-5925-4DDF-9A70-346A297938F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2</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1</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0</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0</v>
      </c>
      <c r="D17" s="55" t="s">
        <v>127</v>
      </c>
      <c r="E17" s="55">
        <v>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0</v>
      </c>
      <c r="T17" s="55" t="s">
        <v>127</v>
      </c>
      <c r="U17" s="55">
        <v>2</v>
      </c>
      <c r="V17" s="55" t="s">
        <v>127</v>
      </c>
      <c r="W17" s="55">
        <v>4</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2</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0</v>
      </c>
      <c r="D18" s="55" t="s">
        <v>127</v>
      </c>
      <c r="E18" s="55">
        <v>0</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1</v>
      </c>
      <c r="V18" s="55" t="s">
        <v>127</v>
      </c>
      <c r="W18" s="55">
        <v>3</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2</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6</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3</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0</v>
      </c>
      <c r="D20" s="55" t="s">
        <v>127</v>
      </c>
      <c r="E20" s="55">
        <v>1</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3</v>
      </c>
      <c r="V20" s="55" t="s">
        <v>127</v>
      </c>
      <c r="W20" s="55">
        <v>7</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16</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3</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4</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0</v>
      </c>
      <c r="D22" s="55" t="s">
        <v>127</v>
      </c>
      <c r="E22" s="55">
        <v>0</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3</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13</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1</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0</v>
      </c>
      <c r="D23" s="55" t="s">
        <v>127</v>
      </c>
      <c r="E23" s="55">
        <v>1</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2</v>
      </c>
      <c r="V24" s="55" t="s">
        <v>127</v>
      </c>
      <c r="W24" s="55">
        <v>1</v>
      </c>
      <c r="X24" s="55" t="s">
        <v>127</v>
      </c>
      <c r="Y24" s="55">
        <v>0</v>
      </c>
      <c r="Z24" s="55" t="s">
        <v>127</v>
      </c>
      <c r="AA24" s="55" t="s">
        <v>127</v>
      </c>
      <c r="AB24" s="55" t="s">
        <v>127</v>
      </c>
      <c r="AC24" s="55" t="s">
        <v>127</v>
      </c>
      <c r="AD24" s="55" t="s">
        <v>127</v>
      </c>
      <c r="AE24" s="55" t="s">
        <v>127</v>
      </c>
      <c r="AF24" s="55" t="s">
        <v>127</v>
      </c>
      <c r="AG24" s="55" t="s">
        <v>127</v>
      </c>
      <c r="AH24" s="55" t="s">
        <v>127</v>
      </c>
      <c r="AI24" s="55">
        <v>2</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0</v>
      </c>
      <c r="D25" s="55" t="s">
        <v>127</v>
      </c>
      <c r="E25" s="55">
        <v>1</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0</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1</v>
      </c>
      <c r="AZ25" s="55" t="s">
        <v>127</v>
      </c>
      <c r="BA25" s="55">
        <v>1</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0</v>
      </c>
      <c r="D26" s="55" t="s">
        <v>127</v>
      </c>
      <c r="E26" s="55">
        <v>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1</v>
      </c>
      <c r="V26" s="55" t="s">
        <v>127</v>
      </c>
      <c r="W26" s="55">
        <v>1</v>
      </c>
      <c r="X26" s="55" t="s">
        <v>127</v>
      </c>
      <c r="Y26" s="55">
        <v>0</v>
      </c>
      <c r="Z26" s="55" t="s">
        <v>127</v>
      </c>
      <c r="AA26" s="55" t="s">
        <v>127</v>
      </c>
      <c r="AB26" s="55" t="s">
        <v>127</v>
      </c>
      <c r="AC26" s="55" t="s">
        <v>127</v>
      </c>
      <c r="AD26" s="55" t="s">
        <v>127</v>
      </c>
      <c r="AE26" s="55" t="s">
        <v>127</v>
      </c>
      <c r="AF26" s="55" t="s">
        <v>127</v>
      </c>
      <c r="AG26" s="55" t="s">
        <v>127</v>
      </c>
      <c r="AH26" s="55" t="s">
        <v>127</v>
      </c>
      <c r="AI26" s="55">
        <v>1</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2</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1</v>
      </c>
      <c r="D28" s="55" t="s">
        <v>127</v>
      </c>
      <c r="E28" s="55">
        <v>7</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2</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2</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0</v>
      </c>
      <c r="D29" s="55" t="s">
        <v>127</v>
      </c>
      <c r="E29" s="55">
        <v>5</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2</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1</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0</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2</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3</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5</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0</v>
      </c>
      <c r="D31" s="55" t="s">
        <v>127</v>
      </c>
      <c r="E31" s="55">
        <v>7</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2</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2</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1</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0</v>
      </c>
      <c r="D32" s="55" t="s">
        <v>127</v>
      </c>
      <c r="E32" s="55">
        <v>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1</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5</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0</v>
      </c>
      <c r="D33" s="55" t="s">
        <v>127</v>
      </c>
      <c r="E33" s="55">
        <v>5</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4</v>
      </c>
      <c r="BB33" s="55" t="s">
        <v>127</v>
      </c>
      <c r="BC33" s="55">
        <v>1</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0</v>
      </c>
      <c r="D34" s="55" t="s">
        <v>127</v>
      </c>
      <c r="E34" s="55">
        <v>5</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1</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2</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2</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0</v>
      </c>
      <c r="D35" s="55" t="s">
        <v>127</v>
      </c>
      <c r="E35" s="55">
        <v>5</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0</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1</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3C04-38DE-4F42-8CAF-E3AD2BE3928F}">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170</v>
      </c>
      <c r="C12" s="61"/>
      <c r="D12" s="61"/>
      <c r="E12" s="61"/>
      <c r="F12" s="61"/>
      <c r="G12" s="61"/>
      <c r="H12" s="61"/>
      <c r="I12" s="60"/>
      <c r="J12" s="62" t="s">
        <v>166</v>
      </c>
      <c r="K12" s="61"/>
      <c r="L12" s="61"/>
      <c r="M12" s="61"/>
      <c r="N12" s="61"/>
      <c r="O12" s="61"/>
      <c r="P12" s="61"/>
      <c r="Q12" s="60"/>
      <c r="R12" s="62" t="s">
        <v>169</v>
      </c>
      <c r="S12" s="61"/>
      <c r="T12" s="61"/>
      <c r="U12" s="61"/>
      <c r="V12" s="61"/>
      <c r="W12" s="61"/>
      <c r="X12" s="61"/>
      <c r="Y12" s="60"/>
      <c r="Z12" s="62" t="s">
        <v>166</v>
      </c>
      <c r="AA12" s="61"/>
      <c r="AB12" s="61"/>
      <c r="AC12" s="61"/>
      <c r="AD12" s="61"/>
      <c r="AE12" s="61"/>
      <c r="AF12" s="61"/>
      <c r="AG12" s="60"/>
      <c r="AH12" s="62" t="s">
        <v>168</v>
      </c>
      <c r="AI12" s="61"/>
      <c r="AJ12" s="61"/>
      <c r="AK12" s="61"/>
      <c r="AL12" s="61"/>
      <c r="AM12" s="61"/>
      <c r="AN12" s="61"/>
      <c r="AO12" s="60"/>
      <c r="AP12" s="62" t="s">
        <v>166</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v>7</v>
      </c>
      <c r="D15" s="55" t="s">
        <v>127</v>
      </c>
      <c r="E15" s="55">
        <v>49</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1</v>
      </c>
      <c r="T15" s="55" t="s">
        <v>127</v>
      </c>
      <c r="U15" s="55">
        <v>22</v>
      </c>
      <c r="V15" s="55" t="s">
        <v>127</v>
      </c>
      <c r="W15" s="55">
        <v>14</v>
      </c>
      <c r="X15" s="55" t="s">
        <v>127</v>
      </c>
      <c r="Y15" s="55">
        <v>0</v>
      </c>
      <c r="Z15" s="55" t="s">
        <v>127</v>
      </c>
      <c r="AA15" s="55" t="s">
        <v>127</v>
      </c>
      <c r="AB15" s="55" t="s">
        <v>127</v>
      </c>
      <c r="AC15" s="55" t="s">
        <v>127</v>
      </c>
      <c r="AD15" s="55" t="s">
        <v>127</v>
      </c>
      <c r="AE15" s="55" t="s">
        <v>127</v>
      </c>
      <c r="AF15" s="55" t="s">
        <v>127</v>
      </c>
      <c r="AG15" s="55" t="s">
        <v>127</v>
      </c>
      <c r="AH15" s="55" t="s">
        <v>127</v>
      </c>
      <c r="AI15" s="55">
        <v>2</v>
      </c>
      <c r="AJ15" s="55" t="s">
        <v>127</v>
      </c>
      <c r="AK15" s="55">
        <v>159</v>
      </c>
      <c r="AL15" s="55" t="s">
        <v>127</v>
      </c>
      <c r="AM15" s="55">
        <v>7</v>
      </c>
      <c r="AN15" s="55" t="s">
        <v>127</v>
      </c>
      <c r="AO15" s="55">
        <v>0</v>
      </c>
      <c r="AP15" s="55" t="s">
        <v>127</v>
      </c>
      <c r="AQ15" s="55" t="s">
        <v>127</v>
      </c>
      <c r="AR15" s="55" t="s">
        <v>127</v>
      </c>
      <c r="AS15" s="55" t="s">
        <v>127</v>
      </c>
      <c r="AT15" s="55" t="s">
        <v>127</v>
      </c>
      <c r="AU15" s="55" t="s">
        <v>127</v>
      </c>
      <c r="AV15" s="55" t="s">
        <v>127</v>
      </c>
      <c r="AW15" s="55" t="s">
        <v>127</v>
      </c>
      <c r="AX15" s="55" t="s">
        <v>127</v>
      </c>
      <c r="AY15" s="55">
        <v>2</v>
      </c>
      <c r="AZ15" s="55" t="s">
        <v>127</v>
      </c>
      <c r="BA15" s="55">
        <v>8</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148</v>
      </c>
      <c r="B16" s="55" t="s">
        <v>127</v>
      </c>
      <c r="C16" s="55">
        <v>9</v>
      </c>
      <c r="D16" s="55" t="s">
        <v>127</v>
      </c>
      <c r="E16" s="55">
        <v>76</v>
      </c>
      <c r="F16" s="55" t="s">
        <v>127</v>
      </c>
      <c r="G16" s="55">
        <v>3</v>
      </c>
      <c r="H16" s="55" t="s">
        <v>127</v>
      </c>
      <c r="I16" s="55">
        <v>0</v>
      </c>
      <c r="J16" s="55" t="s">
        <v>127</v>
      </c>
      <c r="K16" s="55" t="s">
        <v>127</v>
      </c>
      <c r="L16" s="55" t="s">
        <v>127</v>
      </c>
      <c r="M16" s="55" t="s">
        <v>127</v>
      </c>
      <c r="N16" s="55" t="s">
        <v>127</v>
      </c>
      <c r="O16" s="55" t="s">
        <v>127</v>
      </c>
      <c r="P16" s="55" t="s">
        <v>127</v>
      </c>
      <c r="Q16" s="55" t="s">
        <v>127</v>
      </c>
      <c r="R16" s="55" t="s">
        <v>127</v>
      </c>
      <c r="S16" s="55">
        <v>3</v>
      </c>
      <c r="T16" s="55" t="s">
        <v>127</v>
      </c>
      <c r="U16" s="55">
        <v>37</v>
      </c>
      <c r="V16" s="55" t="s">
        <v>127</v>
      </c>
      <c r="W16" s="55">
        <v>18</v>
      </c>
      <c r="X16" s="55" t="s">
        <v>127</v>
      </c>
      <c r="Y16" s="55">
        <v>0</v>
      </c>
      <c r="Z16" s="55" t="s">
        <v>127</v>
      </c>
      <c r="AA16" s="55" t="s">
        <v>127</v>
      </c>
      <c r="AB16" s="55" t="s">
        <v>127</v>
      </c>
      <c r="AC16" s="55" t="s">
        <v>127</v>
      </c>
      <c r="AD16" s="55" t="s">
        <v>127</v>
      </c>
      <c r="AE16" s="55" t="s">
        <v>127</v>
      </c>
      <c r="AF16" s="55" t="s">
        <v>127</v>
      </c>
      <c r="AG16" s="55" t="s">
        <v>127</v>
      </c>
      <c r="AH16" s="55" t="s">
        <v>127</v>
      </c>
      <c r="AI16" s="55">
        <v>2</v>
      </c>
      <c r="AJ16" s="55" t="s">
        <v>127</v>
      </c>
      <c r="AK16" s="55">
        <v>218</v>
      </c>
      <c r="AL16" s="55" t="s">
        <v>127</v>
      </c>
      <c r="AM16" s="55">
        <v>19</v>
      </c>
      <c r="AN16" s="55" t="s">
        <v>127</v>
      </c>
      <c r="AO16" s="55">
        <v>0</v>
      </c>
      <c r="AP16" s="55" t="s">
        <v>127</v>
      </c>
      <c r="AQ16" s="55" t="s">
        <v>127</v>
      </c>
      <c r="AR16" s="55" t="s">
        <v>127</v>
      </c>
      <c r="AS16" s="55" t="s">
        <v>127</v>
      </c>
      <c r="AT16" s="55" t="s">
        <v>127</v>
      </c>
      <c r="AU16" s="55" t="s">
        <v>127</v>
      </c>
      <c r="AV16" s="55" t="s">
        <v>127</v>
      </c>
      <c r="AW16" s="55" t="s">
        <v>127</v>
      </c>
      <c r="AX16" s="55" t="s">
        <v>127</v>
      </c>
      <c r="AY16" s="55">
        <v>3</v>
      </c>
      <c r="AZ16" s="55" t="s">
        <v>127</v>
      </c>
      <c r="BA16" s="55">
        <v>17</v>
      </c>
      <c r="BB16" s="55" t="s">
        <v>127</v>
      </c>
      <c r="BC16" s="55">
        <v>1</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147</v>
      </c>
      <c r="B17" s="55" t="s">
        <v>127</v>
      </c>
      <c r="C17" s="55">
        <v>4</v>
      </c>
      <c r="D17" s="55" t="s">
        <v>127</v>
      </c>
      <c r="E17" s="55">
        <v>71</v>
      </c>
      <c r="F17" s="55" t="s">
        <v>127</v>
      </c>
      <c r="G17" s="55">
        <v>7</v>
      </c>
      <c r="H17" s="55" t="s">
        <v>127</v>
      </c>
      <c r="I17" s="55">
        <v>0</v>
      </c>
      <c r="J17" s="55" t="s">
        <v>127</v>
      </c>
      <c r="K17" s="55" t="s">
        <v>127</v>
      </c>
      <c r="L17" s="55" t="s">
        <v>127</v>
      </c>
      <c r="M17" s="55" t="s">
        <v>127</v>
      </c>
      <c r="N17" s="55" t="s">
        <v>127</v>
      </c>
      <c r="O17" s="55" t="s">
        <v>127</v>
      </c>
      <c r="P17" s="55" t="s">
        <v>127</v>
      </c>
      <c r="Q17" s="55" t="s">
        <v>127</v>
      </c>
      <c r="R17" s="55" t="s">
        <v>127</v>
      </c>
      <c r="S17" s="55">
        <v>3</v>
      </c>
      <c r="T17" s="55" t="s">
        <v>127</v>
      </c>
      <c r="U17" s="55">
        <v>46</v>
      </c>
      <c r="V17" s="55" t="s">
        <v>127</v>
      </c>
      <c r="W17" s="55">
        <v>40</v>
      </c>
      <c r="X17" s="55" t="s">
        <v>127</v>
      </c>
      <c r="Y17" s="55">
        <v>0</v>
      </c>
      <c r="Z17" s="55" t="s">
        <v>127</v>
      </c>
      <c r="AA17" s="55" t="s">
        <v>127</v>
      </c>
      <c r="AB17" s="55" t="s">
        <v>127</v>
      </c>
      <c r="AC17" s="55" t="s">
        <v>127</v>
      </c>
      <c r="AD17" s="55" t="s">
        <v>127</v>
      </c>
      <c r="AE17" s="55" t="s">
        <v>127</v>
      </c>
      <c r="AF17" s="55" t="s">
        <v>127</v>
      </c>
      <c r="AG17" s="55" t="s">
        <v>127</v>
      </c>
      <c r="AH17" s="55" t="s">
        <v>127</v>
      </c>
      <c r="AI17" s="55">
        <v>2</v>
      </c>
      <c r="AJ17" s="55" t="s">
        <v>127</v>
      </c>
      <c r="AK17" s="55">
        <v>227</v>
      </c>
      <c r="AL17" s="55" t="s">
        <v>127</v>
      </c>
      <c r="AM17" s="55">
        <v>18</v>
      </c>
      <c r="AN17" s="55" t="s">
        <v>127</v>
      </c>
      <c r="AO17" s="55">
        <v>0</v>
      </c>
      <c r="AP17" s="55" t="s">
        <v>127</v>
      </c>
      <c r="AQ17" s="55" t="s">
        <v>127</v>
      </c>
      <c r="AR17" s="55" t="s">
        <v>127</v>
      </c>
      <c r="AS17" s="55" t="s">
        <v>127</v>
      </c>
      <c r="AT17" s="55" t="s">
        <v>127</v>
      </c>
      <c r="AU17" s="55" t="s">
        <v>127</v>
      </c>
      <c r="AV17" s="55" t="s">
        <v>127</v>
      </c>
      <c r="AW17" s="55" t="s">
        <v>127</v>
      </c>
      <c r="AX17" s="55" t="s">
        <v>127</v>
      </c>
      <c r="AY17" s="55">
        <v>9</v>
      </c>
      <c r="AZ17" s="55" t="s">
        <v>127</v>
      </c>
      <c r="BA17" s="55">
        <v>21</v>
      </c>
      <c r="BB17" s="55" t="s">
        <v>127</v>
      </c>
      <c r="BC17" s="55">
        <v>1</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146</v>
      </c>
      <c r="B18" s="55" t="s">
        <v>127</v>
      </c>
      <c r="C18" s="55">
        <v>12</v>
      </c>
      <c r="D18" s="55" t="s">
        <v>127</v>
      </c>
      <c r="E18" s="55">
        <v>64</v>
      </c>
      <c r="F18" s="55" t="s">
        <v>127</v>
      </c>
      <c r="G18" s="55">
        <v>8</v>
      </c>
      <c r="H18" s="55" t="s">
        <v>127</v>
      </c>
      <c r="I18" s="55">
        <v>0</v>
      </c>
      <c r="J18" s="55" t="s">
        <v>127</v>
      </c>
      <c r="K18" s="55" t="s">
        <v>127</v>
      </c>
      <c r="L18" s="55" t="s">
        <v>127</v>
      </c>
      <c r="M18" s="55" t="s">
        <v>127</v>
      </c>
      <c r="N18" s="55" t="s">
        <v>127</v>
      </c>
      <c r="O18" s="55" t="s">
        <v>127</v>
      </c>
      <c r="P18" s="55" t="s">
        <v>127</v>
      </c>
      <c r="Q18" s="55" t="s">
        <v>127</v>
      </c>
      <c r="R18" s="55" t="s">
        <v>127</v>
      </c>
      <c r="S18" s="55">
        <v>5</v>
      </c>
      <c r="T18" s="55" t="s">
        <v>127</v>
      </c>
      <c r="U18" s="55">
        <v>113</v>
      </c>
      <c r="V18" s="55" t="s">
        <v>127</v>
      </c>
      <c r="W18" s="55">
        <v>55</v>
      </c>
      <c r="X18" s="55" t="s">
        <v>127</v>
      </c>
      <c r="Y18" s="55">
        <v>0</v>
      </c>
      <c r="Z18" s="55" t="s">
        <v>127</v>
      </c>
      <c r="AA18" s="55" t="s">
        <v>127</v>
      </c>
      <c r="AB18" s="55" t="s">
        <v>127</v>
      </c>
      <c r="AC18" s="55" t="s">
        <v>127</v>
      </c>
      <c r="AD18" s="55" t="s">
        <v>127</v>
      </c>
      <c r="AE18" s="55" t="s">
        <v>127</v>
      </c>
      <c r="AF18" s="55" t="s">
        <v>127</v>
      </c>
      <c r="AG18" s="55" t="s">
        <v>127</v>
      </c>
      <c r="AH18" s="55" t="s">
        <v>127</v>
      </c>
      <c r="AI18" s="55">
        <v>4</v>
      </c>
      <c r="AJ18" s="55" t="s">
        <v>127</v>
      </c>
      <c r="AK18" s="55">
        <v>279</v>
      </c>
      <c r="AL18" s="55" t="s">
        <v>127</v>
      </c>
      <c r="AM18" s="55">
        <v>20</v>
      </c>
      <c r="AN18" s="55" t="s">
        <v>127</v>
      </c>
      <c r="AO18" s="55">
        <v>0</v>
      </c>
      <c r="AP18" s="55" t="s">
        <v>127</v>
      </c>
      <c r="AQ18" s="55" t="s">
        <v>127</v>
      </c>
      <c r="AR18" s="55" t="s">
        <v>127</v>
      </c>
      <c r="AS18" s="55" t="s">
        <v>127</v>
      </c>
      <c r="AT18" s="55" t="s">
        <v>127</v>
      </c>
      <c r="AU18" s="55" t="s">
        <v>127</v>
      </c>
      <c r="AV18" s="55" t="s">
        <v>127</v>
      </c>
      <c r="AW18" s="55" t="s">
        <v>127</v>
      </c>
      <c r="AX18" s="55" t="s">
        <v>127</v>
      </c>
      <c r="AY18" s="55">
        <v>12</v>
      </c>
      <c r="AZ18" s="55" t="s">
        <v>127</v>
      </c>
      <c r="BA18" s="55">
        <v>29</v>
      </c>
      <c r="BB18" s="55" t="s">
        <v>127</v>
      </c>
      <c r="BC18" s="55">
        <v>4</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145</v>
      </c>
      <c r="B19" s="55" t="s">
        <v>127</v>
      </c>
      <c r="C19" s="55">
        <v>8</v>
      </c>
      <c r="D19" s="55" t="s">
        <v>127</v>
      </c>
      <c r="E19" s="55">
        <v>66</v>
      </c>
      <c r="F19" s="55" t="s">
        <v>127</v>
      </c>
      <c r="G19" s="55">
        <v>6</v>
      </c>
      <c r="H19" s="55" t="s">
        <v>127</v>
      </c>
      <c r="I19" s="55">
        <v>0</v>
      </c>
      <c r="J19" s="55" t="s">
        <v>127</v>
      </c>
      <c r="K19" s="55" t="s">
        <v>127</v>
      </c>
      <c r="L19" s="55" t="s">
        <v>127</v>
      </c>
      <c r="M19" s="55" t="s">
        <v>127</v>
      </c>
      <c r="N19" s="55" t="s">
        <v>127</v>
      </c>
      <c r="O19" s="55" t="s">
        <v>127</v>
      </c>
      <c r="P19" s="55" t="s">
        <v>127</v>
      </c>
      <c r="Q19" s="55" t="s">
        <v>127</v>
      </c>
      <c r="R19" s="55" t="s">
        <v>127</v>
      </c>
      <c r="S19" s="55">
        <v>5</v>
      </c>
      <c r="T19" s="55" t="s">
        <v>127</v>
      </c>
      <c r="U19" s="55">
        <v>75</v>
      </c>
      <c r="V19" s="55" t="s">
        <v>127</v>
      </c>
      <c r="W19" s="55">
        <v>47</v>
      </c>
      <c r="X19" s="55" t="s">
        <v>127</v>
      </c>
      <c r="Y19" s="55">
        <v>0</v>
      </c>
      <c r="Z19" s="55" t="s">
        <v>127</v>
      </c>
      <c r="AA19" s="55" t="s">
        <v>127</v>
      </c>
      <c r="AB19" s="55" t="s">
        <v>127</v>
      </c>
      <c r="AC19" s="55" t="s">
        <v>127</v>
      </c>
      <c r="AD19" s="55" t="s">
        <v>127</v>
      </c>
      <c r="AE19" s="55" t="s">
        <v>127</v>
      </c>
      <c r="AF19" s="55" t="s">
        <v>127</v>
      </c>
      <c r="AG19" s="55" t="s">
        <v>127</v>
      </c>
      <c r="AH19" s="55" t="s">
        <v>127</v>
      </c>
      <c r="AI19" s="55">
        <v>1</v>
      </c>
      <c r="AJ19" s="55" t="s">
        <v>127</v>
      </c>
      <c r="AK19" s="55">
        <v>297</v>
      </c>
      <c r="AL19" s="55" t="s">
        <v>127</v>
      </c>
      <c r="AM19" s="55">
        <v>11</v>
      </c>
      <c r="AN19" s="55" t="s">
        <v>127</v>
      </c>
      <c r="AO19" s="55">
        <v>0</v>
      </c>
      <c r="AP19" s="55" t="s">
        <v>127</v>
      </c>
      <c r="AQ19" s="55" t="s">
        <v>127</v>
      </c>
      <c r="AR19" s="55" t="s">
        <v>127</v>
      </c>
      <c r="AS19" s="55" t="s">
        <v>127</v>
      </c>
      <c r="AT19" s="55" t="s">
        <v>127</v>
      </c>
      <c r="AU19" s="55" t="s">
        <v>127</v>
      </c>
      <c r="AV19" s="55" t="s">
        <v>127</v>
      </c>
      <c r="AW19" s="55" t="s">
        <v>127</v>
      </c>
      <c r="AX19" s="55" t="s">
        <v>127</v>
      </c>
      <c r="AY19" s="55">
        <v>13</v>
      </c>
      <c r="AZ19" s="55" t="s">
        <v>127</v>
      </c>
      <c r="BA19" s="55">
        <v>27</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144</v>
      </c>
      <c r="B20" s="55" t="s">
        <v>127</v>
      </c>
      <c r="C20" s="55">
        <v>8</v>
      </c>
      <c r="D20" s="55" t="s">
        <v>127</v>
      </c>
      <c r="E20" s="55">
        <v>59</v>
      </c>
      <c r="F20" s="55" t="s">
        <v>127</v>
      </c>
      <c r="G20" s="55">
        <v>13</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75</v>
      </c>
      <c r="V20" s="55" t="s">
        <v>127</v>
      </c>
      <c r="W20" s="55">
        <v>46</v>
      </c>
      <c r="X20" s="55" t="s">
        <v>127</v>
      </c>
      <c r="Y20" s="55">
        <v>0</v>
      </c>
      <c r="Z20" s="55" t="s">
        <v>127</v>
      </c>
      <c r="AA20" s="55" t="s">
        <v>127</v>
      </c>
      <c r="AB20" s="55" t="s">
        <v>127</v>
      </c>
      <c r="AC20" s="55" t="s">
        <v>127</v>
      </c>
      <c r="AD20" s="55" t="s">
        <v>127</v>
      </c>
      <c r="AE20" s="55" t="s">
        <v>127</v>
      </c>
      <c r="AF20" s="55" t="s">
        <v>127</v>
      </c>
      <c r="AG20" s="55" t="s">
        <v>127</v>
      </c>
      <c r="AH20" s="55" t="s">
        <v>127</v>
      </c>
      <c r="AI20" s="55">
        <v>10</v>
      </c>
      <c r="AJ20" s="55" t="s">
        <v>127</v>
      </c>
      <c r="AK20" s="55">
        <v>268</v>
      </c>
      <c r="AL20" s="55" t="s">
        <v>127</v>
      </c>
      <c r="AM20" s="55">
        <v>18</v>
      </c>
      <c r="AN20" s="55" t="s">
        <v>127</v>
      </c>
      <c r="AO20" s="55">
        <v>0</v>
      </c>
      <c r="AP20" s="55" t="s">
        <v>127</v>
      </c>
      <c r="AQ20" s="55" t="s">
        <v>127</v>
      </c>
      <c r="AR20" s="55" t="s">
        <v>127</v>
      </c>
      <c r="AS20" s="55" t="s">
        <v>127</v>
      </c>
      <c r="AT20" s="55" t="s">
        <v>127</v>
      </c>
      <c r="AU20" s="55" t="s">
        <v>127</v>
      </c>
      <c r="AV20" s="55" t="s">
        <v>127</v>
      </c>
      <c r="AW20" s="55" t="s">
        <v>127</v>
      </c>
      <c r="AX20" s="55" t="s">
        <v>127</v>
      </c>
      <c r="AY20" s="55">
        <v>10</v>
      </c>
      <c r="AZ20" s="55" t="s">
        <v>127</v>
      </c>
      <c r="BA20" s="55">
        <v>20</v>
      </c>
      <c r="BB20" s="55" t="s">
        <v>127</v>
      </c>
      <c r="BC20" s="55">
        <v>4</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143</v>
      </c>
      <c r="B21" s="55" t="s">
        <v>127</v>
      </c>
      <c r="C21" s="55">
        <v>16</v>
      </c>
      <c r="D21" s="55" t="s">
        <v>127</v>
      </c>
      <c r="E21" s="55">
        <v>51</v>
      </c>
      <c r="F21" s="55" t="s">
        <v>127</v>
      </c>
      <c r="G21" s="55">
        <v>10</v>
      </c>
      <c r="H21" s="55" t="s">
        <v>127</v>
      </c>
      <c r="I21" s="55">
        <v>0</v>
      </c>
      <c r="J21" s="55" t="s">
        <v>127</v>
      </c>
      <c r="K21" s="55" t="s">
        <v>127</v>
      </c>
      <c r="L21" s="55" t="s">
        <v>127</v>
      </c>
      <c r="M21" s="55" t="s">
        <v>127</v>
      </c>
      <c r="N21" s="55" t="s">
        <v>127</v>
      </c>
      <c r="O21" s="55" t="s">
        <v>127</v>
      </c>
      <c r="P21" s="55" t="s">
        <v>127</v>
      </c>
      <c r="Q21" s="55" t="s">
        <v>127</v>
      </c>
      <c r="R21" s="55" t="s">
        <v>127</v>
      </c>
      <c r="S21" s="55">
        <v>7</v>
      </c>
      <c r="T21" s="55" t="s">
        <v>127</v>
      </c>
      <c r="U21" s="55">
        <v>70</v>
      </c>
      <c r="V21" s="55" t="s">
        <v>127</v>
      </c>
      <c r="W21" s="55">
        <v>52</v>
      </c>
      <c r="X21" s="55" t="s">
        <v>127</v>
      </c>
      <c r="Y21" s="55">
        <v>0</v>
      </c>
      <c r="Z21" s="55" t="s">
        <v>127</v>
      </c>
      <c r="AA21" s="55" t="s">
        <v>127</v>
      </c>
      <c r="AB21" s="55" t="s">
        <v>127</v>
      </c>
      <c r="AC21" s="55" t="s">
        <v>127</v>
      </c>
      <c r="AD21" s="55" t="s">
        <v>127</v>
      </c>
      <c r="AE21" s="55" t="s">
        <v>127</v>
      </c>
      <c r="AF21" s="55" t="s">
        <v>127</v>
      </c>
      <c r="AG21" s="55" t="s">
        <v>127</v>
      </c>
      <c r="AH21" s="55" t="s">
        <v>127</v>
      </c>
      <c r="AI21" s="55">
        <v>10</v>
      </c>
      <c r="AJ21" s="55" t="s">
        <v>127</v>
      </c>
      <c r="AK21" s="55">
        <v>263</v>
      </c>
      <c r="AL21" s="55" t="s">
        <v>127</v>
      </c>
      <c r="AM21" s="55">
        <v>14</v>
      </c>
      <c r="AN21" s="55" t="s">
        <v>127</v>
      </c>
      <c r="AO21" s="55">
        <v>0</v>
      </c>
      <c r="AP21" s="55" t="s">
        <v>127</v>
      </c>
      <c r="AQ21" s="55" t="s">
        <v>127</v>
      </c>
      <c r="AR21" s="55" t="s">
        <v>127</v>
      </c>
      <c r="AS21" s="55" t="s">
        <v>127</v>
      </c>
      <c r="AT21" s="55" t="s">
        <v>127</v>
      </c>
      <c r="AU21" s="55" t="s">
        <v>127</v>
      </c>
      <c r="AV21" s="55" t="s">
        <v>127</v>
      </c>
      <c r="AW21" s="55" t="s">
        <v>127</v>
      </c>
      <c r="AX21" s="55" t="s">
        <v>127</v>
      </c>
      <c r="AY21" s="55">
        <v>14</v>
      </c>
      <c r="AZ21" s="55" t="s">
        <v>127</v>
      </c>
      <c r="BA21" s="55">
        <v>34</v>
      </c>
      <c r="BB21" s="55" t="s">
        <v>127</v>
      </c>
      <c r="BC21" s="55">
        <v>4</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142</v>
      </c>
      <c r="B22" s="55" t="s">
        <v>127</v>
      </c>
      <c r="C22" s="55">
        <v>12</v>
      </c>
      <c r="D22" s="55" t="s">
        <v>127</v>
      </c>
      <c r="E22" s="55">
        <v>70</v>
      </c>
      <c r="F22" s="55" t="s">
        <v>127</v>
      </c>
      <c r="G22" s="55">
        <v>12</v>
      </c>
      <c r="H22" s="55" t="s">
        <v>127</v>
      </c>
      <c r="I22" s="55">
        <v>0</v>
      </c>
      <c r="J22" s="55" t="s">
        <v>127</v>
      </c>
      <c r="K22" s="55" t="s">
        <v>127</v>
      </c>
      <c r="L22" s="55" t="s">
        <v>127</v>
      </c>
      <c r="M22" s="55" t="s">
        <v>127</v>
      </c>
      <c r="N22" s="55" t="s">
        <v>127</v>
      </c>
      <c r="O22" s="55" t="s">
        <v>127</v>
      </c>
      <c r="P22" s="55" t="s">
        <v>127</v>
      </c>
      <c r="Q22" s="55" t="s">
        <v>127</v>
      </c>
      <c r="R22" s="55" t="s">
        <v>127</v>
      </c>
      <c r="S22" s="55">
        <v>7</v>
      </c>
      <c r="T22" s="55" t="s">
        <v>127</v>
      </c>
      <c r="U22" s="55">
        <v>62</v>
      </c>
      <c r="V22" s="55" t="s">
        <v>127</v>
      </c>
      <c r="W22" s="55">
        <v>37</v>
      </c>
      <c r="X22" s="55" t="s">
        <v>127</v>
      </c>
      <c r="Y22" s="55">
        <v>0</v>
      </c>
      <c r="Z22" s="55" t="s">
        <v>127</v>
      </c>
      <c r="AA22" s="55" t="s">
        <v>127</v>
      </c>
      <c r="AB22" s="55" t="s">
        <v>127</v>
      </c>
      <c r="AC22" s="55" t="s">
        <v>127</v>
      </c>
      <c r="AD22" s="55" t="s">
        <v>127</v>
      </c>
      <c r="AE22" s="55" t="s">
        <v>127</v>
      </c>
      <c r="AF22" s="55" t="s">
        <v>127</v>
      </c>
      <c r="AG22" s="55" t="s">
        <v>127</v>
      </c>
      <c r="AH22" s="55" t="s">
        <v>127</v>
      </c>
      <c r="AI22" s="55">
        <v>8</v>
      </c>
      <c r="AJ22" s="55" t="s">
        <v>127</v>
      </c>
      <c r="AK22" s="55">
        <v>245</v>
      </c>
      <c r="AL22" s="55" t="s">
        <v>127</v>
      </c>
      <c r="AM22" s="55">
        <v>15</v>
      </c>
      <c r="AN22" s="55" t="s">
        <v>127</v>
      </c>
      <c r="AO22" s="55">
        <v>0</v>
      </c>
      <c r="AP22" s="55" t="s">
        <v>127</v>
      </c>
      <c r="AQ22" s="55" t="s">
        <v>127</v>
      </c>
      <c r="AR22" s="55" t="s">
        <v>127</v>
      </c>
      <c r="AS22" s="55" t="s">
        <v>127</v>
      </c>
      <c r="AT22" s="55" t="s">
        <v>127</v>
      </c>
      <c r="AU22" s="55" t="s">
        <v>127</v>
      </c>
      <c r="AV22" s="55" t="s">
        <v>127</v>
      </c>
      <c r="AW22" s="55" t="s">
        <v>127</v>
      </c>
      <c r="AX22" s="55" t="s">
        <v>127</v>
      </c>
      <c r="AY22" s="55">
        <v>3</v>
      </c>
      <c r="AZ22" s="55" t="s">
        <v>127</v>
      </c>
      <c r="BA22" s="55">
        <v>36</v>
      </c>
      <c r="BB22" s="55" t="s">
        <v>127</v>
      </c>
      <c r="BC22" s="55">
        <v>4</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141</v>
      </c>
      <c r="B23" s="55" t="s">
        <v>127</v>
      </c>
      <c r="C23" s="55">
        <v>16</v>
      </c>
      <c r="D23" s="55" t="s">
        <v>127</v>
      </c>
      <c r="E23" s="55">
        <v>102</v>
      </c>
      <c r="F23" s="55" t="s">
        <v>127</v>
      </c>
      <c r="G23" s="55">
        <v>5</v>
      </c>
      <c r="H23" s="55" t="s">
        <v>127</v>
      </c>
      <c r="I23" s="55">
        <v>0</v>
      </c>
      <c r="J23" s="55" t="s">
        <v>127</v>
      </c>
      <c r="K23" s="55" t="s">
        <v>127</v>
      </c>
      <c r="L23" s="55" t="s">
        <v>127</v>
      </c>
      <c r="M23" s="55" t="s">
        <v>127</v>
      </c>
      <c r="N23" s="55" t="s">
        <v>127</v>
      </c>
      <c r="O23" s="55" t="s">
        <v>127</v>
      </c>
      <c r="P23" s="55" t="s">
        <v>127</v>
      </c>
      <c r="Q23" s="55" t="s">
        <v>127</v>
      </c>
      <c r="R23" s="55" t="s">
        <v>127</v>
      </c>
      <c r="S23" s="55">
        <v>17</v>
      </c>
      <c r="T23" s="55" t="s">
        <v>127</v>
      </c>
      <c r="U23" s="55">
        <v>35</v>
      </c>
      <c r="V23" s="55" t="s">
        <v>127</v>
      </c>
      <c r="W23" s="55">
        <v>29</v>
      </c>
      <c r="X23" s="55" t="s">
        <v>127</v>
      </c>
      <c r="Y23" s="55">
        <v>0</v>
      </c>
      <c r="Z23" s="55" t="s">
        <v>127</v>
      </c>
      <c r="AA23" s="55" t="s">
        <v>127</v>
      </c>
      <c r="AB23" s="55" t="s">
        <v>127</v>
      </c>
      <c r="AC23" s="55" t="s">
        <v>127</v>
      </c>
      <c r="AD23" s="55" t="s">
        <v>127</v>
      </c>
      <c r="AE23" s="55" t="s">
        <v>127</v>
      </c>
      <c r="AF23" s="55" t="s">
        <v>127</v>
      </c>
      <c r="AG23" s="55" t="s">
        <v>127</v>
      </c>
      <c r="AH23" s="55" t="s">
        <v>127</v>
      </c>
      <c r="AI23" s="55">
        <v>10</v>
      </c>
      <c r="AJ23" s="55" t="s">
        <v>127</v>
      </c>
      <c r="AK23" s="55">
        <v>148</v>
      </c>
      <c r="AL23" s="55" t="s">
        <v>127</v>
      </c>
      <c r="AM23" s="55">
        <v>15</v>
      </c>
      <c r="AN23" s="55" t="s">
        <v>127</v>
      </c>
      <c r="AO23" s="55">
        <v>0</v>
      </c>
      <c r="AP23" s="55" t="s">
        <v>127</v>
      </c>
      <c r="AQ23" s="55" t="s">
        <v>127</v>
      </c>
      <c r="AR23" s="55" t="s">
        <v>127</v>
      </c>
      <c r="AS23" s="55" t="s">
        <v>127</v>
      </c>
      <c r="AT23" s="55" t="s">
        <v>127</v>
      </c>
      <c r="AU23" s="55" t="s">
        <v>127</v>
      </c>
      <c r="AV23" s="55" t="s">
        <v>127</v>
      </c>
      <c r="AW23" s="55" t="s">
        <v>127</v>
      </c>
      <c r="AX23" s="55" t="s">
        <v>127</v>
      </c>
      <c r="AY23" s="55">
        <v>17</v>
      </c>
      <c r="AZ23" s="55" t="s">
        <v>127</v>
      </c>
      <c r="BA23" s="55">
        <v>54</v>
      </c>
      <c r="BB23" s="55" t="s">
        <v>127</v>
      </c>
      <c r="BC23" s="55">
        <v>6</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140</v>
      </c>
      <c r="B24" s="55" t="s">
        <v>127</v>
      </c>
      <c r="C24" s="55">
        <v>19</v>
      </c>
      <c r="D24" s="55" t="s">
        <v>127</v>
      </c>
      <c r="E24" s="55">
        <v>73</v>
      </c>
      <c r="F24" s="55" t="s">
        <v>127</v>
      </c>
      <c r="G24" s="55">
        <v>13</v>
      </c>
      <c r="H24" s="55" t="s">
        <v>127</v>
      </c>
      <c r="I24" s="55">
        <v>0</v>
      </c>
      <c r="J24" s="55" t="s">
        <v>127</v>
      </c>
      <c r="K24" s="55" t="s">
        <v>127</v>
      </c>
      <c r="L24" s="55" t="s">
        <v>127</v>
      </c>
      <c r="M24" s="55" t="s">
        <v>127</v>
      </c>
      <c r="N24" s="55" t="s">
        <v>127</v>
      </c>
      <c r="O24" s="55" t="s">
        <v>127</v>
      </c>
      <c r="P24" s="55" t="s">
        <v>127</v>
      </c>
      <c r="Q24" s="55" t="s">
        <v>127</v>
      </c>
      <c r="R24" s="55" t="s">
        <v>127</v>
      </c>
      <c r="S24" s="55">
        <v>9</v>
      </c>
      <c r="T24" s="55" t="s">
        <v>127</v>
      </c>
      <c r="U24" s="55">
        <v>46</v>
      </c>
      <c r="V24" s="55" t="s">
        <v>127</v>
      </c>
      <c r="W24" s="55">
        <v>10</v>
      </c>
      <c r="X24" s="55" t="s">
        <v>127</v>
      </c>
      <c r="Y24" s="55">
        <v>0</v>
      </c>
      <c r="Z24" s="55" t="s">
        <v>127</v>
      </c>
      <c r="AA24" s="55" t="s">
        <v>127</v>
      </c>
      <c r="AB24" s="55" t="s">
        <v>127</v>
      </c>
      <c r="AC24" s="55" t="s">
        <v>127</v>
      </c>
      <c r="AD24" s="55" t="s">
        <v>127</v>
      </c>
      <c r="AE24" s="55" t="s">
        <v>127</v>
      </c>
      <c r="AF24" s="55" t="s">
        <v>127</v>
      </c>
      <c r="AG24" s="55" t="s">
        <v>127</v>
      </c>
      <c r="AH24" s="55" t="s">
        <v>127</v>
      </c>
      <c r="AI24" s="55">
        <v>10</v>
      </c>
      <c r="AJ24" s="55" t="s">
        <v>127</v>
      </c>
      <c r="AK24" s="55">
        <v>175</v>
      </c>
      <c r="AL24" s="55" t="s">
        <v>127</v>
      </c>
      <c r="AM24" s="55">
        <v>12</v>
      </c>
      <c r="AN24" s="55" t="s">
        <v>127</v>
      </c>
      <c r="AO24" s="55">
        <v>0</v>
      </c>
      <c r="AP24" s="55" t="s">
        <v>127</v>
      </c>
      <c r="AQ24" s="55" t="s">
        <v>127</v>
      </c>
      <c r="AR24" s="55" t="s">
        <v>127</v>
      </c>
      <c r="AS24" s="55" t="s">
        <v>127</v>
      </c>
      <c r="AT24" s="55" t="s">
        <v>127</v>
      </c>
      <c r="AU24" s="55" t="s">
        <v>127</v>
      </c>
      <c r="AV24" s="55" t="s">
        <v>127</v>
      </c>
      <c r="AW24" s="55" t="s">
        <v>127</v>
      </c>
      <c r="AX24" s="55" t="s">
        <v>127</v>
      </c>
      <c r="AY24" s="55">
        <v>21</v>
      </c>
      <c r="AZ24" s="55" t="s">
        <v>127</v>
      </c>
      <c r="BA24" s="55">
        <v>37</v>
      </c>
      <c r="BB24" s="55" t="s">
        <v>127</v>
      </c>
      <c r="BC24" s="55">
        <v>4</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139</v>
      </c>
      <c r="B25" s="55" t="s">
        <v>127</v>
      </c>
      <c r="C25" s="55">
        <v>19</v>
      </c>
      <c r="D25" s="55" t="s">
        <v>127</v>
      </c>
      <c r="E25" s="55">
        <v>68</v>
      </c>
      <c r="F25" s="55" t="s">
        <v>127</v>
      </c>
      <c r="G25" s="55">
        <v>5</v>
      </c>
      <c r="H25" s="55" t="s">
        <v>127</v>
      </c>
      <c r="I25" s="55">
        <v>0</v>
      </c>
      <c r="J25" s="55" t="s">
        <v>127</v>
      </c>
      <c r="K25" s="55" t="s">
        <v>127</v>
      </c>
      <c r="L25" s="55" t="s">
        <v>127</v>
      </c>
      <c r="M25" s="55" t="s">
        <v>127</v>
      </c>
      <c r="N25" s="55" t="s">
        <v>127</v>
      </c>
      <c r="O25" s="55" t="s">
        <v>127</v>
      </c>
      <c r="P25" s="55" t="s">
        <v>127</v>
      </c>
      <c r="Q25" s="55" t="s">
        <v>127</v>
      </c>
      <c r="R25" s="55" t="s">
        <v>127</v>
      </c>
      <c r="S25" s="55">
        <v>8</v>
      </c>
      <c r="T25" s="55" t="s">
        <v>127</v>
      </c>
      <c r="U25" s="55">
        <v>35</v>
      </c>
      <c r="V25" s="55" t="s">
        <v>127</v>
      </c>
      <c r="W25" s="55">
        <v>16</v>
      </c>
      <c r="X25" s="55" t="s">
        <v>127</v>
      </c>
      <c r="Y25" s="55">
        <v>0</v>
      </c>
      <c r="Z25" s="55" t="s">
        <v>127</v>
      </c>
      <c r="AA25" s="55" t="s">
        <v>127</v>
      </c>
      <c r="AB25" s="55" t="s">
        <v>127</v>
      </c>
      <c r="AC25" s="55" t="s">
        <v>127</v>
      </c>
      <c r="AD25" s="55" t="s">
        <v>127</v>
      </c>
      <c r="AE25" s="55" t="s">
        <v>127</v>
      </c>
      <c r="AF25" s="55" t="s">
        <v>127</v>
      </c>
      <c r="AG25" s="55" t="s">
        <v>127</v>
      </c>
      <c r="AH25" s="55" t="s">
        <v>127</v>
      </c>
      <c r="AI25" s="55">
        <v>5</v>
      </c>
      <c r="AJ25" s="55" t="s">
        <v>127</v>
      </c>
      <c r="AK25" s="55">
        <v>147</v>
      </c>
      <c r="AL25" s="55" t="s">
        <v>127</v>
      </c>
      <c r="AM25" s="55">
        <v>10</v>
      </c>
      <c r="AN25" s="55" t="s">
        <v>127</v>
      </c>
      <c r="AO25" s="55">
        <v>0</v>
      </c>
      <c r="AP25" s="55" t="s">
        <v>127</v>
      </c>
      <c r="AQ25" s="55" t="s">
        <v>127</v>
      </c>
      <c r="AR25" s="55" t="s">
        <v>127</v>
      </c>
      <c r="AS25" s="55" t="s">
        <v>127</v>
      </c>
      <c r="AT25" s="55" t="s">
        <v>127</v>
      </c>
      <c r="AU25" s="55" t="s">
        <v>127</v>
      </c>
      <c r="AV25" s="55" t="s">
        <v>127</v>
      </c>
      <c r="AW25" s="55" t="s">
        <v>127</v>
      </c>
      <c r="AX25" s="55" t="s">
        <v>127</v>
      </c>
      <c r="AY25" s="55">
        <v>18</v>
      </c>
      <c r="AZ25" s="55" t="s">
        <v>127</v>
      </c>
      <c r="BA25" s="55">
        <v>50</v>
      </c>
      <c r="BB25" s="55" t="s">
        <v>127</v>
      </c>
      <c r="BC25" s="55">
        <v>7</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138</v>
      </c>
      <c r="B26" s="55" t="s">
        <v>127</v>
      </c>
      <c r="C26" s="55">
        <v>17</v>
      </c>
      <c r="D26" s="55" t="s">
        <v>127</v>
      </c>
      <c r="E26" s="55">
        <v>87</v>
      </c>
      <c r="F26" s="55" t="s">
        <v>127</v>
      </c>
      <c r="G26" s="55">
        <v>6</v>
      </c>
      <c r="H26" s="55" t="s">
        <v>127</v>
      </c>
      <c r="I26" s="55">
        <v>0</v>
      </c>
      <c r="J26" s="55" t="s">
        <v>127</v>
      </c>
      <c r="K26" s="55" t="s">
        <v>127</v>
      </c>
      <c r="L26" s="55" t="s">
        <v>127</v>
      </c>
      <c r="M26" s="55" t="s">
        <v>127</v>
      </c>
      <c r="N26" s="55" t="s">
        <v>127</v>
      </c>
      <c r="O26" s="55" t="s">
        <v>127</v>
      </c>
      <c r="P26" s="55" t="s">
        <v>127</v>
      </c>
      <c r="Q26" s="55" t="s">
        <v>127</v>
      </c>
      <c r="R26" s="55" t="s">
        <v>127</v>
      </c>
      <c r="S26" s="55">
        <v>7</v>
      </c>
      <c r="T26" s="55" t="s">
        <v>127</v>
      </c>
      <c r="U26" s="55">
        <v>41</v>
      </c>
      <c r="V26" s="55" t="s">
        <v>127</v>
      </c>
      <c r="W26" s="55">
        <v>18</v>
      </c>
      <c r="X26" s="55" t="s">
        <v>127</v>
      </c>
      <c r="Y26" s="55">
        <v>0</v>
      </c>
      <c r="Z26" s="55" t="s">
        <v>127</v>
      </c>
      <c r="AA26" s="55" t="s">
        <v>127</v>
      </c>
      <c r="AB26" s="55" t="s">
        <v>127</v>
      </c>
      <c r="AC26" s="55" t="s">
        <v>127</v>
      </c>
      <c r="AD26" s="55" t="s">
        <v>127</v>
      </c>
      <c r="AE26" s="55" t="s">
        <v>127</v>
      </c>
      <c r="AF26" s="55" t="s">
        <v>127</v>
      </c>
      <c r="AG26" s="55" t="s">
        <v>127</v>
      </c>
      <c r="AH26" s="55" t="s">
        <v>127</v>
      </c>
      <c r="AI26" s="55">
        <v>9</v>
      </c>
      <c r="AJ26" s="55" t="s">
        <v>127</v>
      </c>
      <c r="AK26" s="55">
        <v>147</v>
      </c>
      <c r="AL26" s="55" t="s">
        <v>127</v>
      </c>
      <c r="AM26" s="55">
        <v>20</v>
      </c>
      <c r="AN26" s="55" t="s">
        <v>127</v>
      </c>
      <c r="AO26" s="55">
        <v>0</v>
      </c>
      <c r="AP26" s="55" t="s">
        <v>127</v>
      </c>
      <c r="AQ26" s="55" t="s">
        <v>127</v>
      </c>
      <c r="AR26" s="55" t="s">
        <v>127</v>
      </c>
      <c r="AS26" s="55" t="s">
        <v>127</v>
      </c>
      <c r="AT26" s="55" t="s">
        <v>127</v>
      </c>
      <c r="AU26" s="55" t="s">
        <v>127</v>
      </c>
      <c r="AV26" s="55" t="s">
        <v>127</v>
      </c>
      <c r="AW26" s="55" t="s">
        <v>127</v>
      </c>
      <c r="AX26" s="55" t="s">
        <v>127</v>
      </c>
      <c r="AY26" s="55">
        <v>14</v>
      </c>
      <c r="AZ26" s="55" t="s">
        <v>127</v>
      </c>
      <c r="BA26" s="55">
        <v>46</v>
      </c>
      <c r="BB26" s="55" t="s">
        <v>127</v>
      </c>
      <c r="BC26" s="55">
        <v>8</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137</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0</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136</v>
      </c>
      <c r="B28" s="55" t="s">
        <v>127</v>
      </c>
      <c r="C28" s="55">
        <v>21</v>
      </c>
      <c r="D28" s="55" t="s">
        <v>127</v>
      </c>
      <c r="E28" s="55">
        <v>100</v>
      </c>
      <c r="F28" s="55" t="s">
        <v>127</v>
      </c>
      <c r="G28" s="55">
        <v>9</v>
      </c>
      <c r="H28" s="55" t="s">
        <v>127</v>
      </c>
      <c r="I28" s="55">
        <v>0</v>
      </c>
      <c r="J28" s="55" t="s">
        <v>127</v>
      </c>
      <c r="K28" s="55" t="s">
        <v>127</v>
      </c>
      <c r="L28" s="55" t="s">
        <v>127</v>
      </c>
      <c r="M28" s="55" t="s">
        <v>127</v>
      </c>
      <c r="N28" s="55" t="s">
        <v>127</v>
      </c>
      <c r="O28" s="55" t="s">
        <v>127</v>
      </c>
      <c r="P28" s="55" t="s">
        <v>127</v>
      </c>
      <c r="Q28" s="55" t="s">
        <v>127</v>
      </c>
      <c r="R28" s="55" t="s">
        <v>127</v>
      </c>
      <c r="S28" s="55">
        <v>7</v>
      </c>
      <c r="T28" s="55" t="s">
        <v>127</v>
      </c>
      <c r="U28" s="55">
        <v>47</v>
      </c>
      <c r="V28" s="55" t="s">
        <v>127</v>
      </c>
      <c r="W28" s="55">
        <v>25</v>
      </c>
      <c r="X28" s="55" t="s">
        <v>127</v>
      </c>
      <c r="Y28" s="55">
        <v>0</v>
      </c>
      <c r="Z28" s="55" t="s">
        <v>127</v>
      </c>
      <c r="AA28" s="55" t="s">
        <v>127</v>
      </c>
      <c r="AB28" s="55" t="s">
        <v>127</v>
      </c>
      <c r="AC28" s="55" t="s">
        <v>127</v>
      </c>
      <c r="AD28" s="55" t="s">
        <v>127</v>
      </c>
      <c r="AE28" s="55" t="s">
        <v>127</v>
      </c>
      <c r="AF28" s="55" t="s">
        <v>127</v>
      </c>
      <c r="AG28" s="55" t="s">
        <v>127</v>
      </c>
      <c r="AH28" s="55" t="s">
        <v>127</v>
      </c>
      <c r="AI28" s="55">
        <v>11</v>
      </c>
      <c r="AJ28" s="55" t="s">
        <v>127</v>
      </c>
      <c r="AK28" s="55">
        <v>173</v>
      </c>
      <c r="AL28" s="55" t="s">
        <v>127</v>
      </c>
      <c r="AM28" s="55">
        <v>21</v>
      </c>
      <c r="AN28" s="55" t="s">
        <v>127</v>
      </c>
      <c r="AO28" s="55">
        <v>0</v>
      </c>
      <c r="AP28" s="55" t="s">
        <v>127</v>
      </c>
      <c r="AQ28" s="55" t="s">
        <v>127</v>
      </c>
      <c r="AR28" s="55" t="s">
        <v>127</v>
      </c>
      <c r="AS28" s="55" t="s">
        <v>127</v>
      </c>
      <c r="AT28" s="55" t="s">
        <v>127</v>
      </c>
      <c r="AU28" s="55" t="s">
        <v>127</v>
      </c>
      <c r="AV28" s="55" t="s">
        <v>127</v>
      </c>
      <c r="AW28" s="55" t="s">
        <v>127</v>
      </c>
      <c r="AX28" s="55" t="s">
        <v>127</v>
      </c>
      <c r="AY28" s="55">
        <v>19</v>
      </c>
      <c r="AZ28" s="55" t="s">
        <v>127</v>
      </c>
      <c r="BA28" s="55">
        <v>78</v>
      </c>
      <c r="BB28" s="55" t="s">
        <v>127</v>
      </c>
      <c r="BC28" s="55">
        <v>13</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135</v>
      </c>
      <c r="B29" s="55" t="s">
        <v>127</v>
      </c>
      <c r="C29" s="55">
        <v>28</v>
      </c>
      <c r="D29" s="55" t="s">
        <v>127</v>
      </c>
      <c r="E29" s="55">
        <v>83</v>
      </c>
      <c r="F29" s="55" t="s">
        <v>127</v>
      </c>
      <c r="G29" s="55">
        <v>16</v>
      </c>
      <c r="H29" s="55" t="s">
        <v>127</v>
      </c>
      <c r="I29" s="55">
        <v>0</v>
      </c>
      <c r="J29" s="55" t="s">
        <v>127</v>
      </c>
      <c r="K29" s="55" t="s">
        <v>127</v>
      </c>
      <c r="L29" s="55" t="s">
        <v>127</v>
      </c>
      <c r="M29" s="55" t="s">
        <v>127</v>
      </c>
      <c r="N29" s="55" t="s">
        <v>127</v>
      </c>
      <c r="O29" s="55" t="s">
        <v>127</v>
      </c>
      <c r="P29" s="55" t="s">
        <v>127</v>
      </c>
      <c r="Q29" s="55" t="s">
        <v>127</v>
      </c>
      <c r="R29" s="55" t="s">
        <v>127</v>
      </c>
      <c r="S29" s="55">
        <v>3</v>
      </c>
      <c r="T29" s="55" t="s">
        <v>127</v>
      </c>
      <c r="U29" s="55">
        <v>29</v>
      </c>
      <c r="V29" s="55" t="s">
        <v>127</v>
      </c>
      <c r="W29" s="55">
        <v>26</v>
      </c>
      <c r="X29" s="55" t="s">
        <v>127</v>
      </c>
      <c r="Y29" s="55">
        <v>0</v>
      </c>
      <c r="Z29" s="55" t="s">
        <v>127</v>
      </c>
      <c r="AA29" s="55" t="s">
        <v>127</v>
      </c>
      <c r="AB29" s="55" t="s">
        <v>127</v>
      </c>
      <c r="AC29" s="55" t="s">
        <v>127</v>
      </c>
      <c r="AD29" s="55" t="s">
        <v>127</v>
      </c>
      <c r="AE29" s="55" t="s">
        <v>127</v>
      </c>
      <c r="AF29" s="55" t="s">
        <v>127</v>
      </c>
      <c r="AG29" s="55" t="s">
        <v>127</v>
      </c>
      <c r="AH29" s="55" t="s">
        <v>127</v>
      </c>
      <c r="AI29" s="55">
        <v>7</v>
      </c>
      <c r="AJ29" s="55" t="s">
        <v>127</v>
      </c>
      <c r="AK29" s="55">
        <v>177</v>
      </c>
      <c r="AL29" s="55" t="s">
        <v>127</v>
      </c>
      <c r="AM29" s="55">
        <v>15</v>
      </c>
      <c r="AN29" s="55" t="s">
        <v>127</v>
      </c>
      <c r="AO29" s="55">
        <v>0</v>
      </c>
      <c r="AP29" s="55" t="s">
        <v>127</v>
      </c>
      <c r="AQ29" s="55" t="s">
        <v>127</v>
      </c>
      <c r="AR29" s="55" t="s">
        <v>127</v>
      </c>
      <c r="AS29" s="55" t="s">
        <v>127</v>
      </c>
      <c r="AT29" s="55" t="s">
        <v>127</v>
      </c>
      <c r="AU29" s="55" t="s">
        <v>127</v>
      </c>
      <c r="AV29" s="55" t="s">
        <v>127</v>
      </c>
      <c r="AW29" s="55" t="s">
        <v>127</v>
      </c>
      <c r="AX29" s="55" t="s">
        <v>127</v>
      </c>
      <c r="AY29" s="55">
        <v>21</v>
      </c>
      <c r="AZ29" s="55" t="s">
        <v>127</v>
      </c>
      <c r="BA29" s="55">
        <v>80</v>
      </c>
      <c r="BB29" s="55" t="s">
        <v>127</v>
      </c>
      <c r="BC29" s="55">
        <v>6</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134</v>
      </c>
      <c r="B30" s="55" t="s">
        <v>127</v>
      </c>
      <c r="C30" s="55">
        <v>20</v>
      </c>
      <c r="D30" s="55" t="s">
        <v>127</v>
      </c>
      <c r="E30" s="55">
        <v>81</v>
      </c>
      <c r="F30" s="55" t="s">
        <v>127</v>
      </c>
      <c r="G30" s="55">
        <v>9</v>
      </c>
      <c r="H30" s="55" t="s">
        <v>127</v>
      </c>
      <c r="I30" s="55">
        <v>0</v>
      </c>
      <c r="J30" s="55" t="s">
        <v>127</v>
      </c>
      <c r="K30" s="55" t="s">
        <v>127</v>
      </c>
      <c r="L30" s="55" t="s">
        <v>127</v>
      </c>
      <c r="M30" s="55" t="s">
        <v>127</v>
      </c>
      <c r="N30" s="55" t="s">
        <v>127</v>
      </c>
      <c r="O30" s="55" t="s">
        <v>127</v>
      </c>
      <c r="P30" s="55" t="s">
        <v>127</v>
      </c>
      <c r="Q30" s="55" t="s">
        <v>127</v>
      </c>
      <c r="R30" s="55" t="s">
        <v>127</v>
      </c>
      <c r="S30" s="55">
        <v>7</v>
      </c>
      <c r="T30" s="55" t="s">
        <v>127</v>
      </c>
      <c r="U30" s="55">
        <v>47</v>
      </c>
      <c r="V30" s="55" t="s">
        <v>127</v>
      </c>
      <c r="W30" s="55">
        <v>27</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174</v>
      </c>
      <c r="AL30" s="55" t="s">
        <v>127</v>
      </c>
      <c r="AM30" s="55">
        <v>26</v>
      </c>
      <c r="AN30" s="55" t="s">
        <v>127</v>
      </c>
      <c r="AO30" s="55">
        <v>0</v>
      </c>
      <c r="AP30" s="55" t="s">
        <v>127</v>
      </c>
      <c r="AQ30" s="55" t="s">
        <v>127</v>
      </c>
      <c r="AR30" s="55" t="s">
        <v>127</v>
      </c>
      <c r="AS30" s="55" t="s">
        <v>127</v>
      </c>
      <c r="AT30" s="55" t="s">
        <v>127</v>
      </c>
      <c r="AU30" s="55" t="s">
        <v>127</v>
      </c>
      <c r="AV30" s="55" t="s">
        <v>127</v>
      </c>
      <c r="AW30" s="55" t="s">
        <v>127</v>
      </c>
      <c r="AX30" s="55" t="s">
        <v>127</v>
      </c>
      <c r="AY30" s="55">
        <v>24</v>
      </c>
      <c r="AZ30" s="55" t="s">
        <v>127</v>
      </c>
      <c r="BA30" s="55">
        <v>101</v>
      </c>
      <c r="BB30" s="55" t="s">
        <v>127</v>
      </c>
      <c r="BC30" s="55">
        <v>6</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133</v>
      </c>
      <c r="B31" s="55" t="s">
        <v>127</v>
      </c>
      <c r="C31" s="55">
        <v>15</v>
      </c>
      <c r="D31" s="55" t="s">
        <v>127</v>
      </c>
      <c r="E31" s="55">
        <v>73</v>
      </c>
      <c r="F31" s="55" t="s">
        <v>127</v>
      </c>
      <c r="G31" s="55">
        <v>7</v>
      </c>
      <c r="H31" s="55" t="s">
        <v>127</v>
      </c>
      <c r="I31" s="55">
        <v>0</v>
      </c>
      <c r="J31" s="55" t="s">
        <v>127</v>
      </c>
      <c r="K31" s="55" t="s">
        <v>127</v>
      </c>
      <c r="L31" s="55" t="s">
        <v>127</v>
      </c>
      <c r="M31" s="55" t="s">
        <v>127</v>
      </c>
      <c r="N31" s="55" t="s">
        <v>127</v>
      </c>
      <c r="O31" s="55" t="s">
        <v>127</v>
      </c>
      <c r="P31" s="55" t="s">
        <v>127</v>
      </c>
      <c r="Q31" s="55" t="s">
        <v>127</v>
      </c>
      <c r="R31" s="55" t="s">
        <v>127</v>
      </c>
      <c r="S31" s="55">
        <v>7</v>
      </c>
      <c r="T31" s="55" t="s">
        <v>127</v>
      </c>
      <c r="U31" s="55">
        <v>41</v>
      </c>
      <c r="V31" s="55" t="s">
        <v>127</v>
      </c>
      <c r="W31" s="55">
        <v>26</v>
      </c>
      <c r="X31" s="55" t="s">
        <v>127</v>
      </c>
      <c r="Y31" s="55">
        <v>0</v>
      </c>
      <c r="Z31" s="55" t="s">
        <v>127</v>
      </c>
      <c r="AA31" s="55" t="s">
        <v>127</v>
      </c>
      <c r="AB31" s="55" t="s">
        <v>127</v>
      </c>
      <c r="AC31" s="55" t="s">
        <v>127</v>
      </c>
      <c r="AD31" s="55" t="s">
        <v>127</v>
      </c>
      <c r="AE31" s="55" t="s">
        <v>127</v>
      </c>
      <c r="AF31" s="55" t="s">
        <v>127</v>
      </c>
      <c r="AG31" s="55" t="s">
        <v>127</v>
      </c>
      <c r="AH31" s="55" t="s">
        <v>127</v>
      </c>
      <c r="AI31" s="55">
        <v>1</v>
      </c>
      <c r="AJ31" s="55" t="s">
        <v>127</v>
      </c>
      <c r="AK31" s="55">
        <v>169</v>
      </c>
      <c r="AL31" s="55" t="s">
        <v>127</v>
      </c>
      <c r="AM31" s="55">
        <v>30</v>
      </c>
      <c r="AN31" s="55" t="s">
        <v>127</v>
      </c>
      <c r="AO31" s="55">
        <v>0</v>
      </c>
      <c r="AP31" s="55" t="s">
        <v>127</v>
      </c>
      <c r="AQ31" s="55" t="s">
        <v>127</v>
      </c>
      <c r="AR31" s="55" t="s">
        <v>127</v>
      </c>
      <c r="AS31" s="55" t="s">
        <v>127</v>
      </c>
      <c r="AT31" s="55" t="s">
        <v>127</v>
      </c>
      <c r="AU31" s="55" t="s">
        <v>127</v>
      </c>
      <c r="AV31" s="55" t="s">
        <v>127</v>
      </c>
      <c r="AW31" s="55" t="s">
        <v>127</v>
      </c>
      <c r="AX31" s="55" t="s">
        <v>127</v>
      </c>
      <c r="AY31" s="55">
        <v>22</v>
      </c>
      <c r="AZ31" s="55" t="s">
        <v>127</v>
      </c>
      <c r="BA31" s="55">
        <v>69</v>
      </c>
      <c r="BB31" s="55" t="s">
        <v>127</v>
      </c>
      <c r="BC31" s="55">
        <v>5</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132</v>
      </c>
      <c r="B32" s="55" t="s">
        <v>127</v>
      </c>
      <c r="C32" s="55">
        <v>7</v>
      </c>
      <c r="D32" s="55" t="s">
        <v>127</v>
      </c>
      <c r="E32" s="55">
        <v>57</v>
      </c>
      <c r="F32" s="55" t="s">
        <v>127</v>
      </c>
      <c r="G32" s="55">
        <v>3</v>
      </c>
      <c r="H32" s="55" t="s">
        <v>127</v>
      </c>
      <c r="I32" s="55">
        <v>0</v>
      </c>
      <c r="J32" s="55" t="s">
        <v>127</v>
      </c>
      <c r="K32" s="55" t="s">
        <v>127</v>
      </c>
      <c r="L32" s="55" t="s">
        <v>127</v>
      </c>
      <c r="M32" s="55" t="s">
        <v>127</v>
      </c>
      <c r="N32" s="55" t="s">
        <v>127</v>
      </c>
      <c r="O32" s="55" t="s">
        <v>127</v>
      </c>
      <c r="P32" s="55" t="s">
        <v>127</v>
      </c>
      <c r="Q32" s="55" t="s">
        <v>127</v>
      </c>
      <c r="R32" s="55" t="s">
        <v>127</v>
      </c>
      <c r="S32" s="55">
        <v>6</v>
      </c>
      <c r="T32" s="55" t="s">
        <v>127</v>
      </c>
      <c r="U32" s="55">
        <v>36</v>
      </c>
      <c r="V32" s="55" t="s">
        <v>127</v>
      </c>
      <c r="W32" s="55">
        <v>15</v>
      </c>
      <c r="X32" s="55" t="s">
        <v>127</v>
      </c>
      <c r="Y32" s="55">
        <v>0</v>
      </c>
      <c r="Z32" s="55" t="s">
        <v>127</v>
      </c>
      <c r="AA32" s="55" t="s">
        <v>127</v>
      </c>
      <c r="AB32" s="55" t="s">
        <v>127</v>
      </c>
      <c r="AC32" s="55" t="s">
        <v>127</v>
      </c>
      <c r="AD32" s="55" t="s">
        <v>127</v>
      </c>
      <c r="AE32" s="55" t="s">
        <v>127</v>
      </c>
      <c r="AF32" s="55" t="s">
        <v>127</v>
      </c>
      <c r="AG32" s="55" t="s">
        <v>127</v>
      </c>
      <c r="AH32" s="55" t="s">
        <v>127</v>
      </c>
      <c r="AI32" s="55">
        <v>6</v>
      </c>
      <c r="AJ32" s="55" t="s">
        <v>127</v>
      </c>
      <c r="AK32" s="55">
        <v>162</v>
      </c>
      <c r="AL32" s="55" t="s">
        <v>127</v>
      </c>
      <c r="AM32" s="55">
        <v>19</v>
      </c>
      <c r="AN32" s="55" t="s">
        <v>127</v>
      </c>
      <c r="AO32" s="55">
        <v>0</v>
      </c>
      <c r="AP32" s="55" t="s">
        <v>127</v>
      </c>
      <c r="AQ32" s="55" t="s">
        <v>127</v>
      </c>
      <c r="AR32" s="55" t="s">
        <v>127</v>
      </c>
      <c r="AS32" s="55" t="s">
        <v>127</v>
      </c>
      <c r="AT32" s="55" t="s">
        <v>127</v>
      </c>
      <c r="AU32" s="55" t="s">
        <v>127</v>
      </c>
      <c r="AV32" s="55" t="s">
        <v>127</v>
      </c>
      <c r="AW32" s="55" t="s">
        <v>127</v>
      </c>
      <c r="AX32" s="55" t="s">
        <v>127</v>
      </c>
      <c r="AY32" s="55">
        <v>28</v>
      </c>
      <c r="AZ32" s="55" t="s">
        <v>127</v>
      </c>
      <c r="BA32" s="55">
        <v>98</v>
      </c>
      <c r="BB32" s="55" t="s">
        <v>127</v>
      </c>
      <c r="BC32" s="55">
        <v>5</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131</v>
      </c>
      <c r="B33" s="55" t="s">
        <v>127</v>
      </c>
      <c r="C33" s="55">
        <v>3</v>
      </c>
      <c r="D33" s="55" t="s">
        <v>127</v>
      </c>
      <c r="E33" s="55">
        <v>52</v>
      </c>
      <c r="F33" s="55" t="s">
        <v>127</v>
      </c>
      <c r="G33" s="55">
        <v>8</v>
      </c>
      <c r="H33" s="55" t="s">
        <v>127</v>
      </c>
      <c r="I33" s="55">
        <v>0</v>
      </c>
      <c r="J33" s="55" t="s">
        <v>127</v>
      </c>
      <c r="K33" s="55" t="s">
        <v>127</v>
      </c>
      <c r="L33" s="55" t="s">
        <v>127</v>
      </c>
      <c r="M33" s="55" t="s">
        <v>127</v>
      </c>
      <c r="N33" s="55" t="s">
        <v>127</v>
      </c>
      <c r="O33" s="55" t="s">
        <v>127</v>
      </c>
      <c r="P33" s="55" t="s">
        <v>127</v>
      </c>
      <c r="Q33" s="55" t="s">
        <v>127</v>
      </c>
      <c r="R33" s="55" t="s">
        <v>127</v>
      </c>
      <c r="S33" s="55">
        <v>5</v>
      </c>
      <c r="T33" s="55" t="s">
        <v>127</v>
      </c>
      <c r="U33" s="55">
        <v>37</v>
      </c>
      <c r="V33" s="55" t="s">
        <v>127</v>
      </c>
      <c r="W33" s="55">
        <v>12</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164</v>
      </c>
      <c r="AL33" s="55" t="s">
        <v>127</v>
      </c>
      <c r="AM33" s="55">
        <v>25</v>
      </c>
      <c r="AN33" s="55" t="s">
        <v>127</v>
      </c>
      <c r="AO33" s="55">
        <v>0</v>
      </c>
      <c r="AP33" s="55" t="s">
        <v>127</v>
      </c>
      <c r="AQ33" s="55" t="s">
        <v>127</v>
      </c>
      <c r="AR33" s="55" t="s">
        <v>127</v>
      </c>
      <c r="AS33" s="55" t="s">
        <v>127</v>
      </c>
      <c r="AT33" s="55" t="s">
        <v>127</v>
      </c>
      <c r="AU33" s="55" t="s">
        <v>127</v>
      </c>
      <c r="AV33" s="55" t="s">
        <v>127</v>
      </c>
      <c r="AW33" s="55" t="s">
        <v>127</v>
      </c>
      <c r="AX33" s="55" t="s">
        <v>127</v>
      </c>
      <c r="AY33" s="55">
        <v>14</v>
      </c>
      <c r="AZ33" s="55" t="s">
        <v>127</v>
      </c>
      <c r="BA33" s="55">
        <v>85</v>
      </c>
      <c r="BB33" s="55" t="s">
        <v>127</v>
      </c>
      <c r="BC33" s="55">
        <v>4</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130</v>
      </c>
      <c r="B34" s="55" t="s">
        <v>127</v>
      </c>
      <c r="C34" s="55">
        <v>7</v>
      </c>
      <c r="D34" s="55" t="s">
        <v>127</v>
      </c>
      <c r="E34" s="55">
        <v>89</v>
      </c>
      <c r="F34" s="55" t="s">
        <v>127</v>
      </c>
      <c r="G34" s="55">
        <v>3</v>
      </c>
      <c r="H34" s="55" t="s">
        <v>127</v>
      </c>
      <c r="I34" s="55">
        <v>0</v>
      </c>
      <c r="J34" s="55" t="s">
        <v>127</v>
      </c>
      <c r="K34" s="55" t="s">
        <v>127</v>
      </c>
      <c r="L34" s="55" t="s">
        <v>127</v>
      </c>
      <c r="M34" s="55" t="s">
        <v>127</v>
      </c>
      <c r="N34" s="55" t="s">
        <v>127</v>
      </c>
      <c r="O34" s="55" t="s">
        <v>127</v>
      </c>
      <c r="P34" s="55" t="s">
        <v>127</v>
      </c>
      <c r="Q34" s="55" t="s">
        <v>127</v>
      </c>
      <c r="R34" s="55" t="s">
        <v>127</v>
      </c>
      <c r="S34" s="55">
        <v>6</v>
      </c>
      <c r="T34" s="55" t="s">
        <v>127</v>
      </c>
      <c r="U34" s="55">
        <v>36</v>
      </c>
      <c r="V34" s="55" t="s">
        <v>127</v>
      </c>
      <c r="W34" s="55">
        <v>9</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139</v>
      </c>
      <c r="AL34" s="55" t="s">
        <v>127</v>
      </c>
      <c r="AM34" s="55">
        <v>25</v>
      </c>
      <c r="AN34" s="55" t="s">
        <v>127</v>
      </c>
      <c r="AO34" s="55">
        <v>0</v>
      </c>
      <c r="AP34" s="55" t="s">
        <v>127</v>
      </c>
      <c r="AQ34" s="55" t="s">
        <v>127</v>
      </c>
      <c r="AR34" s="55" t="s">
        <v>127</v>
      </c>
      <c r="AS34" s="55" t="s">
        <v>127</v>
      </c>
      <c r="AT34" s="55" t="s">
        <v>127</v>
      </c>
      <c r="AU34" s="55" t="s">
        <v>127</v>
      </c>
      <c r="AV34" s="55" t="s">
        <v>127</v>
      </c>
      <c r="AW34" s="55" t="s">
        <v>127</v>
      </c>
      <c r="AX34" s="55" t="s">
        <v>127</v>
      </c>
      <c r="AY34" s="55">
        <v>10</v>
      </c>
      <c r="AZ34" s="55" t="s">
        <v>127</v>
      </c>
      <c r="BA34" s="55">
        <v>62</v>
      </c>
      <c r="BB34" s="55" t="s">
        <v>127</v>
      </c>
      <c r="BC34" s="55">
        <v>3</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129</v>
      </c>
      <c r="B35" s="55" t="s">
        <v>127</v>
      </c>
      <c r="C35" s="55">
        <v>12</v>
      </c>
      <c r="D35" s="55" t="s">
        <v>127</v>
      </c>
      <c r="E35" s="55">
        <v>89</v>
      </c>
      <c r="F35" s="55" t="s">
        <v>127</v>
      </c>
      <c r="G35" s="55">
        <v>3</v>
      </c>
      <c r="H35" s="55" t="s">
        <v>127</v>
      </c>
      <c r="I35" s="55">
        <v>0</v>
      </c>
      <c r="J35" s="55" t="s">
        <v>127</v>
      </c>
      <c r="K35" s="55" t="s">
        <v>127</v>
      </c>
      <c r="L35" s="55" t="s">
        <v>127</v>
      </c>
      <c r="M35" s="55" t="s">
        <v>127</v>
      </c>
      <c r="N35" s="55" t="s">
        <v>127</v>
      </c>
      <c r="O35" s="55" t="s">
        <v>127</v>
      </c>
      <c r="P35" s="55" t="s">
        <v>127</v>
      </c>
      <c r="Q35" s="55" t="s">
        <v>127</v>
      </c>
      <c r="R35" s="55" t="s">
        <v>127</v>
      </c>
      <c r="S35" s="55">
        <v>2</v>
      </c>
      <c r="T35" s="55" t="s">
        <v>127</v>
      </c>
      <c r="U35" s="55">
        <v>16</v>
      </c>
      <c r="V35" s="55" t="s">
        <v>127</v>
      </c>
      <c r="W35" s="55">
        <v>12</v>
      </c>
      <c r="X35" s="55" t="s">
        <v>127</v>
      </c>
      <c r="Y35" s="55">
        <v>0</v>
      </c>
      <c r="Z35" s="55" t="s">
        <v>127</v>
      </c>
      <c r="AA35" s="55" t="s">
        <v>127</v>
      </c>
      <c r="AB35" s="55" t="s">
        <v>127</v>
      </c>
      <c r="AC35" s="55" t="s">
        <v>127</v>
      </c>
      <c r="AD35" s="55" t="s">
        <v>127</v>
      </c>
      <c r="AE35" s="55" t="s">
        <v>127</v>
      </c>
      <c r="AF35" s="55" t="s">
        <v>127</v>
      </c>
      <c r="AG35" s="55" t="s">
        <v>127</v>
      </c>
      <c r="AH35" s="55" t="s">
        <v>127</v>
      </c>
      <c r="AI35" s="55">
        <v>1</v>
      </c>
      <c r="AJ35" s="55" t="s">
        <v>127</v>
      </c>
      <c r="AK35" s="55">
        <v>160</v>
      </c>
      <c r="AL35" s="55" t="s">
        <v>127</v>
      </c>
      <c r="AM35" s="55">
        <v>18</v>
      </c>
      <c r="AN35" s="55" t="s">
        <v>127</v>
      </c>
      <c r="AO35" s="55">
        <v>0</v>
      </c>
      <c r="AP35" s="55" t="s">
        <v>127</v>
      </c>
      <c r="AQ35" s="55" t="s">
        <v>127</v>
      </c>
      <c r="AR35" s="55" t="s">
        <v>127</v>
      </c>
      <c r="AS35" s="55" t="s">
        <v>127</v>
      </c>
      <c r="AT35" s="55" t="s">
        <v>127</v>
      </c>
      <c r="AU35" s="55" t="s">
        <v>127</v>
      </c>
      <c r="AV35" s="55" t="s">
        <v>127</v>
      </c>
      <c r="AW35" s="55" t="s">
        <v>127</v>
      </c>
      <c r="AX35" s="55" t="s">
        <v>127</v>
      </c>
      <c r="AY35" s="55">
        <v>16</v>
      </c>
      <c r="AZ35" s="55" t="s">
        <v>127</v>
      </c>
      <c r="BA35" s="55">
        <v>42</v>
      </c>
      <c r="BB35" s="55" t="s">
        <v>127</v>
      </c>
      <c r="BC35" s="55">
        <v>3</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128</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2021-06-29T03:21:08Z</dcterms:modified>
</cp:coreProperties>
</file>