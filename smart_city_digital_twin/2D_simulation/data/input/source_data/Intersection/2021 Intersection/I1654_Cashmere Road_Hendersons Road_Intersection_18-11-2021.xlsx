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E704EDE8-7ACA-4F21-855D-4AB57B8B2CA7}"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282" i="6"/>
  <c r="Q250" i="6"/>
  <c r="Q218" i="6"/>
  <c r="Q202" i="6"/>
  <c r="Q162" i="6"/>
  <c r="Q106" i="6"/>
  <c r="Q90" i="6"/>
  <c r="Q50" i="6"/>
  <c r="Q280" i="6"/>
  <c r="Q268" i="6"/>
  <c r="Q216" i="6"/>
  <c r="Q177" i="6"/>
  <c r="Q140" i="6"/>
  <c r="Q88" i="6"/>
  <c r="Q76"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160" i="6"/>
  <c r="Q46" i="6"/>
  <c r="Q272" i="6"/>
  <c r="Q244" i="6"/>
  <c r="Q81" i="6"/>
  <c r="Q233" i="6"/>
  <c r="Q183" i="6"/>
  <c r="Q132" i="6"/>
  <c r="Q105" i="6"/>
  <c r="Q286" i="6"/>
  <c r="Q256" i="6"/>
  <c r="Q94" i="6"/>
  <c r="Q168" i="6"/>
  <c r="Q118" i="6"/>
  <c r="Q246" i="6"/>
  <c r="Q192" i="6"/>
  <c r="Q116" i="6"/>
  <c r="Q64" i="6"/>
  <c r="Q95" i="6"/>
  <c r="Q223" i="6"/>
  <c r="Q296" i="6"/>
  <c r="Q78" i="6"/>
  <c r="Q206" i="6"/>
  <c r="Q198"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8" i="4"/>
  <c r="I118" i="4"/>
  <c r="I198" i="4"/>
  <c r="I278" i="4"/>
  <c r="I58" i="4"/>
  <c r="I138" i="4"/>
  <c r="I218" i="4"/>
  <c r="I298" i="4"/>
  <c r="I78" i="4"/>
  <c r="I158" i="4"/>
  <c r="I238" i="4"/>
  <c r="I318" i="4"/>
  <c r="I358" i="4"/>
  <c r="I338" i="4"/>
  <c r="I23" i="4"/>
  <c r="I103" i="4"/>
  <c r="I183" i="4"/>
  <c r="I263" i="4"/>
  <c r="I43" i="4"/>
  <c r="I123" i="4"/>
  <c r="I203" i="4"/>
  <c r="I283" i="4"/>
  <c r="I63" i="4"/>
  <c r="I143" i="4"/>
  <c r="I223" i="4"/>
  <c r="I3" i="4"/>
  <c r="I83" i="4"/>
  <c r="I163" i="4"/>
  <c r="I243" i="4"/>
  <c r="I343" i="4"/>
  <c r="I323" i="4"/>
  <c r="I303" i="4"/>
  <c r="I45" i="4"/>
  <c r="I125" i="4"/>
  <c r="I205" i="4"/>
  <c r="I65" i="4"/>
  <c r="I145" i="4"/>
  <c r="I225" i="4"/>
  <c r="I305" i="4"/>
  <c r="I25" i="4"/>
  <c r="I105" i="4"/>
  <c r="I185" i="4"/>
  <c r="I265" i="4"/>
  <c r="I5" i="4"/>
  <c r="I245" i="4"/>
  <c r="I345" i="4"/>
  <c r="I85" i="4"/>
  <c r="I285" i="4"/>
  <c r="I165" i="4"/>
  <c r="I325" i="4"/>
  <c r="I13" i="4"/>
  <c r="I93" i="4"/>
  <c r="I173" i="4"/>
  <c r="I33" i="4"/>
  <c r="I113" i="4"/>
  <c r="I193" i="4"/>
  <c r="I273" i="4"/>
  <c r="I73" i="4"/>
  <c r="I153" i="4"/>
  <c r="I233" i="4"/>
  <c r="I313" i="4"/>
  <c r="I53" i="4"/>
  <c r="I333" i="4"/>
  <c r="I133" i="4"/>
  <c r="I213" i="4"/>
  <c r="I253" i="4"/>
  <c r="I293" i="4"/>
  <c r="I353" i="4"/>
  <c r="I50" i="4"/>
  <c r="I130" i="4"/>
  <c r="I210" i="4"/>
  <c r="I290" i="4"/>
  <c r="I70" i="4"/>
  <c r="I150" i="4"/>
  <c r="I230" i="4"/>
  <c r="I310" i="4"/>
  <c r="I10" i="4"/>
  <c r="I90" i="4"/>
  <c r="I170" i="4"/>
  <c r="I250" i="4"/>
  <c r="I330" i="4"/>
  <c r="I30" i="4"/>
  <c r="I110" i="4"/>
  <c r="I190" i="4"/>
  <c r="I270" i="4"/>
  <c r="I350" i="4"/>
  <c r="I7" i="4"/>
  <c r="I87" i="4"/>
  <c r="I167" i="4"/>
  <c r="I247" i="4"/>
  <c r="I27" i="4"/>
  <c r="I107" i="4"/>
  <c r="I187" i="4"/>
  <c r="I267" i="4"/>
  <c r="I47" i="4"/>
  <c r="I127" i="4"/>
  <c r="I207" i="4"/>
  <c r="I287" i="4"/>
  <c r="I67" i="4"/>
  <c r="I147" i="4"/>
  <c r="I227" i="4"/>
  <c r="I347" i="4"/>
  <c r="I307" i="4"/>
  <c r="I327" i="4"/>
  <c r="I80" i="4"/>
  <c r="I160" i="4"/>
  <c r="I240" i="4"/>
  <c r="I320" i="4"/>
  <c r="I20" i="4"/>
  <c r="I100" i="4"/>
  <c r="I180" i="4"/>
  <c r="I260" i="4"/>
  <c r="I340" i="4"/>
  <c r="I40" i="4"/>
  <c r="I120" i="4"/>
  <c r="I200" i="4"/>
  <c r="I280" i="4"/>
  <c r="I60" i="4"/>
  <c r="I140" i="4"/>
  <c r="I220" i="4"/>
  <c r="I300" i="4"/>
  <c r="I36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54" i="4"/>
  <c r="I334" i="4"/>
  <c r="I71" i="4"/>
  <c r="I151" i="4"/>
  <c r="I231" i="4"/>
  <c r="I11" i="4"/>
  <c r="I91" i="4"/>
  <c r="I171" i="4"/>
  <c r="I251" i="4"/>
  <c r="I31" i="4"/>
  <c r="I111" i="4"/>
  <c r="I191" i="4"/>
  <c r="I271" i="4"/>
  <c r="I51" i="4"/>
  <c r="I131" i="4"/>
  <c r="I211" i="4"/>
  <c r="I291" i="4"/>
  <c r="I311" i="4"/>
  <c r="I351" i="4"/>
  <c r="I331" i="4"/>
  <c r="I48" i="4"/>
  <c r="I128" i="4"/>
  <c r="I208" i="4"/>
  <c r="I288" i="4"/>
  <c r="I68" i="4"/>
  <c r="I148" i="4"/>
  <c r="I228" i="4"/>
  <c r="I308" i="4"/>
  <c r="I8" i="4"/>
  <c r="I88" i="4"/>
  <c r="I168" i="4"/>
  <c r="I248" i="4"/>
  <c r="I28" i="4"/>
  <c r="I108" i="4"/>
  <c r="I188" i="4"/>
  <c r="I268" i="4"/>
  <c r="I328" i="4"/>
  <c r="I348" i="4"/>
  <c r="I64" i="4"/>
  <c r="I144" i="4"/>
  <c r="I224" i="4"/>
  <c r="I304" i="4"/>
  <c r="I4" i="4"/>
  <c r="I84" i="4"/>
  <c r="I164" i="4"/>
  <c r="I244" i="4"/>
  <c r="I324" i="4"/>
  <c r="I24" i="4"/>
  <c r="I104" i="4"/>
  <c r="I184" i="4"/>
  <c r="I264" i="4"/>
  <c r="I44" i="4"/>
  <c r="I124" i="4"/>
  <c r="I204" i="4"/>
  <c r="I284" i="4"/>
  <c r="I344" i="4"/>
  <c r="I32" i="4"/>
  <c r="I112" i="4"/>
  <c r="I192" i="4"/>
  <c r="I272" i="4"/>
  <c r="I52" i="4"/>
  <c r="I132" i="4"/>
  <c r="I212" i="4"/>
  <c r="I292" i="4"/>
  <c r="I72" i="4"/>
  <c r="I152" i="4"/>
  <c r="I232" i="4"/>
  <c r="I312" i="4"/>
  <c r="I12" i="4"/>
  <c r="I92" i="4"/>
  <c r="I172" i="4"/>
  <c r="I252" i="4"/>
  <c r="I332" i="4"/>
  <c r="I352" i="4"/>
  <c r="I55" i="4"/>
  <c r="I135" i="4"/>
  <c r="I215" i="4"/>
  <c r="I295" i="4"/>
  <c r="I75" i="4"/>
  <c r="I155" i="4"/>
  <c r="I235" i="4"/>
  <c r="I15" i="4"/>
  <c r="I95" i="4"/>
  <c r="I175" i="4"/>
  <c r="I255" i="4"/>
  <c r="I35" i="4"/>
  <c r="I115" i="4"/>
  <c r="I195" i="4"/>
  <c r="I275" i="4"/>
  <c r="I315" i="4"/>
  <c r="I355" i="4"/>
  <c r="I335" i="4"/>
  <c r="I29" i="4"/>
  <c r="I109" i="4"/>
  <c r="I189" i="4"/>
  <c r="I49" i="4"/>
  <c r="I129" i="4"/>
  <c r="I209" i="4"/>
  <c r="I289" i="4"/>
  <c r="I9" i="4"/>
  <c r="I89" i="4"/>
  <c r="I169" i="4"/>
  <c r="I249" i="4"/>
  <c r="I329" i="4"/>
  <c r="I269" i="4"/>
  <c r="I69" i="4"/>
  <c r="I309" i="4"/>
  <c r="I149" i="4"/>
  <c r="I349" i="4"/>
  <c r="I229" i="4"/>
  <c r="I61" i="4"/>
  <c r="I141" i="4"/>
  <c r="I221" i="4"/>
  <c r="I81" i="4"/>
  <c r="I161" i="4"/>
  <c r="I241" i="4"/>
  <c r="I321" i="4"/>
  <c r="I41" i="4"/>
  <c r="I121" i="4"/>
  <c r="I201" i="4"/>
  <c r="I281" i="4"/>
  <c r="I181" i="4"/>
  <c r="I301" i="4"/>
  <c r="I341" i="4"/>
  <c r="I361" i="4"/>
  <c r="I21" i="4"/>
  <c r="I101" i="4"/>
  <c r="I261" i="4"/>
  <c r="I77" i="4"/>
  <c r="I157" i="4"/>
  <c r="I17" i="4"/>
  <c r="I97" i="4"/>
  <c r="I177" i="4"/>
  <c r="I257" i="4"/>
  <c r="I337" i="4"/>
  <c r="I57" i="4"/>
  <c r="I137" i="4"/>
  <c r="I217" i="4"/>
  <c r="I297" i="4"/>
  <c r="I117" i="4"/>
  <c r="I237" i="4"/>
  <c r="I357" i="4"/>
  <c r="I197" i="4"/>
  <c r="I277" i="4"/>
  <c r="I317" i="4"/>
  <c r="I37" i="4"/>
  <c r="I16" i="4"/>
  <c r="I96" i="4"/>
  <c r="I176" i="4"/>
  <c r="I256" i="4"/>
  <c r="I336" i="4"/>
  <c r="I36" i="4"/>
  <c r="I116" i="4"/>
  <c r="I196" i="4"/>
  <c r="I276" i="4"/>
  <c r="I56" i="4"/>
  <c r="I136" i="4"/>
  <c r="I216" i="4"/>
  <c r="I296" i="4"/>
  <c r="I76" i="4"/>
  <c r="I156" i="4"/>
  <c r="I236" i="4"/>
  <c r="I316" i="4"/>
  <c r="I356" i="4"/>
  <c r="I39" i="4"/>
  <c r="I119" i="4"/>
  <c r="I199" i="4"/>
  <c r="I279" i="4"/>
  <c r="I59" i="4"/>
  <c r="I139" i="4"/>
  <c r="I219" i="4"/>
  <c r="I319" i="4"/>
  <c r="I79" i="4"/>
  <c r="I159" i="4"/>
  <c r="I239" i="4"/>
  <c r="I19" i="4"/>
  <c r="I99" i="4"/>
  <c r="I179" i="4"/>
  <c r="I259" i="4"/>
  <c r="I339" i="4"/>
  <c r="I359" i="4"/>
  <c r="I2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<sst xmlns="http://schemas.openxmlformats.org/spreadsheetml/2006/main" count="7719" uniqueCount="169">
  <si>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</si>
  <si>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</si>
  <si>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</si>
  <si>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</si>
  <si>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</si>
  <si>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</si>
  <si>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</si>
  <si>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</si>
  <si>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</si>
  <si>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</si>
  <si>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</si>
  <si>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</si>
  <si>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</si>
  <si>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</si>
  <si>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</si>
  <si>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</si>
  <si>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</si>
  <si>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</si>
  <si>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</si>
  <si>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</si>
  <si>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</si>
  <si>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</si>
  <si>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</si>
  <si>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</si>
  <si>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</si>
  <si>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</si>
  <si>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</si>
  <si>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</si>
  <si>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</si>
  <si>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</si>
  <si>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</si>
  <si>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</si>
  <si>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</si>
  <si>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</si>
  <si>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</si>
  <si>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</si>
  <si>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</si>
  <si>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</si>
  <si>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</si>
  <si>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</si>
  <si>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</si>
  <si>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</si>
  <si>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</si>
  <si>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</si>
  <si>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</si>
  <si>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</si>
  <si>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</si>
  <si>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</si>
  <si>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</si>
  <si>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</si>
  <si>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</si>
  <si>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</si>
  <si>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</si>
  <si>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</si>
  <si>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</si>
  <si>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</si>
  <si>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</si>
  <si>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</si>
  <si>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</si>
  <si>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</si>
  <si>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</si>
  <si>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</si>
  <si>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</si>
  <si>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</si>
  <si>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</si>
  <si>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</si>
  <si>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</si>
  <si>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</si>
  <si>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</si>
  <si>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</si>
  <si>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</si>
  <si>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</si>
  <si>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</si>
  <si>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</si>
  <si>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</si>
  <si>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</si>
  <si>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</si>
  <si>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</si>
  <si>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</si>
  <si>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</si>
  <si>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</si>
  <si>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</si>
  <si>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</si>
  <si>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</si>
  <si>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</si>
  <si>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</si>
  <si>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</si>
  <si>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</si>
  <si>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</si>
  <si>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</si>
  <si>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</si>
  <si>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</si>
  <si>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Cashmere Road_Hendersons Road_Intersection</t>
  </si>
  <si>
    <t>Cashmere Road East</t>
  </si>
  <si>
    <t>Cashmere Road South</t>
  </si>
  <si>
    <t>Hendersons Road West</t>
  </si>
  <si>
    <t>Left into Cashmere Road South</t>
  </si>
  <si>
    <t>Thru to Hendersons Road West</t>
  </si>
  <si>
    <t>Left into Hendersons Road West</t>
  </si>
  <si>
    <t>Right into Cashmere Road East</t>
  </si>
  <si>
    <t>Thru to Cashmere Road East</t>
  </si>
  <si>
    <t>Right into Cashmere Road South</t>
  </si>
  <si>
    <t>Cashmere Road_Hendersons Road_Intersection      Fine      18/11/2021</t>
  </si>
  <si>
    <t>Cashmere Road East Total</t>
  </si>
  <si>
    <t>Cashmere Road South Total</t>
  </si>
  <si>
    <t>Hendersons Road West Total</t>
  </si>
  <si>
    <t>Left into Cashmere Road South Total</t>
  </si>
  <si>
    <t>Thru to Hendersons Road West Total</t>
  </si>
  <si>
    <t>Left into Hendersons Road West Total</t>
  </si>
  <si>
    <t>Right into Cashmere Road East Total</t>
  </si>
  <si>
    <t>Thru to Cashmere Road East Total</t>
  </si>
  <si>
    <t>Right into Cashmere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</si>
  <si>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</si>
  <si>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</si>
  <si>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</si>
  <si>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</si>
  <si>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</si>
  <si>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</si>
  <si>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</si>
  <si>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</si>
  <si>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</si>
  <si>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</si>
  <si>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</si>
  <si>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</si>
  <si>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</si>
  <si>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</si>
  <si>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</si>
  <si>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</si>
  <si>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</si>
  <si>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</si>
  <si>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</si>
  <si>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</si>
  <si>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</si>
  <si>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</si>
  <si>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</si>
  <si>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</si>
  <si>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</si>
  <si>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</si>
  <si>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</si>
  <si>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</si>
  <si>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</si>
  <si>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</si>
  <si>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</si>
  <si>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</si>
  <si>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</si>
  <si>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</si>
  <si>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</si>
  <si>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</si>
  <si>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</si>
  <si>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</si>
  <si>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</si>
  <si>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</si>
  <si>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</si>
  <si>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</si>
  <si>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Hendersons Rd</t>
  </si>
  <si>
    <t>Cashmere Rd Northbound</t>
  </si>
  <si>
    <t>Cashmere Rd Westbound</t>
  </si>
  <si>
    <t>Lights</t>
  </si>
  <si>
    <t>Classification</t>
  </si>
  <si>
    <t>Road</t>
  </si>
  <si>
    <t>Type</t>
  </si>
  <si>
    <t>Project</t>
  </si>
  <si>
    <t>Site Code</t>
  </si>
  <si>
    <t>11/18/2021</t>
  </si>
  <si>
    <t>Start Date</t>
  </si>
  <si>
    <t>CCC I1654 Cashmere Rd - Hendersons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</si>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</sst>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C56D2C4A-EC7D-48AD-9E25-1A7ADD362E5F}"/>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[I1654_Cashmere Road_Hendersons Road_Intersection_18-11-2021.xlsx]Graphs!pvtGraphApproach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Cashmere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55</c:v>
                </c:pt>
                <c:pt idx="1">
                  <c:v>66</c:v>
                </c:pt>
                <c:pt idx="2">
                  <c:v>97</c:v>
                </c:pt>
                <c:pt idx="3">
                  <c:v>98</c:v>
                </c:pt>
                <c:pt idx="4">
                  <c:v>87</c:v>
                </c:pt>
                <c:pt idx="5">
                  <c:v>100</c:v>
                </c:pt>
                <c:pt idx="6">
                  <c:v>100</c:v>
                </c:pt>
                <c:pt idx="7">
                  <c:v>94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Cashmere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c:v>
                </c:pt>
                <c:pt idx="1">
                  <c:v>28</c:v>
                </c:pt>
                <c:pt idx="2">
                  <c:v>36</c:v>
                </c:pt>
                <c:pt idx="3">
                  <c:v>30</c:v>
                </c:pt>
                <c:pt idx="4">
                  <c:v>38</c:v>
                </c:pt>
                <c:pt idx="5">
                  <c:v>41</c:v>
                </c:pt>
                <c:pt idx="6">
                  <c:v>46</c:v>
                </c:pt>
                <c:pt idx="7">
                  <c:v>35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Hendersons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58</c:v>
                </c:pt>
                <c:pt idx="1">
                  <c:v>68</c:v>
                </c:pt>
                <c:pt idx="2">
                  <c:v>84</c:v>
                </c:pt>
                <c:pt idx="3">
                  <c:v>92</c:v>
                </c:pt>
                <c:pt idx="4">
                  <c:v>97</c:v>
                </c:pt>
                <c:pt idx="5">
                  <c:v>102</c:v>
                </c:pt>
                <c:pt idx="6">
                  <c:v>91</c:v>
                </c:pt>
                <c:pt idx="7">
                  <c:v>83</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[I1654_Cashmere Road_Hendersons Road_Intersection_18-11-2021.xlsx]Graphs!pvtGraphExit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Cashmere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62</c:v>
                </c:pt>
                <c:pt idx="1">
                  <c:v>77</c:v>
                </c:pt>
                <c:pt idx="2">
                  <c:v>113</c:v>
                </c:pt>
                <c:pt idx="3">
                  <c:v>114</c:v>
                </c:pt>
                <c:pt idx="4">
                  <c:v>121</c:v>
                </c:pt>
                <c:pt idx="5">
                  <c:v>130</c:v>
                </c:pt>
                <c:pt idx="6">
                  <c:v>123</c:v>
                </c:pt>
                <c:pt idx="7">
                  <c:v>102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Cashmere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c:v>
                </c:pt>
                <c:pt idx="1">
                  <c:v>15</c:v>
                </c:pt>
                <c:pt idx="2">
                  <c:v>16</c:v>
                </c:pt>
                <c:pt idx="3">
                  <c:v>18</c:v>
                </c:pt>
                <c:pt idx="4">
                  <c:v>16</c:v>
                </c:pt>
                <c:pt idx="5">
                  <c:v>12</c:v>
                </c:pt>
                <c:pt idx="6">
                  <c:v>25</c:v>
                </c:pt>
                <c:pt idx="7">
                  <c:v>24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Hendersons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56</c:v>
                </c:pt>
                <c:pt idx="1">
                  <c:v>70</c:v>
                </c:pt>
                <c:pt idx="2">
                  <c:v>88</c:v>
                </c:pt>
                <c:pt idx="3">
                  <c:v>88</c:v>
                </c:pt>
                <c:pt idx="4">
                  <c:v>85</c:v>
                </c:pt>
                <c:pt idx="5">
                  <c:v>101</c:v>
                </c:pt>
                <c:pt idx="6">
                  <c:v>89</c:v>
                </c:pt>
                <c:pt idx="7">
                  <c:v>86</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[I1654_Cashmere Road_Hendersons Road_Intersection_18-11-2021.xlsx]GraphData!PivotTable2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125</c:v>
                </c:pt>
                <c:pt idx="1">
                  <c:v>162</c:v>
                </c:pt>
                <c:pt idx="2">
                  <c:v>217</c:v>
                </c:pt>
                <c:pt idx="3">
                  <c:v>220</c:v>
                </c:pt>
                <c:pt idx="4">
                  <c:v>222</c:v>
                </c:pt>
                <c:pt idx="5">
                  <c:v>243</c:v>
                </c:pt>
                <c:pt idx="6">
                  <c:v>237</c:v>
                </c:pt>
                <c:pt idx="7">
                  <c:v>212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[I1654_Cashmere Road_Hendersons Road_Intersection_18-11-2021.xlsx]PeakCalc!pvtPeak2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125</c:v>
                </c:pt>
                <c:pt idx="1">
                  <c:v>162</c:v>
                </c:pt>
                <c:pt idx="2">
                  <c:v>217</c:v>
                </c:pt>
                <c:pt idx="3">
                  <c:v>220</c:v>
                </c:pt>
                <c:pt idx="4">
                  <c:v>222</c:v>
                </c:pt>
                <c:pt idx="5">
                  <c:v>243</c:v>
                </c:pt>
                <c:pt idx="6">
                  <c:v>237</c:v>
                </c:pt>
                <c:pt idx="7">
                  <c:v>212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220</c:v>
                </c:pt>
                <c:pt idx="4">
                  <c:v>222</c:v>
                </c:pt>
                <c:pt idx="5">
                  <c:v>243</c:v>
                </c:pt>
                <c:pt idx="6">
                  <c:v>237</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1207609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1322917</xdr:colOff>
      <xdr:row>5</xdr:row>
      <xdr:rowOff>3175</xdr:rowOff>
    </xdr:from>
    <xdr:to>
      <xdr:col>20</xdr:col>
      <xdr:colOff>935617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571499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28574</xdr:colOff>
      <xdr:row>9</xdr:row>
      <xdr:rowOff>66673</xdr:rowOff>
    </xdr:from>
    <xdr:to>
      <xdr:col>20</xdr:col>
      <xdr:colOff>465374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552.437200925924"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293"/>
    </cacheField>
    <cacheField name="Peak" numFmtId="0">
      <sharedItems containsSemiMixedTypes="0" containsString="0" containsNumber="1" containsInteger="1" minValue="0" maxValue="29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552.437636342591" createdVersion="5" refreshedVersion="7" minRefreshableVersion="3" recordCount="360" xr:uid="{00000000-000A-0000-FFFF-FFFF01000000}">
  <cacheSource type="worksheet">
    <worksheetSource name="tblPivotData"/>
  </cacheSource>
  <cacheFields count="9">
    <cacheField name="Approach" numFmtId="0">
      <sharedItems count="6">
        <s v="Cashmere Road East"/>
        <s v="Cashmere Road South"/>
        <s v="Hendersons Road West"/>
        <s v="Great south Rd (North)" u="1"/>
        <s v="Great south Rd (South)" u="1"/>
        <s v="Grange Rd" u="1"/>
      </sharedItems>
    </cacheField>
    <cacheField name="Movement" numFmtId="0">
      <sharedItems count="14">
        <s v="Left into Cashmere Road South"/>
        <s v="Thru to Hendersons Road West"/>
        <s v="Left into Hendersons Road West"/>
        <s v="Right into Cashmere Road East"/>
        <s v="Thru to Cashmere Road East"/>
        <s v="Right into Cashmere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Cashmere Road South"/>
        <s v="Hendersons Road West"/>
        <s v="Cashmere Road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2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25"/>
    <n v="0"/>
  </r>
  <r>
    <x v="0"/>
    <x v="1"/>
    <n v="162"/>
    <n v="0"/>
  </r>
  <r>
    <x v="0"/>
    <x v="2"/>
    <n v="217"/>
    <n v="0"/>
  </r>
  <r>
    <x v="0"/>
    <x v="3"/>
    <n v="220"/>
    <n v="220"/>
  </r>
  <r>
    <x v="0"/>
    <x v="4"/>
    <n v="222"/>
    <n v="222"/>
  </r>
  <r>
    <x v="0"/>
    <x v="5"/>
    <n v="243"/>
    <n v="243"/>
  </r>
  <r>
    <x v="0"/>
    <x v="6"/>
    <n v="237"/>
    <n v="237"/>
  </r>
  <r>
    <x v="0"/>
    <x v="7"/>
    <n v="212"/>
    <n v="0"/>
  </r>
  <r>
    <x v="1"/>
    <x v="8"/>
    <n v="127"/>
    <n v="127"/>
  </r>
  <r>
    <x v="1"/>
    <x v="9"/>
    <n v="126"/>
    <n v="126"/>
  </r>
  <r>
    <x v="1"/>
    <x v="10"/>
    <n v="128"/>
    <n v="128"/>
  </r>
  <r>
    <x v="1"/>
    <x v="11"/>
    <n v="122"/>
    <n v="122"/>
  </r>
  <r>
    <x v="2"/>
    <x v="12"/>
    <n v="213"/>
    <n v="0"/>
  </r>
  <r>
    <x v="2"/>
    <x v="13"/>
    <n v="227"/>
    <n v="0"/>
  </r>
  <r>
    <x v="2"/>
    <x v="14"/>
    <n v="275"/>
    <n v="275"/>
  </r>
  <r>
    <x v="2"/>
    <x v="15"/>
    <n v="267"/>
    <n v="267"/>
  </r>
  <r>
    <x v="2"/>
    <x v="16"/>
    <n v="274"/>
    <n v="274"/>
  </r>
  <r>
    <x v="2"/>
    <x v="17"/>
    <n v="293"/>
    <n v="293"/>
  </r>
  <r>
    <x v="2"/>
    <x v="18"/>
    <n v="256"/>
    <n v="0"/>
  </r>
  <r>
    <x v="2"/>
    <x v="19"/>
    <n v="22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4"/>
    <x v="0"/>
    <x v="0"/>
  </r>
  <r>
    <x v="0"/>
    <x v="0"/>
    <x v="0"/>
    <x v="0"/>
    <x v="0"/>
    <x v="1"/>
    <n v="6"/>
    <x v="1"/>
    <x v="0"/>
  </r>
  <r>
    <x v="0"/>
    <x v="0"/>
    <x v="0"/>
    <x v="0"/>
    <x v="0"/>
    <x v="2"/>
    <n v="14"/>
    <x v="2"/>
    <x v="0"/>
  </r>
  <r>
    <x v="0"/>
    <x v="0"/>
    <x v="0"/>
    <x v="0"/>
    <x v="0"/>
    <x v="3"/>
    <n v="13"/>
    <x v="3"/>
    <x v="1"/>
  </r>
  <r>
    <x v="0"/>
    <x v="0"/>
    <x v="0"/>
    <x v="0"/>
    <x v="0"/>
    <x v="4"/>
    <n v="7"/>
    <x v="4"/>
    <x v="1"/>
  </r>
  <r>
    <x v="0"/>
    <x v="0"/>
    <x v="0"/>
    <x v="0"/>
    <x v="0"/>
    <x v="5"/>
    <n v="9"/>
    <x v="5"/>
    <x v="1"/>
  </r>
  <r>
    <x v="0"/>
    <x v="0"/>
    <x v="0"/>
    <x v="0"/>
    <x v="0"/>
    <x v="6"/>
    <n v="18"/>
    <x v="6"/>
    <x v="1"/>
  </r>
  <r>
    <x v="0"/>
    <x v="0"/>
    <x v="0"/>
    <x v="0"/>
    <x v="0"/>
    <x v="7"/>
    <n v="15"/>
    <x v="7"/>
    <x v="0"/>
  </r>
  <r>
    <x v="0"/>
    <x v="0"/>
    <x v="0"/>
    <x v="0"/>
    <x v="1"/>
    <x v="8"/>
    <n v="16"/>
    <x v="8"/>
    <x v="1"/>
  </r>
  <r>
    <x v="0"/>
    <x v="0"/>
    <x v="0"/>
    <x v="0"/>
    <x v="1"/>
    <x v="9"/>
    <n v="8"/>
    <x v="9"/>
    <x v="1"/>
  </r>
  <r>
    <x v="0"/>
    <x v="0"/>
    <x v="0"/>
    <x v="0"/>
    <x v="1"/>
    <x v="10"/>
    <n v="12"/>
    <x v="10"/>
    <x v="1"/>
  </r>
  <r>
    <x v="0"/>
    <x v="0"/>
    <x v="0"/>
    <x v="0"/>
    <x v="1"/>
    <x v="11"/>
    <n v="4"/>
    <x v="11"/>
    <x v="1"/>
  </r>
  <r>
    <x v="0"/>
    <x v="0"/>
    <x v="0"/>
    <x v="0"/>
    <x v="2"/>
    <x v="12"/>
    <n v="15"/>
    <x v="12"/>
    <x v="0"/>
  </r>
  <r>
    <x v="0"/>
    <x v="0"/>
    <x v="0"/>
    <x v="0"/>
    <x v="2"/>
    <x v="13"/>
    <n v="12"/>
    <x v="13"/>
    <x v="0"/>
  </r>
  <r>
    <x v="0"/>
    <x v="0"/>
    <x v="0"/>
    <x v="0"/>
    <x v="2"/>
    <x v="14"/>
    <n v="15"/>
    <x v="14"/>
    <x v="1"/>
  </r>
  <r>
    <x v="0"/>
    <x v="0"/>
    <x v="0"/>
    <x v="0"/>
    <x v="2"/>
    <x v="15"/>
    <n v="19"/>
    <x v="15"/>
    <x v="1"/>
  </r>
  <r>
    <x v="0"/>
    <x v="0"/>
    <x v="0"/>
    <x v="0"/>
    <x v="2"/>
    <x v="16"/>
    <n v="21"/>
    <x v="16"/>
    <x v="1"/>
  </r>
  <r>
    <x v="0"/>
    <x v="0"/>
    <x v="0"/>
    <x v="0"/>
    <x v="2"/>
    <x v="17"/>
    <n v="21"/>
    <x v="17"/>
    <x v="1"/>
  </r>
  <r>
    <x v="0"/>
    <x v="0"/>
    <x v="0"/>
    <x v="0"/>
    <x v="2"/>
    <x v="18"/>
    <n v="17"/>
    <x v="18"/>
    <x v="0"/>
  </r>
  <r>
    <x v="0"/>
    <x v="0"/>
    <x v="0"/>
    <x v="0"/>
    <x v="2"/>
    <x v="19"/>
    <n v="25"/>
    <x v="19"/>
    <x v="0"/>
  </r>
  <r>
    <x v="0"/>
    <x v="0"/>
    <x v="0"/>
    <x v="1"/>
    <x v="0"/>
    <x v="0"/>
    <n v="0"/>
    <x v="0"/>
    <x v="0"/>
  </r>
  <r>
    <x v="0"/>
    <x v="0"/>
    <x v="0"/>
    <x v="1"/>
    <x v="0"/>
    <x v="1"/>
    <n v="0"/>
    <x v="1"/>
    <x v="0"/>
  </r>
  <r>
    <x v="0"/>
    <x v="0"/>
    <x v="0"/>
    <x v="1"/>
    <x v="0"/>
    <x v="2"/>
    <n v="0"/>
    <x v="2"/>
    <x v="0"/>
  </r>
  <r>
    <x v="0"/>
    <x v="0"/>
    <x v="0"/>
    <x v="1"/>
    <x v="0"/>
    <x v="3"/>
    <n v="0"/>
    <x v="3"/>
    <x v="1"/>
  </r>
  <r>
    <x v="0"/>
    <x v="0"/>
    <x v="0"/>
    <x v="1"/>
    <x v="0"/>
    <x v="4"/>
    <n v="1"/>
    <x v="4"/>
    <x v="1"/>
  </r>
  <r>
    <x v="0"/>
    <x v="0"/>
    <x v="0"/>
    <x v="1"/>
    <x v="0"/>
    <x v="5"/>
    <n v="1"/>
    <x v="5"/>
    <x v="1"/>
  </r>
  <r>
    <x v="0"/>
    <x v="0"/>
    <x v="0"/>
    <x v="1"/>
    <x v="0"/>
    <x v="6"/>
    <n v="0"/>
    <x v="6"/>
    <x v="1"/>
  </r>
  <r>
    <x v="0"/>
    <x v="0"/>
    <x v="0"/>
    <x v="1"/>
    <x v="0"/>
    <x v="7"/>
    <n v="1"/>
    <x v="7"/>
    <x v="0"/>
  </r>
  <r>
    <x v="0"/>
    <x v="0"/>
    <x v="0"/>
    <x v="1"/>
    <x v="1"/>
    <x v="8"/>
    <n v="0"/>
    <x v="8"/>
    <x v="1"/>
  </r>
  <r>
    <x v="0"/>
    <x v="0"/>
    <x v="0"/>
    <x v="1"/>
    <x v="1"/>
    <x v="9"/>
    <n v="0"/>
    <x v="9"/>
    <x v="1"/>
  </r>
  <r>
    <x v="0"/>
    <x v="0"/>
    <x v="0"/>
    <x v="1"/>
    <x v="1"/>
    <x v="10"/>
    <n v="1"/>
    <x v="10"/>
    <x v="1"/>
  </r>
  <r>
    <x v="0"/>
    <x v="0"/>
    <x v="0"/>
    <x v="1"/>
    <x v="1"/>
    <x v="11"/>
    <n v="0"/>
    <x v="11"/>
    <x v="1"/>
  </r>
  <r>
    <x v="0"/>
    <x v="0"/>
    <x v="0"/>
    <x v="1"/>
    <x v="2"/>
    <x v="12"/>
    <n v="0"/>
    <x v="12"/>
    <x v="0"/>
  </r>
  <r>
    <x v="0"/>
    <x v="0"/>
    <x v="0"/>
    <x v="1"/>
    <x v="2"/>
    <x v="13"/>
    <n v="0"/>
    <x v="13"/>
    <x v="0"/>
  </r>
  <r>
    <x v="0"/>
    <x v="0"/>
    <x v="0"/>
    <x v="1"/>
    <x v="2"/>
    <x v="14"/>
    <n v="0"/>
    <x v="14"/>
    <x v="1"/>
  </r>
  <r>
    <x v="0"/>
    <x v="0"/>
    <x v="0"/>
    <x v="1"/>
    <x v="2"/>
    <x v="15"/>
    <n v="1"/>
    <x v="15"/>
    <x v="1"/>
  </r>
  <r>
    <x v="0"/>
    <x v="0"/>
    <x v="0"/>
    <x v="1"/>
    <x v="2"/>
    <x v="16"/>
    <n v="0"/>
    <x v="16"/>
    <x v="1"/>
  </r>
  <r>
    <x v="0"/>
    <x v="0"/>
    <x v="0"/>
    <x v="1"/>
    <x v="2"/>
    <x v="17"/>
    <n v="1"/>
    <x v="17"/>
    <x v="1"/>
  </r>
  <r>
    <x v="0"/>
    <x v="0"/>
    <x v="0"/>
    <x v="1"/>
    <x v="2"/>
    <x v="18"/>
    <n v="1"/>
    <x v="18"/>
    <x v="0"/>
  </r>
  <r>
    <x v="0"/>
    <x v="0"/>
    <x v="0"/>
    <x v="1"/>
    <x v="2"/>
    <x v="19"/>
    <n v="1"/>
    <x v="19"/>
    <x v="0"/>
  </r>
  <r>
    <x v="0"/>
    <x v="0"/>
    <x v="0"/>
    <x v="2"/>
    <x v="0"/>
    <x v="0"/>
    <n v="0"/>
    <x v="0"/>
    <x v="0"/>
  </r>
  <r>
    <x v="0"/>
    <x v="0"/>
    <x v="0"/>
    <x v="2"/>
    <x v="0"/>
    <x v="1"/>
    <n v="1"/>
    <x v="1"/>
    <x v="0"/>
  </r>
  <r>
    <x v="0"/>
    <x v="0"/>
    <x v="0"/>
    <x v="2"/>
    <x v="0"/>
    <x v="2"/>
    <n v="0"/>
    <x v="2"/>
    <x v="0"/>
  </r>
  <r>
    <x v="0"/>
    <x v="0"/>
    <x v="0"/>
    <x v="2"/>
    <x v="0"/>
    <x v="3"/>
    <n v="1"/>
    <x v="3"/>
    <x v="1"/>
  </r>
  <r>
    <x v="0"/>
    <x v="0"/>
    <x v="0"/>
    <x v="2"/>
    <x v="0"/>
    <x v="4"/>
    <n v="0"/>
    <x v="4"/>
    <x v="1"/>
  </r>
  <r>
    <x v="0"/>
    <x v="0"/>
    <x v="0"/>
    <x v="2"/>
    <x v="0"/>
    <x v="5"/>
    <n v="0"/>
    <x v="5"/>
    <x v="1"/>
  </r>
  <r>
    <x v="0"/>
    <x v="0"/>
    <x v="0"/>
    <x v="2"/>
    <x v="0"/>
    <x v="6"/>
    <n v="1"/>
    <x v="6"/>
    <x v="1"/>
  </r>
  <r>
    <x v="0"/>
    <x v="0"/>
    <x v="0"/>
    <x v="2"/>
    <x v="0"/>
    <x v="7"/>
    <n v="2"/>
    <x v="7"/>
    <x v="0"/>
  </r>
  <r>
    <x v="0"/>
    <x v="0"/>
    <x v="0"/>
    <x v="2"/>
    <x v="1"/>
    <x v="8"/>
    <n v="1"/>
    <x v="8"/>
    <x v="1"/>
  </r>
  <r>
    <x v="0"/>
    <x v="0"/>
    <x v="0"/>
    <x v="2"/>
    <x v="1"/>
    <x v="9"/>
    <n v="3"/>
    <x v="9"/>
    <x v="1"/>
  </r>
  <r>
    <x v="0"/>
    <x v="0"/>
    <x v="0"/>
    <x v="2"/>
    <x v="1"/>
    <x v="10"/>
    <n v="2"/>
    <x v="10"/>
    <x v="1"/>
  </r>
  <r>
    <x v="0"/>
    <x v="0"/>
    <x v="0"/>
    <x v="2"/>
    <x v="1"/>
    <x v="11"/>
    <n v="2"/>
    <x v="11"/>
    <x v="1"/>
  </r>
  <r>
    <x v="0"/>
    <x v="0"/>
    <x v="0"/>
    <x v="2"/>
    <x v="2"/>
    <x v="12"/>
    <n v="2"/>
    <x v="12"/>
    <x v="0"/>
  </r>
  <r>
    <x v="0"/>
    <x v="0"/>
    <x v="0"/>
    <x v="2"/>
    <x v="2"/>
    <x v="13"/>
    <n v="2"/>
    <x v="13"/>
    <x v="0"/>
  </r>
  <r>
    <x v="0"/>
    <x v="0"/>
    <x v="0"/>
    <x v="2"/>
    <x v="2"/>
    <x v="14"/>
    <n v="9"/>
    <x v="14"/>
    <x v="1"/>
  </r>
  <r>
    <x v="0"/>
    <x v="0"/>
    <x v="0"/>
    <x v="2"/>
    <x v="2"/>
    <x v="15"/>
    <n v="4"/>
    <x v="15"/>
    <x v="1"/>
  </r>
  <r>
    <x v="0"/>
    <x v="0"/>
    <x v="0"/>
    <x v="2"/>
    <x v="2"/>
    <x v="16"/>
    <n v="1"/>
    <x v="16"/>
    <x v="1"/>
  </r>
  <r>
    <x v="0"/>
    <x v="0"/>
    <x v="0"/>
    <x v="2"/>
    <x v="2"/>
    <x v="17"/>
    <n v="3"/>
    <x v="17"/>
    <x v="1"/>
  </r>
  <r>
    <x v="0"/>
    <x v="0"/>
    <x v="0"/>
    <x v="2"/>
    <x v="2"/>
    <x v="18"/>
    <n v="1"/>
    <x v="18"/>
    <x v="0"/>
  </r>
  <r>
    <x v="0"/>
    <x v="0"/>
    <x v="0"/>
    <x v="2"/>
    <x v="2"/>
    <x v="19"/>
    <n v="2"/>
    <x v="19"/>
    <x v="0"/>
  </r>
  <r>
    <x v="0"/>
    <x v="1"/>
    <x v="1"/>
    <x v="0"/>
    <x v="0"/>
    <x v="0"/>
    <n v="50"/>
    <x v="0"/>
    <x v="0"/>
  </r>
  <r>
    <x v="0"/>
    <x v="1"/>
    <x v="1"/>
    <x v="0"/>
    <x v="0"/>
    <x v="1"/>
    <n v="57"/>
    <x v="1"/>
    <x v="0"/>
  </r>
  <r>
    <x v="0"/>
    <x v="1"/>
    <x v="1"/>
    <x v="0"/>
    <x v="0"/>
    <x v="2"/>
    <n v="79"/>
    <x v="2"/>
    <x v="0"/>
  </r>
  <r>
    <x v="0"/>
    <x v="1"/>
    <x v="1"/>
    <x v="0"/>
    <x v="0"/>
    <x v="3"/>
    <n v="81"/>
    <x v="3"/>
    <x v="1"/>
  </r>
  <r>
    <x v="0"/>
    <x v="1"/>
    <x v="1"/>
    <x v="0"/>
    <x v="0"/>
    <x v="4"/>
    <n v="78"/>
    <x v="4"/>
    <x v="1"/>
  </r>
  <r>
    <x v="0"/>
    <x v="1"/>
    <x v="1"/>
    <x v="0"/>
    <x v="0"/>
    <x v="5"/>
    <n v="89"/>
    <x v="5"/>
    <x v="1"/>
  </r>
  <r>
    <x v="0"/>
    <x v="1"/>
    <x v="1"/>
    <x v="0"/>
    <x v="0"/>
    <x v="6"/>
    <n v="79"/>
    <x v="6"/>
    <x v="1"/>
  </r>
  <r>
    <x v="0"/>
    <x v="1"/>
    <x v="1"/>
    <x v="0"/>
    <x v="0"/>
    <x v="7"/>
    <n v="76"/>
    <x v="7"/>
    <x v="0"/>
  </r>
  <r>
    <x v="0"/>
    <x v="1"/>
    <x v="1"/>
    <x v="0"/>
    <x v="1"/>
    <x v="8"/>
    <n v="35"/>
    <x v="8"/>
    <x v="1"/>
  </r>
  <r>
    <x v="0"/>
    <x v="1"/>
    <x v="1"/>
    <x v="0"/>
    <x v="1"/>
    <x v="9"/>
    <n v="45"/>
    <x v="9"/>
    <x v="1"/>
  </r>
  <r>
    <x v="0"/>
    <x v="1"/>
    <x v="1"/>
    <x v="0"/>
    <x v="1"/>
    <x v="10"/>
    <n v="40"/>
    <x v="10"/>
    <x v="1"/>
  </r>
  <r>
    <x v="0"/>
    <x v="1"/>
    <x v="1"/>
    <x v="0"/>
    <x v="1"/>
    <x v="11"/>
    <n v="45"/>
    <x v="11"/>
    <x v="1"/>
  </r>
  <r>
    <x v="0"/>
    <x v="1"/>
    <x v="1"/>
    <x v="0"/>
    <x v="2"/>
    <x v="12"/>
    <n v="75"/>
    <x v="12"/>
    <x v="0"/>
  </r>
  <r>
    <x v="0"/>
    <x v="1"/>
    <x v="1"/>
    <x v="0"/>
    <x v="2"/>
    <x v="13"/>
    <n v="85"/>
    <x v="13"/>
    <x v="0"/>
  </r>
  <r>
    <x v="0"/>
    <x v="1"/>
    <x v="1"/>
    <x v="0"/>
    <x v="2"/>
    <x v="14"/>
    <n v="94"/>
    <x v="14"/>
    <x v="1"/>
  </r>
  <r>
    <x v="0"/>
    <x v="1"/>
    <x v="1"/>
    <x v="0"/>
    <x v="2"/>
    <x v="15"/>
    <n v="93"/>
    <x v="15"/>
    <x v="1"/>
  </r>
  <r>
    <x v="0"/>
    <x v="1"/>
    <x v="1"/>
    <x v="0"/>
    <x v="2"/>
    <x v="16"/>
    <n v="88"/>
    <x v="16"/>
    <x v="1"/>
  </r>
  <r>
    <x v="0"/>
    <x v="1"/>
    <x v="1"/>
    <x v="0"/>
    <x v="2"/>
    <x v="17"/>
    <n v="108"/>
    <x v="17"/>
    <x v="1"/>
  </r>
  <r>
    <x v="0"/>
    <x v="1"/>
    <x v="1"/>
    <x v="0"/>
    <x v="2"/>
    <x v="18"/>
    <n v="84"/>
    <x v="18"/>
    <x v="0"/>
  </r>
  <r>
    <x v="0"/>
    <x v="1"/>
    <x v="1"/>
    <x v="0"/>
    <x v="2"/>
    <x v="19"/>
    <n v="72"/>
    <x v="19"/>
    <x v="0"/>
  </r>
  <r>
    <x v="0"/>
    <x v="1"/>
    <x v="1"/>
    <x v="1"/>
    <x v="0"/>
    <x v="0"/>
    <n v="0"/>
    <x v="0"/>
    <x v="0"/>
  </r>
  <r>
    <x v="0"/>
    <x v="1"/>
    <x v="1"/>
    <x v="1"/>
    <x v="0"/>
    <x v="1"/>
    <n v="1"/>
    <x v="1"/>
    <x v="0"/>
  </r>
  <r>
    <x v="0"/>
    <x v="1"/>
    <x v="1"/>
    <x v="1"/>
    <x v="0"/>
    <x v="2"/>
    <n v="1"/>
    <x v="2"/>
    <x v="0"/>
  </r>
  <r>
    <x v="0"/>
    <x v="1"/>
    <x v="1"/>
    <x v="1"/>
    <x v="0"/>
    <x v="3"/>
    <n v="1"/>
    <x v="3"/>
    <x v="1"/>
  </r>
  <r>
    <x v="0"/>
    <x v="1"/>
    <x v="1"/>
    <x v="1"/>
    <x v="0"/>
    <x v="4"/>
    <n v="0"/>
    <x v="4"/>
    <x v="1"/>
  </r>
  <r>
    <x v="0"/>
    <x v="1"/>
    <x v="1"/>
    <x v="1"/>
    <x v="0"/>
    <x v="5"/>
    <n v="1"/>
    <x v="5"/>
    <x v="1"/>
  </r>
  <r>
    <x v="0"/>
    <x v="1"/>
    <x v="1"/>
    <x v="1"/>
    <x v="0"/>
    <x v="6"/>
    <n v="1"/>
    <x v="6"/>
    <x v="1"/>
  </r>
  <r>
    <x v="0"/>
    <x v="1"/>
    <x v="1"/>
    <x v="1"/>
    <x v="0"/>
    <x v="7"/>
    <n v="0"/>
    <x v="7"/>
    <x v="0"/>
  </r>
  <r>
    <x v="0"/>
    <x v="1"/>
    <x v="1"/>
    <x v="1"/>
    <x v="1"/>
    <x v="8"/>
    <n v="1"/>
    <x v="8"/>
    <x v="1"/>
  </r>
  <r>
    <x v="0"/>
    <x v="1"/>
    <x v="1"/>
    <x v="1"/>
    <x v="1"/>
    <x v="9"/>
    <n v="1"/>
    <x v="9"/>
    <x v="1"/>
  </r>
  <r>
    <x v="0"/>
    <x v="1"/>
    <x v="1"/>
    <x v="1"/>
    <x v="1"/>
    <x v="10"/>
    <n v="3"/>
    <x v="10"/>
    <x v="1"/>
  </r>
  <r>
    <x v="0"/>
    <x v="1"/>
    <x v="1"/>
    <x v="1"/>
    <x v="1"/>
    <x v="11"/>
    <n v="1"/>
    <x v="11"/>
    <x v="1"/>
  </r>
  <r>
    <x v="0"/>
    <x v="1"/>
    <x v="1"/>
    <x v="1"/>
    <x v="2"/>
    <x v="12"/>
    <n v="0"/>
    <x v="12"/>
    <x v="0"/>
  </r>
  <r>
    <x v="0"/>
    <x v="1"/>
    <x v="1"/>
    <x v="1"/>
    <x v="2"/>
    <x v="13"/>
    <n v="1"/>
    <x v="13"/>
    <x v="0"/>
  </r>
  <r>
    <x v="0"/>
    <x v="1"/>
    <x v="1"/>
    <x v="1"/>
    <x v="2"/>
    <x v="14"/>
    <n v="3"/>
    <x v="14"/>
    <x v="1"/>
  </r>
  <r>
    <x v="0"/>
    <x v="1"/>
    <x v="1"/>
    <x v="1"/>
    <x v="2"/>
    <x v="15"/>
    <n v="1"/>
    <x v="15"/>
    <x v="1"/>
  </r>
  <r>
    <x v="0"/>
    <x v="1"/>
    <x v="1"/>
    <x v="1"/>
    <x v="2"/>
    <x v="16"/>
    <n v="0"/>
    <x v="16"/>
    <x v="1"/>
  </r>
  <r>
    <x v="0"/>
    <x v="1"/>
    <x v="1"/>
    <x v="1"/>
    <x v="2"/>
    <x v="17"/>
    <n v="2"/>
    <x v="17"/>
    <x v="1"/>
  </r>
  <r>
    <x v="0"/>
    <x v="1"/>
    <x v="1"/>
    <x v="1"/>
    <x v="2"/>
    <x v="18"/>
    <n v="1"/>
    <x v="18"/>
    <x v="0"/>
  </r>
  <r>
    <x v="0"/>
    <x v="1"/>
    <x v="1"/>
    <x v="1"/>
    <x v="2"/>
    <x v="19"/>
    <n v="0"/>
    <x v="19"/>
    <x v="0"/>
  </r>
  <r>
    <x v="0"/>
    <x v="1"/>
    <x v="1"/>
    <x v="2"/>
    <x v="0"/>
    <x v="0"/>
    <n v="1"/>
    <x v="0"/>
    <x v="0"/>
  </r>
  <r>
    <x v="0"/>
    <x v="1"/>
    <x v="1"/>
    <x v="2"/>
    <x v="0"/>
    <x v="1"/>
    <n v="1"/>
    <x v="1"/>
    <x v="0"/>
  </r>
  <r>
    <x v="0"/>
    <x v="1"/>
    <x v="1"/>
    <x v="2"/>
    <x v="0"/>
    <x v="2"/>
    <n v="3"/>
    <x v="2"/>
    <x v="0"/>
  </r>
  <r>
    <x v="0"/>
    <x v="1"/>
    <x v="1"/>
    <x v="2"/>
    <x v="0"/>
    <x v="3"/>
    <n v="2"/>
    <x v="3"/>
    <x v="1"/>
  </r>
  <r>
    <x v="0"/>
    <x v="1"/>
    <x v="1"/>
    <x v="2"/>
    <x v="0"/>
    <x v="4"/>
    <n v="1"/>
    <x v="4"/>
    <x v="1"/>
  </r>
  <r>
    <x v="0"/>
    <x v="1"/>
    <x v="1"/>
    <x v="2"/>
    <x v="0"/>
    <x v="5"/>
    <n v="0"/>
    <x v="5"/>
    <x v="1"/>
  </r>
  <r>
    <x v="0"/>
    <x v="1"/>
    <x v="1"/>
    <x v="2"/>
    <x v="0"/>
    <x v="6"/>
    <n v="1"/>
    <x v="6"/>
    <x v="1"/>
  </r>
  <r>
    <x v="0"/>
    <x v="1"/>
    <x v="1"/>
    <x v="2"/>
    <x v="0"/>
    <x v="7"/>
    <n v="0"/>
    <x v="7"/>
    <x v="0"/>
  </r>
  <r>
    <x v="0"/>
    <x v="1"/>
    <x v="1"/>
    <x v="2"/>
    <x v="1"/>
    <x v="8"/>
    <n v="0"/>
    <x v="8"/>
    <x v="1"/>
  </r>
  <r>
    <x v="0"/>
    <x v="1"/>
    <x v="1"/>
    <x v="2"/>
    <x v="1"/>
    <x v="9"/>
    <n v="0"/>
    <x v="9"/>
    <x v="1"/>
  </r>
  <r>
    <x v="0"/>
    <x v="1"/>
    <x v="1"/>
    <x v="2"/>
    <x v="1"/>
    <x v="10"/>
    <n v="1"/>
    <x v="10"/>
    <x v="1"/>
  </r>
  <r>
    <x v="0"/>
    <x v="1"/>
    <x v="1"/>
    <x v="2"/>
    <x v="1"/>
    <x v="11"/>
    <n v="0"/>
    <x v="11"/>
    <x v="1"/>
  </r>
  <r>
    <x v="0"/>
    <x v="1"/>
    <x v="1"/>
    <x v="2"/>
    <x v="2"/>
    <x v="12"/>
    <n v="1"/>
    <x v="12"/>
    <x v="0"/>
  </r>
  <r>
    <x v="0"/>
    <x v="1"/>
    <x v="1"/>
    <x v="2"/>
    <x v="2"/>
    <x v="13"/>
    <n v="2"/>
    <x v="13"/>
    <x v="0"/>
  </r>
  <r>
    <x v="0"/>
    <x v="1"/>
    <x v="1"/>
    <x v="2"/>
    <x v="2"/>
    <x v="14"/>
    <n v="3"/>
    <x v="14"/>
    <x v="1"/>
  </r>
  <r>
    <x v="0"/>
    <x v="1"/>
    <x v="1"/>
    <x v="2"/>
    <x v="2"/>
    <x v="15"/>
    <n v="1"/>
    <x v="15"/>
    <x v="1"/>
  </r>
  <r>
    <x v="0"/>
    <x v="1"/>
    <x v="1"/>
    <x v="2"/>
    <x v="2"/>
    <x v="16"/>
    <n v="0"/>
    <x v="16"/>
    <x v="1"/>
  </r>
  <r>
    <x v="0"/>
    <x v="1"/>
    <x v="1"/>
    <x v="2"/>
    <x v="2"/>
    <x v="17"/>
    <n v="1"/>
    <x v="17"/>
    <x v="1"/>
  </r>
  <r>
    <x v="0"/>
    <x v="1"/>
    <x v="1"/>
    <x v="2"/>
    <x v="2"/>
    <x v="18"/>
    <n v="2"/>
    <x v="18"/>
    <x v="0"/>
  </r>
  <r>
    <x v="0"/>
    <x v="1"/>
    <x v="1"/>
    <x v="2"/>
    <x v="2"/>
    <x v="19"/>
    <n v="2"/>
    <x v="19"/>
    <x v="0"/>
  </r>
  <r>
    <x v="1"/>
    <x v="2"/>
    <x v="1"/>
    <x v="0"/>
    <x v="0"/>
    <x v="0"/>
    <n v="5"/>
    <x v="0"/>
    <x v="0"/>
  </r>
  <r>
    <x v="1"/>
    <x v="2"/>
    <x v="1"/>
    <x v="0"/>
    <x v="0"/>
    <x v="1"/>
    <n v="11"/>
    <x v="1"/>
    <x v="0"/>
  </r>
  <r>
    <x v="1"/>
    <x v="2"/>
    <x v="1"/>
    <x v="0"/>
    <x v="0"/>
    <x v="2"/>
    <n v="5"/>
    <x v="2"/>
    <x v="0"/>
  </r>
  <r>
    <x v="1"/>
    <x v="2"/>
    <x v="1"/>
    <x v="0"/>
    <x v="0"/>
    <x v="3"/>
    <n v="4"/>
    <x v="3"/>
    <x v="1"/>
  </r>
  <r>
    <x v="1"/>
    <x v="2"/>
    <x v="1"/>
    <x v="0"/>
    <x v="0"/>
    <x v="4"/>
    <n v="4"/>
    <x v="4"/>
    <x v="1"/>
  </r>
  <r>
    <x v="1"/>
    <x v="2"/>
    <x v="1"/>
    <x v="0"/>
    <x v="0"/>
    <x v="5"/>
    <n v="10"/>
    <x v="5"/>
    <x v="1"/>
  </r>
  <r>
    <x v="1"/>
    <x v="2"/>
    <x v="1"/>
    <x v="0"/>
    <x v="0"/>
    <x v="6"/>
    <n v="8"/>
    <x v="6"/>
    <x v="1"/>
  </r>
  <r>
    <x v="1"/>
    <x v="2"/>
    <x v="1"/>
    <x v="0"/>
    <x v="0"/>
    <x v="7"/>
    <n v="9"/>
    <x v="7"/>
    <x v="0"/>
  </r>
  <r>
    <x v="1"/>
    <x v="2"/>
    <x v="1"/>
    <x v="0"/>
    <x v="1"/>
    <x v="8"/>
    <n v="3"/>
    <x v="8"/>
    <x v="1"/>
  </r>
  <r>
    <x v="1"/>
    <x v="2"/>
    <x v="1"/>
    <x v="0"/>
    <x v="1"/>
    <x v="9"/>
    <n v="7"/>
    <x v="9"/>
    <x v="1"/>
  </r>
  <r>
    <x v="1"/>
    <x v="2"/>
    <x v="1"/>
    <x v="0"/>
    <x v="1"/>
    <x v="10"/>
    <n v="7"/>
    <x v="10"/>
    <x v="1"/>
  </r>
  <r>
    <x v="1"/>
    <x v="2"/>
    <x v="1"/>
    <x v="0"/>
    <x v="1"/>
    <x v="11"/>
    <n v="3"/>
    <x v="11"/>
    <x v="1"/>
  </r>
  <r>
    <x v="1"/>
    <x v="2"/>
    <x v="1"/>
    <x v="0"/>
    <x v="2"/>
    <x v="12"/>
    <n v="3"/>
    <x v="12"/>
    <x v="0"/>
  </r>
  <r>
    <x v="1"/>
    <x v="2"/>
    <x v="1"/>
    <x v="0"/>
    <x v="2"/>
    <x v="13"/>
    <n v="4"/>
    <x v="13"/>
    <x v="0"/>
  </r>
  <r>
    <x v="1"/>
    <x v="2"/>
    <x v="1"/>
    <x v="0"/>
    <x v="2"/>
    <x v="14"/>
    <n v="3"/>
    <x v="14"/>
    <x v="1"/>
  </r>
  <r>
    <x v="1"/>
    <x v="2"/>
    <x v="1"/>
    <x v="0"/>
    <x v="2"/>
    <x v="15"/>
    <n v="5"/>
    <x v="15"/>
    <x v="1"/>
  </r>
  <r>
    <x v="1"/>
    <x v="2"/>
    <x v="1"/>
    <x v="0"/>
    <x v="2"/>
    <x v="16"/>
    <n v="4"/>
    <x v="16"/>
    <x v="1"/>
  </r>
  <r>
    <x v="1"/>
    <x v="2"/>
    <x v="1"/>
    <x v="0"/>
    <x v="2"/>
    <x v="17"/>
    <n v="5"/>
    <x v="17"/>
    <x v="1"/>
  </r>
  <r>
    <x v="1"/>
    <x v="2"/>
    <x v="1"/>
    <x v="0"/>
    <x v="2"/>
    <x v="18"/>
    <n v="5"/>
    <x v="18"/>
    <x v="0"/>
  </r>
  <r>
    <x v="1"/>
    <x v="2"/>
    <x v="1"/>
    <x v="0"/>
    <x v="2"/>
    <x v="19"/>
    <n v="3"/>
    <x v="19"/>
    <x v="0"/>
  </r>
  <r>
    <x v="1"/>
    <x v="2"/>
    <x v="1"/>
    <x v="1"/>
    <x v="0"/>
    <x v="0"/>
    <n v="0"/>
    <x v="0"/>
    <x v="0"/>
  </r>
  <r>
    <x v="1"/>
    <x v="2"/>
    <x v="1"/>
    <x v="1"/>
    <x v="0"/>
    <x v="1"/>
    <n v="0"/>
    <x v="1"/>
    <x v="0"/>
  </r>
  <r>
    <x v="1"/>
    <x v="2"/>
    <x v="1"/>
    <x v="1"/>
    <x v="0"/>
    <x v="2"/>
    <n v="0"/>
    <x v="2"/>
    <x v="0"/>
  </r>
  <r>
    <x v="1"/>
    <x v="2"/>
    <x v="1"/>
    <x v="1"/>
    <x v="0"/>
    <x v="3"/>
    <n v="0"/>
    <x v="3"/>
    <x v="1"/>
  </r>
  <r>
    <x v="1"/>
    <x v="2"/>
    <x v="1"/>
    <x v="1"/>
    <x v="0"/>
    <x v="4"/>
    <n v="1"/>
    <x v="4"/>
    <x v="1"/>
  </r>
  <r>
    <x v="1"/>
    <x v="2"/>
    <x v="1"/>
    <x v="1"/>
    <x v="0"/>
    <x v="5"/>
    <n v="1"/>
    <x v="5"/>
    <x v="1"/>
  </r>
  <r>
    <x v="1"/>
    <x v="2"/>
    <x v="1"/>
    <x v="1"/>
    <x v="0"/>
    <x v="6"/>
    <n v="0"/>
    <x v="6"/>
    <x v="1"/>
  </r>
  <r>
    <x v="1"/>
    <x v="2"/>
    <x v="1"/>
    <x v="1"/>
    <x v="0"/>
    <x v="7"/>
    <n v="1"/>
    <x v="7"/>
    <x v="0"/>
  </r>
  <r>
    <x v="1"/>
    <x v="2"/>
    <x v="1"/>
    <x v="1"/>
    <x v="1"/>
    <x v="8"/>
    <n v="0"/>
    <x v="8"/>
    <x v="1"/>
  </r>
  <r>
    <x v="1"/>
    <x v="2"/>
    <x v="1"/>
    <x v="1"/>
    <x v="1"/>
    <x v="9"/>
    <n v="0"/>
    <x v="9"/>
    <x v="1"/>
  </r>
  <r>
    <x v="1"/>
    <x v="2"/>
    <x v="1"/>
    <x v="1"/>
    <x v="1"/>
    <x v="10"/>
    <n v="0"/>
    <x v="10"/>
    <x v="1"/>
  </r>
  <r>
    <x v="1"/>
    <x v="2"/>
    <x v="1"/>
    <x v="1"/>
    <x v="1"/>
    <x v="11"/>
    <n v="0"/>
    <x v="11"/>
    <x v="1"/>
  </r>
  <r>
    <x v="1"/>
    <x v="2"/>
    <x v="1"/>
    <x v="1"/>
    <x v="2"/>
    <x v="12"/>
    <n v="0"/>
    <x v="12"/>
    <x v="0"/>
  </r>
  <r>
    <x v="1"/>
    <x v="2"/>
    <x v="1"/>
    <x v="1"/>
    <x v="2"/>
    <x v="13"/>
    <n v="0"/>
    <x v="13"/>
    <x v="0"/>
  </r>
  <r>
    <x v="1"/>
    <x v="2"/>
    <x v="1"/>
    <x v="1"/>
    <x v="2"/>
    <x v="14"/>
    <n v="1"/>
    <x v="14"/>
    <x v="1"/>
  </r>
  <r>
    <x v="1"/>
    <x v="2"/>
    <x v="1"/>
    <x v="1"/>
    <x v="2"/>
    <x v="15"/>
    <n v="0"/>
    <x v="15"/>
    <x v="1"/>
  </r>
  <r>
    <x v="1"/>
    <x v="2"/>
    <x v="1"/>
    <x v="1"/>
    <x v="2"/>
    <x v="16"/>
    <n v="0"/>
    <x v="16"/>
    <x v="1"/>
  </r>
  <r>
    <x v="1"/>
    <x v="2"/>
    <x v="1"/>
    <x v="1"/>
    <x v="2"/>
    <x v="17"/>
    <n v="0"/>
    <x v="17"/>
    <x v="1"/>
  </r>
  <r>
    <x v="1"/>
    <x v="2"/>
    <x v="1"/>
    <x v="1"/>
    <x v="2"/>
    <x v="18"/>
    <n v="0"/>
    <x v="18"/>
    <x v="0"/>
  </r>
  <r>
    <x v="1"/>
    <x v="2"/>
    <x v="1"/>
    <x v="1"/>
    <x v="2"/>
    <x v="19"/>
    <n v="1"/>
    <x v="19"/>
    <x v="0"/>
  </r>
  <r>
    <x v="1"/>
    <x v="2"/>
    <x v="1"/>
    <x v="2"/>
    <x v="0"/>
    <x v="0"/>
    <n v="0"/>
    <x v="0"/>
    <x v="0"/>
  </r>
  <r>
    <x v="1"/>
    <x v="2"/>
    <x v="1"/>
    <x v="2"/>
    <x v="0"/>
    <x v="1"/>
    <n v="0"/>
    <x v="1"/>
    <x v="0"/>
  </r>
  <r>
    <x v="1"/>
    <x v="2"/>
    <x v="1"/>
    <x v="2"/>
    <x v="0"/>
    <x v="2"/>
    <n v="0"/>
    <x v="2"/>
    <x v="0"/>
  </r>
  <r>
    <x v="1"/>
    <x v="2"/>
    <x v="1"/>
    <x v="2"/>
    <x v="0"/>
    <x v="3"/>
    <n v="0"/>
    <x v="3"/>
    <x v="1"/>
  </r>
  <r>
    <x v="1"/>
    <x v="2"/>
    <x v="1"/>
    <x v="2"/>
    <x v="0"/>
    <x v="4"/>
    <n v="1"/>
    <x v="4"/>
    <x v="1"/>
  </r>
  <r>
    <x v="1"/>
    <x v="2"/>
    <x v="1"/>
    <x v="2"/>
    <x v="0"/>
    <x v="5"/>
    <n v="0"/>
    <x v="5"/>
    <x v="1"/>
  </r>
  <r>
    <x v="1"/>
    <x v="2"/>
    <x v="1"/>
    <x v="2"/>
    <x v="0"/>
    <x v="6"/>
    <n v="0"/>
    <x v="6"/>
    <x v="1"/>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0"/>
  </r>
  <r>
    <x v="1"/>
    <x v="2"/>
    <x v="1"/>
    <x v="2"/>
    <x v="2"/>
    <x v="14"/>
    <n v="1"/>
    <x v="14"/>
    <x v="1"/>
  </r>
  <r>
    <x v="1"/>
    <x v="2"/>
    <x v="1"/>
    <x v="2"/>
    <x v="2"/>
    <x v="15"/>
    <n v="1"/>
    <x v="15"/>
    <x v="1"/>
  </r>
  <r>
    <x v="1"/>
    <x v="2"/>
    <x v="1"/>
    <x v="2"/>
    <x v="2"/>
    <x v="16"/>
    <n v="0"/>
    <x v="16"/>
    <x v="1"/>
  </r>
  <r>
    <x v="1"/>
    <x v="2"/>
    <x v="1"/>
    <x v="2"/>
    <x v="2"/>
    <x v="17"/>
    <n v="0"/>
    <x v="17"/>
    <x v="1"/>
  </r>
  <r>
    <x v="1"/>
    <x v="2"/>
    <x v="1"/>
    <x v="2"/>
    <x v="2"/>
    <x v="18"/>
    <n v="2"/>
    <x v="18"/>
    <x v="0"/>
  </r>
  <r>
    <x v="1"/>
    <x v="2"/>
    <x v="1"/>
    <x v="2"/>
    <x v="2"/>
    <x v="19"/>
    <n v="0"/>
    <x v="19"/>
    <x v="0"/>
  </r>
  <r>
    <x v="1"/>
    <x v="3"/>
    <x v="2"/>
    <x v="0"/>
    <x v="0"/>
    <x v="0"/>
    <n v="7"/>
    <x v="0"/>
    <x v="0"/>
  </r>
  <r>
    <x v="1"/>
    <x v="3"/>
    <x v="2"/>
    <x v="0"/>
    <x v="0"/>
    <x v="1"/>
    <n v="16"/>
    <x v="1"/>
    <x v="0"/>
  </r>
  <r>
    <x v="1"/>
    <x v="3"/>
    <x v="2"/>
    <x v="0"/>
    <x v="0"/>
    <x v="2"/>
    <n v="28"/>
    <x v="2"/>
    <x v="0"/>
  </r>
  <r>
    <x v="1"/>
    <x v="3"/>
    <x v="2"/>
    <x v="0"/>
    <x v="0"/>
    <x v="3"/>
    <n v="26"/>
    <x v="3"/>
    <x v="1"/>
  </r>
  <r>
    <x v="1"/>
    <x v="3"/>
    <x v="2"/>
    <x v="0"/>
    <x v="0"/>
    <x v="4"/>
    <n v="31"/>
    <x v="4"/>
    <x v="1"/>
  </r>
  <r>
    <x v="1"/>
    <x v="3"/>
    <x v="2"/>
    <x v="0"/>
    <x v="0"/>
    <x v="5"/>
    <n v="30"/>
    <x v="5"/>
    <x v="1"/>
  </r>
  <r>
    <x v="1"/>
    <x v="3"/>
    <x v="2"/>
    <x v="0"/>
    <x v="0"/>
    <x v="6"/>
    <n v="36"/>
    <x v="6"/>
    <x v="1"/>
  </r>
  <r>
    <x v="1"/>
    <x v="3"/>
    <x v="2"/>
    <x v="0"/>
    <x v="0"/>
    <x v="7"/>
    <n v="22"/>
    <x v="7"/>
    <x v="0"/>
  </r>
  <r>
    <x v="1"/>
    <x v="3"/>
    <x v="2"/>
    <x v="0"/>
    <x v="1"/>
    <x v="8"/>
    <n v="11"/>
    <x v="8"/>
    <x v="1"/>
  </r>
  <r>
    <x v="1"/>
    <x v="3"/>
    <x v="2"/>
    <x v="0"/>
    <x v="1"/>
    <x v="9"/>
    <n v="11"/>
    <x v="9"/>
    <x v="1"/>
  </r>
  <r>
    <x v="1"/>
    <x v="3"/>
    <x v="2"/>
    <x v="0"/>
    <x v="1"/>
    <x v="10"/>
    <n v="12"/>
    <x v="10"/>
    <x v="1"/>
  </r>
  <r>
    <x v="1"/>
    <x v="3"/>
    <x v="2"/>
    <x v="0"/>
    <x v="1"/>
    <x v="11"/>
    <n v="14"/>
    <x v="11"/>
    <x v="1"/>
  </r>
  <r>
    <x v="1"/>
    <x v="3"/>
    <x v="2"/>
    <x v="0"/>
    <x v="2"/>
    <x v="12"/>
    <n v="20"/>
    <x v="12"/>
    <x v="0"/>
  </r>
  <r>
    <x v="1"/>
    <x v="3"/>
    <x v="2"/>
    <x v="0"/>
    <x v="2"/>
    <x v="13"/>
    <n v="19"/>
    <x v="13"/>
    <x v="0"/>
  </r>
  <r>
    <x v="1"/>
    <x v="3"/>
    <x v="2"/>
    <x v="0"/>
    <x v="2"/>
    <x v="14"/>
    <n v="26"/>
    <x v="14"/>
    <x v="1"/>
  </r>
  <r>
    <x v="1"/>
    <x v="3"/>
    <x v="2"/>
    <x v="0"/>
    <x v="2"/>
    <x v="15"/>
    <n v="17"/>
    <x v="15"/>
    <x v="1"/>
  </r>
  <r>
    <x v="1"/>
    <x v="3"/>
    <x v="2"/>
    <x v="0"/>
    <x v="2"/>
    <x v="16"/>
    <n v="17"/>
    <x v="16"/>
    <x v="1"/>
  </r>
  <r>
    <x v="1"/>
    <x v="3"/>
    <x v="2"/>
    <x v="0"/>
    <x v="2"/>
    <x v="17"/>
    <n v="16"/>
    <x v="17"/>
    <x v="1"/>
  </r>
  <r>
    <x v="1"/>
    <x v="3"/>
    <x v="2"/>
    <x v="0"/>
    <x v="2"/>
    <x v="18"/>
    <n v="15"/>
    <x v="18"/>
    <x v="0"/>
  </r>
  <r>
    <x v="1"/>
    <x v="3"/>
    <x v="2"/>
    <x v="0"/>
    <x v="2"/>
    <x v="19"/>
    <n v="17"/>
    <x v="19"/>
    <x v="0"/>
  </r>
  <r>
    <x v="1"/>
    <x v="3"/>
    <x v="2"/>
    <x v="1"/>
    <x v="0"/>
    <x v="0"/>
    <n v="0"/>
    <x v="0"/>
    <x v="0"/>
  </r>
  <r>
    <x v="1"/>
    <x v="3"/>
    <x v="2"/>
    <x v="1"/>
    <x v="0"/>
    <x v="1"/>
    <n v="0"/>
    <x v="1"/>
    <x v="0"/>
  </r>
  <r>
    <x v="1"/>
    <x v="3"/>
    <x v="2"/>
    <x v="1"/>
    <x v="0"/>
    <x v="2"/>
    <n v="0"/>
    <x v="2"/>
    <x v="0"/>
  </r>
  <r>
    <x v="1"/>
    <x v="3"/>
    <x v="2"/>
    <x v="1"/>
    <x v="0"/>
    <x v="3"/>
    <n v="0"/>
    <x v="3"/>
    <x v="1"/>
  </r>
  <r>
    <x v="1"/>
    <x v="3"/>
    <x v="2"/>
    <x v="1"/>
    <x v="0"/>
    <x v="4"/>
    <n v="0"/>
    <x v="4"/>
    <x v="1"/>
  </r>
  <r>
    <x v="1"/>
    <x v="3"/>
    <x v="2"/>
    <x v="1"/>
    <x v="0"/>
    <x v="5"/>
    <n v="0"/>
    <x v="5"/>
    <x v="1"/>
  </r>
  <r>
    <x v="1"/>
    <x v="3"/>
    <x v="2"/>
    <x v="1"/>
    <x v="0"/>
    <x v="6"/>
    <n v="2"/>
    <x v="6"/>
    <x v="1"/>
  </r>
  <r>
    <x v="1"/>
    <x v="3"/>
    <x v="2"/>
    <x v="1"/>
    <x v="0"/>
    <x v="7"/>
    <n v="0"/>
    <x v="7"/>
    <x v="0"/>
  </r>
  <r>
    <x v="1"/>
    <x v="3"/>
    <x v="2"/>
    <x v="1"/>
    <x v="1"/>
    <x v="8"/>
    <n v="0"/>
    <x v="8"/>
    <x v="1"/>
  </r>
  <r>
    <x v="1"/>
    <x v="3"/>
    <x v="2"/>
    <x v="1"/>
    <x v="1"/>
    <x v="9"/>
    <n v="0"/>
    <x v="9"/>
    <x v="1"/>
  </r>
  <r>
    <x v="1"/>
    <x v="3"/>
    <x v="2"/>
    <x v="1"/>
    <x v="1"/>
    <x v="10"/>
    <n v="1"/>
    <x v="10"/>
    <x v="1"/>
  </r>
  <r>
    <x v="1"/>
    <x v="3"/>
    <x v="2"/>
    <x v="1"/>
    <x v="1"/>
    <x v="11"/>
    <n v="0"/>
    <x v="11"/>
    <x v="1"/>
  </r>
  <r>
    <x v="1"/>
    <x v="3"/>
    <x v="2"/>
    <x v="1"/>
    <x v="2"/>
    <x v="12"/>
    <n v="1"/>
    <x v="12"/>
    <x v="0"/>
  </r>
  <r>
    <x v="1"/>
    <x v="3"/>
    <x v="2"/>
    <x v="1"/>
    <x v="2"/>
    <x v="13"/>
    <n v="0"/>
    <x v="13"/>
    <x v="0"/>
  </r>
  <r>
    <x v="1"/>
    <x v="3"/>
    <x v="2"/>
    <x v="1"/>
    <x v="2"/>
    <x v="14"/>
    <n v="0"/>
    <x v="14"/>
    <x v="1"/>
  </r>
  <r>
    <x v="1"/>
    <x v="3"/>
    <x v="2"/>
    <x v="1"/>
    <x v="2"/>
    <x v="15"/>
    <n v="0"/>
    <x v="15"/>
    <x v="1"/>
  </r>
  <r>
    <x v="1"/>
    <x v="3"/>
    <x v="2"/>
    <x v="1"/>
    <x v="2"/>
    <x v="16"/>
    <n v="0"/>
    <x v="16"/>
    <x v="1"/>
  </r>
  <r>
    <x v="1"/>
    <x v="3"/>
    <x v="2"/>
    <x v="1"/>
    <x v="2"/>
    <x v="17"/>
    <n v="0"/>
    <x v="17"/>
    <x v="1"/>
  </r>
  <r>
    <x v="1"/>
    <x v="3"/>
    <x v="2"/>
    <x v="1"/>
    <x v="2"/>
    <x v="18"/>
    <n v="1"/>
    <x v="18"/>
    <x v="0"/>
  </r>
  <r>
    <x v="1"/>
    <x v="3"/>
    <x v="2"/>
    <x v="1"/>
    <x v="2"/>
    <x v="19"/>
    <n v="0"/>
    <x v="19"/>
    <x v="0"/>
  </r>
  <r>
    <x v="1"/>
    <x v="3"/>
    <x v="2"/>
    <x v="2"/>
    <x v="0"/>
    <x v="0"/>
    <n v="0"/>
    <x v="0"/>
    <x v="0"/>
  </r>
  <r>
    <x v="1"/>
    <x v="3"/>
    <x v="2"/>
    <x v="2"/>
    <x v="0"/>
    <x v="1"/>
    <n v="1"/>
    <x v="1"/>
    <x v="0"/>
  </r>
  <r>
    <x v="1"/>
    <x v="3"/>
    <x v="2"/>
    <x v="2"/>
    <x v="0"/>
    <x v="2"/>
    <n v="3"/>
    <x v="2"/>
    <x v="0"/>
  </r>
  <r>
    <x v="1"/>
    <x v="3"/>
    <x v="2"/>
    <x v="2"/>
    <x v="0"/>
    <x v="3"/>
    <n v="0"/>
    <x v="3"/>
    <x v="1"/>
  </r>
  <r>
    <x v="1"/>
    <x v="3"/>
    <x v="2"/>
    <x v="2"/>
    <x v="0"/>
    <x v="4"/>
    <n v="1"/>
    <x v="4"/>
    <x v="1"/>
  </r>
  <r>
    <x v="1"/>
    <x v="3"/>
    <x v="2"/>
    <x v="2"/>
    <x v="0"/>
    <x v="5"/>
    <n v="0"/>
    <x v="5"/>
    <x v="1"/>
  </r>
  <r>
    <x v="1"/>
    <x v="3"/>
    <x v="2"/>
    <x v="2"/>
    <x v="0"/>
    <x v="6"/>
    <n v="0"/>
    <x v="6"/>
    <x v="1"/>
  </r>
  <r>
    <x v="1"/>
    <x v="3"/>
    <x v="2"/>
    <x v="2"/>
    <x v="0"/>
    <x v="7"/>
    <n v="3"/>
    <x v="7"/>
    <x v="0"/>
  </r>
  <r>
    <x v="1"/>
    <x v="3"/>
    <x v="2"/>
    <x v="2"/>
    <x v="1"/>
    <x v="8"/>
    <n v="2"/>
    <x v="8"/>
    <x v="1"/>
  </r>
  <r>
    <x v="1"/>
    <x v="3"/>
    <x v="2"/>
    <x v="2"/>
    <x v="1"/>
    <x v="9"/>
    <n v="1"/>
    <x v="9"/>
    <x v="1"/>
  </r>
  <r>
    <x v="1"/>
    <x v="3"/>
    <x v="2"/>
    <x v="2"/>
    <x v="1"/>
    <x v="10"/>
    <n v="1"/>
    <x v="10"/>
    <x v="1"/>
  </r>
  <r>
    <x v="1"/>
    <x v="3"/>
    <x v="2"/>
    <x v="2"/>
    <x v="1"/>
    <x v="11"/>
    <n v="2"/>
    <x v="11"/>
    <x v="1"/>
  </r>
  <r>
    <x v="1"/>
    <x v="3"/>
    <x v="2"/>
    <x v="2"/>
    <x v="2"/>
    <x v="12"/>
    <n v="0"/>
    <x v="12"/>
    <x v="0"/>
  </r>
  <r>
    <x v="1"/>
    <x v="3"/>
    <x v="2"/>
    <x v="2"/>
    <x v="2"/>
    <x v="13"/>
    <n v="1"/>
    <x v="13"/>
    <x v="0"/>
  </r>
  <r>
    <x v="1"/>
    <x v="3"/>
    <x v="2"/>
    <x v="2"/>
    <x v="2"/>
    <x v="14"/>
    <n v="1"/>
    <x v="14"/>
    <x v="1"/>
  </r>
  <r>
    <x v="1"/>
    <x v="3"/>
    <x v="2"/>
    <x v="2"/>
    <x v="2"/>
    <x v="15"/>
    <n v="3"/>
    <x v="15"/>
    <x v="1"/>
  </r>
  <r>
    <x v="1"/>
    <x v="3"/>
    <x v="2"/>
    <x v="2"/>
    <x v="2"/>
    <x v="16"/>
    <n v="2"/>
    <x v="16"/>
    <x v="1"/>
  </r>
  <r>
    <x v="1"/>
    <x v="3"/>
    <x v="2"/>
    <x v="2"/>
    <x v="2"/>
    <x v="17"/>
    <n v="2"/>
    <x v="17"/>
    <x v="1"/>
  </r>
  <r>
    <x v="1"/>
    <x v="3"/>
    <x v="2"/>
    <x v="2"/>
    <x v="2"/>
    <x v="18"/>
    <n v="1"/>
    <x v="18"/>
    <x v="0"/>
  </r>
  <r>
    <x v="1"/>
    <x v="3"/>
    <x v="2"/>
    <x v="2"/>
    <x v="2"/>
    <x v="19"/>
    <n v="5"/>
    <x v="19"/>
    <x v="0"/>
  </r>
  <r>
    <x v="2"/>
    <x v="4"/>
    <x v="2"/>
    <x v="0"/>
    <x v="0"/>
    <x v="0"/>
    <n v="51"/>
    <x v="0"/>
    <x v="0"/>
  </r>
  <r>
    <x v="2"/>
    <x v="4"/>
    <x v="2"/>
    <x v="0"/>
    <x v="0"/>
    <x v="1"/>
    <n v="59"/>
    <x v="1"/>
    <x v="0"/>
  </r>
  <r>
    <x v="2"/>
    <x v="4"/>
    <x v="2"/>
    <x v="0"/>
    <x v="0"/>
    <x v="2"/>
    <n v="80"/>
    <x v="2"/>
    <x v="0"/>
  </r>
  <r>
    <x v="2"/>
    <x v="4"/>
    <x v="2"/>
    <x v="0"/>
    <x v="0"/>
    <x v="3"/>
    <n v="85"/>
    <x v="3"/>
    <x v="1"/>
  </r>
  <r>
    <x v="2"/>
    <x v="4"/>
    <x v="2"/>
    <x v="0"/>
    <x v="0"/>
    <x v="4"/>
    <n v="86"/>
    <x v="4"/>
    <x v="1"/>
  </r>
  <r>
    <x v="2"/>
    <x v="4"/>
    <x v="2"/>
    <x v="0"/>
    <x v="0"/>
    <x v="5"/>
    <n v="98"/>
    <x v="5"/>
    <x v="1"/>
  </r>
  <r>
    <x v="2"/>
    <x v="4"/>
    <x v="2"/>
    <x v="0"/>
    <x v="0"/>
    <x v="6"/>
    <n v="84"/>
    <x v="6"/>
    <x v="1"/>
  </r>
  <r>
    <x v="2"/>
    <x v="4"/>
    <x v="2"/>
    <x v="0"/>
    <x v="0"/>
    <x v="7"/>
    <n v="76"/>
    <x v="7"/>
    <x v="0"/>
  </r>
  <r>
    <x v="2"/>
    <x v="4"/>
    <x v="2"/>
    <x v="0"/>
    <x v="1"/>
    <x v="8"/>
    <n v="56"/>
    <x v="8"/>
    <x v="1"/>
  </r>
  <r>
    <x v="2"/>
    <x v="4"/>
    <x v="2"/>
    <x v="0"/>
    <x v="1"/>
    <x v="9"/>
    <n v="43"/>
    <x v="9"/>
    <x v="1"/>
  </r>
  <r>
    <x v="2"/>
    <x v="4"/>
    <x v="2"/>
    <x v="0"/>
    <x v="1"/>
    <x v="10"/>
    <n v="40"/>
    <x v="10"/>
    <x v="1"/>
  </r>
  <r>
    <x v="2"/>
    <x v="4"/>
    <x v="2"/>
    <x v="0"/>
    <x v="1"/>
    <x v="11"/>
    <n v="45"/>
    <x v="11"/>
    <x v="1"/>
  </r>
  <r>
    <x v="2"/>
    <x v="4"/>
    <x v="2"/>
    <x v="0"/>
    <x v="2"/>
    <x v="12"/>
    <n v="85"/>
    <x v="12"/>
    <x v="0"/>
  </r>
  <r>
    <x v="2"/>
    <x v="4"/>
    <x v="2"/>
    <x v="0"/>
    <x v="2"/>
    <x v="13"/>
    <n v="91"/>
    <x v="13"/>
    <x v="0"/>
  </r>
  <r>
    <x v="2"/>
    <x v="4"/>
    <x v="2"/>
    <x v="0"/>
    <x v="2"/>
    <x v="14"/>
    <n v="105"/>
    <x v="14"/>
    <x v="1"/>
  </r>
  <r>
    <x v="2"/>
    <x v="4"/>
    <x v="2"/>
    <x v="0"/>
    <x v="2"/>
    <x v="15"/>
    <n v="108"/>
    <x v="15"/>
    <x v="1"/>
  </r>
  <r>
    <x v="2"/>
    <x v="4"/>
    <x v="2"/>
    <x v="0"/>
    <x v="2"/>
    <x v="16"/>
    <n v="124"/>
    <x v="16"/>
    <x v="1"/>
  </r>
  <r>
    <x v="2"/>
    <x v="4"/>
    <x v="2"/>
    <x v="0"/>
    <x v="2"/>
    <x v="17"/>
    <n v="119"/>
    <x v="17"/>
    <x v="1"/>
  </r>
  <r>
    <x v="2"/>
    <x v="4"/>
    <x v="2"/>
    <x v="0"/>
    <x v="2"/>
    <x v="18"/>
    <n v="109"/>
    <x v="18"/>
    <x v="0"/>
  </r>
  <r>
    <x v="2"/>
    <x v="4"/>
    <x v="2"/>
    <x v="0"/>
    <x v="2"/>
    <x v="19"/>
    <n v="90"/>
    <x v="19"/>
    <x v="0"/>
  </r>
  <r>
    <x v="2"/>
    <x v="4"/>
    <x v="2"/>
    <x v="1"/>
    <x v="0"/>
    <x v="0"/>
    <n v="3"/>
    <x v="0"/>
    <x v="0"/>
  </r>
  <r>
    <x v="2"/>
    <x v="4"/>
    <x v="2"/>
    <x v="1"/>
    <x v="0"/>
    <x v="1"/>
    <n v="1"/>
    <x v="1"/>
    <x v="0"/>
  </r>
  <r>
    <x v="2"/>
    <x v="4"/>
    <x v="2"/>
    <x v="1"/>
    <x v="0"/>
    <x v="2"/>
    <n v="1"/>
    <x v="2"/>
    <x v="0"/>
  </r>
  <r>
    <x v="2"/>
    <x v="4"/>
    <x v="2"/>
    <x v="1"/>
    <x v="0"/>
    <x v="3"/>
    <n v="2"/>
    <x v="3"/>
    <x v="1"/>
  </r>
  <r>
    <x v="2"/>
    <x v="4"/>
    <x v="2"/>
    <x v="1"/>
    <x v="0"/>
    <x v="4"/>
    <n v="1"/>
    <x v="4"/>
    <x v="1"/>
  </r>
  <r>
    <x v="2"/>
    <x v="4"/>
    <x v="2"/>
    <x v="1"/>
    <x v="0"/>
    <x v="5"/>
    <n v="2"/>
    <x v="5"/>
    <x v="1"/>
  </r>
  <r>
    <x v="2"/>
    <x v="4"/>
    <x v="2"/>
    <x v="1"/>
    <x v="0"/>
    <x v="6"/>
    <n v="1"/>
    <x v="6"/>
    <x v="1"/>
  </r>
  <r>
    <x v="2"/>
    <x v="4"/>
    <x v="2"/>
    <x v="1"/>
    <x v="0"/>
    <x v="7"/>
    <n v="1"/>
    <x v="7"/>
    <x v="0"/>
  </r>
  <r>
    <x v="2"/>
    <x v="4"/>
    <x v="2"/>
    <x v="1"/>
    <x v="1"/>
    <x v="8"/>
    <n v="0"/>
    <x v="8"/>
    <x v="1"/>
  </r>
  <r>
    <x v="2"/>
    <x v="4"/>
    <x v="2"/>
    <x v="1"/>
    <x v="1"/>
    <x v="9"/>
    <n v="1"/>
    <x v="9"/>
    <x v="1"/>
  </r>
  <r>
    <x v="2"/>
    <x v="4"/>
    <x v="2"/>
    <x v="1"/>
    <x v="1"/>
    <x v="10"/>
    <n v="1"/>
    <x v="10"/>
    <x v="1"/>
  </r>
  <r>
    <x v="2"/>
    <x v="4"/>
    <x v="2"/>
    <x v="1"/>
    <x v="1"/>
    <x v="11"/>
    <n v="3"/>
    <x v="11"/>
    <x v="1"/>
  </r>
  <r>
    <x v="2"/>
    <x v="4"/>
    <x v="2"/>
    <x v="1"/>
    <x v="2"/>
    <x v="12"/>
    <n v="2"/>
    <x v="12"/>
    <x v="0"/>
  </r>
  <r>
    <x v="2"/>
    <x v="4"/>
    <x v="2"/>
    <x v="1"/>
    <x v="2"/>
    <x v="13"/>
    <n v="2"/>
    <x v="13"/>
    <x v="0"/>
  </r>
  <r>
    <x v="2"/>
    <x v="4"/>
    <x v="2"/>
    <x v="1"/>
    <x v="2"/>
    <x v="14"/>
    <n v="3"/>
    <x v="14"/>
    <x v="1"/>
  </r>
  <r>
    <x v="2"/>
    <x v="4"/>
    <x v="2"/>
    <x v="1"/>
    <x v="2"/>
    <x v="15"/>
    <n v="0"/>
    <x v="15"/>
    <x v="1"/>
  </r>
  <r>
    <x v="2"/>
    <x v="4"/>
    <x v="2"/>
    <x v="1"/>
    <x v="2"/>
    <x v="16"/>
    <n v="4"/>
    <x v="16"/>
    <x v="1"/>
  </r>
  <r>
    <x v="2"/>
    <x v="4"/>
    <x v="2"/>
    <x v="1"/>
    <x v="2"/>
    <x v="17"/>
    <n v="5"/>
    <x v="17"/>
    <x v="1"/>
  </r>
  <r>
    <x v="2"/>
    <x v="4"/>
    <x v="2"/>
    <x v="1"/>
    <x v="2"/>
    <x v="18"/>
    <n v="4"/>
    <x v="18"/>
    <x v="0"/>
  </r>
  <r>
    <x v="2"/>
    <x v="4"/>
    <x v="2"/>
    <x v="1"/>
    <x v="2"/>
    <x v="19"/>
    <n v="1"/>
    <x v="19"/>
    <x v="0"/>
  </r>
  <r>
    <x v="2"/>
    <x v="4"/>
    <x v="2"/>
    <x v="2"/>
    <x v="0"/>
    <x v="0"/>
    <n v="1"/>
    <x v="0"/>
    <x v="0"/>
  </r>
  <r>
    <x v="2"/>
    <x v="4"/>
    <x v="2"/>
    <x v="2"/>
    <x v="0"/>
    <x v="1"/>
    <n v="0"/>
    <x v="1"/>
    <x v="0"/>
  </r>
  <r>
    <x v="2"/>
    <x v="4"/>
    <x v="2"/>
    <x v="2"/>
    <x v="0"/>
    <x v="2"/>
    <n v="1"/>
    <x v="2"/>
    <x v="0"/>
  </r>
  <r>
    <x v="2"/>
    <x v="4"/>
    <x v="2"/>
    <x v="2"/>
    <x v="0"/>
    <x v="3"/>
    <n v="1"/>
    <x v="3"/>
    <x v="1"/>
  </r>
  <r>
    <x v="2"/>
    <x v="4"/>
    <x v="2"/>
    <x v="2"/>
    <x v="0"/>
    <x v="4"/>
    <n v="2"/>
    <x v="4"/>
    <x v="1"/>
  </r>
  <r>
    <x v="2"/>
    <x v="4"/>
    <x v="2"/>
    <x v="2"/>
    <x v="0"/>
    <x v="5"/>
    <n v="0"/>
    <x v="5"/>
    <x v="1"/>
  </r>
  <r>
    <x v="2"/>
    <x v="4"/>
    <x v="2"/>
    <x v="2"/>
    <x v="0"/>
    <x v="6"/>
    <n v="0"/>
    <x v="6"/>
    <x v="1"/>
  </r>
  <r>
    <x v="2"/>
    <x v="4"/>
    <x v="2"/>
    <x v="2"/>
    <x v="0"/>
    <x v="7"/>
    <n v="0"/>
    <x v="7"/>
    <x v="0"/>
  </r>
  <r>
    <x v="2"/>
    <x v="4"/>
    <x v="2"/>
    <x v="2"/>
    <x v="1"/>
    <x v="8"/>
    <n v="1"/>
    <x v="8"/>
    <x v="1"/>
  </r>
  <r>
    <x v="2"/>
    <x v="4"/>
    <x v="2"/>
    <x v="2"/>
    <x v="1"/>
    <x v="9"/>
    <n v="1"/>
    <x v="9"/>
    <x v="1"/>
  </r>
  <r>
    <x v="2"/>
    <x v="4"/>
    <x v="2"/>
    <x v="2"/>
    <x v="1"/>
    <x v="10"/>
    <n v="0"/>
    <x v="10"/>
    <x v="1"/>
  </r>
  <r>
    <x v="2"/>
    <x v="4"/>
    <x v="2"/>
    <x v="2"/>
    <x v="1"/>
    <x v="11"/>
    <n v="0"/>
    <x v="11"/>
    <x v="1"/>
  </r>
  <r>
    <x v="2"/>
    <x v="4"/>
    <x v="2"/>
    <x v="2"/>
    <x v="2"/>
    <x v="12"/>
    <n v="0"/>
    <x v="12"/>
    <x v="0"/>
  </r>
  <r>
    <x v="2"/>
    <x v="4"/>
    <x v="2"/>
    <x v="2"/>
    <x v="2"/>
    <x v="13"/>
    <n v="2"/>
    <x v="13"/>
    <x v="0"/>
  </r>
  <r>
    <x v="2"/>
    <x v="4"/>
    <x v="2"/>
    <x v="2"/>
    <x v="2"/>
    <x v="14"/>
    <n v="0"/>
    <x v="14"/>
    <x v="1"/>
  </r>
  <r>
    <x v="2"/>
    <x v="4"/>
    <x v="2"/>
    <x v="2"/>
    <x v="2"/>
    <x v="15"/>
    <n v="3"/>
    <x v="15"/>
    <x v="1"/>
  </r>
  <r>
    <x v="2"/>
    <x v="4"/>
    <x v="2"/>
    <x v="2"/>
    <x v="2"/>
    <x v="16"/>
    <n v="3"/>
    <x v="16"/>
    <x v="1"/>
  </r>
  <r>
    <x v="2"/>
    <x v="4"/>
    <x v="2"/>
    <x v="2"/>
    <x v="2"/>
    <x v="17"/>
    <n v="1"/>
    <x v="17"/>
    <x v="1"/>
  </r>
  <r>
    <x v="2"/>
    <x v="4"/>
    <x v="2"/>
    <x v="2"/>
    <x v="2"/>
    <x v="18"/>
    <n v="0"/>
    <x v="18"/>
    <x v="0"/>
  </r>
  <r>
    <x v="2"/>
    <x v="4"/>
    <x v="2"/>
    <x v="2"/>
    <x v="2"/>
    <x v="19"/>
    <n v="0"/>
    <x v="19"/>
    <x v="0"/>
  </r>
  <r>
    <x v="2"/>
    <x v="5"/>
    <x v="0"/>
    <x v="0"/>
    <x v="0"/>
    <x v="0"/>
    <n v="3"/>
    <x v="0"/>
    <x v="0"/>
  </r>
  <r>
    <x v="2"/>
    <x v="5"/>
    <x v="0"/>
    <x v="0"/>
    <x v="0"/>
    <x v="1"/>
    <n v="7"/>
    <x v="1"/>
    <x v="0"/>
  </r>
  <r>
    <x v="2"/>
    <x v="5"/>
    <x v="0"/>
    <x v="0"/>
    <x v="0"/>
    <x v="2"/>
    <n v="1"/>
    <x v="2"/>
    <x v="0"/>
  </r>
  <r>
    <x v="2"/>
    <x v="5"/>
    <x v="0"/>
    <x v="0"/>
    <x v="0"/>
    <x v="3"/>
    <n v="4"/>
    <x v="3"/>
    <x v="1"/>
  </r>
  <r>
    <x v="2"/>
    <x v="5"/>
    <x v="0"/>
    <x v="0"/>
    <x v="0"/>
    <x v="4"/>
    <n v="8"/>
    <x v="4"/>
    <x v="1"/>
  </r>
  <r>
    <x v="2"/>
    <x v="5"/>
    <x v="0"/>
    <x v="0"/>
    <x v="0"/>
    <x v="5"/>
    <n v="2"/>
    <x v="5"/>
    <x v="1"/>
  </r>
  <r>
    <x v="2"/>
    <x v="5"/>
    <x v="0"/>
    <x v="0"/>
    <x v="0"/>
    <x v="6"/>
    <n v="6"/>
    <x v="6"/>
    <x v="1"/>
  </r>
  <r>
    <x v="2"/>
    <x v="5"/>
    <x v="0"/>
    <x v="0"/>
    <x v="0"/>
    <x v="7"/>
    <n v="6"/>
    <x v="7"/>
    <x v="0"/>
  </r>
  <r>
    <x v="2"/>
    <x v="5"/>
    <x v="0"/>
    <x v="0"/>
    <x v="1"/>
    <x v="8"/>
    <n v="1"/>
    <x v="8"/>
    <x v="1"/>
  </r>
  <r>
    <x v="2"/>
    <x v="5"/>
    <x v="0"/>
    <x v="0"/>
    <x v="1"/>
    <x v="9"/>
    <n v="5"/>
    <x v="9"/>
    <x v="1"/>
  </r>
  <r>
    <x v="2"/>
    <x v="5"/>
    <x v="0"/>
    <x v="0"/>
    <x v="1"/>
    <x v="10"/>
    <n v="7"/>
    <x v="10"/>
    <x v="1"/>
  </r>
  <r>
    <x v="2"/>
    <x v="5"/>
    <x v="0"/>
    <x v="0"/>
    <x v="1"/>
    <x v="11"/>
    <n v="3"/>
    <x v="11"/>
    <x v="1"/>
  </r>
  <r>
    <x v="2"/>
    <x v="5"/>
    <x v="0"/>
    <x v="0"/>
    <x v="2"/>
    <x v="12"/>
    <n v="9"/>
    <x v="12"/>
    <x v="0"/>
  </r>
  <r>
    <x v="2"/>
    <x v="5"/>
    <x v="0"/>
    <x v="0"/>
    <x v="2"/>
    <x v="13"/>
    <n v="6"/>
    <x v="13"/>
    <x v="0"/>
  </r>
  <r>
    <x v="2"/>
    <x v="5"/>
    <x v="0"/>
    <x v="0"/>
    <x v="2"/>
    <x v="14"/>
    <n v="11"/>
    <x v="14"/>
    <x v="1"/>
  </r>
  <r>
    <x v="2"/>
    <x v="5"/>
    <x v="0"/>
    <x v="0"/>
    <x v="2"/>
    <x v="15"/>
    <n v="11"/>
    <x v="15"/>
    <x v="1"/>
  </r>
  <r>
    <x v="2"/>
    <x v="5"/>
    <x v="0"/>
    <x v="0"/>
    <x v="2"/>
    <x v="16"/>
    <n v="10"/>
    <x v="16"/>
    <x v="1"/>
  </r>
  <r>
    <x v="2"/>
    <x v="5"/>
    <x v="0"/>
    <x v="0"/>
    <x v="2"/>
    <x v="17"/>
    <n v="9"/>
    <x v="17"/>
    <x v="1"/>
  </r>
  <r>
    <x v="2"/>
    <x v="5"/>
    <x v="0"/>
    <x v="0"/>
    <x v="2"/>
    <x v="18"/>
    <n v="13"/>
    <x v="18"/>
    <x v="0"/>
  </r>
  <r>
    <x v="2"/>
    <x v="5"/>
    <x v="0"/>
    <x v="0"/>
    <x v="2"/>
    <x v="19"/>
    <n v="4"/>
    <x v="19"/>
    <x v="0"/>
  </r>
  <r>
    <x v="2"/>
    <x v="5"/>
    <x v="0"/>
    <x v="1"/>
    <x v="0"/>
    <x v="0"/>
    <n v="0"/>
    <x v="0"/>
    <x v="0"/>
  </r>
  <r>
    <x v="2"/>
    <x v="5"/>
    <x v="0"/>
    <x v="1"/>
    <x v="0"/>
    <x v="1"/>
    <n v="1"/>
    <x v="1"/>
    <x v="0"/>
  </r>
  <r>
    <x v="2"/>
    <x v="5"/>
    <x v="0"/>
    <x v="1"/>
    <x v="0"/>
    <x v="2"/>
    <n v="1"/>
    <x v="2"/>
    <x v="0"/>
  </r>
  <r>
    <x v="2"/>
    <x v="5"/>
    <x v="0"/>
    <x v="1"/>
    <x v="0"/>
    <x v="3"/>
    <n v="0"/>
    <x v="3"/>
    <x v="1"/>
  </r>
  <r>
    <x v="2"/>
    <x v="5"/>
    <x v="0"/>
    <x v="1"/>
    <x v="0"/>
    <x v="4"/>
    <n v="0"/>
    <x v="4"/>
    <x v="1"/>
  </r>
  <r>
    <x v="2"/>
    <x v="5"/>
    <x v="0"/>
    <x v="1"/>
    <x v="0"/>
    <x v="5"/>
    <n v="0"/>
    <x v="5"/>
    <x v="1"/>
  </r>
  <r>
    <x v="2"/>
    <x v="5"/>
    <x v="0"/>
    <x v="1"/>
    <x v="0"/>
    <x v="6"/>
    <n v="0"/>
    <x v="6"/>
    <x v="1"/>
  </r>
  <r>
    <x v="2"/>
    <x v="5"/>
    <x v="0"/>
    <x v="1"/>
    <x v="0"/>
    <x v="7"/>
    <n v="0"/>
    <x v="7"/>
    <x v="0"/>
  </r>
  <r>
    <x v="2"/>
    <x v="5"/>
    <x v="0"/>
    <x v="1"/>
    <x v="1"/>
    <x v="8"/>
    <n v="0"/>
    <x v="8"/>
    <x v="1"/>
  </r>
  <r>
    <x v="2"/>
    <x v="5"/>
    <x v="0"/>
    <x v="1"/>
    <x v="1"/>
    <x v="9"/>
    <n v="0"/>
    <x v="9"/>
    <x v="1"/>
  </r>
  <r>
    <x v="2"/>
    <x v="5"/>
    <x v="0"/>
    <x v="1"/>
    <x v="1"/>
    <x v="10"/>
    <n v="0"/>
    <x v="10"/>
    <x v="1"/>
  </r>
  <r>
    <x v="2"/>
    <x v="5"/>
    <x v="0"/>
    <x v="1"/>
    <x v="1"/>
    <x v="11"/>
    <n v="0"/>
    <x v="11"/>
    <x v="1"/>
  </r>
  <r>
    <x v="2"/>
    <x v="5"/>
    <x v="0"/>
    <x v="1"/>
    <x v="2"/>
    <x v="12"/>
    <n v="0"/>
    <x v="12"/>
    <x v="0"/>
  </r>
  <r>
    <x v="2"/>
    <x v="5"/>
    <x v="0"/>
    <x v="1"/>
    <x v="2"/>
    <x v="13"/>
    <n v="0"/>
    <x v="13"/>
    <x v="0"/>
  </r>
  <r>
    <x v="2"/>
    <x v="5"/>
    <x v="0"/>
    <x v="1"/>
    <x v="2"/>
    <x v="14"/>
    <n v="0"/>
    <x v="14"/>
    <x v="1"/>
  </r>
  <r>
    <x v="2"/>
    <x v="5"/>
    <x v="0"/>
    <x v="1"/>
    <x v="2"/>
    <x v="15"/>
    <n v="0"/>
    <x v="15"/>
    <x v="1"/>
  </r>
  <r>
    <x v="2"/>
    <x v="5"/>
    <x v="0"/>
    <x v="1"/>
    <x v="2"/>
    <x v="16"/>
    <n v="0"/>
    <x v="16"/>
    <x v="1"/>
  </r>
  <r>
    <x v="2"/>
    <x v="5"/>
    <x v="0"/>
    <x v="1"/>
    <x v="2"/>
    <x v="17"/>
    <n v="0"/>
    <x v="17"/>
    <x v="1"/>
  </r>
  <r>
    <x v="2"/>
    <x v="5"/>
    <x v="0"/>
    <x v="1"/>
    <x v="2"/>
    <x v="18"/>
    <n v="0"/>
    <x v="18"/>
    <x v="0"/>
  </r>
  <r>
    <x v="2"/>
    <x v="5"/>
    <x v="0"/>
    <x v="1"/>
    <x v="2"/>
    <x v="19"/>
    <n v="0"/>
    <x v="19"/>
    <x v="0"/>
  </r>
  <r>
    <x v="2"/>
    <x v="5"/>
    <x v="0"/>
    <x v="2"/>
    <x v="0"/>
    <x v="0"/>
    <n v="0"/>
    <x v="0"/>
    <x v="0"/>
  </r>
  <r>
    <x v="2"/>
    <x v="5"/>
    <x v="0"/>
    <x v="2"/>
    <x v="0"/>
    <x v="1"/>
    <n v="0"/>
    <x v="1"/>
    <x v="0"/>
  </r>
  <r>
    <x v="2"/>
    <x v="5"/>
    <x v="0"/>
    <x v="2"/>
    <x v="0"/>
    <x v="2"/>
    <n v="0"/>
    <x v="2"/>
    <x v="0"/>
  </r>
  <r>
    <x v="2"/>
    <x v="5"/>
    <x v="0"/>
    <x v="2"/>
    <x v="0"/>
    <x v="3"/>
    <n v="0"/>
    <x v="3"/>
    <x v="1"/>
  </r>
  <r>
    <x v="2"/>
    <x v="5"/>
    <x v="0"/>
    <x v="2"/>
    <x v="0"/>
    <x v="4"/>
    <n v="0"/>
    <x v="4"/>
    <x v="1"/>
  </r>
  <r>
    <x v="2"/>
    <x v="5"/>
    <x v="0"/>
    <x v="2"/>
    <x v="0"/>
    <x v="5"/>
    <n v="0"/>
    <x v="5"/>
    <x v="1"/>
  </r>
  <r>
    <x v="2"/>
    <x v="5"/>
    <x v="0"/>
    <x v="2"/>
    <x v="0"/>
    <x v="6"/>
    <n v="0"/>
    <x v="6"/>
    <x v="1"/>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1"/>
  </r>
  <r>
    <x v="2"/>
    <x v="5"/>
    <x v="0"/>
    <x v="2"/>
    <x v="2"/>
    <x v="15"/>
    <n v="0"/>
    <x v="15"/>
    <x v="1"/>
  </r>
  <r>
    <x v="2"/>
    <x v="5"/>
    <x v="0"/>
    <x v="2"/>
    <x v="2"/>
    <x v="16"/>
    <n v="0"/>
    <x v="16"/>
    <x v="1"/>
  </r>
  <r>
    <x v="2"/>
    <x v="5"/>
    <x v="0"/>
    <x v="2"/>
    <x v="2"/>
    <x v="17"/>
    <n v="0"/>
    <x v="17"/>
    <x v="1"/>
  </r>
  <r>
    <x v="2"/>
    <x v="5"/>
    <x v="0"/>
    <x v="2"/>
    <x v="2"/>
    <x v="18"/>
    <n v="0"/>
    <x v="18"/>
    <x v="0"/>
  </r>
  <r>
    <x v="2"/>
    <x v="5"/>
    <x v="0"/>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1"/>
        <item m="1" x="5"/>
        <item m="1" x="3"/>
        <item m="1" x="4"/>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x="0"/>
        <item m="1" x="6"/>
        <item m="1" x="3"/>
        <item m="1" x="5"/>
        <item x="1"/>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5"/>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2" activePane="bottomLeft" state="frozen"/>
      <selection pane="bottomLeft" activeCell="C18" sqref="C18"/>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44518</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Cashmere Road East</v>
      </c>
      <c r="C4" s="1" t="str">
        <f>Input!C31</f>
        <v>Cashmere Road South</v>
      </c>
      <c r="D4" s="1" t="str">
        <f>Input!C42</f>
        <v>Hendersons Road West</v>
      </c>
      <c r="E4" s="1">
        <f>Input!C53</f>
        <v>0</v>
      </c>
      <c r="F4" s="1">
        <f>Input!C64</f>
        <v>0</v>
      </c>
      <c r="G4" s="1">
        <f>Input!C75</f>
        <v>0</v>
      </c>
      <c r="H4" s="1">
        <f>Input!C86</f>
        <v>0</v>
      </c>
    </row>
    <row r="6" spans="2:8" x14ac:dyDescent="0.25">
      <c r="B6" t="s">
        <v>18</v>
      </c>
    </row>
    <row r="8" spans="2:8" x14ac:dyDescent="0.25">
      <c r="B8" s="1" t="str">
        <f>Input!C22</f>
        <v>Left into Cashmere Road South</v>
      </c>
      <c r="C8" s="1" t="str">
        <f>Input!C33</f>
        <v>Left into Hendersons Road West</v>
      </c>
      <c r="D8" s="1" t="str">
        <f>Input!C44</f>
        <v>Thru to Cashmere Road East</v>
      </c>
      <c r="E8" s="1">
        <f>Input!C55</f>
        <v>0</v>
      </c>
      <c r="F8" s="1">
        <f>Input!C66</f>
        <v>0</v>
      </c>
      <c r="G8" s="1">
        <f>Input!C77</f>
        <v>0</v>
      </c>
      <c r="H8" s="1">
        <f>Input!C88</f>
        <v>0</v>
      </c>
    </row>
    <row r="9" spans="2:8" x14ac:dyDescent="0.25">
      <c r="B9" s="1" t="str">
        <f>Input!C23</f>
        <v>Thru to Hendersons Road West</v>
      </c>
      <c r="C9" s="1" t="str">
        <f>Input!C34</f>
        <v>Right into Cashmere Road East</v>
      </c>
      <c r="D9" s="1" t="str">
        <f>Input!C45</f>
        <v>Right into Cashmere Road South</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Cashmere Road South</v>
      </c>
      <c r="C18" s="1" t="str">
        <f>Input!E33</f>
        <v>Hendersons Road West</v>
      </c>
      <c r="D18" s="1" t="str">
        <f>Input!E44</f>
        <v>Cashmere Road East</v>
      </c>
      <c r="E18" s="1">
        <f>Input!E55</f>
        <v>0</v>
      </c>
      <c r="F18" s="1">
        <f>Input!E66</f>
        <v>0</v>
      </c>
      <c r="G18" s="1">
        <f>Input!E77</f>
        <v>0</v>
      </c>
      <c r="H18" s="1">
        <f>Input!E88</f>
        <v>0</v>
      </c>
    </row>
    <row r="19" spans="2:8" x14ac:dyDescent="0.25">
      <c r="B19" s="1" t="str">
        <f>Input!E23</f>
        <v>Hendersons Road West</v>
      </c>
      <c r="C19" s="1" t="str">
        <f>Input!E34</f>
        <v>Cashmere Road East</v>
      </c>
      <c r="D19" s="1" t="str">
        <f>Input!E45</f>
        <v>Cashmere Road South</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91</v>
      </c>
      <c r="F7" s="45" t="s">
        <v>79</v>
      </c>
      <c r="G7" s="43" t="s">
        <v>89</v>
      </c>
      <c r="H7" s="44" t="s">
        <v>91</v>
      </c>
      <c r="I7" s="42" t="s">
        <v>79</v>
      </c>
      <c r="J7" s="43" t="s">
        <v>89</v>
      </c>
      <c r="K7" s="44" t="s">
        <v>91</v>
      </c>
      <c r="L7" s="45" t="s">
        <v>79</v>
      </c>
      <c r="M7" s="43" t="s">
        <v>89</v>
      </c>
      <c r="N7" s="44" t="s">
        <v>91</v>
      </c>
      <c r="O7" s="42" t="s">
        <v>79</v>
      </c>
      <c r="P7" s="43" t="s">
        <v>89</v>
      </c>
      <c r="Q7" s="44" t="s">
        <v>91</v>
      </c>
      <c r="R7" s="45" t="s">
        <v>79</v>
      </c>
      <c r="S7" s="43" t="s">
        <v>89</v>
      </c>
      <c r="T7" s="46" t="s">
        <v>91</v>
      </c>
    </row>
    <row r="8" spans="1:20" x14ac:dyDescent="0.25">
      <c r="A8" s="2" t="s">
        <v>43</v>
      </c>
      <c r="B8" s="7">
        <v>0.29166666666666669</v>
      </c>
      <c r="C8" s="31">
        <v>4</v>
      </c>
      <c r="D8">
        <v>0</v>
      </c>
      <c r="E8">
        <v>0</v>
      </c>
      <c r="F8" s="28">
        <v>50</v>
      </c>
      <c r="G8">
        <v>0</v>
      </c>
      <c r="H8">
        <v>1</v>
      </c>
      <c r="I8" s="31">
        <v>5</v>
      </c>
      <c r="J8">
        <v>0</v>
      </c>
      <c r="K8">
        <v>0</v>
      </c>
      <c r="L8" s="28">
        <v>7</v>
      </c>
      <c r="M8">
        <v>0</v>
      </c>
      <c r="N8">
        <v>0</v>
      </c>
      <c r="O8" s="31">
        <v>51</v>
      </c>
      <c r="P8">
        <v>3</v>
      </c>
      <c r="Q8">
        <v>1</v>
      </c>
      <c r="R8" s="28">
        <v>3</v>
      </c>
      <c r="S8">
        <v>0</v>
      </c>
      <c r="T8" s="34">
        <v>0</v>
      </c>
    </row>
    <row r="9" spans="1:20" x14ac:dyDescent="0.25">
      <c r="A9" s="2" t="s">
        <v>43</v>
      </c>
      <c r="B9" s="7">
        <v>0.30208333333333331</v>
      </c>
      <c r="C9" s="31">
        <v>6</v>
      </c>
      <c r="D9">
        <v>0</v>
      </c>
      <c r="E9">
        <v>1</v>
      </c>
      <c r="F9" s="28">
        <v>57</v>
      </c>
      <c r="G9">
        <v>1</v>
      </c>
      <c r="H9">
        <v>1</v>
      </c>
      <c r="I9" s="31">
        <v>11</v>
      </c>
      <c r="J9">
        <v>0</v>
      </c>
      <c r="K9">
        <v>0</v>
      </c>
      <c r="L9" s="28">
        <v>16</v>
      </c>
      <c r="M9">
        <v>0</v>
      </c>
      <c r="N9">
        <v>1</v>
      </c>
      <c r="O9" s="31">
        <v>59</v>
      </c>
      <c r="P9">
        <v>1</v>
      </c>
      <c r="Q9">
        <v>0</v>
      </c>
      <c r="R9" s="28">
        <v>7</v>
      </c>
      <c r="S9">
        <v>1</v>
      </c>
      <c r="T9" s="34">
        <v>0</v>
      </c>
    </row>
    <row r="10" spans="1:20" x14ac:dyDescent="0.25">
      <c r="A10" s="2" t="s">
        <v>43</v>
      </c>
      <c r="B10" s="7">
        <v>0.3125</v>
      </c>
      <c r="C10" s="31">
        <v>14</v>
      </c>
      <c r="D10">
        <v>0</v>
      </c>
      <c r="E10">
        <v>0</v>
      </c>
      <c r="F10" s="28">
        <v>79</v>
      </c>
      <c r="G10">
        <v>1</v>
      </c>
      <c r="H10">
        <v>3</v>
      </c>
      <c r="I10" s="31">
        <v>5</v>
      </c>
      <c r="J10">
        <v>0</v>
      </c>
      <c r="K10">
        <v>0</v>
      </c>
      <c r="L10" s="28">
        <v>28</v>
      </c>
      <c r="M10">
        <v>0</v>
      </c>
      <c r="N10">
        <v>3</v>
      </c>
      <c r="O10" s="31">
        <v>80</v>
      </c>
      <c r="P10">
        <v>1</v>
      </c>
      <c r="Q10">
        <v>1</v>
      </c>
      <c r="R10" s="28">
        <v>1</v>
      </c>
      <c r="S10">
        <v>1</v>
      </c>
      <c r="T10" s="34">
        <v>0</v>
      </c>
    </row>
    <row r="11" spans="1:20" x14ac:dyDescent="0.25">
      <c r="A11" s="2" t="s">
        <v>43</v>
      </c>
      <c r="B11" s="7">
        <v>0.32291666666666669</v>
      </c>
      <c r="C11" s="31">
        <v>13</v>
      </c>
      <c r="D11">
        <v>0</v>
      </c>
      <c r="E11">
        <v>1</v>
      </c>
      <c r="F11" s="28">
        <v>81</v>
      </c>
      <c r="G11">
        <v>1</v>
      </c>
      <c r="H11">
        <v>2</v>
      </c>
      <c r="I11" s="31">
        <v>4</v>
      </c>
      <c r="J11">
        <v>0</v>
      </c>
      <c r="K11">
        <v>0</v>
      </c>
      <c r="L11" s="28">
        <v>26</v>
      </c>
      <c r="M11">
        <v>0</v>
      </c>
      <c r="N11">
        <v>0</v>
      </c>
      <c r="O11" s="31">
        <v>85</v>
      </c>
      <c r="P11">
        <v>2</v>
      </c>
      <c r="Q11">
        <v>1</v>
      </c>
      <c r="R11" s="28">
        <v>4</v>
      </c>
      <c r="S11">
        <v>0</v>
      </c>
      <c r="T11" s="34">
        <v>0</v>
      </c>
    </row>
    <row r="12" spans="1:20" x14ac:dyDescent="0.25">
      <c r="A12" s="2" t="s">
        <v>43</v>
      </c>
      <c r="B12" s="7">
        <v>0.33333333333333331</v>
      </c>
      <c r="C12" s="31">
        <v>7</v>
      </c>
      <c r="D12">
        <v>1</v>
      </c>
      <c r="E12">
        <v>0</v>
      </c>
      <c r="F12" s="28">
        <v>78</v>
      </c>
      <c r="G12">
        <v>0</v>
      </c>
      <c r="H12">
        <v>1</v>
      </c>
      <c r="I12" s="31">
        <v>4</v>
      </c>
      <c r="J12">
        <v>1</v>
      </c>
      <c r="K12">
        <v>1</v>
      </c>
      <c r="L12" s="28">
        <v>31</v>
      </c>
      <c r="M12">
        <v>0</v>
      </c>
      <c r="N12">
        <v>1</v>
      </c>
      <c r="O12" s="31">
        <v>86</v>
      </c>
      <c r="P12">
        <v>1</v>
      </c>
      <c r="Q12">
        <v>2</v>
      </c>
      <c r="R12" s="28">
        <v>8</v>
      </c>
      <c r="S12">
        <v>0</v>
      </c>
      <c r="T12" s="34">
        <v>0</v>
      </c>
    </row>
    <row r="13" spans="1:20" x14ac:dyDescent="0.25">
      <c r="A13" s="2" t="s">
        <v>43</v>
      </c>
      <c r="B13" s="7">
        <v>0.34375</v>
      </c>
      <c r="C13" s="31">
        <v>9</v>
      </c>
      <c r="D13">
        <v>1</v>
      </c>
      <c r="E13">
        <v>0</v>
      </c>
      <c r="F13" s="28">
        <v>89</v>
      </c>
      <c r="G13">
        <v>1</v>
      </c>
      <c r="H13">
        <v>0</v>
      </c>
      <c r="I13" s="31">
        <v>10</v>
      </c>
      <c r="J13">
        <v>1</v>
      </c>
      <c r="K13">
        <v>0</v>
      </c>
      <c r="L13" s="28">
        <v>30</v>
      </c>
      <c r="M13">
        <v>0</v>
      </c>
      <c r="N13">
        <v>0</v>
      </c>
      <c r="O13" s="31">
        <v>98</v>
      </c>
      <c r="P13">
        <v>2</v>
      </c>
      <c r="Q13">
        <v>0</v>
      </c>
      <c r="R13" s="28">
        <v>2</v>
      </c>
      <c r="S13">
        <v>0</v>
      </c>
      <c r="T13" s="34">
        <v>0</v>
      </c>
    </row>
    <row r="14" spans="1:20" x14ac:dyDescent="0.25">
      <c r="A14" s="2" t="s">
        <v>43</v>
      </c>
      <c r="B14" s="7">
        <v>0.35416666666666669</v>
      </c>
      <c r="C14" s="31">
        <v>18</v>
      </c>
      <c r="D14">
        <v>0</v>
      </c>
      <c r="E14">
        <v>1</v>
      </c>
      <c r="F14" s="28">
        <v>79</v>
      </c>
      <c r="G14">
        <v>1</v>
      </c>
      <c r="H14">
        <v>1</v>
      </c>
      <c r="I14" s="31">
        <v>8</v>
      </c>
      <c r="J14">
        <v>0</v>
      </c>
      <c r="K14">
        <v>0</v>
      </c>
      <c r="L14" s="28">
        <v>36</v>
      </c>
      <c r="M14">
        <v>2</v>
      </c>
      <c r="N14">
        <v>0</v>
      </c>
      <c r="O14" s="31">
        <v>84</v>
      </c>
      <c r="P14">
        <v>1</v>
      </c>
      <c r="Q14">
        <v>0</v>
      </c>
      <c r="R14" s="28">
        <v>6</v>
      </c>
      <c r="S14">
        <v>0</v>
      </c>
      <c r="T14" s="34">
        <v>0</v>
      </c>
    </row>
    <row r="15" spans="1:20" ht="15.75" thickBot="1" x14ac:dyDescent="0.3">
      <c r="A15" s="2" t="s">
        <v>43</v>
      </c>
      <c r="B15" s="7">
        <v>0.36458333333333331</v>
      </c>
      <c r="C15" s="31">
        <v>15</v>
      </c>
      <c r="D15">
        <v>1</v>
      </c>
      <c r="E15">
        <v>2</v>
      </c>
      <c r="F15" s="28">
        <v>76</v>
      </c>
      <c r="G15">
        <v>0</v>
      </c>
      <c r="H15">
        <v>0</v>
      </c>
      <c r="I15" s="31">
        <v>9</v>
      </c>
      <c r="J15">
        <v>1</v>
      </c>
      <c r="K15">
        <v>0</v>
      </c>
      <c r="L15" s="28">
        <v>22</v>
      </c>
      <c r="M15">
        <v>0</v>
      </c>
      <c r="N15">
        <v>3</v>
      </c>
      <c r="O15" s="31">
        <v>76</v>
      </c>
      <c r="P15">
        <v>1</v>
      </c>
      <c r="Q15">
        <v>0</v>
      </c>
      <c r="R15" s="28">
        <v>6</v>
      </c>
      <c r="S15">
        <v>0</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90</v>
      </c>
      <c r="B17" s="7">
        <v>0.54166666666666663</v>
      </c>
      <c r="C17" s="31">
        <v>16</v>
      </c>
      <c r="D17">
        <v>0</v>
      </c>
      <c r="E17">
        <v>1</v>
      </c>
      <c r="F17" s="28">
        <v>35</v>
      </c>
      <c r="G17">
        <v>1</v>
      </c>
      <c r="H17">
        <v>0</v>
      </c>
      <c r="I17" s="31">
        <v>3</v>
      </c>
      <c r="J17">
        <v>0</v>
      </c>
      <c r="K17">
        <v>0</v>
      </c>
      <c r="L17" s="28">
        <v>11</v>
      </c>
      <c r="M17">
        <v>0</v>
      </c>
      <c r="N17">
        <v>2</v>
      </c>
      <c r="O17" s="31">
        <v>56</v>
      </c>
      <c r="P17">
        <v>0</v>
      </c>
      <c r="Q17">
        <v>1</v>
      </c>
      <c r="R17" s="28">
        <v>1</v>
      </c>
      <c r="S17">
        <v>0</v>
      </c>
      <c r="T17" s="34">
        <v>0</v>
      </c>
    </row>
    <row r="18" spans="1:20" x14ac:dyDescent="0.25">
      <c r="A18" s="2" t="s">
        <v>90</v>
      </c>
      <c r="B18" s="7">
        <v>0.55208333333333337</v>
      </c>
      <c r="C18" s="31">
        <v>8</v>
      </c>
      <c r="D18">
        <v>0</v>
      </c>
      <c r="E18">
        <v>3</v>
      </c>
      <c r="F18" s="28">
        <v>45</v>
      </c>
      <c r="G18">
        <v>1</v>
      </c>
      <c r="H18">
        <v>0</v>
      </c>
      <c r="I18" s="31">
        <v>7</v>
      </c>
      <c r="J18">
        <v>0</v>
      </c>
      <c r="K18">
        <v>0</v>
      </c>
      <c r="L18" s="28">
        <v>11</v>
      </c>
      <c r="M18">
        <v>0</v>
      </c>
      <c r="N18">
        <v>1</v>
      </c>
      <c r="O18" s="31">
        <v>43</v>
      </c>
      <c r="P18">
        <v>1</v>
      </c>
      <c r="Q18">
        <v>1</v>
      </c>
      <c r="R18" s="28">
        <v>5</v>
      </c>
      <c r="S18">
        <v>0</v>
      </c>
      <c r="T18" s="34">
        <v>0</v>
      </c>
    </row>
    <row r="19" spans="1:20" x14ac:dyDescent="0.25">
      <c r="A19" s="2" t="s">
        <v>90</v>
      </c>
      <c r="B19" s="7">
        <v>0.5625</v>
      </c>
      <c r="C19" s="31">
        <v>12</v>
      </c>
      <c r="D19">
        <v>1</v>
      </c>
      <c r="E19">
        <v>2</v>
      </c>
      <c r="F19" s="28">
        <v>40</v>
      </c>
      <c r="G19">
        <v>3</v>
      </c>
      <c r="H19">
        <v>1</v>
      </c>
      <c r="I19" s="31">
        <v>7</v>
      </c>
      <c r="J19">
        <v>0</v>
      </c>
      <c r="K19">
        <v>0</v>
      </c>
      <c r="L19" s="28">
        <v>12</v>
      </c>
      <c r="M19">
        <v>1</v>
      </c>
      <c r="N19">
        <v>1</v>
      </c>
      <c r="O19" s="31">
        <v>40</v>
      </c>
      <c r="P19">
        <v>1</v>
      </c>
      <c r="Q19">
        <v>0</v>
      </c>
      <c r="R19" s="28">
        <v>7</v>
      </c>
      <c r="S19">
        <v>0</v>
      </c>
      <c r="T19" s="34">
        <v>0</v>
      </c>
    </row>
    <row r="20" spans="1:20" ht="15.75" thickBot="1" x14ac:dyDescent="0.3">
      <c r="A20" s="2" t="s">
        <v>90</v>
      </c>
      <c r="B20" s="7">
        <v>0.57291666666666663</v>
      </c>
      <c r="C20" s="31">
        <v>4</v>
      </c>
      <c r="D20">
        <v>0</v>
      </c>
      <c r="E20">
        <v>2</v>
      </c>
      <c r="F20" s="28">
        <v>45</v>
      </c>
      <c r="G20">
        <v>1</v>
      </c>
      <c r="H20">
        <v>0</v>
      </c>
      <c r="I20" s="31">
        <v>3</v>
      </c>
      <c r="J20">
        <v>0</v>
      </c>
      <c r="K20">
        <v>0</v>
      </c>
      <c r="L20" s="28">
        <v>14</v>
      </c>
      <c r="M20">
        <v>0</v>
      </c>
      <c r="N20">
        <v>2</v>
      </c>
      <c r="O20" s="31">
        <v>45</v>
      </c>
      <c r="P20">
        <v>3</v>
      </c>
      <c r="Q20">
        <v>0</v>
      </c>
      <c r="R20" s="28">
        <v>3</v>
      </c>
      <c r="S20">
        <v>0</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15</v>
      </c>
      <c r="D22">
        <v>0</v>
      </c>
      <c r="E22">
        <v>2</v>
      </c>
      <c r="F22" s="28">
        <v>75</v>
      </c>
      <c r="G22">
        <v>0</v>
      </c>
      <c r="H22">
        <v>1</v>
      </c>
      <c r="I22" s="31">
        <v>3</v>
      </c>
      <c r="J22">
        <v>0</v>
      </c>
      <c r="K22">
        <v>0</v>
      </c>
      <c r="L22" s="28">
        <v>20</v>
      </c>
      <c r="M22">
        <v>1</v>
      </c>
      <c r="N22">
        <v>0</v>
      </c>
      <c r="O22" s="31">
        <v>85</v>
      </c>
      <c r="P22">
        <v>2</v>
      </c>
      <c r="Q22">
        <v>0</v>
      </c>
      <c r="R22" s="28">
        <v>9</v>
      </c>
      <c r="S22">
        <v>0</v>
      </c>
      <c r="T22" s="34">
        <v>0</v>
      </c>
    </row>
    <row r="23" spans="1:20" x14ac:dyDescent="0.25">
      <c r="A23" s="2" t="s">
        <v>44</v>
      </c>
      <c r="B23" s="7">
        <v>0.67708333333333337</v>
      </c>
      <c r="C23" s="31">
        <v>12</v>
      </c>
      <c r="D23">
        <v>0</v>
      </c>
      <c r="E23">
        <v>2</v>
      </c>
      <c r="F23" s="28">
        <v>85</v>
      </c>
      <c r="G23">
        <v>1</v>
      </c>
      <c r="H23">
        <v>2</v>
      </c>
      <c r="I23" s="31">
        <v>4</v>
      </c>
      <c r="J23">
        <v>0</v>
      </c>
      <c r="K23">
        <v>0</v>
      </c>
      <c r="L23" s="28">
        <v>19</v>
      </c>
      <c r="M23">
        <v>0</v>
      </c>
      <c r="N23">
        <v>1</v>
      </c>
      <c r="O23" s="31">
        <v>91</v>
      </c>
      <c r="P23">
        <v>2</v>
      </c>
      <c r="Q23">
        <v>2</v>
      </c>
      <c r="R23" s="28">
        <v>6</v>
      </c>
      <c r="S23">
        <v>0</v>
      </c>
      <c r="T23" s="34">
        <v>0</v>
      </c>
    </row>
    <row r="24" spans="1:20" x14ac:dyDescent="0.25">
      <c r="A24" s="2" t="s">
        <v>44</v>
      </c>
      <c r="B24" s="7">
        <v>0.6875</v>
      </c>
      <c r="C24" s="31">
        <v>15</v>
      </c>
      <c r="D24">
        <v>0</v>
      </c>
      <c r="E24">
        <v>9</v>
      </c>
      <c r="F24" s="28">
        <v>94</v>
      </c>
      <c r="G24">
        <v>3</v>
      </c>
      <c r="H24">
        <v>3</v>
      </c>
      <c r="I24" s="31">
        <v>3</v>
      </c>
      <c r="J24">
        <v>1</v>
      </c>
      <c r="K24">
        <v>1</v>
      </c>
      <c r="L24" s="28">
        <v>26</v>
      </c>
      <c r="M24">
        <v>0</v>
      </c>
      <c r="N24">
        <v>1</v>
      </c>
      <c r="O24" s="31">
        <v>105</v>
      </c>
      <c r="P24">
        <v>3</v>
      </c>
      <c r="Q24">
        <v>0</v>
      </c>
      <c r="R24" s="28">
        <v>11</v>
      </c>
      <c r="S24">
        <v>0</v>
      </c>
      <c r="T24" s="34">
        <v>0</v>
      </c>
    </row>
    <row r="25" spans="1:20" x14ac:dyDescent="0.25">
      <c r="A25" s="2" t="s">
        <v>44</v>
      </c>
      <c r="B25" s="7">
        <v>0.69791666666666663</v>
      </c>
      <c r="C25" s="31">
        <v>19</v>
      </c>
      <c r="D25">
        <v>1</v>
      </c>
      <c r="E25">
        <v>4</v>
      </c>
      <c r="F25" s="28">
        <v>93</v>
      </c>
      <c r="G25">
        <v>1</v>
      </c>
      <c r="H25">
        <v>1</v>
      </c>
      <c r="I25" s="31">
        <v>5</v>
      </c>
      <c r="J25">
        <v>0</v>
      </c>
      <c r="K25">
        <v>1</v>
      </c>
      <c r="L25" s="28">
        <v>17</v>
      </c>
      <c r="M25">
        <v>0</v>
      </c>
      <c r="N25">
        <v>3</v>
      </c>
      <c r="O25" s="31">
        <v>108</v>
      </c>
      <c r="P25">
        <v>0</v>
      </c>
      <c r="Q25">
        <v>3</v>
      </c>
      <c r="R25" s="28">
        <v>11</v>
      </c>
      <c r="S25">
        <v>0</v>
      </c>
      <c r="T25" s="34">
        <v>0</v>
      </c>
    </row>
    <row r="26" spans="1:20" x14ac:dyDescent="0.25">
      <c r="A26" s="2" t="s">
        <v>44</v>
      </c>
      <c r="B26" s="7">
        <v>0.70833333333333337</v>
      </c>
      <c r="C26" s="31">
        <v>21</v>
      </c>
      <c r="D26">
        <v>0</v>
      </c>
      <c r="E26">
        <v>1</v>
      </c>
      <c r="F26" s="28">
        <v>88</v>
      </c>
      <c r="G26">
        <v>0</v>
      </c>
      <c r="H26">
        <v>0</v>
      </c>
      <c r="I26" s="31">
        <v>4</v>
      </c>
      <c r="J26">
        <v>0</v>
      </c>
      <c r="K26">
        <v>0</v>
      </c>
      <c r="L26" s="28">
        <v>17</v>
      </c>
      <c r="M26">
        <v>0</v>
      </c>
      <c r="N26">
        <v>2</v>
      </c>
      <c r="O26" s="31">
        <v>124</v>
      </c>
      <c r="P26">
        <v>4</v>
      </c>
      <c r="Q26">
        <v>3</v>
      </c>
      <c r="R26" s="28">
        <v>10</v>
      </c>
      <c r="S26">
        <v>0</v>
      </c>
      <c r="T26" s="34">
        <v>0</v>
      </c>
    </row>
    <row r="27" spans="1:20" x14ac:dyDescent="0.25">
      <c r="A27" s="2" t="s">
        <v>44</v>
      </c>
      <c r="B27" s="7">
        <v>0.71875</v>
      </c>
      <c r="C27" s="31">
        <v>21</v>
      </c>
      <c r="D27">
        <v>1</v>
      </c>
      <c r="E27">
        <v>3</v>
      </c>
      <c r="F27" s="28">
        <v>108</v>
      </c>
      <c r="G27">
        <v>2</v>
      </c>
      <c r="H27">
        <v>1</v>
      </c>
      <c r="I27" s="31">
        <v>5</v>
      </c>
      <c r="J27">
        <v>0</v>
      </c>
      <c r="K27">
        <v>0</v>
      </c>
      <c r="L27" s="28">
        <v>16</v>
      </c>
      <c r="M27">
        <v>0</v>
      </c>
      <c r="N27">
        <v>2</v>
      </c>
      <c r="O27" s="31">
        <v>119</v>
      </c>
      <c r="P27">
        <v>5</v>
      </c>
      <c r="Q27">
        <v>1</v>
      </c>
      <c r="R27" s="28">
        <v>9</v>
      </c>
      <c r="S27">
        <v>0</v>
      </c>
      <c r="T27" s="34">
        <v>0</v>
      </c>
    </row>
    <row r="28" spans="1:20" x14ac:dyDescent="0.25">
      <c r="A28" s="2" t="s">
        <v>44</v>
      </c>
      <c r="B28" s="7">
        <v>0.72916666666666663</v>
      </c>
      <c r="C28" s="31">
        <v>17</v>
      </c>
      <c r="D28">
        <v>1</v>
      </c>
      <c r="E28">
        <v>1</v>
      </c>
      <c r="F28" s="28">
        <v>84</v>
      </c>
      <c r="G28">
        <v>1</v>
      </c>
      <c r="H28">
        <v>2</v>
      </c>
      <c r="I28" s="31">
        <v>5</v>
      </c>
      <c r="J28">
        <v>0</v>
      </c>
      <c r="K28">
        <v>2</v>
      </c>
      <c r="L28" s="28">
        <v>15</v>
      </c>
      <c r="M28">
        <v>1</v>
      </c>
      <c r="N28">
        <v>1</v>
      </c>
      <c r="O28" s="31">
        <v>109</v>
      </c>
      <c r="P28">
        <v>4</v>
      </c>
      <c r="Q28">
        <v>0</v>
      </c>
      <c r="R28" s="28">
        <v>13</v>
      </c>
      <c r="S28">
        <v>0</v>
      </c>
      <c r="T28" s="34">
        <v>0</v>
      </c>
    </row>
    <row r="29" spans="1:20" ht="15.75" thickBot="1" x14ac:dyDescent="0.3">
      <c r="A29" s="21" t="s">
        <v>44</v>
      </c>
      <c r="B29" s="48">
        <v>0.73958333333333337</v>
      </c>
      <c r="C29" s="39">
        <v>25</v>
      </c>
      <c r="D29" s="38">
        <v>1</v>
      </c>
      <c r="E29" s="38">
        <v>2</v>
      </c>
      <c r="F29" s="40">
        <v>72</v>
      </c>
      <c r="G29" s="38">
        <v>0</v>
      </c>
      <c r="H29" s="38">
        <v>2</v>
      </c>
      <c r="I29" s="39">
        <v>3</v>
      </c>
      <c r="J29" s="38">
        <v>1</v>
      </c>
      <c r="K29" s="38">
        <v>0</v>
      </c>
      <c r="L29" s="40">
        <v>17</v>
      </c>
      <c r="M29" s="38">
        <v>0</v>
      </c>
      <c r="N29" s="38">
        <v>5</v>
      </c>
      <c r="O29" s="39">
        <v>90</v>
      </c>
      <c r="P29" s="38">
        <v>1</v>
      </c>
      <c r="Q29" s="38">
        <v>0</v>
      </c>
      <c r="R29" s="40">
        <v>4</v>
      </c>
      <c r="S29" s="38">
        <v>0</v>
      </c>
      <c r="T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4</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6</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14</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13</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7</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9</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18</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15</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90</v>
      </c>
      <c r="F10" s="6">
        <v>0.54166666666666663</v>
      </c>
      <c r="G10">
        <v>16</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90</v>
      </c>
      <c r="F11" s="6">
        <v>0.55208333333333337</v>
      </c>
      <c r="G11">
        <v>8</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90</v>
      </c>
      <c r="F12" s="6">
        <v>0.5625</v>
      </c>
      <c r="G12">
        <v>12</v>
      </c>
      <c r="H12" s="6">
        <f>FLOOR(tblPivotData[[#This Row],[Time]],Summary!$B$6/1440)</f>
        <v>0.5625</v>
      </c>
      <c r="I12" s="49">
        <f>INDEX(PeakCalc!$L$10:$L$303,MATCH(tblPivotData[[#This Row],[Time]],PeakCalc!$G$10:$G$303,0))</f>
        <v>1</v>
      </c>
    </row>
    <row r="13" spans="1:9" x14ac:dyDescent="0.25">
      <c r="A13" t="s">
        <v>93</v>
      </c>
      <c r="B13" t="s">
        <v>96</v>
      </c>
      <c r="C13" t="s">
        <v>94</v>
      </c>
      <c r="D13" t="s">
        <v>79</v>
      </c>
      <c r="E13" t="s">
        <v>90</v>
      </c>
      <c r="F13" s="6">
        <v>0.57291666666666663</v>
      </c>
      <c r="G13">
        <v>4</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15</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12</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15</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19</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21</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21</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17</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25</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96</v>
      </c>
      <c r="C26" t="s">
        <v>94</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1</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1</v>
      </c>
      <c r="H29" s="6">
        <f>FLOOR(tblPivotData[[#This Row],[Time]],Summary!$B$6/1440)</f>
        <v>0.36458333333333331</v>
      </c>
      <c r="I29" s="49">
        <f>INDEX(PeakCalc!$L$10:$L$303,MATCH(tblPivotData[[#This Row],[Time]],PeakCalc!$G$10:$G$303,0))</f>
        <v>0</v>
      </c>
    </row>
    <row r="30" spans="1:9" x14ac:dyDescent="0.25">
      <c r="A30" t="s">
        <v>93</v>
      </c>
      <c r="B30" t="s">
        <v>96</v>
      </c>
      <c r="C30" t="s">
        <v>94</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90</v>
      </c>
      <c r="F32" s="6">
        <v>0.5625</v>
      </c>
      <c r="G32">
        <v>1</v>
      </c>
      <c r="H32" s="6">
        <f>FLOOR(tblPivotData[[#This Row],[Time]],Summary!$B$6/1440)</f>
        <v>0.5625</v>
      </c>
      <c r="I32" s="49">
        <f>INDEX(PeakCalc!$L$10:$L$303,MATCH(tblPivotData[[#This Row],[Time]],PeakCalc!$G$10:$G$303,0))</f>
        <v>1</v>
      </c>
    </row>
    <row r="33" spans="1:9" x14ac:dyDescent="0.25">
      <c r="A33" t="s">
        <v>93</v>
      </c>
      <c r="B33" t="s">
        <v>96</v>
      </c>
      <c r="C33" t="s">
        <v>94</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96</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1</v>
      </c>
      <c r="H39" s="6">
        <f>FLOOR(tblPivotData[[#This Row],[Time]],Summary!$B$6/1440)</f>
        <v>0.71875</v>
      </c>
      <c r="I39" s="49">
        <f>INDEX(PeakCalc!$L$10:$L$303,MATCH(tblPivotData[[#This Row],[Time]],PeakCalc!$G$10:$G$303,0))</f>
        <v>1</v>
      </c>
    </row>
    <row r="40" spans="1:9" x14ac:dyDescent="0.25">
      <c r="A40" t="s">
        <v>93</v>
      </c>
      <c r="B40" t="s">
        <v>96</v>
      </c>
      <c r="C40" t="s">
        <v>94</v>
      </c>
      <c r="D40" t="s">
        <v>89</v>
      </c>
      <c r="E40" t="s">
        <v>44</v>
      </c>
      <c r="F40" s="6">
        <v>0.72916666666666663</v>
      </c>
      <c r="G40">
        <v>1</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1</v>
      </c>
      <c r="H41" s="6">
        <f>FLOOR(tblPivotData[[#This Row],[Time]],Summary!$B$6/1440)</f>
        <v>0.73958333333333326</v>
      </c>
      <c r="I41" s="49">
        <f>INDEX(PeakCalc!$L$10:$L$303,MATCH(tblPivotData[[#This Row],[Time]],PeakCalc!$G$10:$G$303,0))</f>
        <v>0</v>
      </c>
    </row>
    <row r="42" spans="1:9" x14ac:dyDescent="0.25">
      <c r="A42" t="s">
        <v>93</v>
      </c>
      <c r="B42" t="s">
        <v>96</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91</v>
      </c>
      <c r="E43" t="s">
        <v>43</v>
      </c>
      <c r="F43" s="6">
        <v>0.30208333333333331</v>
      </c>
      <c r="G43">
        <v>1</v>
      </c>
      <c r="H43" s="6">
        <f>FLOOR(tblPivotData[[#This Row],[Time]],Summary!$B$6/1440)</f>
        <v>0.30208333333333331</v>
      </c>
      <c r="I43" s="49">
        <f>INDEX(PeakCalc!$L$10:$L$303,MATCH(tblPivotData[[#This Row],[Time]],PeakCalc!$G$10:$G$303,0))</f>
        <v>0</v>
      </c>
    </row>
    <row r="44" spans="1:9" x14ac:dyDescent="0.25">
      <c r="A44" t="s">
        <v>93</v>
      </c>
      <c r="B44" t="s">
        <v>96</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96</v>
      </c>
      <c r="C45" t="s">
        <v>94</v>
      </c>
      <c r="D45" t="s">
        <v>91</v>
      </c>
      <c r="E45" t="s">
        <v>43</v>
      </c>
      <c r="F45" s="6">
        <v>0.32291666666666669</v>
      </c>
      <c r="G45">
        <v>1</v>
      </c>
      <c r="H45" s="6">
        <f>FLOOR(tblPivotData[[#This Row],[Time]],Summary!$B$6/1440)</f>
        <v>0.32291666666666663</v>
      </c>
      <c r="I45" s="49">
        <f>INDEX(PeakCalc!$L$10:$L$303,MATCH(tblPivotData[[#This Row],[Time]],PeakCalc!$G$10:$G$303,0))</f>
        <v>1</v>
      </c>
    </row>
    <row r="46" spans="1:9" x14ac:dyDescent="0.25">
      <c r="A46" t="s">
        <v>93</v>
      </c>
      <c r="B46" t="s">
        <v>96</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94</v>
      </c>
      <c r="D48" t="s">
        <v>91</v>
      </c>
      <c r="E48" t="s">
        <v>43</v>
      </c>
      <c r="F48" s="6">
        <v>0.35416666666666669</v>
      </c>
      <c r="G48">
        <v>1</v>
      </c>
      <c r="H48" s="6">
        <f>FLOOR(tblPivotData[[#This Row],[Time]],Summary!$B$6/1440)</f>
        <v>0.35416666666666663</v>
      </c>
      <c r="I48" s="49">
        <f>INDEX(PeakCalc!$L$10:$L$303,MATCH(tblPivotData[[#This Row],[Time]],PeakCalc!$G$10:$G$303,0))</f>
        <v>1</v>
      </c>
    </row>
    <row r="49" spans="1:9" x14ac:dyDescent="0.25">
      <c r="A49" t="s">
        <v>93</v>
      </c>
      <c r="B49" t="s">
        <v>96</v>
      </c>
      <c r="C49" t="s">
        <v>94</v>
      </c>
      <c r="D49" t="s">
        <v>91</v>
      </c>
      <c r="E49" t="s">
        <v>43</v>
      </c>
      <c r="F49" s="6">
        <v>0.36458333333333331</v>
      </c>
      <c r="G49">
        <v>2</v>
      </c>
      <c r="H49" s="6">
        <f>FLOOR(tblPivotData[[#This Row],[Time]],Summary!$B$6/1440)</f>
        <v>0.36458333333333331</v>
      </c>
      <c r="I49" s="49">
        <f>INDEX(PeakCalc!$L$10:$L$303,MATCH(tblPivotData[[#This Row],[Time]],PeakCalc!$G$10:$G$303,0))</f>
        <v>0</v>
      </c>
    </row>
    <row r="50" spans="1:9" x14ac:dyDescent="0.25">
      <c r="A50" t="s">
        <v>93</v>
      </c>
      <c r="B50" t="s">
        <v>96</v>
      </c>
      <c r="C50" t="s">
        <v>94</v>
      </c>
      <c r="D50" t="s">
        <v>91</v>
      </c>
      <c r="E50" t="s">
        <v>90</v>
      </c>
      <c r="F50" s="6">
        <v>0.54166666666666663</v>
      </c>
      <c r="G50">
        <v>1</v>
      </c>
      <c r="H50" s="6">
        <f>FLOOR(tblPivotData[[#This Row],[Time]],Summary!$B$6/1440)</f>
        <v>0.54166666666666663</v>
      </c>
      <c r="I50" s="49">
        <f>INDEX(PeakCalc!$L$10:$L$303,MATCH(tblPivotData[[#This Row],[Time]],PeakCalc!$G$10:$G$303,0))</f>
        <v>1</v>
      </c>
    </row>
    <row r="51" spans="1:9" x14ac:dyDescent="0.25">
      <c r="A51" t="s">
        <v>93</v>
      </c>
      <c r="B51" t="s">
        <v>96</v>
      </c>
      <c r="C51" t="s">
        <v>94</v>
      </c>
      <c r="D51" t="s">
        <v>91</v>
      </c>
      <c r="E51" t="s">
        <v>90</v>
      </c>
      <c r="F51" s="6">
        <v>0.55208333333333337</v>
      </c>
      <c r="G51">
        <v>3</v>
      </c>
      <c r="H51" s="6">
        <f>FLOOR(tblPivotData[[#This Row],[Time]],Summary!$B$6/1440)</f>
        <v>0.55208333333333326</v>
      </c>
      <c r="I51" s="49">
        <f>INDEX(PeakCalc!$L$10:$L$303,MATCH(tblPivotData[[#This Row],[Time]],PeakCalc!$G$10:$G$303,0))</f>
        <v>1</v>
      </c>
    </row>
    <row r="52" spans="1:9" x14ac:dyDescent="0.25">
      <c r="A52" t="s">
        <v>93</v>
      </c>
      <c r="B52" t="s">
        <v>96</v>
      </c>
      <c r="C52" t="s">
        <v>94</v>
      </c>
      <c r="D52" t="s">
        <v>91</v>
      </c>
      <c r="E52" t="s">
        <v>90</v>
      </c>
      <c r="F52" s="6">
        <v>0.5625</v>
      </c>
      <c r="G52">
        <v>2</v>
      </c>
      <c r="H52" s="6">
        <f>FLOOR(tblPivotData[[#This Row],[Time]],Summary!$B$6/1440)</f>
        <v>0.5625</v>
      </c>
      <c r="I52" s="49">
        <f>INDEX(PeakCalc!$L$10:$L$303,MATCH(tblPivotData[[#This Row],[Time]],PeakCalc!$G$10:$G$303,0))</f>
        <v>1</v>
      </c>
    </row>
    <row r="53" spans="1:9" x14ac:dyDescent="0.25">
      <c r="A53" t="s">
        <v>93</v>
      </c>
      <c r="B53" t="s">
        <v>96</v>
      </c>
      <c r="C53" t="s">
        <v>94</v>
      </c>
      <c r="D53" t="s">
        <v>91</v>
      </c>
      <c r="E53" t="s">
        <v>90</v>
      </c>
      <c r="F53" s="6">
        <v>0.57291666666666663</v>
      </c>
      <c r="G53">
        <v>2</v>
      </c>
      <c r="H53" s="6">
        <f>FLOOR(tblPivotData[[#This Row],[Time]],Summary!$B$6/1440)</f>
        <v>0.57291666666666663</v>
      </c>
      <c r="I53" s="49">
        <f>INDEX(PeakCalc!$L$10:$L$303,MATCH(tblPivotData[[#This Row],[Time]],PeakCalc!$G$10:$G$303,0))</f>
        <v>1</v>
      </c>
    </row>
    <row r="54" spans="1:9" x14ac:dyDescent="0.25">
      <c r="A54" t="s">
        <v>93</v>
      </c>
      <c r="B54" t="s">
        <v>96</v>
      </c>
      <c r="C54" t="s">
        <v>94</v>
      </c>
      <c r="D54" t="s">
        <v>91</v>
      </c>
      <c r="E54" t="s">
        <v>44</v>
      </c>
      <c r="F54" s="6">
        <v>0.66666666666666663</v>
      </c>
      <c r="G54">
        <v>2</v>
      </c>
      <c r="H54" s="6">
        <f>FLOOR(tblPivotData[[#This Row],[Time]],Summary!$B$6/1440)</f>
        <v>0.66666666666666663</v>
      </c>
      <c r="I54" s="49">
        <f>INDEX(PeakCalc!$L$10:$L$303,MATCH(tblPivotData[[#This Row],[Time]],PeakCalc!$G$10:$G$303,0))</f>
        <v>0</v>
      </c>
    </row>
    <row r="55" spans="1:9" x14ac:dyDescent="0.25">
      <c r="A55" t="s">
        <v>93</v>
      </c>
      <c r="B55" t="s">
        <v>96</v>
      </c>
      <c r="C55" t="s">
        <v>94</v>
      </c>
      <c r="D55" t="s">
        <v>91</v>
      </c>
      <c r="E55" t="s">
        <v>44</v>
      </c>
      <c r="F55" s="6">
        <v>0.67708333333333337</v>
      </c>
      <c r="G55">
        <v>2</v>
      </c>
      <c r="H55" s="6">
        <f>FLOOR(tblPivotData[[#This Row],[Time]],Summary!$B$6/1440)</f>
        <v>0.67708333333333326</v>
      </c>
      <c r="I55" s="49">
        <f>INDEX(PeakCalc!$L$10:$L$303,MATCH(tblPivotData[[#This Row],[Time]],PeakCalc!$G$10:$G$303,0))</f>
        <v>0</v>
      </c>
    </row>
    <row r="56" spans="1:9" x14ac:dyDescent="0.25">
      <c r="A56" t="s">
        <v>93</v>
      </c>
      <c r="B56" t="s">
        <v>96</v>
      </c>
      <c r="C56" t="s">
        <v>94</v>
      </c>
      <c r="D56" t="s">
        <v>91</v>
      </c>
      <c r="E56" t="s">
        <v>44</v>
      </c>
      <c r="F56" s="6">
        <v>0.6875</v>
      </c>
      <c r="G56">
        <v>9</v>
      </c>
      <c r="H56" s="6">
        <f>FLOOR(tblPivotData[[#This Row],[Time]],Summary!$B$6/1440)</f>
        <v>0.6875</v>
      </c>
      <c r="I56" s="49">
        <f>INDEX(PeakCalc!$L$10:$L$303,MATCH(tblPivotData[[#This Row],[Time]],PeakCalc!$G$10:$G$303,0))</f>
        <v>1</v>
      </c>
    </row>
    <row r="57" spans="1:9" x14ac:dyDescent="0.25">
      <c r="A57" t="s">
        <v>93</v>
      </c>
      <c r="B57" t="s">
        <v>96</v>
      </c>
      <c r="C57" t="s">
        <v>94</v>
      </c>
      <c r="D57" t="s">
        <v>91</v>
      </c>
      <c r="E57" t="s">
        <v>44</v>
      </c>
      <c r="F57" s="6">
        <v>0.69791666666666663</v>
      </c>
      <c r="G57">
        <v>4</v>
      </c>
      <c r="H57" s="6">
        <f>FLOOR(tblPivotData[[#This Row],[Time]],Summary!$B$6/1440)</f>
        <v>0.69791666666666663</v>
      </c>
      <c r="I57" s="49">
        <f>INDEX(PeakCalc!$L$10:$L$303,MATCH(tblPivotData[[#This Row],[Time]],PeakCalc!$G$10:$G$303,0))</f>
        <v>1</v>
      </c>
    </row>
    <row r="58" spans="1:9" x14ac:dyDescent="0.25">
      <c r="A58" t="s">
        <v>93</v>
      </c>
      <c r="B58" t="s">
        <v>96</v>
      </c>
      <c r="C58" t="s">
        <v>94</v>
      </c>
      <c r="D58" t="s">
        <v>91</v>
      </c>
      <c r="E58" t="s">
        <v>44</v>
      </c>
      <c r="F58" s="6">
        <v>0.70833333333333337</v>
      </c>
      <c r="G58">
        <v>1</v>
      </c>
      <c r="H58" s="6">
        <f>FLOOR(tblPivotData[[#This Row],[Time]],Summary!$B$6/1440)</f>
        <v>0.70833333333333326</v>
      </c>
      <c r="I58" s="49">
        <f>INDEX(PeakCalc!$L$10:$L$303,MATCH(tblPivotData[[#This Row],[Time]],PeakCalc!$G$10:$G$303,0))</f>
        <v>1</v>
      </c>
    </row>
    <row r="59" spans="1:9" x14ac:dyDescent="0.25">
      <c r="A59" t="s">
        <v>93</v>
      </c>
      <c r="B59" t="s">
        <v>96</v>
      </c>
      <c r="C59" t="s">
        <v>94</v>
      </c>
      <c r="D59" t="s">
        <v>91</v>
      </c>
      <c r="E59" t="s">
        <v>44</v>
      </c>
      <c r="F59" s="6">
        <v>0.71875</v>
      </c>
      <c r="G59">
        <v>3</v>
      </c>
      <c r="H59" s="6">
        <f>FLOOR(tblPivotData[[#This Row],[Time]],Summary!$B$6/1440)</f>
        <v>0.71875</v>
      </c>
      <c r="I59" s="49">
        <f>INDEX(PeakCalc!$L$10:$L$303,MATCH(tblPivotData[[#This Row],[Time]],PeakCalc!$G$10:$G$303,0))</f>
        <v>1</v>
      </c>
    </row>
    <row r="60" spans="1:9" x14ac:dyDescent="0.25">
      <c r="A60" t="s">
        <v>93</v>
      </c>
      <c r="B60" t="s">
        <v>96</v>
      </c>
      <c r="C60" t="s">
        <v>94</v>
      </c>
      <c r="D60" t="s">
        <v>91</v>
      </c>
      <c r="E60" t="s">
        <v>44</v>
      </c>
      <c r="F60" s="6">
        <v>0.72916666666666663</v>
      </c>
      <c r="G60">
        <v>1</v>
      </c>
      <c r="H60" s="6">
        <f>FLOOR(tblPivotData[[#This Row],[Time]],Summary!$B$6/1440)</f>
        <v>0.72916666666666663</v>
      </c>
      <c r="I60" s="49">
        <f>INDEX(PeakCalc!$L$10:$L$303,MATCH(tblPivotData[[#This Row],[Time]],PeakCalc!$G$10:$G$303,0))</f>
        <v>0</v>
      </c>
    </row>
    <row r="61" spans="1:9" x14ac:dyDescent="0.25">
      <c r="A61" t="s">
        <v>93</v>
      </c>
      <c r="B61" t="s">
        <v>96</v>
      </c>
      <c r="C61" t="s">
        <v>94</v>
      </c>
      <c r="D61" t="s">
        <v>91</v>
      </c>
      <c r="E61" t="s">
        <v>44</v>
      </c>
      <c r="F61" s="6">
        <v>0.73958333333333337</v>
      </c>
      <c r="G61">
        <v>2</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50</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57</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79</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81</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78</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89</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79</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76</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90</v>
      </c>
      <c r="F70" s="6">
        <v>0.54166666666666663</v>
      </c>
      <c r="G70">
        <v>35</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90</v>
      </c>
      <c r="F71" s="6">
        <v>0.55208333333333337</v>
      </c>
      <c r="G71">
        <v>45</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90</v>
      </c>
      <c r="F72" s="6">
        <v>0.5625</v>
      </c>
      <c r="G72">
        <v>40</v>
      </c>
      <c r="H72" s="6">
        <f>FLOOR(tblPivotData[[#This Row],[Time]],Summary!$B$6/1440)</f>
        <v>0.5625</v>
      </c>
      <c r="I72" s="49">
        <f>INDEX(PeakCalc!$L$10:$L$303,MATCH(tblPivotData[[#This Row],[Time]],PeakCalc!$G$10:$G$303,0))</f>
        <v>1</v>
      </c>
    </row>
    <row r="73" spans="1:9" x14ac:dyDescent="0.25">
      <c r="A73" t="s">
        <v>93</v>
      </c>
      <c r="B73" t="s">
        <v>97</v>
      </c>
      <c r="C73" t="s">
        <v>95</v>
      </c>
      <c r="D73" t="s">
        <v>79</v>
      </c>
      <c r="E73" t="s">
        <v>90</v>
      </c>
      <c r="F73" s="6">
        <v>0.57291666666666663</v>
      </c>
      <c r="G73">
        <v>45</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75</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85</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94</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93</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88</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108</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84</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72</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1</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1</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1</v>
      </c>
      <c r="H85" s="6">
        <f>FLOOR(tblPivotData[[#This Row],[Time]],Summary!$B$6/1440)</f>
        <v>0.32291666666666663</v>
      </c>
      <c r="I85" s="49">
        <f>INDEX(PeakCalc!$L$10:$L$303,MATCH(tblPivotData[[#This Row],[Time]],PeakCalc!$G$10:$G$303,0))</f>
        <v>1</v>
      </c>
    </row>
    <row r="86" spans="1:9" x14ac:dyDescent="0.25">
      <c r="A86" t="s">
        <v>93</v>
      </c>
      <c r="B86" t="s">
        <v>97</v>
      </c>
      <c r="C86" t="s">
        <v>95</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1</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1</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93</v>
      </c>
      <c r="B90" t="s">
        <v>97</v>
      </c>
      <c r="C90" t="s">
        <v>95</v>
      </c>
      <c r="D90" t="s">
        <v>89</v>
      </c>
      <c r="E90" t="s">
        <v>90</v>
      </c>
      <c r="F90" s="6">
        <v>0.54166666666666663</v>
      </c>
      <c r="G90">
        <v>1</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90</v>
      </c>
      <c r="F91" s="6">
        <v>0.55208333333333337</v>
      </c>
      <c r="G91">
        <v>1</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90</v>
      </c>
      <c r="F92" s="6">
        <v>0.5625</v>
      </c>
      <c r="G92">
        <v>3</v>
      </c>
      <c r="H92" s="6">
        <f>FLOOR(tblPivotData[[#This Row],[Time]],Summary!$B$6/1440)</f>
        <v>0.5625</v>
      </c>
      <c r="I92" s="49">
        <f>INDEX(PeakCalc!$L$10:$L$303,MATCH(tblPivotData[[#This Row],[Time]],PeakCalc!$G$10:$G$303,0))</f>
        <v>1</v>
      </c>
    </row>
    <row r="93" spans="1:9" x14ac:dyDescent="0.25">
      <c r="A93" t="s">
        <v>93</v>
      </c>
      <c r="B93" t="s">
        <v>97</v>
      </c>
      <c r="C93" t="s">
        <v>95</v>
      </c>
      <c r="D93" t="s">
        <v>89</v>
      </c>
      <c r="E93" t="s">
        <v>90</v>
      </c>
      <c r="F93" s="6">
        <v>0.57291666666666663</v>
      </c>
      <c r="G93">
        <v>1</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1</v>
      </c>
      <c r="H95" s="6">
        <f>FLOOR(tblPivotData[[#This Row],[Time]],Summary!$B$6/1440)</f>
        <v>0.67708333333333326</v>
      </c>
      <c r="I95" s="49">
        <f>INDEX(PeakCalc!$L$10:$L$303,MATCH(tblPivotData[[#This Row],[Time]],PeakCalc!$G$10:$G$303,0))</f>
        <v>0</v>
      </c>
    </row>
    <row r="96" spans="1:9" x14ac:dyDescent="0.25">
      <c r="A96" t="s">
        <v>93</v>
      </c>
      <c r="B96" t="s">
        <v>97</v>
      </c>
      <c r="C96" t="s">
        <v>95</v>
      </c>
      <c r="D96" t="s">
        <v>89</v>
      </c>
      <c r="E96" t="s">
        <v>44</v>
      </c>
      <c r="F96" s="6">
        <v>0.6875</v>
      </c>
      <c r="G96">
        <v>3</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1</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2</v>
      </c>
      <c r="H99" s="6">
        <f>FLOOR(tblPivotData[[#This Row],[Time]],Summary!$B$6/1440)</f>
        <v>0.71875</v>
      </c>
      <c r="I99" s="49">
        <f>INDEX(PeakCalc!$L$10:$L$303,MATCH(tblPivotData[[#This Row],[Time]],PeakCalc!$G$10:$G$303,0))</f>
        <v>1</v>
      </c>
    </row>
    <row r="100" spans="1:9" x14ac:dyDescent="0.25">
      <c r="A100" t="s">
        <v>93</v>
      </c>
      <c r="B100" t="s">
        <v>97</v>
      </c>
      <c r="C100" t="s">
        <v>95</v>
      </c>
      <c r="D100" t="s">
        <v>89</v>
      </c>
      <c r="E100" t="s">
        <v>44</v>
      </c>
      <c r="F100" s="6">
        <v>0.72916666666666663</v>
      </c>
      <c r="G100">
        <v>1</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97</v>
      </c>
      <c r="C102" t="s">
        <v>95</v>
      </c>
      <c r="D102" t="s">
        <v>91</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93</v>
      </c>
      <c r="B103" t="s">
        <v>97</v>
      </c>
      <c r="C103" t="s">
        <v>95</v>
      </c>
      <c r="D103" t="s">
        <v>91</v>
      </c>
      <c r="E103" t="s">
        <v>43</v>
      </c>
      <c r="F103" s="6">
        <v>0.30208333333333331</v>
      </c>
      <c r="G103">
        <v>1</v>
      </c>
      <c r="H103" s="6">
        <f>FLOOR(tblPivotData[[#This Row],[Time]],Summary!$B$6/1440)</f>
        <v>0.30208333333333331</v>
      </c>
      <c r="I103" s="49">
        <f>INDEX(PeakCalc!$L$10:$L$303,MATCH(tblPivotData[[#This Row],[Time]],PeakCalc!$G$10:$G$303,0))</f>
        <v>0</v>
      </c>
    </row>
    <row r="104" spans="1:9" x14ac:dyDescent="0.25">
      <c r="A104" t="s">
        <v>93</v>
      </c>
      <c r="B104" t="s">
        <v>97</v>
      </c>
      <c r="C104" t="s">
        <v>95</v>
      </c>
      <c r="D104" t="s">
        <v>91</v>
      </c>
      <c r="E104" t="s">
        <v>43</v>
      </c>
      <c r="F104" s="6">
        <v>0.3125</v>
      </c>
      <c r="G104">
        <v>3</v>
      </c>
      <c r="H104" s="6">
        <f>FLOOR(tblPivotData[[#This Row],[Time]],Summary!$B$6/1440)</f>
        <v>0.3125</v>
      </c>
      <c r="I104" s="49">
        <f>INDEX(PeakCalc!$L$10:$L$303,MATCH(tblPivotData[[#This Row],[Time]],PeakCalc!$G$10:$G$303,0))</f>
        <v>0</v>
      </c>
    </row>
    <row r="105" spans="1:9" x14ac:dyDescent="0.25">
      <c r="A105" t="s">
        <v>93</v>
      </c>
      <c r="B105" t="s">
        <v>97</v>
      </c>
      <c r="C105" t="s">
        <v>95</v>
      </c>
      <c r="D105" t="s">
        <v>91</v>
      </c>
      <c r="E105" t="s">
        <v>43</v>
      </c>
      <c r="F105" s="6">
        <v>0.32291666666666669</v>
      </c>
      <c r="G105">
        <v>2</v>
      </c>
      <c r="H105" s="6">
        <f>FLOOR(tblPivotData[[#This Row],[Time]],Summary!$B$6/1440)</f>
        <v>0.32291666666666663</v>
      </c>
      <c r="I105" s="49">
        <f>INDEX(PeakCalc!$L$10:$L$303,MATCH(tblPivotData[[#This Row],[Time]],PeakCalc!$G$10:$G$303,0))</f>
        <v>1</v>
      </c>
    </row>
    <row r="106" spans="1:9" x14ac:dyDescent="0.25">
      <c r="A106" t="s">
        <v>93</v>
      </c>
      <c r="B106" t="s">
        <v>97</v>
      </c>
      <c r="C106" t="s">
        <v>95</v>
      </c>
      <c r="D106" t="s">
        <v>91</v>
      </c>
      <c r="E106" t="s">
        <v>43</v>
      </c>
      <c r="F106" s="6">
        <v>0.33333333333333331</v>
      </c>
      <c r="G106">
        <v>1</v>
      </c>
      <c r="H106" s="6">
        <f>FLOOR(tblPivotData[[#This Row],[Time]],Summary!$B$6/1440)</f>
        <v>0.33333333333333331</v>
      </c>
      <c r="I106" s="49">
        <f>INDEX(PeakCalc!$L$10:$L$303,MATCH(tblPivotData[[#This Row],[Time]],PeakCalc!$G$10:$G$303,0))</f>
        <v>1</v>
      </c>
    </row>
    <row r="107" spans="1:9" x14ac:dyDescent="0.25">
      <c r="A107" t="s">
        <v>93</v>
      </c>
      <c r="B107" t="s">
        <v>97</v>
      </c>
      <c r="C107" t="s">
        <v>95</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95</v>
      </c>
      <c r="D108" t="s">
        <v>91</v>
      </c>
      <c r="E108" t="s">
        <v>43</v>
      </c>
      <c r="F108" s="6">
        <v>0.35416666666666669</v>
      </c>
      <c r="G108">
        <v>1</v>
      </c>
      <c r="H108" s="6">
        <f>FLOOR(tblPivotData[[#This Row],[Time]],Summary!$B$6/1440)</f>
        <v>0.35416666666666663</v>
      </c>
      <c r="I108" s="49">
        <f>INDEX(PeakCalc!$L$10:$L$303,MATCH(tblPivotData[[#This Row],[Time]],PeakCalc!$G$10:$G$303,0))</f>
        <v>1</v>
      </c>
    </row>
    <row r="109" spans="1:9" x14ac:dyDescent="0.25">
      <c r="A109" t="s">
        <v>93</v>
      </c>
      <c r="B109" t="s">
        <v>97</v>
      </c>
      <c r="C109" t="s">
        <v>95</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97</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91</v>
      </c>
      <c r="E112" t="s">
        <v>90</v>
      </c>
      <c r="F112" s="6">
        <v>0.5625</v>
      </c>
      <c r="G112">
        <v>1</v>
      </c>
      <c r="H112" s="6">
        <f>FLOOR(tblPivotData[[#This Row],[Time]],Summary!$B$6/1440)</f>
        <v>0.5625</v>
      </c>
      <c r="I112" s="49">
        <f>INDEX(PeakCalc!$L$10:$L$303,MATCH(tblPivotData[[#This Row],[Time]],PeakCalc!$G$10:$G$303,0))</f>
        <v>1</v>
      </c>
    </row>
    <row r="113" spans="1:9" x14ac:dyDescent="0.25">
      <c r="A113" t="s">
        <v>93</v>
      </c>
      <c r="B113" t="s">
        <v>97</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91</v>
      </c>
      <c r="E114" t="s">
        <v>44</v>
      </c>
      <c r="F114" s="6">
        <v>0.66666666666666663</v>
      </c>
      <c r="G114">
        <v>1</v>
      </c>
      <c r="H114" s="6">
        <f>FLOOR(tblPivotData[[#This Row],[Time]],Summary!$B$6/1440)</f>
        <v>0.66666666666666663</v>
      </c>
      <c r="I114" s="49">
        <f>INDEX(PeakCalc!$L$10:$L$303,MATCH(tblPivotData[[#This Row],[Time]],PeakCalc!$G$10:$G$303,0))</f>
        <v>0</v>
      </c>
    </row>
    <row r="115" spans="1:9" x14ac:dyDescent="0.25">
      <c r="A115" t="s">
        <v>93</v>
      </c>
      <c r="B115" t="s">
        <v>97</v>
      </c>
      <c r="C115" t="s">
        <v>95</v>
      </c>
      <c r="D115" t="s">
        <v>91</v>
      </c>
      <c r="E115" t="s">
        <v>44</v>
      </c>
      <c r="F115" s="6">
        <v>0.67708333333333337</v>
      </c>
      <c r="G115">
        <v>2</v>
      </c>
      <c r="H115" s="6">
        <f>FLOOR(tblPivotData[[#This Row],[Time]],Summary!$B$6/1440)</f>
        <v>0.67708333333333326</v>
      </c>
      <c r="I115" s="49">
        <f>INDEX(PeakCalc!$L$10:$L$303,MATCH(tblPivotData[[#This Row],[Time]],PeakCalc!$G$10:$G$303,0))</f>
        <v>0</v>
      </c>
    </row>
    <row r="116" spans="1:9" x14ac:dyDescent="0.25">
      <c r="A116" t="s">
        <v>93</v>
      </c>
      <c r="B116" t="s">
        <v>97</v>
      </c>
      <c r="C116" t="s">
        <v>95</v>
      </c>
      <c r="D116" t="s">
        <v>91</v>
      </c>
      <c r="E116" t="s">
        <v>44</v>
      </c>
      <c r="F116" s="6">
        <v>0.6875</v>
      </c>
      <c r="G116">
        <v>3</v>
      </c>
      <c r="H116" s="6">
        <f>FLOOR(tblPivotData[[#This Row],[Time]],Summary!$B$6/1440)</f>
        <v>0.6875</v>
      </c>
      <c r="I116" s="49">
        <f>INDEX(PeakCalc!$L$10:$L$303,MATCH(tblPivotData[[#This Row],[Time]],PeakCalc!$G$10:$G$303,0))</f>
        <v>1</v>
      </c>
    </row>
    <row r="117" spans="1:9" x14ac:dyDescent="0.25">
      <c r="A117" t="s">
        <v>93</v>
      </c>
      <c r="B117" t="s">
        <v>97</v>
      </c>
      <c r="C117" t="s">
        <v>95</v>
      </c>
      <c r="D117" t="s">
        <v>91</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93</v>
      </c>
      <c r="B118" t="s">
        <v>97</v>
      </c>
      <c r="C118" t="s">
        <v>95</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91</v>
      </c>
      <c r="E119" t="s">
        <v>44</v>
      </c>
      <c r="F119" s="6">
        <v>0.71875</v>
      </c>
      <c r="G119">
        <v>1</v>
      </c>
      <c r="H119" s="6">
        <f>FLOOR(tblPivotData[[#This Row],[Time]],Summary!$B$6/1440)</f>
        <v>0.71875</v>
      </c>
      <c r="I119" s="49">
        <f>INDEX(PeakCalc!$L$10:$L$303,MATCH(tblPivotData[[#This Row],[Time]],PeakCalc!$G$10:$G$303,0))</f>
        <v>1</v>
      </c>
    </row>
    <row r="120" spans="1:9" x14ac:dyDescent="0.25">
      <c r="A120" t="s">
        <v>93</v>
      </c>
      <c r="B120" t="s">
        <v>97</v>
      </c>
      <c r="C120" t="s">
        <v>95</v>
      </c>
      <c r="D120" t="s">
        <v>91</v>
      </c>
      <c r="E120" t="s">
        <v>44</v>
      </c>
      <c r="F120" s="6">
        <v>0.72916666666666663</v>
      </c>
      <c r="G120">
        <v>2</v>
      </c>
      <c r="H120" s="6">
        <f>FLOOR(tblPivotData[[#This Row],[Time]],Summary!$B$6/1440)</f>
        <v>0.72916666666666663</v>
      </c>
      <c r="I120" s="49">
        <f>INDEX(PeakCalc!$L$10:$L$303,MATCH(tblPivotData[[#This Row],[Time]],PeakCalc!$G$10:$G$303,0))</f>
        <v>0</v>
      </c>
    </row>
    <row r="121" spans="1:9" x14ac:dyDescent="0.25">
      <c r="A121" t="s">
        <v>93</v>
      </c>
      <c r="B121" t="s">
        <v>97</v>
      </c>
      <c r="C121" t="s">
        <v>95</v>
      </c>
      <c r="D121" t="s">
        <v>91</v>
      </c>
      <c r="E121" t="s">
        <v>44</v>
      </c>
      <c r="F121" s="6">
        <v>0.73958333333333337</v>
      </c>
      <c r="G121">
        <v>2</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5</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11</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5</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4</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4</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10</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8</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9</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90</v>
      </c>
      <c r="F130" s="6">
        <v>0.54166666666666663</v>
      </c>
      <c r="G130">
        <v>3</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90</v>
      </c>
      <c r="F131" s="6">
        <v>0.55208333333333337</v>
      </c>
      <c r="G131">
        <v>7</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90</v>
      </c>
      <c r="F132" s="6">
        <v>0.5625</v>
      </c>
      <c r="G132">
        <v>7</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90</v>
      </c>
      <c r="F133" s="6">
        <v>0.57291666666666663</v>
      </c>
      <c r="G133">
        <v>3</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3</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4</v>
      </c>
      <c r="H135" s="6">
        <f>FLOOR(tblPivotData[[#This Row],[Time]],Summary!$B$6/1440)</f>
        <v>0.67708333333333326</v>
      </c>
      <c r="I135" s="49">
        <f>INDEX(PeakCalc!$L$10:$L$303,MATCH(tblPivotData[[#This Row],[Time]],PeakCalc!$G$10:$G$303,0))</f>
        <v>0</v>
      </c>
    </row>
    <row r="136" spans="1:9" x14ac:dyDescent="0.25">
      <c r="A136" t="s">
        <v>94</v>
      </c>
      <c r="B136" t="s">
        <v>98</v>
      </c>
      <c r="C136" t="s">
        <v>95</v>
      </c>
      <c r="D136" t="s">
        <v>79</v>
      </c>
      <c r="E136" t="s">
        <v>44</v>
      </c>
      <c r="F136" s="6">
        <v>0.6875</v>
      </c>
      <c r="G136">
        <v>3</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5</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4</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5</v>
      </c>
      <c r="H139" s="6">
        <f>FLOOR(tblPivotData[[#This Row],[Time]],Summary!$B$6/1440)</f>
        <v>0.71875</v>
      </c>
      <c r="I139" s="49">
        <f>INDEX(PeakCalc!$L$10:$L$303,MATCH(tblPivotData[[#This Row],[Time]],PeakCalc!$G$10:$G$303,0))</f>
        <v>1</v>
      </c>
    </row>
    <row r="140" spans="1:9" x14ac:dyDescent="0.25">
      <c r="A140" t="s">
        <v>94</v>
      </c>
      <c r="B140" t="s">
        <v>98</v>
      </c>
      <c r="C140" t="s">
        <v>95</v>
      </c>
      <c r="D140" t="s">
        <v>79</v>
      </c>
      <c r="E140" t="s">
        <v>44</v>
      </c>
      <c r="F140" s="6">
        <v>0.72916666666666663</v>
      </c>
      <c r="G140">
        <v>5</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3</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0</v>
      </c>
      <c r="H144" s="6">
        <f>FLOOR(tblPivotData[[#This Row],[Time]],Summary!$B$6/1440)</f>
        <v>0.3125</v>
      </c>
      <c r="I144" s="49">
        <f>INDEX(PeakCalc!$L$10:$L$303,MATCH(tblPivotData[[#This Row],[Time]],PeakCalc!$G$10:$G$303,0))</f>
        <v>0</v>
      </c>
    </row>
    <row r="145" spans="1:9" x14ac:dyDescent="0.25">
      <c r="A145" t="s">
        <v>94</v>
      </c>
      <c r="B145" t="s">
        <v>98</v>
      </c>
      <c r="C145" t="s">
        <v>95</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94</v>
      </c>
      <c r="B146" t="s">
        <v>98</v>
      </c>
      <c r="C146" t="s">
        <v>95</v>
      </c>
      <c r="D146" t="s">
        <v>89</v>
      </c>
      <c r="E146" t="s">
        <v>43</v>
      </c>
      <c r="F146" s="6">
        <v>0.33333333333333331</v>
      </c>
      <c r="G146">
        <v>1</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1</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94</v>
      </c>
      <c r="B149" t="s">
        <v>98</v>
      </c>
      <c r="C149" t="s">
        <v>95</v>
      </c>
      <c r="D149" t="s">
        <v>89</v>
      </c>
      <c r="E149" t="s">
        <v>43</v>
      </c>
      <c r="F149" s="6">
        <v>0.36458333333333331</v>
      </c>
      <c r="G149">
        <v>1</v>
      </c>
      <c r="H149" s="6">
        <f>FLOOR(tblPivotData[[#This Row],[Time]],Summary!$B$6/1440)</f>
        <v>0.36458333333333331</v>
      </c>
      <c r="I149" s="49">
        <f>INDEX(PeakCalc!$L$10:$L$303,MATCH(tblPivotData[[#This Row],[Time]],PeakCalc!$G$10:$G$303,0))</f>
        <v>0</v>
      </c>
    </row>
    <row r="150" spans="1:9" x14ac:dyDescent="0.25">
      <c r="A150" t="s">
        <v>94</v>
      </c>
      <c r="B150" t="s">
        <v>98</v>
      </c>
      <c r="C150" t="s">
        <v>95</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90</v>
      </c>
      <c r="F151" s="6">
        <v>0.55208333333333337</v>
      </c>
      <c r="G151">
        <v>0</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90</v>
      </c>
      <c r="F152" s="6">
        <v>0.5625</v>
      </c>
      <c r="G152">
        <v>0</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90</v>
      </c>
      <c r="F153" s="6">
        <v>0.57291666666666663</v>
      </c>
      <c r="G153">
        <v>0</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94</v>
      </c>
      <c r="B155" t="s">
        <v>98</v>
      </c>
      <c r="C155" t="s">
        <v>95</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94</v>
      </c>
      <c r="B156" t="s">
        <v>98</v>
      </c>
      <c r="C156" t="s">
        <v>95</v>
      </c>
      <c r="D156" t="s">
        <v>89</v>
      </c>
      <c r="E156" t="s">
        <v>44</v>
      </c>
      <c r="F156" s="6">
        <v>0.6875</v>
      </c>
      <c r="G156">
        <v>1</v>
      </c>
      <c r="H156" s="6">
        <f>FLOOR(tblPivotData[[#This Row],[Time]],Summary!$B$6/1440)</f>
        <v>0.6875</v>
      </c>
      <c r="I156" s="49">
        <f>INDEX(PeakCalc!$L$10:$L$303,MATCH(tblPivotData[[#This Row],[Time]],PeakCalc!$G$10:$G$303,0))</f>
        <v>1</v>
      </c>
    </row>
    <row r="157" spans="1:9" x14ac:dyDescent="0.25">
      <c r="A157" t="s">
        <v>94</v>
      </c>
      <c r="B157" t="s">
        <v>98</v>
      </c>
      <c r="C157" t="s">
        <v>95</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94</v>
      </c>
      <c r="B159" t="s">
        <v>98</v>
      </c>
      <c r="C159" t="s">
        <v>95</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94</v>
      </c>
      <c r="B160" t="s">
        <v>98</v>
      </c>
      <c r="C160" t="s">
        <v>95</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94</v>
      </c>
      <c r="B161" t="s">
        <v>98</v>
      </c>
      <c r="C161" t="s">
        <v>95</v>
      </c>
      <c r="D161" t="s">
        <v>89</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94</v>
      </c>
      <c r="B162" t="s">
        <v>98</v>
      </c>
      <c r="C162" t="s">
        <v>95</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98</v>
      </c>
      <c r="C164" t="s">
        <v>95</v>
      </c>
      <c r="D164" t="s">
        <v>91</v>
      </c>
      <c r="E164" t="s">
        <v>43</v>
      </c>
      <c r="F164" s="6">
        <v>0.3125</v>
      </c>
      <c r="G164">
        <v>0</v>
      </c>
      <c r="H164" s="6">
        <f>FLOOR(tblPivotData[[#This Row],[Time]],Summary!$B$6/1440)</f>
        <v>0.3125</v>
      </c>
      <c r="I164" s="49">
        <f>INDEX(PeakCalc!$L$10:$L$303,MATCH(tblPivotData[[#This Row],[Time]],PeakCalc!$G$10:$G$303,0))</f>
        <v>0</v>
      </c>
    </row>
    <row r="165" spans="1:9" x14ac:dyDescent="0.25">
      <c r="A165" t="s">
        <v>94</v>
      </c>
      <c r="B165" t="s">
        <v>98</v>
      </c>
      <c r="C165" t="s">
        <v>95</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94</v>
      </c>
      <c r="B166" t="s">
        <v>98</v>
      </c>
      <c r="C166" t="s">
        <v>95</v>
      </c>
      <c r="D166" t="s">
        <v>91</v>
      </c>
      <c r="E166" t="s">
        <v>43</v>
      </c>
      <c r="F166" s="6">
        <v>0.33333333333333331</v>
      </c>
      <c r="G166">
        <v>1</v>
      </c>
      <c r="H166" s="6">
        <f>FLOOR(tblPivotData[[#This Row],[Time]],Summary!$B$6/1440)</f>
        <v>0.33333333333333331</v>
      </c>
      <c r="I166" s="49">
        <f>INDEX(PeakCalc!$L$10:$L$303,MATCH(tblPivotData[[#This Row],[Time]],PeakCalc!$G$10:$G$303,0))</f>
        <v>1</v>
      </c>
    </row>
    <row r="167" spans="1:9" x14ac:dyDescent="0.25">
      <c r="A167" t="s">
        <v>94</v>
      </c>
      <c r="B167" t="s">
        <v>98</v>
      </c>
      <c r="C167" t="s">
        <v>95</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98</v>
      </c>
      <c r="C168" t="s">
        <v>95</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98</v>
      </c>
      <c r="C169" t="s">
        <v>95</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94</v>
      </c>
      <c r="B170" t="s">
        <v>98</v>
      </c>
      <c r="C170" t="s">
        <v>95</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91</v>
      </c>
      <c r="E172" t="s">
        <v>90</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98</v>
      </c>
      <c r="C175" t="s">
        <v>95</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94</v>
      </c>
      <c r="B176" t="s">
        <v>98</v>
      </c>
      <c r="C176" t="s">
        <v>95</v>
      </c>
      <c r="D176" t="s">
        <v>91</v>
      </c>
      <c r="E176" t="s">
        <v>44</v>
      </c>
      <c r="F176" s="6">
        <v>0.6875</v>
      </c>
      <c r="G176">
        <v>1</v>
      </c>
      <c r="H176" s="6">
        <f>FLOOR(tblPivotData[[#This Row],[Time]],Summary!$B$6/1440)</f>
        <v>0.6875</v>
      </c>
      <c r="I176" s="49">
        <f>INDEX(PeakCalc!$L$10:$L$303,MATCH(tblPivotData[[#This Row],[Time]],PeakCalc!$G$10:$G$303,0))</f>
        <v>1</v>
      </c>
    </row>
    <row r="177" spans="1:9" x14ac:dyDescent="0.25">
      <c r="A177" t="s">
        <v>94</v>
      </c>
      <c r="B177" t="s">
        <v>98</v>
      </c>
      <c r="C177" t="s">
        <v>95</v>
      </c>
      <c r="D177" t="s">
        <v>91</v>
      </c>
      <c r="E177" t="s">
        <v>44</v>
      </c>
      <c r="F177" s="6">
        <v>0.69791666666666663</v>
      </c>
      <c r="G177">
        <v>1</v>
      </c>
      <c r="H177" s="6">
        <f>FLOOR(tblPivotData[[#This Row],[Time]],Summary!$B$6/1440)</f>
        <v>0.69791666666666663</v>
      </c>
      <c r="I177" s="49">
        <f>INDEX(PeakCalc!$L$10:$L$303,MATCH(tblPivotData[[#This Row],[Time]],PeakCalc!$G$10:$G$303,0))</f>
        <v>1</v>
      </c>
    </row>
    <row r="178" spans="1:9" x14ac:dyDescent="0.25">
      <c r="A178" t="s">
        <v>94</v>
      </c>
      <c r="B178" t="s">
        <v>98</v>
      </c>
      <c r="C178" t="s">
        <v>95</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98</v>
      </c>
      <c r="C179" t="s">
        <v>95</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94</v>
      </c>
      <c r="B180" t="s">
        <v>98</v>
      </c>
      <c r="C180" t="s">
        <v>95</v>
      </c>
      <c r="D180" t="s">
        <v>91</v>
      </c>
      <c r="E180" t="s">
        <v>44</v>
      </c>
      <c r="F180" s="6">
        <v>0.72916666666666663</v>
      </c>
      <c r="G180">
        <v>2</v>
      </c>
      <c r="H180" s="6">
        <f>FLOOR(tblPivotData[[#This Row],[Time]],Summary!$B$6/1440)</f>
        <v>0.72916666666666663</v>
      </c>
      <c r="I180" s="49">
        <f>INDEX(PeakCalc!$L$10:$L$303,MATCH(tblPivotData[[#This Row],[Time]],PeakCalc!$G$10:$G$303,0))</f>
        <v>0</v>
      </c>
    </row>
    <row r="181" spans="1:9" x14ac:dyDescent="0.25">
      <c r="A181" t="s">
        <v>94</v>
      </c>
      <c r="B181" t="s">
        <v>98</v>
      </c>
      <c r="C181" t="s">
        <v>95</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7</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16</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28</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26</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31</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30</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36</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22</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90</v>
      </c>
      <c r="F190" s="6">
        <v>0.54166666666666663</v>
      </c>
      <c r="G190">
        <v>11</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90</v>
      </c>
      <c r="F191" s="6">
        <v>0.55208333333333337</v>
      </c>
      <c r="G191">
        <v>11</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90</v>
      </c>
      <c r="F192" s="6">
        <v>0.5625</v>
      </c>
      <c r="G192">
        <v>12</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90</v>
      </c>
      <c r="F193" s="6">
        <v>0.57291666666666663</v>
      </c>
      <c r="G193">
        <v>14</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20</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19</v>
      </c>
      <c r="H195" s="6">
        <f>FLOOR(tblPivotData[[#This Row],[Time]],Summary!$B$6/1440)</f>
        <v>0.67708333333333326</v>
      </c>
      <c r="I195" s="49">
        <f>INDEX(PeakCalc!$L$10:$L$303,MATCH(tblPivotData[[#This Row],[Time]],PeakCalc!$G$10:$G$303,0))</f>
        <v>0</v>
      </c>
    </row>
    <row r="196" spans="1:9" x14ac:dyDescent="0.25">
      <c r="A196" t="s">
        <v>94</v>
      </c>
      <c r="B196" t="s">
        <v>99</v>
      </c>
      <c r="C196" t="s">
        <v>93</v>
      </c>
      <c r="D196" t="s">
        <v>79</v>
      </c>
      <c r="E196" t="s">
        <v>44</v>
      </c>
      <c r="F196" s="6">
        <v>0.6875</v>
      </c>
      <c r="G196">
        <v>26</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17</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17</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16</v>
      </c>
      <c r="H199" s="6">
        <f>FLOOR(tblPivotData[[#This Row],[Time]],Summary!$B$6/1440)</f>
        <v>0.71875</v>
      </c>
      <c r="I199" s="49">
        <f>INDEX(PeakCalc!$L$10:$L$303,MATCH(tblPivotData[[#This Row],[Time]],PeakCalc!$G$10:$G$303,0))</f>
        <v>1</v>
      </c>
    </row>
    <row r="200" spans="1:9" x14ac:dyDescent="0.25">
      <c r="A200" t="s">
        <v>94</v>
      </c>
      <c r="B200" t="s">
        <v>99</v>
      </c>
      <c r="C200" t="s">
        <v>93</v>
      </c>
      <c r="D200" t="s">
        <v>79</v>
      </c>
      <c r="E200" t="s">
        <v>44</v>
      </c>
      <c r="F200" s="6">
        <v>0.72916666666666663</v>
      </c>
      <c r="G200">
        <v>15</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17</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99</v>
      </c>
      <c r="C205" t="s">
        <v>93</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99</v>
      </c>
      <c r="C206" t="s">
        <v>93</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2</v>
      </c>
      <c r="H208" s="6">
        <f>FLOOR(tblPivotData[[#This Row],[Time]],Summary!$B$6/1440)</f>
        <v>0.35416666666666663</v>
      </c>
      <c r="I208" s="49">
        <f>INDEX(PeakCalc!$L$10:$L$303,MATCH(tblPivotData[[#This Row],[Time]],PeakCalc!$G$10:$G$303,0))</f>
        <v>1</v>
      </c>
    </row>
    <row r="209" spans="1:9" x14ac:dyDescent="0.25">
      <c r="A209" t="s">
        <v>94</v>
      </c>
      <c r="B209" t="s">
        <v>99</v>
      </c>
      <c r="C209" t="s">
        <v>93</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99</v>
      </c>
      <c r="C210" t="s">
        <v>93</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90</v>
      </c>
      <c r="F212" s="6">
        <v>0.5625</v>
      </c>
      <c r="G212">
        <v>1</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1</v>
      </c>
      <c r="H214" s="6">
        <f>FLOOR(tblPivotData[[#This Row],[Time]],Summary!$B$6/1440)</f>
        <v>0.66666666666666663</v>
      </c>
      <c r="I214" s="49">
        <f>INDEX(PeakCalc!$L$10:$L$303,MATCH(tblPivotData[[#This Row],[Time]],PeakCalc!$G$10:$G$303,0))</f>
        <v>0</v>
      </c>
    </row>
    <row r="215" spans="1:9" x14ac:dyDescent="0.25">
      <c r="A215" t="s">
        <v>94</v>
      </c>
      <c r="B215" t="s">
        <v>99</v>
      </c>
      <c r="C215" t="s">
        <v>93</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99</v>
      </c>
      <c r="C216" t="s">
        <v>93</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99</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99</v>
      </c>
      <c r="C219" t="s">
        <v>93</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99</v>
      </c>
      <c r="C220" t="s">
        <v>93</v>
      </c>
      <c r="D220" t="s">
        <v>89</v>
      </c>
      <c r="E220" t="s">
        <v>44</v>
      </c>
      <c r="F220" s="6">
        <v>0.72916666666666663</v>
      </c>
      <c r="G220">
        <v>1</v>
      </c>
      <c r="H220" s="6">
        <f>FLOOR(tblPivotData[[#This Row],[Time]],Summary!$B$6/1440)</f>
        <v>0.72916666666666663</v>
      </c>
      <c r="I220" s="49">
        <f>INDEX(PeakCalc!$L$10:$L$303,MATCH(tblPivotData[[#This Row],[Time]],PeakCalc!$G$10:$G$303,0))</f>
        <v>0</v>
      </c>
    </row>
    <row r="221" spans="1:9" x14ac:dyDescent="0.25">
      <c r="A221" t="s">
        <v>94</v>
      </c>
      <c r="B221" t="s">
        <v>99</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93</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93</v>
      </c>
      <c r="D223" t="s">
        <v>91</v>
      </c>
      <c r="E223" t="s">
        <v>43</v>
      </c>
      <c r="F223" s="6">
        <v>0.30208333333333331</v>
      </c>
      <c r="G223">
        <v>1</v>
      </c>
      <c r="H223" s="6">
        <f>FLOOR(tblPivotData[[#This Row],[Time]],Summary!$B$6/1440)</f>
        <v>0.30208333333333331</v>
      </c>
      <c r="I223" s="49">
        <f>INDEX(PeakCalc!$L$10:$L$303,MATCH(tblPivotData[[#This Row],[Time]],PeakCalc!$G$10:$G$303,0))</f>
        <v>0</v>
      </c>
    </row>
    <row r="224" spans="1:9" x14ac:dyDescent="0.25">
      <c r="A224" t="s">
        <v>94</v>
      </c>
      <c r="B224" t="s">
        <v>99</v>
      </c>
      <c r="C224" t="s">
        <v>93</v>
      </c>
      <c r="D224" t="s">
        <v>91</v>
      </c>
      <c r="E224" t="s">
        <v>43</v>
      </c>
      <c r="F224" s="6">
        <v>0.3125</v>
      </c>
      <c r="G224">
        <v>3</v>
      </c>
      <c r="H224" s="6">
        <f>FLOOR(tblPivotData[[#This Row],[Time]],Summary!$B$6/1440)</f>
        <v>0.3125</v>
      </c>
      <c r="I224" s="49">
        <f>INDEX(PeakCalc!$L$10:$L$303,MATCH(tblPivotData[[#This Row],[Time]],PeakCalc!$G$10:$G$303,0))</f>
        <v>0</v>
      </c>
    </row>
    <row r="225" spans="1:9" x14ac:dyDescent="0.25">
      <c r="A225" t="s">
        <v>94</v>
      </c>
      <c r="B225" t="s">
        <v>99</v>
      </c>
      <c r="C225" t="s">
        <v>93</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99</v>
      </c>
      <c r="C226" t="s">
        <v>93</v>
      </c>
      <c r="D226" t="s">
        <v>91</v>
      </c>
      <c r="E226" t="s">
        <v>43</v>
      </c>
      <c r="F226" s="6">
        <v>0.33333333333333331</v>
      </c>
      <c r="G226">
        <v>1</v>
      </c>
      <c r="H226" s="6">
        <f>FLOOR(tblPivotData[[#This Row],[Time]],Summary!$B$6/1440)</f>
        <v>0.33333333333333331</v>
      </c>
      <c r="I226" s="49">
        <f>INDEX(PeakCalc!$L$10:$L$303,MATCH(tblPivotData[[#This Row],[Time]],PeakCalc!$G$10:$G$303,0))</f>
        <v>1</v>
      </c>
    </row>
    <row r="227" spans="1:9" x14ac:dyDescent="0.25">
      <c r="A227" t="s">
        <v>94</v>
      </c>
      <c r="B227" t="s">
        <v>99</v>
      </c>
      <c r="C227" t="s">
        <v>93</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99</v>
      </c>
      <c r="C228" t="s">
        <v>93</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93</v>
      </c>
      <c r="D229" t="s">
        <v>91</v>
      </c>
      <c r="E229" t="s">
        <v>43</v>
      </c>
      <c r="F229" s="6">
        <v>0.36458333333333331</v>
      </c>
      <c r="G229">
        <v>3</v>
      </c>
      <c r="H229" s="6">
        <f>FLOOR(tblPivotData[[#This Row],[Time]],Summary!$B$6/1440)</f>
        <v>0.36458333333333331</v>
      </c>
      <c r="I229" s="49">
        <f>INDEX(PeakCalc!$L$10:$L$303,MATCH(tblPivotData[[#This Row],[Time]],PeakCalc!$G$10:$G$303,0))</f>
        <v>0</v>
      </c>
    </row>
    <row r="230" spans="1:9" x14ac:dyDescent="0.25">
      <c r="A230" t="s">
        <v>94</v>
      </c>
      <c r="B230" t="s">
        <v>99</v>
      </c>
      <c r="C230" t="s">
        <v>93</v>
      </c>
      <c r="D230" t="s">
        <v>91</v>
      </c>
      <c r="E230" t="s">
        <v>90</v>
      </c>
      <c r="F230" s="6">
        <v>0.54166666666666663</v>
      </c>
      <c r="G230">
        <v>2</v>
      </c>
      <c r="H230" s="6">
        <f>FLOOR(tblPivotData[[#This Row],[Time]],Summary!$B$6/1440)</f>
        <v>0.54166666666666663</v>
      </c>
      <c r="I230" s="49">
        <f>INDEX(PeakCalc!$L$10:$L$303,MATCH(tblPivotData[[#This Row],[Time]],PeakCalc!$G$10:$G$303,0))</f>
        <v>1</v>
      </c>
    </row>
    <row r="231" spans="1:9" x14ac:dyDescent="0.25">
      <c r="A231" t="s">
        <v>94</v>
      </c>
      <c r="B231" t="s">
        <v>99</v>
      </c>
      <c r="C231" t="s">
        <v>93</v>
      </c>
      <c r="D231" t="s">
        <v>91</v>
      </c>
      <c r="E231" t="s">
        <v>90</v>
      </c>
      <c r="F231" s="6">
        <v>0.55208333333333337</v>
      </c>
      <c r="G231">
        <v>1</v>
      </c>
      <c r="H231" s="6">
        <f>FLOOR(tblPivotData[[#This Row],[Time]],Summary!$B$6/1440)</f>
        <v>0.55208333333333326</v>
      </c>
      <c r="I231" s="49">
        <f>INDEX(PeakCalc!$L$10:$L$303,MATCH(tblPivotData[[#This Row],[Time]],PeakCalc!$G$10:$G$303,0))</f>
        <v>1</v>
      </c>
    </row>
    <row r="232" spans="1:9" x14ac:dyDescent="0.25">
      <c r="A232" t="s">
        <v>94</v>
      </c>
      <c r="B232" t="s">
        <v>99</v>
      </c>
      <c r="C232" t="s">
        <v>93</v>
      </c>
      <c r="D232" t="s">
        <v>91</v>
      </c>
      <c r="E232" t="s">
        <v>90</v>
      </c>
      <c r="F232" s="6">
        <v>0.5625</v>
      </c>
      <c r="G232">
        <v>1</v>
      </c>
      <c r="H232" s="6">
        <f>FLOOR(tblPivotData[[#This Row],[Time]],Summary!$B$6/1440)</f>
        <v>0.5625</v>
      </c>
      <c r="I232" s="49">
        <f>INDEX(PeakCalc!$L$10:$L$303,MATCH(tblPivotData[[#This Row],[Time]],PeakCalc!$G$10:$G$303,0))</f>
        <v>1</v>
      </c>
    </row>
    <row r="233" spans="1:9" x14ac:dyDescent="0.25">
      <c r="A233" t="s">
        <v>94</v>
      </c>
      <c r="B233" t="s">
        <v>99</v>
      </c>
      <c r="C233" t="s">
        <v>93</v>
      </c>
      <c r="D233" t="s">
        <v>91</v>
      </c>
      <c r="E233" t="s">
        <v>90</v>
      </c>
      <c r="F233" s="6">
        <v>0.57291666666666663</v>
      </c>
      <c r="G233">
        <v>2</v>
      </c>
      <c r="H233" s="6">
        <f>FLOOR(tblPivotData[[#This Row],[Time]],Summary!$B$6/1440)</f>
        <v>0.57291666666666663</v>
      </c>
      <c r="I233" s="49">
        <f>INDEX(PeakCalc!$L$10:$L$303,MATCH(tblPivotData[[#This Row],[Time]],PeakCalc!$G$10:$G$303,0))</f>
        <v>1</v>
      </c>
    </row>
    <row r="234" spans="1:9" x14ac:dyDescent="0.25">
      <c r="A234" t="s">
        <v>94</v>
      </c>
      <c r="B234" t="s">
        <v>99</v>
      </c>
      <c r="C234" t="s">
        <v>93</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93</v>
      </c>
      <c r="D235" t="s">
        <v>91</v>
      </c>
      <c r="E235" t="s">
        <v>44</v>
      </c>
      <c r="F235" s="6">
        <v>0.67708333333333337</v>
      </c>
      <c r="G235">
        <v>1</v>
      </c>
      <c r="H235" s="6">
        <f>FLOOR(tblPivotData[[#This Row],[Time]],Summary!$B$6/1440)</f>
        <v>0.67708333333333326</v>
      </c>
      <c r="I235" s="49">
        <f>INDEX(PeakCalc!$L$10:$L$303,MATCH(tblPivotData[[#This Row],[Time]],PeakCalc!$G$10:$G$303,0))</f>
        <v>0</v>
      </c>
    </row>
    <row r="236" spans="1:9" x14ac:dyDescent="0.25">
      <c r="A236" t="s">
        <v>94</v>
      </c>
      <c r="B236" t="s">
        <v>99</v>
      </c>
      <c r="C236" t="s">
        <v>93</v>
      </c>
      <c r="D236" t="s">
        <v>91</v>
      </c>
      <c r="E236" t="s">
        <v>44</v>
      </c>
      <c r="F236" s="6">
        <v>0.6875</v>
      </c>
      <c r="G236">
        <v>1</v>
      </c>
      <c r="H236" s="6">
        <f>FLOOR(tblPivotData[[#This Row],[Time]],Summary!$B$6/1440)</f>
        <v>0.6875</v>
      </c>
      <c r="I236" s="49">
        <f>INDEX(PeakCalc!$L$10:$L$303,MATCH(tblPivotData[[#This Row],[Time]],PeakCalc!$G$10:$G$303,0))</f>
        <v>1</v>
      </c>
    </row>
    <row r="237" spans="1:9" x14ac:dyDescent="0.25">
      <c r="A237" t="s">
        <v>94</v>
      </c>
      <c r="B237" t="s">
        <v>99</v>
      </c>
      <c r="C237" t="s">
        <v>93</v>
      </c>
      <c r="D237" t="s">
        <v>91</v>
      </c>
      <c r="E237" t="s">
        <v>44</v>
      </c>
      <c r="F237" s="6">
        <v>0.69791666666666663</v>
      </c>
      <c r="G237">
        <v>3</v>
      </c>
      <c r="H237" s="6">
        <f>FLOOR(tblPivotData[[#This Row],[Time]],Summary!$B$6/1440)</f>
        <v>0.69791666666666663</v>
      </c>
      <c r="I237" s="49">
        <f>INDEX(PeakCalc!$L$10:$L$303,MATCH(tblPivotData[[#This Row],[Time]],PeakCalc!$G$10:$G$303,0))</f>
        <v>1</v>
      </c>
    </row>
    <row r="238" spans="1:9" x14ac:dyDescent="0.25">
      <c r="A238" t="s">
        <v>94</v>
      </c>
      <c r="B238" t="s">
        <v>99</v>
      </c>
      <c r="C238" t="s">
        <v>93</v>
      </c>
      <c r="D238" t="s">
        <v>91</v>
      </c>
      <c r="E238" t="s">
        <v>44</v>
      </c>
      <c r="F238" s="6">
        <v>0.70833333333333337</v>
      </c>
      <c r="G238">
        <v>2</v>
      </c>
      <c r="H238" s="6">
        <f>FLOOR(tblPivotData[[#This Row],[Time]],Summary!$B$6/1440)</f>
        <v>0.70833333333333326</v>
      </c>
      <c r="I238" s="49">
        <f>INDEX(PeakCalc!$L$10:$L$303,MATCH(tblPivotData[[#This Row],[Time]],PeakCalc!$G$10:$G$303,0))</f>
        <v>1</v>
      </c>
    </row>
    <row r="239" spans="1:9" x14ac:dyDescent="0.25">
      <c r="A239" t="s">
        <v>94</v>
      </c>
      <c r="B239" t="s">
        <v>99</v>
      </c>
      <c r="C239" t="s">
        <v>93</v>
      </c>
      <c r="D239" t="s">
        <v>91</v>
      </c>
      <c r="E239" t="s">
        <v>44</v>
      </c>
      <c r="F239" s="6">
        <v>0.71875</v>
      </c>
      <c r="G239">
        <v>2</v>
      </c>
      <c r="H239" s="6">
        <f>FLOOR(tblPivotData[[#This Row],[Time]],Summary!$B$6/1440)</f>
        <v>0.71875</v>
      </c>
      <c r="I239" s="49">
        <f>INDEX(PeakCalc!$L$10:$L$303,MATCH(tblPivotData[[#This Row],[Time]],PeakCalc!$G$10:$G$303,0))</f>
        <v>1</v>
      </c>
    </row>
    <row r="240" spans="1:9" x14ac:dyDescent="0.25">
      <c r="A240" t="s">
        <v>94</v>
      </c>
      <c r="B240" t="s">
        <v>99</v>
      </c>
      <c r="C240" t="s">
        <v>93</v>
      </c>
      <c r="D240" t="s">
        <v>91</v>
      </c>
      <c r="E240" t="s">
        <v>44</v>
      </c>
      <c r="F240" s="6">
        <v>0.72916666666666663</v>
      </c>
      <c r="G240">
        <v>1</v>
      </c>
      <c r="H240" s="6">
        <f>FLOOR(tblPivotData[[#This Row],[Time]],Summary!$B$6/1440)</f>
        <v>0.72916666666666663</v>
      </c>
      <c r="I240" s="49">
        <f>INDEX(PeakCalc!$L$10:$L$303,MATCH(tblPivotData[[#This Row],[Time]],PeakCalc!$G$10:$G$303,0))</f>
        <v>0</v>
      </c>
    </row>
    <row r="241" spans="1:9" x14ac:dyDescent="0.25">
      <c r="A241" t="s">
        <v>94</v>
      </c>
      <c r="B241" t="s">
        <v>99</v>
      </c>
      <c r="C241" t="s">
        <v>93</v>
      </c>
      <c r="D241" t="s">
        <v>91</v>
      </c>
      <c r="E241" t="s">
        <v>44</v>
      </c>
      <c r="F241" s="6">
        <v>0.73958333333333337</v>
      </c>
      <c r="G241">
        <v>5</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51</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59</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80</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85</v>
      </c>
      <c r="H245" s="6">
        <f>FLOOR(tblPivotData[[#This Row],[Time]],Summary!$B$6/1440)</f>
        <v>0.32291666666666663</v>
      </c>
      <c r="I245" s="49">
        <f>INDEX(PeakCalc!$L$10:$L$303,MATCH(tblPivotData[[#This Row],[Time]],PeakCalc!$G$10:$G$303,0))</f>
        <v>1</v>
      </c>
    </row>
    <row r="246" spans="1:9" x14ac:dyDescent="0.25">
      <c r="A246" t="s">
        <v>95</v>
      </c>
      <c r="B246" t="s">
        <v>100</v>
      </c>
      <c r="C246" t="s">
        <v>93</v>
      </c>
      <c r="D246" t="s">
        <v>79</v>
      </c>
      <c r="E246" t="s">
        <v>43</v>
      </c>
      <c r="F246" s="6">
        <v>0.33333333333333331</v>
      </c>
      <c r="G246">
        <v>86</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98</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84</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76</v>
      </c>
      <c r="H249" s="6">
        <f>FLOOR(tblPivotData[[#This Row],[Time]],Summary!$B$6/1440)</f>
        <v>0.36458333333333331</v>
      </c>
      <c r="I249" s="49">
        <f>INDEX(PeakCalc!$L$10:$L$303,MATCH(tblPivotData[[#This Row],[Time]],PeakCalc!$G$10:$G$303,0))</f>
        <v>0</v>
      </c>
    </row>
    <row r="250" spans="1:9" x14ac:dyDescent="0.25">
      <c r="A250" t="s">
        <v>95</v>
      </c>
      <c r="B250" t="s">
        <v>100</v>
      </c>
      <c r="C250" t="s">
        <v>93</v>
      </c>
      <c r="D250" t="s">
        <v>79</v>
      </c>
      <c r="E250" t="s">
        <v>90</v>
      </c>
      <c r="F250" s="6">
        <v>0.54166666666666663</v>
      </c>
      <c r="G250">
        <v>56</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90</v>
      </c>
      <c r="F251" s="6">
        <v>0.55208333333333337</v>
      </c>
      <c r="G251">
        <v>43</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90</v>
      </c>
      <c r="F252" s="6">
        <v>0.5625</v>
      </c>
      <c r="G252">
        <v>40</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90</v>
      </c>
      <c r="F253" s="6">
        <v>0.57291666666666663</v>
      </c>
      <c r="G253">
        <v>45</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85</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91</v>
      </c>
      <c r="H255" s="6">
        <f>FLOOR(tblPivotData[[#This Row],[Time]],Summary!$B$6/1440)</f>
        <v>0.67708333333333326</v>
      </c>
      <c r="I255" s="49">
        <f>INDEX(PeakCalc!$L$10:$L$303,MATCH(tblPivotData[[#This Row],[Time]],PeakCalc!$G$10:$G$303,0))</f>
        <v>0</v>
      </c>
    </row>
    <row r="256" spans="1:9" x14ac:dyDescent="0.25">
      <c r="A256" t="s">
        <v>95</v>
      </c>
      <c r="B256" t="s">
        <v>100</v>
      </c>
      <c r="C256" t="s">
        <v>93</v>
      </c>
      <c r="D256" t="s">
        <v>79</v>
      </c>
      <c r="E256" t="s">
        <v>44</v>
      </c>
      <c r="F256" s="6">
        <v>0.6875</v>
      </c>
      <c r="G256">
        <v>105</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108</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124</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119</v>
      </c>
      <c r="H259" s="6">
        <f>FLOOR(tblPivotData[[#This Row],[Time]],Summary!$B$6/1440)</f>
        <v>0.71875</v>
      </c>
      <c r="I259" s="49">
        <f>INDEX(PeakCalc!$L$10:$L$303,MATCH(tblPivotData[[#This Row],[Time]],PeakCalc!$G$10:$G$303,0))</f>
        <v>1</v>
      </c>
    </row>
    <row r="260" spans="1:9" x14ac:dyDescent="0.25">
      <c r="A260" t="s">
        <v>95</v>
      </c>
      <c r="B260" t="s">
        <v>100</v>
      </c>
      <c r="C260" t="s">
        <v>93</v>
      </c>
      <c r="D260" t="s">
        <v>79</v>
      </c>
      <c r="E260" t="s">
        <v>44</v>
      </c>
      <c r="F260" s="6">
        <v>0.72916666666666663</v>
      </c>
      <c r="G260">
        <v>109</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90</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3</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1</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1</v>
      </c>
      <c r="H264" s="6">
        <f>FLOOR(tblPivotData[[#This Row],[Time]],Summary!$B$6/1440)</f>
        <v>0.3125</v>
      </c>
      <c r="I264" s="49">
        <f>INDEX(PeakCalc!$L$10:$L$303,MATCH(tblPivotData[[#This Row],[Time]],PeakCalc!$G$10:$G$303,0))</f>
        <v>0</v>
      </c>
    </row>
    <row r="265" spans="1:9" x14ac:dyDescent="0.25">
      <c r="A265" t="s">
        <v>95</v>
      </c>
      <c r="B265" t="s">
        <v>100</v>
      </c>
      <c r="C265" t="s">
        <v>93</v>
      </c>
      <c r="D265" t="s">
        <v>89</v>
      </c>
      <c r="E265" t="s">
        <v>43</v>
      </c>
      <c r="F265" s="6">
        <v>0.32291666666666669</v>
      </c>
      <c r="G265">
        <v>2</v>
      </c>
      <c r="H265" s="6">
        <f>FLOOR(tblPivotData[[#This Row],[Time]],Summary!$B$6/1440)</f>
        <v>0.32291666666666663</v>
      </c>
      <c r="I265" s="49">
        <f>INDEX(PeakCalc!$L$10:$L$303,MATCH(tblPivotData[[#This Row],[Time]],PeakCalc!$G$10:$G$303,0))</f>
        <v>1</v>
      </c>
    </row>
    <row r="266" spans="1:9" x14ac:dyDescent="0.25">
      <c r="A266" t="s">
        <v>95</v>
      </c>
      <c r="B266" t="s">
        <v>100</v>
      </c>
      <c r="C266" t="s">
        <v>93</v>
      </c>
      <c r="D266" t="s">
        <v>89</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2</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1</v>
      </c>
      <c r="H268" s="6">
        <f>FLOOR(tblPivotData[[#This Row],[Time]],Summary!$B$6/1440)</f>
        <v>0.35416666666666663</v>
      </c>
      <c r="I268" s="49">
        <f>INDEX(PeakCalc!$L$10:$L$303,MATCH(tblPivotData[[#This Row],[Time]],PeakCalc!$G$10:$G$303,0))</f>
        <v>1</v>
      </c>
    </row>
    <row r="269" spans="1:9" x14ac:dyDescent="0.25">
      <c r="A269" t="s">
        <v>95</v>
      </c>
      <c r="B269" t="s">
        <v>100</v>
      </c>
      <c r="C269" t="s">
        <v>93</v>
      </c>
      <c r="D269" t="s">
        <v>89</v>
      </c>
      <c r="E269" t="s">
        <v>43</v>
      </c>
      <c r="F269" s="6">
        <v>0.36458333333333331</v>
      </c>
      <c r="G269">
        <v>1</v>
      </c>
      <c r="H269" s="6">
        <f>FLOOR(tblPivotData[[#This Row],[Time]],Summary!$B$6/1440)</f>
        <v>0.36458333333333331</v>
      </c>
      <c r="I269" s="49">
        <f>INDEX(PeakCalc!$L$10:$L$303,MATCH(tblPivotData[[#This Row],[Time]],PeakCalc!$G$10:$G$303,0))</f>
        <v>0</v>
      </c>
    </row>
    <row r="270" spans="1:9" x14ac:dyDescent="0.25">
      <c r="A270" t="s">
        <v>95</v>
      </c>
      <c r="B270" t="s">
        <v>100</v>
      </c>
      <c r="C270" t="s">
        <v>93</v>
      </c>
      <c r="D270" t="s">
        <v>89</v>
      </c>
      <c r="E270" t="s">
        <v>90</v>
      </c>
      <c r="F270" s="6">
        <v>0.54166666666666663</v>
      </c>
      <c r="G270">
        <v>0</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90</v>
      </c>
      <c r="F271" s="6">
        <v>0.55208333333333337</v>
      </c>
      <c r="G271">
        <v>1</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90</v>
      </c>
      <c r="F272" s="6">
        <v>0.5625</v>
      </c>
      <c r="G272">
        <v>1</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90</v>
      </c>
      <c r="F273" s="6">
        <v>0.57291666666666663</v>
      </c>
      <c r="G273">
        <v>3</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2</v>
      </c>
      <c r="H274" s="6">
        <f>FLOOR(tblPivotData[[#This Row],[Time]],Summary!$B$6/1440)</f>
        <v>0.66666666666666663</v>
      </c>
      <c r="I274" s="49">
        <f>INDEX(PeakCalc!$L$10:$L$303,MATCH(tblPivotData[[#This Row],[Time]],PeakCalc!$G$10:$G$303,0))</f>
        <v>0</v>
      </c>
    </row>
    <row r="275" spans="1:9" x14ac:dyDescent="0.25">
      <c r="A275" t="s">
        <v>95</v>
      </c>
      <c r="B275" t="s">
        <v>100</v>
      </c>
      <c r="C275" t="s">
        <v>93</v>
      </c>
      <c r="D275" t="s">
        <v>89</v>
      </c>
      <c r="E275" t="s">
        <v>44</v>
      </c>
      <c r="F275" s="6">
        <v>0.67708333333333337</v>
      </c>
      <c r="G275">
        <v>2</v>
      </c>
      <c r="H275" s="6">
        <f>FLOOR(tblPivotData[[#This Row],[Time]],Summary!$B$6/1440)</f>
        <v>0.67708333333333326</v>
      </c>
      <c r="I275" s="49">
        <f>INDEX(PeakCalc!$L$10:$L$303,MATCH(tblPivotData[[#This Row],[Time]],PeakCalc!$G$10:$G$303,0))</f>
        <v>0</v>
      </c>
    </row>
    <row r="276" spans="1:9" x14ac:dyDescent="0.25">
      <c r="A276" t="s">
        <v>95</v>
      </c>
      <c r="B276" t="s">
        <v>100</v>
      </c>
      <c r="C276" t="s">
        <v>93</v>
      </c>
      <c r="D276" t="s">
        <v>89</v>
      </c>
      <c r="E276" t="s">
        <v>44</v>
      </c>
      <c r="F276" s="6">
        <v>0.6875</v>
      </c>
      <c r="G276">
        <v>3</v>
      </c>
      <c r="H276" s="6">
        <f>FLOOR(tblPivotData[[#This Row],[Time]],Summary!$B$6/1440)</f>
        <v>0.6875</v>
      </c>
      <c r="I276" s="49">
        <f>INDEX(PeakCalc!$L$10:$L$303,MATCH(tblPivotData[[#This Row],[Time]],PeakCalc!$G$10:$G$303,0))</f>
        <v>1</v>
      </c>
    </row>
    <row r="277" spans="1:9" x14ac:dyDescent="0.25">
      <c r="A277" t="s">
        <v>95</v>
      </c>
      <c r="B277" t="s">
        <v>100</v>
      </c>
      <c r="C277" t="s">
        <v>93</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4</v>
      </c>
      <c r="H278" s="6">
        <f>FLOOR(tblPivotData[[#This Row],[Time]],Summary!$B$6/1440)</f>
        <v>0.70833333333333326</v>
      </c>
      <c r="I278" s="49">
        <f>INDEX(PeakCalc!$L$10:$L$303,MATCH(tblPivotData[[#This Row],[Time]],PeakCalc!$G$10:$G$303,0))</f>
        <v>1</v>
      </c>
    </row>
    <row r="279" spans="1:9" x14ac:dyDescent="0.25">
      <c r="A279" t="s">
        <v>95</v>
      </c>
      <c r="B279" t="s">
        <v>100</v>
      </c>
      <c r="C279" t="s">
        <v>93</v>
      </c>
      <c r="D279" t="s">
        <v>89</v>
      </c>
      <c r="E279" t="s">
        <v>44</v>
      </c>
      <c r="F279" s="6">
        <v>0.71875</v>
      </c>
      <c r="G279">
        <v>5</v>
      </c>
      <c r="H279" s="6">
        <f>FLOOR(tblPivotData[[#This Row],[Time]],Summary!$B$6/1440)</f>
        <v>0.71875</v>
      </c>
      <c r="I279" s="49">
        <f>INDEX(PeakCalc!$L$10:$L$303,MATCH(tblPivotData[[#This Row],[Time]],PeakCalc!$G$10:$G$303,0))</f>
        <v>1</v>
      </c>
    </row>
    <row r="280" spans="1:9" x14ac:dyDescent="0.25">
      <c r="A280" t="s">
        <v>95</v>
      </c>
      <c r="B280" t="s">
        <v>100</v>
      </c>
      <c r="C280" t="s">
        <v>93</v>
      </c>
      <c r="D280" t="s">
        <v>89</v>
      </c>
      <c r="E280" t="s">
        <v>44</v>
      </c>
      <c r="F280" s="6">
        <v>0.72916666666666663</v>
      </c>
      <c r="G280">
        <v>4</v>
      </c>
      <c r="H280" s="6">
        <f>FLOOR(tblPivotData[[#This Row],[Time]],Summary!$B$6/1440)</f>
        <v>0.72916666666666663</v>
      </c>
      <c r="I280" s="49">
        <f>INDEX(PeakCalc!$L$10:$L$303,MATCH(tblPivotData[[#This Row],[Time]],PeakCalc!$G$10:$G$303,0))</f>
        <v>0</v>
      </c>
    </row>
    <row r="281" spans="1:9" x14ac:dyDescent="0.25">
      <c r="A281" t="s">
        <v>95</v>
      </c>
      <c r="B281" t="s">
        <v>100</v>
      </c>
      <c r="C281" t="s">
        <v>93</v>
      </c>
      <c r="D281" t="s">
        <v>89</v>
      </c>
      <c r="E281" t="s">
        <v>44</v>
      </c>
      <c r="F281" s="6">
        <v>0.73958333333333337</v>
      </c>
      <c r="G281">
        <v>1</v>
      </c>
      <c r="H281" s="6">
        <f>FLOOR(tblPivotData[[#This Row],[Time]],Summary!$B$6/1440)</f>
        <v>0.73958333333333326</v>
      </c>
      <c r="I281" s="49">
        <f>INDEX(PeakCalc!$L$10:$L$303,MATCH(tblPivotData[[#This Row],[Time]],PeakCalc!$G$10:$G$303,0))</f>
        <v>0</v>
      </c>
    </row>
    <row r="282" spans="1:9" x14ac:dyDescent="0.25">
      <c r="A282" t="s">
        <v>95</v>
      </c>
      <c r="B282" t="s">
        <v>100</v>
      </c>
      <c r="C282" t="s">
        <v>93</v>
      </c>
      <c r="D282" t="s">
        <v>91</v>
      </c>
      <c r="E282" t="s">
        <v>43</v>
      </c>
      <c r="F282" s="6">
        <v>0.29166666666666669</v>
      </c>
      <c r="G282">
        <v>1</v>
      </c>
      <c r="H282" s="6">
        <f>FLOOR(tblPivotData[[#This Row],[Time]],Summary!$B$6/1440)</f>
        <v>0.29166666666666663</v>
      </c>
      <c r="I282" s="49">
        <f>INDEX(PeakCalc!$L$10:$L$303,MATCH(tblPivotData[[#This Row],[Time]],PeakCalc!$G$10:$G$303,0))</f>
        <v>0</v>
      </c>
    </row>
    <row r="283" spans="1:9" x14ac:dyDescent="0.25">
      <c r="A283" t="s">
        <v>95</v>
      </c>
      <c r="B283" t="s">
        <v>100</v>
      </c>
      <c r="C283" t="s">
        <v>93</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100</v>
      </c>
      <c r="C284" t="s">
        <v>93</v>
      </c>
      <c r="D284" t="s">
        <v>91</v>
      </c>
      <c r="E284" t="s">
        <v>43</v>
      </c>
      <c r="F284" s="6">
        <v>0.3125</v>
      </c>
      <c r="G284">
        <v>1</v>
      </c>
      <c r="H284" s="6">
        <f>FLOOR(tblPivotData[[#This Row],[Time]],Summary!$B$6/1440)</f>
        <v>0.3125</v>
      </c>
      <c r="I284" s="49">
        <f>INDEX(PeakCalc!$L$10:$L$303,MATCH(tblPivotData[[#This Row],[Time]],PeakCalc!$G$10:$G$303,0))</f>
        <v>0</v>
      </c>
    </row>
    <row r="285" spans="1:9" x14ac:dyDescent="0.25">
      <c r="A285" t="s">
        <v>95</v>
      </c>
      <c r="B285" t="s">
        <v>100</v>
      </c>
      <c r="C285" t="s">
        <v>93</v>
      </c>
      <c r="D285" t="s">
        <v>91</v>
      </c>
      <c r="E285" t="s">
        <v>43</v>
      </c>
      <c r="F285" s="6">
        <v>0.32291666666666669</v>
      </c>
      <c r="G285">
        <v>1</v>
      </c>
      <c r="H285" s="6">
        <f>FLOOR(tblPivotData[[#This Row],[Time]],Summary!$B$6/1440)</f>
        <v>0.32291666666666663</v>
      </c>
      <c r="I285" s="49">
        <f>INDEX(PeakCalc!$L$10:$L$303,MATCH(tblPivotData[[#This Row],[Time]],PeakCalc!$G$10:$G$303,0))</f>
        <v>1</v>
      </c>
    </row>
    <row r="286" spans="1:9" x14ac:dyDescent="0.25">
      <c r="A286" t="s">
        <v>95</v>
      </c>
      <c r="B286" t="s">
        <v>100</v>
      </c>
      <c r="C286" t="s">
        <v>93</v>
      </c>
      <c r="D286" t="s">
        <v>91</v>
      </c>
      <c r="E286" t="s">
        <v>43</v>
      </c>
      <c r="F286" s="6">
        <v>0.33333333333333331</v>
      </c>
      <c r="G286">
        <v>2</v>
      </c>
      <c r="H286" s="6">
        <f>FLOOR(tblPivotData[[#This Row],[Time]],Summary!$B$6/1440)</f>
        <v>0.33333333333333331</v>
      </c>
      <c r="I286" s="49">
        <f>INDEX(PeakCalc!$L$10:$L$303,MATCH(tblPivotData[[#This Row],[Time]],PeakCalc!$G$10:$G$303,0))</f>
        <v>1</v>
      </c>
    </row>
    <row r="287" spans="1:9" x14ac:dyDescent="0.25">
      <c r="A287" t="s">
        <v>95</v>
      </c>
      <c r="B287" t="s">
        <v>100</v>
      </c>
      <c r="C287" t="s">
        <v>93</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95</v>
      </c>
      <c r="B288" t="s">
        <v>100</v>
      </c>
      <c r="C288" t="s">
        <v>93</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95</v>
      </c>
      <c r="B289" t="s">
        <v>100</v>
      </c>
      <c r="C289" t="s">
        <v>93</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95</v>
      </c>
      <c r="B290" t="s">
        <v>100</v>
      </c>
      <c r="C290" t="s">
        <v>93</v>
      </c>
      <c r="D290" t="s">
        <v>91</v>
      </c>
      <c r="E290" t="s">
        <v>90</v>
      </c>
      <c r="F290" s="6">
        <v>0.54166666666666663</v>
      </c>
      <c r="G290">
        <v>1</v>
      </c>
      <c r="H290" s="6">
        <f>FLOOR(tblPivotData[[#This Row],[Time]],Summary!$B$6/1440)</f>
        <v>0.54166666666666663</v>
      </c>
      <c r="I290" s="49">
        <f>INDEX(PeakCalc!$L$10:$L$303,MATCH(tblPivotData[[#This Row],[Time]],PeakCalc!$G$10:$G$303,0))</f>
        <v>1</v>
      </c>
    </row>
    <row r="291" spans="1:9" x14ac:dyDescent="0.25">
      <c r="A291" t="s">
        <v>95</v>
      </c>
      <c r="B291" t="s">
        <v>100</v>
      </c>
      <c r="C291" t="s">
        <v>93</v>
      </c>
      <c r="D291" t="s">
        <v>91</v>
      </c>
      <c r="E291" t="s">
        <v>90</v>
      </c>
      <c r="F291" s="6">
        <v>0.55208333333333337</v>
      </c>
      <c r="G291">
        <v>1</v>
      </c>
      <c r="H291" s="6">
        <f>FLOOR(tblPivotData[[#This Row],[Time]],Summary!$B$6/1440)</f>
        <v>0.55208333333333326</v>
      </c>
      <c r="I291" s="49">
        <f>INDEX(PeakCalc!$L$10:$L$303,MATCH(tblPivotData[[#This Row],[Time]],PeakCalc!$G$10:$G$303,0))</f>
        <v>1</v>
      </c>
    </row>
    <row r="292" spans="1:9" x14ac:dyDescent="0.25">
      <c r="A292" t="s">
        <v>95</v>
      </c>
      <c r="B292" t="s">
        <v>100</v>
      </c>
      <c r="C292" t="s">
        <v>93</v>
      </c>
      <c r="D292" t="s">
        <v>91</v>
      </c>
      <c r="E292" t="s">
        <v>90</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95</v>
      </c>
      <c r="B295" t="s">
        <v>100</v>
      </c>
      <c r="C295" t="s">
        <v>93</v>
      </c>
      <c r="D295" t="s">
        <v>91</v>
      </c>
      <c r="E295" t="s">
        <v>44</v>
      </c>
      <c r="F295" s="6">
        <v>0.67708333333333337</v>
      </c>
      <c r="G295">
        <v>2</v>
      </c>
      <c r="H295" s="6">
        <f>FLOOR(tblPivotData[[#This Row],[Time]],Summary!$B$6/1440)</f>
        <v>0.67708333333333326</v>
      </c>
      <c r="I295" s="49">
        <f>INDEX(PeakCalc!$L$10:$L$303,MATCH(tblPivotData[[#This Row],[Time]],PeakCalc!$G$10:$G$303,0))</f>
        <v>0</v>
      </c>
    </row>
    <row r="296" spans="1:9" x14ac:dyDescent="0.25">
      <c r="A296" t="s">
        <v>95</v>
      </c>
      <c r="B296" t="s">
        <v>100</v>
      </c>
      <c r="C296" t="s">
        <v>93</v>
      </c>
      <c r="D296" t="s">
        <v>91</v>
      </c>
      <c r="E296" t="s">
        <v>44</v>
      </c>
      <c r="F296" s="6">
        <v>0.6875</v>
      </c>
      <c r="G296">
        <v>0</v>
      </c>
      <c r="H296" s="6">
        <f>FLOOR(tblPivotData[[#This Row],[Time]],Summary!$B$6/1440)</f>
        <v>0.6875</v>
      </c>
      <c r="I296" s="49">
        <f>INDEX(PeakCalc!$L$10:$L$303,MATCH(tblPivotData[[#This Row],[Time]],PeakCalc!$G$10:$G$303,0))</f>
        <v>1</v>
      </c>
    </row>
    <row r="297" spans="1:9" x14ac:dyDescent="0.25">
      <c r="A297" t="s">
        <v>95</v>
      </c>
      <c r="B297" t="s">
        <v>100</v>
      </c>
      <c r="C297" t="s">
        <v>93</v>
      </c>
      <c r="D297" t="s">
        <v>91</v>
      </c>
      <c r="E297" t="s">
        <v>44</v>
      </c>
      <c r="F297" s="6">
        <v>0.69791666666666663</v>
      </c>
      <c r="G297">
        <v>3</v>
      </c>
      <c r="H297" s="6">
        <f>FLOOR(tblPivotData[[#This Row],[Time]],Summary!$B$6/1440)</f>
        <v>0.69791666666666663</v>
      </c>
      <c r="I297" s="49">
        <f>INDEX(PeakCalc!$L$10:$L$303,MATCH(tblPivotData[[#This Row],[Time]],PeakCalc!$G$10:$G$303,0))</f>
        <v>1</v>
      </c>
    </row>
    <row r="298" spans="1:9" x14ac:dyDescent="0.25">
      <c r="A298" t="s">
        <v>95</v>
      </c>
      <c r="B298" t="s">
        <v>100</v>
      </c>
      <c r="C298" t="s">
        <v>93</v>
      </c>
      <c r="D298" t="s">
        <v>91</v>
      </c>
      <c r="E298" t="s">
        <v>44</v>
      </c>
      <c r="F298" s="6">
        <v>0.70833333333333337</v>
      </c>
      <c r="G298">
        <v>3</v>
      </c>
      <c r="H298" s="6">
        <f>FLOOR(tblPivotData[[#This Row],[Time]],Summary!$B$6/1440)</f>
        <v>0.70833333333333326</v>
      </c>
      <c r="I298" s="49">
        <f>INDEX(PeakCalc!$L$10:$L$303,MATCH(tblPivotData[[#This Row],[Time]],PeakCalc!$G$10:$G$303,0))</f>
        <v>1</v>
      </c>
    </row>
    <row r="299" spans="1:9" x14ac:dyDescent="0.25">
      <c r="A299" t="s">
        <v>95</v>
      </c>
      <c r="B299" t="s">
        <v>100</v>
      </c>
      <c r="C299" t="s">
        <v>93</v>
      </c>
      <c r="D299" t="s">
        <v>91</v>
      </c>
      <c r="E299" t="s">
        <v>44</v>
      </c>
      <c r="F299" s="6">
        <v>0.71875</v>
      </c>
      <c r="G299">
        <v>1</v>
      </c>
      <c r="H299" s="6">
        <f>FLOOR(tblPivotData[[#This Row],[Time]],Summary!$B$6/1440)</f>
        <v>0.71875</v>
      </c>
      <c r="I299" s="49">
        <f>INDEX(PeakCalc!$L$10:$L$303,MATCH(tblPivotData[[#This Row],[Time]],PeakCalc!$G$10:$G$303,0))</f>
        <v>1</v>
      </c>
    </row>
    <row r="300" spans="1:9" x14ac:dyDescent="0.25">
      <c r="A300" t="s">
        <v>95</v>
      </c>
      <c r="B300" t="s">
        <v>100</v>
      </c>
      <c r="C300" t="s">
        <v>93</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100</v>
      </c>
      <c r="C301" t="s">
        <v>93</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3</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7</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1</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4</v>
      </c>
      <c r="H305" s="6">
        <f>FLOOR(tblPivotData[[#This Row],[Time]],Summary!$B$6/1440)</f>
        <v>0.32291666666666663</v>
      </c>
      <c r="I305" s="49">
        <f>INDEX(PeakCalc!$L$10:$L$303,MATCH(tblPivotData[[#This Row],[Time]],PeakCalc!$G$10:$G$303,0))</f>
        <v>1</v>
      </c>
    </row>
    <row r="306" spans="1:9" x14ac:dyDescent="0.25">
      <c r="A306" t="s">
        <v>95</v>
      </c>
      <c r="B306" t="s">
        <v>101</v>
      </c>
      <c r="C306" t="s">
        <v>94</v>
      </c>
      <c r="D306" t="s">
        <v>79</v>
      </c>
      <c r="E306" t="s">
        <v>43</v>
      </c>
      <c r="F306" s="6">
        <v>0.33333333333333331</v>
      </c>
      <c r="G306">
        <v>8</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2</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6</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6</v>
      </c>
      <c r="H309" s="6">
        <f>FLOOR(tblPivotData[[#This Row],[Time]],Summary!$B$6/1440)</f>
        <v>0.36458333333333331</v>
      </c>
      <c r="I309" s="49">
        <f>INDEX(PeakCalc!$L$10:$L$303,MATCH(tblPivotData[[#This Row],[Time]],PeakCalc!$G$10:$G$303,0))</f>
        <v>0</v>
      </c>
    </row>
    <row r="310" spans="1:9" x14ac:dyDescent="0.25">
      <c r="A310" t="s">
        <v>95</v>
      </c>
      <c r="B310" t="s">
        <v>101</v>
      </c>
      <c r="C310" t="s">
        <v>94</v>
      </c>
      <c r="D310" t="s">
        <v>79</v>
      </c>
      <c r="E310" t="s">
        <v>90</v>
      </c>
      <c r="F310" s="6">
        <v>0.54166666666666663</v>
      </c>
      <c r="G310">
        <v>1</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90</v>
      </c>
      <c r="F311" s="6">
        <v>0.55208333333333337</v>
      </c>
      <c r="G311">
        <v>5</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90</v>
      </c>
      <c r="F312" s="6">
        <v>0.5625</v>
      </c>
      <c r="G312">
        <v>7</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90</v>
      </c>
      <c r="F313" s="6">
        <v>0.57291666666666663</v>
      </c>
      <c r="G313">
        <v>3</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9</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6</v>
      </c>
      <c r="H315" s="6">
        <f>FLOOR(tblPivotData[[#This Row],[Time]],Summary!$B$6/1440)</f>
        <v>0.67708333333333326</v>
      </c>
      <c r="I315" s="49">
        <f>INDEX(PeakCalc!$L$10:$L$303,MATCH(tblPivotData[[#This Row],[Time]],PeakCalc!$G$10:$G$303,0))</f>
        <v>0</v>
      </c>
    </row>
    <row r="316" spans="1:9" x14ac:dyDescent="0.25">
      <c r="A316" t="s">
        <v>95</v>
      </c>
      <c r="B316" t="s">
        <v>101</v>
      </c>
      <c r="C316" t="s">
        <v>94</v>
      </c>
      <c r="D316" t="s">
        <v>79</v>
      </c>
      <c r="E316" t="s">
        <v>44</v>
      </c>
      <c r="F316" s="6">
        <v>0.6875</v>
      </c>
      <c r="G316">
        <v>11</v>
      </c>
      <c r="H316" s="6">
        <f>FLOOR(tblPivotData[[#This Row],[Time]],Summary!$B$6/1440)</f>
        <v>0.6875</v>
      </c>
      <c r="I316" s="49">
        <f>INDEX(PeakCalc!$L$10:$L$303,MATCH(tblPivotData[[#This Row],[Time]],PeakCalc!$G$10:$G$303,0))</f>
        <v>1</v>
      </c>
    </row>
    <row r="317" spans="1:9" x14ac:dyDescent="0.25">
      <c r="A317" t="s">
        <v>95</v>
      </c>
      <c r="B317" t="s">
        <v>101</v>
      </c>
      <c r="C317" t="s">
        <v>94</v>
      </c>
      <c r="D317" t="s">
        <v>79</v>
      </c>
      <c r="E317" t="s">
        <v>44</v>
      </c>
      <c r="F317" s="6">
        <v>0.69791666666666663</v>
      </c>
      <c r="G317">
        <v>11</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10</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9</v>
      </c>
      <c r="H319" s="6">
        <f>FLOOR(tblPivotData[[#This Row],[Time]],Summary!$B$6/1440)</f>
        <v>0.71875</v>
      </c>
      <c r="I319" s="49">
        <f>INDEX(PeakCalc!$L$10:$L$303,MATCH(tblPivotData[[#This Row],[Time]],PeakCalc!$G$10:$G$303,0))</f>
        <v>1</v>
      </c>
    </row>
    <row r="320" spans="1:9" x14ac:dyDescent="0.25">
      <c r="A320" t="s">
        <v>95</v>
      </c>
      <c r="B320" t="s">
        <v>101</v>
      </c>
      <c r="C320" t="s">
        <v>94</v>
      </c>
      <c r="D320" t="s">
        <v>79</v>
      </c>
      <c r="E320" t="s">
        <v>44</v>
      </c>
      <c r="F320" s="6">
        <v>0.72916666666666663</v>
      </c>
      <c r="G320">
        <v>13</v>
      </c>
      <c r="H320" s="6">
        <f>FLOOR(tblPivotData[[#This Row],[Time]],Summary!$B$6/1440)</f>
        <v>0.72916666666666663</v>
      </c>
      <c r="I320" s="49">
        <f>INDEX(PeakCalc!$L$10:$L$303,MATCH(tblPivotData[[#This Row],[Time]],PeakCalc!$G$10:$G$303,0))</f>
        <v>0</v>
      </c>
    </row>
    <row r="321" spans="1:9" x14ac:dyDescent="0.25">
      <c r="A321" t="s">
        <v>95</v>
      </c>
      <c r="B321" t="s">
        <v>101</v>
      </c>
      <c r="C321" t="s">
        <v>94</v>
      </c>
      <c r="D321" t="s">
        <v>79</v>
      </c>
      <c r="E321" t="s">
        <v>44</v>
      </c>
      <c r="F321" s="6">
        <v>0.73958333333333337</v>
      </c>
      <c r="G321">
        <v>4</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95</v>
      </c>
      <c r="B324" t="s">
        <v>101</v>
      </c>
      <c r="C324" t="s">
        <v>94</v>
      </c>
      <c r="D324" t="s">
        <v>89</v>
      </c>
      <c r="E324" t="s">
        <v>43</v>
      </c>
      <c r="F324" s="6">
        <v>0.3125</v>
      </c>
      <c r="G324">
        <v>1</v>
      </c>
      <c r="H324" s="6">
        <f>FLOOR(tblPivotData[[#This Row],[Time]],Summary!$B$6/1440)</f>
        <v>0.3125</v>
      </c>
      <c r="I324" s="49">
        <f>INDEX(PeakCalc!$L$10:$L$303,MATCH(tblPivotData[[#This Row],[Time]],PeakCalc!$G$10:$G$303,0))</f>
        <v>0</v>
      </c>
    </row>
    <row r="325" spans="1:9" x14ac:dyDescent="0.25">
      <c r="A325" t="s">
        <v>95</v>
      </c>
      <c r="B325" t="s">
        <v>101</v>
      </c>
      <c r="C325" t="s">
        <v>94</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95</v>
      </c>
      <c r="B326" t="s">
        <v>101</v>
      </c>
      <c r="C326" t="s">
        <v>94</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95</v>
      </c>
      <c r="B328" t="s">
        <v>101</v>
      </c>
      <c r="C328" t="s">
        <v>94</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95</v>
      </c>
      <c r="B329" t="s">
        <v>101</v>
      </c>
      <c r="C329" t="s">
        <v>94</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95</v>
      </c>
      <c r="B330" t="s">
        <v>101</v>
      </c>
      <c r="C330" t="s">
        <v>94</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90</v>
      </c>
      <c r="F331" s="6">
        <v>0.55208333333333337</v>
      </c>
      <c r="G331">
        <v>0</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90</v>
      </c>
      <c r="F332" s="6">
        <v>0.5625</v>
      </c>
      <c r="G332">
        <v>0</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90</v>
      </c>
      <c r="F333" s="6">
        <v>0.57291666666666663</v>
      </c>
      <c r="G333">
        <v>0</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95</v>
      </c>
      <c r="B335" t="s">
        <v>101</v>
      </c>
      <c r="C335" t="s">
        <v>94</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95</v>
      </c>
      <c r="B336" t="s">
        <v>101</v>
      </c>
      <c r="C336" t="s">
        <v>94</v>
      </c>
      <c r="D336" t="s">
        <v>89</v>
      </c>
      <c r="E336" t="s">
        <v>44</v>
      </c>
      <c r="F336" s="6">
        <v>0.6875</v>
      </c>
      <c r="G336">
        <v>0</v>
      </c>
      <c r="H336" s="6">
        <f>FLOOR(tblPivotData[[#This Row],[Time]],Summary!$B$6/1440)</f>
        <v>0.6875</v>
      </c>
      <c r="I336" s="49">
        <f>INDEX(PeakCalc!$L$10:$L$303,MATCH(tblPivotData[[#This Row],[Time]],PeakCalc!$G$10:$G$303,0))</f>
        <v>1</v>
      </c>
    </row>
    <row r="337" spans="1:9" x14ac:dyDescent="0.25">
      <c r="A337" t="s">
        <v>95</v>
      </c>
      <c r="B337" t="s">
        <v>101</v>
      </c>
      <c r="C337" t="s">
        <v>94</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95</v>
      </c>
      <c r="B339" t="s">
        <v>101</v>
      </c>
      <c r="C339" t="s">
        <v>94</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95</v>
      </c>
      <c r="B340" t="s">
        <v>101</v>
      </c>
      <c r="C340" t="s">
        <v>94</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95</v>
      </c>
      <c r="B341" t="s">
        <v>101</v>
      </c>
      <c r="C341" t="s">
        <v>94</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95</v>
      </c>
      <c r="B342" t="s">
        <v>101</v>
      </c>
      <c r="C342" t="s">
        <v>94</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94</v>
      </c>
      <c r="D344" t="s">
        <v>91</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101</v>
      </c>
      <c r="C345" t="s">
        <v>94</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95</v>
      </c>
      <c r="B346" t="s">
        <v>101</v>
      </c>
      <c r="C346" t="s">
        <v>94</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101</v>
      </c>
      <c r="C347" t="s">
        <v>94</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95</v>
      </c>
      <c r="B348" t="s">
        <v>101</v>
      </c>
      <c r="C348" t="s">
        <v>94</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101</v>
      </c>
      <c r="C349" t="s">
        <v>94</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101</v>
      </c>
      <c r="C350" t="s">
        <v>94</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91</v>
      </c>
      <c r="E352" t="s">
        <v>90</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101</v>
      </c>
      <c r="C355" t="s">
        <v>94</v>
      </c>
      <c r="D355" t="s">
        <v>91</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95</v>
      </c>
      <c r="B356" t="s">
        <v>101</v>
      </c>
      <c r="C356" t="s">
        <v>94</v>
      </c>
      <c r="D356" t="s">
        <v>91</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101</v>
      </c>
      <c r="C357" t="s">
        <v>94</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94</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101</v>
      </c>
      <c r="C359" t="s">
        <v>94</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95</v>
      </c>
      <c r="B360" t="s">
        <v>101</v>
      </c>
      <c r="C360" t="s">
        <v>94</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101</v>
      </c>
      <c r="C361" t="s">
        <v>94</v>
      </c>
      <c r="D361" t="s">
        <v>91</v>
      </c>
      <c r="E361" t="s">
        <v>44</v>
      </c>
      <c r="F361" s="6">
        <v>0.73958333333333337</v>
      </c>
      <c r="G361">
        <v>1</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91</v>
      </c>
      <c r="F13" s="52"/>
      <c r="G13" s="24" t="s">
        <v>79</v>
      </c>
      <c r="H13" s="24" t="s">
        <v>89</v>
      </c>
      <c r="I13" s="24" t="s">
        <v>91</v>
      </c>
      <c r="J13" s="52"/>
      <c r="K13" s="52"/>
      <c r="L13" s="24" t="s">
        <v>79</v>
      </c>
      <c r="M13" s="24" t="s">
        <v>89</v>
      </c>
      <c r="N13" s="24" t="s">
        <v>91</v>
      </c>
      <c r="O13" s="52"/>
      <c r="P13" s="24" t="s">
        <v>79</v>
      </c>
      <c r="Q13" s="24" t="s">
        <v>89</v>
      </c>
      <c r="R13" s="24" t="s">
        <v>91</v>
      </c>
      <c r="S13" s="52"/>
      <c r="T13" s="52"/>
      <c r="U13" s="24" t="s">
        <v>79</v>
      </c>
      <c r="V13" s="24" t="s">
        <v>89</v>
      </c>
      <c r="W13" s="24" t="s">
        <v>91</v>
      </c>
      <c r="X13" s="52"/>
      <c r="Y13" s="24" t="s">
        <v>79</v>
      </c>
      <c r="Z13" s="24" t="s">
        <v>89</v>
      </c>
      <c r="AA13" s="24" t="s">
        <v>91</v>
      </c>
      <c r="AB13" s="52"/>
      <c r="AC13" s="52"/>
      <c r="AD13" s="52"/>
    </row>
    <row r="14" spans="2:30" x14ac:dyDescent="0.25">
      <c r="B14" s="10" t="s">
        <v>43</v>
      </c>
      <c r="C14" s="49">
        <v>86</v>
      </c>
      <c r="D14" s="49">
        <v>3</v>
      </c>
      <c r="E14" s="49">
        <v>5</v>
      </c>
      <c r="F14" s="49">
        <v>94</v>
      </c>
      <c r="G14" s="49">
        <v>589</v>
      </c>
      <c r="H14" s="49">
        <v>5</v>
      </c>
      <c r="I14" s="49">
        <v>9</v>
      </c>
      <c r="J14" s="49">
        <v>603</v>
      </c>
      <c r="K14" s="49">
        <v>697</v>
      </c>
      <c r="L14" s="49">
        <v>56</v>
      </c>
      <c r="M14" s="49">
        <v>3</v>
      </c>
      <c r="N14" s="49">
        <v>1</v>
      </c>
      <c r="O14" s="49">
        <v>60</v>
      </c>
      <c r="P14" s="49">
        <v>196</v>
      </c>
      <c r="Q14" s="49">
        <v>2</v>
      </c>
      <c r="R14" s="49">
        <v>8</v>
      </c>
      <c r="S14" s="49">
        <v>206</v>
      </c>
      <c r="T14" s="49">
        <v>266</v>
      </c>
      <c r="U14" s="49">
        <v>619</v>
      </c>
      <c r="V14" s="49">
        <v>12</v>
      </c>
      <c r="W14" s="49">
        <v>5</v>
      </c>
      <c r="X14" s="49">
        <v>636</v>
      </c>
      <c r="Y14" s="49">
        <v>37</v>
      </c>
      <c r="Z14" s="49">
        <v>2</v>
      </c>
      <c r="AA14" s="49">
        <v>0</v>
      </c>
      <c r="AB14" s="49">
        <v>39</v>
      </c>
      <c r="AC14" s="49">
        <v>675</v>
      </c>
      <c r="AD14" s="49">
        <v>1638</v>
      </c>
    </row>
    <row r="15" spans="2:30" x14ac:dyDescent="0.25">
      <c r="B15" s="11">
        <v>0.29166666666666669</v>
      </c>
      <c r="C15" s="49">
        <v>4</v>
      </c>
      <c r="D15" s="49">
        <v>0</v>
      </c>
      <c r="E15" s="49">
        <v>0</v>
      </c>
      <c r="F15" s="49">
        <v>4</v>
      </c>
      <c r="G15" s="49">
        <v>50</v>
      </c>
      <c r="H15" s="49">
        <v>0</v>
      </c>
      <c r="I15" s="49">
        <v>1</v>
      </c>
      <c r="J15" s="49">
        <v>51</v>
      </c>
      <c r="K15" s="49">
        <v>55</v>
      </c>
      <c r="L15" s="49">
        <v>5</v>
      </c>
      <c r="M15" s="49">
        <v>0</v>
      </c>
      <c r="N15" s="49">
        <v>0</v>
      </c>
      <c r="O15" s="49">
        <v>5</v>
      </c>
      <c r="P15" s="49">
        <v>7</v>
      </c>
      <c r="Q15" s="49">
        <v>0</v>
      </c>
      <c r="R15" s="49">
        <v>0</v>
      </c>
      <c r="S15" s="49">
        <v>7</v>
      </c>
      <c r="T15" s="49">
        <v>12</v>
      </c>
      <c r="U15" s="49">
        <v>51</v>
      </c>
      <c r="V15" s="49">
        <v>3</v>
      </c>
      <c r="W15" s="49">
        <v>1</v>
      </c>
      <c r="X15" s="49">
        <v>55</v>
      </c>
      <c r="Y15" s="49">
        <v>3</v>
      </c>
      <c r="Z15" s="49">
        <v>0</v>
      </c>
      <c r="AA15" s="49">
        <v>0</v>
      </c>
      <c r="AB15" s="49">
        <v>3</v>
      </c>
      <c r="AC15" s="49">
        <v>58</v>
      </c>
      <c r="AD15" s="49">
        <v>125</v>
      </c>
    </row>
    <row r="16" spans="2:30" x14ac:dyDescent="0.25">
      <c r="B16" s="11">
        <v>0.30208333333333331</v>
      </c>
      <c r="C16" s="49">
        <v>6</v>
      </c>
      <c r="D16" s="49">
        <v>0</v>
      </c>
      <c r="E16" s="49">
        <v>1</v>
      </c>
      <c r="F16" s="49">
        <v>7</v>
      </c>
      <c r="G16" s="49">
        <v>57</v>
      </c>
      <c r="H16" s="49">
        <v>1</v>
      </c>
      <c r="I16" s="49">
        <v>1</v>
      </c>
      <c r="J16" s="49">
        <v>59</v>
      </c>
      <c r="K16" s="49">
        <v>66</v>
      </c>
      <c r="L16" s="49">
        <v>11</v>
      </c>
      <c r="M16" s="49">
        <v>0</v>
      </c>
      <c r="N16" s="49">
        <v>0</v>
      </c>
      <c r="O16" s="49">
        <v>11</v>
      </c>
      <c r="P16" s="49">
        <v>16</v>
      </c>
      <c r="Q16" s="49">
        <v>0</v>
      </c>
      <c r="R16" s="49">
        <v>1</v>
      </c>
      <c r="S16" s="49">
        <v>17</v>
      </c>
      <c r="T16" s="49">
        <v>28</v>
      </c>
      <c r="U16" s="49">
        <v>59</v>
      </c>
      <c r="V16" s="49">
        <v>1</v>
      </c>
      <c r="W16" s="49">
        <v>0</v>
      </c>
      <c r="X16" s="49">
        <v>60</v>
      </c>
      <c r="Y16" s="49">
        <v>7</v>
      </c>
      <c r="Z16" s="49">
        <v>1</v>
      </c>
      <c r="AA16" s="49">
        <v>0</v>
      </c>
      <c r="AB16" s="49">
        <v>8</v>
      </c>
      <c r="AC16" s="49">
        <v>68</v>
      </c>
      <c r="AD16" s="49">
        <v>162</v>
      </c>
    </row>
    <row r="17" spans="2:30" x14ac:dyDescent="0.25">
      <c r="B17" s="11">
        <v>0.3125</v>
      </c>
      <c r="C17" s="49">
        <v>14</v>
      </c>
      <c r="D17" s="49">
        <v>0</v>
      </c>
      <c r="E17" s="49">
        <v>0</v>
      </c>
      <c r="F17" s="49">
        <v>14</v>
      </c>
      <c r="G17" s="49">
        <v>79</v>
      </c>
      <c r="H17" s="49">
        <v>1</v>
      </c>
      <c r="I17" s="49">
        <v>3</v>
      </c>
      <c r="J17" s="49">
        <v>83</v>
      </c>
      <c r="K17" s="49">
        <v>97</v>
      </c>
      <c r="L17" s="49">
        <v>5</v>
      </c>
      <c r="M17" s="49">
        <v>0</v>
      </c>
      <c r="N17" s="49">
        <v>0</v>
      </c>
      <c r="O17" s="49">
        <v>5</v>
      </c>
      <c r="P17" s="49">
        <v>28</v>
      </c>
      <c r="Q17" s="49">
        <v>0</v>
      </c>
      <c r="R17" s="49">
        <v>3</v>
      </c>
      <c r="S17" s="49">
        <v>31</v>
      </c>
      <c r="T17" s="49">
        <v>36</v>
      </c>
      <c r="U17" s="49">
        <v>80</v>
      </c>
      <c r="V17" s="49">
        <v>1</v>
      </c>
      <c r="W17" s="49">
        <v>1</v>
      </c>
      <c r="X17" s="49">
        <v>82</v>
      </c>
      <c r="Y17" s="49">
        <v>1</v>
      </c>
      <c r="Z17" s="49">
        <v>1</v>
      </c>
      <c r="AA17" s="49">
        <v>0</v>
      </c>
      <c r="AB17" s="49">
        <v>2</v>
      </c>
      <c r="AC17" s="49">
        <v>84</v>
      </c>
      <c r="AD17" s="49">
        <v>217</v>
      </c>
    </row>
    <row r="18" spans="2:30" x14ac:dyDescent="0.25">
      <c r="B18" s="11">
        <v>0.32291666666666669</v>
      </c>
      <c r="C18" s="49">
        <v>13</v>
      </c>
      <c r="D18" s="49">
        <v>0</v>
      </c>
      <c r="E18" s="49">
        <v>1</v>
      </c>
      <c r="F18" s="49">
        <v>14</v>
      </c>
      <c r="G18" s="49">
        <v>81</v>
      </c>
      <c r="H18" s="49">
        <v>1</v>
      </c>
      <c r="I18" s="49">
        <v>2</v>
      </c>
      <c r="J18" s="49">
        <v>84</v>
      </c>
      <c r="K18" s="49">
        <v>98</v>
      </c>
      <c r="L18" s="49">
        <v>4</v>
      </c>
      <c r="M18" s="49">
        <v>0</v>
      </c>
      <c r="N18" s="49">
        <v>0</v>
      </c>
      <c r="O18" s="49">
        <v>4</v>
      </c>
      <c r="P18" s="49">
        <v>26</v>
      </c>
      <c r="Q18" s="49">
        <v>0</v>
      </c>
      <c r="R18" s="49">
        <v>0</v>
      </c>
      <c r="S18" s="49">
        <v>26</v>
      </c>
      <c r="T18" s="49">
        <v>30</v>
      </c>
      <c r="U18" s="49">
        <v>85</v>
      </c>
      <c r="V18" s="49">
        <v>2</v>
      </c>
      <c r="W18" s="49">
        <v>1</v>
      </c>
      <c r="X18" s="49">
        <v>88</v>
      </c>
      <c r="Y18" s="49">
        <v>4</v>
      </c>
      <c r="Z18" s="49">
        <v>0</v>
      </c>
      <c r="AA18" s="49">
        <v>0</v>
      </c>
      <c r="AB18" s="49">
        <v>4</v>
      </c>
      <c r="AC18" s="49">
        <v>92</v>
      </c>
      <c r="AD18" s="49">
        <v>220</v>
      </c>
    </row>
    <row r="19" spans="2:30" x14ac:dyDescent="0.25">
      <c r="B19" s="11">
        <v>0.33333333333333331</v>
      </c>
      <c r="C19" s="49">
        <v>7</v>
      </c>
      <c r="D19" s="49">
        <v>1</v>
      </c>
      <c r="E19" s="49">
        <v>0</v>
      </c>
      <c r="F19" s="49">
        <v>8</v>
      </c>
      <c r="G19" s="49">
        <v>78</v>
      </c>
      <c r="H19" s="49">
        <v>0</v>
      </c>
      <c r="I19" s="49">
        <v>1</v>
      </c>
      <c r="J19" s="49">
        <v>79</v>
      </c>
      <c r="K19" s="49">
        <v>87</v>
      </c>
      <c r="L19" s="49">
        <v>4</v>
      </c>
      <c r="M19" s="49">
        <v>1</v>
      </c>
      <c r="N19" s="49">
        <v>1</v>
      </c>
      <c r="O19" s="49">
        <v>6</v>
      </c>
      <c r="P19" s="49">
        <v>31</v>
      </c>
      <c r="Q19" s="49">
        <v>0</v>
      </c>
      <c r="R19" s="49">
        <v>1</v>
      </c>
      <c r="S19" s="49">
        <v>32</v>
      </c>
      <c r="T19" s="49">
        <v>38</v>
      </c>
      <c r="U19" s="49">
        <v>86</v>
      </c>
      <c r="V19" s="49">
        <v>1</v>
      </c>
      <c r="W19" s="49">
        <v>2</v>
      </c>
      <c r="X19" s="49">
        <v>89</v>
      </c>
      <c r="Y19" s="49">
        <v>8</v>
      </c>
      <c r="Z19" s="49">
        <v>0</v>
      </c>
      <c r="AA19" s="49">
        <v>0</v>
      </c>
      <c r="AB19" s="49">
        <v>8</v>
      </c>
      <c r="AC19" s="49">
        <v>97</v>
      </c>
      <c r="AD19" s="49">
        <v>222</v>
      </c>
    </row>
    <row r="20" spans="2:30" x14ac:dyDescent="0.25">
      <c r="B20" s="11">
        <v>0.34375</v>
      </c>
      <c r="C20" s="49">
        <v>9</v>
      </c>
      <c r="D20" s="49">
        <v>1</v>
      </c>
      <c r="E20" s="49">
        <v>0</v>
      </c>
      <c r="F20" s="49">
        <v>10</v>
      </c>
      <c r="G20" s="49">
        <v>89</v>
      </c>
      <c r="H20" s="49">
        <v>1</v>
      </c>
      <c r="I20" s="49">
        <v>0</v>
      </c>
      <c r="J20" s="49">
        <v>90</v>
      </c>
      <c r="K20" s="49">
        <v>100</v>
      </c>
      <c r="L20" s="49">
        <v>10</v>
      </c>
      <c r="M20" s="49">
        <v>1</v>
      </c>
      <c r="N20" s="49">
        <v>0</v>
      </c>
      <c r="O20" s="49">
        <v>11</v>
      </c>
      <c r="P20" s="49">
        <v>30</v>
      </c>
      <c r="Q20" s="49">
        <v>0</v>
      </c>
      <c r="R20" s="49">
        <v>0</v>
      </c>
      <c r="S20" s="49">
        <v>30</v>
      </c>
      <c r="T20" s="49">
        <v>41</v>
      </c>
      <c r="U20" s="49">
        <v>98</v>
      </c>
      <c r="V20" s="49">
        <v>2</v>
      </c>
      <c r="W20" s="49">
        <v>0</v>
      </c>
      <c r="X20" s="49">
        <v>100</v>
      </c>
      <c r="Y20" s="49">
        <v>2</v>
      </c>
      <c r="Z20" s="49">
        <v>0</v>
      </c>
      <c r="AA20" s="49">
        <v>0</v>
      </c>
      <c r="AB20" s="49">
        <v>2</v>
      </c>
      <c r="AC20" s="49">
        <v>102</v>
      </c>
      <c r="AD20" s="49">
        <v>243</v>
      </c>
    </row>
    <row r="21" spans="2:30" x14ac:dyDescent="0.25">
      <c r="B21" s="11">
        <v>0.35416666666666669</v>
      </c>
      <c r="C21" s="49">
        <v>18</v>
      </c>
      <c r="D21" s="49">
        <v>0</v>
      </c>
      <c r="E21" s="49">
        <v>1</v>
      </c>
      <c r="F21" s="49">
        <v>19</v>
      </c>
      <c r="G21" s="49">
        <v>79</v>
      </c>
      <c r="H21" s="49">
        <v>1</v>
      </c>
      <c r="I21" s="49">
        <v>1</v>
      </c>
      <c r="J21" s="49">
        <v>81</v>
      </c>
      <c r="K21" s="49">
        <v>100</v>
      </c>
      <c r="L21" s="49">
        <v>8</v>
      </c>
      <c r="M21" s="49">
        <v>0</v>
      </c>
      <c r="N21" s="49">
        <v>0</v>
      </c>
      <c r="O21" s="49">
        <v>8</v>
      </c>
      <c r="P21" s="49">
        <v>36</v>
      </c>
      <c r="Q21" s="49">
        <v>2</v>
      </c>
      <c r="R21" s="49">
        <v>0</v>
      </c>
      <c r="S21" s="49">
        <v>38</v>
      </c>
      <c r="T21" s="49">
        <v>46</v>
      </c>
      <c r="U21" s="49">
        <v>84</v>
      </c>
      <c r="V21" s="49">
        <v>1</v>
      </c>
      <c r="W21" s="49">
        <v>0</v>
      </c>
      <c r="X21" s="49">
        <v>85</v>
      </c>
      <c r="Y21" s="49">
        <v>6</v>
      </c>
      <c r="Z21" s="49">
        <v>0</v>
      </c>
      <c r="AA21" s="49">
        <v>0</v>
      </c>
      <c r="AB21" s="49">
        <v>6</v>
      </c>
      <c r="AC21" s="49">
        <v>91</v>
      </c>
      <c r="AD21" s="49">
        <v>237</v>
      </c>
    </row>
    <row r="22" spans="2:30" x14ac:dyDescent="0.25">
      <c r="B22" s="11">
        <v>0.36458333333333331</v>
      </c>
      <c r="C22" s="49">
        <v>15</v>
      </c>
      <c r="D22" s="49">
        <v>1</v>
      </c>
      <c r="E22" s="49">
        <v>2</v>
      </c>
      <c r="F22" s="49">
        <v>18</v>
      </c>
      <c r="G22" s="49">
        <v>76</v>
      </c>
      <c r="H22" s="49">
        <v>0</v>
      </c>
      <c r="I22" s="49">
        <v>0</v>
      </c>
      <c r="J22" s="49">
        <v>76</v>
      </c>
      <c r="K22" s="49">
        <v>94</v>
      </c>
      <c r="L22" s="49">
        <v>9</v>
      </c>
      <c r="M22" s="49">
        <v>1</v>
      </c>
      <c r="N22" s="49">
        <v>0</v>
      </c>
      <c r="O22" s="49">
        <v>10</v>
      </c>
      <c r="P22" s="49">
        <v>22</v>
      </c>
      <c r="Q22" s="49">
        <v>0</v>
      </c>
      <c r="R22" s="49">
        <v>3</v>
      </c>
      <c r="S22" s="49">
        <v>25</v>
      </c>
      <c r="T22" s="49">
        <v>35</v>
      </c>
      <c r="U22" s="49">
        <v>76</v>
      </c>
      <c r="V22" s="49">
        <v>1</v>
      </c>
      <c r="W22" s="49">
        <v>0</v>
      </c>
      <c r="X22" s="49">
        <v>77</v>
      </c>
      <c r="Y22" s="49">
        <v>6</v>
      </c>
      <c r="Z22" s="49">
        <v>0</v>
      </c>
      <c r="AA22" s="49">
        <v>0</v>
      </c>
      <c r="AB22" s="49">
        <v>6</v>
      </c>
      <c r="AC22" s="49">
        <v>83</v>
      </c>
      <c r="AD22" s="49">
        <v>212</v>
      </c>
    </row>
    <row r="23" spans="2:30" x14ac:dyDescent="0.25">
      <c r="B23" s="10" t="s">
        <v>44</v>
      </c>
      <c r="C23" s="49">
        <v>145</v>
      </c>
      <c r="D23" s="49">
        <v>4</v>
      </c>
      <c r="E23" s="49">
        <v>24</v>
      </c>
      <c r="F23" s="49">
        <v>173</v>
      </c>
      <c r="G23" s="49">
        <v>699</v>
      </c>
      <c r="H23" s="49">
        <v>8</v>
      </c>
      <c r="I23" s="49">
        <v>12</v>
      </c>
      <c r="J23" s="49">
        <v>719</v>
      </c>
      <c r="K23" s="49">
        <v>892</v>
      </c>
      <c r="L23" s="49">
        <v>32</v>
      </c>
      <c r="M23" s="49">
        <v>2</v>
      </c>
      <c r="N23" s="49">
        <v>4</v>
      </c>
      <c r="O23" s="49">
        <v>38</v>
      </c>
      <c r="P23" s="49">
        <v>147</v>
      </c>
      <c r="Q23" s="49">
        <v>2</v>
      </c>
      <c r="R23" s="49">
        <v>15</v>
      </c>
      <c r="S23" s="49">
        <v>164</v>
      </c>
      <c r="T23" s="49">
        <v>202</v>
      </c>
      <c r="U23" s="49">
        <v>831</v>
      </c>
      <c r="V23" s="49">
        <v>21</v>
      </c>
      <c r="W23" s="49">
        <v>9</v>
      </c>
      <c r="X23" s="49">
        <v>861</v>
      </c>
      <c r="Y23" s="49">
        <v>73</v>
      </c>
      <c r="Z23" s="49">
        <v>0</v>
      </c>
      <c r="AA23" s="49">
        <v>1</v>
      </c>
      <c r="AB23" s="49">
        <v>74</v>
      </c>
      <c r="AC23" s="49">
        <v>935</v>
      </c>
      <c r="AD23" s="49">
        <v>2029</v>
      </c>
    </row>
    <row r="24" spans="2:30" x14ac:dyDescent="0.25">
      <c r="B24" s="11">
        <v>0.66666666666666663</v>
      </c>
      <c r="C24" s="49">
        <v>15</v>
      </c>
      <c r="D24" s="49">
        <v>0</v>
      </c>
      <c r="E24" s="49">
        <v>2</v>
      </c>
      <c r="F24" s="49">
        <v>17</v>
      </c>
      <c r="G24" s="49">
        <v>75</v>
      </c>
      <c r="H24" s="49">
        <v>0</v>
      </c>
      <c r="I24" s="49">
        <v>1</v>
      </c>
      <c r="J24" s="49">
        <v>76</v>
      </c>
      <c r="K24" s="49">
        <v>93</v>
      </c>
      <c r="L24" s="49">
        <v>3</v>
      </c>
      <c r="M24" s="49">
        <v>0</v>
      </c>
      <c r="N24" s="49">
        <v>0</v>
      </c>
      <c r="O24" s="49">
        <v>3</v>
      </c>
      <c r="P24" s="49">
        <v>20</v>
      </c>
      <c r="Q24" s="49">
        <v>1</v>
      </c>
      <c r="R24" s="49">
        <v>0</v>
      </c>
      <c r="S24" s="49">
        <v>21</v>
      </c>
      <c r="T24" s="49">
        <v>24</v>
      </c>
      <c r="U24" s="49">
        <v>85</v>
      </c>
      <c r="V24" s="49">
        <v>2</v>
      </c>
      <c r="W24" s="49">
        <v>0</v>
      </c>
      <c r="X24" s="49">
        <v>87</v>
      </c>
      <c r="Y24" s="49">
        <v>9</v>
      </c>
      <c r="Z24" s="49">
        <v>0</v>
      </c>
      <c r="AA24" s="49">
        <v>0</v>
      </c>
      <c r="AB24" s="49">
        <v>9</v>
      </c>
      <c r="AC24" s="49">
        <v>96</v>
      </c>
      <c r="AD24" s="49">
        <v>213</v>
      </c>
    </row>
    <row r="25" spans="2:30" x14ac:dyDescent="0.25">
      <c r="B25" s="11">
        <v>0.67708333333333337</v>
      </c>
      <c r="C25" s="49">
        <v>12</v>
      </c>
      <c r="D25" s="49">
        <v>0</v>
      </c>
      <c r="E25" s="49">
        <v>2</v>
      </c>
      <c r="F25" s="49">
        <v>14</v>
      </c>
      <c r="G25" s="49">
        <v>85</v>
      </c>
      <c r="H25" s="49">
        <v>1</v>
      </c>
      <c r="I25" s="49">
        <v>2</v>
      </c>
      <c r="J25" s="49">
        <v>88</v>
      </c>
      <c r="K25" s="49">
        <v>102</v>
      </c>
      <c r="L25" s="49">
        <v>4</v>
      </c>
      <c r="M25" s="49">
        <v>0</v>
      </c>
      <c r="N25" s="49">
        <v>0</v>
      </c>
      <c r="O25" s="49">
        <v>4</v>
      </c>
      <c r="P25" s="49">
        <v>19</v>
      </c>
      <c r="Q25" s="49">
        <v>0</v>
      </c>
      <c r="R25" s="49">
        <v>1</v>
      </c>
      <c r="S25" s="49">
        <v>20</v>
      </c>
      <c r="T25" s="49">
        <v>24</v>
      </c>
      <c r="U25" s="49">
        <v>91</v>
      </c>
      <c r="V25" s="49">
        <v>2</v>
      </c>
      <c r="W25" s="49">
        <v>2</v>
      </c>
      <c r="X25" s="49">
        <v>95</v>
      </c>
      <c r="Y25" s="49">
        <v>6</v>
      </c>
      <c r="Z25" s="49">
        <v>0</v>
      </c>
      <c r="AA25" s="49">
        <v>0</v>
      </c>
      <c r="AB25" s="49">
        <v>6</v>
      </c>
      <c r="AC25" s="49">
        <v>101</v>
      </c>
      <c r="AD25" s="49">
        <v>227</v>
      </c>
    </row>
    <row r="26" spans="2:30" x14ac:dyDescent="0.25">
      <c r="B26" s="11">
        <v>0.6875</v>
      </c>
      <c r="C26" s="49">
        <v>15</v>
      </c>
      <c r="D26" s="49">
        <v>0</v>
      </c>
      <c r="E26" s="49">
        <v>9</v>
      </c>
      <c r="F26" s="49">
        <v>24</v>
      </c>
      <c r="G26" s="49">
        <v>94</v>
      </c>
      <c r="H26" s="49">
        <v>3</v>
      </c>
      <c r="I26" s="49">
        <v>3</v>
      </c>
      <c r="J26" s="49">
        <v>100</v>
      </c>
      <c r="K26" s="49">
        <v>124</v>
      </c>
      <c r="L26" s="49">
        <v>3</v>
      </c>
      <c r="M26" s="49">
        <v>1</v>
      </c>
      <c r="N26" s="49">
        <v>1</v>
      </c>
      <c r="O26" s="49">
        <v>5</v>
      </c>
      <c r="P26" s="49">
        <v>26</v>
      </c>
      <c r="Q26" s="49">
        <v>0</v>
      </c>
      <c r="R26" s="49">
        <v>1</v>
      </c>
      <c r="S26" s="49">
        <v>27</v>
      </c>
      <c r="T26" s="49">
        <v>32</v>
      </c>
      <c r="U26" s="49">
        <v>105</v>
      </c>
      <c r="V26" s="49">
        <v>3</v>
      </c>
      <c r="W26" s="49">
        <v>0</v>
      </c>
      <c r="X26" s="49">
        <v>108</v>
      </c>
      <c r="Y26" s="49">
        <v>11</v>
      </c>
      <c r="Z26" s="49">
        <v>0</v>
      </c>
      <c r="AA26" s="49">
        <v>0</v>
      </c>
      <c r="AB26" s="49">
        <v>11</v>
      </c>
      <c r="AC26" s="49">
        <v>119</v>
      </c>
      <c r="AD26" s="49">
        <v>275</v>
      </c>
    </row>
    <row r="27" spans="2:30" x14ac:dyDescent="0.25">
      <c r="B27" s="11">
        <v>0.69791666666666663</v>
      </c>
      <c r="C27" s="49">
        <v>19</v>
      </c>
      <c r="D27" s="49">
        <v>1</v>
      </c>
      <c r="E27" s="49">
        <v>4</v>
      </c>
      <c r="F27" s="49">
        <v>24</v>
      </c>
      <c r="G27" s="49">
        <v>93</v>
      </c>
      <c r="H27" s="49">
        <v>1</v>
      </c>
      <c r="I27" s="49">
        <v>1</v>
      </c>
      <c r="J27" s="49">
        <v>95</v>
      </c>
      <c r="K27" s="49">
        <v>119</v>
      </c>
      <c r="L27" s="49">
        <v>5</v>
      </c>
      <c r="M27" s="49">
        <v>0</v>
      </c>
      <c r="N27" s="49">
        <v>1</v>
      </c>
      <c r="O27" s="49">
        <v>6</v>
      </c>
      <c r="P27" s="49">
        <v>17</v>
      </c>
      <c r="Q27" s="49">
        <v>0</v>
      </c>
      <c r="R27" s="49">
        <v>3</v>
      </c>
      <c r="S27" s="49">
        <v>20</v>
      </c>
      <c r="T27" s="49">
        <v>26</v>
      </c>
      <c r="U27" s="49">
        <v>108</v>
      </c>
      <c r="V27" s="49">
        <v>0</v>
      </c>
      <c r="W27" s="49">
        <v>3</v>
      </c>
      <c r="X27" s="49">
        <v>111</v>
      </c>
      <c r="Y27" s="49">
        <v>11</v>
      </c>
      <c r="Z27" s="49">
        <v>0</v>
      </c>
      <c r="AA27" s="49">
        <v>0</v>
      </c>
      <c r="AB27" s="49">
        <v>11</v>
      </c>
      <c r="AC27" s="49">
        <v>122</v>
      </c>
      <c r="AD27" s="49">
        <v>267</v>
      </c>
    </row>
    <row r="28" spans="2:30" x14ac:dyDescent="0.25">
      <c r="B28" s="11">
        <v>0.70833333333333337</v>
      </c>
      <c r="C28" s="49">
        <v>21</v>
      </c>
      <c r="D28" s="49">
        <v>0</v>
      </c>
      <c r="E28" s="49">
        <v>1</v>
      </c>
      <c r="F28" s="49">
        <v>22</v>
      </c>
      <c r="G28" s="49">
        <v>88</v>
      </c>
      <c r="H28" s="49">
        <v>0</v>
      </c>
      <c r="I28" s="49">
        <v>0</v>
      </c>
      <c r="J28" s="49">
        <v>88</v>
      </c>
      <c r="K28" s="49">
        <v>110</v>
      </c>
      <c r="L28" s="49">
        <v>4</v>
      </c>
      <c r="M28" s="49">
        <v>0</v>
      </c>
      <c r="N28" s="49">
        <v>0</v>
      </c>
      <c r="O28" s="49">
        <v>4</v>
      </c>
      <c r="P28" s="49">
        <v>17</v>
      </c>
      <c r="Q28" s="49">
        <v>0</v>
      </c>
      <c r="R28" s="49">
        <v>2</v>
      </c>
      <c r="S28" s="49">
        <v>19</v>
      </c>
      <c r="T28" s="49">
        <v>23</v>
      </c>
      <c r="U28" s="49">
        <v>124</v>
      </c>
      <c r="V28" s="49">
        <v>4</v>
      </c>
      <c r="W28" s="49">
        <v>3</v>
      </c>
      <c r="X28" s="49">
        <v>131</v>
      </c>
      <c r="Y28" s="49">
        <v>10</v>
      </c>
      <c r="Z28" s="49">
        <v>0</v>
      </c>
      <c r="AA28" s="49">
        <v>0</v>
      </c>
      <c r="AB28" s="49">
        <v>10</v>
      </c>
      <c r="AC28" s="49">
        <v>141</v>
      </c>
      <c r="AD28" s="49">
        <v>274</v>
      </c>
    </row>
    <row r="29" spans="2:30" x14ac:dyDescent="0.25">
      <c r="B29" s="11">
        <v>0.71875</v>
      </c>
      <c r="C29" s="49">
        <v>21</v>
      </c>
      <c r="D29" s="49">
        <v>1</v>
      </c>
      <c r="E29" s="49">
        <v>3</v>
      </c>
      <c r="F29" s="49">
        <v>25</v>
      </c>
      <c r="G29" s="49">
        <v>108</v>
      </c>
      <c r="H29" s="49">
        <v>2</v>
      </c>
      <c r="I29" s="49">
        <v>1</v>
      </c>
      <c r="J29" s="49">
        <v>111</v>
      </c>
      <c r="K29" s="49">
        <v>136</v>
      </c>
      <c r="L29" s="49">
        <v>5</v>
      </c>
      <c r="M29" s="49">
        <v>0</v>
      </c>
      <c r="N29" s="49">
        <v>0</v>
      </c>
      <c r="O29" s="49">
        <v>5</v>
      </c>
      <c r="P29" s="49">
        <v>16</v>
      </c>
      <c r="Q29" s="49">
        <v>0</v>
      </c>
      <c r="R29" s="49">
        <v>2</v>
      </c>
      <c r="S29" s="49">
        <v>18</v>
      </c>
      <c r="T29" s="49">
        <v>23</v>
      </c>
      <c r="U29" s="49">
        <v>119</v>
      </c>
      <c r="V29" s="49">
        <v>5</v>
      </c>
      <c r="W29" s="49">
        <v>1</v>
      </c>
      <c r="X29" s="49">
        <v>125</v>
      </c>
      <c r="Y29" s="49">
        <v>9</v>
      </c>
      <c r="Z29" s="49">
        <v>0</v>
      </c>
      <c r="AA29" s="49">
        <v>0</v>
      </c>
      <c r="AB29" s="49">
        <v>9</v>
      </c>
      <c r="AC29" s="49">
        <v>134</v>
      </c>
      <c r="AD29" s="49">
        <v>293</v>
      </c>
    </row>
    <row r="30" spans="2:30" x14ac:dyDescent="0.25">
      <c r="B30" s="11">
        <v>0.72916666666666663</v>
      </c>
      <c r="C30" s="49">
        <v>17</v>
      </c>
      <c r="D30" s="49">
        <v>1</v>
      </c>
      <c r="E30" s="49">
        <v>1</v>
      </c>
      <c r="F30" s="49">
        <v>19</v>
      </c>
      <c r="G30" s="49">
        <v>84</v>
      </c>
      <c r="H30" s="49">
        <v>1</v>
      </c>
      <c r="I30" s="49">
        <v>2</v>
      </c>
      <c r="J30" s="49">
        <v>87</v>
      </c>
      <c r="K30" s="49">
        <v>106</v>
      </c>
      <c r="L30" s="49">
        <v>5</v>
      </c>
      <c r="M30" s="49">
        <v>0</v>
      </c>
      <c r="N30" s="49">
        <v>2</v>
      </c>
      <c r="O30" s="49">
        <v>7</v>
      </c>
      <c r="P30" s="49">
        <v>15</v>
      </c>
      <c r="Q30" s="49">
        <v>1</v>
      </c>
      <c r="R30" s="49">
        <v>1</v>
      </c>
      <c r="S30" s="49">
        <v>17</v>
      </c>
      <c r="T30" s="49">
        <v>24</v>
      </c>
      <c r="U30" s="49">
        <v>109</v>
      </c>
      <c r="V30" s="49">
        <v>4</v>
      </c>
      <c r="W30" s="49">
        <v>0</v>
      </c>
      <c r="X30" s="49">
        <v>113</v>
      </c>
      <c r="Y30" s="49">
        <v>13</v>
      </c>
      <c r="Z30" s="49">
        <v>0</v>
      </c>
      <c r="AA30" s="49">
        <v>0</v>
      </c>
      <c r="AB30" s="49">
        <v>13</v>
      </c>
      <c r="AC30" s="49">
        <v>126</v>
      </c>
      <c r="AD30" s="49">
        <v>256</v>
      </c>
    </row>
    <row r="31" spans="2:30" x14ac:dyDescent="0.25">
      <c r="B31" s="11">
        <v>0.73958333333333337</v>
      </c>
      <c r="C31" s="49">
        <v>25</v>
      </c>
      <c r="D31" s="49">
        <v>1</v>
      </c>
      <c r="E31" s="49">
        <v>2</v>
      </c>
      <c r="F31" s="49">
        <v>28</v>
      </c>
      <c r="G31" s="49">
        <v>72</v>
      </c>
      <c r="H31" s="49">
        <v>0</v>
      </c>
      <c r="I31" s="49">
        <v>2</v>
      </c>
      <c r="J31" s="49">
        <v>74</v>
      </c>
      <c r="K31" s="49">
        <v>102</v>
      </c>
      <c r="L31" s="49">
        <v>3</v>
      </c>
      <c r="M31" s="49">
        <v>1</v>
      </c>
      <c r="N31" s="49">
        <v>0</v>
      </c>
      <c r="O31" s="49">
        <v>4</v>
      </c>
      <c r="P31" s="49">
        <v>17</v>
      </c>
      <c r="Q31" s="49">
        <v>0</v>
      </c>
      <c r="R31" s="49">
        <v>5</v>
      </c>
      <c r="S31" s="49">
        <v>22</v>
      </c>
      <c r="T31" s="49">
        <v>26</v>
      </c>
      <c r="U31" s="49">
        <v>90</v>
      </c>
      <c r="V31" s="49">
        <v>1</v>
      </c>
      <c r="W31" s="49">
        <v>0</v>
      </c>
      <c r="X31" s="49">
        <v>91</v>
      </c>
      <c r="Y31" s="49">
        <v>4</v>
      </c>
      <c r="Z31" s="49">
        <v>0</v>
      </c>
      <c r="AA31" s="49">
        <v>1</v>
      </c>
      <c r="AB31" s="49">
        <v>5</v>
      </c>
      <c r="AC31" s="49">
        <v>96</v>
      </c>
      <c r="AD31" s="49">
        <v>224</v>
      </c>
    </row>
    <row r="32" spans="2:30" x14ac:dyDescent="0.25">
      <c r="B32" s="10" t="s">
        <v>90</v>
      </c>
      <c r="C32" s="49">
        <v>40</v>
      </c>
      <c r="D32" s="49">
        <v>1</v>
      </c>
      <c r="E32" s="49">
        <v>8</v>
      </c>
      <c r="F32" s="49">
        <v>49</v>
      </c>
      <c r="G32" s="49">
        <v>165</v>
      </c>
      <c r="H32" s="49">
        <v>6</v>
      </c>
      <c r="I32" s="49">
        <v>1</v>
      </c>
      <c r="J32" s="49">
        <v>172</v>
      </c>
      <c r="K32" s="49">
        <v>221</v>
      </c>
      <c r="L32" s="49">
        <v>20</v>
      </c>
      <c r="M32" s="49">
        <v>0</v>
      </c>
      <c r="N32" s="49">
        <v>0</v>
      </c>
      <c r="O32" s="49">
        <v>20</v>
      </c>
      <c r="P32" s="49">
        <v>48</v>
      </c>
      <c r="Q32" s="49">
        <v>1</v>
      </c>
      <c r="R32" s="49">
        <v>6</v>
      </c>
      <c r="S32" s="49">
        <v>55</v>
      </c>
      <c r="T32" s="49">
        <v>75</v>
      </c>
      <c r="U32" s="49">
        <v>184</v>
      </c>
      <c r="V32" s="49">
        <v>5</v>
      </c>
      <c r="W32" s="49">
        <v>2</v>
      </c>
      <c r="X32" s="49">
        <v>191</v>
      </c>
      <c r="Y32" s="49">
        <v>16</v>
      </c>
      <c r="Z32" s="49">
        <v>0</v>
      </c>
      <c r="AA32" s="49">
        <v>0</v>
      </c>
      <c r="AB32" s="49">
        <v>16</v>
      </c>
      <c r="AC32" s="49">
        <v>207</v>
      </c>
      <c r="AD32" s="49">
        <v>503</v>
      </c>
    </row>
    <row r="33" spans="2:30" x14ac:dyDescent="0.25">
      <c r="B33" s="11">
        <v>0.54166666666666663</v>
      </c>
      <c r="C33" s="49">
        <v>16</v>
      </c>
      <c r="D33" s="49">
        <v>0</v>
      </c>
      <c r="E33" s="49">
        <v>1</v>
      </c>
      <c r="F33" s="49">
        <v>17</v>
      </c>
      <c r="G33" s="49">
        <v>35</v>
      </c>
      <c r="H33" s="49">
        <v>1</v>
      </c>
      <c r="I33" s="49">
        <v>0</v>
      </c>
      <c r="J33" s="49">
        <v>36</v>
      </c>
      <c r="K33" s="49">
        <v>53</v>
      </c>
      <c r="L33" s="49">
        <v>3</v>
      </c>
      <c r="M33" s="49">
        <v>0</v>
      </c>
      <c r="N33" s="49">
        <v>0</v>
      </c>
      <c r="O33" s="49">
        <v>3</v>
      </c>
      <c r="P33" s="49">
        <v>11</v>
      </c>
      <c r="Q33" s="49">
        <v>0</v>
      </c>
      <c r="R33" s="49">
        <v>2</v>
      </c>
      <c r="S33" s="49">
        <v>13</v>
      </c>
      <c r="T33" s="49">
        <v>16</v>
      </c>
      <c r="U33" s="49">
        <v>56</v>
      </c>
      <c r="V33" s="49">
        <v>0</v>
      </c>
      <c r="W33" s="49">
        <v>1</v>
      </c>
      <c r="X33" s="49">
        <v>57</v>
      </c>
      <c r="Y33" s="49">
        <v>1</v>
      </c>
      <c r="Z33" s="49">
        <v>0</v>
      </c>
      <c r="AA33" s="49">
        <v>0</v>
      </c>
      <c r="AB33" s="49">
        <v>1</v>
      </c>
      <c r="AC33" s="49">
        <v>58</v>
      </c>
      <c r="AD33" s="49">
        <v>127</v>
      </c>
    </row>
    <row r="34" spans="2:30" x14ac:dyDescent="0.25">
      <c r="B34" s="11">
        <v>0.55208333333333337</v>
      </c>
      <c r="C34" s="49">
        <v>8</v>
      </c>
      <c r="D34" s="49">
        <v>0</v>
      </c>
      <c r="E34" s="49">
        <v>3</v>
      </c>
      <c r="F34" s="49">
        <v>11</v>
      </c>
      <c r="G34" s="49">
        <v>45</v>
      </c>
      <c r="H34" s="49">
        <v>1</v>
      </c>
      <c r="I34" s="49">
        <v>0</v>
      </c>
      <c r="J34" s="49">
        <v>46</v>
      </c>
      <c r="K34" s="49">
        <v>57</v>
      </c>
      <c r="L34" s="49">
        <v>7</v>
      </c>
      <c r="M34" s="49">
        <v>0</v>
      </c>
      <c r="N34" s="49">
        <v>0</v>
      </c>
      <c r="O34" s="49">
        <v>7</v>
      </c>
      <c r="P34" s="49">
        <v>11</v>
      </c>
      <c r="Q34" s="49">
        <v>0</v>
      </c>
      <c r="R34" s="49">
        <v>1</v>
      </c>
      <c r="S34" s="49">
        <v>12</v>
      </c>
      <c r="T34" s="49">
        <v>19</v>
      </c>
      <c r="U34" s="49">
        <v>43</v>
      </c>
      <c r="V34" s="49">
        <v>1</v>
      </c>
      <c r="W34" s="49">
        <v>1</v>
      </c>
      <c r="X34" s="49">
        <v>45</v>
      </c>
      <c r="Y34" s="49">
        <v>5</v>
      </c>
      <c r="Z34" s="49">
        <v>0</v>
      </c>
      <c r="AA34" s="49">
        <v>0</v>
      </c>
      <c r="AB34" s="49">
        <v>5</v>
      </c>
      <c r="AC34" s="49">
        <v>50</v>
      </c>
      <c r="AD34" s="49">
        <v>126</v>
      </c>
    </row>
    <row r="35" spans="2:30" x14ac:dyDescent="0.25">
      <c r="B35" s="11">
        <v>0.5625</v>
      </c>
      <c r="C35" s="49">
        <v>12</v>
      </c>
      <c r="D35" s="49">
        <v>1</v>
      </c>
      <c r="E35" s="49">
        <v>2</v>
      </c>
      <c r="F35" s="49">
        <v>15</v>
      </c>
      <c r="G35" s="49">
        <v>40</v>
      </c>
      <c r="H35" s="49">
        <v>3</v>
      </c>
      <c r="I35" s="49">
        <v>1</v>
      </c>
      <c r="J35" s="49">
        <v>44</v>
      </c>
      <c r="K35" s="49">
        <v>59</v>
      </c>
      <c r="L35" s="49">
        <v>7</v>
      </c>
      <c r="M35" s="49">
        <v>0</v>
      </c>
      <c r="N35" s="49">
        <v>0</v>
      </c>
      <c r="O35" s="49">
        <v>7</v>
      </c>
      <c r="P35" s="49">
        <v>12</v>
      </c>
      <c r="Q35" s="49">
        <v>1</v>
      </c>
      <c r="R35" s="49">
        <v>1</v>
      </c>
      <c r="S35" s="49">
        <v>14</v>
      </c>
      <c r="T35" s="49">
        <v>21</v>
      </c>
      <c r="U35" s="49">
        <v>40</v>
      </c>
      <c r="V35" s="49">
        <v>1</v>
      </c>
      <c r="W35" s="49">
        <v>0</v>
      </c>
      <c r="X35" s="49">
        <v>41</v>
      </c>
      <c r="Y35" s="49">
        <v>7</v>
      </c>
      <c r="Z35" s="49">
        <v>0</v>
      </c>
      <c r="AA35" s="49">
        <v>0</v>
      </c>
      <c r="AB35" s="49">
        <v>7</v>
      </c>
      <c r="AC35" s="49">
        <v>48</v>
      </c>
      <c r="AD35" s="49">
        <v>128</v>
      </c>
    </row>
    <row r="36" spans="2:30" x14ac:dyDescent="0.25">
      <c r="B36" s="11">
        <v>0.57291666666666663</v>
      </c>
      <c r="C36" s="49">
        <v>4</v>
      </c>
      <c r="D36" s="49">
        <v>0</v>
      </c>
      <c r="E36" s="49">
        <v>2</v>
      </c>
      <c r="F36" s="49">
        <v>6</v>
      </c>
      <c r="G36" s="49">
        <v>45</v>
      </c>
      <c r="H36" s="49">
        <v>1</v>
      </c>
      <c r="I36" s="49">
        <v>0</v>
      </c>
      <c r="J36" s="49">
        <v>46</v>
      </c>
      <c r="K36" s="49">
        <v>52</v>
      </c>
      <c r="L36" s="49">
        <v>3</v>
      </c>
      <c r="M36" s="49">
        <v>0</v>
      </c>
      <c r="N36" s="49">
        <v>0</v>
      </c>
      <c r="O36" s="49">
        <v>3</v>
      </c>
      <c r="P36" s="49">
        <v>14</v>
      </c>
      <c r="Q36" s="49">
        <v>0</v>
      </c>
      <c r="R36" s="49">
        <v>2</v>
      </c>
      <c r="S36" s="49">
        <v>16</v>
      </c>
      <c r="T36" s="49">
        <v>19</v>
      </c>
      <c r="U36" s="49">
        <v>45</v>
      </c>
      <c r="V36" s="49">
        <v>3</v>
      </c>
      <c r="W36" s="49">
        <v>0</v>
      </c>
      <c r="X36" s="49">
        <v>48</v>
      </c>
      <c r="Y36" s="49">
        <v>3</v>
      </c>
      <c r="Z36" s="49">
        <v>0</v>
      </c>
      <c r="AA36" s="49">
        <v>0</v>
      </c>
      <c r="AB36" s="49">
        <v>3</v>
      </c>
      <c r="AC36" s="49">
        <v>51</v>
      </c>
      <c r="AD36" s="49">
        <v>122</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922</v>
      </c>
      <c r="I5">
        <f>MAX(I11:I303)</f>
        <v>503</v>
      </c>
      <c r="J5">
        <f>MAX(J11:J303)</f>
        <v>1109</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922 vehicles between 07:45 and 08:45</v>
      </c>
      <c r="I8" s="6" t="str">
        <f>IF(I5=0,"","The peak hour for " &amp;I10&amp;" is "&amp;I5&amp;" vehicles between " &amp; TEXT(I6, "hh:mm")&amp; " and " &amp;TEXT(I7,"hh:mm"))</f>
        <v>The peak hour for INT is 503 vehicles between 13:00 and 14:00</v>
      </c>
      <c r="J8" s="6" t="str">
        <f>IF(J5=0,"","The peak hour for " &amp;J10&amp;" is "&amp;J5&amp;" vehicles between " &amp; TEXT(J6, "hh:mm")&amp; " and " &amp;TEXT(J7,"hh:mm"))</f>
        <v>The peak hour for PM is 1109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125</v>
      </c>
      <c r="C11" s="49"/>
      <c r="D11" s="49"/>
      <c r="G11" s="7">
        <f>A11</f>
        <v>0.29166666666666669</v>
      </c>
      <c r="H11">
        <f>IF(B11&lt;&gt;0,SUMIF($G$11:$G11,"&gt;"&amp;$G11-1/24,B$11:B11),0)</f>
        <v>125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125</v>
      </c>
      <c r="Q11">
        <f>P11*L11</f>
        <v>0</v>
      </c>
      <c r="S11" s="9">
        <v>0.29166666666666669</v>
      </c>
      <c r="T11" s="49">
        <v>125</v>
      </c>
      <c r="U11" s="49">
        <v>0</v>
      </c>
    </row>
    <row r="12" spans="1:21" x14ac:dyDescent="0.25">
      <c r="A12" s="9">
        <v>0.30208333333333331</v>
      </c>
      <c r="B12" s="49">
        <v>162</v>
      </c>
      <c r="C12" s="49"/>
      <c r="D12" s="49"/>
      <c r="G12" s="7">
        <f t="shared" ref="G12:G26" si="3">A12</f>
        <v>0.30208333333333331</v>
      </c>
      <c r="H12">
        <f>IF(B12&lt;&gt;0,SUMIF($G$11:$G12,"&gt;"&amp;$G12-1/24,B$11:B12),0)</f>
        <v>287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162</v>
      </c>
      <c r="Q12">
        <f t="shared" ref="Q12:Q75" si="7">P12*L12</f>
        <v>0</v>
      </c>
      <c r="S12" s="9">
        <v>0.30208333333333331</v>
      </c>
      <c r="T12" s="49">
        <v>162</v>
      </c>
      <c r="U12" s="49">
        <v>0</v>
      </c>
    </row>
    <row r="13" spans="1:21" x14ac:dyDescent="0.25">
      <c r="A13" s="9">
        <v>0.3125</v>
      </c>
      <c r="B13" s="49">
        <v>217</v>
      </c>
      <c r="C13" s="49"/>
      <c r="D13" s="49"/>
      <c r="G13" s="7">
        <f t="shared" si="3"/>
        <v>0.3125</v>
      </c>
      <c r="H13">
        <f>IF(B13&lt;&gt;0,SUMIF($G$11:$G13,"&gt;"&amp;$G13-1/24,B$11:B13),0)</f>
        <v>504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217</v>
      </c>
      <c r="Q13">
        <f t="shared" si="7"/>
        <v>0</v>
      </c>
      <c r="S13" s="9">
        <v>0.3125</v>
      </c>
      <c r="T13" s="49">
        <v>217</v>
      </c>
      <c r="U13" s="49">
        <v>0</v>
      </c>
    </row>
    <row r="14" spans="1:21" x14ac:dyDescent="0.25">
      <c r="A14" s="9">
        <v>0.32291666666666669</v>
      </c>
      <c r="B14" s="49">
        <v>220</v>
      </c>
      <c r="C14" s="49"/>
      <c r="D14" s="49"/>
      <c r="G14" s="7">
        <f t="shared" si="3"/>
        <v>0.32291666666666669</v>
      </c>
      <c r="H14">
        <f>IF(B14&lt;&gt;0,SUMIF($G$11:$G14,"&gt;"&amp;$G14-1/24,B$11:B14),0)</f>
        <v>724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220</v>
      </c>
      <c r="Q14">
        <f t="shared" si="7"/>
        <v>220</v>
      </c>
      <c r="S14" s="9">
        <v>0.32291666666666669</v>
      </c>
      <c r="T14" s="49">
        <v>220</v>
      </c>
      <c r="U14" s="49">
        <v>220</v>
      </c>
    </row>
    <row r="15" spans="1:21" x14ac:dyDescent="0.25">
      <c r="A15" s="9">
        <v>0.33333333333333331</v>
      </c>
      <c r="B15" s="49">
        <v>222</v>
      </c>
      <c r="C15" s="49"/>
      <c r="D15" s="49"/>
      <c r="G15" s="7">
        <f t="shared" si="3"/>
        <v>0.33333333333333331</v>
      </c>
      <c r="H15">
        <f>IF(B15&lt;&gt;0,SUMIF($G$11:$G15,"&gt;"&amp;$G15-1/24,B$11:B15),0)</f>
        <v>821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222</v>
      </c>
      <c r="Q15">
        <f t="shared" si="7"/>
        <v>222</v>
      </c>
      <c r="S15" s="9">
        <v>0.33333333333333331</v>
      </c>
      <c r="T15" s="49">
        <v>222</v>
      </c>
      <c r="U15" s="49">
        <v>222</v>
      </c>
    </row>
    <row r="16" spans="1:21" x14ac:dyDescent="0.25">
      <c r="A16" s="9">
        <v>0.34375</v>
      </c>
      <c r="B16" s="49">
        <v>243</v>
      </c>
      <c r="C16" s="49"/>
      <c r="D16" s="49"/>
      <c r="G16" s="7">
        <f t="shared" si="3"/>
        <v>0.34375</v>
      </c>
      <c r="H16">
        <f>IF(B16&lt;&gt;0,SUMIF($G$11:$G16,"&gt;"&amp;$G16-1/24,B$11:B16),0)</f>
        <v>902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243</v>
      </c>
      <c r="Q16">
        <f t="shared" si="7"/>
        <v>243</v>
      </c>
      <c r="S16" s="9">
        <v>0.34375</v>
      </c>
      <c r="T16" s="49">
        <v>243</v>
      </c>
      <c r="U16" s="49">
        <v>243</v>
      </c>
    </row>
    <row r="17" spans="1:21" x14ac:dyDescent="0.25">
      <c r="A17" s="9">
        <v>0.35416666666666669</v>
      </c>
      <c r="B17" s="49">
        <v>237</v>
      </c>
      <c r="C17" s="49"/>
      <c r="D17" s="49"/>
      <c r="G17" s="7">
        <f t="shared" si="3"/>
        <v>0.35416666666666669</v>
      </c>
      <c r="H17">
        <f>IF(B17&lt;&gt;0,SUMIF($G$11:$G17,"&gt;"&amp;$G17-1/24,B$11:B17),0)</f>
        <v>922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237</v>
      </c>
      <c r="Q17">
        <f t="shared" si="7"/>
        <v>237</v>
      </c>
      <c r="S17" s="9">
        <v>0.35416666666666669</v>
      </c>
      <c r="T17" s="49">
        <v>237</v>
      </c>
      <c r="U17" s="49">
        <v>237</v>
      </c>
    </row>
    <row r="18" spans="1:21" x14ac:dyDescent="0.25">
      <c r="A18" s="9">
        <v>0.36458333333333331</v>
      </c>
      <c r="B18" s="49">
        <v>212</v>
      </c>
      <c r="C18" s="49"/>
      <c r="D18" s="49"/>
      <c r="G18" s="7">
        <f t="shared" si="3"/>
        <v>0.36458333333333331</v>
      </c>
      <c r="H18">
        <f>IF(B18&lt;&gt;0,SUMIF($G$11:$G18,"&gt;"&amp;$G18-1/24,B$11:B18),0)</f>
        <v>914</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212</v>
      </c>
      <c r="Q18">
        <f t="shared" si="7"/>
        <v>0</v>
      </c>
      <c r="S18" s="9">
        <v>0.36458333333333331</v>
      </c>
      <c r="T18" s="49">
        <v>212</v>
      </c>
      <c r="U18" s="49">
        <v>0</v>
      </c>
    </row>
    <row r="19" spans="1:21" x14ac:dyDescent="0.25">
      <c r="A19" s="9">
        <v>0.54166666666666663</v>
      </c>
      <c r="B19" s="49"/>
      <c r="C19" s="49">
        <v>127</v>
      </c>
      <c r="D19" s="49"/>
      <c r="G19" s="7">
        <f t="shared" si="3"/>
        <v>0.54166666666666663</v>
      </c>
      <c r="H19">
        <f>IF(B19&lt;&gt;0,SUMIF($G$11:$G19,"&gt;"&amp;$G19-1/24,B$11:B19),0)</f>
        <v>0</v>
      </c>
      <c r="I19">
        <f>IF(C19&lt;&gt;0,SUMIF($G$11:$G19,"&gt;"&amp;$G19-1/24,C$11:C19),0)</f>
        <v>127</v>
      </c>
      <c r="J19">
        <f>IF(D19&lt;&gt;0,SUMIF($G$11:$G19,"&gt;"&amp;$G19-1/24,D$11:D19),0)</f>
        <v>0</v>
      </c>
      <c r="K19">
        <f>IF(E19&lt;&gt;0,SUMIF($G$11:$G19,"&gt;"&amp;$G19-1/24,E$11:E19),0)</f>
        <v>0</v>
      </c>
      <c r="L19">
        <f t="shared" si="4"/>
        <v>1</v>
      </c>
      <c r="N19" t="str">
        <f t="shared" si="5"/>
        <v>INT</v>
      </c>
      <c r="O19" s="7">
        <f t="shared" si="2"/>
        <v>0.54166666666666663</v>
      </c>
      <c r="P19">
        <f t="shared" si="6"/>
        <v>127</v>
      </c>
      <c r="Q19">
        <f t="shared" si="7"/>
        <v>127</v>
      </c>
      <c r="S19" s="9" t="s">
        <v>49</v>
      </c>
      <c r="T19" s="49">
        <v>1638</v>
      </c>
      <c r="U19" s="49">
        <v>922</v>
      </c>
    </row>
    <row r="20" spans="1:21" x14ac:dyDescent="0.25">
      <c r="A20" s="9">
        <v>0.55208333333333337</v>
      </c>
      <c r="B20" s="49"/>
      <c r="C20" s="49">
        <v>126</v>
      </c>
      <c r="D20" s="49"/>
      <c r="G20" s="7">
        <f t="shared" si="3"/>
        <v>0.55208333333333337</v>
      </c>
      <c r="H20">
        <f>IF(B20&lt;&gt;0,SUMIF($G$11:$G20,"&gt;"&amp;$G20-1/24,B$11:B20),0)</f>
        <v>0</v>
      </c>
      <c r="I20">
        <f>IF(C20&lt;&gt;0,SUMIF($G$11:$G20,"&gt;"&amp;$G20-1/24,C$11:C20),0)</f>
        <v>253</v>
      </c>
      <c r="J20">
        <f>IF(D20&lt;&gt;0,SUMIF($G$11:$G20,"&gt;"&amp;$G20-1/24,D$11:D20),0)</f>
        <v>0</v>
      </c>
      <c r="K20">
        <f>IF(E20&lt;&gt;0,SUMIF($G$11:$G20,"&gt;"&amp;$G20-1/24,E$11:E20),0)</f>
        <v>0</v>
      </c>
      <c r="L20">
        <f t="shared" si="4"/>
        <v>1</v>
      </c>
      <c r="N20" t="str">
        <f t="shared" si="5"/>
        <v>INT</v>
      </c>
      <c r="O20" s="7">
        <f t="shared" si="2"/>
        <v>0.55208333333333337</v>
      </c>
      <c r="P20">
        <f t="shared" si="6"/>
        <v>126</v>
      </c>
      <c r="Q20">
        <f t="shared" si="7"/>
        <v>126</v>
      </c>
    </row>
    <row r="21" spans="1:21" x14ac:dyDescent="0.25">
      <c r="A21" s="9">
        <v>0.5625</v>
      </c>
      <c r="B21" s="49"/>
      <c r="C21" s="49">
        <v>128</v>
      </c>
      <c r="D21" s="49"/>
      <c r="G21" s="7">
        <f t="shared" si="3"/>
        <v>0.5625</v>
      </c>
      <c r="H21">
        <f>IF(B21&lt;&gt;0,SUMIF($G$11:$G21,"&gt;"&amp;$G21-1/24,B$11:B21),0)</f>
        <v>0</v>
      </c>
      <c r="I21">
        <f>IF(C21&lt;&gt;0,SUMIF($G$11:$G21,"&gt;"&amp;$G21-1/24,C$11:C21),0)</f>
        <v>381</v>
      </c>
      <c r="J21">
        <f>IF(D21&lt;&gt;0,SUMIF($G$11:$G21,"&gt;"&amp;$G21-1/24,D$11:D21),0)</f>
        <v>0</v>
      </c>
      <c r="K21">
        <f>IF(E21&lt;&gt;0,SUMIF($G$11:$G21,"&gt;"&amp;$G21-1/24,E$11:E21),0)</f>
        <v>0</v>
      </c>
      <c r="L21">
        <f t="shared" si="4"/>
        <v>1</v>
      </c>
      <c r="N21" t="str">
        <f t="shared" si="5"/>
        <v>INT</v>
      </c>
      <c r="O21" s="7">
        <f t="shared" si="2"/>
        <v>0.5625</v>
      </c>
      <c r="P21">
        <f t="shared" si="6"/>
        <v>128</v>
      </c>
      <c r="Q21">
        <f t="shared" si="7"/>
        <v>128</v>
      </c>
    </row>
    <row r="22" spans="1:21" x14ac:dyDescent="0.25">
      <c r="A22" s="9">
        <v>0.57291666666666663</v>
      </c>
      <c r="B22" s="49"/>
      <c r="C22" s="49">
        <v>122</v>
      </c>
      <c r="D22" s="49"/>
      <c r="G22" s="7">
        <f t="shared" si="3"/>
        <v>0.57291666666666663</v>
      </c>
      <c r="H22">
        <f>IF(B22&lt;&gt;0,SUMIF($G$11:$G22,"&gt;"&amp;$G22-1/24,B$11:B22),0)</f>
        <v>0</v>
      </c>
      <c r="I22">
        <f>IF(C22&lt;&gt;0,SUMIF($G$11:$G22,"&gt;"&amp;$G22-1/24,C$11:C22),0)</f>
        <v>503</v>
      </c>
      <c r="J22">
        <f>IF(D22&lt;&gt;0,SUMIF($G$11:$G22,"&gt;"&amp;$G22-1/24,D$11:D22),0)</f>
        <v>0</v>
      </c>
      <c r="K22">
        <f>IF(E22&lt;&gt;0,SUMIF($G$11:$G22,"&gt;"&amp;$G22-1/24,E$11:E22),0)</f>
        <v>0</v>
      </c>
      <c r="L22">
        <f t="shared" si="4"/>
        <v>1</v>
      </c>
      <c r="N22" t="str">
        <f t="shared" si="5"/>
        <v>INT</v>
      </c>
      <c r="O22" s="7">
        <f t="shared" si="2"/>
        <v>0.57291666666666663</v>
      </c>
      <c r="P22">
        <f t="shared" si="6"/>
        <v>122</v>
      </c>
      <c r="Q22">
        <f t="shared" si="7"/>
        <v>122</v>
      </c>
    </row>
    <row r="23" spans="1:21" x14ac:dyDescent="0.25">
      <c r="A23" s="9">
        <v>0.66666666666666663</v>
      </c>
      <c r="B23" s="49"/>
      <c r="C23" s="49"/>
      <c r="D23" s="49">
        <v>213</v>
      </c>
      <c r="G23" s="7">
        <f t="shared" si="3"/>
        <v>0.66666666666666663</v>
      </c>
      <c r="H23">
        <f>IF(B23&lt;&gt;0,SUMIF($G$11:$G23,"&gt;"&amp;$G23-1/24,B$11:B23),0)</f>
        <v>0</v>
      </c>
      <c r="I23">
        <f>IF(C23&lt;&gt;0,SUMIF($G$11:$G23,"&gt;"&amp;$G23-1/24,C$11:C23),0)</f>
        <v>0</v>
      </c>
      <c r="J23">
        <f>IF(D23&lt;&gt;0,SUMIF($G$11:$G23,"&gt;"&amp;$G23-1/24,D$11:D23),0)</f>
        <v>213</v>
      </c>
      <c r="K23">
        <f>IF(E23&lt;&gt;0,SUMIF($G$11:$G23,"&gt;"&amp;$G23-1/24,E$11:E23),0)</f>
        <v>0</v>
      </c>
      <c r="L23">
        <f t="shared" si="4"/>
        <v>0</v>
      </c>
      <c r="N23" t="str">
        <f t="shared" si="5"/>
        <v>PM</v>
      </c>
      <c r="O23" s="7">
        <f t="shared" si="2"/>
        <v>0.66666666666666663</v>
      </c>
      <c r="P23">
        <f t="shared" si="6"/>
        <v>213</v>
      </c>
      <c r="Q23">
        <f t="shared" si="7"/>
        <v>0</v>
      </c>
    </row>
    <row r="24" spans="1:21" x14ac:dyDescent="0.25">
      <c r="A24" s="9">
        <v>0.67708333333333337</v>
      </c>
      <c r="B24" s="49"/>
      <c r="C24" s="49"/>
      <c r="D24" s="49">
        <v>227</v>
      </c>
      <c r="G24" s="7">
        <f t="shared" si="3"/>
        <v>0.67708333333333337</v>
      </c>
      <c r="H24">
        <f>IF(B24&lt;&gt;0,SUMIF($G$11:$G24,"&gt;"&amp;$G24-1/24,B$11:B24),0)</f>
        <v>0</v>
      </c>
      <c r="I24">
        <f>IF(C24&lt;&gt;0,SUMIF($G$11:$G24,"&gt;"&amp;$G24-1/24,C$11:C24),0)</f>
        <v>0</v>
      </c>
      <c r="J24">
        <f>IF(D24&lt;&gt;0,SUMIF($G$11:$G24,"&gt;"&amp;$G24-1/24,D$11:D24),0)</f>
        <v>440</v>
      </c>
      <c r="K24">
        <f>IF(E24&lt;&gt;0,SUMIF($G$11:$G24,"&gt;"&amp;$G24-1/24,E$11:E24),0)</f>
        <v>0</v>
      </c>
      <c r="L24">
        <f t="shared" si="4"/>
        <v>0</v>
      </c>
      <c r="N24" t="str">
        <f t="shared" si="5"/>
        <v>PM</v>
      </c>
      <c r="O24" s="7">
        <f t="shared" si="2"/>
        <v>0.67708333333333337</v>
      </c>
      <c r="P24">
        <f t="shared" si="6"/>
        <v>227</v>
      </c>
      <c r="Q24">
        <f t="shared" si="7"/>
        <v>0</v>
      </c>
    </row>
    <row r="25" spans="1:21" x14ac:dyDescent="0.25">
      <c r="A25" s="9">
        <v>0.6875</v>
      </c>
      <c r="B25" s="49"/>
      <c r="C25" s="49"/>
      <c r="D25" s="49">
        <v>275</v>
      </c>
      <c r="G25" s="7">
        <f t="shared" si="3"/>
        <v>0.6875</v>
      </c>
      <c r="H25">
        <f>IF(B25&lt;&gt;0,SUMIF($G$11:$G25,"&gt;"&amp;$G25-1/24,B$11:B25),0)</f>
        <v>0</v>
      </c>
      <c r="I25">
        <f>IF(C25&lt;&gt;0,SUMIF($G$11:$G25,"&gt;"&amp;$G25-1/24,C$11:C25),0)</f>
        <v>0</v>
      </c>
      <c r="J25">
        <f>IF(D25&lt;&gt;0,SUMIF($G$11:$G25,"&gt;"&amp;$G25-1/24,D$11:D25),0)</f>
        <v>715</v>
      </c>
      <c r="K25">
        <f>IF(E25&lt;&gt;0,SUMIF($G$11:$G25,"&gt;"&amp;$G25-1/24,E$11:E25),0)</f>
        <v>0</v>
      </c>
      <c r="L25">
        <f t="shared" si="4"/>
        <v>1</v>
      </c>
      <c r="N25" t="str">
        <f t="shared" si="5"/>
        <v>PM</v>
      </c>
      <c r="O25" s="7">
        <f t="shared" si="2"/>
        <v>0.6875</v>
      </c>
      <c r="P25">
        <f t="shared" si="6"/>
        <v>275</v>
      </c>
      <c r="Q25">
        <f t="shared" si="7"/>
        <v>275</v>
      </c>
    </row>
    <row r="26" spans="1:21" x14ac:dyDescent="0.25">
      <c r="A26" s="9">
        <v>0.69791666666666663</v>
      </c>
      <c r="B26" s="49"/>
      <c r="C26" s="49"/>
      <c r="D26" s="49">
        <v>267</v>
      </c>
      <c r="G26" s="7">
        <f t="shared" si="3"/>
        <v>0.69791666666666663</v>
      </c>
      <c r="H26">
        <f>IF(B26&lt;&gt;0,SUMIF($G$11:$G26,"&gt;"&amp;$G26-1/24,B$11:B26),0)</f>
        <v>0</v>
      </c>
      <c r="I26">
        <f>IF(C26&lt;&gt;0,SUMIF($G$11:$G26,"&gt;"&amp;$G26-1/24,C$11:C26),0)</f>
        <v>0</v>
      </c>
      <c r="J26">
        <f>IF(D26&lt;&gt;0,SUMIF($G$11:$G26,"&gt;"&amp;$G26-1/24,D$11:D26),0)</f>
        <v>982</v>
      </c>
      <c r="K26">
        <f>IF(E26&lt;&gt;0,SUMIF($G$11:$G26,"&gt;"&amp;$G26-1/24,E$11:E26),0)</f>
        <v>0</v>
      </c>
      <c r="L26">
        <f t="shared" si="4"/>
        <v>1</v>
      </c>
      <c r="N26" t="str">
        <f t="shared" si="5"/>
        <v>PM</v>
      </c>
      <c r="O26" s="7">
        <f t="shared" si="2"/>
        <v>0.69791666666666663</v>
      </c>
      <c r="P26">
        <f t="shared" si="6"/>
        <v>267</v>
      </c>
      <c r="Q26">
        <f t="shared" si="7"/>
        <v>267</v>
      </c>
    </row>
    <row r="27" spans="1:21" x14ac:dyDescent="0.25">
      <c r="A27" s="9">
        <v>0.70833333333333337</v>
      </c>
      <c r="B27" s="49"/>
      <c r="C27" s="49"/>
      <c r="D27" s="49">
        <v>274</v>
      </c>
      <c r="G27" s="7">
        <f t="shared" ref="G27:G90" si="8">A27</f>
        <v>0.70833333333333337</v>
      </c>
      <c r="H27">
        <f>IF(B27&lt;&gt;0,SUMIF($G$11:$G27,"&gt;"&amp;$G27-1/24,B$11:B27),0)</f>
        <v>0</v>
      </c>
      <c r="I27">
        <f>IF(C27&lt;&gt;0,SUMIF($G$11:$G27,"&gt;"&amp;$G27-1/24,C$11:C27),0)</f>
        <v>0</v>
      </c>
      <c r="J27">
        <f>IF(D27&lt;&gt;0,SUMIF($G$11:$G27,"&gt;"&amp;$G27-1/24,D$11:D27),0)</f>
        <v>1043</v>
      </c>
      <c r="K27">
        <f>IF(E27&lt;&gt;0,SUMIF($G$11:$G27,"&gt;"&amp;$G27-1/24,E$11:E27),0)</f>
        <v>0</v>
      </c>
      <c r="L27">
        <f t="shared" si="4"/>
        <v>1</v>
      </c>
      <c r="N27" t="str">
        <f t="shared" si="5"/>
        <v>PM</v>
      </c>
      <c r="O27" s="7">
        <f t="shared" si="2"/>
        <v>0.70833333333333337</v>
      </c>
      <c r="P27">
        <f t="shared" si="6"/>
        <v>274</v>
      </c>
      <c r="Q27">
        <f t="shared" si="7"/>
        <v>274</v>
      </c>
    </row>
    <row r="28" spans="1:21" x14ac:dyDescent="0.25">
      <c r="A28" s="9">
        <v>0.71875</v>
      </c>
      <c r="B28" s="49"/>
      <c r="C28" s="49"/>
      <c r="D28" s="49">
        <v>293</v>
      </c>
      <c r="G28" s="7">
        <f t="shared" si="8"/>
        <v>0.71875</v>
      </c>
      <c r="H28">
        <f>IF(B28&lt;&gt;0,SUMIF($G$11:$G28,"&gt;"&amp;$G28-1/24,B$11:B28),0)</f>
        <v>0</v>
      </c>
      <c r="I28">
        <f>IF(C28&lt;&gt;0,SUMIF($G$11:$G28,"&gt;"&amp;$G28-1/24,C$11:C28),0)</f>
        <v>0</v>
      </c>
      <c r="J28">
        <f>IF(D28&lt;&gt;0,SUMIF($G$11:$G28,"&gt;"&amp;$G28-1/24,D$11:D28),0)</f>
        <v>1109</v>
      </c>
      <c r="K28">
        <f>IF(E28&lt;&gt;0,SUMIF($G$11:$G28,"&gt;"&amp;$G28-1/24,E$11:E28),0)</f>
        <v>0</v>
      </c>
      <c r="L28">
        <f t="shared" si="4"/>
        <v>1</v>
      </c>
      <c r="N28" t="str">
        <f t="shared" si="5"/>
        <v>PM</v>
      </c>
      <c r="O28" s="7">
        <f t="shared" si="2"/>
        <v>0.71875</v>
      </c>
      <c r="P28">
        <f t="shared" si="6"/>
        <v>293</v>
      </c>
      <c r="Q28">
        <f t="shared" si="7"/>
        <v>293</v>
      </c>
    </row>
    <row r="29" spans="1:21" x14ac:dyDescent="0.25">
      <c r="A29" s="9">
        <v>0.72916666666666663</v>
      </c>
      <c r="B29" s="49"/>
      <c r="C29" s="49"/>
      <c r="D29" s="49">
        <v>256</v>
      </c>
      <c r="G29" s="7">
        <f t="shared" si="8"/>
        <v>0.72916666666666663</v>
      </c>
      <c r="H29">
        <f>IF(B29&lt;&gt;0,SUMIF($G$11:$G29,"&gt;"&amp;$G29-1/24,B$11:B29),0)</f>
        <v>0</v>
      </c>
      <c r="I29">
        <f>IF(C29&lt;&gt;0,SUMIF($G$11:$G29,"&gt;"&amp;$G29-1/24,C$11:C29),0)</f>
        <v>0</v>
      </c>
      <c r="J29">
        <f>IF(D29&lt;&gt;0,SUMIF($G$11:$G29,"&gt;"&amp;$G29-1/24,D$11:D29),0)</f>
        <v>1090</v>
      </c>
      <c r="K29">
        <f>IF(E29&lt;&gt;0,SUMIF($G$11:$G29,"&gt;"&amp;$G29-1/24,E$11:E29),0)</f>
        <v>0</v>
      </c>
      <c r="L29">
        <f t="shared" si="4"/>
        <v>0</v>
      </c>
      <c r="N29" t="str">
        <f t="shared" si="5"/>
        <v>PM</v>
      </c>
      <c r="O29" s="7">
        <f t="shared" si="2"/>
        <v>0.72916666666666663</v>
      </c>
      <c r="P29">
        <f t="shared" si="6"/>
        <v>256</v>
      </c>
      <c r="Q29">
        <f t="shared" si="7"/>
        <v>0</v>
      </c>
    </row>
    <row r="30" spans="1:21" x14ac:dyDescent="0.25">
      <c r="A30" s="9">
        <v>0.73958333333333337</v>
      </c>
      <c r="B30" s="49"/>
      <c r="C30" s="49"/>
      <c r="D30" s="49">
        <v>224</v>
      </c>
      <c r="G30" s="7">
        <f t="shared" si="8"/>
        <v>0.73958333333333337</v>
      </c>
      <c r="H30">
        <f>IF(B30&lt;&gt;0,SUMIF($G$11:$G30,"&gt;"&amp;$G30-1/24,B$11:B30),0)</f>
        <v>0</v>
      </c>
      <c r="I30">
        <f>IF(C30&lt;&gt;0,SUMIF($G$11:$G30,"&gt;"&amp;$G30-1/24,C$11:C30),0)</f>
        <v>0</v>
      </c>
      <c r="J30">
        <f>IF(D30&lt;&gt;0,SUMIF($G$11:$G30,"&gt;"&amp;$G30-1/24,D$11:D30),0)</f>
        <v>1047</v>
      </c>
      <c r="K30">
        <f>IF(E30&lt;&gt;0,SUMIF($G$11:$G30,"&gt;"&amp;$G30-1/24,E$11:E30),0)</f>
        <v>0</v>
      </c>
      <c r="L30">
        <f t="shared" si="4"/>
        <v>0</v>
      </c>
      <c r="N30" t="str">
        <f t="shared" si="5"/>
        <v>PM</v>
      </c>
      <c r="O30" s="7">
        <f t="shared" si="2"/>
        <v>0.73958333333333337</v>
      </c>
      <c r="P30">
        <f t="shared" si="6"/>
        <v>224</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125</v>
      </c>
      <c r="E5" t="str">
        <f>"Vehicle Count by Exit Leg for "&amp;C2&amp;" Period"</f>
        <v>Vehicle Count by Exit Leg for AM Period</v>
      </c>
    </row>
    <row r="6" spans="2:5" x14ac:dyDescent="0.25">
      <c r="B6" s="9">
        <v>0.30208333333333331</v>
      </c>
      <c r="C6" s="49">
        <v>162</v>
      </c>
    </row>
    <row r="7" spans="2:5" x14ac:dyDescent="0.25">
      <c r="B7" s="9">
        <v>0.3125</v>
      </c>
      <c r="C7" s="49">
        <v>217</v>
      </c>
    </row>
    <row r="8" spans="2:5" x14ac:dyDescent="0.25">
      <c r="B8" s="9">
        <v>0.32291666666666669</v>
      </c>
      <c r="C8" s="49">
        <v>220</v>
      </c>
    </row>
    <row r="9" spans="2:5" x14ac:dyDescent="0.25">
      <c r="B9" s="9">
        <v>0.33333333333333331</v>
      </c>
      <c r="C9" s="49">
        <v>222</v>
      </c>
    </row>
    <row r="10" spans="2:5" x14ac:dyDescent="0.25">
      <c r="B10" s="9">
        <v>0.34375</v>
      </c>
      <c r="C10" s="49">
        <v>243</v>
      </c>
    </row>
    <row r="11" spans="2:5" x14ac:dyDescent="0.25">
      <c r="B11" s="9">
        <v>0.35416666666666669</v>
      </c>
      <c r="C11" s="49">
        <v>237</v>
      </c>
    </row>
    <row r="12" spans="2:5" x14ac:dyDescent="0.25">
      <c r="B12" s="9">
        <v>0.36458333333333331</v>
      </c>
      <c r="C12" s="49">
        <v>212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 bestFit="1" customWidth="1"/>
    <col min="12" max="12" width="20.5703125" bestFit="1" customWidth="1"/>
    <col min="13" max="13" width="22" bestFit="1" customWidth="1"/>
    <col min="14" max="14" width="8.28515625" customWidth="1"/>
    <col min="15" max="15" width="5.5703125" customWidth="1"/>
    <col min="16" max="18" width="3.28515625" customWidth="1"/>
    <col min="19" max="19" width="11.28515625" bestFit="1" customWidth="1"/>
    <col min="20" max="20" width="19" bestFit="1" customWidth="1"/>
    <col min="21" max="21" width="20.5703125" bestFit="1" customWidth="1"/>
    <col min="22" max="22" width="22"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94</v>
      </c>
      <c r="M25" s="25" t="s">
        <v>95</v>
      </c>
      <c r="T25" s="25" t="s">
        <v>93</v>
      </c>
      <c r="U25" s="25" t="s">
        <v>94</v>
      </c>
      <c r="V25" s="25" t="s">
        <v>95</v>
      </c>
      <c r="X25" s="13"/>
    </row>
    <row r="26" spans="2:24" x14ac:dyDescent="0.25">
      <c r="B26" s="9">
        <v>0.29166666666666669</v>
      </c>
      <c r="C26" s="50">
        <v>125</v>
      </c>
      <c r="J26" s="9">
        <v>0.29166666666666669</v>
      </c>
      <c r="K26" s="50">
        <v>55</v>
      </c>
      <c r="L26" s="50">
        <v>12</v>
      </c>
      <c r="M26" s="50">
        <v>58</v>
      </c>
      <c r="S26" s="9">
        <v>0.29166666666666669</v>
      </c>
      <c r="T26" s="50">
        <v>62</v>
      </c>
      <c r="U26" s="50">
        <v>7</v>
      </c>
      <c r="V26" s="50">
        <v>56</v>
      </c>
    </row>
    <row r="27" spans="2:24" x14ac:dyDescent="0.25">
      <c r="B27" s="9">
        <v>0.30208333333333331</v>
      </c>
      <c r="C27" s="50">
        <v>162</v>
      </c>
      <c r="J27" s="9">
        <v>0.30208333333333331</v>
      </c>
      <c r="K27" s="50">
        <v>66</v>
      </c>
      <c r="L27" s="50">
        <v>28</v>
      </c>
      <c r="M27" s="50">
        <v>68</v>
      </c>
      <c r="S27" s="9">
        <v>0.30208333333333331</v>
      </c>
      <c r="T27" s="50">
        <v>77</v>
      </c>
      <c r="U27" s="50">
        <v>15</v>
      </c>
      <c r="V27" s="50">
        <v>70</v>
      </c>
    </row>
    <row r="28" spans="2:24" x14ac:dyDescent="0.25">
      <c r="B28" s="9">
        <v>0.3125</v>
      </c>
      <c r="C28" s="50">
        <v>217</v>
      </c>
      <c r="J28" s="9">
        <v>0.3125</v>
      </c>
      <c r="K28" s="50">
        <v>97</v>
      </c>
      <c r="L28" s="50">
        <v>36</v>
      </c>
      <c r="M28" s="50">
        <v>84</v>
      </c>
      <c r="S28" s="9">
        <v>0.3125</v>
      </c>
      <c r="T28" s="50">
        <v>113</v>
      </c>
      <c r="U28" s="50">
        <v>16</v>
      </c>
      <c r="V28" s="50">
        <v>88</v>
      </c>
    </row>
    <row r="29" spans="2:24" x14ac:dyDescent="0.25">
      <c r="B29" s="9">
        <v>0.32291666666666669</v>
      </c>
      <c r="C29" s="50">
        <v>220</v>
      </c>
      <c r="J29" s="9">
        <v>0.32291666666666669</v>
      </c>
      <c r="K29" s="50">
        <v>98</v>
      </c>
      <c r="L29" s="50">
        <v>30</v>
      </c>
      <c r="M29" s="50">
        <v>92</v>
      </c>
      <c r="S29" s="9">
        <v>0.32291666666666669</v>
      </c>
      <c r="T29" s="50">
        <v>114</v>
      </c>
      <c r="U29" s="50">
        <v>18</v>
      </c>
      <c r="V29" s="50">
        <v>88</v>
      </c>
    </row>
    <row r="30" spans="2:24" x14ac:dyDescent="0.25">
      <c r="B30" s="9">
        <v>0.33333333333333331</v>
      </c>
      <c r="C30" s="50">
        <v>222</v>
      </c>
      <c r="J30" s="9">
        <v>0.33333333333333331</v>
      </c>
      <c r="K30" s="50">
        <v>87</v>
      </c>
      <c r="L30" s="50">
        <v>38</v>
      </c>
      <c r="M30" s="50">
        <v>97</v>
      </c>
      <c r="S30" s="9">
        <v>0.33333333333333331</v>
      </c>
      <c r="T30" s="50">
        <v>121</v>
      </c>
      <c r="U30" s="50">
        <v>16</v>
      </c>
      <c r="V30" s="50">
        <v>85</v>
      </c>
    </row>
    <row r="31" spans="2:24" x14ac:dyDescent="0.25">
      <c r="B31" s="9">
        <v>0.34375</v>
      </c>
      <c r="C31" s="50">
        <v>243</v>
      </c>
      <c r="J31" s="9">
        <v>0.34375</v>
      </c>
      <c r="K31" s="50">
        <v>100</v>
      </c>
      <c r="L31" s="50">
        <v>41</v>
      </c>
      <c r="M31" s="50">
        <v>102</v>
      </c>
      <c r="S31" s="9">
        <v>0.34375</v>
      </c>
      <c r="T31" s="50">
        <v>130</v>
      </c>
      <c r="U31" s="50">
        <v>12</v>
      </c>
      <c r="V31" s="50">
        <v>101</v>
      </c>
    </row>
    <row r="32" spans="2:24" x14ac:dyDescent="0.25">
      <c r="B32" s="9">
        <v>0.35416666666666669</v>
      </c>
      <c r="C32" s="50">
        <v>237</v>
      </c>
      <c r="J32" s="9">
        <v>0.35416666666666669</v>
      </c>
      <c r="K32" s="50">
        <v>100</v>
      </c>
      <c r="L32" s="50">
        <v>46</v>
      </c>
      <c r="M32" s="50">
        <v>91</v>
      </c>
      <c r="S32" s="9">
        <v>0.35416666666666669</v>
      </c>
      <c r="T32" s="50">
        <v>123</v>
      </c>
      <c r="U32" s="50">
        <v>25</v>
      </c>
      <c r="V32" s="50">
        <v>89</v>
      </c>
    </row>
    <row r="33" spans="2:22" x14ac:dyDescent="0.25">
      <c r="B33" s="9">
        <v>0.36458333333333331</v>
      </c>
      <c r="C33" s="50">
        <v>212</v>
      </c>
      <c r="J33" s="9">
        <v>0.36458333333333331</v>
      </c>
      <c r="K33" s="50">
        <v>94</v>
      </c>
      <c r="L33" s="50">
        <v>35</v>
      </c>
      <c r="M33" s="50">
        <v>83</v>
      </c>
      <c r="S33" s="9">
        <v>0.36458333333333331</v>
      </c>
      <c r="T33" s="50">
        <v>102</v>
      </c>
      <c r="U33" s="50">
        <v>24</v>
      </c>
      <c r="V33" s="50">
        <v>86</v>
      </c>
    </row>
    <row r="34" spans="2:22" x14ac:dyDescent="0.25">
      <c r="B34" s="9" t="s">
        <v>49</v>
      </c>
      <c r="C34" s="50">
        <v>1638</v>
      </c>
      <c r="J34" s="9" t="s">
        <v>49</v>
      </c>
      <c r="K34" s="50">
        <v>697</v>
      </c>
      <c r="L34" s="50">
        <v>266</v>
      </c>
      <c r="M34" s="50">
        <v>675</v>
      </c>
      <c r="S34" s="9" t="s">
        <v>49</v>
      </c>
      <c r="T34" s="50">
        <v>842</v>
      </c>
      <c r="U34" s="50">
        <v>133</v>
      </c>
      <c r="V34" s="50">
        <v>663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1.28515625" bestFit="1" customWidth="1"/>
    <col min="3" max="3" width="4.710937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922 vehicles between 07:45 and 08:45</v>
      </c>
    </row>
    <row r="5" spans="2:2" x14ac:dyDescent="0.25">
      <c r="B5" s="6" t="str">
        <f>PeakCalc!I8</f>
        <v>The peak hour for INT is 503 vehicles between 13:00 and 14:00</v>
      </c>
    </row>
    <row r="6" spans="2:2" x14ac:dyDescent="0.25">
      <c r="B6" s="6" t="str">
        <f>PeakCalc!J8</f>
        <v>The peak hour for PM is 1109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112</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374</v>
      </c>
      <c r="D32" s="49">
        <v>5</v>
      </c>
      <c r="E32" s="49">
        <v>6</v>
      </c>
      <c r="F32" s="49">
        <v>385</v>
      </c>
      <c r="G32" s="49">
        <v>459</v>
      </c>
      <c r="H32" s="49">
        <v>8</v>
      </c>
      <c r="I32" s="49">
        <v>22</v>
      </c>
      <c r="J32" s="49">
        <v>489</v>
      </c>
      <c r="K32" s="49">
        <v>205</v>
      </c>
      <c r="L32" s="49">
        <v>7</v>
      </c>
      <c r="M32" s="49">
        <v>9</v>
      </c>
      <c r="N32" s="49">
        <v>221</v>
      </c>
    </row>
    <row r="33" spans="2:14" x14ac:dyDescent="0.25">
      <c r="B33" s="14" t="s">
        <v>96</v>
      </c>
      <c r="C33" s="49">
        <v>47</v>
      </c>
      <c r="D33" s="49">
        <v>2</v>
      </c>
      <c r="E33" s="49">
        <v>2</v>
      </c>
      <c r="F33" s="49">
        <v>51</v>
      </c>
      <c r="G33" s="49">
        <v>76</v>
      </c>
      <c r="H33" s="49">
        <v>2</v>
      </c>
      <c r="I33" s="49">
        <v>17</v>
      </c>
      <c r="J33" s="49">
        <v>95</v>
      </c>
      <c r="K33" s="49">
        <v>40</v>
      </c>
      <c r="L33" s="49">
        <v>1</v>
      </c>
      <c r="M33" s="49">
        <v>8</v>
      </c>
      <c r="N33" s="49">
        <v>49</v>
      </c>
    </row>
    <row r="34" spans="2:14" x14ac:dyDescent="0.25">
      <c r="B34" s="14" t="s">
        <v>97</v>
      </c>
      <c r="C34" s="49">
        <v>327</v>
      </c>
      <c r="D34" s="49">
        <v>3</v>
      </c>
      <c r="E34" s="49">
        <v>4</v>
      </c>
      <c r="F34" s="49">
        <v>334</v>
      </c>
      <c r="G34" s="49">
        <v>383</v>
      </c>
      <c r="H34" s="49">
        <v>6</v>
      </c>
      <c r="I34" s="49">
        <v>5</v>
      </c>
      <c r="J34" s="49">
        <v>394</v>
      </c>
      <c r="K34" s="49">
        <v>165</v>
      </c>
      <c r="L34" s="49">
        <v>6</v>
      </c>
      <c r="M34" s="49">
        <v>1</v>
      </c>
      <c r="N34" s="49">
        <v>172</v>
      </c>
    </row>
    <row r="35" spans="2:14" x14ac:dyDescent="0.25">
      <c r="B35" s="10" t="s">
        <v>94</v>
      </c>
      <c r="C35" s="49">
        <v>149</v>
      </c>
      <c r="D35" s="49">
        <v>4</v>
      </c>
      <c r="E35" s="49">
        <v>2</v>
      </c>
      <c r="F35" s="49">
        <v>155</v>
      </c>
      <c r="G35" s="49">
        <v>93</v>
      </c>
      <c r="H35" s="49">
        <v>1</v>
      </c>
      <c r="I35" s="49">
        <v>10</v>
      </c>
      <c r="J35" s="49">
        <v>104</v>
      </c>
      <c r="K35" s="49">
        <v>68</v>
      </c>
      <c r="L35" s="49">
        <v>1</v>
      </c>
      <c r="M35" s="49">
        <v>6</v>
      </c>
      <c r="N35" s="49">
        <v>75</v>
      </c>
    </row>
    <row r="36" spans="2:14" x14ac:dyDescent="0.25">
      <c r="B36" s="14" t="s">
        <v>98</v>
      </c>
      <c r="C36" s="49">
        <v>26</v>
      </c>
      <c r="D36" s="49">
        <v>2</v>
      </c>
      <c r="E36" s="49">
        <v>1</v>
      </c>
      <c r="F36" s="49">
        <v>29</v>
      </c>
      <c r="G36" s="49">
        <v>17</v>
      </c>
      <c r="H36" s="49">
        <v>1</v>
      </c>
      <c r="I36" s="49">
        <v>2</v>
      </c>
      <c r="J36" s="49">
        <v>20</v>
      </c>
      <c r="K36" s="49">
        <v>20</v>
      </c>
      <c r="L36" s="49">
        <v>0</v>
      </c>
      <c r="M36" s="49">
        <v>0</v>
      </c>
      <c r="N36" s="49">
        <v>20</v>
      </c>
    </row>
    <row r="37" spans="2:14" x14ac:dyDescent="0.25">
      <c r="B37" s="14" t="s">
        <v>99</v>
      </c>
      <c r="C37" s="49">
        <v>123</v>
      </c>
      <c r="D37" s="49">
        <v>2</v>
      </c>
      <c r="E37" s="49">
        <v>1</v>
      </c>
      <c r="F37" s="49">
        <v>126</v>
      </c>
      <c r="G37" s="49">
        <v>76</v>
      </c>
      <c r="H37" s="49">
        <v>0</v>
      </c>
      <c r="I37" s="49">
        <v>8</v>
      </c>
      <c r="J37" s="49">
        <v>84</v>
      </c>
      <c r="K37" s="49">
        <v>48</v>
      </c>
      <c r="L37" s="49">
        <v>1</v>
      </c>
      <c r="M37" s="49">
        <v>6</v>
      </c>
      <c r="N37" s="49">
        <v>55</v>
      </c>
    </row>
    <row r="38" spans="2:14" x14ac:dyDescent="0.25">
      <c r="B38" s="10" t="s">
        <v>95</v>
      </c>
      <c r="C38" s="49">
        <v>373</v>
      </c>
      <c r="D38" s="49">
        <v>6</v>
      </c>
      <c r="E38" s="49">
        <v>3</v>
      </c>
      <c r="F38" s="49">
        <v>382</v>
      </c>
      <c r="G38" s="49">
        <v>497</v>
      </c>
      <c r="H38" s="49">
        <v>12</v>
      </c>
      <c r="I38" s="49">
        <v>7</v>
      </c>
      <c r="J38" s="49">
        <v>516</v>
      </c>
      <c r="K38" s="49">
        <v>200</v>
      </c>
      <c r="L38" s="49">
        <v>5</v>
      </c>
      <c r="M38" s="49">
        <v>2</v>
      </c>
      <c r="N38" s="49">
        <v>207</v>
      </c>
    </row>
    <row r="39" spans="2:14" x14ac:dyDescent="0.25">
      <c r="B39" s="14" t="s">
        <v>100</v>
      </c>
      <c r="C39" s="49">
        <v>353</v>
      </c>
      <c r="D39" s="49">
        <v>6</v>
      </c>
      <c r="E39" s="49">
        <v>3</v>
      </c>
      <c r="F39" s="49">
        <v>362</v>
      </c>
      <c r="G39" s="49">
        <v>456</v>
      </c>
      <c r="H39" s="49">
        <v>12</v>
      </c>
      <c r="I39" s="49">
        <v>7</v>
      </c>
      <c r="J39" s="49">
        <v>475</v>
      </c>
      <c r="K39" s="49">
        <v>184</v>
      </c>
      <c r="L39" s="49">
        <v>5</v>
      </c>
      <c r="M39" s="49">
        <v>2</v>
      </c>
      <c r="N39" s="49">
        <v>191</v>
      </c>
    </row>
    <row r="40" spans="2:14" x14ac:dyDescent="0.25">
      <c r="B40" s="14" t="s">
        <v>101</v>
      </c>
      <c r="C40" s="49">
        <v>20</v>
      </c>
      <c r="D40" s="49">
        <v>0</v>
      </c>
      <c r="E40" s="49">
        <v>0</v>
      </c>
      <c r="F40" s="49">
        <v>20</v>
      </c>
      <c r="G40" s="49">
        <v>41</v>
      </c>
      <c r="H40" s="49">
        <v>0</v>
      </c>
      <c r="I40" s="49">
        <v>0</v>
      </c>
      <c r="J40" s="49">
        <v>41</v>
      </c>
      <c r="K40" s="49">
        <v>16</v>
      </c>
      <c r="L40" s="49">
        <v>0</v>
      </c>
      <c r="M40" s="49">
        <v>0</v>
      </c>
      <c r="N40" s="49">
        <v>16</v>
      </c>
    </row>
    <row r="41" spans="2:14" x14ac:dyDescent="0.25">
      <c r="B41" s="10" t="s">
        <v>49</v>
      </c>
      <c r="C41" s="49">
        <v>896</v>
      </c>
      <c r="D41" s="49">
        <v>15</v>
      </c>
      <c r="E41" s="49">
        <v>11</v>
      </c>
      <c r="F41" s="49">
        <v>922</v>
      </c>
      <c r="G41" s="49">
        <v>1049</v>
      </c>
      <c r="H41" s="49">
        <v>21</v>
      </c>
      <c r="I41" s="49">
        <v>39</v>
      </c>
      <c r="J41" s="49">
        <v>1109</v>
      </c>
      <c r="K41" s="49">
        <v>473</v>
      </c>
      <c r="L41" s="49">
        <v>13</v>
      </c>
      <c r="M41" s="49">
        <v>17</v>
      </c>
      <c r="N41" s="49">
        <v>503</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8341F-2C27-431D-9737-CCDEB0872502}">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156</v>
      </c>
      <c r="S12" s="61"/>
      <c r="T12" s="61"/>
      <c r="U12" s="61"/>
      <c r="V12" s="61"/>
      <c r="W12" s="61"/>
      <c r="X12" s="61"/>
      <c r="Y12" s="60"/>
      <c r="Z12" s="62" t="s">
        <v>153</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v>4</v>
      </c>
      <c r="T15" s="55" t="s">
        <v>113</v>
      </c>
      <c r="U15" s="55">
        <v>50</v>
      </c>
      <c r="V15" s="55" t="s">
        <v>113</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v>5</v>
      </c>
      <c r="AJ15" s="55" t="s">
        <v>113</v>
      </c>
      <c r="AK15" s="55" t="s">
        <v>113</v>
      </c>
      <c r="AL15" s="55" t="s">
        <v>113</v>
      </c>
      <c r="AM15" s="55">
        <v>7</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v>51</v>
      </c>
      <c r="BB15" s="55" t="s">
        <v>113</v>
      </c>
      <c r="BC15" s="55">
        <v>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v>6</v>
      </c>
      <c r="T16" s="55" t="s">
        <v>113</v>
      </c>
      <c r="U16" s="55">
        <v>57</v>
      </c>
      <c r="V16" s="55" t="s">
        <v>113</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v>11</v>
      </c>
      <c r="AJ16" s="55" t="s">
        <v>113</v>
      </c>
      <c r="AK16" s="55" t="s">
        <v>113</v>
      </c>
      <c r="AL16" s="55" t="s">
        <v>113</v>
      </c>
      <c r="AM16" s="55">
        <v>16</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v>59</v>
      </c>
      <c r="BB16" s="55" t="s">
        <v>113</v>
      </c>
      <c r="BC16" s="55">
        <v>7</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v>14</v>
      </c>
      <c r="T17" s="55" t="s">
        <v>113</v>
      </c>
      <c r="U17" s="55">
        <v>79</v>
      </c>
      <c r="V17" s="55" t="s">
        <v>113</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v>5</v>
      </c>
      <c r="AJ17" s="55" t="s">
        <v>113</v>
      </c>
      <c r="AK17" s="55" t="s">
        <v>113</v>
      </c>
      <c r="AL17" s="55" t="s">
        <v>113</v>
      </c>
      <c r="AM17" s="55">
        <v>28</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v>80</v>
      </c>
      <c r="BB17" s="55" t="s">
        <v>113</v>
      </c>
      <c r="BC17" s="55">
        <v>1</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v>13</v>
      </c>
      <c r="T18" s="55" t="s">
        <v>113</v>
      </c>
      <c r="U18" s="55">
        <v>81</v>
      </c>
      <c r="V18" s="55" t="s">
        <v>113</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v>4</v>
      </c>
      <c r="AJ18" s="55" t="s">
        <v>113</v>
      </c>
      <c r="AK18" s="55" t="s">
        <v>113</v>
      </c>
      <c r="AL18" s="55" t="s">
        <v>113</v>
      </c>
      <c r="AM18" s="55">
        <v>26</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v>85</v>
      </c>
      <c r="BB18" s="55" t="s">
        <v>113</v>
      </c>
      <c r="BC18" s="55">
        <v>4</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v>7</v>
      </c>
      <c r="T19" s="55" t="s">
        <v>113</v>
      </c>
      <c r="U19" s="55">
        <v>78</v>
      </c>
      <c r="V19" s="55" t="s">
        <v>113</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v>4</v>
      </c>
      <c r="AJ19" s="55" t="s">
        <v>113</v>
      </c>
      <c r="AK19" s="55" t="s">
        <v>113</v>
      </c>
      <c r="AL19" s="55" t="s">
        <v>113</v>
      </c>
      <c r="AM19" s="55">
        <v>31</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v>86</v>
      </c>
      <c r="BB19" s="55" t="s">
        <v>113</v>
      </c>
      <c r="BC19" s="55">
        <v>8</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v>9</v>
      </c>
      <c r="T20" s="55" t="s">
        <v>113</v>
      </c>
      <c r="U20" s="55">
        <v>89</v>
      </c>
      <c r="V20" s="55" t="s">
        <v>113</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v>10</v>
      </c>
      <c r="AJ20" s="55" t="s">
        <v>113</v>
      </c>
      <c r="AK20" s="55" t="s">
        <v>113</v>
      </c>
      <c r="AL20" s="55" t="s">
        <v>113</v>
      </c>
      <c r="AM20" s="55">
        <v>30</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v>98</v>
      </c>
      <c r="BB20" s="55" t="s">
        <v>113</v>
      </c>
      <c r="BC20" s="55">
        <v>2</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v>18</v>
      </c>
      <c r="T21" s="55" t="s">
        <v>113</v>
      </c>
      <c r="U21" s="55">
        <v>79</v>
      </c>
      <c r="V21" s="55" t="s">
        <v>113</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v>8</v>
      </c>
      <c r="AJ21" s="55" t="s">
        <v>113</v>
      </c>
      <c r="AK21" s="55" t="s">
        <v>113</v>
      </c>
      <c r="AL21" s="55" t="s">
        <v>113</v>
      </c>
      <c r="AM21" s="55">
        <v>36</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v>84</v>
      </c>
      <c r="BB21" s="55" t="s">
        <v>113</v>
      </c>
      <c r="BC21" s="55">
        <v>6</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v>15</v>
      </c>
      <c r="T22" s="55" t="s">
        <v>113</v>
      </c>
      <c r="U22" s="55">
        <v>76</v>
      </c>
      <c r="V22" s="55" t="s">
        <v>113</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v>9</v>
      </c>
      <c r="AJ22" s="55" t="s">
        <v>113</v>
      </c>
      <c r="AK22" s="55" t="s">
        <v>113</v>
      </c>
      <c r="AL22" s="55" t="s">
        <v>113</v>
      </c>
      <c r="AM22" s="55">
        <v>22</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v>76</v>
      </c>
      <c r="BB22" s="55" t="s">
        <v>113</v>
      </c>
      <c r="BC22" s="55">
        <v>6</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v>0</v>
      </c>
      <c r="T23" s="55" t="s">
        <v>113</v>
      </c>
      <c r="U23" s="55">
        <v>0</v>
      </c>
      <c r="V23" s="55" t="s">
        <v>113</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v>0</v>
      </c>
      <c r="AJ23" s="55" t="s">
        <v>113</v>
      </c>
      <c r="AK23" s="55" t="s">
        <v>113</v>
      </c>
      <c r="AL23" s="55" t="s">
        <v>113</v>
      </c>
      <c r="AM23" s="55">
        <v>1</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v>0</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v>16</v>
      </c>
      <c r="T24" s="55" t="s">
        <v>113</v>
      </c>
      <c r="U24" s="55">
        <v>35</v>
      </c>
      <c r="V24" s="55" t="s">
        <v>113</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v>3</v>
      </c>
      <c r="AJ24" s="55" t="s">
        <v>113</v>
      </c>
      <c r="AK24" s="55" t="s">
        <v>113</v>
      </c>
      <c r="AL24" s="55" t="s">
        <v>113</v>
      </c>
      <c r="AM24" s="55">
        <v>11</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v>56</v>
      </c>
      <c r="BB24" s="55" t="s">
        <v>113</v>
      </c>
      <c r="BC24" s="55">
        <v>1</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v>8</v>
      </c>
      <c r="T25" s="55" t="s">
        <v>113</v>
      </c>
      <c r="U25" s="55">
        <v>45</v>
      </c>
      <c r="V25" s="55" t="s">
        <v>113</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v>7</v>
      </c>
      <c r="AJ25" s="55" t="s">
        <v>113</v>
      </c>
      <c r="AK25" s="55" t="s">
        <v>113</v>
      </c>
      <c r="AL25" s="55" t="s">
        <v>113</v>
      </c>
      <c r="AM25" s="55">
        <v>11</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v>43</v>
      </c>
      <c r="BB25" s="55" t="s">
        <v>113</v>
      </c>
      <c r="BC25" s="55">
        <v>5</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v>12</v>
      </c>
      <c r="T26" s="55" t="s">
        <v>113</v>
      </c>
      <c r="U26" s="55">
        <v>40</v>
      </c>
      <c r="V26" s="55" t="s">
        <v>113</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v>7</v>
      </c>
      <c r="AJ26" s="55" t="s">
        <v>113</v>
      </c>
      <c r="AK26" s="55" t="s">
        <v>113</v>
      </c>
      <c r="AL26" s="55" t="s">
        <v>113</v>
      </c>
      <c r="AM26" s="55">
        <v>12</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v>40</v>
      </c>
      <c r="BB26" s="55" t="s">
        <v>113</v>
      </c>
      <c r="BC26" s="55">
        <v>7</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v>4</v>
      </c>
      <c r="T27" s="55" t="s">
        <v>113</v>
      </c>
      <c r="U27" s="55">
        <v>45</v>
      </c>
      <c r="V27" s="55" t="s">
        <v>113</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v>3</v>
      </c>
      <c r="AJ27" s="55" t="s">
        <v>113</v>
      </c>
      <c r="AK27" s="55" t="s">
        <v>113</v>
      </c>
      <c r="AL27" s="55" t="s">
        <v>113</v>
      </c>
      <c r="AM27" s="55">
        <v>14</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v>45</v>
      </c>
      <c r="BB27" s="55" t="s">
        <v>113</v>
      </c>
      <c r="BC27" s="55">
        <v>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v>0</v>
      </c>
      <c r="T28" s="55" t="s">
        <v>113</v>
      </c>
      <c r="U28" s="55">
        <v>0</v>
      </c>
      <c r="V28" s="55" t="s">
        <v>113</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v>0</v>
      </c>
      <c r="AJ28" s="55" t="s">
        <v>113</v>
      </c>
      <c r="AK28" s="55" t="s">
        <v>113</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v>0</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v>15</v>
      </c>
      <c r="T29" s="55" t="s">
        <v>113</v>
      </c>
      <c r="U29" s="55">
        <v>75</v>
      </c>
      <c r="V29" s="55" t="s">
        <v>113</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v>3</v>
      </c>
      <c r="AJ29" s="55" t="s">
        <v>113</v>
      </c>
      <c r="AK29" s="55" t="s">
        <v>113</v>
      </c>
      <c r="AL29" s="55" t="s">
        <v>113</v>
      </c>
      <c r="AM29" s="55">
        <v>20</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v>85</v>
      </c>
      <c r="BB29" s="55" t="s">
        <v>113</v>
      </c>
      <c r="BC29" s="55">
        <v>9</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v>12</v>
      </c>
      <c r="T30" s="55" t="s">
        <v>113</v>
      </c>
      <c r="U30" s="55">
        <v>85</v>
      </c>
      <c r="V30" s="55" t="s">
        <v>113</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v>4</v>
      </c>
      <c r="AJ30" s="55" t="s">
        <v>113</v>
      </c>
      <c r="AK30" s="55" t="s">
        <v>113</v>
      </c>
      <c r="AL30" s="55" t="s">
        <v>113</v>
      </c>
      <c r="AM30" s="55">
        <v>19</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v>91</v>
      </c>
      <c r="BB30" s="55" t="s">
        <v>113</v>
      </c>
      <c r="BC30" s="55">
        <v>6</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v>15</v>
      </c>
      <c r="T31" s="55" t="s">
        <v>113</v>
      </c>
      <c r="U31" s="55">
        <v>94</v>
      </c>
      <c r="V31" s="55" t="s">
        <v>113</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v>3</v>
      </c>
      <c r="AJ31" s="55" t="s">
        <v>113</v>
      </c>
      <c r="AK31" s="55" t="s">
        <v>113</v>
      </c>
      <c r="AL31" s="55" t="s">
        <v>113</v>
      </c>
      <c r="AM31" s="55">
        <v>26</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v>105</v>
      </c>
      <c r="BB31" s="55" t="s">
        <v>113</v>
      </c>
      <c r="BC31" s="55">
        <v>11</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v>19</v>
      </c>
      <c r="T32" s="55" t="s">
        <v>113</v>
      </c>
      <c r="U32" s="55">
        <v>93</v>
      </c>
      <c r="V32" s="55" t="s">
        <v>113</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v>5</v>
      </c>
      <c r="AJ32" s="55" t="s">
        <v>113</v>
      </c>
      <c r="AK32" s="55" t="s">
        <v>113</v>
      </c>
      <c r="AL32" s="55" t="s">
        <v>113</v>
      </c>
      <c r="AM32" s="55">
        <v>17</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v>108</v>
      </c>
      <c r="BB32" s="55" t="s">
        <v>113</v>
      </c>
      <c r="BC32" s="55">
        <v>11</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v>21</v>
      </c>
      <c r="T33" s="55" t="s">
        <v>113</v>
      </c>
      <c r="U33" s="55">
        <v>88</v>
      </c>
      <c r="V33" s="55" t="s">
        <v>113</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v>4</v>
      </c>
      <c r="AJ33" s="55" t="s">
        <v>113</v>
      </c>
      <c r="AK33" s="55" t="s">
        <v>113</v>
      </c>
      <c r="AL33" s="55" t="s">
        <v>113</v>
      </c>
      <c r="AM33" s="55">
        <v>17</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v>124</v>
      </c>
      <c r="BB33" s="55" t="s">
        <v>113</v>
      </c>
      <c r="BC33" s="55">
        <v>10</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v>21</v>
      </c>
      <c r="T34" s="55" t="s">
        <v>113</v>
      </c>
      <c r="U34" s="55">
        <v>108</v>
      </c>
      <c r="V34" s="55" t="s">
        <v>113</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v>5</v>
      </c>
      <c r="AJ34" s="55" t="s">
        <v>113</v>
      </c>
      <c r="AK34" s="55" t="s">
        <v>113</v>
      </c>
      <c r="AL34" s="55" t="s">
        <v>113</v>
      </c>
      <c r="AM34" s="55">
        <v>16</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v>119</v>
      </c>
      <c r="BB34" s="55" t="s">
        <v>113</v>
      </c>
      <c r="BC34" s="55">
        <v>9</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v>17</v>
      </c>
      <c r="T35" s="55" t="s">
        <v>113</v>
      </c>
      <c r="U35" s="55">
        <v>84</v>
      </c>
      <c r="V35" s="55" t="s">
        <v>113</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v>5</v>
      </c>
      <c r="AJ35" s="55" t="s">
        <v>113</v>
      </c>
      <c r="AK35" s="55" t="s">
        <v>113</v>
      </c>
      <c r="AL35" s="55" t="s">
        <v>113</v>
      </c>
      <c r="AM35" s="55">
        <v>15</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v>109</v>
      </c>
      <c r="BB35" s="55" t="s">
        <v>113</v>
      </c>
      <c r="BC35" s="55">
        <v>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v>25</v>
      </c>
      <c r="T36" s="55" t="s">
        <v>113</v>
      </c>
      <c r="U36" s="55">
        <v>72</v>
      </c>
      <c r="V36" s="55" t="s">
        <v>113</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v>3</v>
      </c>
      <c r="AJ36" s="55" t="s">
        <v>113</v>
      </c>
      <c r="AK36" s="55" t="s">
        <v>113</v>
      </c>
      <c r="AL36" s="55" t="s">
        <v>113</v>
      </c>
      <c r="AM36" s="55">
        <v>17</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v>90</v>
      </c>
      <c r="BB36" s="55" t="s">
        <v>113</v>
      </c>
      <c r="BC36" s="55">
        <v>4</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v>0</v>
      </c>
      <c r="T37" s="55" t="s">
        <v>113</v>
      </c>
      <c r="U37" s="55">
        <v>0</v>
      </c>
      <c r="V37" s="55" t="s">
        <v>113</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v>0</v>
      </c>
      <c r="AJ37" s="55" t="s">
        <v>113</v>
      </c>
      <c r="AK37" s="55" t="s">
        <v>113</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v>0</v>
      </c>
      <c r="BB37" s="55" t="s">
        <v>113</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4F3E4-2B12-4241-BCAD-A0C0829B75B2}">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156</v>
      </c>
      <c r="S12" s="61"/>
      <c r="T12" s="61"/>
      <c r="U12" s="61"/>
      <c r="V12" s="61"/>
      <c r="W12" s="61"/>
      <c r="X12" s="61"/>
      <c r="Y12" s="60"/>
      <c r="Z12" s="62" t="s">
        <v>153</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v>0</v>
      </c>
      <c r="T15" s="55" t="s">
        <v>113</v>
      </c>
      <c r="U15" s="55">
        <v>0</v>
      </c>
      <c r="V15" s="55" t="s">
        <v>113</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v>0</v>
      </c>
      <c r="AJ15" s="55" t="s">
        <v>113</v>
      </c>
      <c r="AK15" s="55" t="s">
        <v>113</v>
      </c>
      <c r="AL15" s="55" t="s">
        <v>113</v>
      </c>
      <c r="AM15" s="55">
        <v>0</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v>3</v>
      </c>
      <c r="BB15" s="55" t="s">
        <v>113</v>
      </c>
      <c r="BC15" s="55">
        <v>0</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v>0</v>
      </c>
      <c r="T16" s="55" t="s">
        <v>113</v>
      </c>
      <c r="U16" s="55">
        <v>1</v>
      </c>
      <c r="V16" s="55" t="s">
        <v>113</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v>0</v>
      </c>
      <c r="AJ16" s="55" t="s">
        <v>113</v>
      </c>
      <c r="AK16" s="55" t="s">
        <v>113</v>
      </c>
      <c r="AL16" s="55" t="s">
        <v>113</v>
      </c>
      <c r="AM16" s="55">
        <v>0</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v>1</v>
      </c>
      <c r="BB16" s="55" t="s">
        <v>113</v>
      </c>
      <c r="BC16" s="55">
        <v>1</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v>0</v>
      </c>
      <c r="T17" s="55" t="s">
        <v>113</v>
      </c>
      <c r="U17" s="55">
        <v>1</v>
      </c>
      <c r="V17" s="55" t="s">
        <v>113</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v>0</v>
      </c>
      <c r="AJ17" s="55" t="s">
        <v>113</v>
      </c>
      <c r="AK17" s="55" t="s">
        <v>113</v>
      </c>
      <c r="AL17" s="55" t="s">
        <v>113</v>
      </c>
      <c r="AM17" s="55">
        <v>0</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v>1</v>
      </c>
      <c r="BB17" s="55" t="s">
        <v>113</v>
      </c>
      <c r="BC17" s="55">
        <v>1</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v>0</v>
      </c>
      <c r="T18" s="55" t="s">
        <v>113</v>
      </c>
      <c r="U18" s="55">
        <v>1</v>
      </c>
      <c r="V18" s="55" t="s">
        <v>113</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v>0</v>
      </c>
      <c r="AJ18" s="55" t="s">
        <v>113</v>
      </c>
      <c r="AK18" s="55" t="s">
        <v>113</v>
      </c>
      <c r="AL18" s="55" t="s">
        <v>113</v>
      </c>
      <c r="AM18" s="55">
        <v>0</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v>2</v>
      </c>
      <c r="BB18" s="55" t="s">
        <v>113</v>
      </c>
      <c r="BC18" s="55">
        <v>0</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v>1</v>
      </c>
      <c r="T19" s="55" t="s">
        <v>113</v>
      </c>
      <c r="U19" s="55">
        <v>0</v>
      </c>
      <c r="V19" s="55" t="s">
        <v>113</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v>1</v>
      </c>
      <c r="AJ19" s="55" t="s">
        <v>113</v>
      </c>
      <c r="AK19" s="55" t="s">
        <v>113</v>
      </c>
      <c r="AL19" s="55" t="s">
        <v>113</v>
      </c>
      <c r="AM19" s="55">
        <v>0</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v>1</v>
      </c>
      <c r="BB19" s="55" t="s">
        <v>113</v>
      </c>
      <c r="BC19" s="55">
        <v>0</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v>1</v>
      </c>
      <c r="T20" s="55" t="s">
        <v>113</v>
      </c>
      <c r="U20" s="55">
        <v>1</v>
      </c>
      <c r="V20" s="55" t="s">
        <v>113</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v>1</v>
      </c>
      <c r="AJ20" s="55" t="s">
        <v>113</v>
      </c>
      <c r="AK20" s="55" t="s">
        <v>113</v>
      </c>
      <c r="AL20" s="55" t="s">
        <v>113</v>
      </c>
      <c r="AM20" s="55">
        <v>0</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v>2</v>
      </c>
      <c r="BB20" s="55" t="s">
        <v>113</v>
      </c>
      <c r="BC20" s="55">
        <v>0</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v>0</v>
      </c>
      <c r="T21" s="55" t="s">
        <v>113</v>
      </c>
      <c r="U21" s="55">
        <v>1</v>
      </c>
      <c r="V21" s="55" t="s">
        <v>113</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v>0</v>
      </c>
      <c r="AJ21" s="55" t="s">
        <v>113</v>
      </c>
      <c r="AK21" s="55" t="s">
        <v>113</v>
      </c>
      <c r="AL21" s="55" t="s">
        <v>113</v>
      </c>
      <c r="AM21" s="55">
        <v>2</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v>1</v>
      </c>
      <c r="BB21" s="55" t="s">
        <v>113</v>
      </c>
      <c r="BC21" s="55">
        <v>0</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v>1</v>
      </c>
      <c r="T22" s="55" t="s">
        <v>113</v>
      </c>
      <c r="U22" s="55">
        <v>0</v>
      </c>
      <c r="V22" s="55" t="s">
        <v>113</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v>1</v>
      </c>
      <c r="AJ22" s="55" t="s">
        <v>113</v>
      </c>
      <c r="AK22" s="55" t="s">
        <v>113</v>
      </c>
      <c r="AL22" s="55" t="s">
        <v>113</v>
      </c>
      <c r="AM22" s="55">
        <v>0</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v>1</v>
      </c>
      <c r="BB22" s="55" t="s">
        <v>113</v>
      </c>
      <c r="BC22" s="55">
        <v>0</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v>0</v>
      </c>
      <c r="T23" s="55" t="s">
        <v>113</v>
      </c>
      <c r="U23" s="55">
        <v>0</v>
      </c>
      <c r="V23" s="55" t="s">
        <v>113</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v>0</v>
      </c>
      <c r="AJ23" s="55" t="s">
        <v>113</v>
      </c>
      <c r="AK23" s="55" t="s">
        <v>113</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v>0</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v>0</v>
      </c>
      <c r="T24" s="55" t="s">
        <v>113</v>
      </c>
      <c r="U24" s="55">
        <v>1</v>
      </c>
      <c r="V24" s="55" t="s">
        <v>113</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v>0</v>
      </c>
      <c r="AJ24" s="55" t="s">
        <v>113</v>
      </c>
      <c r="AK24" s="55" t="s">
        <v>113</v>
      </c>
      <c r="AL24" s="55" t="s">
        <v>113</v>
      </c>
      <c r="AM24" s="55">
        <v>0</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v>0</v>
      </c>
      <c r="BB24" s="55" t="s">
        <v>113</v>
      </c>
      <c r="BC24" s="55">
        <v>0</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v>0</v>
      </c>
      <c r="T25" s="55" t="s">
        <v>113</v>
      </c>
      <c r="U25" s="55">
        <v>1</v>
      </c>
      <c r="V25" s="55" t="s">
        <v>113</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v>0</v>
      </c>
      <c r="AJ25" s="55" t="s">
        <v>113</v>
      </c>
      <c r="AK25" s="55" t="s">
        <v>113</v>
      </c>
      <c r="AL25" s="55" t="s">
        <v>113</v>
      </c>
      <c r="AM25" s="55">
        <v>0</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v>1</v>
      </c>
      <c r="BB25" s="55" t="s">
        <v>113</v>
      </c>
      <c r="BC25" s="55">
        <v>0</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v>1</v>
      </c>
      <c r="T26" s="55" t="s">
        <v>113</v>
      </c>
      <c r="U26" s="55">
        <v>3</v>
      </c>
      <c r="V26" s="55" t="s">
        <v>113</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v>0</v>
      </c>
      <c r="AJ26" s="55" t="s">
        <v>113</v>
      </c>
      <c r="AK26" s="55" t="s">
        <v>113</v>
      </c>
      <c r="AL26" s="55" t="s">
        <v>113</v>
      </c>
      <c r="AM26" s="55">
        <v>1</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v>1</v>
      </c>
      <c r="BB26" s="55" t="s">
        <v>113</v>
      </c>
      <c r="BC26" s="55">
        <v>0</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v>0</v>
      </c>
      <c r="T27" s="55" t="s">
        <v>113</v>
      </c>
      <c r="U27" s="55">
        <v>1</v>
      </c>
      <c r="V27" s="55" t="s">
        <v>113</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v>0</v>
      </c>
      <c r="AJ27" s="55" t="s">
        <v>113</v>
      </c>
      <c r="AK27" s="55" t="s">
        <v>113</v>
      </c>
      <c r="AL27" s="55" t="s">
        <v>113</v>
      </c>
      <c r="AM27" s="55">
        <v>0</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v>3</v>
      </c>
      <c r="BB27" s="55" t="s">
        <v>113</v>
      </c>
      <c r="BC27" s="55">
        <v>0</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v>0</v>
      </c>
      <c r="T28" s="55" t="s">
        <v>113</v>
      </c>
      <c r="U28" s="55">
        <v>0</v>
      </c>
      <c r="V28" s="55" t="s">
        <v>113</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v>0</v>
      </c>
      <c r="AJ28" s="55" t="s">
        <v>113</v>
      </c>
      <c r="AK28" s="55" t="s">
        <v>113</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v>0</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v>0</v>
      </c>
      <c r="T29" s="55" t="s">
        <v>113</v>
      </c>
      <c r="U29" s="55">
        <v>0</v>
      </c>
      <c r="V29" s="55" t="s">
        <v>113</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v>0</v>
      </c>
      <c r="AJ29" s="55" t="s">
        <v>113</v>
      </c>
      <c r="AK29" s="55" t="s">
        <v>113</v>
      </c>
      <c r="AL29" s="55" t="s">
        <v>113</v>
      </c>
      <c r="AM29" s="55">
        <v>1</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v>2</v>
      </c>
      <c r="BB29" s="55" t="s">
        <v>113</v>
      </c>
      <c r="BC29" s="55">
        <v>0</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v>0</v>
      </c>
      <c r="T30" s="55" t="s">
        <v>113</v>
      </c>
      <c r="U30" s="55">
        <v>1</v>
      </c>
      <c r="V30" s="55" t="s">
        <v>113</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v>0</v>
      </c>
      <c r="AJ30" s="55" t="s">
        <v>113</v>
      </c>
      <c r="AK30" s="55" t="s">
        <v>113</v>
      </c>
      <c r="AL30" s="55" t="s">
        <v>113</v>
      </c>
      <c r="AM30" s="55">
        <v>0</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v>2</v>
      </c>
      <c r="BB30" s="55" t="s">
        <v>113</v>
      </c>
      <c r="BC30" s="55">
        <v>0</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v>0</v>
      </c>
      <c r="T31" s="55" t="s">
        <v>113</v>
      </c>
      <c r="U31" s="55">
        <v>3</v>
      </c>
      <c r="V31" s="55" t="s">
        <v>113</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v>1</v>
      </c>
      <c r="AJ31" s="55" t="s">
        <v>113</v>
      </c>
      <c r="AK31" s="55" t="s">
        <v>113</v>
      </c>
      <c r="AL31" s="55" t="s">
        <v>113</v>
      </c>
      <c r="AM31" s="55">
        <v>0</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v>3</v>
      </c>
      <c r="BB31" s="55" t="s">
        <v>113</v>
      </c>
      <c r="BC31" s="55">
        <v>0</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v>1</v>
      </c>
      <c r="T32" s="55" t="s">
        <v>113</v>
      </c>
      <c r="U32" s="55">
        <v>1</v>
      </c>
      <c r="V32" s="55" t="s">
        <v>113</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v>0</v>
      </c>
      <c r="AJ32" s="55" t="s">
        <v>113</v>
      </c>
      <c r="AK32" s="55" t="s">
        <v>113</v>
      </c>
      <c r="AL32" s="55" t="s">
        <v>113</v>
      </c>
      <c r="AM32" s="55">
        <v>0</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v>0</v>
      </c>
      <c r="BB32" s="55" t="s">
        <v>113</v>
      </c>
      <c r="BC32" s="55">
        <v>0</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v>0</v>
      </c>
      <c r="T33" s="55" t="s">
        <v>113</v>
      </c>
      <c r="U33" s="55">
        <v>0</v>
      </c>
      <c r="V33" s="55" t="s">
        <v>113</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v>0</v>
      </c>
      <c r="AJ33" s="55" t="s">
        <v>113</v>
      </c>
      <c r="AK33" s="55" t="s">
        <v>113</v>
      </c>
      <c r="AL33" s="55" t="s">
        <v>113</v>
      </c>
      <c r="AM33" s="55">
        <v>0</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v>4</v>
      </c>
      <c r="BB33" s="55" t="s">
        <v>113</v>
      </c>
      <c r="BC33" s="55">
        <v>0</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v>1</v>
      </c>
      <c r="T34" s="55" t="s">
        <v>113</v>
      </c>
      <c r="U34" s="55">
        <v>2</v>
      </c>
      <c r="V34" s="55" t="s">
        <v>113</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v>0</v>
      </c>
      <c r="AJ34" s="55" t="s">
        <v>113</v>
      </c>
      <c r="AK34" s="55" t="s">
        <v>113</v>
      </c>
      <c r="AL34" s="55" t="s">
        <v>113</v>
      </c>
      <c r="AM34" s="55">
        <v>0</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v>5</v>
      </c>
      <c r="BB34" s="55" t="s">
        <v>113</v>
      </c>
      <c r="BC34" s="55">
        <v>0</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v>1</v>
      </c>
      <c r="T35" s="55" t="s">
        <v>113</v>
      </c>
      <c r="U35" s="55">
        <v>1</v>
      </c>
      <c r="V35" s="55" t="s">
        <v>113</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v>0</v>
      </c>
      <c r="AJ35" s="55" t="s">
        <v>113</v>
      </c>
      <c r="AK35" s="55" t="s">
        <v>113</v>
      </c>
      <c r="AL35" s="55" t="s">
        <v>113</v>
      </c>
      <c r="AM35" s="55">
        <v>1</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v>4</v>
      </c>
      <c r="BB35" s="55" t="s">
        <v>113</v>
      </c>
      <c r="BC35" s="55">
        <v>0</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v>1</v>
      </c>
      <c r="T36" s="55" t="s">
        <v>113</v>
      </c>
      <c r="U36" s="55">
        <v>0</v>
      </c>
      <c r="V36" s="55" t="s">
        <v>113</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v>1</v>
      </c>
      <c r="AJ36" s="55" t="s">
        <v>113</v>
      </c>
      <c r="AK36" s="55" t="s">
        <v>113</v>
      </c>
      <c r="AL36" s="55" t="s">
        <v>113</v>
      </c>
      <c r="AM36" s="55">
        <v>0</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v>1</v>
      </c>
      <c r="BB36" s="55" t="s">
        <v>113</v>
      </c>
      <c r="BC36" s="55">
        <v>0</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v>0</v>
      </c>
      <c r="T37" s="55" t="s">
        <v>113</v>
      </c>
      <c r="U37" s="55">
        <v>0</v>
      </c>
      <c r="V37" s="55" t="s">
        <v>113</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v>0</v>
      </c>
      <c r="AJ37" s="55" t="s">
        <v>113</v>
      </c>
      <c r="AK37" s="55" t="s">
        <v>113</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v>0</v>
      </c>
      <c r="BB37" s="55" t="s">
        <v>113</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67446-90AE-43C7-BC44-B8024D4FA9C0}">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156</v>
      </c>
      <c r="S12" s="61"/>
      <c r="T12" s="61"/>
      <c r="U12" s="61"/>
      <c r="V12" s="61"/>
      <c r="W12" s="61"/>
      <c r="X12" s="61"/>
      <c r="Y12" s="60"/>
      <c r="Z12" s="62" t="s">
        <v>153</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v>0</v>
      </c>
      <c r="T15" s="55" t="s">
        <v>113</v>
      </c>
      <c r="U15" s="55">
        <v>1</v>
      </c>
      <c r="V15" s="55" t="s">
        <v>113</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v>0</v>
      </c>
      <c r="AJ15" s="55" t="s">
        <v>113</v>
      </c>
      <c r="AK15" s="55" t="s">
        <v>113</v>
      </c>
      <c r="AL15" s="55" t="s">
        <v>113</v>
      </c>
      <c r="AM15" s="55">
        <v>0</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v>1</v>
      </c>
      <c r="BB15" s="55" t="s">
        <v>113</v>
      </c>
      <c r="BC15" s="55">
        <v>0</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v>1</v>
      </c>
      <c r="T16" s="55" t="s">
        <v>113</v>
      </c>
      <c r="U16" s="55">
        <v>1</v>
      </c>
      <c r="V16" s="55" t="s">
        <v>113</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v>0</v>
      </c>
      <c r="AJ16" s="55" t="s">
        <v>113</v>
      </c>
      <c r="AK16" s="55" t="s">
        <v>113</v>
      </c>
      <c r="AL16" s="55" t="s">
        <v>113</v>
      </c>
      <c r="AM16" s="55">
        <v>1</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v>0</v>
      </c>
      <c r="BB16" s="55" t="s">
        <v>113</v>
      </c>
      <c r="BC16" s="55">
        <v>0</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v>0</v>
      </c>
      <c r="T17" s="55" t="s">
        <v>113</v>
      </c>
      <c r="U17" s="55">
        <v>3</v>
      </c>
      <c r="V17" s="55" t="s">
        <v>113</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v>0</v>
      </c>
      <c r="AJ17" s="55" t="s">
        <v>113</v>
      </c>
      <c r="AK17" s="55" t="s">
        <v>113</v>
      </c>
      <c r="AL17" s="55" t="s">
        <v>113</v>
      </c>
      <c r="AM17" s="55">
        <v>3</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v>1</v>
      </c>
      <c r="BB17" s="55" t="s">
        <v>113</v>
      </c>
      <c r="BC17" s="55">
        <v>0</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v>1</v>
      </c>
      <c r="T18" s="55" t="s">
        <v>113</v>
      </c>
      <c r="U18" s="55">
        <v>2</v>
      </c>
      <c r="V18" s="55" t="s">
        <v>113</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v>0</v>
      </c>
      <c r="AJ18" s="55" t="s">
        <v>113</v>
      </c>
      <c r="AK18" s="55" t="s">
        <v>113</v>
      </c>
      <c r="AL18" s="55" t="s">
        <v>113</v>
      </c>
      <c r="AM18" s="55">
        <v>0</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v>1</v>
      </c>
      <c r="BB18" s="55" t="s">
        <v>113</v>
      </c>
      <c r="BC18" s="55">
        <v>0</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v>0</v>
      </c>
      <c r="T19" s="55" t="s">
        <v>113</v>
      </c>
      <c r="U19" s="55">
        <v>1</v>
      </c>
      <c r="V19" s="55" t="s">
        <v>113</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v>1</v>
      </c>
      <c r="AJ19" s="55" t="s">
        <v>113</v>
      </c>
      <c r="AK19" s="55" t="s">
        <v>113</v>
      </c>
      <c r="AL19" s="55" t="s">
        <v>113</v>
      </c>
      <c r="AM19" s="55">
        <v>1</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v>2</v>
      </c>
      <c r="BB19" s="55" t="s">
        <v>113</v>
      </c>
      <c r="BC19" s="55">
        <v>0</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v>0</v>
      </c>
      <c r="T20" s="55" t="s">
        <v>113</v>
      </c>
      <c r="U20" s="55">
        <v>0</v>
      </c>
      <c r="V20" s="55" t="s">
        <v>113</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v>0</v>
      </c>
      <c r="AJ20" s="55" t="s">
        <v>113</v>
      </c>
      <c r="AK20" s="55" t="s">
        <v>113</v>
      </c>
      <c r="AL20" s="55" t="s">
        <v>113</v>
      </c>
      <c r="AM20" s="55">
        <v>0</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v>0</v>
      </c>
      <c r="BB20" s="55" t="s">
        <v>113</v>
      </c>
      <c r="BC20" s="55">
        <v>0</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v>1</v>
      </c>
      <c r="T21" s="55" t="s">
        <v>113</v>
      </c>
      <c r="U21" s="55">
        <v>1</v>
      </c>
      <c r="V21" s="55" t="s">
        <v>113</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v>0</v>
      </c>
      <c r="AJ21" s="55" t="s">
        <v>113</v>
      </c>
      <c r="AK21" s="55" t="s">
        <v>113</v>
      </c>
      <c r="AL21" s="55" t="s">
        <v>113</v>
      </c>
      <c r="AM21" s="55">
        <v>0</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v>0</v>
      </c>
      <c r="BB21" s="55" t="s">
        <v>113</v>
      </c>
      <c r="BC21" s="55">
        <v>0</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v>2</v>
      </c>
      <c r="T22" s="55" t="s">
        <v>113</v>
      </c>
      <c r="U22" s="55">
        <v>0</v>
      </c>
      <c r="V22" s="55" t="s">
        <v>113</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v>0</v>
      </c>
      <c r="AJ22" s="55" t="s">
        <v>113</v>
      </c>
      <c r="AK22" s="55" t="s">
        <v>113</v>
      </c>
      <c r="AL22" s="55" t="s">
        <v>113</v>
      </c>
      <c r="AM22" s="55">
        <v>3</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v>0</v>
      </c>
      <c r="BB22" s="55" t="s">
        <v>113</v>
      </c>
      <c r="BC22" s="55">
        <v>0</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v>0</v>
      </c>
      <c r="T23" s="55" t="s">
        <v>113</v>
      </c>
      <c r="U23" s="55">
        <v>0</v>
      </c>
      <c r="V23" s="55" t="s">
        <v>113</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v>0</v>
      </c>
      <c r="AJ23" s="55" t="s">
        <v>113</v>
      </c>
      <c r="AK23" s="55" t="s">
        <v>113</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v>0</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v>1</v>
      </c>
      <c r="T24" s="55" t="s">
        <v>113</v>
      </c>
      <c r="U24" s="55">
        <v>0</v>
      </c>
      <c r="V24" s="55" t="s">
        <v>113</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v>0</v>
      </c>
      <c r="AJ24" s="55" t="s">
        <v>113</v>
      </c>
      <c r="AK24" s="55" t="s">
        <v>113</v>
      </c>
      <c r="AL24" s="55" t="s">
        <v>113</v>
      </c>
      <c r="AM24" s="55">
        <v>2</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v>1</v>
      </c>
      <c r="BB24" s="55" t="s">
        <v>113</v>
      </c>
      <c r="BC24" s="55">
        <v>0</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v>3</v>
      </c>
      <c r="T25" s="55" t="s">
        <v>113</v>
      </c>
      <c r="U25" s="55">
        <v>0</v>
      </c>
      <c r="V25" s="55" t="s">
        <v>113</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v>0</v>
      </c>
      <c r="AJ25" s="55" t="s">
        <v>113</v>
      </c>
      <c r="AK25" s="55" t="s">
        <v>113</v>
      </c>
      <c r="AL25" s="55" t="s">
        <v>113</v>
      </c>
      <c r="AM25" s="55">
        <v>1</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v>1</v>
      </c>
      <c r="BB25" s="55" t="s">
        <v>113</v>
      </c>
      <c r="BC25" s="55">
        <v>0</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v>2</v>
      </c>
      <c r="T26" s="55" t="s">
        <v>113</v>
      </c>
      <c r="U26" s="55">
        <v>1</v>
      </c>
      <c r="V26" s="55" t="s">
        <v>113</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v>0</v>
      </c>
      <c r="AJ26" s="55" t="s">
        <v>113</v>
      </c>
      <c r="AK26" s="55" t="s">
        <v>113</v>
      </c>
      <c r="AL26" s="55" t="s">
        <v>113</v>
      </c>
      <c r="AM26" s="55">
        <v>1</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v>0</v>
      </c>
      <c r="BB26" s="55" t="s">
        <v>113</v>
      </c>
      <c r="BC26" s="55">
        <v>0</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v>2</v>
      </c>
      <c r="T27" s="55" t="s">
        <v>113</v>
      </c>
      <c r="U27" s="55">
        <v>0</v>
      </c>
      <c r="V27" s="55" t="s">
        <v>113</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v>0</v>
      </c>
      <c r="AJ27" s="55" t="s">
        <v>113</v>
      </c>
      <c r="AK27" s="55" t="s">
        <v>113</v>
      </c>
      <c r="AL27" s="55" t="s">
        <v>113</v>
      </c>
      <c r="AM27" s="55">
        <v>2</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v>0</v>
      </c>
      <c r="BB27" s="55" t="s">
        <v>113</v>
      </c>
      <c r="BC27" s="55">
        <v>0</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v>0</v>
      </c>
      <c r="T28" s="55" t="s">
        <v>113</v>
      </c>
      <c r="U28" s="55">
        <v>0</v>
      </c>
      <c r="V28" s="55" t="s">
        <v>113</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v>0</v>
      </c>
      <c r="AJ28" s="55" t="s">
        <v>113</v>
      </c>
      <c r="AK28" s="55" t="s">
        <v>113</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v>0</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v>2</v>
      </c>
      <c r="T29" s="55" t="s">
        <v>113</v>
      </c>
      <c r="U29" s="55">
        <v>1</v>
      </c>
      <c r="V29" s="55" t="s">
        <v>113</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v>0</v>
      </c>
      <c r="AJ29" s="55" t="s">
        <v>113</v>
      </c>
      <c r="AK29" s="55" t="s">
        <v>113</v>
      </c>
      <c r="AL29" s="55" t="s">
        <v>113</v>
      </c>
      <c r="AM29" s="55">
        <v>0</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v>0</v>
      </c>
      <c r="BB29" s="55" t="s">
        <v>113</v>
      </c>
      <c r="BC29" s="55">
        <v>0</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v>2</v>
      </c>
      <c r="T30" s="55" t="s">
        <v>113</v>
      </c>
      <c r="U30" s="55">
        <v>2</v>
      </c>
      <c r="V30" s="55" t="s">
        <v>113</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v>0</v>
      </c>
      <c r="AJ30" s="55" t="s">
        <v>113</v>
      </c>
      <c r="AK30" s="55" t="s">
        <v>113</v>
      </c>
      <c r="AL30" s="55" t="s">
        <v>113</v>
      </c>
      <c r="AM30" s="55">
        <v>1</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v>2</v>
      </c>
      <c r="BB30" s="55" t="s">
        <v>113</v>
      </c>
      <c r="BC30" s="55">
        <v>0</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v>9</v>
      </c>
      <c r="T31" s="55" t="s">
        <v>113</v>
      </c>
      <c r="U31" s="55">
        <v>3</v>
      </c>
      <c r="V31" s="55" t="s">
        <v>113</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v>1</v>
      </c>
      <c r="AJ31" s="55" t="s">
        <v>113</v>
      </c>
      <c r="AK31" s="55" t="s">
        <v>113</v>
      </c>
      <c r="AL31" s="55" t="s">
        <v>113</v>
      </c>
      <c r="AM31" s="55">
        <v>1</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v>0</v>
      </c>
      <c r="BB31" s="55" t="s">
        <v>113</v>
      </c>
      <c r="BC31" s="55">
        <v>0</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v>4</v>
      </c>
      <c r="T32" s="55" t="s">
        <v>113</v>
      </c>
      <c r="U32" s="55">
        <v>1</v>
      </c>
      <c r="V32" s="55" t="s">
        <v>113</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v>1</v>
      </c>
      <c r="AJ32" s="55" t="s">
        <v>113</v>
      </c>
      <c r="AK32" s="55" t="s">
        <v>113</v>
      </c>
      <c r="AL32" s="55" t="s">
        <v>113</v>
      </c>
      <c r="AM32" s="55">
        <v>3</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v>3</v>
      </c>
      <c r="BB32" s="55" t="s">
        <v>113</v>
      </c>
      <c r="BC32" s="55">
        <v>0</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v>1</v>
      </c>
      <c r="T33" s="55" t="s">
        <v>113</v>
      </c>
      <c r="U33" s="55">
        <v>0</v>
      </c>
      <c r="V33" s="55" t="s">
        <v>113</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v>0</v>
      </c>
      <c r="AJ33" s="55" t="s">
        <v>113</v>
      </c>
      <c r="AK33" s="55" t="s">
        <v>113</v>
      </c>
      <c r="AL33" s="55" t="s">
        <v>113</v>
      </c>
      <c r="AM33" s="55">
        <v>2</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v>3</v>
      </c>
      <c r="BB33" s="55" t="s">
        <v>113</v>
      </c>
      <c r="BC33" s="55">
        <v>0</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v>3</v>
      </c>
      <c r="T34" s="55" t="s">
        <v>113</v>
      </c>
      <c r="U34" s="55">
        <v>1</v>
      </c>
      <c r="V34" s="55" t="s">
        <v>113</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v>0</v>
      </c>
      <c r="AJ34" s="55" t="s">
        <v>113</v>
      </c>
      <c r="AK34" s="55" t="s">
        <v>113</v>
      </c>
      <c r="AL34" s="55" t="s">
        <v>113</v>
      </c>
      <c r="AM34" s="55">
        <v>2</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v>1</v>
      </c>
      <c r="BB34" s="55" t="s">
        <v>113</v>
      </c>
      <c r="BC34" s="55">
        <v>0</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v>1</v>
      </c>
      <c r="T35" s="55" t="s">
        <v>113</v>
      </c>
      <c r="U35" s="55">
        <v>2</v>
      </c>
      <c r="V35" s="55" t="s">
        <v>113</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v>2</v>
      </c>
      <c r="AJ35" s="55" t="s">
        <v>113</v>
      </c>
      <c r="AK35" s="55" t="s">
        <v>113</v>
      </c>
      <c r="AL35" s="55" t="s">
        <v>113</v>
      </c>
      <c r="AM35" s="55">
        <v>1</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v>0</v>
      </c>
      <c r="BB35" s="55" t="s">
        <v>113</v>
      </c>
      <c r="BC35" s="55">
        <v>0</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v>2</v>
      </c>
      <c r="T36" s="55" t="s">
        <v>113</v>
      </c>
      <c r="U36" s="55">
        <v>2</v>
      </c>
      <c r="V36" s="55" t="s">
        <v>113</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v>0</v>
      </c>
      <c r="AJ36" s="55" t="s">
        <v>113</v>
      </c>
      <c r="AK36" s="55" t="s">
        <v>113</v>
      </c>
      <c r="AL36" s="55" t="s">
        <v>113</v>
      </c>
      <c r="AM36" s="55">
        <v>5</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v>0</v>
      </c>
      <c r="BB36" s="55" t="s">
        <v>113</v>
      </c>
      <c r="BC36" s="55">
        <v>1</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v>0</v>
      </c>
      <c r="T37" s="55" t="s">
        <v>113</v>
      </c>
      <c r="U37" s="55">
        <v>0</v>
      </c>
      <c r="V37" s="55" t="s">
        <v>113</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v>0</v>
      </c>
      <c r="AJ37" s="55" t="s">
        <v>113</v>
      </c>
      <c r="AK37" s="55" t="s">
        <v>113</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v>0</v>
      </c>
      <c r="BB37" s="55" t="s">
        <v>113</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79F0A-C7AC-4140-AD11-E6E673AA6CD4}">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156</v>
      </c>
      <c r="S12" s="61"/>
      <c r="T12" s="61"/>
      <c r="U12" s="61"/>
      <c r="V12" s="61"/>
      <c r="W12" s="61"/>
      <c r="X12" s="61"/>
      <c r="Y12" s="60"/>
      <c r="Z12" s="62" t="s">
        <v>153</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v>4</v>
      </c>
      <c r="T15" s="55" t="s">
        <v>113</v>
      </c>
      <c r="U15" s="55">
        <v>51</v>
      </c>
      <c r="V15" s="55" t="s">
        <v>113</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v>5</v>
      </c>
      <c r="AJ15" s="55" t="s">
        <v>113</v>
      </c>
      <c r="AK15" s="55" t="s">
        <v>113</v>
      </c>
      <c r="AL15" s="55" t="s">
        <v>113</v>
      </c>
      <c r="AM15" s="55">
        <v>7</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v>55</v>
      </c>
      <c r="BB15" s="55" t="s">
        <v>113</v>
      </c>
      <c r="BC15" s="55">
        <v>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v>7</v>
      </c>
      <c r="T16" s="55" t="s">
        <v>113</v>
      </c>
      <c r="U16" s="55">
        <v>59</v>
      </c>
      <c r="V16" s="55" t="s">
        <v>113</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v>11</v>
      </c>
      <c r="AJ16" s="55" t="s">
        <v>113</v>
      </c>
      <c r="AK16" s="55" t="s">
        <v>113</v>
      </c>
      <c r="AL16" s="55" t="s">
        <v>113</v>
      </c>
      <c r="AM16" s="55">
        <v>17</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v>60</v>
      </c>
      <c r="BB16" s="55" t="s">
        <v>113</v>
      </c>
      <c r="BC16" s="55">
        <v>8</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v>14</v>
      </c>
      <c r="T17" s="55" t="s">
        <v>113</v>
      </c>
      <c r="U17" s="55">
        <v>83</v>
      </c>
      <c r="V17" s="55" t="s">
        <v>113</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v>5</v>
      </c>
      <c r="AJ17" s="55" t="s">
        <v>113</v>
      </c>
      <c r="AK17" s="55" t="s">
        <v>113</v>
      </c>
      <c r="AL17" s="55" t="s">
        <v>113</v>
      </c>
      <c r="AM17" s="55">
        <v>31</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v>82</v>
      </c>
      <c r="BB17" s="55" t="s">
        <v>113</v>
      </c>
      <c r="BC17" s="55">
        <v>2</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v>14</v>
      </c>
      <c r="T18" s="55" t="s">
        <v>113</v>
      </c>
      <c r="U18" s="55">
        <v>84</v>
      </c>
      <c r="V18" s="55" t="s">
        <v>113</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v>4</v>
      </c>
      <c r="AJ18" s="55" t="s">
        <v>113</v>
      </c>
      <c r="AK18" s="55" t="s">
        <v>113</v>
      </c>
      <c r="AL18" s="55" t="s">
        <v>113</v>
      </c>
      <c r="AM18" s="55">
        <v>26</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v>88</v>
      </c>
      <c r="BB18" s="55" t="s">
        <v>113</v>
      </c>
      <c r="BC18" s="55">
        <v>4</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v>8</v>
      </c>
      <c r="T19" s="55" t="s">
        <v>113</v>
      </c>
      <c r="U19" s="55">
        <v>79</v>
      </c>
      <c r="V19" s="55" t="s">
        <v>113</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v>6</v>
      </c>
      <c r="AJ19" s="55" t="s">
        <v>113</v>
      </c>
      <c r="AK19" s="55" t="s">
        <v>113</v>
      </c>
      <c r="AL19" s="55" t="s">
        <v>113</v>
      </c>
      <c r="AM19" s="55">
        <v>32</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v>89</v>
      </c>
      <c r="BB19" s="55" t="s">
        <v>113</v>
      </c>
      <c r="BC19" s="55">
        <v>8</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v>10</v>
      </c>
      <c r="T20" s="55" t="s">
        <v>113</v>
      </c>
      <c r="U20" s="55">
        <v>90</v>
      </c>
      <c r="V20" s="55" t="s">
        <v>113</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v>11</v>
      </c>
      <c r="AJ20" s="55" t="s">
        <v>113</v>
      </c>
      <c r="AK20" s="55" t="s">
        <v>113</v>
      </c>
      <c r="AL20" s="55" t="s">
        <v>113</v>
      </c>
      <c r="AM20" s="55">
        <v>30</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v>100</v>
      </c>
      <c r="BB20" s="55" t="s">
        <v>113</v>
      </c>
      <c r="BC20" s="55">
        <v>2</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v>19</v>
      </c>
      <c r="T21" s="55" t="s">
        <v>113</v>
      </c>
      <c r="U21" s="55">
        <v>81</v>
      </c>
      <c r="V21" s="55" t="s">
        <v>113</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v>8</v>
      </c>
      <c r="AJ21" s="55" t="s">
        <v>113</v>
      </c>
      <c r="AK21" s="55" t="s">
        <v>113</v>
      </c>
      <c r="AL21" s="55" t="s">
        <v>113</v>
      </c>
      <c r="AM21" s="55">
        <v>38</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v>85</v>
      </c>
      <c r="BB21" s="55" t="s">
        <v>113</v>
      </c>
      <c r="BC21" s="55">
        <v>6</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v>18</v>
      </c>
      <c r="T22" s="55" t="s">
        <v>113</v>
      </c>
      <c r="U22" s="55">
        <v>76</v>
      </c>
      <c r="V22" s="55" t="s">
        <v>113</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v>10</v>
      </c>
      <c r="AJ22" s="55" t="s">
        <v>113</v>
      </c>
      <c r="AK22" s="55" t="s">
        <v>113</v>
      </c>
      <c r="AL22" s="55" t="s">
        <v>113</v>
      </c>
      <c r="AM22" s="55">
        <v>25</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v>77</v>
      </c>
      <c r="BB22" s="55" t="s">
        <v>113</v>
      </c>
      <c r="BC22" s="55">
        <v>6</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v>0</v>
      </c>
      <c r="T23" s="55" t="s">
        <v>113</v>
      </c>
      <c r="U23" s="55">
        <v>0</v>
      </c>
      <c r="V23" s="55" t="s">
        <v>113</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v>0</v>
      </c>
      <c r="AJ23" s="55" t="s">
        <v>113</v>
      </c>
      <c r="AK23" s="55" t="s">
        <v>113</v>
      </c>
      <c r="AL23" s="55" t="s">
        <v>113</v>
      </c>
      <c r="AM23" s="55">
        <v>1</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v>0</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v>17</v>
      </c>
      <c r="T24" s="55" t="s">
        <v>113</v>
      </c>
      <c r="U24" s="55">
        <v>36</v>
      </c>
      <c r="V24" s="55" t="s">
        <v>113</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v>3</v>
      </c>
      <c r="AJ24" s="55" t="s">
        <v>113</v>
      </c>
      <c r="AK24" s="55" t="s">
        <v>113</v>
      </c>
      <c r="AL24" s="55" t="s">
        <v>113</v>
      </c>
      <c r="AM24" s="55">
        <v>13</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v>57</v>
      </c>
      <c r="BB24" s="55" t="s">
        <v>113</v>
      </c>
      <c r="BC24" s="55">
        <v>1</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v>11</v>
      </c>
      <c r="T25" s="55" t="s">
        <v>113</v>
      </c>
      <c r="U25" s="55">
        <v>46</v>
      </c>
      <c r="V25" s="55" t="s">
        <v>113</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v>7</v>
      </c>
      <c r="AJ25" s="55" t="s">
        <v>113</v>
      </c>
      <c r="AK25" s="55" t="s">
        <v>113</v>
      </c>
      <c r="AL25" s="55" t="s">
        <v>113</v>
      </c>
      <c r="AM25" s="55">
        <v>12</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v>45</v>
      </c>
      <c r="BB25" s="55" t="s">
        <v>113</v>
      </c>
      <c r="BC25" s="55">
        <v>5</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v>15</v>
      </c>
      <c r="T26" s="55" t="s">
        <v>113</v>
      </c>
      <c r="U26" s="55">
        <v>44</v>
      </c>
      <c r="V26" s="55" t="s">
        <v>113</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v>7</v>
      </c>
      <c r="AJ26" s="55" t="s">
        <v>113</v>
      </c>
      <c r="AK26" s="55" t="s">
        <v>113</v>
      </c>
      <c r="AL26" s="55" t="s">
        <v>113</v>
      </c>
      <c r="AM26" s="55">
        <v>14</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v>41</v>
      </c>
      <c r="BB26" s="55" t="s">
        <v>113</v>
      </c>
      <c r="BC26" s="55">
        <v>7</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v>6</v>
      </c>
      <c r="T27" s="55" t="s">
        <v>113</v>
      </c>
      <c r="U27" s="55">
        <v>46</v>
      </c>
      <c r="V27" s="55" t="s">
        <v>113</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v>3</v>
      </c>
      <c r="AJ27" s="55" t="s">
        <v>113</v>
      </c>
      <c r="AK27" s="55" t="s">
        <v>113</v>
      </c>
      <c r="AL27" s="55" t="s">
        <v>113</v>
      </c>
      <c r="AM27" s="55">
        <v>16</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v>48</v>
      </c>
      <c r="BB27" s="55" t="s">
        <v>113</v>
      </c>
      <c r="BC27" s="55">
        <v>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v>0</v>
      </c>
      <c r="T28" s="55" t="s">
        <v>113</v>
      </c>
      <c r="U28" s="55">
        <v>0</v>
      </c>
      <c r="V28" s="55" t="s">
        <v>113</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v>0</v>
      </c>
      <c r="AJ28" s="55" t="s">
        <v>113</v>
      </c>
      <c r="AK28" s="55" t="s">
        <v>113</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v>0</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v>17</v>
      </c>
      <c r="T29" s="55" t="s">
        <v>113</v>
      </c>
      <c r="U29" s="55">
        <v>76</v>
      </c>
      <c r="V29" s="55" t="s">
        <v>113</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v>3</v>
      </c>
      <c r="AJ29" s="55" t="s">
        <v>113</v>
      </c>
      <c r="AK29" s="55" t="s">
        <v>113</v>
      </c>
      <c r="AL29" s="55" t="s">
        <v>113</v>
      </c>
      <c r="AM29" s="55">
        <v>21</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v>87</v>
      </c>
      <c r="BB29" s="55" t="s">
        <v>113</v>
      </c>
      <c r="BC29" s="55">
        <v>9</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v>14</v>
      </c>
      <c r="T30" s="55" t="s">
        <v>113</v>
      </c>
      <c r="U30" s="55">
        <v>88</v>
      </c>
      <c r="V30" s="55" t="s">
        <v>113</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v>4</v>
      </c>
      <c r="AJ30" s="55" t="s">
        <v>113</v>
      </c>
      <c r="AK30" s="55" t="s">
        <v>113</v>
      </c>
      <c r="AL30" s="55" t="s">
        <v>113</v>
      </c>
      <c r="AM30" s="55">
        <v>20</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v>95</v>
      </c>
      <c r="BB30" s="55" t="s">
        <v>113</v>
      </c>
      <c r="BC30" s="55">
        <v>6</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v>24</v>
      </c>
      <c r="T31" s="55" t="s">
        <v>113</v>
      </c>
      <c r="U31" s="55">
        <v>100</v>
      </c>
      <c r="V31" s="55" t="s">
        <v>113</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v>5</v>
      </c>
      <c r="AJ31" s="55" t="s">
        <v>113</v>
      </c>
      <c r="AK31" s="55" t="s">
        <v>113</v>
      </c>
      <c r="AL31" s="55" t="s">
        <v>113</v>
      </c>
      <c r="AM31" s="55">
        <v>27</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v>108</v>
      </c>
      <c r="BB31" s="55" t="s">
        <v>113</v>
      </c>
      <c r="BC31" s="55">
        <v>11</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v>24</v>
      </c>
      <c r="T32" s="55" t="s">
        <v>113</v>
      </c>
      <c r="U32" s="55">
        <v>95</v>
      </c>
      <c r="V32" s="55" t="s">
        <v>113</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v>6</v>
      </c>
      <c r="AJ32" s="55" t="s">
        <v>113</v>
      </c>
      <c r="AK32" s="55" t="s">
        <v>113</v>
      </c>
      <c r="AL32" s="55" t="s">
        <v>113</v>
      </c>
      <c r="AM32" s="55">
        <v>20</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v>111</v>
      </c>
      <c r="BB32" s="55" t="s">
        <v>113</v>
      </c>
      <c r="BC32" s="55">
        <v>11</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v>22</v>
      </c>
      <c r="T33" s="55" t="s">
        <v>113</v>
      </c>
      <c r="U33" s="55">
        <v>88</v>
      </c>
      <c r="V33" s="55" t="s">
        <v>113</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v>4</v>
      </c>
      <c r="AJ33" s="55" t="s">
        <v>113</v>
      </c>
      <c r="AK33" s="55" t="s">
        <v>113</v>
      </c>
      <c r="AL33" s="55" t="s">
        <v>113</v>
      </c>
      <c r="AM33" s="55">
        <v>19</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v>131</v>
      </c>
      <c r="BB33" s="55" t="s">
        <v>113</v>
      </c>
      <c r="BC33" s="55">
        <v>10</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v>25</v>
      </c>
      <c r="T34" s="55" t="s">
        <v>113</v>
      </c>
      <c r="U34" s="55">
        <v>111</v>
      </c>
      <c r="V34" s="55" t="s">
        <v>113</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v>5</v>
      </c>
      <c r="AJ34" s="55" t="s">
        <v>113</v>
      </c>
      <c r="AK34" s="55" t="s">
        <v>113</v>
      </c>
      <c r="AL34" s="55" t="s">
        <v>113</v>
      </c>
      <c r="AM34" s="55">
        <v>18</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v>125</v>
      </c>
      <c r="BB34" s="55" t="s">
        <v>113</v>
      </c>
      <c r="BC34" s="55">
        <v>9</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v>19</v>
      </c>
      <c r="T35" s="55" t="s">
        <v>113</v>
      </c>
      <c r="U35" s="55">
        <v>87</v>
      </c>
      <c r="V35" s="55" t="s">
        <v>113</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v>7</v>
      </c>
      <c r="AJ35" s="55" t="s">
        <v>113</v>
      </c>
      <c r="AK35" s="55" t="s">
        <v>113</v>
      </c>
      <c r="AL35" s="55" t="s">
        <v>113</v>
      </c>
      <c r="AM35" s="55">
        <v>17</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v>113</v>
      </c>
      <c r="BB35" s="55" t="s">
        <v>113</v>
      </c>
      <c r="BC35" s="55">
        <v>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v>28</v>
      </c>
      <c r="T36" s="55" t="s">
        <v>113</v>
      </c>
      <c r="U36" s="55">
        <v>74</v>
      </c>
      <c r="V36" s="55" t="s">
        <v>113</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v>4</v>
      </c>
      <c r="AJ36" s="55" t="s">
        <v>113</v>
      </c>
      <c r="AK36" s="55" t="s">
        <v>113</v>
      </c>
      <c r="AL36" s="55" t="s">
        <v>113</v>
      </c>
      <c r="AM36" s="55">
        <v>22</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v>91</v>
      </c>
      <c r="BB36" s="55" t="s">
        <v>113</v>
      </c>
      <c r="BC36" s="55">
        <v>5</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v>0</v>
      </c>
      <c r="T37" s="55" t="s">
        <v>113</v>
      </c>
      <c r="U37" s="55">
        <v>0</v>
      </c>
      <c r="V37" s="55" t="s">
        <v>113</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v>0</v>
      </c>
      <c r="AJ37" s="55" t="s">
        <v>113</v>
      </c>
      <c r="AK37" s="55" t="s">
        <v>113</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v>0</v>
      </c>
      <c r="BB37" s="55" t="s">
        <v>113</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2021-12-21T21:58:47Z</dcterms:modified>
</cp:coreProperties>
</file>